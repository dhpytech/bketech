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ject Visual Basic\bketech\Quan Trac Lun\"/>
    </mc:Choice>
  </mc:AlternateContent>
  <xr:revisionPtr revIDLastSave="0" documentId="13_ncr:1_{A6409E99-1B8D-4874-A88F-39C07FBF9F37}" xr6:coauthVersionLast="47" xr6:coauthVersionMax="47" xr10:uidLastSave="{00000000-0000-0000-0000-000000000000}"/>
  <bookViews>
    <workbookView xWindow="-108" yWindow="-108" windowWidth="23256" windowHeight="12456" firstSheet="1" activeTab="3" xr2:uid="{6D3E70E0-7CED-42FB-AD1E-15F005DAFCD1}"/>
  </bookViews>
  <sheets>
    <sheet name="DS Goi Thau" sheetId="1" r:id="rId1"/>
    <sheet name="DS Mat Cat" sheetId="2" r:id="rId2"/>
    <sheet name="Caches" sheetId="3" r:id="rId3"/>
    <sheet name="Sheet1" sheetId="4" r:id="rId4"/>
    <sheet name="Sheet2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2" i="4" l="1"/>
  <c r="H10" i="4"/>
  <c r="F11" i="4"/>
  <c r="D15" i="4"/>
  <c r="D12" i="4"/>
  <c r="D11" i="4"/>
  <c r="D10" i="4"/>
  <c r="C73" i="3" l="1"/>
</calcChain>
</file>

<file path=xl/sharedStrings.xml><?xml version="1.0" encoding="utf-8"?>
<sst xmlns="http://schemas.openxmlformats.org/spreadsheetml/2006/main" count="555" uniqueCount="452">
  <si>
    <t>Mã Gói Thầu</t>
  </si>
  <si>
    <t>Tên Gói Thầu</t>
  </si>
  <si>
    <t>Trạng Thái</t>
  </si>
  <si>
    <t>Vị Trí</t>
  </si>
  <si>
    <t>Thông Tin Gói Thầu</t>
  </si>
  <si>
    <t>Id</t>
  </si>
  <si>
    <t>Tên Mặt Cắt</t>
  </si>
  <si>
    <t>Loại Mặt Cắt</t>
  </si>
  <si>
    <t>Thông Tin Lắp Đặt</t>
  </si>
  <si>
    <t>HD XL01</t>
  </si>
  <si>
    <t>Activate</t>
  </si>
  <si>
    <t>An Giang</t>
  </si>
  <si>
    <t>HD XL02</t>
  </si>
  <si>
    <t>Gói Thầu 02</t>
  </si>
  <si>
    <t>Stop</t>
  </si>
  <si>
    <t>Hậu Giang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</si>
  <si>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HÀ&lt;|&gt;TTKhac|:None</t>
  </si>
  <si>
    <t>L03</t>
  </si>
  <si>
    <t>KM0+500&lt;|&gt;HD XL01&lt;|&gt;L03</t>
  </si>
  <si>
    <t>KM0+500</t>
  </si>
  <si>
    <t>Dữ Liệu Lắp Đặt</t>
  </si>
  <si>
    <t>Thông Tin Dap Nen (GT)</t>
  </si>
  <si>
    <t>Ngày KTGT</t>
  </si>
  <si>
    <t>Ngày Nối Cần</t>
  </si>
  <si>
    <t>Ngày BD Tính Lún</t>
  </si>
  <si>
    <t>NgayLD|:27/04/2023&lt;|&gt;CDMoc|:842&lt;|&gt;CDBanTrai|:20&lt;|&gt;CDBanTim|:10&lt;|&gt;CDBanPhai|:0&lt;|&gt;CDNen|:0.01</t>
  </si>
  <si>
    <t>22/05/2023|:DN Lớp 8||0.2&lt;|&gt;26/05/2023|:DN Lớp 7||0.3&lt;|&gt;30/05/2023|:DN Lớp 6||0.3&lt;|&gt;29/03/2024|:DN Lớp 5||0.3&lt;|&gt;02/04/2024|:DN Lớp 4||0.3&lt;|&gt;07/04/2024|:DN Lớp 3||0.3&lt;|&gt;11/04/2024|:DN Lớp 2||0.3&lt;|&gt;16/04/2024|:DN Lớp 1||0.3&lt;|&gt;01/10/2024|:GT 4||0.25&lt;|&gt;06/10/2024|:GT 3||0.3&lt;|&gt;10/10/2024|:GT 2||0.3&lt;|&gt;15/10/2024|:GT 1||0.3&lt;|&gt;12/04/2025|:GT GD2 LỚP 7||0.2&lt;|&gt;17/04/2025|:GT GD2 LỚP 6||0.3&lt;|&gt;22/04/2025|:GT GD2 LỚP 5||0.3&lt;|&gt;27/04/2025|:GT GD2 LỚP 4||0.3&lt;|&gt;02/05/2025|:GT GD2 LỚP 3||0.3&lt;|&gt;07/05/2025|:GT GD2 LỚP 2||0.3&lt;|&gt;14/05/2025|:K.Thúc GT||0.3</t>
  </si>
  <si>
    <t>NgayKT|:14/05/2025&lt;|&gt;CDBanTrai|:-1480&lt;|&gt;CDBanTim|:-1586&lt;|&gt;CDBanPhai|:-1202</t>
  </si>
  <si>
    <t>114+220|:22/05/2023|:DN Lớp 8||0.2</t>
  </si>
  <si>
    <t>NgayLD|:27/04/2023&lt;|&gt;CDMoc|:842&lt;|&gt;CDBanTrai|:-180&lt;|&gt;CDBanTim|:-180&lt;|&gt;CDBanPhai|:-120&lt;|&gt;CDNen|:-0.18</t>
  </si>
  <si>
    <t>22/05/2023|:DN Lớp 8||0&lt;|&gt;26/05/2023|:DN Lớp 7||0.3&lt;|&gt;30/05/2023|:DN Lớp 6||0.3&lt;|&gt;29/03/2024|:DN Lớp 5||0.3&lt;|&gt;02/04/2024|:DN Lớp 4||0.3&lt;|&gt;07/04/2024|:DN Lớp 3||0.3&lt;|&gt;11/04/2024|:DN Lớp 2||0.3&lt;|&gt;16/04/2024|:DN Lớp 1||0.3&lt;|&gt;22/09/2024|:GT 6||0.29&lt;|&gt;26/09/2024|:GT 5||0.3&lt;|&gt;01/10/2024|:GT 4||0.3&lt;|&gt;06/10/2024|:GT 3||0.3&lt;|&gt;10/10/2024|:GT 2||0.3&lt;|&gt;15/10/2024|:GT 1||0.3&lt;|&gt;12/04/2025|:GT GD2 LỚP 7||0.2&lt;|&gt;17/04/2025|:GT GD2 LỚP 6||0.27&lt;|&gt;22/04/2025|:GT GD2 LỚP 5||0.3&lt;|&gt;27/04/2025|:GT GD2 LỚP 4||0.3&lt;|&gt;02/05/2025|:GT GD2 LỚP 3||0.3&lt;|&gt;07/05/2025|:GT GD2 LỚP 2||0.3&lt;|&gt;11/05/2025|:K.Thúc GT||0.3</t>
  </si>
  <si>
    <t>NgayKT|:11/05/2025&lt;|&gt;CDBanTrai|:-1244&lt;|&gt;CDBanTim|:-1466&lt;|&gt;CDBanPhai|:-1096</t>
  </si>
  <si>
    <t>114+320|:22/05/2023|:DN Lớp 8||0</t>
  </si>
  <si>
    <t>NgayLD|:19/12/2023&lt;|&gt;CDMoc|:842&lt;|&gt;CDBanTrai|:-220&lt;|&gt;CDBanTim|:-520&lt;|&gt;CDBanPhai|:-400&lt;|&gt;CDNen|:-0.52</t>
  </si>
  <si>
    <t>29/12/2023|:DN Lớp 11||0&lt;|&gt;03/01/2024|:DN Lớp 10||0.3&lt;|&gt;07/01/2024|:DN Lớp 9||0.3&lt;|&gt;11/01/2024|:DN Lớp 8||0.3&lt;|&gt;15/01/2024|:DN Lớp 7||0.3&lt;|&gt;19/01/2024|:DN Lớp 6||0.3&lt;|&gt;23/01/2024|:DN Lớp 5||0.3&lt;|&gt;27/01/2024|:DN Lớp 4||0.3&lt;|&gt;05/04/2024|:DN Lớp 3||0.3&lt;|&gt;09/04/2024|:DN Lớp 2||0.3&lt;|&gt;14/04/2024|:DN Lớp 1||0.3&lt;|&gt;22/09/2024|:GT 6||0.2&lt;|&gt;26/09/2024|:GT 5||0.3&lt;|&gt;01/10/2024|:GT 4||0.3&lt;|&gt;06/10/2024|:GT 3||0.3&lt;|&gt;10/10/2024|:GT 2||0.3&lt;|&gt;15/10/2024|:GT 1||0.3&lt;|&gt;28/03/2025|:GT GD2 LỚP 10||0.2&lt;|&gt;02/04/2025|:GT GD2 LỚP 9||0.2&lt;|&gt;07/04/2025|:GT GD2 LỚP 8||0.28&lt;|&gt;12/04/2025|:GT GD2 LỚP 7||0.3&lt;|&gt;17/04/2025|:GT GD2 LỚP 6||0.3&lt;|&gt;22/04/2025|:GT GD2 LỚP 5||0.3&lt;|&gt;27/04/2025|:GT GD2 LỚP 4||0.3&lt;|&gt;30/04/2025|:GT GD2 LỚP 3||0.3&lt;|&gt;03/05/2025|:GT GD2 LỚP 2||0.3&lt;|&gt;06/05/2025|:K.Thúc GT||0.3</t>
  </si>
  <si>
    <t>NgayKT|:06/05/2025&lt;|&gt;CDBanTrai|:-1207&lt;|&gt;CDBanTim|:-1563&lt;|&gt;CDBanPhai|:-1304</t>
  </si>
  <si>
    <t>114+420|:29/12/2023|:DN Lớp 11||0</t>
  </si>
  <si>
    <t>NgayLD|:10/12/2023&lt;|&gt;CDMoc|:842&lt;|&gt;CDBanTrai|:-280&lt;|&gt;CDBanTim|:-620&lt;|&gt;CDBanPhai|:-620&lt;|&gt;CDNen|:-0.62</t>
  </si>
  <si>
    <t>13/12/2023|:DN Lớp 11||0&lt;|&gt;17/12/2023|:DN Lớp 10||0.3&lt;|&gt;21/12/2023|:DN Lớp 9||0.3&lt;|&gt;27/12/2023|:DN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6||0.37&lt;|&gt;07/12/2024|:GT LỚP 5||0.3&lt;|&gt;12/12/2024|:GT LỚP 4||0.3&lt;|&gt;16/12/2024|:GT LỚP 3||0.3&lt;|&gt;21/12/2024|:GT LỚP 2||0.3&lt;|&gt;26/12/2024|:GT LỚP 1||0.3&lt;|&gt;18/03/2025|:GT GD2 LỚP 9||0.35&lt;|&gt;23/03/2025|:GT GD2 LỚP 8||0.3&lt;|&gt;28/03/2025|:GT GD2 LỚP 7||0.33&lt;|&gt;02/04/2025|:GT GD2 LỚP 6||0.3&lt;|&gt;07/04/2025|:GT GD2 LỚP 5||0.3&lt;|&gt;12/04/2025|:GT GD2 LỚP 4||0.3&lt;|&gt;17/04/2025|:GT GD2 LỚP 3||0&lt;|&gt;22/04/2025|:GT GD2 LỚP 2||0.3&lt;|&gt;29/04/2025|:K.Thúc đắp GT||0.3</t>
  </si>
  <si>
    <t>NgayKT|:29/04/2025&lt;|&gt;CDBanTrai|:-1798&lt;|&gt;CDBanTim|:-1904&lt;|&gt;CDBanPhai|:-1534</t>
  </si>
  <si>
    <t>114+620|:13/12/2023|:DN Lớp 11||0</t>
  </si>
  <si>
    <t>NgayLD|:10/12/2023&lt;|&gt;CDMoc|:842&lt;|&gt;CDBanTrai|:-50&lt;|&gt;CDBanTim|:-20&lt;|&gt;CDBanPhai|:-40&lt;|&gt;CDNen|:-0.02</t>
  </si>
  <si>
    <t>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6||0.2&lt;|&gt;07/12/2024|:GT LỚP 5||0.25&lt;|&gt;12/12/2024|:GT LỚP 4||0.3&lt;|&gt;16/12/2024|:GT LỚP 3||0.3&lt;|&gt;21/12/2024|:GT LỚP 2||0.3&lt;|&gt;26/12/2024|:GT LỚP 1||0.3&lt;|&gt;28/03/2025|:GT GD2 LỚP 7||0.2&lt;|&gt;02/04/2025|:GT GD2 LỚP 6||0.2&lt;|&gt;07/04/2025|:GT GD2 LỚP 5||0.2&lt;|&gt;12/04/2025|:GT GD2 LỚP 4||0.3&lt;|&gt;17/04/2025|:GT GD2 LỚP 3||0.3&lt;|&gt;22/04/2025|:GT GD2 LỚP 2||0.3&lt;|&gt;26/04/2025|:K.Thúc GT||0.2</t>
  </si>
  <si>
    <t>NgayKT|:26/04/2025&lt;|&gt;CDBanTrai|:-1336&lt;|&gt;CDBanTim|:-1469&lt;|&gt;CDBanPhai|:-1063</t>
  </si>
  <si>
    <t>114+720|:27/12/2023|:DN Lớp 8||0.3</t>
  </si>
  <si>
    <t>NgayLD|:10/12/2023&lt;|&gt;CDMoc|:842&lt;|&gt;CDBanTrai|:-80&lt;|&gt;CDBanTim|:100&lt;|&gt;CDBanPhai|:-390&lt;|&gt;CDNen|:0.1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</si>
  <si>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1||0.3&lt;|&gt;12/12/2024|:GT LỚP 4||0.2&lt;|&gt;16/12/2024|:GT LỚP 3||0.3&lt;|&gt;21/12/2024|:GT LỚP 2||0.3&lt;|&gt;26/12/2024|:GT LỚP 1||0.3&lt;|&gt;12/04/2025|:GT GD2 LỚP 4||0.22&lt;|&gt;15/04/2025|:GT GD2 LỚP 3||0.3&lt;|&gt;18/04/2025|:GT GD2 LỚP 2||0.3&lt;|&gt;21/04/2025|:K.Thúc GT||0.3</t>
  </si>
  <si>
    <t>NgayKT|:21/04/2025&lt;|&gt;CDBanTrai|:-970&lt;|&gt;CDBanTim|:-1377&lt;|&gt;CDBanPhai|:-935</t>
  </si>
  <si>
    <t>114+840|:27/12/2023|:DN Lớp 8||0</t>
  </si>
  <si>
    <t>NgayLD|:10/12/2023&lt;|&gt;CDMoc|:842&lt;|&gt;CDBanTrai|:-140&lt;|&gt;CDBanTim|:-140&lt;|&gt;CDBanPhai|:-140&lt;|&gt;CDNen|:-0.14</t>
  </si>
  <si>
    <t>02/01/2024|:DN Lớp 7||0.3&lt;|&gt;08/01/2024|:DN Lớp 6||0.3&lt;|&gt;14/01/2024|:DN Lớp 5||0.3&lt;|&gt;20/01/2024|:DN Lớp 4||0.3&lt;|&gt;14/04/2024|:DN Lớp 3||0.3&lt;|&gt;18/04/2024|:DN Lớp 2||0.3&lt;|&gt;23/04/2024|:DN Lớp 1||0.3&lt;|&gt;16/12/2024|:GT 4||0.2&lt;|&gt;21/12/2024|:GT 3||0.2&lt;|&gt;26/12/2024|:GT 2||0.3&lt;|&gt;31/12/2024|:GT 1||0.3&lt;|&gt;09/04/2025|:GT GD2 LỚP 4||0.25&lt;|&gt;12/04/2025|:GT GD2 LỚP 3||0.3&lt;|&gt;15/04/2025|:GT GD2 LỚP 2||0.3&lt;|&gt;18/04/2025|:K.THÚC GT||0.28</t>
  </si>
  <si>
    <t>NgayKT|:18/04/2025&lt;|&gt;CDBanTrai|:-1143&lt;|&gt;CDBanTim|:-1170&lt;|&gt;CDBanPhai|:-944</t>
  </si>
  <si>
    <t>114+940|:02/01/2024|:DN Lớp 7||0.3</t>
  </si>
  <si>
    <t>NgayLD|:10/12/2023&lt;|&gt;CDMoc|:1069&lt;|&gt;CDBanTrai|:-220&lt;|&gt;CDBanTim|:-210&lt;|&gt;CDBanPhai|:-140&lt;|&gt;CDNen|:-0.21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</si>
  <si>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</si>
  <si>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NgayKT|:14/04/2025&lt;|&gt;CDBanTrai|:-1215&lt;|&gt;CDBanTim|:-1378&lt;|&gt;CDBanPhai|:-953</t>
  </si>
  <si>
    <t>115+040|:27/12/2023|:DN Lớp 8||0</t>
  </si>
  <si>
    <t>NgayLD|:10/12/2023&lt;|&gt;CDMoc|:1069&lt;|&gt;CDBanTrai|:-200&lt;|&gt;CDBanTim|:-600&lt;|&gt;CDBanPhai|:-520&lt;|&gt;CDNen|:-0.6</t>
  </si>
  <si>
    <t>21/12/2023|:DN Lớp 9||0&lt;|&gt;27/12/2023|:DN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</si>
  <si>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NgayKT|:14/04/2025&lt;|&gt;CDBanTrai|:-1058&lt;|&gt;CDBanTim|:-1294&lt;|&gt;CDBanPhai|:-1346</t>
  </si>
  <si>
    <t>115+140|:21/12/2023|:DN Lớp 9||0</t>
  </si>
  <si>
    <t>NgayLD|:21/11/2023&lt;|&gt;CDMoc|:1069&lt;|&gt;CDBanTrai|:-200&lt;|&gt;CDBanTim|:-220&lt;|&gt;CDBanPhai|:-250&lt;|&gt;CDNen|:-0.22</t>
  </si>
  <si>
    <t>08/12/2023|:DN Lớp 9||0.3&lt;|&gt;12/12/2023|:DN Lớp 8||0.3&lt;|&gt;16/12/2023|:DN Lớp 7||0.2&lt;|&gt;20/12/2023|:DN Lớp 6||0.2&lt;|&gt;24/12/2023|:DN Lớp 5||0.3&lt;|&gt;20/04/2024|:DN Lớp 4||0.3&lt;|&gt;24/04/2024|:DN Lớp 3||0.3&lt;|&gt;29/04/2024|:DN Lớp 2||0.3&lt;|&gt;03/05/2024|:DN Lớp 1||0.3&lt;|&gt;06/12/2024|:GT 6||0&lt;|&gt;11/12/2024|:GT 5||0.29&lt;|&gt;16/12/2024|:GT 4||0.3&lt;|&gt;21/12/2024|:GT 3||0.3&lt;|&gt;26/12/2024|:GT 2||0.3&lt;|&gt;31/12/2024|:GT 1||0.3&lt;|&gt;22/03/2025|:GT GD2 LỚP 7||0.3&lt;|&gt;25/03/2025|:GT GD2 LỚP 6||0.3&lt;|&gt;28/03/2025|:GT GD2 LỚP 5||0.3&lt;|&gt;31/03/2025|:GT GD2 LỚP 4||0.3&lt;|&gt;03/04/2025|:GT GD2 LỚP 3||0.3&lt;|&gt;06/04/2025|:GT GD2 LỚP 2||0.3&lt;|&gt;10/04/2025|:K.Thúc GT||0.3</t>
  </si>
  <si>
    <t>NgayKT|:10/04/2025&lt;|&gt;CDBanTrai|:-1018&lt;|&gt;CDBanTim|:-1298&lt;|&gt;CDBanPhai|:-1138</t>
  </si>
  <si>
    <t>115+260|:08/12/2023|:DN Lớp 9||0.3</t>
  </si>
  <si>
    <t>NgayLD|:21/11/2023&lt;|&gt;CDMoc|:1069&lt;|&gt;CDBanTrai|:-190&lt;|&gt;CDBanTim|:-160&lt;|&gt;CDBanPhai|:-200&lt;|&gt;CDNen|:-0.16</t>
  </si>
  <si>
    <t>08/12/2023|:DN Lớp 9||0.3&lt;|&gt;12/12/2023|:DN Lớp 8||0.3&lt;|&gt;16/12/2023|:DN Lớp 7||0.3&lt;|&gt;20/12/2023|:DN Lớp 6||0.3&lt;|&gt;24/12/2023|:DN Lớp 5||0.3&lt;|&gt;20/04/2024|:DN Lớp 4||0.3&lt;|&gt;24/04/2024|:DN Lớp 3||0.3&lt;|&gt;29/04/2024|:DN Lớp 2||0.3&lt;|&gt;03/05/2024|:DN Lớp 1||0.3&lt;|&gt;29/11/2024|:GT LỚP 7||0.37&lt;|&gt;04/12/2024|:GT LỚP 6||0.3&lt;|&gt;09/12/2024|:GT LỚP 5||0.3&lt;|&gt;14/12/2024|:GT LỚP 4||0.3&lt;|&gt;19/12/2024|:GT LỚP 3||0.3&lt;|&gt;26/12/2024|:GT LỚP 2||0.3&lt;|&gt;31/12/2024|:GT LỚP 1||0.3&lt;|&gt;13/03/2025|:GT GD2 LỚP 10||0.25&lt;|&gt;16/03/2025|:GT GD2 LỚP 9||0.23&lt;|&gt;19/03/2025|:GT GD2 LỚP 8||0.3&lt;|&gt;22/03/2025|:GT GD2 LỚP 7||0.3&lt;|&gt;25/03/2025|:GT GD2 LỚP 6||0.3&lt;|&gt;28/03/2025|:GT GD2 LỚP 5||0.3&lt;|&gt;31/03/2025|:GT GD2 LỚP 4||0.3&lt;|&gt;03/04/2025|:GT GD2 LỚP 3||0&lt;|&gt;06/04/2025|:GT GD2 LỚP 2||0.3&lt;|&gt;10/04/2025|:K.thúc GT||0.3</t>
  </si>
  <si>
    <t>NgayKT|:10/04/2025&lt;|&gt;CDBanTrai|:-1262&lt;|&gt;CDBanTim|:-1527&lt;|&gt;CDBanPhai|:-1256</t>
  </si>
  <si>
    <t>115+325|:08/12/2023|:DN Lớp 9||0.3</t>
  </si>
  <si>
    <t>NgayLD|:26/05/2023&lt;|&gt;CDMoc|:1069&lt;|&gt;CDBanTrai|:40&lt;|&gt;CDBanTim|:-10&lt;|&gt;CDBanPhai|:-40&lt;|&gt;CDNen|:-0.01</t>
  </si>
  <si>
    <t>08/06/2023|:DN Lớp 9||0.11&lt;|&gt;12/06/2023|:DN Lớp 8||0.3&lt;|&gt;16/06/2023|:DN Lớp 7||0.3&lt;|&gt;20/06/2023|:DN Lớp 6||0.3&lt;|&gt;14/03/2024|:DN Lớp 5||0.3&lt;|&gt;18/03/2024|:DN Lớp 4||0.3&lt;|&gt;23/03/2024|:DN Lớp 3||0.3&lt;|&gt;27/03/2024|:DN Lớp 2||0.3&lt;|&gt;02/04/2024|:ĐẮP LỚP 1||0.3&lt;|&gt;22/07/2024|:GT LỚP 6||0.2&lt;|&gt;26/07/2024|:GT LỚP 5||0.3&lt;|&gt;31/07/2024|:GT LỚP 4||0.3&lt;|&gt;05/08/2024|:GT LỚP 3||0.3&lt;|&gt;09/08/2024|:GT LỚP 2||0.3&lt;|&gt;14/08/2024|:GT LỚP 1||0.3&lt;|&gt;27/02/2025|:GT GD2 LỚP 8||0.34&lt;|&gt;04/03/2025|:GT GD2 LỚP 7||0.3&lt;|&gt;09/03/2025|:GT GD2 LỚP 6||0.34&lt;|&gt;14/03/2025|:GT GD2 LỚP 5||0.3&lt;|&gt;19/03/2025|:GT GD2 LỚP 4||0.3&lt;|&gt;24/03/2025|:GT GD2 LỚP 3||0.3&lt;|&gt;29/03/2025|:GT GD2 LỚP 2||0.3&lt;|&gt;05/04/2025|:K.Thúc GT||0.3</t>
  </si>
  <si>
    <t>NgayKT|:05/04/2025&lt;|&gt;CDBanTrai|:-1144&lt;|&gt;CDBanTim|:-1368&lt;|&gt;CDBanPhai|:-1024</t>
  </si>
  <si>
    <t>115+740|:08/06/2023|:DN Lớp 9||0.11</t>
  </si>
  <si>
    <t>NgayLD|:14/06/2023&lt;|&gt;CDMoc|:1069&lt;|&gt;CDBanTrai|:750&lt;|&gt;CDBanTim|:800&lt;|&gt;CDBanPhai|:790&lt;|&gt;CDNen|:0.8</t>
  </si>
  <si>
    <t>21/03/2024|:DN Lớp 4||0.3&lt;|&gt;26/03/2024|:DN Lớp 3||0.3&lt;|&gt;30/03/2024|:DN Lớp 2||0.3&lt;|&gt;04/04/2024|:DN Lớp 1||0.3&lt;|&gt;13/07/2024|:Đắp gia tải lớp 7||0&lt;|&gt;18/07/2024|:Đắp gia tải lớp 6||0&lt;|&gt;23/07/2024|:Đắp gia tải lớp 5||0.3&lt;|&gt;28/07/2024|:Đắp gia tải lớp 4||0.3&lt;|&gt;08/10/2024|:GT Lớp 3||0.3&lt;|&gt;13/10/2024|:GT Lớp 2||0.3&lt;|&gt;18/10/2024|:GT Lớp 1||0.3&lt;|&gt;19/03/2025|:GT GD2 LỚP 3||0.33&lt;|&gt;24/03/2025|:GT GD2 LỚP 2||0.34&lt;|&gt;31/03/2025|:K.Thúc Đắp||0.3</t>
  </si>
  <si>
    <t>NgayKT|:31/03/2025&lt;|&gt;CDBanTrai|:-175&lt;|&gt;CDBanTim|:-266&lt;|&gt;CDBanPhai|:-20</t>
  </si>
  <si>
    <t>115+860|:21/03/2024|:DN Lớp 4||0.3</t>
  </si>
  <si>
    <t>NgayLD|:14/06/2023&lt;|&gt;CDMoc|:1069&lt;|&gt;CDBanTrai|:30&lt;|&gt;CDBanTim|:20&lt;|&gt;CDBanPhai|:-640&lt;|&gt;CDNen|:0.02</t>
  </si>
  <si>
    <t>23/06/2023|:DN Lớp 10||0&lt;|&gt;27/06/2023|:DN Lớp 9||0&lt;|&gt;01/07/2023|:DN Lớp 8||0.2&lt;|&gt;05/07/2023|:DN Lớp 7||0.2&lt;|&gt;09/07/2023|:DN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6||0.26&lt;|&gt;23/07/2024|:Đắp gia tải lớp 5||0.3&lt;|&gt;28/07/2024|:Đắp gia tải lớp 4||0.3&lt;|&gt;08/10/2024|:GT Lớp 3||0.3&lt;|&gt;13/10/2024|:GT Lớp 2||0.3&lt;|&gt;18/10/2024|:GT Lớp 1||0.3&lt;|&gt;04/03/2025|:GT GD2 LỚP 6 ||0.3&lt;|&gt;09/03/2025|:GT GD2 LỚP 5||0.3&lt;|&gt;14/03/2025|:GT GD2 LỚP 4||0.3&lt;|&gt;19/03/2025|:GT GD2 LỚP 3||0&lt;|&gt;24/03/2025|:GT GD2 LỚP 2||0.3&lt;|&gt;31/03/2025|:K.Thúc Đắp||0.3</t>
  </si>
  <si>
    <t>NgayKT|:31/03/2025&lt;|&gt;CDBanTrai|:-741&lt;|&gt;CDBanTim|:-914&lt;|&gt;CDBanPhai|:-1341</t>
  </si>
  <si>
    <t>115+960|:23/06/2023|:DN Lớp 10||0</t>
  </si>
  <si>
    <t>NgayLD|:14/06/2023&lt;|&gt;CDMoc|:1069&lt;|&gt;CDBanTrai|:-280&lt;|&gt;CDBanTim|:-650&lt;|&gt;CDBanPhai|:-160&lt;|&gt;CDNen|:-0.65</t>
  </si>
  <si>
    <t>19/06/2023|:DN Lớp 11||0&lt;|&gt;23/06/2023|:DN Lớp 10||0&lt;|&gt;27/06/2023|:DN Lớp 9||0.3&lt;|&gt;01/07/2023|:DN Lớp 8||0.3&lt;|&gt;05/07/2023|:DN Lớp 7||0.3&lt;|&gt;09/07/2023|:DN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6||0.2&lt;|&gt;23/07/2024|:Đắp gia tải lớp 5||0.3&lt;|&gt;28/07/2024|:Đắp gia tải lớp 4||0.3&lt;|&gt;08/10/2024|:GT Lớp 3||0.3&lt;|&gt;13/10/2024|:GT Lớp 2||0.3&lt;|&gt;18/10/2024|:GT Lớp 1||0.3&lt;|&gt;17/02/2025|:GT GD2 LỚP 9||0.34&lt;|&gt;22/02/2025|:GT GD2 LỚP 8||0.34&lt;|&gt;27/02/2025|:GT GD2 LỚP 7||0.34&lt;|&gt;04/03/2025|:GT GD2 LỚP 6||0.34&lt;|&gt;09/03/2025|:GT GD2 LỚP 5||0.34&lt;|&gt;14/03/2025|:GT GD2 LỚP 4||0&lt;|&gt;19/03/2025|:GT GD2 LỚP 3||0.34&lt;|&gt;24/03/2025|:GT GD2 LỚP 2||0.3&lt;|&gt;27/03/2025|:K.Thúc Đắp||0.3</t>
  </si>
  <si>
    <t>NgayKT|:27/03/2025&lt;|&gt;CDBanTrai|:-1027&lt;|&gt;CDBanTim|:-1803&lt;|&gt;CDBanPhai|:-1053</t>
  </si>
  <si>
    <t>116+060|:19/06/2023|:DN Lớp 11||0</t>
  </si>
  <si>
    <t>NgayLD|:21/12/2023&lt;|&gt;CDMoc|:844&lt;|&gt;CDBanTrai|:40&lt;|&gt;CDBanTim|:-80&lt;|&gt;CDBanPhai|:-30&lt;|&gt;CDNen|:-0.08</t>
  </si>
  <si>
    <t>02/01/2024|:DN Lớp 9||0.18&lt;|&gt;05/01/2024|:DN Lớp 8||0.3&lt;|&gt;09/01/2024|:DN Lớp 7||0.3&lt;|&gt;14/01/2024|:DN Lớp 6||0.3&lt;|&gt;18/01/2024|:DN Lớp 5||0.3&lt;|&gt;22/01/2024|:DN Lớp 4||0.3&lt;|&gt;04/03/2024|:DN Lớp 3||0.3&lt;|&gt;08/03/2024|:DN Lớp 2||0&lt;|&gt;13/03/2024|:DN Lớp 1||0.3&lt;|&gt;24/06/2024|:GT LỚP 7||0.3&lt;|&gt;29/06/2024|:GT LỚP 6||0.31&lt;|&gt;04/07/2024|:GT LỚP 5||0.3&lt;|&gt;09/07/2024|:GT LỚP 4||0.3&lt;|&gt;23/07/2024|:GT LỚP 3||0.3&lt;|&gt;28/07/2024|:GT LỚP 2||0.3&lt;|&gt;02/08/2024|:GT LỚP 1||0.3&lt;|&gt;02/02/2025|:GT GD2 LỚP 9||0.25&lt;|&gt;07/02/2025|:GT GD2 LỚP 8||0.29&lt;|&gt;12/02/2025|:GT GD2 LỚP 7||0.3&lt;|&gt;17/02/2025|:GT GD2 LỚP 6||0.3&lt;|&gt;22/02/2025|:GT GD2 LỚP 5||0.3&lt;|&gt;27/02/2025|:GT GD2 LỚP 4||0.3&lt;|&gt;04/03/2025|:GT GD2 LỚP 3||0.3&lt;|&gt;09/03/2025|:GT GD2 LỚP 2||0.3&lt;|&gt;21/03/2025|:K.Thúc GT||0.3</t>
  </si>
  <si>
    <t>NgayKT|:21/03/2025&lt;|&gt;CDBanTrai|:-1490&lt;|&gt;CDBanTim|:-1596&lt;|&gt;CDBanPhai|:-1309</t>
  </si>
  <si>
    <t>116+240|:02/01/2024|:DN Lớp 9||0.18</t>
  </si>
  <si>
    <t>NgayLD|:21/12/2023&lt;|&gt;CDMoc|:844&lt;|&gt;CDBanTrai|:-530&lt;|&gt;CDBanTim|:-310&lt;|&gt;CDBanPhai|:-680&lt;|&gt;CDNen|:-0.31</t>
  </si>
  <si>
    <t>28/12/2023|:DN Lớp 10||0&lt;|&gt;02/01/2024|:DN Lớp 9||0.3&lt;|&gt;05/01/2024|:DN Lớp 8||0.3&lt;|&gt;09/01/2024|:DN Lớp 7||0.3&lt;|&gt;14/01/2024|:DN Lớp 6||0.3&lt;|&gt;18/01/2024|:DN Lớp 5||0.3&lt;|&gt;22/01/2024|:DN Lớp 4||0.3&lt;|&gt;04/03/2024|:DN Lớp 3||0.3&lt;|&gt;08/03/2024|:DN Lớp 2||0.3&lt;|&gt;13/03/2024|:DN Lớp 1||0.3&lt;|&gt;04/07/2024|:GT LỚP 5||0.27&lt;|&gt;09/07/2024|:GT LỚP 4||0.3&lt;|&gt;23/07/2024|:GT LỚP 3||0.3&lt;|&gt;28/07/2024|:GT LỚP 2||0.3&lt;|&gt;02/08/2024|:GT LỚP 1||0.3&lt;|&gt;17/02/2025|:GT GD2 LỚP 6||0.3&lt;|&gt;22/02/2025|:GT GD2 LỚP 5||0.3&lt;|&gt;27/02/2025|:GT GD2 LỚP 4||0.3&lt;|&gt;04/03/2025|:GT GD2 LỚP 3||0.3&lt;|&gt;09/03/2025|:GT GD2 LỚP 2||0.3&lt;|&gt;19/03/2025|:K.Thúc GT||0.3</t>
  </si>
  <si>
    <t>NgayKT|:19/03/2025&lt;|&gt;CDBanTrai|:-1475&lt;|&gt;CDBanTim|:-1319&lt;|&gt;CDBanPhai|:-1317</t>
  </si>
  <si>
    <t>116+340|:28/12/2023|:DN Lớp 10||0</t>
  </si>
  <si>
    <t>NgayLD|:21/12/2023&lt;|&gt;CDMoc|:844&lt;|&gt;CDBanTrai|:-650&lt;|&gt;CDBanTim|:-140&lt;|&gt;CDBanPhai|:-120&lt;|&gt;CDNen|:-0.14</t>
  </si>
  <si>
    <t>02/01/2024|:DN Lớp 9||0&lt;|&gt;05/01/2024|:DN Lớp 8||0.3&lt;|&gt;09/01/2024|:DN Lớp 7||0.3&lt;|&gt;14/01/2024|:DN Lớp 6||0&lt;|&gt;18/01/2024|:DN Lớp 5||0.3&lt;|&gt;22/01/2024|:DN Lớp 4||0.3&lt;|&gt;04/03/2024|:DN Lớp 3||0.2&lt;|&gt;08/03/2024|:DN Lớp 2||0.3&lt;|&gt;13/03/2024|:DN Lớp 1||0.3&lt;|&gt;04/07/2024|:GT Lớp 5||0.3&lt;|&gt;09/07/2024|:GT Lớp 4||0.3&lt;|&gt;23/07/2024|:GT Lớp 3||0.3&lt;|&gt;28/07/2024|:GT Lớp 2||0.3&lt;|&gt;02/08/2024|:GT Lớp 1||0.3&lt;|&gt;05/03/2025|:GT GD2 LỚP 3||0.3&lt;|&gt;10/03/2025|:GT GD2 LỚP 2||0.3&lt;|&gt;16/03/2025|:K.Thúc GT||0.3</t>
  </si>
  <si>
    <t>NgayKT|:16/03/2025&lt;|&gt;CDBanTrai|:-952&lt;|&gt;CDBanTim|:-1046&lt;|&gt;CDBanPhai|:-935</t>
  </si>
  <si>
    <t>116+440|:02/01/2024|:DN Lớp 9||0</t>
  </si>
  <si>
    <t>NgayLD|:15/12/2023&lt;|&gt;CDMoc|:844&lt;|&gt;CDBanTrai|:0&lt;|&gt;CDBanTim|:0&lt;|&gt;CDBanPhai|:-10&lt;|&gt;CDNen|:0</t>
  </si>
  <si>
    <t>08/01/2024|:DN Lớp 6||0.1&lt;|&gt;12/01/2024|:DN Lớp 5||0.3&lt;|&gt;16/01/2024|:DN Lớp 4||0.3&lt;|&gt;20/01/2024|:DN Lớp 3||0.3&lt;|&gt;09/03/2024|:DN Lớp 2||0.3&lt;|&gt;13/03/2024|:DN Lớp 1||0.3&lt;|&gt;05/07/2024|:GT LỚP 5||0.21&lt;|&gt;10/07/2024|:GT LỚP 4||0.3&lt;|&gt;25/07/2024|:GT LỚP 3||0.3&lt;|&gt;30/07/2024|:GT LỚP 2||0.3&lt;|&gt;04/08/2024|:GT LỚP 1||0.3&lt;|&gt;10/03/2025|:GT GD2 LỚP 2||0.3&lt;|&gt;16/03/2025|:K.Thúc GT||0.2</t>
  </si>
  <si>
    <t>NgayKT|:16/03/2025&lt;|&gt;CDBanTrai|:-441&lt;|&gt;CDBanTim|:-675&lt;|&gt;CDBanPhai|:-365</t>
  </si>
  <si>
    <t>116+540|:08/01/2024|:DN Lớp 6||0.1</t>
  </si>
  <si>
    <t>NgayLD|:15/12/2023&lt;|&gt;CDMoc|:1769&lt;|&gt;CDBanTrai|:0&lt;|&gt;CDBanTim|:0&lt;|&gt;CDBanPhai|:0&lt;|&gt;CDNen|:0</t>
  </si>
  <si>
    <t>30/12/2023|:DN Lớp 8||0&lt;|&gt;03/01/2024|:DN Lớp 7||0&lt;|&gt;08/01/2024|:DN Lớp 6||0.1&lt;|&gt;12/01/2024|:DN Lớp 5||0.3&lt;|&gt;16/01/2024|:DN Lớp 4||0.3&lt;|&gt;20/01/2024|:DN Lớp 3||0.3&lt;|&gt;09/03/2024|:DN Lớp 2||0.3&lt;|&gt;13/03/2024|:DN Lớp 1||0.3&lt;|&gt;25/06/2024|:GT LỚP 7||0.16&lt;|&gt;30/06/2024|:GT LỚP 6||0.3&lt;|&gt;05/07/2024|:GT LỚP 5||0.3&lt;|&gt;10/07/2024|:GT LỚP 4||0.3&lt;|&gt;25/07/2024|:GT LỚP 3||0.3&lt;|&gt;30/07/2024|:GT LỚP 2||0.3&lt;|&gt;04/08/2024|:GT LỚP 1||0.3&lt;|&gt;10/03/2025|:GT GD2 LỚP 2||0.3&lt;|&gt;16/03/2025|:K.Thúc GT||0.3</t>
  </si>
  <si>
    <t>NgayKT|:16/03/2025&lt;|&gt;CDBanTrai|:-748&lt;|&gt;CDBanTim|:-801&lt;|&gt;CDBanPhai|:-536</t>
  </si>
  <si>
    <t>116+640|:30/12/2023|:DN Lớp 8||0</t>
  </si>
  <si>
    <t>NgayLD|:15/12/2023&lt;|&gt;CDMoc|:884&lt;|&gt;CDBanTrai|:-720&lt;|&gt;CDBanTim|:-390&lt;|&gt;CDBanPhai|:0&lt;|&gt;CDNen|:-0.39</t>
  </si>
  <si>
    <t>26/12/2023|:DN Lớp 9||0.3&lt;|&gt;30/12/2023|:DN Lớp 8||0.3&lt;|&gt;03/01/2024|:DN Lớp 7||0.3&lt;|&gt;08/01/2024|:DN Lớp 6||0.3&lt;|&gt;12/01/2024|:DN Lớp 5||0.3&lt;|&gt;16/01/2024|:DN Lớp 4||0.2&lt;|&gt;20/01/2024|:DN Lớp 3||0.2&lt;|&gt;09/03/2024|:DN Lớp 2||0.3&lt;|&gt;13/03/2024|:DN Lớp 1||0.3&lt;|&gt;10/07/2024|:GT LỚP 4||0.2&lt;|&gt;25/07/2024|:GT LỚP 3||0.2&lt;|&gt;30/07/2024|:GT LỚP 2||0.2&lt;|&gt;04/08/2024|:KTGT GĐ1||0.2&lt;|&gt;18/02/2025|:GT GD2 LỚP 6||0.2&lt;|&gt;23/02/2025|:GT GD2 LỚP 5||0.3&lt;|&gt;28/02/2025|:GT GD2 LỚP 4||0.3&lt;|&gt;05/03/2025|:GT GD2 LỚP 3||0.3&lt;|&gt;10/03/2025|:GT GD2 LỚP 2||0.3&lt;|&gt;13/03/2025|:K.Thúc GT||0.3</t>
  </si>
  <si>
    <t>NgayKT|:13/03/2025&lt;|&gt;CDBanTrai|:-1342&lt;|&gt;CDBanTim|:-1377&lt;|&gt;CDBanPhai|:-608</t>
  </si>
  <si>
    <t>116+700|:26/12/2023|:DN Lớp 9||0.3</t>
  </si>
  <si>
    <t>NgayLD|:15/12/2023&lt;|&gt;CDMoc|:884&lt;|&gt;CDBanTrai|:-310&lt;|&gt;CDBanTim|:-460&lt;|&gt;CDBanPhai|:0&lt;|&gt;CDNen|:-0.46</t>
  </si>
  <si>
    <t>26/12/2023|:DN Lớp 9||0.3&lt;|&gt;30/12/2023|:DN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1||0.3&lt;|&gt;25/06/2024|:GT LỚP 7||0.2&lt;|&gt;30/06/2024|:GT LỚP 6||0.3&lt;|&gt;05/07/2024|:GT LỚP 5||0.3&lt;|&gt;10/07/2024|:GT LỚP 4||0.3&lt;|&gt;25/07/2024|:GT LỚP 3||0.3&lt;|&gt;30/07/2024|:GT LỚP 2||0.3&lt;|&gt;04/08/2024|:KTGT GĐ1||0.3&lt;|&gt;13/02/2025|:GT GD2 LỚP 7||0.2&lt;|&gt;18/02/2025|:GT GD2 LỚP 6||0.2&lt;|&gt;23/02/2025|:GT GD2 LỚP 5||0.2&lt;|&gt;28/02/2025|:GT GD2 LỚP 4||0.24&lt;|&gt;03/03/2025|:GT GD2 LỚP 3||0.2&lt;|&gt;07/03/2025|:GT GD2 LỚP 2||0.3&lt;|&gt;10/03/2025|:K.Thúc GT||0.3</t>
  </si>
  <si>
    <t>NgayKT|:10/03/2025&lt;|&gt;CDBanTrai|:-824&lt;|&gt;CDBanTim|:-1415&lt;|&gt;CDBanPhai|:-608</t>
  </si>
  <si>
    <t>116+780|:26/12/2023|:DN Lớp 9||0.3</t>
  </si>
  <si>
    <t>NgayLD|:15/12/2023&lt;|&gt;CDMoc|:884&lt;|&gt;CDBanTrai|:-100&lt;|&gt;CDBanTim|:-80&lt;|&gt;CDBanPhai|:-90&lt;|&gt;CDNen|:-0.08</t>
  </si>
  <si>
    <t>22/12/2023|:DN Lớp 10||0&lt;|&gt;26/12/2023|:DN Lớp 9||0&lt;|&gt;30/12/2023|:DN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1||0.3&lt;|&gt;05/07/2024|:GT LỚP 5||0.3&lt;|&gt;10/07/2024|:GT LỚP 4||0.3&lt;|&gt;25/07/2024|:GT LỚP 3||0.3&lt;|&gt;30/07/2024|:GT LỚP 2||0.3&lt;|&gt;04/08/2024|:KTGT GĐ1||0.3&lt;|&gt;24/01/2025|:GT GD2 LỚP 11||0.3&lt;|&gt;29/01/2025|:GT GD2 LỚP 10||0.3&lt;|&gt;03/02/2025|:GT GD2 LỚP 9||0.3&lt;|&gt;08/02/2025|:GT GD2 LỚP 8||0.3&lt;|&gt;13/02/2025|:GT GD2 LỚP 7||0.3&lt;|&gt;18/02/2025|:GT GD2 LỚP 6||0.3&lt;|&gt;23/02/2025|:GT GD2 LỚP 5||0.4&lt;|&gt;28/02/2025|:GT GD2 LỚP 4||0.3&lt;|&gt;03/03/2025|:GT GD2 LỚP 3||0&lt;|&gt;07/03/2025|:GT GD2 LỚP 2||0.3&lt;|&gt;10/03/2025|:K.Thúc GT||0.3</t>
  </si>
  <si>
    <t>116+836,35|:22/12/2023|:DN Lớp 10||0</t>
  </si>
  <si>
    <t>Gói Thầu XL03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</si>
  <si>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HÀ&lt;|&gt;TTKhac|:LIÊN DANH CC1 - HẢI ĐĂNG - VẠN CƯỜNG - 492 - BẮC TRUNG NAM</t>
  </si>
  <si>
    <t>27/04/2023|:2000&lt;|&gt;07/04/2024|:3000&lt;|&gt;01/10/2024|:4000&lt;|&gt;12/04/2025|:5000&lt;|&gt;27/04/2025|:6000</t>
  </si>
  <si>
    <t>27/04/2023|:2000&lt;|&gt;07/04/2024|:3000&lt;|&gt;26/09/2024|:4000&lt;|&gt;10/10/2024|:5000&lt;|&gt;22/04/2025|:6000&lt;|&gt;07/05/2025|:7000</t>
  </si>
  <si>
    <t>19/12/2023|:2000&lt;|&gt;19/01/2024|:3000&lt;|&gt;09/04/2024|:4000&lt;|&gt;26/09/2024|:5000&lt;|&gt;15/10/2024|:6000&lt;|&gt;12/04/2025|:7000&lt;|&gt;27/04/2025|:8000</t>
  </si>
  <si>
    <t>10/12/2023|:2000&lt;|&gt;08/01/2024|:3000&lt;|&gt;18/04/2024|:4000&lt;|&gt;07/12/2024|:5000&lt;|&gt;21/12/2024|:6000&lt;|&gt;23/03/2025|:7000&lt;|&gt;12/04/2025|:8000</t>
  </si>
  <si>
    <t>10/12/2023|:2000&lt;|&gt;20/01/2024|:3000&lt;|&gt;02/12/2024|:4000&lt;|&gt;21/12/2024|:5000&lt;|&gt;07/04/2025|:6000&lt;|&gt;22/04/2025|:7000</t>
  </si>
  <si>
    <t>10/12/2023|:2000&lt;|&gt;14/04/2024|:3000&lt;|&gt;16/12/2024|:4000&lt;|&gt;15/04/2025|:5000</t>
  </si>
  <si>
    <t>10/12/2023|:2000&lt;|&gt;14/04/2024|:3000&lt;|&gt;21/12/2024|:4000&lt;|&gt;12/04/2025|:5000</t>
  </si>
  <si>
    <t>10/12/2023|:2000&lt;|&gt;14/04/2024|:3000&lt;|&gt;26/12/2024|:4000&lt;|&gt;08/04/2025|:5000</t>
  </si>
  <si>
    <t>10/12/2023|:2000&lt;|&gt;20/01/2024|:3000&lt;|&gt;16/12/2024|:4000&lt;|&gt;05/04/2025|:5000&lt;|&gt;14/04/2025|:6000</t>
  </si>
  <si>
    <t>21/11/2023|:2000&lt;|&gt;20/04/2024|:3000&lt;|&gt;03/05/2024|:4000&lt;|&gt;26/12/2024|:5000&lt;|&gt;25/03/2025|:6000&lt;|&gt;06/04/2025|:7000</t>
  </si>
  <si>
    <t>21/11/2023|:2000&lt;|&gt;24/12/2023|:3000&lt;|&gt;03/05/2024|:4000&lt;|&gt;09/12/2024|:5000&lt;|&gt;26/12/2024|:6000&lt;|&gt;19/03/2025|:7000&lt;|&gt;28/03/2025|:8000</t>
  </si>
  <si>
    <t>26/05/2023|:2000&lt;|&gt;18/03/2024|:3000&lt;|&gt;02/04/2024|:4000&lt;|&gt;05/08/2024|:5000&lt;|&gt;27/02/2025|:6000&lt;|&gt;19/03/2025|:7000&lt;|&gt;05/04/2025|:8000</t>
  </si>
  <si>
    <t>14/06/2023|:2000&lt;|&gt;23/07/2024|:3000&lt;|&gt;18/10/2024|:4000&lt;|&gt;31/03/2025|:5000</t>
  </si>
  <si>
    <t>14/06/2023|:2000&lt;|&gt;26/03/2024|:3000&lt;|&gt;18/07/2024|:4000&lt;|&gt;08/10/2024|:5000&lt;|&gt;09/03/2025|:6000&lt;|&gt;31/03/2025|:7000</t>
  </si>
  <si>
    <t>14/06/2023|:2000&lt;|&gt;17/03/2024|:3000&lt;|&gt;04/04/2024|:4000&lt;|&gt;28/07/2024|:5000&lt;|&gt;18/10/2024|:6000&lt;|&gt;27/02/2025|:7000&lt;|&gt;19/03/2025|:8000</t>
  </si>
  <si>
    <t>21/12/2023|:2000&lt;|&gt;22/01/2024|:3000&lt;|&gt;24/06/2024|:4000&lt;|&gt;23/07/2024|:5000&lt;|&gt;02/02/2025|:6000&lt;|&gt;17/02/2025|:7000&lt;|&gt;09/03/2025|:8000</t>
  </si>
  <si>
    <t>21/12/2023|:2000&lt;|&gt;18/01/2024|:3000&lt;|&gt;13/03/2024|:4000&lt;|&gt;23/07/2024|:5000&lt;|&gt;22/02/2025|:6000&lt;|&gt;09/03/2025|:7000</t>
  </si>
  <si>
    <t>21/12/2023|:2000&lt;|&gt;08/03/2024|:3000&lt;|&gt;09/07/2024|:4000&lt;|&gt;02/08/2024|:5000</t>
  </si>
  <si>
    <t>15/12/2023|:2000&lt;|&gt;13/03/2024|:3000&lt;|&gt;30/07/2024|:4000&lt;|&gt;16/03/2025|:5000</t>
  </si>
  <si>
    <t>15/12/2023|:2000&lt;|&gt;13/03/2024|:3000&lt;|&gt;10/07/2024|:4000&lt;|&gt;04/08/2024|:5000</t>
  </si>
  <si>
    <t>15/12/2023|:2000&lt;|&gt;12/01/2024|:3000&lt;|&gt;13/03/2024|:4000&lt;|&gt;18/02/2025|:5000&lt;|&gt;10/03/2025|:6000</t>
  </si>
  <si>
    <t>15/12/2023|:2000&lt;|&gt;12/01/2024|:3000&lt;|&gt;13/03/2024|:4000&lt;|&gt;05/07/2024|:5000&lt;|&gt;04/08/2024|:6000&lt;|&gt;28/02/2025|:7000</t>
  </si>
  <si>
    <t>15/12/2023|:2000&lt;|&gt;16/01/2024|:3000&lt;|&gt;05/07/2024|:4000&lt;|&gt;30/07/2024|:5000&lt;|&gt;29/01/2025|:6000&lt;|&gt;18/02/2025|:7000&lt;|&gt;07/03/2025|:8000</t>
  </si>
  <si>
    <t>HD01</t>
  </si>
  <si>
    <t>LIÊN DANH CC1 - HẢI ĐĂNG - VẠN CƯỜNG - 492 - BẮC TRUNG NAM</t>
  </si>
  <si>
    <t>Cà Mau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</si>
  <si>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BVTC)&lt;|&gt;TTKhac|:LIÊN DANH CC1 - HẢI ĐĂNG - VẠN CƯỜNG - 492 - BẮC TRUNG NAM&lt;|&gt;CDT|:BAN QUẢN LÝ DỰ ÁN MỸ THUẬN&lt;|&gt;TVGS|:LIÊN DANH PHÂN VIỆN KHCN GTVT PHÍA NAM - CÔNG TY CỔ PHẦN TƯ VẤN KỸ THUẬT VÀ XÂY DỰNG HỒNG HÀ&lt;|&gt;NhaThau|:LIÊN DANH CC1 - HẢI ĐĂNG - VẠN CƯỜNG - 492 - BẮC TRUNG NAM</t>
  </si>
  <si>
    <t>Km114+220</t>
  </si>
  <si>
    <t>Km114+220&lt;|&gt;HD01&lt;|&gt;L03</t>
  </si>
  <si>
    <t>17/05/2025||21/05/2025||24/05/2025||28/05/2025||31/05/2025||04/06/2025||07/06/2025||11/06/2025||18/06/2025||25/06/2025||02/07/2025||09/07/2025||16/07/2025||23/07/2025</t>
  </si>
  <si>
    <t>14/05/2025||18/05/2025||21/05/2025||25/05/2025||28/05/2025||01/06/2025||04/06/2025||08/06/2025||15/06/2025||22/06/2025||29/06/2025||06/07/2025||13/07/2025||20/07/2025||27/07/2025</t>
  </si>
  <si>
    <t>09/05/2025||13/05/2025||16/05/2025||20/05/2025||23/05/2025||27/05/2025||30/05/2025||03/06/2025||10/06/2025||17/06/2025||24/06/2025||01/07/2025||08/07/2025||15/07/2025||22/07/2025</t>
  </si>
  <si>
    <t>02/05/2025||06/05/2025||09/05/2025||13/05/2025||16/05/2025||20/05/2025||23/05/2025||27/05/2025||03/06/2025||10/06/2025||17/06/2025||24/06/2025||01/07/2025||08/07/2025||15/07/2025||22/07/2025||29/07/2025</t>
  </si>
  <si>
    <t>29/04/2025||03/05/2025||06/05/2025||10/05/2025||13/05/2025||17/05/2025||20/05/2025||24/05/2025||31/05/2025||07/06/2025||14/06/2025||21/06/2025||28/06/2025||05/07/2025||12/07/2025||19/07/2025||26/07/2025</t>
  </si>
  <si>
    <t>24/04/2025||28/04/2025||01/05/2025||05/05/2025||08/05/2025||12/05/2025||15/05/2025||19/05/2025||26/05/2025||02/06/2025||09/06/2025||16/06/2025||23/06/2025||30/06/2025||07/07/2025||14/07/2025||21/07/2025||28/07/2025</t>
  </si>
  <si>
    <t>21/04/2025||25/04/2025||28/04/2025||02/05/2025||05/05/2025||09/05/2025||12/05/2025||16/05/2025||23/05/2025||30/05/2025||06/06/2025||13/06/2025||20/06/2025||27/06/2025||04/07/2025||11/07/2025||18/07/2025||25/07/2025</t>
  </si>
  <si>
    <t>17/04/2025||21/04/2025||24/04/2025||28/04/2025||01/05/2025||05/05/2025||08/05/2025||12/05/2025||19/05/2025||26/05/2025||02/06/2025||09/06/2025||16/06/2025||23/06/2025||30/06/2025||07/07/2025||14/07/2025||21/07/2025||28/07/2025</t>
  </si>
  <si>
    <t>13/04/2025||17/04/2025||20/04/2025||24/04/2025||27/04/2025||01/05/2025||04/05/2025||08/05/2025||15/05/2025||22/05/2025||29/05/2025||05/06/2025||12/06/2025||19/06/2025||26/06/2025||03/07/2025||10/07/2025||17/07/2025||24/07/2025||31/07/2025</t>
  </si>
  <si>
    <t>08/04/2025||12/04/2025||15/04/2025||19/04/2025||22/04/2025||26/04/2025||29/04/2025||03/05/2025||10/05/2025||17/05/2025||24/05/2025||31/05/2025||07/06/2025||14/06/2025||21/06/2025||28/06/2025||05/07/2025||12/07/2025||19/07/2025||26/07/2025</t>
  </si>
  <si>
    <t>03/04/2025||07/04/2025||10/04/2025||14/04/2025||17/04/2025||21/04/2025||24/04/2025||28/04/2025||05/05/2025||12/05/2025||19/05/2025||26/05/2025||02/06/2025||09/06/2025||16/06/2025||23/06/2025||30/06/2025||07/07/2025||14/07/2025||21/07/2025</t>
  </si>
  <si>
    <t>30/03/2025||03/04/2025||06/04/2025||10/04/2025||13/04/2025||17/04/2025||20/04/2025||24/04/2025||01/05/2025||08/05/2025||15/05/2025||22/05/2025||29/05/2025||05/06/2025||12/06/2025||19/06/2025||26/06/2025||03/07/2025||10/07/2025||17/07/2025||24/07/2025</t>
  </si>
  <si>
    <t>24/03/2025||28/03/2025||31/03/2025||04/04/2025||07/04/2025||11/04/2025||14/04/2025||18/04/2025||25/04/2025||02/05/2025||09/05/2025||16/05/2025||23/05/2025||30/05/2025||06/06/2025||13/06/2025||20/06/2025||27/06/2025||04/07/2025||11/07/2025||18/07/2025||25/07/2025</t>
  </si>
  <si>
    <t>22/03/2025||26/03/2025||29/03/2025||02/04/2025||05/04/2025||09/04/2025||12/04/2025||16/04/2025||23/04/2025||30/04/2025||07/05/2025||14/05/2025||21/05/2025||28/05/2025||04/06/2025||11/06/2025||18/06/2025||25/06/2025||02/07/2025||09/07/2025||16/07/2025||23/07/2025</t>
  </si>
  <si>
    <t>19/03/2025||23/03/2025||26/03/2025||30/03/2025||02/04/2025||06/04/2025||09/04/2025||13/04/2025||20/04/2025||27/04/2025||04/05/2025||11/05/2025||18/05/2025||25/05/2025||01/06/2025||08/06/2025||15/06/2025||22/06/2025||29/06/2025||06/07/2025||13/07/2025||20/07/2025||27/07/2025</t>
  </si>
  <si>
    <t>16/03/2025||20/03/2025||23/03/2025||27/03/2025||30/03/2025||03/04/2025||06/04/2025||10/04/2025||17/04/2025||24/04/2025||01/05/2025||08/05/2025||15/05/2025||22/05/2025||29/05/2025||05/06/2025||12/06/2025||19/06/2025||26/06/2025||03/07/2025||10/07/2025||17/07/2025||24/07/2025</t>
  </si>
  <si>
    <t>13/03/2025||17/03/2025||20/03/2025||24/03/2025||27/03/2025||31/03/2025||03/04/2025||07/04/2025||14/04/2025||21/04/2025||28/04/2025||05/05/2025||12/05/2025||19/05/2025||26/05/2025||02/06/2025||09/06/2025||16/06/2025||23/06/2025||30/06/2025||07/07/2025||14/07/2025||21/07/2025||28/07/2025</t>
  </si>
  <si>
    <t>Trai|:19||24||12||20||12||18||10||19||27||20||18||14||12||10&lt;|&gt;Tim|:20||28||18||24||22||26||20||24||21.9999999999998||20||22||18||16||20&lt;|&gt;Phai|:17||20||16||20||15||20||12||19||23||20||15||12||10||8</t>
  </si>
  <si>
    <t>Trai|:28||33||20||27||18||26||9||16||30||20||16||14||14||14||12&lt;|&gt;Tim|:20||25||19||22||16||20||12||19||23||20||19||19||17||14||35&lt;|&gt;Phai|:22||24||20||24||16||24||16||22||26||22||20||15||13||12||10</t>
  </si>
  <si>
    <t>Trai|:12||24||10||22||10||18||9||15||24||20||19||18||18||12||12&lt;|&gt;Tim|:20||25||19||22||16||20||12||19||28||20||16||17||16||25||22&lt;|&gt;Phai|:20||30||16||25||10||19||6||16||25||24||22||20||18||16||14</t>
  </si>
  <si>
    <t>Trai|:28||29||32||34||30||32||26||29||30||25||25||24||20||20||16||20||38&lt;|&gt;Tim|:35||40||33||39||40||45||42||32||39||35||25||18||18||16||14||12||40&lt;|&gt;Phai|:40||38||40||44||59||62||60||58||45||42||40||30||28||20||19||18||16</t>
  </si>
  <si>
    <t>Trai|:20||25||19||22||16||20||12||19||30||25||25||20||22||20||18||16||14&lt;|&gt;Tim|:36||44||34||40||32||44||28||29||45||40||38||34||28||27||24||10||10&lt;|&gt;Phai|:20||25||19||22||16||20||12||19||30||30||29||20||22||20||18||12||9</t>
  </si>
  <si>
    <t>Trai|:22||25||22||30||16||26||12||22||25||20||15||13||12||10||10||10||9||9&lt;|&gt;Tim|:20||25||15||24||12||25||10||21.9999999999999||20.0000000000001||18||16||16||15||15||13||12||10||10&lt;|&gt;Phai|:17||26||18||22||15||20||10||19||24||20||20||16||16||14||12||10||10||9</t>
  </si>
  <si>
    <t>Trai|:12||16||11||15||11||15||10||16||20||14||12||10||9||9||8||8||9||9&lt;|&gt;Tim|:17||20||19||22||16||20||10||15||20||15||12||10||12||12||11||12||9||10&lt;|&gt;Phai|:14||19||12||16||10||16||10||14||12||12||10||8||8||8||8||8||6||6</t>
  </si>
  <si>
    <t>Trai|:12||16||10||15||10||15||11||15||19||15||13||12||10||9||9||9||8||8||6&lt;|&gt;Tim|:12||18||12||17||10||15||10||11||17||14||12||14||10||10||10||9||9||8||10&lt;|&gt;Phai|:10||12||8||12||10||12||7||10||15||12||12||12||10||9||9||9||8||8||6</t>
  </si>
  <si>
    <t>Trai|:20||25||12||20||9||16||7||12||20||16||15||16||14||14||12||10||9||8||6&lt;|&gt;Tim|:20||25||20||22||16||23||12||20||18||18||16||16||12||14||13||13||11||10||10&lt;|&gt;Phai|:24||33||22||17||6||15||6||10||18||12||10||10||8||8||8||6||6||6||6</t>
  </si>
  <si>
    <t>Trai|:27||30||24||26||22||26||18||20||25||22||20||18||16||16||14||14||12||12||14||13&lt;|&gt;Tim|:30||36||26||30||20||28||16||25||35||28||24||22||22||21||20||14||10||10||9||8&lt;|&gt;Phai|:24||33||20||30||18||26||19||25||24||20||17||17||16||15||14||13||12||12||12||10</t>
  </si>
  <si>
    <t>Trai|:30||40||28||40||22||35||20||30||35||30||25||22||22||20||21||19||19||18||18||16&lt;|&gt;Tim|:35||40||33||40||32||37||30||39||40||40||39||28||22||21||21||20||18||18||17||15&lt;|&gt;Phai|:25||33||24||30||22||29||20||22||35||30||25||23||18||16||14||12||10||10||10||8</t>
  </si>
  <si>
    <t>Trai|:24||35||22||33||22||31||16||22||25||24||22||20||16||15||12||13||11||10||8||8&lt;|&gt;Tim|:26||30||20||20||27||30||25||33||35||30||24||22||15||12||14||10||18||10||9||6&lt;|&gt;Phai|:26||34||25||32||13||18||18||18||22||20||18||14||14||13||13||12||10||7||7||5</t>
  </si>
  <si>
    <t>Trai|:22||34||20||28||16||24||15||26||25||18||16||16||14||14||12||12||10||10||8||7&lt;|&gt;Tim|:14||18||18||20||12||19||10||22||25||20||18||18||16||14||12||12||12||10||8||8&lt;|&gt;Phai|:26||37||22||30||18||22||12||20||24||22||20||22||18||18||16||12||12||10||8||8</t>
  </si>
  <si>
    <t>Trai|:30||40||26||36||22||30||18||20||30||20||19||18||16||14||12||12||11||10||9||9&lt;|&gt;Tim|:25||29||25||28||20||24||14||20||32||31||34||32||29||24||20||18||16||12||12||12&lt;|&gt;Phai|:25||30||23||29||20||27||15||24||29||24||20||18||16||14||14||12||12||10||10||9</t>
  </si>
  <si>
    <t>Trai|:30||40||30||39||22||30||20||12||25||24||18||15||13||13||12||12||10||9||9||9||9&lt;|&gt;Tim|:25||30||29||25||20||15||8||12||30||29||27||28||22||22||20||21||16||15||14||15||17&lt;|&gt;Phai|:16||22||14||20||12||17||10||14||25||18||16||15||14||13||12||12||11||10||9||9||9</t>
  </si>
  <si>
    <t>Trai|:20||27||16||25||15||24||13||22||27||20||18||14||12||12||12||14||12||12||11||10||10||9&lt;|&gt;Tim|:30||40||28||39||29||36||28||35||40||38||36||33||34||30||28||27||24||25||24||26||24||23&lt;|&gt;Phai|:25||35||22||30||20||28||16||25||35||35||30||22||18||14||12||12||11||12||11||11||10||9</t>
  </si>
  <si>
    <t>Trai|:22||27||12||25||14||22||10||19||27||20||18||14||14||14||12||13||12||11||10||10||9||9&lt;|&gt;Tim|:30||45||30||44||28||40||27||38||44||40||40||34||32||26||26||22||18||18||14||14||12||13&lt;|&gt;Phai|:27||30||15||26||12||20||10||20||25||22||20||18||16||16||12||10||10||10||9||9||7||8</t>
  </si>
  <si>
    <t>Trai|:20||29||18||26||10||20||8||16||22||17||14||10||10||10||9||9||8||8||6||6||6||6||4&lt;|&gt;Tim|:27||34||25||33||22||30||20||29||30||28||26||25||22||18||14||12||12||10||9||9||9||8||4&lt;|&gt;Phai|:25||35||22||30||20||28||16||25||35||35||30||26||20||18||16||16||12||10||8||8||8||6||6</t>
  </si>
  <si>
    <t>Trai|:26||34||20||30||18||30||16||26||36||20||16||14||12||11||11||10||10||10||10||9||9||9||8&lt;|&gt;Tim|:30||35||24||33||22||25||13||22||25||22||20||18||10||8||8||8||8||6||6||6||4||4||4&lt;|&gt;Phai|:22||25||10||22||10||20||9||19||25||20||18||14||12||12||10||11||10||9||9||9||8||8||8</t>
  </si>
  <si>
    <t>Trai|:26||34||20||30||18||30||16||26||36||20||16||14||12||10||8||6||4||4||4||2||2||2||2&lt;|&gt;Tim|:28||30||25||28||25||26||22||25||27||22||18||12||12||8||8||6||6||5||5||3||2||2||1&lt;|&gt;Phai|:30||40||28||38||28||36||24||30||35||20||17||15||16||14||10||8||8||6||6||6||4||4||4</t>
  </si>
  <si>
    <t>Trai|:22||27||12||25||14||22||10||19||27||20||18||14||10||8||8||8||6||6||6||5||4||4||3&lt;|&gt;Tim|:30||35||27||30||22||26||20||26||30||25||20||18||13||11||9||9||8||6||6||6||6||4||4&lt;|&gt;Phai|:30||40||30||40||22||30||20||29||30||25||22||20||18||18||16||10||9||9||8||8||6||6||4</t>
  </si>
  <si>
    <t>Trai|:30||35||20||33||16||27||13||22||25||20||18||18||16||16||16||15||15||14||14||12||10||10||9||9&lt;|&gt;Tim|:28||30||24||28||24||27||22||26||30||26||26||25||22||20||18||19||17||15||12||10||9||9||8||6&lt;|&gt;Phai|:20||30||18||28||15||20||10||19||28||22||20||18||18||16||16||12||12||12||10||10||9||9||9||10</t>
  </si>
  <si>
    <t>Trai|:25||35||22||30||20||28||16||25||35||35||30||22||18||14||12||12||11||10||9||8||9||8||8||7&lt;|&gt;Tim|:24||30||24||40||25||30||20||35||40||30||25||20||18||16||14||11||12||12||10||10||10||11||9||9&lt;|&gt;Phai|:28||33||20||27||18||26||9||16||30||20||16||14||12||10||10||10||10||9||9||9||8||8||7||7</t>
  </si>
  <si>
    <t>NgayLD|:20/01/2024&lt;|&gt;CDMoc|:884&lt;|&gt;CDBanTrai|:-600&lt;|&gt;CDBanTim|:-710&lt;|&gt;CDBanPhai|:-920&lt;|&gt;CDNen|:-0.71</t>
  </si>
  <si>
    <t>22/01/2024|:DN Lớp 10||0&lt;|&gt;25/01/2024|:DN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</si>
  <si>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20/01/2024|:2000&lt;|&gt;22/06/2024|:3000</t>
  </si>
  <si>
    <t>117+004,66|:22/01/2024|:DN Lớp 10||0</t>
  </si>
  <si>
    <t>NgayLD|:20/01/2024&lt;|&gt;CDMoc|:884&lt;|&gt;CDBanTrai|:-100&lt;|&gt;CDBanTim|:-630&lt;|&gt;CDBanPhai|:-720&lt;|&gt;CDNen|:-0.63</t>
  </si>
  <si>
    <t>20/01/2024|:2000</t>
  </si>
  <si>
    <t>117+100|:25/01/2024|:DN Lớp 9||0.3</t>
  </si>
  <si>
    <t>NgayLD|:20/01/2024&lt;|&gt;CDMoc|:1769&lt;|&gt;CDBanTrai|:-700&lt;|&gt;CDBanTim|:-700&lt;|&gt;CDBanPhai|:-700&lt;|&gt;CDNen|:-0.7</t>
  </si>
  <si>
    <t>117+200|:29/01/2024|:DN Lớp 8||0.2</t>
  </si>
  <si>
    <t>NgayLD|:20/01/2024&lt;|&gt;CDMoc|:884&lt;|&gt;CDBanTrai|:-110&lt;|&gt;CDBanTim|:-100&lt;|&gt;CDBanPhai|:-90&lt;|&gt;CDNen|:-0.1</t>
  </si>
  <si>
    <t>07/02/2024|:DN Lớp 6||0.1&lt;|&gt;11/02/2024|:DN Lớp 5||0.3&lt;|&gt;15/02/2024|:DN Lớp 4||0.3&lt;|&gt;19/02/2024|:DN Lớp 3||0.3&lt;|&gt;18/06/2024|:DN Lớp 2||0.3&lt;|&gt;22/06/2024|:DN Lớp 1||0.3</t>
  </si>
  <si>
    <t>117+300|:07/02/2024|:DN Lớp 6||0.1</t>
  </si>
  <si>
    <t>NgayLD|:20/01/2024&lt;|&gt;CDMoc|:884&lt;|&gt;CDBanTrai|:-280&lt;|&gt;CDBanTim|:-730&lt;|&gt;CDBanPhai|:-600&lt;|&gt;CDNen|:-0.73</t>
  </si>
  <si>
    <t>29/01/2024|:DN Lớp 8||0&lt;|&gt;03/02/2024|:DN Lớp 7||0.3&lt;|&gt;07/02/2024|:DN Lớp 6||0.3&lt;|&gt;11/02/2024|:DN Lớp 5||0.3&lt;|&gt;15/02/2024|:DN Lớp 4||0.3&lt;|&gt;19/02/2024|:DN Lớp 3||0.3&lt;|&gt;18/06/2024|:DN Lớp 2||0.3&lt;|&gt;22/06/2024|:DN Lớp 1||0.3</t>
  </si>
  <si>
    <t>117+400|:29/01/2024|:DN Lớp 8||0</t>
  </si>
  <si>
    <t>NgayLD|:30/01/2024&lt;|&gt;CDMoc|:884&lt;|&gt;CDBanTrai|:-400&lt;|&gt;CDBanTim|:-190&lt;|&gt;CDBanPhai|:-200&lt;|&gt;CDNen|:-0.19</t>
  </si>
  <si>
    <t>07/02/2024|:DN Lớp 8||0&lt;|&gt;13/02/2024|:DN Lớp 7||0&lt;|&gt;17/02/2024|:DN Lớp 6||0.3&lt;|&gt;21/02/2024|:DN Lớp 5||0.3&lt;|&gt;25/02/2024|:DN Lớp 4||0.3&lt;|&gt;29/02/2024|:DN Lớp 3||0.3&lt;|&gt;26/06/2024|:DN Lớp 2||0.3&lt;|&gt;30/06/2024|:DN Lớp 1||0.3</t>
  </si>
  <si>
    <t>30/01/2024|:2000</t>
  </si>
  <si>
    <t>117+500|:07/02/2024|:DN Lớp 8||0</t>
  </si>
  <si>
    <t>NgayLD|:30/01/2024&lt;|&gt;CDMoc|:884&lt;|&gt;CDBanTrai|:-320&lt;|&gt;CDBanTim|:-340&lt;|&gt;CDBanPhai|:-380&lt;|&gt;CDNen|:-0.34</t>
  </si>
  <si>
    <t>13/02/2024|:DN Lớp 7||0&lt;|&gt;17/02/2024|:DN Lớp 6||0.3&lt;|&gt;21/02/2024|:DN Lớp 5||0.3&lt;|&gt;25/02/2024|:DN Lớp 4||0.3&lt;|&gt;29/02/2024|:DN Lớp 3||0.3&lt;|&gt;26/06/2024|:DN Lớp 2||0.3&lt;|&gt;30/06/2024|:DN Lớp 1||0.3</t>
  </si>
  <si>
    <t>117+600|:13/02/2024|:DN Lớp 7||0</t>
  </si>
  <si>
    <t>NgayLD|:30/01/2024&lt;|&gt;CDMoc|:884&lt;|&gt;CDBanTrai|:-1200&lt;|&gt;CDBanTim|:-1020&lt;|&gt;CDBanPhai|:-950&lt;|&gt;CDNen|:-1.02</t>
  </si>
  <si>
    <t>04/02/2024|:DN Lớp 9||0&lt;|&gt;07/02/2024|:DN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</si>
  <si>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117+700|:04/02/2024|:DN Lớp 9||0</t>
  </si>
  <si>
    <t>NgayLD|:20/05/2024&lt;|&gt;CDMoc|:884&lt;|&gt;CDBanTrai|:-230&lt;|&gt;CDBanTim|:-220&lt;|&gt;CDBanPhai|:-180&lt;|&gt;CDNen|:-0.22</t>
  </si>
  <si>
    <t>05/06/2024|:DN Lớp 6||0.32&lt;|&gt;09/06/2024|:DN Lớp 5||0.3&lt;|&gt;13/06/2024|:DN Lớp 4||0.3&lt;|&gt;17/06/2024|:DN Lớp 3||0.3&lt;|&gt;20/07/2024|:DN Lớp 2||0.3&lt;|&gt;26/07/2024|:DN Lớp 1||0.3</t>
  </si>
  <si>
    <t>20/05/2024|:2000</t>
  </si>
  <si>
    <t>117+800|:05/06/2024|:DN Lớp 6||0.32</t>
  </si>
  <si>
    <t>NgayLD|:20/05/2024&lt;|&gt;CDMoc|:884&lt;|&gt;CDBanTrai|:-370&lt;|&gt;CDBanTim|:-350&lt;|&gt;CDBanPhai|:-330&lt;|&gt;CDNen|:-0.35</t>
  </si>
  <si>
    <t>01/06/2024|:DN Lớp 7||0&lt;|&gt;05/06/2024|:DN Lớp 6||0.3&lt;|&gt;09/06/2024|:DN Lớp 5||0.3&lt;|&gt;13/06/2024|:DN Lớp 4||0.3&lt;|&gt;17/06/2024|:DN Lớp 3||0.3&lt;|&gt;20/07/2024|:DN Lớp 2||0.3&lt;|&gt;26/07/2024|:DN Lớp 1||0.3</t>
  </si>
  <si>
    <t>117+900|:01/06/2024|:DN Lớp 7||0</t>
  </si>
  <si>
    <t>NgayLD|:20/05/2024&lt;|&gt;CDMoc|:884&lt;|&gt;CDBanTrai|:-250&lt;|&gt;CDBanTim|:-960&lt;|&gt;CDBanPhai|:-960&lt;|&gt;CDNen|:-0.96</t>
  </si>
  <si>
    <t>23/05/2024|:DN Lớp 9||0&lt;|&gt;27/05/2024|:DN Lớp 8||0.3&lt;|&gt;01/06/2024|:DN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</si>
  <si>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118+000|:23/05/2024|:DN Lớp 9||0</t>
  </si>
  <si>
    <t>NgayLD|:20/05/2024&lt;|&gt;CDMoc|:884&lt;|&gt;CDBanTrai|:-250&lt;|&gt;CDBanTim|:-270&lt;|&gt;CDBanPhai|:-270&lt;|&gt;CDNen|:-0.27</t>
  </si>
  <si>
    <t>01/06/2024|:DN Lớp 7||0.05&lt;|&gt;05/06/2024|:DN Lớp 6||0.3&lt;|&gt;09/06/2024|:DN Lớp 5||0.3&lt;|&gt;13/06/2024|:DN Lớp 4||0.3&lt;|&gt;17/06/2024|:DN Lớp 3||0.3&lt;|&gt;20/07/2024|:DN Lớp 2||0.3&lt;|&gt;26/07/2024|:DN Lớp 1||0.3</t>
  </si>
  <si>
    <t>118+100|:01/06/2024|:DN Lớp 7||0.05</t>
  </si>
  <si>
    <t>NgayLD|:20/05/2024&lt;|&gt;CDMoc|:884&lt;|&gt;CDBanTrai|:-280&lt;|&gt;CDBanTim|:-340&lt;|&gt;CDBanPhai|:-900&lt;|&gt;CDNen|:-0.34</t>
  </si>
  <si>
    <t>23/05/2024|:DN Lớp 9||0&lt;|&gt;27/05/2024|:DN Lớp 8||0&lt;|&gt;01/06/2024|:DN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</si>
  <si>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118+200|:23/05/2024|:DN Lớp 9||0</t>
  </si>
  <si>
    <t>NgayLD|:20/05/2024&lt;|&gt;CDMoc|:884&lt;|&gt;CDBanTrai|:-250&lt;|&gt;CDBanTim|:-860&lt;|&gt;CDBanPhai|:-900&lt;|&gt;CDNen|:-0.86</t>
  </si>
  <si>
    <t>24/05/2024|:DN Lớp 9||0.16&lt;|&gt;27/05/2024|:DN Lớp 8||0.2&lt;|&gt;01/06/2024|:DN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</si>
  <si>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118+300|:24/05/2024|:DN Lớp 9||0.16</t>
  </si>
  <si>
    <t>NgayLD|:20/05/2024&lt;|&gt;CDMoc|:0.899&lt;|&gt;CDBanTrai|:-200&lt;|&gt;CDBanTim|:-180&lt;|&gt;CDBanPhai|:-180&lt;|&gt;CDNen|:-0.18</t>
  </si>
  <si>
    <t>11/07/2024|:DN Lớp 6||0.28&lt;|&gt;15/07/2024|:DN Lớp 5||0.3&lt;|&gt;19/07/2024|:DN Lớp 4||0.3&lt;|&gt;23/07/2024|:DN Lớp 3||0.3&lt;|&gt;27/07/2024|:DN Lớp 2||0.3&lt;|&gt;31/07/2024|:DN Lớp 1||0.3</t>
  </si>
  <si>
    <t>118+340|:11/07/2024|:DN Lớp 6||0.28</t>
  </si>
  <si>
    <t>NgayLD|:20/05/2024&lt;|&gt;CDMoc|:899&lt;|&gt;CDBanTrai|:-850&lt;|&gt;CDBanTim|:-820&lt;|&gt;CDBanPhai|:-750&lt;|&gt;CDNen|:-0.82</t>
  </si>
  <si>
    <t>25/06/2024|:DN Lớp 10||0.15&lt;|&gt;29/06/2024|:DN Lớp 9||0.17&lt;|&gt;03/07/2024|:DN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</si>
  <si>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20/05/2024|:2000&lt;|&gt;31/07/2024|:3000</t>
  </si>
  <si>
    <t>118+410|:25/06/2024|:DN Lớp 10||0.15</t>
  </si>
  <si>
    <t>NgayLD|:20/05/2024&lt;|&gt;CDMoc|:899&lt;|&gt;CDBanTrai|:-750&lt;|&gt;CDBanTim|:-800&lt;|&gt;CDBanPhai|:-400&lt;|&gt;CDNen|:-0.8</t>
  </si>
  <si>
    <t>20/06/2024|:DN Lớp 11||0.3&lt;|&gt;25/06/2024|:DN Lớp 10||0.3&lt;|&gt;29/06/2024|:DN Lớp 9||0.3&lt;|&gt;03/07/2024|:DN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</si>
  <si>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20/05/2024|:2000&lt;|&gt;23/07/2024|:3000</t>
  </si>
  <si>
    <t>118+495|:20/06/2024|:DN Lớp 11||0.3</t>
  </si>
  <si>
    <t>NgayLD|:01/08/2024&lt;|&gt;CDMoc|:899&lt;|&gt;CDBanTrai|:-1000&lt;|&gt;CDBanTim|:-1010&lt;|&gt;CDBanPhai|:-490&lt;|&gt;CDNen|:-1.01</t>
  </si>
  <si>
    <t>10/08/2024|:DN Lớp 11||0.31&lt;|&gt;14/08/2024|:DN Lớp 10||0.3&lt;|&gt;19/08/2024|:DN Lớp 9||0.3&lt;|&gt;23/08/2024|:DN Lớp 8||0.3&lt;|&gt;27/08/2024|:DN Lớp 7||0.3&lt;|&gt;01/09/2024|:DN Lớp 6||0.3&lt;|&gt;05/09/2024|:DN Lớp 5||0.3&lt;|&gt;10/09/2024|:DN Lớp 4||0.3&lt;|&gt;16/09/2024|:DN Lớp 3||0.3&lt;|&gt;20/09/2024|:DN Lớp 2||0.3&lt;|&gt;24/09/2024|:DN Lớp 1||0.3</t>
  </si>
  <si>
    <t>01/08/2024|:2000&lt;|&gt;16/09/2024|:3000</t>
  </si>
  <si>
    <t>118+693.65|:10/08/2024|:DN Lớp 11||0.31</t>
  </si>
  <si>
    <t>NgayLD|:02/08/2024&lt;|&gt;CDMoc|:884&lt;|&gt;CDBanTrai|:-320&lt;|&gt;CDBanTim|:-310&lt;|&gt;CDBanPhai|:-320&lt;|&gt;CDNen|:-0.31</t>
  </si>
  <si>
    <t>24/08/2024|:DN Lớp 8||0.21&lt;|&gt;28/08/2024|:DN Lớp 7||0.3&lt;|&gt;02/09/2024|:DN Lớp 6||0.3&lt;|&gt;06/09/2024|:DN Lớp 5||0.3&lt;|&gt;11/09/2024|:DN Lớp 4||0.3&lt;|&gt;17/09/2024|:DN Lớp 3||0.3&lt;|&gt;21/09/2024|:DN Lớp 2||0.3&lt;|&gt;25/09/2024|:DN Lớp 1||0.3</t>
  </si>
  <si>
    <t>02/08/2024|:2000</t>
  </si>
  <si>
    <t>118+790|:24/08/2024|:DN Lớp 8||0.21</t>
  </si>
  <si>
    <t>NgayLD|:31/08/2024&lt;|&gt;CDMoc|:899&lt;|&gt;CDBanTrai|:-1220&lt;|&gt;CDBanTim|:-200&lt;|&gt;CDBanPhai|:-200&lt;|&gt;CDNen|:-0.2</t>
  </si>
  <si>
    <t>14/09/2024|:DN Lớp 10||0&lt;|&gt;19/09/2024|:DN Lớp 9||0&lt;|&gt;23/09/2024|:DN Lớp 8||0&lt;|&gt;27/09/2024|:DN Lớp 7||0&lt;|&gt;02/10/2024|:DN Lớp 6||0.3&lt;|&gt;06/10/2024|:DN Lớp 5||0.3&lt;|&gt;11/10/2024|:DN Lớp 4||0.3&lt;|&gt;17/10/2024|:DN Lớp 3||0.3&lt;|&gt;21/10/2024|:DN Lớp 2||0.3&lt;|&gt;25/10/2024|:DN Lớp 1||0.3</t>
  </si>
  <si>
    <t>31/08/2024|:2000</t>
  </si>
  <si>
    <t>118+890|:14/09/2024|:DN Lớp 10||0</t>
  </si>
  <si>
    <t>NgayLD|:01/08/2024&lt;|&gt;CDMoc|:899&lt;|&gt;CDBanTrai|:-150&lt;|&gt;CDBanTim|:-150&lt;|&gt;CDBanPhai|:-850&lt;|&gt;CDNen|:-0.15</t>
  </si>
  <si>
    <t>19/08/2024|:DN Lớp 9||0&lt;|&gt;23/08/2024|:DN Lớp 8||0&lt;|&gt;27/08/2024|:DN Lớp 7||0&lt;|&gt;01/09/2024|:DN Lớp 6||0.3&lt;|&gt;05/09/2024|:DN Lớp 5||0.3&lt;|&gt;10/09/2024|:DN Lớp 4||0.3&lt;|&gt;16/09/2024|:DN Lớp 3||0.3&lt;|&gt;20/09/2024|:DN Lớp 2||0.3&lt;|&gt;24/09/2024|:DN Lớp 1||0.3&lt;|&gt;02/01/2025|:DN Lớp 1||0</t>
  </si>
  <si>
    <t>01/08/2024|:2000</t>
  </si>
  <si>
    <t>118+990|:19/08/2024|:DN Lớp 9||0</t>
  </si>
  <si>
    <t>NgayLD|:14/08/2024&lt;|&gt;CDMoc|:899&lt;|&gt;CDBanTrai|:-240&lt;|&gt;CDBanTim|:-240&lt;|&gt;CDBanPhai|:-240&lt;|&gt;CDNen|:-0.24</t>
  </si>
  <si>
    <t>03/09/2024|:DN Lớp 7||0.16&lt;|&gt;08/09/2024|:DN Lớp 6||0.18&lt;|&gt;12/09/2024|:DN Lớp 5||0.3&lt;|&gt;17/09/2024|:DN Lớp 4||0.3&lt;|&gt;23/09/2024|:DN Lớp 3||0.3&lt;|&gt;27/09/2024|:DN Lớp 2||0.3&lt;|&gt;01/10/2024|:DN Lớp 1||0.3</t>
  </si>
  <si>
    <t>14/08/2024|:2000</t>
  </si>
  <si>
    <t>119+090|:03/09/2024|:DN Lớp 7||0.16</t>
  </si>
  <si>
    <t>NgayLD|:14/08/2024&lt;|&gt;CDMoc|:1769&lt;|&gt;CDBanTrai|:-250&lt;|&gt;CDBanTim|:-250&lt;|&gt;CDBanPhai|:-260&lt;|&gt;CDNen|:-0.25</t>
  </si>
  <si>
    <t>30/08/2024|:DN Lớp 8||0.15&lt;|&gt;03/09/2024|:DN Lớp 7||0.3&lt;|&gt;08/09/2024|:DN Lớp 6||0.3&lt;|&gt;12/09/2024|:DN Lớp 5||0.3&lt;|&gt;17/09/2024|:DN Lớp 4||0.3&lt;|&gt;23/09/2024|:DN Lớp 3||0.3&lt;|&gt;27/09/2024|:DN Lớp 2||0.3&lt;|&gt;01/10/2024|:DN Lớp 1||0.3</t>
  </si>
  <si>
    <t>119+150|:30/08/2024|:DN Lớp 8||0.15</t>
  </si>
  <si>
    <t>NgayLD|:14/08/2024&lt;|&gt;CDMoc|:884&lt;|&gt;CDBanTrai|:-280&lt;|&gt;CDBanTim|:-280&lt;|&gt;CDBanPhai|:-900&lt;|&gt;CDNen|:-0.28</t>
  </si>
  <si>
    <t>17/08/2024|:DN Lớp 11||0&lt;|&gt;21/08/2024|:DN Lớp 10||0&lt;|&gt;26/08/2024|:DN Lớp 9||0.28&lt;|&gt;30/08/2024|:DN Lớp 8||0.3&lt;|&gt;03/09/2024|:DN Lớp 7||0.3&lt;|&gt;08/09/2024|:DN Lớp 6||0.3&lt;|&gt;12/09/2024|:DN Lớp 5||0.3&lt;|&gt;17/09/2024|:DN Lớp 4||0.3&lt;|&gt;23/09/2024|:DN Lớp 3||0.3&lt;|&gt;27/09/2024|:DN Lớp 2||0.3&lt;|&gt;01/10/2024|:DN Lớp 1||0.3</t>
  </si>
  <si>
    <t>14/08/2024|:2000&lt;|&gt;01/10/2024|:3000</t>
  </si>
  <si>
    <t>119+220|:17/08/2024|:DN Lớp 11||0</t>
  </si>
  <si>
    <t>29/01/2024|:DN Lớp 8||0.13&lt;|&gt;03/02/2024|:DN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</si>
  <si>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119+630|:29/01/2024|:DN Lớp 8||0.13</t>
  </si>
  <si>
    <t>07/02/2024|:DN Lớp 8||0.21&lt;|&gt;13/02/2024|:DN Lớp 7||0.3&lt;|&gt;17/02/2024|:DN Lớp 6||0.3&lt;|&gt;21/02/2024|:DN Lớp 5||0.3&lt;|&gt;25/02/2024|:DN Lớp 4||0.3&lt;|&gt;29/02/2024|:DN Lớp 3||0.3&lt;|&gt;26/06/2024|:DN Lớp 2||0.3&lt;|&gt;30/06/2024|:DN Lớp 1||0.3</t>
  </si>
  <si>
    <t>119+680|:07/02/2024|:DN Lớp 8||0.21</t>
  </si>
  <si>
    <t>07/02/2024|:DN Lớp 8||0&lt;|&gt;13/02/2024|:DN Lớp 7||0.14&lt;|&gt;17/02/2024|:DN Lớp 6||0.3&lt;|&gt;21/02/2024|:DN Lớp 5||0.3&lt;|&gt;25/02/2024|:DN Lớp 4||0.3&lt;|&gt;29/02/2024|:DN Lớp 3||0.3&lt;|&gt;26/06/2024|:DN Lớp 2||0.3&lt;|&gt;30/06/2024|:DN Lớp 1||0.3</t>
  </si>
  <si>
    <t>119+780|:07/02/2024|:DN Lớp 8||0</t>
  </si>
  <si>
    <t>04/02/2024|:DN Lớp 9||0.22&lt;|&gt;07/02/2024|:DN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</si>
  <si>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30/01/2024|:2000&lt;|&gt;30/06/2024|:3000</t>
  </si>
  <si>
    <t>119+880|:04/02/2024|:DN Lớp 9||0.22</t>
  </si>
  <si>
    <t>119+980|:05/06/2024|:DN Lớp 6||0.32</t>
  </si>
  <si>
    <t>NgayLD|:16/10/2024&lt;|&gt;CDMoc|:884&lt;|&gt;CDBanTrai|:-190&lt;|&gt;CDBanTim|:-730&lt;|&gt;CDBanPhai|:-660&lt;|&gt;CDNen|:-0.73</t>
  </si>
  <si>
    <t>23/10/2024|:DN Lớp 7||0.24&lt;|&gt;28/10/2024|:DN Lớp 6||0.3&lt;|&gt;01/11/2024|:DN Lớp 5||0.3&lt;|&gt;05/11/2024|:DN Lớp 4||0.3&lt;|&gt;10/11/2024|:DN Lớp 3||0.3&lt;|&gt;26/11/2024|:DN Lớp 2||0.3&lt;|&gt;30/11/2024|:DN Lớp 1||0.3</t>
  </si>
  <si>
    <t>16/10/2024|:2000</t>
  </si>
  <si>
    <t>120+020|:23/10/2024|:DN Lớp 7||0.24</t>
  </si>
  <si>
    <t>NgayLD|:16/10/2024&lt;|&gt;CDMoc|:884&lt;|&gt;CDBanTrai|:-190&lt;|&gt;CDBanTim|:-220&lt;|&gt;CDBanPhai|:-250&lt;|&gt;CDNen|:-0.22</t>
  </si>
  <si>
    <t>23/10/2024|:DN Lớp 7||0&lt;|&gt;28/10/2024|:DN Lớp 6||0.03&lt;|&gt;01/11/2024|:DN Lớp 5||0.3&lt;|&gt;05/11/2024|:DN Lớp 4||0.3&lt;|&gt;10/11/2024|:DN Lớp 3||0.3&lt;|&gt;26/11/2024|:DN Lớp 2||0.3&lt;|&gt;30/11/2024|:DN Lớp 1||0.3</t>
  </si>
  <si>
    <t>120+120|:23/10/2024|:DN Lớp 7||0</t>
  </si>
  <si>
    <t>NgayLD|:16/10/2024&lt;|&gt;CDMoc|:884&lt;|&gt;CDBanTrai|:-230&lt;|&gt;CDBanTim|:-190&lt;|&gt;CDBanPhai|:-190&lt;|&gt;CDNen|:-0.19</t>
  </si>
  <si>
    <t>28/10/2024|:DN Lớp 6||0&lt;|&gt;01/11/2024|:DN Lớp 5||0.3&lt;|&gt;05/11/2024|:DN Lớp 4||0.3&lt;|&gt;10/11/2024|:DN Lớp 3||0.3&lt;|&gt;26/11/2024|:DN Lớp 2||0.3&lt;|&gt;30/11/2024|:DN Lớp 1||0.3</t>
  </si>
  <si>
    <t>120+220|:28/10/2024|:DN Lớp 6||0</t>
  </si>
  <si>
    <t>NgayLD|:26/09/2024&lt;|&gt;CDMoc|:884&lt;|&gt;CDBanTrai|:-230&lt;|&gt;CDBanTim|:-250&lt;|&gt;CDBanPhai|:-160&lt;|&gt;CDNen|:-0.25</t>
  </si>
  <si>
    <t>25/10/2024|:DN Lớp 5||0.27&lt;|&gt;30/10/2024|:DN Lớp 4||0.3&lt;|&gt;04/11/2024|:DN Lớp 3||0.3&lt;|&gt;26/11/2024|:DN Lớp 2||0.3&lt;|&gt;30/11/2024|:DN Lớp 1||0.3</t>
  </si>
  <si>
    <t>26/09/2024|:2000</t>
  </si>
  <si>
    <t>120+320|:25/10/2024|:DN Lớp 5||0.27</t>
  </si>
  <si>
    <t>NgayLD|:26/09/2024&lt;|&gt;CDMoc|:884&lt;|&gt;CDBanTrai|:-880&lt;|&gt;CDBanTim|:-900&lt;|&gt;CDBanPhai|:-400&lt;|&gt;CDNen|:-0.9</t>
  </si>
  <si>
    <t>12/10/2024|:DN Lớp 8||0.3&lt;|&gt;16/10/2024|:DN Lớp 7||0.3&lt;|&gt;21/10/2024|:DN Lớp 6||0.3&lt;|&gt;25/10/2024|:DN Lớp 5||0.3&lt;|&gt;30/10/2024|:DN Lớp 4||0.3&lt;|&gt;04/11/2024|:DN Lớp 3||0.3&lt;|&gt;26/11/2024|:DN Lớp 2||0.3&lt;|&gt;30/11/2024|:DN Lớp 1||0.3</t>
  </si>
  <si>
    <t>120+420|:12/10/2024|:DN Lớp 8||0.3</t>
  </si>
  <si>
    <t>NgayLD|:26/09/2024&lt;|&gt;CDMoc|:884&lt;|&gt;CDBanTrai|:-220&lt;|&gt;CDBanTim|:-230&lt;|&gt;CDBanPhai|:-230&lt;|&gt;CDNen|:-0.23</t>
  </si>
  <si>
    <t>16/10/2024|:DN Lớp 7||0.13&lt;|&gt;21/10/2024|:DN Lớp 6||0.3&lt;|&gt;25/10/2024|:DN Lớp 5||0.3&lt;|&gt;30/10/2024|:DN Lớp 4||0.3&lt;|&gt;04/11/2024|:DN Lớp 3||0.3&lt;|&gt;26/11/2024|:DN Lớp 2||0.3&lt;|&gt;30/11/2024|:DN Lớp 1||0.3</t>
  </si>
  <si>
    <t>120+520 |:16/10/2024|:DN Lớp 7||0.13</t>
  </si>
  <si>
    <t>NgayLD|:30/11/2024&lt;|&gt;CDMoc|:884&lt;|&gt;CDBanTrai|:-160&lt;|&gt;CDBanTim|:-200&lt;|&gt;CDBanPhai|:-180&lt;|&gt;CDNen|:-0.2</t>
  </si>
  <si>
    <t>04/12/2024|:DN Lớp 10||0&lt;|&gt;08/12/2024|:DN Lớp 9||0&lt;|&gt;13/12/2024|:DN Lớp 8||0.3&lt;|&gt;17/12/2024|:DN Lớp 7||0.3&lt;|&gt;21/12/2024|:DN Lớp 6||0.3&lt;|&gt;26/12/2024|:DN Lớp 5||0.3&lt;|&gt;30/12/2024|:DN Lớp 4||0.3&lt;|&gt;04/01/2025|:DN Lớp 3||0.3&lt;|&gt;08/01/2025|:DN Lớp 2||0.3&lt;|&gt;12/01/2025|:DN Lớp 1||0.3</t>
  </si>
  <si>
    <t>30/11/2024|:2000</t>
  </si>
  <si>
    <t>120+620  |:04/12/2024|:DN Lớp 10||0</t>
  </si>
  <si>
    <t>KM0+100&lt;|&gt;HD XL01&lt;|&gt;L03</t>
  </si>
  <si>
    <t>KM0+100</t>
  </si>
  <si>
    <t>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1||0.2</t>
  </si>
  <si>
    <t>NgayKT|:17/06/2025&lt;|&gt;CDBanTrai|:-548&lt;|&gt;CDBanTim|:-838&lt;|&gt;CDBanPhai|:-743</t>
  </si>
  <si>
    <t>NgayKT|:17/06/2025&lt;|&gt;CDBanTrai|:-726&lt;|&gt;CDBanTim|:-1048&lt;|&gt;CDBanPhai|:-1281</t>
  </si>
  <si>
    <t>NgayKT|:17/06/2025&lt;|&gt;CDBanTrai|:-668&lt;|&gt;CDBanTim|:-1178&lt;|&gt;CDBanPhai|:-1058</t>
  </si>
  <si>
    <t>NgayKT|:24/03/2025&lt;|&gt;CDBanTrai|:-1066&lt;|&gt;CDBanTim|:-1138&lt;|&gt;CDBanPhai|:-901</t>
  </si>
  <si>
    <t>NgayKT|:24/03/2025&lt;|&gt;CDBanTrai|:-780&lt;|&gt;CDBanTim|:-1142&lt;|&gt;CDBanPhai|:-999</t>
  </si>
  <si>
    <t>NgayKT|:24/03/2025&lt;|&gt;CDBanTrai|:-980&lt;|&gt;CDBanTim|:-1150&lt;|&gt;CDBanPhai|:-650</t>
  </si>
  <si>
    <t>NgayKT|:04/03/2025&lt;|&gt;CDBanTrai|:-630&lt;|&gt;CDBanTim|:-640&lt;|&gt;CDBanPhai|:-690</t>
  </si>
  <si>
    <t>NgayKT|:04/03/2025&lt;|&gt;CDBanTrai|:-1098&lt;|&gt;CDBanTim|:-795&lt;|&gt;CDBanPhai|:-1132</t>
  </si>
  <si>
    <t>NgayKT|:27/02/2025&lt;|&gt;CDBanTrai|:-1194&lt;|&gt;CDBanTim|:-1190&lt;|&gt;CDBanPhai|:-1590</t>
  </si>
  <si>
    <t>NgayKT|:27/02/2025&lt;|&gt;CDBanTrai|:-1010&lt;|&gt;CDBanTim|:-961&lt;|&gt;CDBanPhai|:-704</t>
  </si>
  <si>
    <t>NgayKT|:27/02/2025&lt;|&gt;CDBanTrai|:-917&lt;|&gt;CDBanTim|:-758&lt;|&gt;CDBanPhai|:-572</t>
  </si>
  <si>
    <t>NgayKT|:25/12/2024&lt;|&gt;CDBanTrai|:-756&lt;|&gt;CDBanTim|:-746&lt;|&gt;CDBanPhai|:-1436</t>
  </si>
  <si>
    <t>NgayKT|:25/12/2024&lt;|&gt;CDBanTrai|:-1753&lt;|&gt;CDBanTim|:-956&lt;|&gt;CDBanPhai|:-1107</t>
  </si>
  <si>
    <t>NgayKT|:20/07/2025&lt;|&gt;CDBanTrai|:-1208&lt;|&gt;CDBanTim|:-1188&lt;|&gt;CDBanPhai|:-1127</t>
  </si>
  <si>
    <t>NgayKT|:17/03/2025&lt;|&gt;CDBanTrai|:-1898&lt;|&gt;CDBanTim|:-1658&lt;|&gt;CDBanPhai|:-1155</t>
  </si>
  <si>
    <t>NgayKT|:17/03/2025&lt;|&gt;CDBanTrai|:-1220&lt;|&gt;CDBanTim|:-1225&lt;|&gt;CDBanPhai|:-1067</t>
  </si>
  <si>
    <t>NgayKT|:13/05/2025&lt;|&gt;CDBanTrai|:-758&lt;|&gt;CDBanTim|:-870&lt;|&gt;CDBanPhai|:-773</t>
  </si>
  <si>
    <t>NgayKT|:13/05/2025&lt;|&gt;CDBanTrai|:-1063&lt;|&gt;CDBanTim|:-1353&lt;|&gt;CDBanPhai|:-1350</t>
  </si>
  <si>
    <t>NgayKT|:13/05/2025&lt;|&gt;CDBanTrai|:-770&lt;|&gt;CDBanTim|:-1001&lt;|&gt;CDBanPhai|:-1368</t>
  </si>
  <si>
    <t>NgayKT|:20/05/2025&lt;|&gt;CDBanTrai|:-477&lt;|&gt;CDBanTim|:-1004&lt;|&gt;CDBanPhai|:-578</t>
  </si>
  <si>
    <t>NgayKT|:20/05/2025&lt;|&gt;CDBanTrai|:-723&lt;|&gt;CDBanTim|:-1315&lt;|&gt;CDBanPhai|:-1792</t>
  </si>
  <si>
    <t>NgayKT|:20/05/2025&lt;|&gt;CDBanTrai|:-778&lt;|&gt;CDBanTim|:-1093&lt;|&gt;CDBanPhai|:-468</t>
  </si>
  <si>
    <t>NgayKT|:20/05/2025&lt;|&gt;CDBanTrai|:-413&lt;|&gt;CDBanTim|:-683&lt;|&gt;CDBanPhai|:-390</t>
  </si>
  <si>
    <t>NgayKT|:05/06/2025&lt;|&gt;CDBanTrai|:-1793&lt;|&gt;CDBanTim|:-1297&lt;|&gt;CDBanPhai|:-1352</t>
  </si>
  <si>
    <t>NgayKT|:05/06/2025&lt;|&gt;CDBanTrai|:-649&lt;|&gt;CDBanTim|:-609&lt;|&gt;CDBanPhai|:-625</t>
  </si>
  <si>
    <t>NgayKT|:05/06/2025&lt;|&gt;CDBanTrai|:-818&lt;|&gt;CDBanTim|:-527&lt;|&gt;CDBanPhai|:-535</t>
  </si>
  <si>
    <t>NgayKT|:10/06/2025&lt;|&gt;CDBanTrai|:-616&lt;|&gt;CDBanTim|:-1165&lt;|&gt;CDBanPhai|:-909</t>
  </si>
  <si>
    <t>NgayKT|:10/06/2025&lt;|&gt;CDBanTrai|:-204&lt;|&gt;CDBanTim|:-310&lt;|&gt;CDBanPhai|:-417</t>
  </si>
  <si>
    <t>NgayKT|:25/07/2025&lt;|&gt;CDBanTrai|:-559&lt;|&gt;CDBanTim|:-619&lt;|&gt;CDBanPhai|:-449</t>
  </si>
  <si>
    <t>&lt;|&gt;09/06/2025|:VCM||0</t>
  </si>
  <si>
    <t>29/01/2024|:DN Lớp 8||0.2&lt;|&gt;03/02/2024|:DN Lớp 7||0.3&lt;|&gt;07/02/2024|:DN Lớp 6||0.3&lt;|&gt;11/02/2024|:DN Lớp 5||0.3&lt;|&gt;15/02/2024|:DN Lớp 4||0.3&lt;|&gt;19/02/2024|:DN Lớp 3||0.3&lt;|&gt;18/06/2024|:DN Lớp 2||0.3&lt;|&gt;22/06/2024|:DN Lớp 1||0.2&lt;|&gt;10/06/2025|:VCM||0</t>
  </si>
  <si>
    <t>Trai|:-1569&lt;|&gt;Tim|:-1412&lt;|&gt;Phai|:-1163</t>
  </si>
  <si>
    <t>NgayKT|:05/08/2025&lt;|&gt;CDBanTrai|:-1593&lt;|&gt;CDBanTim|:-1412&lt;|&gt;CDBanPhai|:-1163</t>
  </si>
  <si>
    <t>Trai|:-1193&lt;|&gt;Tim|:-910&lt;|&gt;Phai|:-851</t>
  </si>
  <si>
    <t>QTL-KM117+100</t>
  </si>
  <si>
    <t>QTL-KM117+200</t>
  </si>
  <si>
    <t>NgayKT|:10/06/2025&lt;|&gt;CDBanTrai|:-1193&lt;|&gt;CDBanTim|:-910&lt;|&gt;CDBanPhai|:-851</t>
  </si>
  <si>
    <t>QTL-KM117+300</t>
  </si>
  <si>
    <t>QTL-KM117+400</t>
  </si>
  <si>
    <t>QTL-KM117+500</t>
  </si>
  <si>
    <t>QTL-KM117+600</t>
  </si>
  <si>
    <t>QTL-KM117+800</t>
  </si>
  <si>
    <t>QTL-KM117+900</t>
  </si>
  <si>
    <t>QTL-KM118+00</t>
  </si>
  <si>
    <t>QTL-KM118+100</t>
  </si>
  <si>
    <t>QTL -KM118+200</t>
  </si>
  <si>
    <t>QTL-KM118+300</t>
  </si>
  <si>
    <t>QTL-KM118+340</t>
  </si>
  <si>
    <t>QTL- Km118+410</t>
  </si>
  <si>
    <t>QTLKm118+495</t>
  </si>
  <si>
    <t>QTL-KM118+790</t>
  </si>
  <si>
    <t>QTL-Km118+890,00</t>
  </si>
  <si>
    <t>QTL-Km118+990,00</t>
  </si>
  <si>
    <t>QTL-Km119+090</t>
  </si>
  <si>
    <t>QTL-Km119+150</t>
  </si>
  <si>
    <t>QTC-Km119+220</t>
  </si>
  <si>
    <t>QTL-Km199+680</t>
  </si>
  <si>
    <t>QTL-km119+780</t>
  </si>
  <si>
    <t>QTL-KM119+880</t>
  </si>
  <si>
    <t>QTL-KM119+980</t>
  </si>
  <si>
    <t>QTL-KM120+020</t>
  </si>
  <si>
    <t>QTL-KM120+120</t>
  </si>
  <si>
    <t>QTL-KM120+220</t>
  </si>
  <si>
    <t>VCMTrai|:237&lt;|&gt;VCMTim|:265&lt;|&gt;VCMPhai|:263</t>
  </si>
  <si>
    <t>VCMTrai|:376&lt;|&gt;VCMTim|:393&lt;|&gt;VCMPhai|:394</t>
  </si>
  <si>
    <t>VCMTrai|:264&lt;|&gt;VCMTim|:280&lt;|&gt;VCMPhai|:272</t>
  </si>
  <si>
    <t>VCMTrai|:231&lt;|&gt;VCMTim|:268&lt;|&gt;VCMPhai|:263</t>
  </si>
  <si>
    <t>VCMTrai|:358&lt;|&gt;VCMTim|:417&lt;|&gt;VCMPhai|:393</t>
  </si>
  <si>
    <t>VCMTrai|:369&lt;|&gt;VCMTim|:377&lt;|&gt;VCMPhai|:375</t>
  </si>
  <si>
    <t>QTL-KM117+700</t>
  </si>
  <si>
    <t>VCMTrai|:371&lt;|&gt;VCMTim|:435&lt;|&gt;VCMPhai|:377</t>
  </si>
  <si>
    <t>VCMTrai|:420&lt;|&gt;VCMTim|:473&lt;|&gt;VCMPhai|:455</t>
  </si>
  <si>
    <t>VCMTrai|:427&lt;|&gt;VCMTim|:492&lt;|&gt;VCMPhai|:462</t>
  </si>
  <si>
    <t>VCMTrai|:398&lt;|&gt;VCMTim|:485&lt;|&gt;VCMPhai|:428</t>
  </si>
  <si>
    <t>VCMTrai|:413&lt;|&gt;VCMTim|:431&lt;|&gt;VCMPhai|:451</t>
  </si>
  <si>
    <t>VCMTrai|:658&lt;|&gt;VCMTim|:663&lt;|&gt;VCMPhai|:660</t>
  </si>
  <si>
    <t>VCMTrai|:737&lt;|&gt;VCMTim|:745&lt;|&gt;VCMPhai|:739</t>
  </si>
  <si>
    <t>VCMTrai|:755&lt;|&gt;VCMTim|:780&lt;|&gt;VCMPhai|:760</t>
  </si>
  <si>
    <t>VCMTrai|:944&lt;|&gt;VCMTim|:949&lt;|&gt;VCMPhai|:949</t>
  </si>
  <si>
    <t>VCMTrai|:682&lt;|&gt;VCMTim|:696&lt;|&gt;VCMPhai|:684</t>
  </si>
  <si>
    <t>VCMTrai|:274&lt;|&gt;VCMTim|:287&lt;|&gt;VCMPhai|:301</t>
  </si>
  <si>
    <t>VCMTrai|:1095&lt;|&gt;VCMTim|:1096&lt;|&gt;VCMPhai|:1097</t>
  </si>
  <si>
    <t>VCMTrai|:1166&lt;|&gt;VCMTim|:1169&lt;|&gt;VCMPhai|:1167</t>
  </si>
  <si>
    <t>VCMTrai|:860&lt;|&gt;VCMTim|:866&lt;|&gt;VCMPhai|:868</t>
  </si>
  <si>
    <t>VCMTrai|:1006&lt;|&gt;VCMTim|:1013&lt;|&gt;VCMPhai|:1012</t>
  </si>
  <si>
    <t>VCMTrai|:805&lt;|&gt;VCMTim|:842&lt;|&gt;VCMPhai|:809</t>
  </si>
  <si>
    <t>VCMTrai|:1173&lt;|&gt;VCMTim|:1178&lt;|&gt;VCMPhai|:1176</t>
  </si>
  <si>
    <t>VCMTrai|:779&lt;|&gt;VCMTim|:788&lt;|&gt;VCMPhai|:782</t>
  </si>
  <si>
    <t>VCMTrai|:1093&lt;|&gt;VCMTim|:1097&lt;|&gt;VCMPhai|:1097</t>
  </si>
  <si>
    <t>VCMTrai|:933&lt;|&gt;VCMTim|:938&lt;|&gt;VCMPhai|:939</t>
  </si>
  <si>
    <t>VCMTrai|:584&lt;|&gt;VCMTim|:602&lt;|&gt;VCMPhai|:594</t>
  </si>
  <si>
    <t>VCMTrai|:550&lt;|&gt;VCMTim|:573&lt;|&gt;VCMPhai|:561</t>
  </si>
  <si>
    <t>VCMTrai|:460&lt;|&gt;VCMTim|:469&lt;|&gt;VCMPhai|:462</t>
  </si>
  <si>
    <t>QTL-Km119+630</t>
  </si>
  <si>
    <t>VCMTrai|:1148&lt;|&gt;VCMTim|:1188&lt;|&gt;VCMPhai|:1150</t>
  </si>
  <si>
    <t>VCMTrai|:237&lt;|&gt;VCMTim|:297&lt;|&gt;VCMPhai|:202</t>
  </si>
  <si>
    <t>VCMTrai|:376&lt;|&gt;VCMTim|:502&lt;|&gt;VCMPhai|:312</t>
  </si>
  <si>
    <t>VCMTrai|:264&lt;|&gt;VCMTim|:386&lt;|&gt;VCMPhai|:219</t>
  </si>
  <si>
    <t>VCMTrai|:231&lt;|&gt;VCMTim|:426&lt;|&gt;VCMPhai|:254</t>
  </si>
  <si>
    <t>VCMTrai|:358&lt;|&gt;VCMTim|:446&lt;|&gt;VCMPhai|:270</t>
  </si>
  <si>
    <t>VCMTrai|:369&lt;|&gt;VCMTim|:487&lt;|&gt;VCMPhai|:301</t>
  </si>
  <si>
    <t>VCMTrai|:371&lt;|&gt;VCMTim|:464&lt;|&gt;VCMPhai|:336</t>
  </si>
  <si>
    <t>VCMTrai|:420&lt;|&gt;VCMTim|:505&lt;|&gt;VCMPhai|:375</t>
  </si>
  <si>
    <t>VCMTrai|:427&lt;|&gt;VCMTim|:525&lt;|&gt;VCMPhai|:403</t>
  </si>
  <si>
    <t>VCMTrai|:398&lt;|&gt;VCMTim|:548&lt;|&gt;VCMPhai|:361</t>
  </si>
  <si>
    <t>VCMTrai|:413&lt;|&gt;VCMTim|:564&lt;|&gt;VCMPhai|:366</t>
  </si>
  <si>
    <t>VCMTrai|:658&lt;|&gt;VCMTim|:879&lt;|&gt;VCMPhai|:602</t>
  </si>
  <si>
    <t>VCMTrai|:737&lt;|&gt;VCMTim|:887&lt;|&gt;VCMPhai|:650</t>
  </si>
  <si>
    <t>VCMTrai|:755&lt;|&gt;VCMTim|:905&lt;|&gt;VCMPhai|:675</t>
  </si>
  <si>
    <t>VCMTrai|:924&lt;|&gt;VCMTim|:1165&lt;|&gt;VCMPhai|:793</t>
  </si>
  <si>
    <t>VCMTrai|:676&lt;|&gt;VCMTim|:784&lt;|&gt;VCMPhai|:604</t>
  </si>
  <si>
    <t>VCMTrai|:274&lt;|&gt;VCMTim|:244&lt;|&gt;VCMPhai|:170</t>
  </si>
  <si>
    <t>VCMTrai|:1095&lt;|&gt;VCMTim|:1326&lt;|&gt;VCMPhai|:1074</t>
  </si>
  <si>
    <t>VCMTrai|:1106&lt;|&gt;VCMTim|:1226&lt;|&gt;VCMPhai|:912</t>
  </si>
  <si>
    <t>VCMTrai|:860&lt;|&gt;VCMTim|:1008&lt;|&gt;VCMPhai|:754</t>
  </si>
  <si>
    <t>VCMTrai|:992&lt;|&gt;VCMTim|:1086&lt;|&gt;VCMPhai|:1023</t>
  </si>
  <si>
    <t>VCMTrai|:805&lt;|&gt;VCMTim|:872&lt;|&gt;VCMPhai|:742</t>
  </si>
  <si>
    <t>VCMTrai|:1148&lt;|&gt;VCMTim|:1403&lt;|&gt;VCMPhai|:999</t>
  </si>
  <si>
    <t>VCMTrai|:1173&lt;|&gt;VCMTim|:1203&lt;|&gt;VCMPhai|:898</t>
  </si>
  <si>
    <t>VCMTrai|:779&lt;|&gt;VCMTim|:948&lt;|&gt;VCMPhai|:704</t>
  </si>
  <si>
    <t>VCMTrai|:903&lt;|&gt;VCMTim|:1030&lt;|&gt;VCMPhai|:744</t>
  </si>
  <si>
    <t>VCMTrai|:933&lt;|&gt;VCMTim|:1040&lt;|&gt;VCMPhai|:973</t>
  </si>
  <si>
    <t>VCMTrai|:584&lt;|&gt;VCMTim|:775&lt;|&gt;VCMPhai|:527</t>
  </si>
  <si>
    <t>VCMTrai|:550&lt;|&gt;VCMTim|:775&lt;|&gt;VCMPhai|:526</t>
  </si>
  <si>
    <t>VCMTrai|:460&lt;|&gt;VCMTim|:639&lt;|&gt;VCMPhai|:425</t>
  </si>
  <si>
    <t>NgayLD|:10/10/2024&lt;|&gt;CDMoc|:884&lt;|&gt;CDBanTrai|:-270&lt;|&gt;CDBanTim|:-450&lt;|&gt;CDBanPhai|:-250&lt;|&gt;CDNen|:-0.2</t>
  </si>
  <si>
    <t>13/04/2025|:DN Lớp 6||0.3&lt;|&gt;15/04/2025|:DN Lớp 5||0.3&lt;|&gt;17/04/2025|:DN Lớp 4||0.3&lt;|&gt;19/04/2025|:DN Lớp 3||0.3&lt;|&gt;21/04/2025|:DN Lớp 2||0.3&lt;|&gt;24/04/2025|:DN Lớp 1||0.3&lt;|&gt;14/05/2025|:VCM||0</t>
  </si>
  <si>
    <t>NgayKT|:15/08/2025&lt;|&gt;CDBanTrai|:-1836&lt;|&gt;CDBanTim|:-1951&lt;|&gt;CDBanPhai|:-1381</t>
  </si>
  <si>
    <t>10/10/2024|:2000</t>
  </si>
  <si>
    <t>121+680|:13/04/2025|:DN Lớp 6||0.3</t>
  </si>
  <si>
    <t>VCMTrai|:978&lt;|&gt;VCMTim|:1194&lt;|&gt;VCMPhai|:864</t>
  </si>
  <si>
    <t>13/04/2025</t>
  </si>
  <si>
    <t>14/04/2025</t>
  </si>
  <si>
    <t>15/04/2025</t>
  </si>
  <si>
    <t>16/04/2025</t>
  </si>
  <si>
    <t>17/04/2025</t>
  </si>
  <si>
    <t>18/04/2025</t>
  </si>
  <si>
    <t>19/04/2025</t>
  </si>
  <si>
    <t>20/04/2025</t>
  </si>
  <si>
    <t>21/04/2025</t>
  </si>
  <si>
    <t>23/04/2025</t>
  </si>
  <si>
    <t>24/04/2025</t>
  </si>
  <si>
    <t>13/05/2025</t>
  </si>
  <si>
    <t>14/05/2025</t>
  </si>
  <si>
    <t>15/08/2025</t>
  </si>
  <si>
    <t>376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</si>
</sst>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/>
    <xf numFmtId="0" fontId="1" fillId="0" borderId="0" xfId="0" applyFont="1" applyFill="1" applyAlignment="1">
      <alignment horizontal="left" vertical="center"/>
    </xf>
    <xf numFmtId="0" fontId="2" fillId="0" borderId="0" xfId="0" applyFont="1" applyFill="1"/>
    <xf numFmtId="0" fontId="2" fillId="3" borderId="0" xfId="0" applyFont="1" applyFill="1"/>
    <xf numFmtId="0" fontId="0" fillId="2" borderId="0" xfId="0" applyFill="1"/>
    <xf numFmtId="0" fontId="0" fillId="4" borderId="0" xfId="0" applyFill="1"/>
    <xf numFmtId="0" fontId="2" fillId="2" borderId="0" xfId="0" applyFont="1" applyFill="1"/>
    <xf numFmtId="0" fontId="3" fillId="0" borderId="0" xfId="0" applyFont="1" applyFill="1"/>
    <xf numFmtId="0" fontId="3" fillId="0" borderId="0" xfId="0" applyFont="1"/>
    <xf numFmtId="49" fontId="2" fillId="0" borderId="0" xfId="0" applyNumberFormat="1" applyFont="1" applyFill="1"/>
    <xf numFmtId="49" fontId="0" fillId="0" borderId="0" xfId="0" applyNumberFormat="1"/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0" fillId="5" borderId="0" xfId="0" applyFill="1"/>
    <xf numFmtId="0" fontId="2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B2579-6CA1-475A-9933-1FA651EC4DE9}">
  <sheetPr codeName="Sheet1"/>
  <dimension ref="A1:E4"/>
  <sheetViews>
    <sheetView workbookViewId="0">
      <selection activeCell="A4" sqref="A4"/>
    </sheetView>
  </sheetViews>
  <sheetFormatPr defaultRowHeight="14.4" x14ac:dyDescent="0.3"/>
  <cols>
    <col min="1" max="1" width="12" bestFit="1" customWidth="1"/>
    <col min="2" max="2" width="12.44140625" bestFit="1" customWidth="1"/>
    <col min="3" max="3" width="10.33203125" bestFit="1" customWidth="1"/>
    <col min="4" max="4" width="18.33203125" customWidth="1"/>
    <col min="5" max="5" width="18.10937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 s="1" t="s">
        <v>9</v>
      </c>
      <c r="B2" s="1" t="s">
        <v>116</v>
      </c>
      <c r="C2" s="1" t="s">
        <v>10</v>
      </c>
      <c r="D2" s="1" t="s">
        <v>11</v>
      </c>
      <c r="E2" s="1" t="s">
        <v>117</v>
      </c>
    </row>
    <row r="3" spans="1:5" x14ac:dyDescent="0.3">
      <c r="A3" t="s">
        <v>12</v>
      </c>
      <c r="B3" t="s">
        <v>13</v>
      </c>
      <c r="C3" t="s">
        <v>14</v>
      </c>
      <c r="D3" t="s">
        <v>15</v>
      </c>
      <c r="E3" t="s">
        <v>16</v>
      </c>
    </row>
    <row r="4" spans="1:5" x14ac:dyDescent="0.3">
      <c r="A4" s="1" t="s">
        <v>141</v>
      </c>
      <c r="B4" s="1" t="s">
        <v>142</v>
      </c>
      <c r="C4" s="1" t="s">
        <v>10</v>
      </c>
      <c r="D4" s="1" t="s">
        <v>143</v>
      </c>
      <c r="E4" s="1" t="s">
        <v>144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304C-F0E1-47D6-8C75-65C9E7F3AB17}">
  <sheetPr codeName="Sheet2"/>
  <dimension ref="A1:E4"/>
  <sheetViews>
    <sheetView workbookViewId="0">
      <selection activeCell="I9" sqref="I9"/>
    </sheetView>
  </sheetViews>
  <sheetFormatPr defaultRowHeight="14.4" x14ac:dyDescent="0.3"/>
  <cols>
    <col min="1" max="1" width="25" bestFit="1" customWidth="1"/>
    <col min="2" max="2" width="11.109375" bestFit="1" customWidth="1"/>
    <col min="3" max="3" width="12" bestFit="1" customWidth="1"/>
    <col min="4" max="4" width="11.6640625" bestFit="1" customWidth="1"/>
    <col min="5" max="5" width="16.6640625" bestFit="1" customWidth="1"/>
  </cols>
  <sheetData>
    <row r="1" spans="1:5" x14ac:dyDescent="0.3">
      <c r="A1" t="s">
        <v>5</v>
      </c>
      <c r="B1" t="s">
        <v>6</v>
      </c>
      <c r="C1" t="s">
        <v>0</v>
      </c>
      <c r="D1" t="s">
        <v>7</v>
      </c>
      <c r="E1" t="s">
        <v>8</v>
      </c>
    </row>
    <row r="2" spans="1:5" x14ac:dyDescent="0.3">
      <c r="A2" t="s">
        <v>18</v>
      </c>
      <c r="B2" t="s">
        <v>19</v>
      </c>
      <c r="C2" t="s">
        <v>9</v>
      </c>
      <c r="D2" t="s">
        <v>17</v>
      </c>
    </row>
    <row r="3" spans="1:5" x14ac:dyDescent="0.3">
      <c r="A3" t="s">
        <v>146</v>
      </c>
      <c r="B3" t="s">
        <v>145</v>
      </c>
      <c r="C3" t="s">
        <v>141</v>
      </c>
      <c r="D3" t="s">
        <v>17</v>
      </c>
    </row>
    <row r="4" spans="1:5" x14ac:dyDescent="0.3">
      <c r="A4" t="s">
        <v>303</v>
      </c>
      <c r="B4" t="s">
        <v>304</v>
      </c>
      <c r="C4" t="s">
        <v>9</v>
      </c>
      <c r="D4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231D9-EAB7-49CD-8315-6B6F1440710F}">
  <sheetPr codeName="Sheet3"/>
  <dimension ref="A1:J73"/>
  <sheetViews>
    <sheetView topLeftCell="A40" zoomScale="85" zoomScaleNormal="85" workbookViewId="0">
      <selection activeCell="A60" sqref="A60"/>
    </sheetView>
  </sheetViews>
  <sheetFormatPr defaultColWidth="9.109375" defaultRowHeight="14.4" x14ac:dyDescent="0.3"/>
  <cols>
    <col min="1" max="1" width="104.5546875" style="3" bestFit="1" customWidth="1"/>
    <col min="2" max="2" width="180.88671875" style="3" customWidth="1"/>
    <col min="3" max="3" width="74.33203125" style="3" customWidth="1"/>
    <col min="4" max="4" width="109.44140625" style="3" bestFit="1" customWidth="1"/>
    <col min="5" max="5" width="44.109375" style="3" customWidth="1"/>
    <col min="6" max="6" width="31.109375" style="3" customWidth="1"/>
    <col min="7" max="7" width="255.6640625" style="3" bestFit="1" customWidth="1"/>
    <col min="8" max="16384" width="9.109375" style="3"/>
  </cols>
  <sheetData>
    <row r="1" spans="1:7" x14ac:dyDescent="0.3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7" x14ac:dyDescent="0.3">
      <c r="A2" s="3" t="s">
        <v>25</v>
      </c>
      <c r="B2" s="3" t="s">
        <v>26</v>
      </c>
      <c r="C2" s="3" t="s">
        <v>27</v>
      </c>
      <c r="D2" s="3" t="s">
        <v>118</v>
      </c>
      <c r="E2" s="3" t="s">
        <v>28</v>
      </c>
      <c r="F2" s="3" t="s">
        <v>164</v>
      </c>
      <c r="G2" s="3" t="s">
        <v>147</v>
      </c>
    </row>
    <row r="3" spans="1:7" x14ac:dyDescent="0.3">
      <c r="A3" s="3" t="s">
        <v>29</v>
      </c>
      <c r="B3" s="3" t="s">
        <v>30</v>
      </c>
      <c r="C3" s="3" t="s">
        <v>31</v>
      </c>
      <c r="D3" s="3" t="s">
        <v>119</v>
      </c>
      <c r="E3" s="3" t="s">
        <v>32</v>
      </c>
      <c r="F3" s="3" t="s">
        <v>165</v>
      </c>
      <c r="G3" s="3" t="s">
        <v>148</v>
      </c>
    </row>
    <row r="4" spans="1:7" x14ac:dyDescent="0.3">
      <c r="A4" s="3" t="s">
        <v>33</v>
      </c>
      <c r="B4" s="3" t="s">
        <v>34</v>
      </c>
      <c r="C4" s="3" t="s">
        <v>35</v>
      </c>
      <c r="D4" s="3" t="s">
        <v>120</v>
      </c>
      <c r="E4" s="3" t="s">
        <v>36</v>
      </c>
      <c r="F4" s="3" t="s">
        <v>166</v>
      </c>
      <c r="G4" s="3" t="s">
        <v>149</v>
      </c>
    </row>
    <row r="5" spans="1:7" x14ac:dyDescent="0.3">
      <c r="A5" s="3" t="s">
        <v>37</v>
      </c>
      <c r="B5" s="3" t="s">
        <v>38</v>
      </c>
      <c r="C5" s="3" t="s">
        <v>39</v>
      </c>
      <c r="D5" s="3" t="s">
        <v>121</v>
      </c>
      <c r="E5" s="3" t="s">
        <v>40</v>
      </c>
      <c r="F5" s="3" t="s">
        <v>167</v>
      </c>
      <c r="G5" s="3" t="s">
        <v>150</v>
      </c>
    </row>
    <row r="6" spans="1:7" x14ac:dyDescent="0.3">
      <c r="A6" s="3" t="s">
        <v>41</v>
      </c>
      <c r="B6" s="3" t="s">
        <v>42</v>
      </c>
      <c r="C6" s="3" t="s">
        <v>43</v>
      </c>
      <c r="D6" s="3" t="s">
        <v>122</v>
      </c>
      <c r="E6" s="3" t="s">
        <v>44</v>
      </c>
      <c r="F6" s="3" t="s">
        <v>168</v>
      </c>
      <c r="G6" s="3" t="s">
        <v>151</v>
      </c>
    </row>
    <row r="7" spans="1:7" x14ac:dyDescent="0.3">
      <c r="A7" s="3" t="s">
        <v>45</v>
      </c>
      <c r="B7" s="3" t="s">
        <v>46</v>
      </c>
      <c r="C7" s="3" t="s">
        <v>47</v>
      </c>
      <c r="D7" s="3" t="s">
        <v>123</v>
      </c>
      <c r="E7" s="3" t="s">
        <v>48</v>
      </c>
      <c r="F7" s="3" t="s">
        <v>169</v>
      </c>
      <c r="G7" s="3" t="s">
        <v>152</v>
      </c>
    </row>
    <row r="8" spans="1:7" x14ac:dyDescent="0.3">
      <c r="A8" s="3" t="s">
        <v>49</v>
      </c>
      <c r="B8" s="3" t="s">
        <v>50</v>
      </c>
      <c r="C8" s="3" t="s">
        <v>51</v>
      </c>
      <c r="D8" s="3" t="s">
        <v>124</v>
      </c>
      <c r="E8" s="3" t="s">
        <v>52</v>
      </c>
      <c r="F8" s="3" t="s">
        <v>170</v>
      </c>
      <c r="G8" s="3" t="s">
        <v>153</v>
      </c>
    </row>
    <row r="9" spans="1:7" x14ac:dyDescent="0.3">
      <c r="A9" s="3" t="s">
        <v>53</v>
      </c>
      <c r="B9" s="3" t="s">
        <v>54</v>
      </c>
      <c r="C9" s="3" t="s">
        <v>55</v>
      </c>
      <c r="D9" s="3" t="s">
        <v>125</v>
      </c>
      <c r="E9" s="3" t="s">
        <v>56</v>
      </c>
      <c r="F9" s="3" t="s">
        <v>171</v>
      </c>
      <c r="G9" s="3" t="s">
        <v>154</v>
      </c>
    </row>
    <row r="10" spans="1:7" x14ac:dyDescent="0.3">
      <c r="A10" s="3" t="s">
        <v>57</v>
      </c>
      <c r="B10" s="3" t="s">
        <v>58</v>
      </c>
      <c r="C10" s="3" t="s">
        <v>59</v>
      </c>
      <c r="D10" s="3" t="s">
        <v>126</v>
      </c>
      <c r="E10" s="3" t="s">
        <v>60</v>
      </c>
      <c r="F10" s="3" t="s">
        <v>172</v>
      </c>
      <c r="G10" s="3" t="s">
        <v>154</v>
      </c>
    </row>
    <row r="11" spans="1:7" x14ac:dyDescent="0.3">
      <c r="A11" s="3" t="s">
        <v>61</v>
      </c>
      <c r="B11" s="3" t="s">
        <v>62</v>
      </c>
      <c r="C11" s="3" t="s">
        <v>63</v>
      </c>
      <c r="D11" s="3" t="s">
        <v>127</v>
      </c>
      <c r="E11" s="3" t="s">
        <v>64</v>
      </c>
      <c r="F11" s="3" t="s">
        <v>173</v>
      </c>
      <c r="G11" s="3" t="s">
        <v>155</v>
      </c>
    </row>
    <row r="12" spans="1:7" x14ac:dyDescent="0.3">
      <c r="A12" s="3" t="s">
        <v>65</v>
      </c>
      <c r="B12" s="3" t="s">
        <v>66</v>
      </c>
      <c r="C12" s="3" t="s">
        <v>67</v>
      </c>
      <c r="D12" s="3" t="s">
        <v>128</v>
      </c>
      <c r="E12" s="3" t="s">
        <v>68</v>
      </c>
      <c r="F12" s="3" t="s">
        <v>174</v>
      </c>
      <c r="G12" s="3" t="s">
        <v>155</v>
      </c>
    </row>
    <row r="13" spans="1:7" x14ac:dyDescent="0.3">
      <c r="A13" s="3" t="s">
        <v>69</v>
      </c>
      <c r="B13" s="3" t="s">
        <v>70</v>
      </c>
      <c r="C13" s="3" t="s">
        <v>71</v>
      </c>
      <c r="D13" s="3" t="s">
        <v>129</v>
      </c>
      <c r="E13" s="3" t="s">
        <v>72</v>
      </c>
      <c r="F13" s="3" t="s">
        <v>175</v>
      </c>
      <c r="G13" s="3" t="s">
        <v>156</v>
      </c>
    </row>
    <row r="14" spans="1:7" x14ac:dyDescent="0.3">
      <c r="A14" s="3" t="s">
        <v>73</v>
      </c>
      <c r="B14" s="3" t="s">
        <v>74</v>
      </c>
      <c r="C14" s="3" t="s">
        <v>75</v>
      </c>
      <c r="D14" s="3" t="s">
        <v>130</v>
      </c>
      <c r="E14" s="3" t="s">
        <v>76</v>
      </c>
      <c r="F14" s="3" t="s">
        <v>176</v>
      </c>
      <c r="G14" s="3" t="s">
        <v>157</v>
      </c>
    </row>
    <row r="15" spans="1:7" x14ac:dyDescent="0.3">
      <c r="A15" s="3" t="s">
        <v>77</v>
      </c>
      <c r="B15" s="3" t="s">
        <v>78</v>
      </c>
      <c r="C15" s="3" t="s">
        <v>79</v>
      </c>
      <c r="D15" s="3" t="s">
        <v>131</v>
      </c>
      <c r="E15" s="3" t="s">
        <v>80</v>
      </c>
      <c r="F15" s="3" t="s">
        <v>177</v>
      </c>
      <c r="G15" s="3" t="s">
        <v>157</v>
      </c>
    </row>
    <row r="16" spans="1:7" x14ac:dyDescent="0.3">
      <c r="A16" s="3" t="s">
        <v>81</v>
      </c>
      <c r="B16" s="3" t="s">
        <v>82</v>
      </c>
      <c r="C16" s="3" t="s">
        <v>83</v>
      </c>
      <c r="D16" s="3" t="s">
        <v>132</v>
      </c>
      <c r="E16" s="3" t="s">
        <v>84</v>
      </c>
      <c r="F16" s="3" t="s">
        <v>178</v>
      </c>
      <c r="G16" s="3" t="s">
        <v>158</v>
      </c>
    </row>
    <row r="17" spans="1:10" x14ac:dyDescent="0.3">
      <c r="A17" s="3" t="s">
        <v>85</v>
      </c>
      <c r="B17" s="3" t="s">
        <v>86</v>
      </c>
      <c r="C17" s="3" t="s">
        <v>87</v>
      </c>
      <c r="D17" s="3" t="s">
        <v>133</v>
      </c>
      <c r="E17" s="3" t="s">
        <v>88</v>
      </c>
      <c r="F17" s="3" t="s">
        <v>179</v>
      </c>
      <c r="G17" s="3" t="s">
        <v>159</v>
      </c>
    </row>
    <row r="18" spans="1:10" x14ac:dyDescent="0.3">
      <c r="A18" s="3" t="s">
        <v>89</v>
      </c>
      <c r="B18" s="3" t="s">
        <v>90</v>
      </c>
      <c r="C18" s="3" t="s">
        <v>91</v>
      </c>
      <c r="D18" s="3" t="s">
        <v>134</v>
      </c>
      <c r="E18" s="3" t="s">
        <v>92</v>
      </c>
      <c r="F18" s="3" t="s">
        <v>180</v>
      </c>
      <c r="G18" s="3" t="s">
        <v>160</v>
      </c>
    </row>
    <row r="19" spans="1:10" x14ac:dyDescent="0.3">
      <c r="A19" s="3" t="s">
        <v>93</v>
      </c>
      <c r="B19" s="3" t="s">
        <v>94</v>
      </c>
      <c r="C19" s="3" t="s">
        <v>95</v>
      </c>
      <c r="D19" s="3" t="s">
        <v>135</v>
      </c>
      <c r="E19" s="3" t="s">
        <v>96</v>
      </c>
      <c r="F19" s="3" t="s">
        <v>181</v>
      </c>
      <c r="G19" s="3" t="s">
        <v>161</v>
      </c>
    </row>
    <row r="20" spans="1:10" x14ac:dyDescent="0.3">
      <c r="A20" s="3" t="s">
        <v>97</v>
      </c>
      <c r="B20" s="3" t="s">
        <v>98</v>
      </c>
      <c r="C20" s="3" t="s">
        <v>99</v>
      </c>
      <c r="D20" s="3" t="s">
        <v>136</v>
      </c>
      <c r="E20" s="3" t="s">
        <v>100</v>
      </c>
      <c r="F20" s="3" t="s">
        <v>182</v>
      </c>
      <c r="G20" s="3" t="s">
        <v>161</v>
      </c>
    </row>
    <row r="21" spans="1:10" x14ac:dyDescent="0.3">
      <c r="A21" s="3" t="s">
        <v>101</v>
      </c>
      <c r="B21" s="3" t="s">
        <v>102</v>
      </c>
      <c r="C21" s="3" t="s">
        <v>103</v>
      </c>
      <c r="D21" s="3" t="s">
        <v>137</v>
      </c>
      <c r="E21" s="3" t="s">
        <v>104</v>
      </c>
      <c r="F21" s="3" t="s">
        <v>183</v>
      </c>
      <c r="G21" s="3" t="s">
        <v>161</v>
      </c>
    </row>
    <row r="22" spans="1:10" x14ac:dyDescent="0.3">
      <c r="A22" s="3" t="s">
        <v>105</v>
      </c>
      <c r="B22" s="3" t="s">
        <v>106</v>
      </c>
      <c r="C22" s="3" t="s">
        <v>107</v>
      </c>
      <c r="D22" s="3" t="s">
        <v>138</v>
      </c>
      <c r="E22" s="3" t="s">
        <v>108</v>
      </c>
      <c r="F22" s="3" t="s">
        <v>184</v>
      </c>
      <c r="G22" s="3" t="s">
        <v>162</v>
      </c>
    </row>
    <row r="23" spans="1:10" x14ac:dyDescent="0.3">
      <c r="A23" s="3" t="s">
        <v>109</v>
      </c>
      <c r="B23" s="3" t="s">
        <v>110</v>
      </c>
      <c r="C23" s="3" t="s">
        <v>111</v>
      </c>
      <c r="D23" s="3" t="s">
        <v>139</v>
      </c>
      <c r="E23" s="3" t="s">
        <v>112</v>
      </c>
      <c r="F23" s="3" t="s">
        <v>185</v>
      </c>
      <c r="G23" s="3" t="s">
        <v>163</v>
      </c>
    </row>
    <row r="24" spans="1:10" s="4" customFormat="1" x14ac:dyDescent="0.3">
      <c r="A24" s="4" t="s">
        <v>113</v>
      </c>
      <c r="B24" s="4" t="s">
        <v>114</v>
      </c>
      <c r="D24" s="4" t="s">
        <v>140</v>
      </c>
      <c r="E24" s="4" t="s">
        <v>115</v>
      </c>
      <c r="F24" s="4" t="s">
        <v>186</v>
      </c>
      <c r="G24" s="4" t="s">
        <v>163</v>
      </c>
    </row>
    <row r="25" spans="1:10" x14ac:dyDescent="0.3">
      <c r="A25" s="3" t="s">
        <v>187</v>
      </c>
      <c r="B25" s="3" t="s">
        <v>188</v>
      </c>
      <c r="D25" s="3" t="s">
        <v>189</v>
      </c>
      <c r="E25" s="3" t="s">
        <v>190</v>
      </c>
    </row>
    <row r="26" spans="1:10" x14ac:dyDescent="0.3">
      <c r="A26" s="3" t="s">
        <v>191</v>
      </c>
      <c r="B26" s="3" t="s">
        <v>305</v>
      </c>
      <c r="C26" t="s">
        <v>334</v>
      </c>
      <c r="D26" s="3" t="s">
        <v>192</v>
      </c>
      <c r="E26" s="3" t="s">
        <v>193</v>
      </c>
      <c r="H26" t="s">
        <v>401</v>
      </c>
      <c r="I26"/>
      <c r="J26"/>
    </row>
    <row r="27" spans="1:10" s="8" customFormat="1" x14ac:dyDescent="0.3">
      <c r="A27" s="8" t="s">
        <v>194</v>
      </c>
      <c r="B27" s="8" t="s">
        <v>336</v>
      </c>
      <c r="C27" s="9" t="s">
        <v>338</v>
      </c>
      <c r="D27" s="8" t="s">
        <v>192</v>
      </c>
      <c r="E27" s="8" t="s">
        <v>195</v>
      </c>
      <c r="H27" t="s">
        <v>402</v>
      </c>
      <c r="I27" s="9"/>
      <c r="J27" s="9"/>
    </row>
    <row r="28" spans="1:10" x14ac:dyDescent="0.3">
      <c r="A28" s="3" t="s">
        <v>196</v>
      </c>
      <c r="B28" s="3" t="s">
        <v>197</v>
      </c>
      <c r="C28" t="s">
        <v>333</v>
      </c>
      <c r="D28" s="3" t="s">
        <v>192</v>
      </c>
      <c r="E28" s="3" t="s">
        <v>198</v>
      </c>
      <c r="H28" t="s">
        <v>403</v>
      </c>
      <c r="I28"/>
      <c r="J28"/>
    </row>
    <row r="29" spans="1:10" x14ac:dyDescent="0.3">
      <c r="A29" s="3" t="s">
        <v>199</v>
      </c>
      <c r="B29" s="3" t="s">
        <v>200</v>
      </c>
      <c r="C29" t="s">
        <v>332</v>
      </c>
      <c r="D29" s="3" t="s">
        <v>192</v>
      </c>
      <c r="E29" s="3" t="s">
        <v>201</v>
      </c>
      <c r="H29" t="s">
        <v>404</v>
      </c>
      <c r="I29"/>
      <c r="J29"/>
    </row>
    <row r="30" spans="1:10" x14ac:dyDescent="0.3">
      <c r="A30" s="3" t="s">
        <v>202</v>
      </c>
      <c r="B30" s="3" t="s">
        <v>203</v>
      </c>
      <c r="C30" t="s">
        <v>331</v>
      </c>
      <c r="D30" s="3" t="s">
        <v>204</v>
      </c>
      <c r="E30" s="3" t="s">
        <v>205</v>
      </c>
      <c r="H30" t="s">
        <v>405</v>
      </c>
      <c r="I30"/>
      <c r="J30"/>
    </row>
    <row r="31" spans="1:10" x14ac:dyDescent="0.3">
      <c r="A31" s="3" t="s">
        <v>206</v>
      </c>
      <c r="B31" s="3" t="s">
        <v>207</v>
      </c>
      <c r="C31" t="s">
        <v>330</v>
      </c>
      <c r="D31" s="3" t="s">
        <v>204</v>
      </c>
      <c r="E31" s="3" t="s">
        <v>208</v>
      </c>
      <c r="H31" t="s">
        <v>406</v>
      </c>
      <c r="I31"/>
      <c r="J31"/>
    </row>
    <row r="32" spans="1:10" x14ac:dyDescent="0.3">
      <c r="A32" s="3" t="s">
        <v>209</v>
      </c>
      <c r="B32" s="3" t="s">
        <v>210</v>
      </c>
      <c r="C32" t="s">
        <v>329</v>
      </c>
      <c r="D32" s="3" t="s">
        <v>204</v>
      </c>
      <c r="E32" s="3" t="s">
        <v>211</v>
      </c>
      <c r="H32" t="s">
        <v>407</v>
      </c>
      <c r="I32"/>
      <c r="J32"/>
    </row>
    <row r="33" spans="1:10" x14ac:dyDescent="0.3">
      <c r="A33" s="3" t="s">
        <v>212</v>
      </c>
      <c r="B33" s="3" t="s">
        <v>213</v>
      </c>
      <c r="C33" t="s">
        <v>328</v>
      </c>
      <c r="D33" s="3" t="s">
        <v>214</v>
      </c>
      <c r="E33" s="3" t="s">
        <v>215</v>
      </c>
      <c r="H33" t="s">
        <v>408</v>
      </c>
      <c r="I33"/>
      <c r="J33"/>
    </row>
    <row r="34" spans="1:10" x14ac:dyDescent="0.3">
      <c r="A34" s="3" t="s">
        <v>216</v>
      </c>
      <c r="B34" s="3" t="s">
        <v>217</v>
      </c>
      <c r="C34" t="s">
        <v>327</v>
      </c>
      <c r="D34" s="3" t="s">
        <v>214</v>
      </c>
      <c r="E34" s="3" t="s">
        <v>218</v>
      </c>
      <c r="H34" t="s">
        <v>409</v>
      </c>
      <c r="I34"/>
      <c r="J34"/>
    </row>
    <row r="35" spans="1:10" x14ac:dyDescent="0.3">
      <c r="A35" s="3" t="s">
        <v>219</v>
      </c>
      <c r="B35" s="3" t="s">
        <v>220</v>
      </c>
      <c r="C35" t="s">
        <v>326</v>
      </c>
      <c r="D35" s="3" t="s">
        <v>214</v>
      </c>
      <c r="E35" s="3" t="s">
        <v>221</v>
      </c>
      <c r="H35" t="s">
        <v>410</v>
      </c>
      <c r="I35"/>
      <c r="J35"/>
    </row>
    <row r="36" spans="1:10" x14ac:dyDescent="0.3">
      <c r="A36" s="3" t="s">
        <v>222</v>
      </c>
      <c r="B36" s="3" t="s">
        <v>223</v>
      </c>
      <c r="C36" t="s">
        <v>325</v>
      </c>
      <c r="D36" s="3" t="s">
        <v>214</v>
      </c>
      <c r="E36" s="3" t="s">
        <v>224</v>
      </c>
      <c r="H36" t="s">
        <v>411</v>
      </c>
      <c r="I36"/>
      <c r="J36"/>
    </row>
    <row r="37" spans="1:10" x14ac:dyDescent="0.3">
      <c r="A37" s="3" t="s">
        <v>225</v>
      </c>
      <c r="B37" s="3" t="s">
        <v>226</v>
      </c>
      <c r="C37" t="s">
        <v>324</v>
      </c>
      <c r="D37" s="3" t="s">
        <v>214</v>
      </c>
      <c r="E37" s="3" t="s">
        <v>227</v>
      </c>
      <c r="H37" t="s">
        <v>412</v>
      </c>
      <c r="I37"/>
      <c r="J37"/>
    </row>
    <row r="38" spans="1:10" x14ac:dyDescent="0.3">
      <c r="A38" s="3" t="s">
        <v>228</v>
      </c>
      <c r="B38" s="3" t="s">
        <v>229</v>
      </c>
      <c r="C38" t="s">
        <v>323</v>
      </c>
      <c r="D38" s="3" t="s">
        <v>214</v>
      </c>
      <c r="E38" s="3" t="s">
        <v>230</v>
      </c>
      <c r="H38" t="s">
        <v>413</v>
      </c>
      <c r="I38"/>
      <c r="J38"/>
    </row>
    <row r="39" spans="1:10" x14ac:dyDescent="0.3">
      <c r="A39" s="3" t="s">
        <v>231</v>
      </c>
      <c r="B39" s="3" t="s">
        <v>232</v>
      </c>
      <c r="C39" s="6" t="s">
        <v>322</v>
      </c>
      <c r="D39" s="3" t="s">
        <v>214</v>
      </c>
      <c r="E39" s="3" t="s">
        <v>233</v>
      </c>
      <c r="H39" t="s">
        <v>414</v>
      </c>
      <c r="I39"/>
      <c r="J39"/>
    </row>
    <row r="40" spans="1:10" x14ac:dyDescent="0.3">
      <c r="A40" s="3" t="s">
        <v>234</v>
      </c>
      <c r="B40" s="3" t="s">
        <v>235</v>
      </c>
      <c r="C40" t="s">
        <v>321</v>
      </c>
      <c r="D40" s="3" t="s">
        <v>236</v>
      </c>
      <c r="E40" s="3" t="s">
        <v>237</v>
      </c>
      <c r="H40" t="s">
        <v>415</v>
      </c>
      <c r="I40"/>
      <c r="J40"/>
    </row>
    <row r="41" spans="1:10" x14ac:dyDescent="0.3">
      <c r="A41" s="3" t="s">
        <v>238</v>
      </c>
      <c r="B41" s="3" t="s">
        <v>239</v>
      </c>
      <c r="C41" t="s">
        <v>320</v>
      </c>
      <c r="D41" s="3" t="s">
        <v>240</v>
      </c>
      <c r="E41" s="3" t="s">
        <v>241</v>
      </c>
      <c r="H41" t="s">
        <v>416</v>
      </c>
      <c r="I41"/>
      <c r="J41"/>
    </row>
    <row r="42" spans="1:10" x14ac:dyDescent="0.3">
      <c r="A42" s="3" t="s">
        <v>246</v>
      </c>
      <c r="B42" s="3" t="s">
        <v>247</v>
      </c>
      <c r="C42" t="s">
        <v>319</v>
      </c>
      <c r="D42" s="3" t="s">
        <v>248</v>
      </c>
      <c r="E42" s="3" t="s">
        <v>249</v>
      </c>
      <c r="H42" t="s">
        <v>417</v>
      </c>
      <c r="I42"/>
      <c r="J42"/>
    </row>
    <row r="43" spans="1:10" x14ac:dyDescent="0.3">
      <c r="A43" s="3" t="s">
        <v>250</v>
      </c>
      <c r="B43" s="3" t="s">
        <v>251</v>
      </c>
      <c r="C43" s="5" t="s">
        <v>318</v>
      </c>
      <c r="D43" s="3" t="s">
        <v>252</v>
      </c>
      <c r="E43" s="3" t="s">
        <v>253</v>
      </c>
      <c r="H43" s="5" t="s">
        <v>418</v>
      </c>
      <c r="I43" s="5"/>
      <c r="J43" s="5"/>
    </row>
    <row r="44" spans="1:10" x14ac:dyDescent="0.3">
      <c r="A44" s="3" t="s">
        <v>254</v>
      </c>
      <c r="B44" s="3" t="s">
        <v>255</v>
      </c>
      <c r="C44" t="s">
        <v>317</v>
      </c>
      <c r="D44" s="3" t="s">
        <v>256</v>
      </c>
      <c r="E44" s="3" t="s">
        <v>257</v>
      </c>
      <c r="H44" t="s">
        <v>419</v>
      </c>
      <c r="I44"/>
      <c r="J44"/>
    </row>
    <row r="45" spans="1:10" x14ac:dyDescent="0.3">
      <c r="A45" s="3" t="s">
        <v>258</v>
      </c>
      <c r="B45" s="3" t="s">
        <v>259</v>
      </c>
      <c r="C45" t="s">
        <v>316</v>
      </c>
      <c r="D45" s="3" t="s">
        <v>260</v>
      </c>
      <c r="E45" s="3" t="s">
        <v>261</v>
      </c>
      <c r="H45" t="s">
        <v>420</v>
      </c>
      <c r="I45"/>
      <c r="J45"/>
    </row>
    <row r="46" spans="1:10" x14ac:dyDescent="0.3">
      <c r="A46" s="3" t="s">
        <v>262</v>
      </c>
      <c r="B46" s="3" t="s">
        <v>263</v>
      </c>
      <c r="C46" t="s">
        <v>315</v>
      </c>
      <c r="D46" s="3" t="s">
        <v>260</v>
      </c>
      <c r="E46" s="3" t="s">
        <v>264</v>
      </c>
      <c r="H46" t="s">
        <v>421</v>
      </c>
      <c r="I46"/>
      <c r="J46"/>
    </row>
    <row r="47" spans="1:10" x14ac:dyDescent="0.3">
      <c r="A47" s="3" t="s">
        <v>265</v>
      </c>
      <c r="B47" s="3" t="s">
        <v>266</v>
      </c>
      <c r="C47" t="s">
        <v>314</v>
      </c>
      <c r="D47" s="3" t="s">
        <v>267</v>
      </c>
      <c r="E47" s="3" t="s">
        <v>268</v>
      </c>
      <c r="H47" t="s">
        <v>422</v>
      </c>
      <c r="I47"/>
      <c r="J47"/>
    </row>
    <row r="48" spans="1:10" x14ac:dyDescent="0.3">
      <c r="A48" s="3" t="s">
        <v>199</v>
      </c>
      <c r="B48" s="3" t="s">
        <v>269</v>
      </c>
      <c r="C48" t="s">
        <v>313</v>
      </c>
      <c r="D48" s="3" t="s">
        <v>192</v>
      </c>
      <c r="E48" s="3" t="s">
        <v>270</v>
      </c>
      <c r="H48" t="s">
        <v>423</v>
      </c>
      <c r="I48"/>
      <c r="J48"/>
    </row>
    <row r="49" spans="1:10" x14ac:dyDescent="0.3">
      <c r="A49" s="3" t="s">
        <v>202</v>
      </c>
      <c r="B49" s="3" t="s">
        <v>271</v>
      </c>
      <c r="C49" t="s">
        <v>312</v>
      </c>
      <c r="D49" s="3" t="s">
        <v>204</v>
      </c>
      <c r="E49" s="3" t="s">
        <v>272</v>
      </c>
      <c r="H49" t="s">
        <v>424</v>
      </c>
      <c r="I49"/>
      <c r="J49"/>
    </row>
    <row r="50" spans="1:10" x14ac:dyDescent="0.3">
      <c r="A50" s="3" t="s">
        <v>206</v>
      </c>
      <c r="B50" s="3" t="s">
        <v>273</v>
      </c>
      <c r="C50" t="s">
        <v>311</v>
      </c>
      <c r="D50" s="3" t="s">
        <v>204</v>
      </c>
      <c r="E50" s="3" t="s">
        <v>274</v>
      </c>
      <c r="H50" t="s">
        <v>425</v>
      </c>
      <c r="I50"/>
      <c r="J50"/>
    </row>
    <row r="51" spans="1:10" x14ac:dyDescent="0.3">
      <c r="A51" s="3" t="s">
        <v>209</v>
      </c>
      <c r="B51" s="3" t="s">
        <v>275</v>
      </c>
      <c r="C51" t="s">
        <v>310</v>
      </c>
      <c r="D51" s="3" t="s">
        <v>276</v>
      </c>
      <c r="E51" s="3" t="s">
        <v>277</v>
      </c>
      <c r="H51" t="s">
        <v>426</v>
      </c>
      <c r="I51"/>
      <c r="J51"/>
    </row>
    <row r="52" spans="1:10" x14ac:dyDescent="0.3">
      <c r="A52" s="3" t="s">
        <v>212</v>
      </c>
      <c r="B52" s="3" t="s">
        <v>213</v>
      </c>
      <c r="C52" t="s">
        <v>309</v>
      </c>
      <c r="D52" s="3" t="s">
        <v>214</v>
      </c>
      <c r="E52" s="3" t="s">
        <v>278</v>
      </c>
      <c r="H52" t="s">
        <v>427</v>
      </c>
      <c r="I52"/>
      <c r="J52"/>
    </row>
    <row r="53" spans="1:10" x14ac:dyDescent="0.3">
      <c r="A53" s="3" t="s">
        <v>279</v>
      </c>
      <c r="B53" s="3" t="s">
        <v>280</v>
      </c>
      <c r="C53" t="s">
        <v>308</v>
      </c>
      <c r="D53" s="3" t="s">
        <v>281</v>
      </c>
      <c r="E53" s="3" t="s">
        <v>282</v>
      </c>
      <c r="H53" t="s">
        <v>428</v>
      </c>
      <c r="I53"/>
      <c r="J53"/>
    </row>
    <row r="54" spans="1:10" x14ac:dyDescent="0.3">
      <c r="A54" s="3" t="s">
        <v>283</v>
      </c>
      <c r="B54" s="3" t="s">
        <v>284</v>
      </c>
      <c r="C54" t="s">
        <v>307</v>
      </c>
      <c r="D54" s="3" t="s">
        <v>281</v>
      </c>
      <c r="E54" s="3" t="s">
        <v>285</v>
      </c>
      <c r="H54" t="s">
        <v>429</v>
      </c>
      <c r="I54"/>
      <c r="J54"/>
    </row>
    <row r="55" spans="1:10" s="7" customFormat="1" x14ac:dyDescent="0.3">
      <c r="A55" s="7" t="s">
        <v>286</v>
      </c>
      <c r="B55" s="7" t="s">
        <v>287</v>
      </c>
      <c r="C55" s="5" t="s">
        <v>306</v>
      </c>
      <c r="D55" s="7" t="s">
        <v>281</v>
      </c>
      <c r="E55" s="7" t="s">
        <v>288</v>
      </c>
      <c r="H55" t="s">
        <v>430</v>
      </c>
      <c r="I55" s="5"/>
      <c r="J55" s="5"/>
    </row>
    <row r="56" spans="1:10" s="15" customFormat="1" x14ac:dyDescent="0.3">
      <c r="A56" s="14" t="s">
        <v>431</v>
      </c>
      <c r="B56" s="14" t="s">
        <v>432</v>
      </c>
      <c r="C56" s="14" t="s">
        <v>433</v>
      </c>
      <c r="D56" s="15" t="s">
        <v>434</v>
      </c>
      <c r="E56" s="15" t="s">
        <v>435</v>
      </c>
      <c r="H56" s="14" t="s">
        <v>436</v>
      </c>
      <c r="I56" s="14"/>
      <c r="J56" s="14"/>
    </row>
    <row r="57" spans="1:10" x14ac:dyDescent="0.3">
      <c r="A57" s="3" t="s">
        <v>289</v>
      </c>
      <c r="B57" s="3" t="s">
        <v>290</v>
      </c>
      <c r="D57" s="3" t="s">
        <v>291</v>
      </c>
      <c r="E57" s="3" t="s">
        <v>292</v>
      </c>
    </row>
    <row r="58" spans="1:10" x14ac:dyDescent="0.3">
      <c r="A58" s="3" t="s">
        <v>293</v>
      </c>
      <c r="B58" s="3" t="s">
        <v>294</v>
      </c>
      <c r="D58" s="3" t="s">
        <v>291</v>
      </c>
      <c r="E58" s="3" t="s">
        <v>295</v>
      </c>
    </row>
    <row r="59" spans="1:10" x14ac:dyDescent="0.3">
      <c r="A59" s="3" t="s">
        <v>296</v>
      </c>
      <c r="B59" s="3" t="s">
        <v>297</v>
      </c>
      <c r="D59" s="3" t="s">
        <v>291</v>
      </c>
      <c r="E59" s="3" t="s">
        <v>298</v>
      </c>
    </row>
    <row r="60" spans="1:10" x14ac:dyDescent="0.3">
      <c r="A60" s="3" t="s">
        <v>299</v>
      </c>
      <c r="B60" s="3" t="s">
        <v>300</v>
      </c>
      <c r="D60" s="3" t="s">
        <v>301</v>
      </c>
      <c r="E60" s="3" t="s">
        <v>302</v>
      </c>
    </row>
    <row r="63" spans="1:10" x14ac:dyDescent="0.3">
      <c r="A63" s="8" t="s">
        <v>242</v>
      </c>
      <c r="B63" s="8" t="s">
        <v>243</v>
      </c>
      <c r="C63" s="9"/>
      <c r="D63" s="8" t="s">
        <v>244</v>
      </c>
      <c r="E63" s="8" t="s">
        <v>245</v>
      </c>
    </row>
    <row r="65" spans="3:3" x14ac:dyDescent="0.3">
      <c r="C65" s="3" t="s">
        <v>335</v>
      </c>
    </row>
    <row r="66" spans="3:3" x14ac:dyDescent="0.3">
      <c r="C66" s="3" t="s">
        <v>337</v>
      </c>
    </row>
    <row r="67" spans="3:3" x14ac:dyDescent="0.3">
      <c r="C67" s="3" t="s">
        <v>339</v>
      </c>
    </row>
    <row r="73" spans="3:3" x14ac:dyDescent="0.3">
      <c r="C73" s="3">
        <f>18</f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69DDA-2F3E-4D42-A468-ABDEBDFDB55E}">
  <sheetPr codeName="Sheet4"/>
  <dimension ref="A1:L35"/>
  <sheetViews>
    <sheetView tabSelected="1" workbookViewId="0">
      <selection activeCell="O7" sqref="O7"/>
    </sheetView>
  </sheetViews>
  <sheetFormatPr defaultRowHeight="14.4" x14ac:dyDescent="0.3"/>
  <cols>
    <col min="1" max="1" width="13.44140625" customWidth="1"/>
    <col min="2" max="2" width="10.44140625" customWidth="1"/>
    <col min="3" max="3" width="7.88671875" customWidth="1"/>
    <col min="4" max="4" width="6.6640625" bestFit="1" customWidth="1"/>
    <col min="5" max="5" width="10.33203125" customWidth="1"/>
    <col min="6" max="6" width="8.44140625" customWidth="1"/>
  </cols>
  <sheetData>
    <row r="1" spans="1:12" x14ac:dyDescent="0.3">
      <c r="A1" s="10" t="s">
        <v>437</v>
      </c>
      <c r="B1" s="11" t="s">
        <v>438</v>
      </c>
      <c r="C1" s="11">
        <v>2</v>
      </c>
      <c r="D1" s="11">
        <v>38</v>
      </c>
      <c r="E1" s="11">
        <v>20</v>
      </c>
      <c r="F1" s="11">
        <v>18</v>
      </c>
    </row>
    <row r="2" spans="1:12" x14ac:dyDescent="0.3">
      <c r="A2" s="10" t="s">
        <v>439</v>
      </c>
      <c r="B2" s="11" t="s">
        <v>440</v>
      </c>
      <c r="C2" s="11">
        <v>2</v>
      </c>
      <c r="D2" s="11">
        <v>39</v>
      </c>
      <c r="E2" s="11">
        <v>21</v>
      </c>
      <c r="F2" s="11">
        <v>18</v>
      </c>
    </row>
    <row r="3" spans="1:12" x14ac:dyDescent="0.3">
      <c r="A3" s="10" t="s">
        <v>441</v>
      </c>
      <c r="B3" s="11" t="s">
        <v>442</v>
      </c>
      <c r="C3" s="11">
        <v>2</v>
      </c>
      <c r="D3" s="11">
        <v>39</v>
      </c>
      <c r="E3" s="11">
        <v>20</v>
      </c>
      <c r="F3" s="11">
        <v>18</v>
      </c>
    </row>
    <row r="4" spans="1:12" x14ac:dyDescent="0.3">
      <c r="A4" s="10" t="s">
        <v>443</v>
      </c>
      <c r="B4" s="11" t="s">
        <v>444</v>
      </c>
      <c r="C4" s="11">
        <v>2</v>
      </c>
      <c r="D4" s="11">
        <v>38</v>
      </c>
      <c r="E4" s="11">
        <v>20</v>
      </c>
      <c r="F4" s="11">
        <v>18</v>
      </c>
    </row>
    <row r="5" spans="1:12" x14ac:dyDescent="0.3">
      <c r="A5" s="10" t="s">
        <v>445</v>
      </c>
      <c r="B5" s="11" t="s">
        <v>446</v>
      </c>
      <c r="C5" s="11">
        <v>3</v>
      </c>
      <c r="D5" s="11">
        <v>57</v>
      </c>
      <c r="E5" s="11">
        <v>30</v>
      </c>
      <c r="F5" s="11">
        <v>26</v>
      </c>
    </row>
    <row r="6" spans="1:12" x14ac:dyDescent="0.3">
      <c r="A6" s="10" t="s">
        <v>447</v>
      </c>
      <c r="B6" s="11" t="s">
        <v>448</v>
      </c>
      <c r="C6" s="11">
        <v>20</v>
      </c>
      <c r="D6" s="11" t="s">
        <v>451</v>
      </c>
      <c r="E6" s="11">
        <v>195</v>
      </c>
      <c r="F6" s="11">
        <v>168</v>
      </c>
    </row>
    <row r="7" spans="1:12" x14ac:dyDescent="0.3">
      <c r="A7" s="10" t="s">
        <v>449</v>
      </c>
      <c r="B7" s="11" t="s">
        <v>450</v>
      </c>
      <c r="C7" s="11">
        <v>94</v>
      </c>
      <c r="D7" s="11">
        <v>978</v>
      </c>
      <c r="E7" s="11">
        <v>1194</v>
      </c>
      <c r="F7" s="11">
        <v>864</v>
      </c>
    </row>
    <row r="8" spans="1:12" x14ac:dyDescent="0.3">
      <c r="A8" s="10"/>
      <c r="B8" s="11"/>
      <c r="C8" s="11"/>
      <c r="D8" s="11"/>
      <c r="E8" s="11"/>
      <c r="F8" s="11"/>
    </row>
    <row r="9" spans="1:12" x14ac:dyDescent="0.3">
      <c r="A9" s="10"/>
      <c r="B9" s="11"/>
      <c r="C9" s="11"/>
      <c r="D9" s="11"/>
      <c r="E9" s="11"/>
      <c r="F9" s="11"/>
    </row>
    <row r="10" spans="1:12" x14ac:dyDescent="0.3">
      <c r="A10" s="3"/>
      <c r="D10" s="11">
        <f>SUM(D1:D6)</f>
        <v>211</v>
      </c>
      <c r="H10" s="11">
        <f>SUM(D1:D7)/SUM(C1:C7)</f>
        <v>9.5120000000000005</v>
      </c>
      <c r="J10" s="11"/>
    </row>
    <row r="11" spans="1:12" x14ac:dyDescent="0.3">
      <c r="A11" s="3"/>
      <c r="C11" s="11"/>
      <c r="D11" s="11">
        <f>SUM(C1:C5)</f>
        <v>11</v>
      </c>
      <c r="F11" s="11">
        <f>D7/C7</f>
        <v>10.404255319148936</v>
      </c>
    </row>
    <row r="12" spans="1:12" x14ac:dyDescent="0.3">
      <c r="A12" s="3"/>
      <c r="D12" s="11">
        <f>D10/D11</f>
        <v>19.181818181818183</v>
      </c>
      <c r="L12">
        <f>95/7</f>
        <v>13.571428571428571</v>
      </c>
    </row>
    <row r="13" spans="1:12" x14ac:dyDescent="0.3">
      <c r="A13" s="3"/>
    </row>
    <row r="14" spans="1:12" x14ac:dyDescent="0.3">
      <c r="A14" s="3"/>
    </row>
    <row r="15" spans="1:12" x14ac:dyDescent="0.3">
      <c r="A15" s="3"/>
      <c r="D15" s="11">
        <f>D6/C6</f>
        <v>18.8</v>
      </c>
    </row>
    <row r="16" spans="1:12" x14ac:dyDescent="0.3">
      <c r="A16" s="3"/>
    </row>
    <row r="17" spans="1:1" x14ac:dyDescent="0.3">
      <c r="A17" s="3"/>
    </row>
    <row r="18" spans="1:1" x14ac:dyDescent="0.3">
      <c r="A18" s="3"/>
    </row>
    <row r="19" spans="1:1" x14ac:dyDescent="0.3">
      <c r="A19" s="3"/>
    </row>
    <row r="20" spans="1:1" x14ac:dyDescent="0.3">
      <c r="A20" s="3"/>
    </row>
    <row r="21" spans="1:1" x14ac:dyDescent="0.3">
      <c r="A21" s="3"/>
    </row>
    <row r="22" spans="1:1" x14ac:dyDescent="0.3">
      <c r="A22" s="3"/>
    </row>
    <row r="23" spans="1:1" x14ac:dyDescent="0.3">
      <c r="A23" s="3"/>
    </row>
    <row r="24" spans="1:1" x14ac:dyDescent="0.3">
      <c r="A24" s="3"/>
    </row>
    <row r="25" spans="1:1" x14ac:dyDescent="0.3">
      <c r="A25" s="3"/>
    </row>
    <row r="26" spans="1:1" x14ac:dyDescent="0.3">
      <c r="A26" s="3"/>
    </row>
    <row r="27" spans="1:1" x14ac:dyDescent="0.3">
      <c r="A27" s="3"/>
    </row>
    <row r="28" spans="1:1" x14ac:dyDescent="0.3">
      <c r="A28" s="3"/>
    </row>
    <row r="29" spans="1:1" x14ac:dyDescent="0.3">
      <c r="A29" s="3"/>
    </row>
    <row r="30" spans="1:1" x14ac:dyDescent="0.3">
      <c r="A30" s="3"/>
    </row>
    <row r="31" spans="1:1" x14ac:dyDescent="0.3">
      <c r="A31" s="3"/>
    </row>
    <row r="32" spans="1:1" x14ac:dyDescent="0.3">
      <c r="A32" s="3"/>
    </row>
    <row r="33" spans="1:1" x14ac:dyDescent="0.3">
      <c r="A33" s="3"/>
    </row>
    <row r="34" spans="1:1" x14ac:dyDescent="0.3">
      <c r="A34" s="3"/>
    </row>
    <row r="35" spans="1:1" x14ac:dyDescent="0.3">
      <c r="A35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ED933-5304-45A2-9654-89A7808CC94A}">
  <sheetPr codeName="Sheet5"/>
  <dimension ref="A1:F35"/>
  <sheetViews>
    <sheetView topLeftCell="A22" workbookViewId="0">
      <selection activeCell="F2" sqref="F2:F31"/>
    </sheetView>
  </sheetViews>
  <sheetFormatPr defaultRowHeight="14.4" x14ac:dyDescent="0.3"/>
  <cols>
    <col min="1" max="1" width="17" bestFit="1" customWidth="1"/>
    <col min="2" max="2" width="34.33203125" bestFit="1" customWidth="1"/>
    <col min="3" max="3" width="72.44140625" bestFit="1" customWidth="1"/>
    <col min="4" max="4" width="11.88671875" bestFit="1" customWidth="1"/>
    <col min="5" max="5" width="14.88671875" bestFit="1" customWidth="1"/>
  </cols>
  <sheetData>
    <row r="1" spans="1:6" x14ac:dyDescent="0.3">
      <c r="A1" s="12" t="s">
        <v>20</v>
      </c>
      <c r="B1" s="12" t="s">
        <v>21</v>
      </c>
      <c r="C1" s="12" t="s">
        <v>22</v>
      </c>
      <c r="D1" s="12" t="s">
        <v>23</v>
      </c>
      <c r="E1" s="13" t="s">
        <v>24</v>
      </c>
    </row>
    <row r="2" spans="1:6" x14ac:dyDescent="0.3">
      <c r="A2" t="s">
        <v>340</v>
      </c>
      <c r="B2" s="3" t="s">
        <v>193</v>
      </c>
      <c r="C2" t="s">
        <v>334</v>
      </c>
      <c r="F2" t="s">
        <v>369</v>
      </c>
    </row>
    <row r="3" spans="1:6" x14ac:dyDescent="0.3">
      <c r="A3" t="s">
        <v>341</v>
      </c>
      <c r="B3" s="8" t="s">
        <v>195</v>
      </c>
      <c r="C3" t="s">
        <v>342</v>
      </c>
      <c r="F3" t="s">
        <v>370</v>
      </c>
    </row>
    <row r="4" spans="1:6" x14ac:dyDescent="0.3">
      <c r="A4" t="s">
        <v>343</v>
      </c>
      <c r="B4" s="3" t="s">
        <v>198</v>
      </c>
      <c r="C4" t="s">
        <v>333</v>
      </c>
      <c r="F4" t="s">
        <v>371</v>
      </c>
    </row>
    <row r="5" spans="1:6" x14ac:dyDescent="0.3">
      <c r="A5" t="s">
        <v>344</v>
      </c>
      <c r="B5" s="3" t="s">
        <v>201</v>
      </c>
      <c r="C5" t="s">
        <v>332</v>
      </c>
      <c r="F5" t="s">
        <v>372</v>
      </c>
    </row>
    <row r="6" spans="1:6" x14ac:dyDescent="0.3">
      <c r="A6" t="s">
        <v>345</v>
      </c>
      <c r="B6" s="3" t="s">
        <v>205</v>
      </c>
      <c r="C6" t="s">
        <v>331</v>
      </c>
      <c r="F6" t="s">
        <v>373</v>
      </c>
    </row>
    <row r="7" spans="1:6" x14ac:dyDescent="0.3">
      <c r="A7" t="s">
        <v>346</v>
      </c>
      <c r="B7" s="3" t="s">
        <v>208</v>
      </c>
      <c r="C7" t="s">
        <v>330</v>
      </c>
      <c r="F7" t="s">
        <v>374</v>
      </c>
    </row>
    <row r="8" spans="1:6" x14ac:dyDescent="0.3">
      <c r="A8" t="s">
        <v>375</v>
      </c>
      <c r="B8" s="3" t="s">
        <v>211</v>
      </c>
      <c r="C8" t="s">
        <v>329</v>
      </c>
      <c r="F8" t="s">
        <v>376</v>
      </c>
    </row>
    <row r="9" spans="1:6" x14ac:dyDescent="0.3">
      <c r="A9" t="s">
        <v>347</v>
      </c>
      <c r="B9" s="3" t="s">
        <v>215</v>
      </c>
      <c r="C9" t="s">
        <v>328</v>
      </c>
      <c r="F9" t="s">
        <v>377</v>
      </c>
    </row>
    <row r="10" spans="1:6" x14ac:dyDescent="0.3">
      <c r="A10" t="s">
        <v>348</v>
      </c>
      <c r="B10" s="3" t="s">
        <v>218</v>
      </c>
      <c r="C10" t="s">
        <v>327</v>
      </c>
      <c r="F10" t="s">
        <v>378</v>
      </c>
    </row>
    <row r="11" spans="1:6" x14ac:dyDescent="0.3">
      <c r="A11" t="s">
        <v>349</v>
      </c>
      <c r="B11" s="3" t="s">
        <v>221</v>
      </c>
      <c r="C11" t="s">
        <v>326</v>
      </c>
      <c r="F11" t="s">
        <v>379</v>
      </c>
    </row>
    <row r="12" spans="1:6" x14ac:dyDescent="0.3">
      <c r="A12" t="s">
        <v>350</v>
      </c>
      <c r="B12" s="3" t="s">
        <v>224</v>
      </c>
      <c r="C12" t="s">
        <v>325</v>
      </c>
      <c r="F12" t="s">
        <v>380</v>
      </c>
    </row>
    <row r="13" spans="1:6" x14ac:dyDescent="0.3">
      <c r="A13" t="s">
        <v>351</v>
      </c>
      <c r="B13" s="3" t="s">
        <v>227</v>
      </c>
      <c r="C13" t="s">
        <v>324</v>
      </c>
      <c r="F13" t="s">
        <v>381</v>
      </c>
    </row>
    <row r="14" spans="1:6" x14ac:dyDescent="0.3">
      <c r="A14" t="s">
        <v>352</v>
      </c>
      <c r="B14" s="3" t="s">
        <v>230</v>
      </c>
      <c r="C14" t="s">
        <v>323</v>
      </c>
      <c r="F14" t="s">
        <v>382</v>
      </c>
    </row>
    <row r="15" spans="1:6" x14ac:dyDescent="0.3">
      <c r="A15" t="s">
        <v>353</v>
      </c>
      <c r="B15" s="3" t="s">
        <v>233</v>
      </c>
      <c r="C15" t="s">
        <v>322</v>
      </c>
      <c r="F15" t="s">
        <v>383</v>
      </c>
    </row>
    <row r="16" spans="1:6" x14ac:dyDescent="0.3">
      <c r="A16" t="s">
        <v>354</v>
      </c>
      <c r="B16" s="3" t="s">
        <v>237</v>
      </c>
      <c r="C16" t="s">
        <v>321</v>
      </c>
      <c r="F16" t="s">
        <v>384</v>
      </c>
    </row>
    <row r="17" spans="1:6" x14ac:dyDescent="0.3">
      <c r="A17" t="s">
        <v>355</v>
      </c>
      <c r="B17" s="3" t="s">
        <v>241</v>
      </c>
      <c r="C17" t="s">
        <v>320</v>
      </c>
      <c r="F17" t="s">
        <v>385</v>
      </c>
    </row>
    <row r="18" spans="1:6" x14ac:dyDescent="0.3">
      <c r="A18" t="s">
        <v>356</v>
      </c>
      <c r="B18" s="3" t="s">
        <v>249</v>
      </c>
      <c r="C18" t="s">
        <v>319</v>
      </c>
      <c r="F18" t="s">
        <v>386</v>
      </c>
    </row>
    <row r="19" spans="1:6" x14ac:dyDescent="0.3">
      <c r="A19" s="5" t="s">
        <v>357</v>
      </c>
      <c r="B19" s="7" t="s">
        <v>253</v>
      </c>
      <c r="C19" s="5" t="s">
        <v>318</v>
      </c>
      <c r="D19" s="5"/>
      <c r="E19" s="5"/>
      <c r="F19" s="5" t="s">
        <v>387</v>
      </c>
    </row>
    <row r="20" spans="1:6" x14ac:dyDescent="0.3">
      <c r="A20" t="s">
        <v>358</v>
      </c>
      <c r="B20" s="3" t="s">
        <v>257</v>
      </c>
      <c r="C20" t="s">
        <v>317</v>
      </c>
      <c r="F20" t="s">
        <v>388</v>
      </c>
    </row>
    <row r="21" spans="1:6" x14ac:dyDescent="0.3">
      <c r="A21" t="s">
        <v>359</v>
      </c>
      <c r="B21" s="3" t="s">
        <v>261</v>
      </c>
      <c r="C21" t="s">
        <v>316</v>
      </c>
      <c r="F21" t="s">
        <v>389</v>
      </c>
    </row>
    <row r="22" spans="1:6" x14ac:dyDescent="0.3">
      <c r="A22" t="s">
        <v>360</v>
      </c>
      <c r="B22" s="3" t="s">
        <v>264</v>
      </c>
      <c r="C22" t="s">
        <v>315</v>
      </c>
      <c r="F22" t="s">
        <v>390</v>
      </c>
    </row>
    <row r="23" spans="1:6" x14ac:dyDescent="0.3">
      <c r="A23" t="s">
        <v>361</v>
      </c>
      <c r="B23" s="3" t="s">
        <v>268</v>
      </c>
      <c r="C23" t="s">
        <v>314</v>
      </c>
      <c r="F23" t="s">
        <v>391</v>
      </c>
    </row>
    <row r="24" spans="1:6" x14ac:dyDescent="0.3">
      <c r="A24" t="s">
        <v>399</v>
      </c>
      <c r="B24" s="3" t="s">
        <v>270</v>
      </c>
      <c r="C24" t="s">
        <v>313</v>
      </c>
      <c r="F24" t="s">
        <v>400</v>
      </c>
    </row>
    <row r="25" spans="1:6" x14ac:dyDescent="0.3">
      <c r="A25" t="s">
        <v>362</v>
      </c>
      <c r="B25" s="3" t="s">
        <v>272</v>
      </c>
      <c r="C25" t="s">
        <v>312</v>
      </c>
      <c r="F25" t="s">
        <v>392</v>
      </c>
    </row>
    <row r="26" spans="1:6" x14ac:dyDescent="0.3">
      <c r="A26" t="s">
        <v>363</v>
      </c>
      <c r="B26" s="3" t="s">
        <v>274</v>
      </c>
      <c r="C26" t="s">
        <v>311</v>
      </c>
      <c r="F26" t="s">
        <v>393</v>
      </c>
    </row>
    <row r="27" spans="1:6" x14ac:dyDescent="0.3">
      <c r="A27" t="s">
        <v>364</v>
      </c>
      <c r="B27" s="3" t="s">
        <v>277</v>
      </c>
      <c r="C27" t="s">
        <v>310</v>
      </c>
      <c r="F27" t="s">
        <v>394</v>
      </c>
    </row>
    <row r="28" spans="1:6" x14ac:dyDescent="0.3">
      <c r="A28" t="s">
        <v>365</v>
      </c>
      <c r="B28" s="3" t="s">
        <v>278</v>
      </c>
      <c r="C28" t="s">
        <v>309</v>
      </c>
      <c r="F28" t="s">
        <v>395</v>
      </c>
    </row>
    <row r="29" spans="1:6" x14ac:dyDescent="0.3">
      <c r="A29" t="s">
        <v>366</v>
      </c>
      <c r="B29" s="3" t="s">
        <v>282</v>
      </c>
      <c r="C29" t="s">
        <v>308</v>
      </c>
      <c r="F29" t="s">
        <v>396</v>
      </c>
    </row>
    <row r="30" spans="1:6" x14ac:dyDescent="0.3">
      <c r="A30" t="s">
        <v>367</v>
      </c>
      <c r="B30" s="3" t="s">
        <v>285</v>
      </c>
      <c r="C30" t="s">
        <v>307</v>
      </c>
      <c r="F30" t="s">
        <v>397</v>
      </c>
    </row>
    <row r="31" spans="1:6" x14ac:dyDescent="0.3">
      <c r="A31" t="s">
        <v>368</v>
      </c>
      <c r="B31" s="7" t="s">
        <v>288</v>
      </c>
      <c r="C31" t="s">
        <v>306</v>
      </c>
      <c r="F31" t="s">
        <v>398</v>
      </c>
    </row>
    <row r="32" spans="1:6" x14ac:dyDescent="0.3">
      <c r="B32" s="3"/>
    </row>
    <row r="33" spans="2:2" x14ac:dyDescent="0.3">
      <c r="B33" s="3"/>
    </row>
    <row r="34" spans="2:2" x14ac:dyDescent="0.3">
      <c r="B34" s="3"/>
    </row>
    <row r="35" spans="2:2" x14ac:dyDescent="0.3">
      <c r="B3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DS Goi Thau</vt:lpstr>
      <vt:lpstr>DS Mat Cat</vt:lpstr>
      <vt:lpstr>Caches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Đăng Huân Võ</dc:creator>
  <cp:lastModifiedBy>Đăng Huân Võ</cp:lastModifiedBy>
  <dcterms:created xsi:type="dcterms:W3CDTF">2025-07-10T13:58:16Z</dcterms:created>
  <dcterms:modified xsi:type="dcterms:W3CDTF">2025-08-19T05:02:37Z</dcterms:modified>
</cp:coreProperties>
</file>