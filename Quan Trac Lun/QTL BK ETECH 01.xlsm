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\bketech\Quan Trac Lun\"/>
    </mc:Choice>
  </mc:AlternateContent>
  <xr:revisionPtr revIDLastSave="0" documentId="13_ncr:1_{79B50C99-C9D6-4E4E-878A-33238CE47E89}" xr6:coauthVersionLast="47" xr6:coauthVersionMax="47" xr10:uidLastSave="{00000000-0000-0000-0000-000000000000}"/>
  <bookViews>
    <workbookView xWindow="-8325" yWindow="-16320" windowWidth="29040" windowHeight="15720" activeTab="3" xr2:uid="{6D3E70E0-7CED-42FB-AD1E-15F005DAFCD1}"/>
  </bookViews>
  <sheets>
    <sheet name="DS Goi Thau" sheetId="1" r:id="rId1"/>
    <sheet name="DS Mat Cat" sheetId="2" r:id="rId2"/>
    <sheet name="Caches" sheetId="3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4" l="1" a="1"/>
  <c r="J5" i="4" s="1"/>
  <c r="R27" i="4"/>
  <c r="S27" i="4"/>
  <c r="Q27" i="4"/>
  <c r="E20" i="4" a="1"/>
  <c r="E20" i="4" l="1"/>
  <c r="M20" i="4" a="1"/>
  <c r="M20" i="4" s="1"/>
  <c r="M19" i="4" a="1"/>
  <c r="M19" i="4" s="1"/>
  <c r="M11" i="4" a="1"/>
  <c r="M11" i="4" s="1"/>
  <c r="M17" i="4" a="1"/>
  <c r="M17" i="4" s="1"/>
  <c r="M9" i="4" a="1"/>
  <c r="M9" i="4" s="1"/>
  <c r="M5" i="4" a="1"/>
  <c r="M5" i="4" s="1"/>
  <c r="M16" i="4" a="1"/>
  <c r="M16" i="4" s="1"/>
  <c r="M8" i="4" a="1"/>
  <c r="M8" i="4" s="1"/>
  <c r="M18" i="4" a="1"/>
  <c r="M18" i="4" s="1"/>
  <c r="M23" i="4" a="1"/>
  <c r="M23" i="4" s="1"/>
  <c r="M15" i="4" a="1"/>
  <c r="M15" i="4" s="1"/>
  <c r="M7" i="4" a="1"/>
  <c r="M7" i="4" s="1"/>
  <c r="M10" i="4" a="1"/>
  <c r="M10" i="4" s="1"/>
  <c r="M22" i="4" a="1"/>
  <c r="M22" i="4" s="1"/>
  <c r="M14" i="4" a="1"/>
  <c r="M14" i="4" s="1"/>
  <c r="M6" i="4" a="1"/>
  <c r="M6" i="4" s="1"/>
  <c r="M21" i="4" a="1"/>
  <c r="M21" i="4" s="1"/>
  <c r="M13" i="4" a="1"/>
  <c r="M13" i="4" s="1"/>
  <c r="M12" i="4" a="1"/>
  <c r="M12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<sst xmlns="http://schemas.openxmlformats.org/spreadsheetml/2006/main" count="254" uniqueCount="198">
  <si>
    <t>Mã Gói Thầu</t>
  </si>
  <si>
    <t>Tên Gói Thầu</t>
  </si>
  <si>
    <t>Trạng Thái</t>
  </si>
  <si>
    <t>Vị Trí</t>
  </si>
  <si>
    <t>Thông Tin Gói Thầu</t>
  </si>
  <si>
    <t>Id</t>
  </si>
  <si>
    <t>Tên Mặt Cắt</t>
  </si>
  <si>
    <t>Loại Mặt Cắt</t>
  </si>
  <si>
    <t>Thông Tin Lắp Đặt</t>
  </si>
  <si>
    <t>HD XL01</t>
  </si>
  <si>
    <t>Activate</t>
  </si>
  <si>
    <t>An Giang</t>
  </si>
  <si>
    <t>HD XL02</t>
  </si>
  <si>
    <t>Gói Thầu 02</t>
  </si>
  <si>
    <t>Stop</t>
  </si>
  <si>
    <t>Hậu Giang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</si>
  <si>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HÀ&lt;|&gt;TTKhac|:None</t>
  </si>
  <si>
    <t>KM0+100&lt;|&gt;HD XL01&lt;|&gt;L03</t>
  </si>
  <si>
    <t>KM0+100</t>
  </si>
  <si>
    <t>L03</t>
  </si>
  <si>
    <t>KM0+200&lt;|&gt;HD XL01&lt;|&gt;L03</t>
  </si>
  <si>
    <t>KM0+200</t>
  </si>
  <si>
    <t>KM1+100&lt;|&gt;HD XL02&lt;|&gt;L03</t>
  </si>
  <si>
    <t>KM1+100</t>
  </si>
  <si>
    <t>KM1+200&lt;|&gt;HD XL02&lt;|&gt;L03</t>
  </si>
  <si>
    <t>KM1+200</t>
  </si>
  <si>
    <t>KM1+300&lt;|&gt;HD XL02&lt;|&gt;L03</t>
  </si>
  <si>
    <t>KM1+300</t>
  </si>
  <si>
    <t>KM0+300&lt;|&gt;HD XL01&lt;|&gt;L03</t>
  </si>
  <si>
    <t>KM0+300</t>
  </si>
  <si>
    <t>KM0+400&lt;|&gt;HD XL01&lt;|&gt;L03</t>
  </si>
  <si>
    <t>KM0+400</t>
  </si>
  <si>
    <t>KM0+500&lt;|&gt;HD XL01&lt;|&gt;L03</t>
  </si>
  <si>
    <t>KM0+500</t>
  </si>
  <si>
    <t>Dữ Liệu Lắp Đặt</t>
  </si>
  <si>
    <t>Thông Tin Dap Nen (GT)</t>
  </si>
  <si>
    <t>Ngày KTGT</t>
  </si>
  <si>
    <t>Ngày Nối Cần</t>
  </si>
  <si>
    <t>Ngày BD Tính Lún</t>
  </si>
  <si>
    <t>NgayLD|:27/04/2023&lt;|&gt;CDMoc|:842&lt;|&gt;CDBanTrai|:20&lt;|&gt;CDBanTim|:10&lt;|&gt;CDBanPhai|:0&lt;|&gt;CDNen|:0.01</t>
  </si>
  <si>
    <t>22/05/2023|:DN Lớp 8||0.2&lt;|&gt;26/05/2023|:DN Lớp 7||0.3&lt;|&gt;30/05/2023|:DN Lớp 6||0.3&lt;|&gt;29/03/2024|:DN Lớp 5||0.3&lt;|&gt;02/04/2024|:DN Lớp 4||0.3&lt;|&gt;07/04/2024|:DN Lớp 3||0.3&lt;|&gt;11/04/2024|:DN Lớp 2||0.3&lt;|&gt;16/04/2024|:DN Lớp 1||0.3&lt;|&gt;01/10/2024|:GT 4||0.25&lt;|&gt;06/10/2024|:GT 3||0.3&lt;|&gt;10/10/2024|:GT 2||0.3&lt;|&gt;15/10/2024|:GT 1||0.3&lt;|&gt;12/04/2025|:GT GD2 LỚP 7||0.2&lt;|&gt;17/04/2025|:GT GD2 LỚP 6||0.3&lt;|&gt;22/04/2025|:GT GD2 LỚP 5||0.3&lt;|&gt;27/04/2025|:GT GD2 LỚP 4||0.3&lt;|&gt;02/05/2025|:GT GD2 LỚP 3||0.3&lt;|&gt;07/05/2025|:GT GD2 LỚP 2||0.3&lt;|&gt;14/05/2025|:K.Thúc GT||0.3</t>
  </si>
  <si>
    <t>NgayKT|:14/05/2025&lt;|&gt;CDBanTrai|:-1480&lt;|&gt;CDBanTim|:-1586&lt;|&gt;CDBanPhai|:-1202</t>
  </si>
  <si>
    <t>114+220|:22/05/2023|:DN Lớp 8||0.2</t>
  </si>
  <si>
    <t>NgayLD|:27/04/2023&lt;|&gt;CDMoc|:842&lt;|&gt;CDBanTrai|:-180&lt;|&gt;CDBanTim|:-180&lt;|&gt;CDBanPhai|:-120&lt;|&gt;CDNen|:-0.18</t>
  </si>
  <si>
    <t>22/05/2023|:DN Lớp 8||0&lt;|&gt;26/05/2023|:DN Lớp 7||0.3&lt;|&gt;30/05/2023|:DN Lớp 6||0.3&lt;|&gt;29/03/2024|:DN Lớp 5||0.3&lt;|&gt;02/04/2024|:DN Lớp 4||0.3&lt;|&gt;07/04/2024|:DN Lớp 3||0.3&lt;|&gt;11/04/2024|:DN Lớp 2||0.3&lt;|&gt;16/04/2024|:DN Lớp 1||0.3&lt;|&gt;22/09/2024|:GT 6||0.29&lt;|&gt;26/09/2024|:GT 5||0.3&lt;|&gt;01/10/2024|:GT 4||0.3&lt;|&gt;06/10/2024|:GT 3||0.3&lt;|&gt;10/10/2024|:GT 2||0.3&lt;|&gt;15/10/2024|:GT 1||0.3&lt;|&gt;12/04/2025|:GT GD2 LỚP 7||0.2&lt;|&gt;17/04/2025|:GT GD2 LỚP 6||0.27&lt;|&gt;22/04/2025|:GT GD2 LỚP 5||0.3&lt;|&gt;27/04/2025|:GT GD2 LỚP 4||0.3&lt;|&gt;02/05/2025|:GT GD2 LỚP 3||0.3&lt;|&gt;07/05/2025|:GT GD2 LỚP 2||0.3&lt;|&gt;11/05/2025|:K.Thúc GT||0.3</t>
  </si>
  <si>
    <t>NgayKT|:11/05/2025&lt;|&gt;CDBanTrai|:-1244&lt;|&gt;CDBanTim|:-1466&lt;|&gt;CDBanPhai|:-1096</t>
  </si>
  <si>
    <t>114+320|:22/05/2023|:DN Lớp 8||0</t>
  </si>
  <si>
    <t>NgayLD|:19/12/2023&lt;|&gt;CDMoc|:842&lt;|&gt;CDBanTrai|:-220&lt;|&gt;CDBanTim|:-520&lt;|&gt;CDBanPhai|:-400&lt;|&gt;CDNen|:-0.52</t>
  </si>
  <si>
    <t>29/12/2023|:DN Lớp 11||0&lt;|&gt;03/01/2024|:DN Lớp 10||0.3&lt;|&gt;07/01/2024|:DN Lớp 9||0.3&lt;|&gt;11/01/2024|:DN Lớp 8||0.3&lt;|&gt;15/01/2024|:DN Lớp 7||0.3&lt;|&gt;19/01/2024|:DN Lớp 6||0.3&lt;|&gt;23/01/2024|:DN Lớp 5||0.3&lt;|&gt;27/01/2024|:DN Lớp 4||0.3&lt;|&gt;05/04/2024|:DN Lớp 3||0.3&lt;|&gt;09/04/2024|:DN Lớp 2||0.3&lt;|&gt;14/04/2024|:DN Lớp 1||0.3&lt;|&gt;22/09/2024|:GT 6||0.2&lt;|&gt;26/09/2024|:GT 5||0.3&lt;|&gt;01/10/2024|:GT 4||0.3&lt;|&gt;06/10/2024|:GT 3||0.3&lt;|&gt;10/10/2024|:GT 2||0.3&lt;|&gt;15/10/2024|:GT 1||0.3&lt;|&gt;28/03/2025|:GT GD2 LỚP 10||0.2&lt;|&gt;02/04/2025|:GT GD2 LỚP 9||0.2&lt;|&gt;07/04/2025|:GT GD2 LỚP 8||0.28&lt;|&gt;12/04/2025|:GT GD2 LỚP 7||0.3&lt;|&gt;17/04/2025|:GT GD2 LỚP 6||0.3&lt;|&gt;22/04/2025|:GT GD2 LỚP 5||0.3&lt;|&gt;27/04/2025|:GT GD2 LỚP 4||0.3&lt;|&gt;30/04/2025|:GT GD2 LỚP 3||0.3&lt;|&gt;03/05/2025|:GT GD2 LỚP 2||0.3&lt;|&gt;06/05/2025|:K.Thúc GT||0.3</t>
  </si>
  <si>
    <t>NgayKT|:06/05/2025&lt;|&gt;CDBanTrai|:-1207&lt;|&gt;CDBanTim|:-1563&lt;|&gt;CDBanPhai|:-1304</t>
  </si>
  <si>
    <t>114+420|:29/12/2023|:DN Lớp 11||0</t>
  </si>
  <si>
    <t>NgayLD|:10/12/2023&lt;|&gt;CDMoc|:842&lt;|&gt;CDBanTrai|:-280&lt;|&gt;CDBanTim|:-620&lt;|&gt;CDBanPhai|:-620&lt;|&gt;CDNen|:-0.62</t>
  </si>
  <si>
    <t>13/12/2023|:DN Lớp 11||0&lt;|&gt;17/12/2023|:DN Lớp 10||0.3&lt;|&gt;21/12/2023|:DN Lớp 9||0.3&lt;|&gt;27/12/2023|:DN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6||0.37&lt;|&gt;07/12/2024|:GT LỚP 5||0.3&lt;|&gt;12/12/2024|:GT LỚP 4||0.3&lt;|&gt;16/12/2024|:GT LỚP 3||0.3&lt;|&gt;21/12/2024|:GT LỚP 2||0.3&lt;|&gt;26/12/2024|:GT LỚP 1||0.3&lt;|&gt;18/03/2025|:GT GD2 LỚP 9||0.35&lt;|&gt;23/03/2025|:GT GD2 LỚP 8||0.3&lt;|&gt;28/03/2025|:GT GD2 LỚP 7||0.33&lt;|&gt;02/04/2025|:GT GD2 LỚP 6||0.3&lt;|&gt;07/04/2025|:GT GD2 LỚP 5||0.3&lt;|&gt;12/04/2025|:GT GD2 LỚP 4||0.3&lt;|&gt;17/04/2025|:GT GD2 LỚP 3||0&lt;|&gt;22/04/2025|:GT GD2 LỚP 2||0.3&lt;|&gt;29/04/2025|:K.Thúc đắp GT||0.3</t>
  </si>
  <si>
    <t>NgayKT|:29/04/2025&lt;|&gt;CDBanTrai|:-1798&lt;|&gt;CDBanTim|:-1904&lt;|&gt;CDBanPhai|:-1534</t>
  </si>
  <si>
    <t>114+620|:13/12/2023|:DN Lớp 11||0</t>
  </si>
  <si>
    <t>NgayLD|:10/12/2023&lt;|&gt;CDMoc|:842&lt;|&gt;CDBanTrai|:-50&lt;|&gt;CDBanTim|:-20&lt;|&gt;CDBanPhai|:-40&lt;|&gt;CDNen|:-0.02</t>
  </si>
  <si>
    <t>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6||0.2&lt;|&gt;07/12/2024|:GT LỚP 5||0.25&lt;|&gt;12/12/2024|:GT LỚP 4||0.3&lt;|&gt;16/12/2024|:GT LỚP 3||0.3&lt;|&gt;21/12/2024|:GT LỚP 2||0.3&lt;|&gt;26/12/2024|:GT LỚP 1||0.3&lt;|&gt;28/03/2025|:GT GD2 LỚP 7||0.2&lt;|&gt;02/04/2025|:GT GD2 LỚP 6||0.2&lt;|&gt;07/04/2025|:GT GD2 LỚP 5||0.2&lt;|&gt;12/04/2025|:GT GD2 LỚP 4||0.3&lt;|&gt;17/04/2025|:GT GD2 LỚP 3||0.3&lt;|&gt;22/04/2025|:GT GD2 LỚP 2||0.3&lt;|&gt;26/04/2025|:K.Thúc GT||0.2</t>
  </si>
  <si>
    <t>NgayKT|:26/04/2025&lt;|&gt;CDBanTrai|:-1336&lt;|&gt;CDBanTim|:-1469&lt;|&gt;CDBanPhai|:-1063</t>
  </si>
  <si>
    <t>114+720|:27/12/2023|:DN Lớp 8||0.3</t>
  </si>
  <si>
    <t>NgayLD|:10/12/2023&lt;|&gt;CDMoc|:842&lt;|&gt;CDBanTrai|:-80&lt;|&gt;CDBanTim|:100&lt;|&gt;CDBanPhai|:-390&lt;|&gt;CDNen|:0.1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</si>
  <si>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1||0.3&lt;|&gt;12/12/2024|:GT LỚP 4||0.2&lt;|&gt;16/12/2024|:GT LỚP 3||0.3&lt;|&gt;21/12/2024|:GT LỚP 2||0.3&lt;|&gt;26/12/2024|:GT LỚP 1||0.3&lt;|&gt;12/04/2025|:GT GD2 LỚP 4||0.22&lt;|&gt;15/04/2025|:GT GD2 LỚP 3||0.3&lt;|&gt;18/04/2025|:GT GD2 LỚP 2||0.3&lt;|&gt;21/04/2025|:K.Thúc GT||0.3</t>
  </si>
  <si>
    <t>NgayKT|:21/04/2025&lt;|&gt;CDBanTrai|:-970&lt;|&gt;CDBanTim|:-1377&lt;|&gt;CDBanPhai|:-935</t>
  </si>
  <si>
    <t>114+840|:27/12/2023|:DN Lớp 8||0</t>
  </si>
  <si>
    <t>NgayLD|:10/12/2023&lt;|&gt;CDMoc|:842&lt;|&gt;CDBanTrai|:-140&lt;|&gt;CDBanTim|:-140&lt;|&gt;CDBanPhai|:-140&lt;|&gt;CDNen|:-0.14</t>
  </si>
  <si>
    <t>02/01/2024|:DN Lớp 7||0.3&lt;|&gt;08/01/2024|:DN Lớp 6||0.3&lt;|&gt;14/01/2024|:DN Lớp 5||0.3&lt;|&gt;20/01/2024|:DN Lớp 4||0.3&lt;|&gt;14/04/2024|:DN Lớp 3||0.3&lt;|&gt;18/04/2024|:DN Lớp 2||0.3&lt;|&gt;23/04/2024|:DN Lớp 1||0.3&lt;|&gt;16/12/2024|:GT 4||0.2&lt;|&gt;21/12/2024|:GT 3||0.2&lt;|&gt;26/12/2024|:GT 2||0.3&lt;|&gt;31/12/2024|:GT 1||0.3&lt;|&gt;09/04/2025|:GT GD2 LỚP 4||0.25&lt;|&gt;12/04/2025|:GT GD2 LỚP 3||0.3&lt;|&gt;15/04/2025|:GT GD2 LỚP 2||0.3&lt;|&gt;18/04/2025|:K.THÚC GT||0.28</t>
  </si>
  <si>
    <t>NgayKT|:18/04/2025&lt;|&gt;CDBanTrai|:-1143&lt;|&gt;CDBanTim|:-1170&lt;|&gt;CDBanPhai|:-944</t>
  </si>
  <si>
    <t>114+940|:02/01/2024|:DN Lớp 7||0.3</t>
  </si>
  <si>
    <t>NgayLD|:10/12/2023&lt;|&gt;CDMoc|:1069&lt;|&gt;CDBanTrai|:-220&lt;|&gt;CDBanTim|:-210&lt;|&gt;CDBanPhai|:-140&lt;|&gt;CDNen|:-0.21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</si>
  <si>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</si>
  <si>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NgayKT|:14/04/2025&lt;|&gt;CDBanTrai|:-1215&lt;|&gt;CDBanTim|:-1378&lt;|&gt;CDBanPhai|:-953</t>
  </si>
  <si>
    <t>115+040|:27/12/2023|:DN Lớp 8||0</t>
  </si>
  <si>
    <t>NgayLD|:10/12/2023&lt;|&gt;CDMoc|:1069&lt;|&gt;CDBanTrai|:-200&lt;|&gt;CDBanTim|:-600&lt;|&gt;CDBanPhai|:-520&lt;|&gt;CDNen|:-0.6</t>
  </si>
  <si>
    <t>21/12/2023|:DN Lớp 9||0&lt;|&gt;27/12/2023|:DN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</si>
  <si>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NgayKT|:14/04/2025&lt;|&gt;CDBanTrai|:-1058&lt;|&gt;CDBanTim|:-1294&lt;|&gt;CDBanPhai|:-1346</t>
  </si>
  <si>
    <t>115+140|:21/12/2023|:DN Lớp 9||0</t>
  </si>
  <si>
    <t>NgayLD|:21/11/2023&lt;|&gt;CDMoc|:1069&lt;|&gt;CDBanTrai|:-200&lt;|&gt;CDBanTim|:-220&lt;|&gt;CDBanPhai|:-250&lt;|&gt;CDNen|:-0.22</t>
  </si>
  <si>
    <t>08/12/2023|:DN Lớp 9||0.3&lt;|&gt;12/12/2023|:DN Lớp 8||0.3&lt;|&gt;16/12/2023|:DN Lớp 7||0.2&lt;|&gt;20/12/2023|:DN Lớp 6||0.2&lt;|&gt;24/12/2023|:DN Lớp 5||0.3&lt;|&gt;20/04/2024|:DN Lớp 4||0.3&lt;|&gt;24/04/2024|:DN Lớp 3||0.3&lt;|&gt;29/04/2024|:DN Lớp 2||0.3&lt;|&gt;03/05/2024|:DN Lớp 1||0.3&lt;|&gt;06/12/2024|:GT 6||0&lt;|&gt;11/12/2024|:GT 5||0.29&lt;|&gt;16/12/2024|:GT 4||0.3&lt;|&gt;21/12/2024|:GT 3||0.3&lt;|&gt;26/12/2024|:GT 2||0.3&lt;|&gt;31/12/2024|:GT 1||0.3&lt;|&gt;22/03/2025|:GT GD2 LỚP 7||0.3&lt;|&gt;25/03/2025|:GT GD2 LỚP 6||0.3&lt;|&gt;28/03/2025|:GT GD2 LỚP 5||0.3&lt;|&gt;31/03/2025|:GT GD2 LỚP 4||0.3&lt;|&gt;03/04/2025|:GT GD2 LỚP 3||0.3&lt;|&gt;06/04/2025|:GT GD2 LỚP 2||0.3&lt;|&gt;10/04/2025|:K.Thúc GT||0.3</t>
  </si>
  <si>
    <t>NgayKT|:10/04/2025&lt;|&gt;CDBanTrai|:-1018&lt;|&gt;CDBanTim|:-1298&lt;|&gt;CDBanPhai|:-1138</t>
  </si>
  <si>
    <t>115+260|:08/12/2023|:DN Lớp 9||0.3</t>
  </si>
  <si>
    <t>NgayLD|:21/11/2023&lt;|&gt;CDMoc|:1069&lt;|&gt;CDBanTrai|:-190&lt;|&gt;CDBanTim|:-160&lt;|&gt;CDBanPhai|:-200&lt;|&gt;CDNen|:-0.16</t>
  </si>
  <si>
    <t>08/12/2023|:DN Lớp 9||0.3&lt;|&gt;12/12/2023|:DN Lớp 8||0.3&lt;|&gt;16/12/2023|:DN Lớp 7||0.3&lt;|&gt;20/12/2023|:DN Lớp 6||0.3&lt;|&gt;24/12/2023|:DN Lớp 5||0.3&lt;|&gt;20/04/2024|:DN Lớp 4||0.3&lt;|&gt;24/04/2024|:DN Lớp 3||0.3&lt;|&gt;29/04/2024|:DN Lớp 2||0.3&lt;|&gt;03/05/2024|:DN Lớp 1||0.3&lt;|&gt;29/11/2024|:GT LỚP 7||0.37&lt;|&gt;04/12/2024|:GT LỚP 6||0.3&lt;|&gt;09/12/2024|:GT LỚP 5||0.3&lt;|&gt;14/12/2024|:GT LỚP 4||0.3&lt;|&gt;19/12/2024|:GT LỚP 3||0.3&lt;|&gt;26/12/2024|:GT LỚP 2||0.3&lt;|&gt;31/12/2024|:GT LỚP 1||0.3&lt;|&gt;13/03/2025|:GT GD2 LỚP 10||0.25&lt;|&gt;16/03/2025|:GT GD2 LỚP 9||0.23&lt;|&gt;19/03/2025|:GT GD2 LỚP 8||0.3&lt;|&gt;22/03/2025|:GT GD2 LỚP 7||0.3&lt;|&gt;25/03/2025|:GT GD2 LỚP 6||0.3&lt;|&gt;28/03/2025|:GT GD2 LỚP 5||0.3&lt;|&gt;31/03/2025|:GT GD2 LỚP 4||0.3&lt;|&gt;03/04/2025|:GT GD2 LỚP 3||0&lt;|&gt;06/04/2025|:GT GD2 LỚP 2||0.3&lt;|&gt;10/04/2025|:K.thúc GT||0.3</t>
  </si>
  <si>
    <t>NgayKT|:10/04/2025&lt;|&gt;CDBanTrai|:-1262&lt;|&gt;CDBanTim|:-1527&lt;|&gt;CDBanPhai|:-1256</t>
  </si>
  <si>
    <t>115+325|:08/12/2023|:DN Lớp 9||0.3</t>
  </si>
  <si>
    <t>NgayLD|:26/05/2023&lt;|&gt;CDMoc|:1069&lt;|&gt;CDBanTrai|:40&lt;|&gt;CDBanTim|:-10&lt;|&gt;CDBanPhai|:-40&lt;|&gt;CDNen|:-0.01</t>
  </si>
  <si>
    <t>08/06/2023|:DN Lớp 9||0.11&lt;|&gt;12/06/2023|:DN Lớp 8||0.3&lt;|&gt;16/06/2023|:DN Lớp 7||0.3&lt;|&gt;20/06/2023|:DN Lớp 6||0.3&lt;|&gt;14/03/2024|:DN Lớp 5||0.3&lt;|&gt;18/03/2024|:DN Lớp 4||0.3&lt;|&gt;23/03/2024|:DN Lớp 3||0.3&lt;|&gt;27/03/2024|:DN Lớp 2||0.3&lt;|&gt;02/04/2024|:ĐẮP LỚP 1||0.3&lt;|&gt;22/07/2024|:GT LỚP 6||0.2&lt;|&gt;26/07/2024|:GT LỚP 5||0.3&lt;|&gt;31/07/2024|:GT LỚP 4||0.3&lt;|&gt;05/08/2024|:GT LỚP 3||0.3&lt;|&gt;09/08/2024|:GT LỚP 2||0.3&lt;|&gt;14/08/2024|:GT LỚP 1||0.3&lt;|&gt;27/02/2025|:GT GD2 LỚP 8||0.34&lt;|&gt;04/03/2025|:GT GD2 LỚP 7||0.3&lt;|&gt;09/03/2025|:GT GD2 LỚP 6||0.34&lt;|&gt;14/03/2025|:GT GD2 LỚP 5||0.3&lt;|&gt;19/03/2025|:GT GD2 LỚP 4||0.3&lt;|&gt;24/03/2025|:GT GD2 LỚP 3||0.3&lt;|&gt;29/03/2025|:GT GD2 LỚP 2||0.3&lt;|&gt;05/04/2025|:K.Thúc GT||0.3</t>
  </si>
  <si>
    <t>NgayKT|:05/04/2025&lt;|&gt;CDBanTrai|:-1144&lt;|&gt;CDBanTim|:-1368&lt;|&gt;CDBanPhai|:-1024</t>
  </si>
  <si>
    <t>115+740|:08/06/2023|:DN Lớp 9||0.11</t>
  </si>
  <si>
    <t>NgayLD|:14/06/2023&lt;|&gt;CDMoc|:1069&lt;|&gt;CDBanTrai|:750&lt;|&gt;CDBanTim|:800&lt;|&gt;CDBanPhai|:790&lt;|&gt;CDNen|:0.8</t>
  </si>
  <si>
    <t>21/03/2024|:DN Lớp 4||0.3&lt;|&gt;26/03/2024|:DN Lớp 3||0.3&lt;|&gt;30/03/2024|:DN Lớp 2||0.3&lt;|&gt;04/04/2024|:DN Lớp 1||0.3&lt;|&gt;13/07/2024|:Đắp gia tải lớp 7||0&lt;|&gt;18/07/2024|:Đắp gia tải lớp 6||0&lt;|&gt;23/07/2024|:Đắp gia tải lớp 5||0.3&lt;|&gt;28/07/2024|:Đắp gia tải lớp 4||0.3&lt;|&gt;08/10/2024|:GT Lớp 3||0.3&lt;|&gt;13/10/2024|:GT Lớp 2||0.3&lt;|&gt;18/10/2024|:GT Lớp 1||0.3&lt;|&gt;19/03/2025|:GT GD2 LỚP 3||0.33&lt;|&gt;24/03/2025|:GT GD2 LỚP 2||0.34&lt;|&gt;31/03/2025|:K.Thúc Đắp||0.3</t>
  </si>
  <si>
    <t>NgayKT|:31/03/2025&lt;|&gt;CDBanTrai|:-175&lt;|&gt;CDBanTim|:-266&lt;|&gt;CDBanPhai|:-20</t>
  </si>
  <si>
    <t>115+860|:21/03/2024|:DN Lớp 4||0.3</t>
  </si>
  <si>
    <t>NgayLD|:14/06/2023&lt;|&gt;CDMoc|:1069&lt;|&gt;CDBanTrai|:30&lt;|&gt;CDBanTim|:20&lt;|&gt;CDBanPhai|:-640&lt;|&gt;CDNen|:0.02</t>
  </si>
  <si>
    <t>23/06/2023|:DN Lớp 10||0&lt;|&gt;27/06/2023|:DN Lớp 9||0&lt;|&gt;01/07/2023|:DN Lớp 8||0.2&lt;|&gt;05/07/2023|:DN Lớp 7||0.2&lt;|&gt;09/07/2023|:DN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6||0.26&lt;|&gt;23/07/2024|:Đắp gia tải lớp 5||0.3&lt;|&gt;28/07/2024|:Đắp gia tải lớp 4||0.3&lt;|&gt;08/10/2024|:GT Lớp 3||0.3&lt;|&gt;13/10/2024|:GT Lớp 2||0.3&lt;|&gt;18/10/2024|:GT Lớp 1||0.3&lt;|&gt;04/03/2025|:GT GD2 LỚP 6 ||0.3&lt;|&gt;09/03/2025|:GT GD2 LỚP 5||0.3&lt;|&gt;14/03/2025|:GT GD2 LỚP 4||0.3&lt;|&gt;19/03/2025|:GT GD2 LỚP 3||0&lt;|&gt;24/03/2025|:GT GD2 LỚP 2||0.3&lt;|&gt;31/03/2025|:K.Thúc Đắp||0.3</t>
  </si>
  <si>
    <t>NgayKT|:31/03/2025&lt;|&gt;CDBanTrai|:-741&lt;|&gt;CDBanTim|:-914&lt;|&gt;CDBanPhai|:-1341</t>
  </si>
  <si>
    <t>115+960|:23/06/2023|:DN Lớp 10||0</t>
  </si>
  <si>
    <t>NgayLD|:14/06/2023&lt;|&gt;CDMoc|:1069&lt;|&gt;CDBanTrai|:-280&lt;|&gt;CDBanTim|:-650&lt;|&gt;CDBanPhai|:-160&lt;|&gt;CDNen|:-0.65</t>
  </si>
  <si>
    <t>19/06/2023|:DN Lớp 11||0&lt;|&gt;23/06/2023|:DN Lớp 10||0&lt;|&gt;27/06/2023|:DN Lớp 9||0.3&lt;|&gt;01/07/2023|:DN Lớp 8||0.3&lt;|&gt;05/07/2023|:DN Lớp 7||0.3&lt;|&gt;09/07/2023|:DN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6||0.2&lt;|&gt;23/07/2024|:Đắp gia tải lớp 5||0.3&lt;|&gt;28/07/2024|:Đắp gia tải lớp 4||0.3&lt;|&gt;08/10/2024|:GT Lớp 3||0.3&lt;|&gt;13/10/2024|:GT Lớp 2||0.3&lt;|&gt;18/10/2024|:GT Lớp 1||0.3&lt;|&gt;17/02/2025|:GT GD2 LỚP 9||0.34&lt;|&gt;22/02/2025|:GT GD2 LỚP 8||0.34&lt;|&gt;27/02/2025|:GT GD2 LỚP 7||0.34&lt;|&gt;04/03/2025|:GT GD2 LỚP 6||0.34&lt;|&gt;09/03/2025|:GT GD2 LỚP 5||0.34&lt;|&gt;14/03/2025|:GT GD2 LỚP 4||0&lt;|&gt;19/03/2025|:GT GD2 LỚP 3||0.34&lt;|&gt;24/03/2025|:GT GD2 LỚP 2||0.3&lt;|&gt;27/03/2025|:K.Thúc Đắp||0.3</t>
  </si>
  <si>
    <t>NgayKT|:27/03/2025&lt;|&gt;CDBanTrai|:-1027&lt;|&gt;CDBanTim|:-1803&lt;|&gt;CDBanPhai|:-1053</t>
  </si>
  <si>
    <t>116+060|:19/06/2023|:DN Lớp 11||0</t>
  </si>
  <si>
    <t>NgayLD|:21/12/2023&lt;|&gt;CDMoc|:844&lt;|&gt;CDBanTrai|:40&lt;|&gt;CDBanTim|:-80&lt;|&gt;CDBanPhai|:-30&lt;|&gt;CDNen|:-0.08</t>
  </si>
  <si>
    <t>02/01/2024|:DN Lớp 9||0.18&lt;|&gt;05/01/2024|:DN Lớp 8||0.3&lt;|&gt;09/01/2024|:DN Lớp 7||0.3&lt;|&gt;14/01/2024|:DN Lớp 6||0.3&lt;|&gt;18/01/2024|:DN Lớp 5||0.3&lt;|&gt;22/01/2024|:DN Lớp 4||0.3&lt;|&gt;04/03/2024|:DN Lớp 3||0.3&lt;|&gt;08/03/2024|:DN Lớp 2||0&lt;|&gt;13/03/2024|:DN Lớp 1||0.3&lt;|&gt;24/06/2024|:GT LỚP 7||0.3&lt;|&gt;29/06/2024|:GT LỚP 6||0.31&lt;|&gt;04/07/2024|:GT LỚP 5||0.3&lt;|&gt;09/07/2024|:GT LỚP 4||0.3&lt;|&gt;23/07/2024|:GT LỚP 3||0.3&lt;|&gt;28/07/2024|:GT LỚP 2||0.3&lt;|&gt;02/08/2024|:GT LỚP 1||0.3&lt;|&gt;02/02/2025|:GT GD2 LỚP 9||0.25&lt;|&gt;07/02/2025|:GT GD2 LỚP 8||0.29&lt;|&gt;12/02/2025|:GT GD2 LỚP 7||0.3&lt;|&gt;17/02/2025|:GT GD2 LỚP 6||0.3&lt;|&gt;22/02/2025|:GT GD2 LỚP 5||0.3&lt;|&gt;27/02/2025|:GT GD2 LỚP 4||0.3&lt;|&gt;04/03/2025|:GT GD2 LỚP 3||0.3&lt;|&gt;09/03/2025|:GT GD2 LỚP 2||0.3&lt;|&gt;21/03/2025|:K.Thúc GT||0.3</t>
  </si>
  <si>
    <t>NgayKT|:21/03/2025&lt;|&gt;CDBanTrai|:-1490&lt;|&gt;CDBanTim|:-1596&lt;|&gt;CDBanPhai|:-1309</t>
  </si>
  <si>
    <t>116+240|:02/01/2024|:DN Lớp 9||0.18</t>
  </si>
  <si>
    <t>NgayLD|:21/12/2023&lt;|&gt;CDMoc|:844&lt;|&gt;CDBanTrai|:-530&lt;|&gt;CDBanTim|:-310&lt;|&gt;CDBanPhai|:-680&lt;|&gt;CDNen|:-0.31</t>
  </si>
  <si>
    <t>28/12/2023|:DN Lớp 10||0&lt;|&gt;02/01/2024|:DN Lớp 9||0.3&lt;|&gt;05/01/2024|:DN Lớp 8||0.3&lt;|&gt;09/01/2024|:DN Lớp 7||0.3&lt;|&gt;14/01/2024|:DN Lớp 6||0.3&lt;|&gt;18/01/2024|:DN Lớp 5||0.3&lt;|&gt;22/01/2024|:DN Lớp 4||0.3&lt;|&gt;04/03/2024|:DN Lớp 3||0.3&lt;|&gt;08/03/2024|:DN Lớp 2||0.3&lt;|&gt;13/03/2024|:DN Lớp 1||0.3&lt;|&gt;04/07/2024|:GT LỚP 5||0.27&lt;|&gt;09/07/2024|:GT LỚP 4||0.3&lt;|&gt;23/07/2024|:GT LỚP 3||0.3&lt;|&gt;28/07/2024|:GT LỚP 2||0.3&lt;|&gt;02/08/2024|:GT LỚP 1||0.3&lt;|&gt;17/02/2025|:GT GD2 LỚP 6||0.3&lt;|&gt;22/02/2025|:GT GD2 LỚP 5||0.3&lt;|&gt;27/02/2025|:GT GD2 LỚP 4||0.3&lt;|&gt;04/03/2025|:GT GD2 LỚP 3||0.3&lt;|&gt;09/03/2025|:GT GD2 LỚP 2||0.3&lt;|&gt;19/03/2025|:K.Thúc GT||0.3</t>
  </si>
  <si>
    <t>NgayKT|:19/03/2025&lt;|&gt;CDBanTrai|:-1475&lt;|&gt;CDBanTim|:-1319&lt;|&gt;CDBanPhai|:-1317</t>
  </si>
  <si>
    <t>116+340|:28/12/2023|:DN Lớp 10||0</t>
  </si>
  <si>
    <t>NgayLD|:21/12/2023&lt;|&gt;CDMoc|:844&lt;|&gt;CDBanTrai|:-650&lt;|&gt;CDBanTim|:-140&lt;|&gt;CDBanPhai|:-120&lt;|&gt;CDNen|:-0.14</t>
  </si>
  <si>
    <t>02/01/2024|:DN Lớp 9||0&lt;|&gt;05/01/2024|:DN Lớp 8||0.3&lt;|&gt;09/01/2024|:DN Lớp 7||0.3&lt;|&gt;14/01/2024|:DN Lớp 6||0&lt;|&gt;18/01/2024|:DN Lớp 5||0.3&lt;|&gt;22/01/2024|:DN Lớp 4||0.3&lt;|&gt;04/03/2024|:DN Lớp 3||0.2&lt;|&gt;08/03/2024|:DN Lớp 2||0.3&lt;|&gt;13/03/2024|:DN Lớp 1||0.3&lt;|&gt;04/07/2024|:GT Lớp 5||0.3&lt;|&gt;09/07/2024|:GT Lớp 4||0.3&lt;|&gt;23/07/2024|:GT Lớp 3||0.3&lt;|&gt;28/07/2024|:GT Lớp 2||0.3&lt;|&gt;02/08/2024|:GT Lớp 1||0.3&lt;|&gt;05/03/2025|:GT GD2 LỚP 3||0.3&lt;|&gt;10/03/2025|:GT GD2 LỚP 2||0.3&lt;|&gt;16/03/2025|:K.Thúc GT||0.3</t>
  </si>
  <si>
    <t>NgayKT|:16/03/2025&lt;|&gt;CDBanTrai|:-952&lt;|&gt;CDBanTim|:-1046&lt;|&gt;CDBanPhai|:-935</t>
  </si>
  <si>
    <t>116+440|:02/01/2024|:DN Lớp 9||0</t>
  </si>
  <si>
    <t>NgayLD|:15/12/2023&lt;|&gt;CDMoc|:844&lt;|&gt;CDBanTrai|:0&lt;|&gt;CDBanTim|:0&lt;|&gt;CDBanPhai|:-10&lt;|&gt;CDNen|:0</t>
  </si>
  <si>
    <t>08/01/2024|:DN Lớp 6||0.1&lt;|&gt;12/01/2024|:DN Lớp 5||0.3&lt;|&gt;16/01/2024|:DN Lớp 4||0.3&lt;|&gt;20/01/2024|:DN Lớp 3||0.3&lt;|&gt;09/03/2024|:DN Lớp 2||0.3&lt;|&gt;13/03/2024|:DN Lớp 1||0.3&lt;|&gt;05/07/2024|:GT LỚP 5||0.21&lt;|&gt;10/07/2024|:GT LỚP 4||0.3&lt;|&gt;25/07/2024|:GT LỚP 3||0.3&lt;|&gt;30/07/2024|:GT LỚP 2||0.3&lt;|&gt;04/08/2024|:GT LỚP 1||0.3&lt;|&gt;10/03/2025|:GT GD2 LỚP 2||0.3&lt;|&gt;16/03/2025|:K.Thúc GT||0.2</t>
  </si>
  <si>
    <t>NgayKT|:16/03/2025&lt;|&gt;CDBanTrai|:-441&lt;|&gt;CDBanTim|:-675&lt;|&gt;CDBanPhai|:-365</t>
  </si>
  <si>
    <t>116+540|:08/01/2024|:DN Lớp 6||0.1</t>
  </si>
  <si>
    <t>NgayLD|:15/12/2023&lt;|&gt;CDMoc|:1769&lt;|&gt;CDBanTrai|:0&lt;|&gt;CDBanTim|:0&lt;|&gt;CDBanPhai|:0&lt;|&gt;CDNen|:0</t>
  </si>
  <si>
    <t>30/12/2023|:DN Lớp 8||0&lt;|&gt;03/01/2024|:DN Lớp 7||0&lt;|&gt;08/01/2024|:DN Lớp 6||0.1&lt;|&gt;12/01/2024|:DN Lớp 5||0.3&lt;|&gt;16/01/2024|:DN Lớp 4||0.3&lt;|&gt;20/01/2024|:DN Lớp 3||0.3&lt;|&gt;09/03/2024|:DN Lớp 2||0.3&lt;|&gt;13/03/2024|:DN Lớp 1||0.3&lt;|&gt;25/06/2024|:GT LỚP 7||0.16&lt;|&gt;30/06/2024|:GT LỚP 6||0.3&lt;|&gt;05/07/2024|:GT LỚP 5||0.3&lt;|&gt;10/07/2024|:GT LỚP 4||0.3&lt;|&gt;25/07/2024|:GT LỚP 3||0.3&lt;|&gt;30/07/2024|:GT LỚP 2||0.3&lt;|&gt;04/08/2024|:GT LỚP 1||0.3&lt;|&gt;10/03/2025|:GT GD2 LỚP 2||0.3&lt;|&gt;16/03/2025|:K.Thúc GT||0.3</t>
  </si>
  <si>
    <t>NgayKT|:16/03/2025&lt;|&gt;CDBanTrai|:-748&lt;|&gt;CDBanTim|:-801&lt;|&gt;CDBanPhai|:-536</t>
  </si>
  <si>
    <t>116+640|:30/12/2023|:DN Lớp 8||0</t>
  </si>
  <si>
    <t>NgayLD|:15/12/2023&lt;|&gt;CDMoc|:884&lt;|&gt;CDBanTrai|:-720&lt;|&gt;CDBanTim|:-390&lt;|&gt;CDBanPhai|:0&lt;|&gt;CDNen|:-0.39</t>
  </si>
  <si>
    <t>26/12/2023|:DN Lớp 9||0.3&lt;|&gt;30/12/2023|:DN Lớp 8||0.3&lt;|&gt;03/01/2024|:DN Lớp 7||0.3&lt;|&gt;08/01/2024|:DN Lớp 6||0.3&lt;|&gt;12/01/2024|:DN Lớp 5||0.3&lt;|&gt;16/01/2024|:DN Lớp 4||0.2&lt;|&gt;20/01/2024|:DN Lớp 3||0.2&lt;|&gt;09/03/2024|:DN Lớp 2||0.3&lt;|&gt;13/03/2024|:DN Lớp 1||0.3&lt;|&gt;10/07/2024|:GT LỚP 4||0.2&lt;|&gt;25/07/2024|:GT LỚP 3||0.2&lt;|&gt;30/07/2024|:GT LỚP 2||0.2&lt;|&gt;04/08/2024|:KTGT GĐ1||0.2&lt;|&gt;18/02/2025|:GT GD2 LỚP 6||0.2&lt;|&gt;23/02/2025|:GT GD2 LỚP 5||0.3&lt;|&gt;28/02/2025|:GT GD2 LỚP 4||0.3&lt;|&gt;05/03/2025|:GT GD2 LỚP 3||0.3&lt;|&gt;10/03/2025|:GT GD2 LỚP 2||0.3&lt;|&gt;13/03/2025|:K.Thúc GT||0.3</t>
  </si>
  <si>
    <t>NgayKT|:13/03/2025&lt;|&gt;CDBanTrai|:-1342&lt;|&gt;CDBanTim|:-1377&lt;|&gt;CDBanPhai|:-608</t>
  </si>
  <si>
    <t>116+700|:26/12/2023|:DN Lớp 9||0.3</t>
  </si>
  <si>
    <t>NgayLD|:15/12/2023&lt;|&gt;CDMoc|:884&lt;|&gt;CDBanTrai|:-310&lt;|&gt;CDBanTim|:-460&lt;|&gt;CDBanPhai|:0&lt;|&gt;CDNen|:-0.46</t>
  </si>
  <si>
    <t>26/12/2023|:DN Lớp 9||0.3&lt;|&gt;30/12/2023|:DN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1||0.3&lt;|&gt;25/06/2024|:GT LỚP 7||0.2&lt;|&gt;30/06/2024|:GT LỚP 6||0.3&lt;|&gt;05/07/2024|:GT LỚP 5||0.3&lt;|&gt;10/07/2024|:GT LỚP 4||0.3&lt;|&gt;25/07/2024|:GT LỚP 3||0.3&lt;|&gt;30/07/2024|:GT LỚP 2||0.3&lt;|&gt;04/08/2024|:KTGT GĐ1||0.3&lt;|&gt;13/02/2025|:GT GD2 LỚP 7||0.2&lt;|&gt;18/02/2025|:GT GD2 LỚP 6||0.2&lt;|&gt;23/02/2025|:GT GD2 LỚP 5||0.2&lt;|&gt;28/02/2025|:GT GD2 LỚP 4||0.24&lt;|&gt;03/03/2025|:GT GD2 LỚP 3||0.2&lt;|&gt;07/03/2025|:GT GD2 LỚP 2||0.3&lt;|&gt;10/03/2025|:K.Thúc GT||0.3</t>
  </si>
  <si>
    <t>NgayKT|:10/03/2025&lt;|&gt;CDBanTrai|:-824&lt;|&gt;CDBanTim|:-1415&lt;|&gt;CDBanPhai|:-608</t>
  </si>
  <si>
    <t>116+780|:26/12/2023|:DN Lớp 9||0.3</t>
  </si>
  <si>
    <t>NgayLD|:15/12/2023&lt;|&gt;CDMoc|:884&lt;|&gt;CDBanTrai|:-100&lt;|&gt;CDBanTim|:-80&lt;|&gt;CDBanPhai|:-90&lt;|&gt;CDNen|:-0.08</t>
  </si>
  <si>
    <t>22/12/2023|:DN Lớp 10||0&lt;|&gt;26/12/2023|:DN Lớp 9||0&lt;|&gt;30/12/2023|:DN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1||0.3&lt;|&gt;05/07/2024|:GT LỚP 5||0.3&lt;|&gt;10/07/2024|:GT LỚP 4||0.3&lt;|&gt;25/07/2024|:GT LỚP 3||0.3&lt;|&gt;30/07/2024|:GT LỚP 2||0.3&lt;|&gt;04/08/2024|:KTGT GĐ1||0.3&lt;|&gt;24/01/2025|:GT GD2 LỚP 11||0.3&lt;|&gt;29/01/2025|:GT GD2 LỚP 10||0.3&lt;|&gt;03/02/2025|:GT GD2 LỚP 9||0.3&lt;|&gt;08/02/2025|:GT GD2 LỚP 8||0.3&lt;|&gt;13/02/2025|:GT GD2 LỚP 7||0.3&lt;|&gt;18/02/2025|:GT GD2 LỚP 6||0.3&lt;|&gt;23/02/2025|:GT GD2 LỚP 5||0.4&lt;|&gt;28/02/2025|:GT GD2 LỚP 4||0.3&lt;|&gt;03/03/2025|:GT GD2 LỚP 3||0&lt;|&gt;07/03/2025|:GT GD2 LỚP 2||0.3&lt;|&gt;10/03/2025|:K.Thúc GT||0.3</t>
  </si>
  <si>
    <t>NgayKT|:10/03/2025&lt;|&gt;CDBanTrai|:-1317&lt;|&gt;CDBanTim|:-1528&lt;|&gt;CDBanPhai|:-1270</t>
  </si>
  <si>
    <t>116+836,35|:22/12/2023|:DN Lớp 10||0</t>
  </si>
  <si>
    <t>Gói Thầu XL03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</si>
  <si>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HÀ&lt;|&gt;TTKhac|:LIÊN DANH CC1 - HẢI ĐĂNG - VẠN CƯỜNG - 492 - BẮC TRUNG NAM</t>
  </si>
  <si>
    <t>27/04/2023|:2000&lt;|&gt;07/04/2024|:3000&lt;|&gt;01/10/2024|:4000&lt;|&gt;12/04/2025|:5000&lt;|&gt;27/04/2025|:6000</t>
  </si>
  <si>
    <t>27/04/2023|:2000&lt;|&gt;07/04/2024|:3000&lt;|&gt;26/09/2024|:4000&lt;|&gt;10/10/2024|:5000&lt;|&gt;22/04/2025|:6000&lt;|&gt;07/05/2025|:7000</t>
  </si>
  <si>
    <t>19/12/2023|:2000&lt;|&gt;19/01/2024|:3000&lt;|&gt;09/04/2024|:4000&lt;|&gt;26/09/2024|:5000&lt;|&gt;15/10/2024|:6000&lt;|&gt;12/04/2025|:7000&lt;|&gt;27/04/2025|:8000</t>
  </si>
  <si>
    <t>10/12/2023|:2000&lt;|&gt;08/01/2024|:3000&lt;|&gt;18/04/2024|:4000&lt;|&gt;07/12/2024|:5000&lt;|&gt;21/12/2024|:6000&lt;|&gt;23/03/2025|:7000&lt;|&gt;12/04/2025|:8000</t>
  </si>
  <si>
    <t>10/12/2023|:2000&lt;|&gt;20/01/2024|:3000&lt;|&gt;02/12/2024|:4000&lt;|&gt;21/12/2024|:5000&lt;|&gt;07/04/2025|:6000&lt;|&gt;22/04/2025|:7000</t>
  </si>
  <si>
    <t>10/12/2023|:2000&lt;|&gt;14/04/2024|:3000&lt;|&gt;16/12/2024|:4000&lt;|&gt;15/04/2025|:5000</t>
  </si>
  <si>
    <t>10/12/2023|:2000&lt;|&gt;14/04/2024|:3000&lt;|&gt;21/12/2024|:4000&lt;|&gt;12/04/2025|:5000</t>
  </si>
  <si>
    <t>10/12/2023|:2000&lt;|&gt;14/04/2024|:3000&lt;|&gt;26/12/2024|:4000&lt;|&gt;08/04/2025|:5000</t>
  </si>
  <si>
    <t>10/12/2023|:2000&lt;|&gt;20/01/2024|:3000&lt;|&gt;16/12/2024|:4000&lt;|&gt;05/04/2025|:5000&lt;|&gt;14/04/2025|:6000</t>
  </si>
  <si>
    <t>21/11/2023|:2000&lt;|&gt;20/04/2024|:3000&lt;|&gt;03/05/2024|:4000&lt;|&gt;26/12/2024|:5000&lt;|&gt;25/03/2025|:6000&lt;|&gt;06/04/2025|:7000</t>
  </si>
  <si>
    <t>21/11/2023|:2000&lt;|&gt;24/12/2023|:3000&lt;|&gt;03/05/2024|:4000&lt;|&gt;09/12/2024|:5000&lt;|&gt;26/12/2024|:6000&lt;|&gt;19/03/2025|:7000&lt;|&gt;28/03/2025|:8000</t>
  </si>
  <si>
    <t>26/05/2023|:2000&lt;|&gt;18/03/2024|:3000&lt;|&gt;02/04/2024|:4000&lt;|&gt;05/08/2024|:5000&lt;|&gt;27/02/2025|:6000&lt;|&gt;19/03/2025|:7000&lt;|&gt;05/04/2025|:8000</t>
  </si>
  <si>
    <t>14/06/2023|:2000&lt;|&gt;23/07/2024|:3000&lt;|&gt;18/10/2024|:4000&lt;|&gt;31/03/2025|:5000</t>
  </si>
  <si>
    <t>14/06/2023|:2000&lt;|&gt;26/03/2024|:3000&lt;|&gt;18/07/2024|:4000&lt;|&gt;08/10/2024|:5000&lt;|&gt;09/03/2025|:6000&lt;|&gt;31/03/2025|:7000</t>
  </si>
  <si>
    <t>14/06/2023|:2000&lt;|&gt;17/03/2024|:3000&lt;|&gt;04/04/2024|:4000&lt;|&gt;28/07/2024|:5000&lt;|&gt;18/10/2024|:6000&lt;|&gt;27/02/2025|:7000&lt;|&gt;19/03/2025|:8000</t>
  </si>
  <si>
    <t>21/12/2023|:2000&lt;|&gt;22/01/2024|:3000&lt;|&gt;24/06/2024|:4000&lt;|&gt;23/07/2024|:5000&lt;|&gt;02/02/2025|:6000&lt;|&gt;17/02/2025|:7000&lt;|&gt;09/03/2025|:8000</t>
  </si>
  <si>
    <t>21/12/2023|:2000&lt;|&gt;18/01/2024|:3000&lt;|&gt;13/03/2024|:4000&lt;|&gt;23/07/2024|:5000&lt;|&gt;22/02/2025|:6000&lt;|&gt;09/03/2025|:7000</t>
  </si>
  <si>
    <t>21/12/2023|:2000&lt;|&gt;08/03/2024|:3000&lt;|&gt;09/07/2024|:4000&lt;|&gt;02/08/2024|:5000</t>
  </si>
  <si>
    <t>15/12/2023|:2000&lt;|&gt;13/03/2024|:3000&lt;|&gt;30/07/2024|:4000&lt;|&gt;16/03/2025|:5000</t>
  </si>
  <si>
    <t>15/12/2023|:2000&lt;|&gt;13/03/2024|:3000&lt;|&gt;10/07/2024|:4000&lt;|&gt;04/08/2024|:5000</t>
  </si>
  <si>
    <t>15/12/2023|:2000&lt;|&gt;12/01/2024|:3000&lt;|&gt;13/03/2024|:4000&lt;|&gt;18/02/2025|:5000&lt;|&gt;10/03/2025|:6000</t>
  </si>
  <si>
    <t>15/12/2023|:2000&lt;|&gt;12/01/2024|:3000&lt;|&gt;13/03/2024|:4000&lt;|&gt;05/07/2024|:5000&lt;|&gt;04/08/2024|:6000&lt;|&gt;28/02/2025|:7000</t>
  </si>
  <si>
    <t>15/12/2023|:2000&lt;|&gt;16/01/2024|:3000&lt;|&gt;05/07/2024|:4000&lt;|&gt;30/07/2024|:5000&lt;|&gt;29/01/2025|:6000&lt;|&gt;18/02/2025|:7000&lt;|&gt;07/03/2025|:8000</t>
  </si>
  <si>
    <t>22/05/2023</t>
  </si>
  <si>
    <t>25/05/2023</t>
  </si>
  <si>
    <t>26/05/2023</t>
  </si>
  <si>
    <t>29/05/2023</t>
  </si>
  <si>
    <t>30/05/2023</t>
  </si>
  <si>
    <t>28/03/2024</t>
  </si>
  <si>
    <t>29/03/2024</t>
  </si>
  <si>
    <t>15/04/2024</t>
  </si>
  <si>
    <t>16/04/2024</t>
  </si>
  <si>
    <t>30/09/2024</t>
  </si>
  <si>
    <t>14/10/2024</t>
  </si>
  <si>
    <t>15/10/2024</t>
  </si>
  <si>
    <t>16/04/2025</t>
  </si>
  <si>
    <t>17/04/2025</t>
  </si>
  <si>
    <t>21/04/2025</t>
  </si>
  <si>
    <t>22/04/2025</t>
  </si>
  <si>
    <t>26/04/2025</t>
  </si>
  <si>
    <t>27/04/2025</t>
  </si>
  <si>
    <t>14/05/2025</t>
  </si>
  <si>
    <t>HD01</t>
  </si>
  <si>
    <t>LIÊN DANH CC1 - HẢI ĐĂNG - VẠN CƯỜNG - 492 - BẮC TRUNG NAM</t>
  </si>
  <si>
    <t>Cà Mau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</si>
  <si>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BVTC)&lt;|&gt;TTKhac|:LIÊN DANH CC1 - HẢI ĐĂNG - VẠN CƯỜNG - 492 - BẮC TRUNG NAM&lt;|&gt;CDT|:BAN QUẢN LÝ DỰ ÁN MỸ THUẬN&lt;|&gt;TVGS|:LIÊN DANH PHÂN VIỆN KHCN GTVT PHÍA NAM - CÔNG TY CỔ PHẦN TƯ VẤN KỸ THUẬT VÀ XÂY DỰNG HỒNG HÀ&lt;|&gt;NhaThau|:LIÊN DANH CC1 - HẢI ĐĂNG - VẠN CƯỜNG - 492 - BẮC TRUNG NAM</t>
  </si>
  <si>
    <t>Km114+220</t>
  </si>
  <si>
    <t>Km114+220&lt;|&gt;HD01&lt;|&gt;L03</t>
  </si>
  <si>
    <t>01/10/2024</t>
  </si>
  <si>
    <t>05/10/2024</t>
  </si>
  <si>
    <t>06/10/2024</t>
  </si>
  <si>
    <t>09/10/2024</t>
  </si>
  <si>
    <t>10/10/2024</t>
  </si>
  <si>
    <t>11/04/2025</t>
  </si>
  <si>
    <t>12/04/2025</t>
  </si>
  <si>
    <t>02/05/2025</t>
  </si>
  <si>
    <t>06/05/2025</t>
  </si>
  <si>
    <t>01/04/2024</t>
  </si>
  <si>
    <t>02/04/2024</t>
  </si>
  <si>
    <t>06/04/2024</t>
  </si>
  <si>
    <t>07/04/2024</t>
  </si>
  <si>
    <t>10/04/2024</t>
  </si>
  <si>
    <t>11/04/2024</t>
  </si>
  <si>
    <t>01/05/2025</t>
  </si>
  <si>
    <t>07/05/2025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</si>
</sst>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/>
    <xf numFmtId="0" fontId="0" fillId="3" borderId="0" xfId="0" applyFill="1"/>
    <xf numFmtId="164" fontId="0" fillId="0" borderId="0" xfId="0" applyNumberFormat="1"/>
    <xf numFmtId="49" fontId="0" fillId="0" borderId="0" xfId="0" applyNumberFormat="1"/>
    <xf numFmtId="0" fontId="0" fillId="0" borderId="0" xfId="0" applyNumberFormat="1"/>
    <xf numFmtId="0" fontId="0" fillId="0" borderId="0" xfId="0" applyAlignment="1"/>
    <xf numFmtId="0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B2579-6CA1-475A-9933-1FA651EC4DE9}">
  <sheetPr codeName="Sheet1"/>
  <dimension ref="A1:E4"/>
  <sheetViews>
    <sheetView workbookViewId="0">
      <selection activeCell="F17" sqref="F17"/>
    </sheetView>
  </sheetViews>
  <sheetFormatPr defaultRowHeight="15" x14ac:dyDescent="0.25"/>
  <cols>
    <col min="1" max="1" width="12" bestFit="1" customWidth="1"/>
    <col min="2" max="2" width="12.42578125" bestFit="1" customWidth="1"/>
    <col min="3" max="3" width="10.28515625" bestFit="1" customWidth="1"/>
    <col min="4" max="4" width="18.28515625" customWidth="1"/>
    <col min="5" max="5" width="18.140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8" t="s">
        <v>9</v>
      </c>
      <c r="B2" s="8" t="s">
        <v>131</v>
      </c>
      <c r="C2" s="8" t="s">
        <v>10</v>
      </c>
      <c r="D2" s="8" t="s">
        <v>11</v>
      </c>
      <c r="E2" s="8" t="s">
        <v>132</v>
      </c>
    </row>
    <row r="3" spans="1:5" x14ac:dyDescent="0.25">
      <c r="A3" t="s">
        <v>12</v>
      </c>
      <c r="B3" t="s">
        <v>13</v>
      </c>
      <c r="C3" t="s">
        <v>14</v>
      </c>
      <c r="D3" t="s">
        <v>15</v>
      </c>
      <c r="E3" t="s">
        <v>16</v>
      </c>
    </row>
    <row r="4" spans="1:5" x14ac:dyDescent="0.25">
      <c r="A4" s="8" t="s">
        <v>175</v>
      </c>
      <c r="B4" s="8" t="s">
        <v>176</v>
      </c>
      <c r="C4" s="8" t="s">
        <v>10</v>
      </c>
      <c r="D4" s="8" t="s">
        <v>177</v>
      </c>
      <c r="E4" s="8" t="s">
        <v>178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304C-F0E1-47D6-8C75-65C9E7F3AB17}">
  <sheetPr codeName="Sheet2"/>
  <dimension ref="A1:E10"/>
  <sheetViews>
    <sheetView workbookViewId="0">
      <selection activeCell="B12" sqref="B12"/>
    </sheetView>
  </sheetViews>
  <sheetFormatPr defaultRowHeight="15" x14ac:dyDescent="0.25"/>
  <cols>
    <col min="1" max="1" width="25" bestFit="1" customWidth="1"/>
    <col min="2" max="2" width="11.140625" bestFit="1" customWidth="1"/>
    <col min="3" max="3" width="12" bestFit="1" customWidth="1"/>
    <col min="4" max="4" width="11.7109375" bestFit="1" customWidth="1"/>
    <col min="5" max="5" width="16.7109375" bestFit="1" customWidth="1"/>
  </cols>
  <sheetData>
    <row r="1" spans="1:5" x14ac:dyDescent="0.25">
      <c r="A1" t="s">
        <v>5</v>
      </c>
      <c r="B1" t="s">
        <v>6</v>
      </c>
      <c r="C1" t="s">
        <v>0</v>
      </c>
      <c r="D1" t="s">
        <v>7</v>
      </c>
      <c r="E1" t="s">
        <v>8</v>
      </c>
    </row>
    <row r="2" spans="1:5" x14ac:dyDescent="0.25">
      <c r="A2" t="s">
        <v>17</v>
      </c>
      <c r="B2" t="s">
        <v>18</v>
      </c>
      <c r="C2" t="s">
        <v>9</v>
      </c>
      <c r="D2" t="s">
        <v>19</v>
      </c>
    </row>
    <row r="3" spans="1:5" x14ac:dyDescent="0.25">
      <c r="A3" t="s">
        <v>20</v>
      </c>
      <c r="B3" t="s">
        <v>21</v>
      </c>
      <c r="C3" t="s">
        <v>9</v>
      </c>
      <c r="D3" t="s">
        <v>19</v>
      </c>
    </row>
    <row r="4" spans="1:5" x14ac:dyDescent="0.25">
      <c r="A4" t="s">
        <v>22</v>
      </c>
      <c r="B4" t="s">
        <v>23</v>
      </c>
      <c r="C4" t="s">
        <v>12</v>
      </c>
      <c r="D4" t="s">
        <v>19</v>
      </c>
    </row>
    <row r="5" spans="1:5" x14ac:dyDescent="0.25">
      <c r="A5" t="s">
        <v>24</v>
      </c>
      <c r="B5" t="s">
        <v>25</v>
      </c>
      <c r="C5" t="s">
        <v>12</v>
      </c>
      <c r="D5" t="s">
        <v>19</v>
      </c>
    </row>
    <row r="6" spans="1:5" x14ac:dyDescent="0.25">
      <c r="A6" t="s">
        <v>26</v>
      </c>
      <c r="B6" t="s">
        <v>27</v>
      </c>
      <c r="C6" t="s">
        <v>12</v>
      </c>
      <c r="D6" t="s">
        <v>19</v>
      </c>
    </row>
    <row r="7" spans="1:5" x14ac:dyDescent="0.25">
      <c r="A7" t="s">
        <v>28</v>
      </c>
      <c r="B7" t="s">
        <v>29</v>
      </c>
      <c r="C7" t="s">
        <v>9</v>
      </c>
      <c r="D7" t="s">
        <v>19</v>
      </c>
    </row>
    <row r="8" spans="1:5" x14ac:dyDescent="0.25">
      <c r="A8" t="s">
        <v>30</v>
      </c>
      <c r="B8" t="s">
        <v>31</v>
      </c>
      <c r="C8" t="s">
        <v>9</v>
      </c>
      <c r="D8" t="s">
        <v>19</v>
      </c>
    </row>
    <row r="9" spans="1:5" x14ac:dyDescent="0.25">
      <c r="A9" t="s">
        <v>32</v>
      </c>
      <c r="B9" t="s">
        <v>33</v>
      </c>
      <c r="C9" t="s">
        <v>9</v>
      </c>
      <c r="D9" t="s">
        <v>19</v>
      </c>
    </row>
    <row r="10" spans="1:5" x14ac:dyDescent="0.25">
      <c r="A10" t="s">
        <v>180</v>
      </c>
      <c r="B10" t="s">
        <v>179</v>
      </c>
      <c r="C10" t="s">
        <v>175</v>
      </c>
      <c r="D10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231D9-EAB7-49CD-8315-6B6F1440710F}">
  <sheetPr codeName="Sheet3"/>
  <dimension ref="A1:E60"/>
  <sheetViews>
    <sheetView workbookViewId="0">
      <selection activeCell="A11" sqref="A11"/>
    </sheetView>
  </sheetViews>
  <sheetFormatPr defaultRowHeight="15" x14ac:dyDescent="0.25"/>
  <cols>
    <col min="1" max="1" width="104.5703125" bestFit="1" customWidth="1"/>
    <col min="2" max="2" width="61.42578125" customWidth="1"/>
    <col min="3" max="3" width="74.28515625" customWidth="1"/>
    <col min="4" max="4" width="109.42578125" bestFit="1" customWidth="1"/>
    <col min="5" max="5" width="33.140625" bestFit="1" customWidth="1"/>
  </cols>
  <sheetData>
    <row r="1" spans="1:5" x14ac:dyDescent="0.25">
      <c r="A1" s="1" t="s">
        <v>34</v>
      </c>
      <c r="B1" s="1" t="s">
        <v>35</v>
      </c>
      <c r="C1" s="1" t="s">
        <v>36</v>
      </c>
      <c r="D1" s="1" t="s">
        <v>37</v>
      </c>
      <c r="E1" s="2" t="s">
        <v>38</v>
      </c>
    </row>
    <row r="2" spans="1:5" x14ac:dyDescent="0.25">
      <c r="A2" t="s">
        <v>39</v>
      </c>
      <c r="B2" t="s">
        <v>40</v>
      </c>
      <c r="C2" t="s">
        <v>41</v>
      </c>
      <c r="D2" t="s">
        <v>133</v>
      </c>
      <c r="E2" s="3" t="s">
        <v>42</v>
      </c>
    </row>
    <row r="3" spans="1:5" x14ac:dyDescent="0.25">
      <c r="A3" t="s">
        <v>43</v>
      </c>
      <c r="B3" t="s">
        <v>44</v>
      </c>
      <c r="C3" t="s">
        <v>45</v>
      </c>
      <c r="D3" t="s">
        <v>134</v>
      </c>
      <c r="E3" s="3" t="s">
        <v>46</v>
      </c>
    </row>
    <row r="4" spans="1:5" x14ac:dyDescent="0.25">
      <c r="A4" t="s">
        <v>47</v>
      </c>
      <c r="B4" t="s">
        <v>48</v>
      </c>
      <c r="C4" t="s">
        <v>49</v>
      </c>
      <c r="D4" t="s">
        <v>135</v>
      </c>
      <c r="E4" s="3" t="s">
        <v>50</v>
      </c>
    </row>
    <row r="5" spans="1:5" x14ac:dyDescent="0.25">
      <c r="A5" t="s">
        <v>51</v>
      </c>
      <c r="B5" t="s">
        <v>52</v>
      </c>
      <c r="C5" t="s">
        <v>53</v>
      </c>
      <c r="D5" t="s">
        <v>136</v>
      </c>
      <c r="E5" s="3" t="s">
        <v>54</v>
      </c>
    </row>
    <row r="6" spans="1:5" x14ac:dyDescent="0.25">
      <c r="A6" t="s">
        <v>55</v>
      </c>
      <c r="B6" t="s">
        <v>56</v>
      </c>
      <c r="C6" t="s">
        <v>57</v>
      </c>
      <c r="D6" t="s">
        <v>137</v>
      </c>
      <c r="E6" s="3" t="s">
        <v>58</v>
      </c>
    </row>
    <row r="7" spans="1:5" x14ac:dyDescent="0.25">
      <c r="A7" t="s">
        <v>59</v>
      </c>
      <c r="B7" t="s">
        <v>60</v>
      </c>
      <c r="C7" t="s">
        <v>61</v>
      </c>
      <c r="D7" t="s">
        <v>138</v>
      </c>
      <c r="E7" s="3" t="s">
        <v>62</v>
      </c>
    </row>
    <row r="8" spans="1:5" x14ac:dyDescent="0.25">
      <c r="A8" t="s">
        <v>63</v>
      </c>
      <c r="B8" t="s">
        <v>64</v>
      </c>
      <c r="C8" t="s">
        <v>65</v>
      </c>
      <c r="D8" t="s">
        <v>139</v>
      </c>
      <c r="E8" s="3" t="s">
        <v>66</v>
      </c>
    </row>
    <row r="9" spans="1:5" x14ac:dyDescent="0.25">
      <c r="A9" t="s">
        <v>67</v>
      </c>
      <c r="B9" t="s">
        <v>68</v>
      </c>
      <c r="C9" t="s">
        <v>69</v>
      </c>
      <c r="D9" t="s">
        <v>140</v>
      </c>
      <c r="E9" s="3" t="s">
        <v>70</v>
      </c>
    </row>
    <row r="10" spans="1:5" x14ac:dyDescent="0.25">
      <c r="A10" t="s">
        <v>71</v>
      </c>
      <c r="B10" t="s">
        <v>72</v>
      </c>
      <c r="C10" t="s">
        <v>73</v>
      </c>
      <c r="D10" t="s">
        <v>141</v>
      </c>
      <c r="E10" s="3" t="s">
        <v>74</v>
      </c>
    </row>
    <row r="11" spans="1:5" x14ac:dyDescent="0.25">
      <c r="A11" t="s">
        <v>75</v>
      </c>
      <c r="B11" t="s">
        <v>76</v>
      </c>
      <c r="C11" t="s">
        <v>77</v>
      </c>
      <c r="D11" t="s">
        <v>142</v>
      </c>
      <c r="E11" s="3" t="s">
        <v>78</v>
      </c>
    </row>
    <row r="12" spans="1:5" x14ac:dyDescent="0.25">
      <c r="A12" t="s">
        <v>79</v>
      </c>
      <c r="B12" t="s">
        <v>80</v>
      </c>
      <c r="C12" t="s">
        <v>81</v>
      </c>
      <c r="D12" t="s">
        <v>143</v>
      </c>
      <c r="E12" s="3" t="s">
        <v>82</v>
      </c>
    </row>
    <row r="13" spans="1:5" x14ac:dyDescent="0.25">
      <c r="A13" t="s">
        <v>83</v>
      </c>
      <c r="B13" t="s">
        <v>84</v>
      </c>
      <c r="C13" t="s">
        <v>85</v>
      </c>
      <c r="D13" t="s">
        <v>144</v>
      </c>
      <c r="E13" s="3" t="s">
        <v>86</v>
      </c>
    </row>
    <row r="14" spans="1:5" x14ac:dyDescent="0.25">
      <c r="A14" t="s">
        <v>87</v>
      </c>
      <c r="B14" t="s">
        <v>88</v>
      </c>
      <c r="C14" t="s">
        <v>89</v>
      </c>
      <c r="D14" t="s">
        <v>145</v>
      </c>
      <c r="E14" s="3" t="s">
        <v>90</v>
      </c>
    </row>
    <row r="15" spans="1:5" x14ac:dyDescent="0.25">
      <c r="A15" t="s">
        <v>91</v>
      </c>
      <c r="B15" t="s">
        <v>92</v>
      </c>
      <c r="C15" t="s">
        <v>93</v>
      </c>
      <c r="D15" t="s">
        <v>146</v>
      </c>
      <c r="E15" s="3" t="s">
        <v>94</v>
      </c>
    </row>
    <row r="16" spans="1:5" x14ac:dyDescent="0.25">
      <c r="A16" t="s">
        <v>95</v>
      </c>
      <c r="B16" t="s">
        <v>96</v>
      </c>
      <c r="C16" t="s">
        <v>97</v>
      </c>
      <c r="D16" t="s">
        <v>147</v>
      </c>
      <c r="E16" s="3" t="s">
        <v>98</v>
      </c>
    </row>
    <row r="17" spans="1:5" x14ac:dyDescent="0.25">
      <c r="A17" t="s">
        <v>99</v>
      </c>
      <c r="B17" t="s">
        <v>100</v>
      </c>
      <c r="C17" t="s">
        <v>101</v>
      </c>
      <c r="D17" t="s">
        <v>148</v>
      </c>
      <c r="E17" s="3" t="s">
        <v>102</v>
      </c>
    </row>
    <row r="18" spans="1:5" x14ac:dyDescent="0.25">
      <c r="A18" t="s">
        <v>103</v>
      </c>
      <c r="B18" t="s">
        <v>104</v>
      </c>
      <c r="C18" t="s">
        <v>105</v>
      </c>
      <c r="D18" t="s">
        <v>149</v>
      </c>
      <c r="E18" s="3" t="s">
        <v>106</v>
      </c>
    </row>
    <row r="19" spans="1:5" x14ac:dyDescent="0.25">
      <c r="A19" t="s">
        <v>107</v>
      </c>
      <c r="B19" t="s">
        <v>108</v>
      </c>
      <c r="C19" t="s">
        <v>109</v>
      </c>
      <c r="D19" t="s">
        <v>150</v>
      </c>
      <c r="E19" s="3" t="s">
        <v>110</v>
      </c>
    </row>
    <row r="20" spans="1:5" x14ac:dyDescent="0.25">
      <c r="A20" t="s">
        <v>111</v>
      </c>
      <c r="B20" t="s">
        <v>112</v>
      </c>
      <c r="C20" t="s">
        <v>113</v>
      </c>
      <c r="D20" t="s">
        <v>151</v>
      </c>
      <c r="E20" s="3" t="s">
        <v>114</v>
      </c>
    </row>
    <row r="21" spans="1:5" x14ac:dyDescent="0.25">
      <c r="A21" t="s">
        <v>115</v>
      </c>
      <c r="B21" t="s">
        <v>116</v>
      </c>
      <c r="C21" t="s">
        <v>117</v>
      </c>
      <c r="D21" t="s">
        <v>152</v>
      </c>
      <c r="E21" s="3" t="s">
        <v>118</v>
      </c>
    </row>
    <row r="22" spans="1:5" x14ac:dyDescent="0.25">
      <c r="A22" t="s">
        <v>119</v>
      </c>
      <c r="B22" t="s">
        <v>120</v>
      </c>
      <c r="C22" t="s">
        <v>121</v>
      </c>
      <c r="D22" t="s">
        <v>153</v>
      </c>
      <c r="E22" s="3" t="s">
        <v>122</v>
      </c>
    </row>
    <row r="23" spans="1:5" x14ac:dyDescent="0.25">
      <c r="A23" t="s">
        <v>123</v>
      </c>
      <c r="B23" t="s">
        <v>124</v>
      </c>
      <c r="C23" t="s">
        <v>125</v>
      </c>
      <c r="D23" t="s">
        <v>154</v>
      </c>
      <c r="E23" s="3" t="s">
        <v>126</v>
      </c>
    </row>
    <row r="24" spans="1:5" x14ac:dyDescent="0.25">
      <c r="A24" s="4" t="s">
        <v>127</v>
      </c>
      <c r="B24" s="4" t="s">
        <v>128</v>
      </c>
      <c r="C24" s="4" t="s">
        <v>129</v>
      </c>
      <c r="D24" s="4" t="s">
        <v>155</v>
      </c>
      <c r="E24" s="4" t="s">
        <v>130</v>
      </c>
    </row>
    <row r="25" spans="1:5" x14ac:dyDescent="0.25">
      <c r="E25" s="3"/>
    </row>
    <row r="26" spans="1:5" x14ac:dyDescent="0.25">
      <c r="E26" s="3"/>
    </row>
    <row r="27" spans="1:5" x14ac:dyDescent="0.25">
      <c r="E27" s="3"/>
    </row>
    <row r="28" spans="1:5" x14ac:dyDescent="0.25">
      <c r="E28" s="3"/>
    </row>
    <row r="29" spans="1:5" x14ac:dyDescent="0.25">
      <c r="E29" s="3"/>
    </row>
    <row r="30" spans="1:5" x14ac:dyDescent="0.25">
      <c r="E30" s="3"/>
    </row>
    <row r="31" spans="1:5" x14ac:dyDescent="0.25">
      <c r="E31" s="3"/>
    </row>
    <row r="32" spans="1:5" x14ac:dyDescent="0.25">
      <c r="E32" s="3"/>
    </row>
    <row r="33" spans="1:5" x14ac:dyDescent="0.25">
      <c r="E33" s="3"/>
    </row>
    <row r="34" spans="1:5" x14ac:dyDescent="0.25">
      <c r="E34" s="3"/>
    </row>
    <row r="35" spans="1:5" x14ac:dyDescent="0.25">
      <c r="E35" s="3"/>
    </row>
    <row r="36" spans="1:5" x14ac:dyDescent="0.25">
      <c r="E36" s="3"/>
    </row>
    <row r="37" spans="1:5" x14ac:dyDescent="0.25">
      <c r="E37" s="3"/>
    </row>
    <row r="38" spans="1:5" x14ac:dyDescent="0.25">
      <c r="A38" s="4"/>
      <c r="B38" s="4"/>
      <c r="C38" s="4"/>
      <c r="D38" s="4"/>
      <c r="E38" s="4"/>
    </row>
    <row r="39" spans="1:5" x14ac:dyDescent="0.25">
      <c r="E39" s="3"/>
    </row>
    <row r="40" spans="1:5" x14ac:dyDescent="0.25">
      <c r="E40" s="3"/>
    </row>
    <row r="41" spans="1:5" x14ac:dyDescent="0.25">
      <c r="E41" s="3"/>
    </row>
    <row r="42" spans="1:5" x14ac:dyDescent="0.25">
      <c r="E42" s="3"/>
    </row>
    <row r="43" spans="1:5" x14ac:dyDescent="0.25">
      <c r="E43" s="3"/>
    </row>
    <row r="44" spans="1:5" x14ac:dyDescent="0.25">
      <c r="E44" s="3"/>
    </row>
    <row r="45" spans="1:5" x14ac:dyDescent="0.25">
      <c r="E45" s="3"/>
    </row>
    <row r="46" spans="1:5" x14ac:dyDescent="0.25">
      <c r="E46" s="3"/>
    </row>
    <row r="47" spans="1:5" x14ac:dyDescent="0.25">
      <c r="E47" s="3"/>
    </row>
    <row r="48" spans="1:5" x14ac:dyDescent="0.25">
      <c r="E48" s="3"/>
    </row>
    <row r="49" spans="5:5" x14ac:dyDescent="0.25">
      <c r="E49" s="3"/>
    </row>
    <row r="50" spans="5:5" x14ac:dyDescent="0.25">
      <c r="E50" s="3"/>
    </row>
    <row r="51" spans="5:5" x14ac:dyDescent="0.25">
      <c r="E51" s="3"/>
    </row>
    <row r="52" spans="5:5" x14ac:dyDescent="0.25">
      <c r="E52" s="3"/>
    </row>
    <row r="53" spans="5:5" x14ac:dyDescent="0.25">
      <c r="E53" s="3"/>
    </row>
    <row r="54" spans="5:5" x14ac:dyDescent="0.25">
      <c r="E54" s="3"/>
    </row>
    <row r="55" spans="5:5" x14ac:dyDescent="0.25">
      <c r="E55" s="3"/>
    </row>
    <row r="56" spans="5:5" x14ac:dyDescent="0.25">
      <c r="E56" s="3"/>
    </row>
    <row r="57" spans="5:5" x14ac:dyDescent="0.25">
      <c r="E57" s="3"/>
    </row>
    <row r="58" spans="5:5" x14ac:dyDescent="0.25">
      <c r="E58" s="3"/>
    </row>
    <row r="59" spans="5:5" x14ac:dyDescent="0.25">
      <c r="E59" s="3"/>
    </row>
    <row r="60" spans="5:5" x14ac:dyDescent="0.25">
      <c r="E6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76F5C-8D49-4D87-B634-06D99FC7A9CE}">
  <sheetPr codeName="Sheet4"/>
  <dimension ref="A1:X37"/>
  <sheetViews>
    <sheetView tabSelected="1" topLeftCell="A7" workbookViewId="0">
      <selection activeCell="U18" sqref="U18"/>
    </sheetView>
  </sheetViews>
  <sheetFormatPr defaultRowHeight="15" x14ac:dyDescent="0.25"/>
  <cols>
    <col min="1" max="1" width="10.42578125" style="7" bestFit="1" customWidth="1"/>
    <col min="2" max="2" width="10.42578125" style="5" bestFit="1" customWidth="1"/>
    <col min="3" max="3" width="16.7109375" bestFit="1" customWidth="1"/>
    <col min="4" max="4" width="11.7109375" bestFit="1" customWidth="1"/>
    <col min="5" max="5" width="9" customWidth="1"/>
    <col min="6" max="7" width="9.140625" customWidth="1"/>
    <col min="10" max="10" width="17.140625" customWidth="1"/>
    <col min="11" max="11" width="22.28515625" customWidth="1"/>
    <col min="24" max="24" width="17.5703125" style="7" bestFit="1" customWidth="1"/>
    <col min="26" max="26" width="4.42578125" bestFit="1" customWidth="1"/>
  </cols>
  <sheetData>
    <row r="1" spans="1:20" x14ac:dyDescent="0.25">
      <c r="A1" s="6" t="s">
        <v>156</v>
      </c>
      <c r="B1" s="6" t="s">
        <v>157</v>
      </c>
      <c r="C1" s="6">
        <v>4</v>
      </c>
      <c r="D1" s="6">
        <v>9</v>
      </c>
      <c r="E1" s="6">
        <v>9</v>
      </c>
      <c r="F1" s="6">
        <v>8</v>
      </c>
    </row>
    <row r="2" spans="1:20" x14ac:dyDescent="0.25">
      <c r="A2" s="6" t="s">
        <v>158</v>
      </c>
      <c r="B2" s="6" t="s">
        <v>159</v>
      </c>
      <c r="C2" s="6">
        <v>4</v>
      </c>
      <c r="D2" s="6">
        <v>9</v>
      </c>
      <c r="E2" s="6">
        <v>10</v>
      </c>
      <c r="F2" s="6">
        <v>7</v>
      </c>
      <c r="J2" t="s">
        <v>40</v>
      </c>
      <c r="O2" s="6"/>
      <c r="P2" s="6"/>
      <c r="Q2" s="6"/>
      <c r="R2" s="6"/>
      <c r="S2" s="6"/>
      <c r="T2" s="6"/>
    </row>
    <row r="3" spans="1:20" x14ac:dyDescent="0.25">
      <c r="A3" s="6" t="s">
        <v>160</v>
      </c>
      <c r="B3" s="6" t="s">
        <v>161</v>
      </c>
      <c r="C3" s="6">
        <v>304</v>
      </c>
      <c r="D3" s="6">
        <v>624</v>
      </c>
      <c r="E3" s="6">
        <v>663</v>
      </c>
      <c r="F3" s="6">
        <v>498</v>
      </c>
      <c r="O3" s="7"/>
      <c r="P3" s="7"/>
      <c r="Q3" s="7"/>
      <c r="R3" s="7"/>
      <c r="S3" s="7"/>
      <c r="T3" s="7"/>
    </row>
    <row r="4" spans="1:20" x14ac:dyDescent="0.25">
      <c r="A4" s="6" t="s">
        <v>162</v>
      </c>
      <c r="B4" s="6" t="s">
        <v>190</v>
      </c>
      <c r="C4" s="6">
        <v>4</v>
      </c>
      <c r="D4" s="6">
        <v>9</v>
      </c>
      <c r="E4" s="6">
        <v>10</v>
      </c>
      <c r="F4" s="6">
        <v>8</v>
      </c>
      <c r="H4" s="6"/>
      <c r="O4" s="7"/>
      <c r="P4" s="7"/>
      <c r="Q4" s="7"/>
      <c r="R4" s="7"/>
      <c r="S4" s="7"/>
      <c r="T4" s="7"/>
    </row>
    <row r="5" spans="1:20" x14ac:dyDescent="0.25">
      <c r="A5" s="6" t="s">
        <v>191</v>
      </c>
      <c r="B5" s="6" t="s">
        <v>192</v>
      </c>
      <c r="C5" s="6">
        <v>5</v>
      </c>
      <c r="D5" s="6">
        <v>11</v>
      </c>
      <c r="E5" s="6">
        <v>12</v>
      </c>
      <c r="F5" s="6">
        <v>9</v>
      </c>
      <c r="J5" t="str" cm="1">
        <f t="array" ref="J5:K23">_xlfn.TEXTSPLIT(J2,"|:","&lt;|&gt;")</f>
        <v>22/05/2023</v>
      </c>
      <c r="K5" t="str">
        <v>DN Lớp 8||0.2</v>
      </c>
      <c r="M5" t="str" cm="1">
        <f t="array" ref="M5:N5">_xlfn.TEXTSPLIT(K5,"||")</f>
        <v>DN Lớp 8</v>
      </c>
      <c r="N5" t="str">
        <v>0.2</v>
      </c>
      <c r="O5" s="7"/>
      <c r="P5" s="7"/>
      <c r="Q5" s="7"/>
      <c r="R5" s="7"/>
      <c r="S5" s="7"/>
      <c r="T5" s="7"/>
    </row>
    <row r="6" spans="1:20" x14ac:dyDescent="0.25">
      <c r="A6" s="6" t="s">
        <v>193</v>
      </c>
      <c r="B6" s="6" t="s">
        <v>194</v>
      </c>
      <c r="C6" s="6">
        <v>4</v>
      </c>
      <c r="D6" s="6">
        <v>9</v>
      </c>
      <c r="E6" s="6">
        <v>10</v>
      </c>
      <c r="F6" s="6">
        <v>8</v>
      </c>
      <c r="J6" t="str">
        <v>26/05/2023</v>
      </c>
      <c r="K6" t="str">
        <v>DN Lớp 7||0.3</v>
      </c>
      <c r="M6" t="str" cm="1">
        <f t="array" ref="M6:N6">_xlfn.TEXTSPLIT(K6,"||")</f>
        <v>DN Lớp 7</v>
      </c>
      <c r="N6" t="str">
        <v>0.3</v>
      </c>
      <c r="O6" s="7"/>
      <c r="P6" s="7"/>
      <c r="Q6" s="7"/>
      <c r="R6" s="7"/>
      <c r="S6" s="7"/>
      <c r="T6" s="7"/>
    </row>
    <row r="7" spans="1:20" x14ac:dyDescent="0.25">
      <c r="A7" s="6" t="s">
        <v>195</v>
      </c>
      <c r="B7" s="6" t="s">
        <v>163</v>
      </c>
      <c r="C7" s="6">
        <v>5</v>
      </c>
      <c r="D7" s="6">
        <v>11</v>
      </c>
      <c r="E7" s="6">
        <v>12</v>
      </c>
      <c r="F7" s="6">
        <v>9</v>
      </c>
      <c r="J7" t="str">
        <v>30/05/2023</v>
      </c>
      <c r="K7" t="str">
        <v>DN Lớp 6||0.3</v>
      </c>
      <c r="M7" t="str" cm="1">
        <f t="array" ref="M7:N7">_xlfn.TEXTSPLIT(K7,"||")</f>
        <v>DN Lớp 6</v>
      </c>
      <c r="N7" t="str">
        <v>0.3</v>
      </c>
      <c r="O7" s="7"/>
      <c r="P7" s="7"/>
      <c r="Q7" s="7"/>
      <c r="R7" s="7"/>
      <c r="S7" s="7"/>
      <c r="T7" s="7"/>
    </row>
    <row r="8" spans="1:20" x14ac:dyDescent="0.25">
      <c r="A8" s="6" t="s">
        <v>164</v>
      </c>
      <c r="B8" s="6" t="s">
        <v>165</v>
      </c>
      <c r="C8" s="6">
        <v>168</v>
      </c>
      <c r="D8" s="6">
        <v>345</v>
      </c>
      <c r="E8" s="6">
        <v>367</v>
      </c>
      <c r="F8" s="6">
        <v>276</v>
      </c>
      <c r="J8" t="str">
        <v>29/03/2024</v>
      </c>
      <c r="K8" t="str">
        <v>DN Lớp 5||0.3</v>
      </c>
      <c r="M8" t="str" cm="1">
        <f t="array" ref="M8:N8">_xlfn.TEXTSPLIT(K8,"||")</f>
        <v>DN Lớp 5</v>
      </c>
      <c r="N8" t="str">
        <v>0.3</v>
      </c>
      <c r="O8" s="7"/>
      <c r="P8" s="7"/>
      <c r="Q8" s="7"/>
      <c r="R8" s="7"/>
      <c r="S8" s="7"/>
      <c r="T8" s="7"/>
    </row>
    <row r="9" spans="1:20" x14ac:dyDescent="0.25">
      <c r="A9" s="6" t="s">
        <v>181</v>
      </c>
      <c r="B9" s="6" t="s">
        <v>182</v>
      </c>
      <c r="C9" s="6">
        <v>5</v>
      </c>
      <c r="D9" s="6">
        <v>12</v>
      </c>
      <c r="E9" s="6">
        <v>12</v>
      </c>
      <c r="F9" s="6">
        <v>9</v>
      </c>
      <c r="J9" t="str">
        <v>02/04/2024</v>
      </c>
      <c r="K9" t="str">
        <v>DN Lớp 4||0.3</v>
      </c>
      <c r="M9" t="str" cm="1">
        <f t="array" ref="M9:N9">_xlfn.TEXTSPLIT(K9,"||")</f>
        <v>DN Lớp 4</v>
      </c>
      <c r="N9" t="str">
        <v>0.3</v>
      </c>
      <c r="O9" s="7"/>
      <c r="P9" s="7"/>
      <c r="Q9" s="7">
        <v>9</v>
      </c>
      <c r="R9" s="7">
        <v>9</v>
      </c>
      <c r="S9" s="7">
        <v>8</v>
      </c>
      <c r="T9" s="7"/>
    </row>
    <row r="10" spans="1:20" x14ac:dyDescent="0.25">
      <c r="A10" s="6" t="s">
        <v>183</v>
      </c>
      <c r="B10" s="6" t="s">
        <v>184</v>
      </c>
      <c r="C10" s="6">
        <v>4</v>
      </c>
      <c r="D10" s="6">
        <v>9</v>
      </c>
      <c r="E10" s="6">
        <v>10</v>
      </c>
      <c r="F10" s="6">
        <v>8</v>
      </c>
      <c r="J10" t="str">
        <v>07/04/2024</v>
      </c>
      <c r="K10" t="str">
        <v>DN Lớp 3||0.3</v>
      </c>
      <c r="M10" t="str" cm="1">
        <f t="array" ref="M10:N10">_xlfn.TEXTSPLIT(K10,"||")</f>
        <v>DN Lớp 3</v>
      </c>
      <c r="N10" t="str">
        <v>0.3</v>
      </c>
      <c r="O10" s="7"/>
      <c r="P10" s="7"/>
      <c r="Q10" s="7">
        <v>9</v>
      </c>
      <c r="R10" s="7">
        <v>10</v>
      </c>
      <c r="S10" s="7">
        <v>7</v>
      </c>
      <c r="T10" s="7"/>
    </row>
    <row r="11" spans="1:20" x14ac:dyDescent="0.25">
      <c r="A11" s="6" t="s">
        <v>185</v>
      </c>
      <c r="B11" s="6" t="s">
        <v>166</v>
      </c>
      <c r="C11" s="6">
        <v>5</v>
      </c>
      <c r="D11" s="6">
        <v>11</v>
      </c>
      <c r="E11" s="6">
        <v>12</v>
      </c>
      <c r="F11" s="6">
        <v>9</v>
      </c>
      <c r="J11" t="str">
        <v>11/04/2024</v>
      </c>
      <c r="K11" t="str">
        <v>DN Lớp 2||0.3</v>
      </c>
      <c r="M11" t="str" cm="1">
        <f t="array" ref="M11:N11">_xlfn.TEXTSPLIT(K11,"||")</f>
        <v>DN Lớp 2</v>
      </c>
      <c r="N11" t="str">
        <v>0.3</v>
      </c>
      <c r="O11" s="7"/>
      <c r="P11" s="7"/>
      <c r="Q11" s="7">
        <v>624</v>
      </c>
      <c r="R11" s="7">
        <v>663</v>
      </c>
      <c r="S11" s="7">
        <v>498</v>
      </c>
      <c r="T11" s="7"/>
    </row>
    <row r="12" spans="1:20" x14ac:dyDescent="0.25">
      <c r="A12" s="6" t="s">
        <v>167</v>
      </c>
      <c r="B12" s="6" t="s">
        <v>186</v>
      </c>
      <c r="C12" s="6">
        <v>179</v>
      </c>
      <c r="D12" s="6">
        <v>368</v>
      </c>
      <c r="E12" s="6">
        <v>391</v>
      </c>
      <c r="F12" s="6">
        <v>294</v>
      </c>
      <c r="J12" t="str">
        <v>16/04/2024</v>
      </c>
      <c r="K12" t="str">
        <v>DN Lớp 1||0.3</v>
      </c>
      <c r="M12" t="str" cm="1">
        <f t="array" ref="M12:N12">_xlfn.TEXTSPLIT(K12,"||")</f>
        <v>DN Lớp 1</v>
      </c>
      <c r="N12" t="str">
        <v>0.3</v>
      </c>
      <c r="O12" s="7"/>
      <c r="P12" s="7"/>
      <c r="Q12" s="7">
        <v>9</v>
      </c>
      <c r="R12" s="7">
        <v>10</v>
      </c>
      <c r="S12" s="7">
        <v>8</v>
      </c>
      <c r="T12" s="7"/>
    </row>
    <row r="13" spans="1:20" x14ac:dyDescent="0.25">
      <c r="A13" s="6" t="s">
        <v>187</v>
      </c>
      <c r="B13" s="6" t="s">
        <v>168</v>
      </c>
      <c r="C13" s="6">
        <v>5</v>
      </c>
      <c r="D13" s="6">
        <v>11</v>
      </c>
      <c r="E13" s="6">
        <v>12</v>
      </c>
      <c r="F13" s="6">
        <v>9</v>
      </c>
      <c r="J13" t="str">
        <v>01/10/2024</v>
      </c>
      <c r="K13" t="str">
        <v>GT 4||0.25</v>
      </c>
      <c r="M13" t="str" cm="1">
        <f t="array" ref="M13:N13">_xlfn.TEXTSPLIT(K13,"||")</f>
        <v>GT 4</v>
      </c>
      <c r="N13" t="str">
        <v>0.25</v>
      </c>
      <c r="O13" s="7"/>
      <c r="P13" s="7"/>
      <c r="Q13" s="7">
        <v>11</v>
      </c>
      <c r="R13" s="7">
        <v>12</v>
      </c>
      <c r="S13" s="7">
        <v>9</v>
      </c>
      <c r="T13" s="7"/>
    </row>
    <row r="14" spans="1:20" x14ac:dyDescent="0.25">
      <c r="A14" s="6" t="s">
        <v>169</v>
      </c>
      <c r="B14" s="6" t="s">
        <v>170</v>
      </c>
      <c r="C14" s="6">
        <v>5</v>
      </c>
      <c r="D14" s="6">
        <v>11</v>
      </c>
      <c r="E14" s="6">
        <v>12</v>
      </c>
      <c r="F14" s="6">
        <v>9</v>
      </c>
      <c r="J14" t="str">
        <v>06/10/2024</v>
      </c>
      <c r="K14" t="str">
        <v>GT 3||0.3</v>
      </c>
      <c r="M14" t="str" cm="1">
        <f t="array" ref="M14:N14">_xlfn.TEXTSPLIT(K14,"||")</f>
        <v>GT 3</v>
      </c>
      <c r="N14" t="str">
        <v>0.3</v>
      </c>
      <c r="O14" s="7"/>
      <c r="P14" s="7"/>
      <c r="Q14" s="7">
        <v>9</v>
      </c>
      <c r="R14" s="7">
        <v>10</v>
      </c>
      <c r="S14" s="7">
        <v>8</v>
      </c>
      <c r="T14" s="7"/>
    </row>
    <row r="15" spans="1:20" x14ac:dyDescent="0.25">
      <c r="A15" s="6" t="s">
        <v>171</v>
      </c>
      <c r="B15" s="6" t="s">
        <v>172</v>
      </c>
      <c r="C15" s="6">
        <v>5</v>
      </c>
      <c r="D15" s="6">
        <v>11</v>
      </c>
      <c r="E15" s="6">
        <v>12</v>
      </c>
      <c r="F15" s="6">
        <v>9</v>
      </c>
      <c r="J15" t="str">
        <v>10/10/2024</v>
      </c>
      <c r="K15" t="str">
        <v>GT 2||0.3</v>
      </c>
      <c r="M15" t="str" cm="1">
        <f t="array" ref="M15:N15">_xlfn.TEXTSPLIT(K15,"||")</f>
        <v>GT 2</v>
      </c>
      <c r="N15" t="str">
        <v>0.3</v>
      </c>
      <c r="O15" s="7"/>
      <c r="P15" s="7"/>
      <c r="Q15" s="7">
        <v>11</v>
      </c>
      <c r="R15" s="7">
        <v>12</v>
      </c>
      <c r="S15" s="7">
        <v>9</v>
      </c>
      <c r="T15" s="7"/>
    </row>
    <row r="16" spans="1:20" x14ac:dyDescent="0.25">
      <c r="A16" s="6" t="s">
        <v>173</v>
      </c>
      <c r="B16" s="6" t="s">
        <v>196</v>
      </c>
      <c r="C16" s="6">
        <v>5</v>
      </c>
      <c r="D16" s="6">
        <v>11</v>
      </c>
      <c r="E16" s="6">
        <v>12</v>
      </c>
      <c r="F16" s="6">
        <v>9</v>
      </c>
      <c r="J16" t="str">
        <v>15/10/2024</v>
      </c>
      <c r="K16" t="str">
        <v>GT 1||0.3</v>
      </c>
      <c r="M16" t="str" cm="1">
        <f t="array" ref="M16:N16">_xlfn.TEXTSPLIT(K16,"||")</f>
        <v>GT 1</v>
      </c>
      <c r="N16" t="str">
        <v>0.3</v>
      </c>
      <c r="O16" s="7"/>
      <c r="P16" s="7"/>
      <c r="Q16" s="7">
        <v>345</v>
      </c>
      <c r="R16" s="7">
        <v>367</v>
      </c>
      <c r="S16" s="7">
        <v>276</v>
      </c>
      <c r="T16" s="7"/>
    </row>
    <row r="17" spans="1:20" x14ac:dyDescent="0.25">
      <c r="A17" s="6" t="s">
        <v>188</v>
      </c>
      <c r="B17" s="6" t="s">
        <v>189</v>
      </c>
      <c r="C17" s="6">
        <v>5</v>
      </c>
      <c r="D17" s="6">
        <v>11</v>
      </c>
      <c r="E17" s="6">
        <v>12</v>
      </c>
      <c r="F17" s="6">
        <v>9</v>
      </c>
      <c r="J17" t="str">
        <v>12/04/2025</v>
      </c>
      <c r="K17" t="str">
        <v>GT GD2 LỚP 7||0.2</v>
      </c>
      <c r="M17" t="str" cm="1">
        <f t="array" ref="M17:N17">_xlfn.TEXTSPLIT(K17,"||")</f>
        <v>GT GD2 LỚP 7</v>
      </c>
      <c r="N17" t="str">
        <v>0.2</v>
      </c>
      <c r="O17" s="7"/>
      <c r="P17" s="7"/>
      <c r="Q17" s="7">
        <v>12</v>
      </c>
      <c r="R17" s="7">
        <v>12</v>
      </c>
      <c r="S17" s="7">
        <v>9</v>
      </c>
      <c r="T17" s="7"/>
    </row>
    <row r="18" spans="1:20" x14ac:dyDescent="0.25">
      <c r="A18" s="6" t="s">
        <v>197</v>
      </c>
      <c r="B18" s="6" t="s">
        <v>174</v>
      </c>
      <c r="C18" s="6">
        <v>8</v>
      </c>
      <c r="D18" s="6">
        <v>18</v>
      </c>
      <c r="E18" s="6">
        <v>18</v>
      </c>
      <c r="F18" s="6">
        <v>14</v>
      </c>
      <c r="J18" t="str">
        <v>17/04/2025</v>
      </c>
      <c r="K18" t="str">
        <v>GT GD2 LỚP 6||0.3</v>
      </c>
      <c r="M18" t="str" cm="1">
        <f t="array" ref="M18:N18">_xlfn.TEXTSPLIT(K18,"||")</f>
        <v>GT GD2 LỚP 6</v>
      </c>
      <c r="N18" t="str">
        <v>0.3</v>
      </c>
      <c r="O18" s="7"/>
      <c r="P18" s="7"/>
      <c r="Q18" s="7">
        <v>9</v>
      </c>
      <c r="R18" s="7">
        <v>10</v>
      </c>
      <c r="S18" s="7">
        <v>8</v>
      </c>
      <c r="T18" s="7"/>
    </row>
    <row r="19" spans="1:20" x14ac:dyDescent="0.25">
      <c r="B19" s="7"/>
      <c r="C19" s="7"/>
      <c r="D19" s="7"/>
      <c r="J19" t="str">
        <v>22/04/2025</v>
      </c>
      <c r="K19" t="str">
        <v>GT GD2 LỚP 5||0.3</v>
      </c>
      <c r="M19" t="str" cm="1">
        <f t="array" ref="M19:N19">_xlfn.TEXTSPLIT(K19,"||")</f>
        <v>GT GD2 LỚP 5</v>
      </c>
      <c r="N19" t="str">
        <v>0.3</v>
      </c>
      <c r="O19" s="7"/>
      <c r="P19" s="7"/>
      <c r="Q19" s="7">
        <v>11</v>
      </c>
      <c r="R19" s="7">
        <v>12</v>
      </c>
      <c r="S19" s="7">
        <v>9</v>
      </c>
      <c r="T19" s="7"/>
    </row>
    <row r="20" spans="1:20" x14ac:dyDescent="0.25">
      <c r="A20" s="6" t="s">
        <v>156</v>
      </c>
      <c r="B20" s="6" t="s">
        <v>157</v>
      </c>
      <c r="C20" s="6">
        <v>4</v>
      </c>
      <c r="D20" s="9">
        <v>0.2</v>
      </c>
      <c r="E20" cm="1">
        <f t="array" ref="E20:E37">PhanPhoiLunABC(1500,C20:C37,D20:D37)</f>
        <v>7</v>
      </c>
      <c r="J20" t="str">
        <v>27/04/2025</v>
      </c>
      <c r="K20" t="str">
        <v>GT GD2 LỚP 4||0.3</v>
      </c>
      <c r="M20" t="str" cm="1">
        <f t="array" ref="M20:N20">_xlfn.TEXTSPLIT(K20,"||")</f>
        <v>GT GD2 LỚP 4</v>
      </c>
      <c r="N20" t="str">
        <v>0.3</v>
      </c>
      <c r="Q20" s="7">
        <v>368</v>
      </c>
      <c r="R20" s="7">
        <v>391</v>
      </c>
      <c r="S20" s="7">
        <v>294</v>
      </c>
    </row>
    <row r="21" spans="1:20" x14ac:dyDescent="0.25">
      <c r="A21" s="6" t="s">
        <v>158</v>
      </c>
      <c r="B21" s="6" t="s">
        <v>159</v>
      </c>
      <c r="C21" s="6">
        <v>4</v>
      </c>
      <c r="D21" s="7">
        <v>0.3</v>
      </c>
      <c r="E21" s="6">
        <v>9</v>
      </c>
      <c r="F21" s="6"/>
      <c r="J21" t="str">
        <v>02/05/2025</v>
      </c>
      <c r="K21" t="str">
        <v>GT GD2 LỚP 3||0.3</v>
      </c>
      <c r="M21" t="str" cm="1">
        <f t="array" ref="M21:N21">_xlfn.TEXTSPLIT(K21,"||")</f>
        <v>GT GD2 LỚP 3</v>
      </c>
      <c r="N21" t="str">
        <v>0.3</v>
      </c>
      <c r="Q21" s="7">
        <v>11</v>
      </c>
      <c r="R21" s="7">
        <v>12</v>
      </c>
      <c r="S21" s="7">
        <v>9</v>
      </c>
    </row>
    <row r="22" spans="1:20" x14ac:dyDescent="0.25">
      <c r="A22" s="6" t="s">
        <v>160</v>
      </c>
      <c r="B22" s="6" t="s">
        <v>161</v>
      </c>
      <c r="C22" s="6">
        <v>304</v>
      </c>
      <c r="D22" s="7">
        <v>0.3</v>
      </c>
      <c r="E22" s="6">
        <v>634</v>
      </c>
      <c r="F22" s="6"/>
      <c r="J22" t="str">
        <v>07/05/2025</v>
      </c>
      <c r="K22" t="str">
        <v>GT GD2 LỚP 2||0.3</v>
      </c>
      <c r="M22" t="str" cm="1">
        <f t="array" ref="M22:N22">_xlfn.TEXTSPLIT(K22,"||")</f>
        <v>GT GD2 LỚP 2</v>
      </c>
      <c r="N22" t="str">
        <v>0.3</v>
      </c>
      <c r="Q22" s="7">
        <v>11</v>
      </c>
      <c r="R22" s="7">
        <v>12</v>
      </c>
      <c r="S22" s="7">
        <v>9</v>
      </c>
    </row>
    <row r="23" spans="1:20" x14ac:dyDescent="0.25">
      <c r="A23" s="6" t="s">
        <v>162</v>
      </c>
      <c r="B23" s="6" t="s">
        <v>190</v>
      </c>
      <c r="C23" s="6">
        <v>4</v>
      </c>
      <c r="D23" s="7">
        <v>0.3</v>
      </c>
      <c r="E23" s="6">
        <v>8</v>
      </c>
      <c r="F23" s="6"/>
      <c r="J23" t="str">
        <v>14/05/2025</v>
      </c>
      <c r="K23" t="str">
        <v>K.Thúc GT||0.3</v>
      </c>
      <c r="M23" t="str" cm="1">
        <f t="array" ref="M23:N23">_xlfn.TEXTSPLIT(K23,"||")</f>
        <v>K.Thúc GT</v>
      </c>
      <c r="N23" t="str">
        <v>0.3</v>
      </c>
      <c r="Q23" s="7">
        <v>11</v>
      </c>
      <c r="R23" s="7">
        <v>12</v>
      </c>
      <c r="S23" s="7">
        <v>9</v>
      </c>
    </row>
    <row r="24" spans="1:20" x14ac:dyDescent="0.25">
      <c r="A24" s="6" t="s">
        <v>191</v>
      </c>
      <c r="B24" s="6" t="s">
        <v>192</v>
      </c>
      <c r="C24" s="6">
        <v>5</v>
      </c>
      <c r="D24" s="7">
        <v>0.3</v>
      </c>
      <c r="E24" s="6">
        <v>10</v>
      </c>
      <c r="F24" s="6"/>
      <c r="Q24" s="7">
        <v>11</v>
      </c>
      <c r="R24" s="7">
        <v>12</v>
      </c>
      <c r="S24" s="7">
        <v>9</v>
      </c>
    </row>
    <row r="25" spans="1:20" x14ac:dyDescent="0.25">
      <c r="A25" s="6" t="s">
        <v>193</v>
      </c>
      <c r="B25" s="6" t="s">
        <v>194</v>
      </c>
      <c r="C25" s="6">
        <v>4</v>
      </c>
      <c r="D25" s="7">
        <v>0.3</v>
      </c>
      <c r="E25" s="6">
        <v>8</v>
      </c>
      <c r="F25" s="6"/>
      <c r="Q25" s="7">
        <v>11</v>
      </c>
      <c r="R25" s="7">
        <v>12</v>
      </c>
      <c r="S25" s="7">
        <v>9</v>
      </c>
    </row>
    <row r="26" spans="1:20" x14ac:dyDescent="0.25">
      <c r="A26" s="6" t="s">
        <v>195</v>
      </c>
      <c r="B26" s="6" t="s">
        <v>163</v>
      </c>
      <c r="C26" s="6">
        <v>5</v>
      </c>
      <c r="D26" s="7">
        <v>0.3</v>
      </c>
      <c r="E26" s="6">
        <v>10</v>
      </c>
      <c r="F26" s="6"/>
      <c r="Q26" s="7">
        <v>18</v>
      </c>
      <c r="R26" s="7">
        <v>18</v>
      </c>
      <c r="S26" s="7">
        <v>14</v>
      </c>
    </row>
    <row r="27" spans="1:20" x14ac:dyDescent="0.25">
      <c r="A27" s="6" t="s">
        <v>164</v>
      </c>
      <c r="B27" s="6" t="s">
        <v>165</v>
      </c>
      <c r="C27" s="6">
        <v>168</v>
      </c>
      <c r="D27" s="7">
        <v>0.3</v>
      </c>
      <c r="E27">
        <v>350</v>
      </c>
      <c r="Q27" s="9">
        <f>SUM(Q9:Q26)</f>
        <v>1500</v>
      </c>
      <c r="R27" s="9">
        <f t="shared" ref="R27:S27" si="0">SUM(R9:R26)</f>
        <v>1596</v>
      </c>
      <c r="S27" s="9">
        <f t="shared" si="0"/>
        <v>1202</v>
      </c>
    </row>
    <row r="28" spans="1:20" x14ac:dyDescent="0.25">
      <c r="A28" s="6" t="s">
        <v>181</v>
      </c>
      <c r="B28" s="6" t="s">
        <v>182</v>
      </c>
      <c r="C28" s="6">
        <v>5</v>
      </c>
      <c r="D28" s="7">
        <v>0.25</v>
      </c>
      <c r="E28">
        <v>9</v>
      </c>
    </row>
    <row r="29" spans="1:20" x14ac:dyDescent="0.25">
      <c r="A29" s="6" t="s">
        <v>183</v>
      </c>
      <c r="B29" s="6" t="s">
        <v>184</v>
      </c>
      <c r="C29" s="6">
        <v>4</v>
      </c>
      <c r="D29" s="7">
        <v>0.3</v>
      </c>
      <c r="E29">
        <v>8</v>
      </c>
    </row>
    <row r="30" spans="1:20" x14ac:dyDescent="0.25">
      <c r="A30" s="6" t="s">
        <v>185</v>
      </c>
      <c r="B30" s="6" t="s">
        <v>166</v>
      </c>
      <c r="C30" s="6">
        <v>5</v>
      </c>
      <c r="D30" s="7">
        <v>0.3</v>
      </c>
      <c r="E30">
        <v>10</v>
      </c>
    </row>
    <row r="31" spans="1:20" x14ac:dyDescent="0.25">
      <c r="A31" s="6" t="s">
        <v>167</v>
      </c>
      <c r="B31" s="6" t="s">
        <v>186</v>
      </c>
      <c r="C31" s="6">
        <v>179</v>
      </c>
      <c r="D31" s="7">
        <v>0.3</v>
      </c>
      <c r="E31">
        <v>373</v>
      </c>
    </row>
    <row r="32" spans="1:20" x14ac:dyDescent="0.25">
      <c r="A32" s="6" t="s">
        <v>187</v>
      </c>
      <c r="B32" s="6" t="s">
        <v>168</v>
      </c>
      <c r="C32" s="6">
        <v>5</v>
      </c>
      <c r="D32" s="7">
        <v>0.2</v>
      </c>
      <c r="E32">
        <v>7</v>
      </c>
    </row>
    <row r="33" spans="1:5" x14ac:dyDescent="0.25">
      <c r="A33" s="6" t="s">
        <v>169</v>
      </c>
      <c r="B33" s="6" t="s">
        <v>170</v>
      </c>
      <c r="C33" s="6">
        <v>5</v>
      </c>
      <c r="D33" s="7">
        <v>0.3</v>
      </c>
      <c r="E33">
        <v>10</v>
      </c>
    </row>
    <row r="34" spans="1:5" x14ac:dyDescent="0.25">
      <c r="A34" s="6" t="s">
        <v>171</v>
      </c>
      <c r="B34" s="6" t="s">
        <v>172</v>
      </c>
      <c r="C34" s="6">
        <v>5</v>
      </c>
      <c r="D34" s="7">
        <v>0.3</v>
      </c>
      <c r="E34">
        <v>10</v>
      </c>
    </row>
    <row r="35" spans="1:5" x14ac:dyDescent="0.25">
      <c r="A35" s="6" t="s">
        <v>173</v>
      </c>
      <c r="B35" s="6" t="s">
        <v>196</v>
      </c>
      <c r="C35" s="6">
        <v>5</v>
      </c>
      <c r="D35" s="7">
        <v>0.3</v>
      </c>
      <c r="E35">
        <v>10</v>
      </c>
    </row>
    <row r="36" spans="1:5" x14ac:dyDescent="0.25">
      <c r="A36" s="6" t="s">
        <v>188</v>
      </c>
      <c r="B36" s="6" t="s">
        <v>189</v>
      </c>
      <c r="C36" s="6">
        <v>5</v>
      </c>
      <c r="D36" s="7">
        <v>0.3</v>
      </c>
      <c r="E36">
        <v>10</v>
      </c>
    </row>
    <row r="37" spans="1:5" x14ac:dyDescent="0.25">
      <c r="A37" s="6" t="s">
        <v>197</v>
      </c>
      <c r="B37" s="6" t="s">
        <v>174</v>
      </c>
      <c r="C37" s="6">
        <v>8</v>
      </c>
      <c r="D37" s="7">
        <v>0.3</v>
      </c>
      <c r="E37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DS Goi Thau</vt:lpstr>
      <vt:lpstr>DS Mat Cat</vt:lpstr>
      <vt:lpstr>Caches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Đăng Huân Võ</dc:creator>
  <cp:lastModifiedBy>Đăng Huân Võ</cp:lastModifiedBy>
  <dcterms:created xsi:type="dcterms:W3CDTF">2025-07-10T13:58:16Z</dcterms:created>
  <dcterms:modified xsi:type="dcterms:W3CDTF">2025-07-31T09:51:40Z</dcterms:modified>
</cp:coreProperties>
</file>