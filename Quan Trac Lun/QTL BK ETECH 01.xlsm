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 Visual Basic\bketech\Quan Trac Lun\"/>
    </mc:Choice>
  </mc:AlternateContent>
  <xr:revisionPtr revIDLastSave="0" documentId="13_ncr:1_{872BC5F6-5A41-4FFE-A101-3AEB42F977B7}" xr6:coauthVersionLast="47" xr6:coauthVersionMax="47" xr10:uidLastSave="{00000000-0000-0000-0000-000000000000}"/>
  <bookViews>
    <workbookView xWindow="-108" yWindow="-108" windowWidth="23256" windowHeight="12456" firstSheet="1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4" l="1"/>
  <c r="C73" i="3"/>
</calcChain>
</file>

<file path=xl/sharedStrings.xml><?xml version="1.0" encoding="utf-8"?>
<sst xmlns="http://schemas.openxmlformats.org/spreadsheetml/2006/main" count="401" uniqueCount="362">
  <si>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</si>
  <si>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</si>
  <si>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</si>
  <si>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</si>
  <si>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</si>
  <si>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</si>
  <si>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</si>
  <si>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</si>
  <si>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</si>
  <si>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</si>
  <si>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</si>
  <si>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</si>
  <si>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</si>
  <si>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</si>
  <si>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</si>
  <si>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</si>
  <si>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</si>
  <si>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</si>
  <si>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</si>
  <si>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</si>
  <si>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</si>
  <si>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</si>
  <si>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</si>
  <si>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</si>
  <si>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</si>
  <si>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</si>
  <si>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</si>
  <si>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</si>
  <si>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</si>
  <si>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</si>
  <si>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</si>
  <si>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</si>
  <si>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</si>
  <si>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</si>
  <si>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</si>
  <si>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</si>
  <si>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</si>
  <si>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</si>
  <si>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</si>
  <si>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</si>
  <si>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</si>
  <si>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</si>
  <si>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</si>
  <si>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</si>
  <si>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</si>
  <si>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</si>
  <si>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</si>
  <si>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</si>
  <si>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</si>
  <si>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</si>
  <si>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</si>
  <si>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</si>
  <si>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</si>
  <si>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</si>
  <si>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</si>
  <si>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</si>
  <si>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</si>
  <si>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</si>
  <si>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</si>
  <si>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</si>
  <si>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</si>
  <si>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</si>
  <si>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</si>
  <si>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</si>
  <si>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</si>
  <si>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</si>
  <si>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</si>
  <si>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</si>
  <si>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</si>
  <si>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</si>
  <si>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</si>
  <si>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</si>
  <si>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</si>
  <si>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</si>
  <si>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</si>
  <si>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</si>
  <si>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</si>
  <si>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</si>
  <si>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</si>
  <si>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</si>
  <si>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</si>
  <si>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</si>
  <si>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</si>
  <si>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</si>
  <si>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</si>
  <si>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</si>
  <si>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</si>
  <si>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</si>
  <si>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</si>
  <si>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</si>
  <si>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</si>
  <si>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</si>
  <si>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</si>
  <si>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</si>
  <si>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</si>
  <si>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</si>
  <si>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</si>
  <si>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</si>
  <si>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</si>
  <si>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</si>
  <si>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</si>
  <si>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</si>
  <si>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</si>
  <si>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</si>
  <si>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</si>
  <si>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</si>
  <si>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</si>
  <si>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</si>
  <si>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</si>
  <si>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</si>
  <si>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</si>
  <si>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</si>
  <si>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</si>
  <si>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</si>
  <si>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</si>
  <si>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NgayKT|:10/03/2025&lt;|&gt;CDBanTrai|:-1317&lt;|&gt;CDBanTim|:-1528&lt;|&gt;CDBanPhai|:-1270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</si>
  <si>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</si>
  <si>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</si>
  <si>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</si>
  <si>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</si>
  <si>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</si>
  <si>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</si>
  <si>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</si>
  <si>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</si>
  <si>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</si>
  <si>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</si>
  <si>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</si>
  <si>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</si>
  <si>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</si>
  <si>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</si>
  <si>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</si>
  <si>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</si>
  <si>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</si>
  <si>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</si>
  <si>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</si>
  <si>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</si>
  <si>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</si>
  <si>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</si>
  <si>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</si>
  <si>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</si>
  <si>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</si>
  <si>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</si>
  <si>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</si>
  <si>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</si>
  <si>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</si>
  <si>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</si>
  <si>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</si>
  <si>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</si>
  <si>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</si>
  <si>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</si>
  <si>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</si>
  <si>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</si>
  <si>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</si>
  <si>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</si>
  <si>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</si>
  <si>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</si>
  <si>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</si>
  <si>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</si>
  <si>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</si>
  <si>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</si>
  <si>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</si>
  <si>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</si>
  <si>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</si>
  <si>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</si>
  <si>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</si>
  <si>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</si>
  <si>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</si>
  <si>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</si>
  <si>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</si>
  <si>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</si>
  <si>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</si>
  <si>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</si>
  <si>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</si>
  <si>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</si>
  <si>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</si>
  <si>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</si>
  <si>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</si>
  <si>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</si>
  <si>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</si>
  <si>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</si>
  <si>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</si>
  <si>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</si>
  <si>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</si>
  <si>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</si>
  <si>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</si>
  <si>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</si>
  <si>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</si>
  <si>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</si>
  <si>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</si>
  <si>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</si>
  <si>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NgayKT|:28/06/2025&lt;|&gt;CDBanTrai|:-1132&lt;|&gt;CDBanTim|:-1036&lt;|&gt;CDBanPhai|:-1546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</si>
  <si>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</si>
  <si>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</si>
  <si>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</si>
  <si>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NgayKT|:27/07/2025&lt;|&gt;CDBanTrai|:-589&lt;|&gt;CDBanTim|:-664&lt;|&gt;CDBanPhai|:-465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</si>
  <si>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</si>
  <si>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</si>
  <si>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</si>
  <si>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NgayKT|:27/07/2025&lt;|&gt;CDBanTrai|:-1453&lt;|&gt;CDBanTim|:-1251&lt;|&gt;CDBanPhai|:-1061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</si>
  <si>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</si>
  <si>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</si>
  <si>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</si>
  <si>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NgayKT|:27/07/2025&lt;|&gt;CDBanTrai|:-392&lt;|&gt;CDBanTim|:-576&lt;|&gt;CDBanPhai|:-560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</si>
  <si>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</si>
  <si>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</si>
  <si>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</si>
  <si>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NgayKT|:27/07/2025&lt;|&gt;CDBanTrai|:-838&lt;|&gt;CDBanTim|:-1506&lt;|&gt;CDBanPhai|:-1107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</si>
  <si>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</si>
  <si>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</si>
  <si>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</si>
  <si>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NgayKT|:27/07/2025&lt;|&gt;CDBanTrai|:-1110&lt;|&gt;CDBanTim|:-898&lt;|&gt;CDBanPhai|:-754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</si>
  <si>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</si>
  <si>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</si>
  <si>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</si>
  <si>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</si>
  <si>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NgayKT|:19/07/2025&lt;|&gt;CDBanTrai|:-950&lt;|&gt;CDBanTim|:-1050&lt;|&gt;CDBanPhai|:-932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</si>
  <si>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</si>
  <si>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</si>
  <si>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</si>
  <si>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NgayKT|:27/07/2025&lt;|&gt;CDBanTrai|:-2101&lt;|&gt;CDBanTim|:-1665&lt;|&gt;CDBanPhai|:-1710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</si>
  <si>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</si>
  <si>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</si>
  <si>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</si>
  <si>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NgayKT|:27/07/2025&lt;|&gt;CDBanTrai|:-771&lt;|&gt;CDBanTim|:-1111&lt;|&gt;CDBanPhai|:-706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</si>
  <si>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</si>
  <si>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</si>
  <si>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</si>
  <si>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</si>
  <si>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NgayKT|:27/07/2025&lt;|&gt;CDBanTrai|:-1143&lt;|&gt;CDBanTim|:-1529&lt;|&gt;CDBanPhai|:-804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</si>
  <si>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</si>
  <si>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</si>
  <si>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</si>
  <si>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NgayKT|:27/07/2025&lt;|&gt;CDBanTrai|:-1032&lt;|&gt;CDBanTim|:-1744&lt;|&gt;CDBanPhai|:-2099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</si>
  <si>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</si>
  <si>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</si>
  <si>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</si>
  <si>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NgayKT|:27/07/2025&lt;|&gt;CDBanTrai|:-805&lt;|&gt;CDBanTim|:-1420&lt;|&gt;CDBanPhai|:-882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</si>
  <si>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</si>
  <si>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</si>
  <si>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</si>
  <si>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NgayKT|:27/07/2025&lt;|&gt;CDBanTrai|:-1298&lt;|&gt;CDBanTim|:-1835&lt;|&gt;CDBanPhai|:-1938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</si>
  <si>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</si>
  <si>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</si>
  <si>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</si>
  <si>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NgayKT|:27/07/2025&lt;|&gt;CDBanTrai|:-1813&lt;|&gt;CDBanTim|:-2168&lt;|&gt;CDBanPhai|:-1969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</si>
  <si>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</si>
  <si>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</si>
  <si>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</si>
  <si>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NgayKT|:27/07/2025&lt;|&gt;CDBanTrai|:-1483&lt;|&gt;CDBanTim|:-1678&lt;|&gt;CDBanPhai|:-1403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</si>
  <si>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</si>
  <si>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</si>
  <si>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</si>
  <si>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NgayKT|:27/07/2025&lt;|&gt;CDBanTrai|:-2080&lt;|&gt;CDBanTim|:-2340&lt;|&gt;CDBanPhai|:-1810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</si>
  <si>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</si>
  <si>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</si>
  <si>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</si>
  <si>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</si>
  <si>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NgayKT|:27/07/2025&lt;|&gt;CDBanTrai|:-2528&lt;|&gt;CDBanTim|:-2343&lt;|&gt;CDBanPhai|:-1716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</si>
  <si>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</si>
  <si>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</si>
  <si>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</si>
  <si>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</si>
  <si>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NgayKT|:29/06/2025&lt;|&gt;CDBanTrai|:-1756&lt;|&gt;CDBanTim|:-1601&lt;|&gt;CDBanPhai|:-1501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</si>
  <si>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</si>
  <si>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</si>
  <si>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</si>
  <si>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</si>
  <si>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NgayKT|:27/07/2025&lt;|&gt;CDBanTrai|:-1298&lt;|&gt;CDBanTim|:-1293&lt;|&gt;CDBanPhai|:-1181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</si>
  <si>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</si>
  <si>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</si>
  <si>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</si>
  <si>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</si>
  <si>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NgayKT|:27/06/2025&lt;|&gt;CDBanTrai|:-2793&lt;|&gt;CDBanTim|:-2218&lt;|&gt;CDBanPhai|:-2144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</si>
  <si>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</si>
  <si>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</si>
  <si>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</si>
  <si>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</si>
  <si>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NgayKT|:27/06/2025&lt;|&gt;CDBanTrai|:-1790&lt;|&gt;CDBanTim|:-1888&lt;|&gt;CDBanPhai|:-2320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</si>
  <si>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</si>
  <si>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</si>
  <si>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</si>
  <si>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</si>
  <si>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NgayKT|:27/07/2025&lt;|&gt;CDBanTrai|:-1722&lt;|&gt;CDBanTim|:-1700&lt;|&gt;CDBanPhai|:-1238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</si>
  <si>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</si>
  <si>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</si>
  <si>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</si>
  <si>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</si>
  <si>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NgayKT|:27/07/2025&lt;|&gt;CDBanTrai|:-1906&lt;|&gt;CDBanTim|:-1962&lt;|&gt;CDBanPhai|:-1657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</si>
  <si>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</si>
  <si>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</si>
  <si>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</si>
  <si>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NgayKT|:27/07/2025&lt;|&gt;CDBanTrai|:-1909&lt;|&gt;CDBanTim|:-1980&lt;|&gt;CDBanPhai|:-2280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</si>
  <si>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</si>
  <si>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</si>
  <si>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</si>
  <si>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NgayKT|:29/07/2025&lt;|&gt;CDBanTrai|:-2135&lt;|&gt;CDBanTim|:-2137&lt;|&gt;CDBanPhai|:-2115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</si>
  <si>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</si>
  <si>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</si>
  <si>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NgayKT|:29/07/2025&lt;|&gt;CDBanTrai|:-1662&lt;|&gt;CDBanTim|:-1803&lt;|&gt;CDBanPhai|:-1623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</si>
  <si>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</si>
  <si>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</si>
  <si>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NgayKT|:29/07/2025&lt;|&gt;CDBanTrai|:-1720&lt;|&gt;CDBanTim|:-1982&lt;|&gt;CDBanPhai|:-1315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</si>
  <si>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</si>
  <si>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</si>
  <si>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NgayKT|:29/07/2025&lt;|&gt;CDBanTrai|:-1619&lt;|&gt;CDBanTim|:-2100&lt;|&gt;CDBanPhai|:-1691</t>
  </si>
  <si>
    <t>30/01/2024|:2000&lt;|&gt;30/06/2024|:3000</t>
  </si>
  <si>
    <t>119+880|:04/02/2024|:DN Lớp 9||0.22</t>
  </si>
  <si>
    <t>NgayKT|:29/07/2025&lt;|&gt;CDBanTrai|:-1934&lt;|&gt;CDBanTim|:-2127&lt;|&gt;CDBanPhai|:-1796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</si>
  <si>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</si>
  <si>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</si>
  <si>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</si>
  <si>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NgayKT|:29/07/2025&lt;|&gt;CDBanTrai|:-1148&lt;|&gt;CDBanTim|:-1803&lt;|&gt;CDBanPhai|:-1505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</si>
  <si>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</si>
  <si>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</si>
  <si>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</si>
  <si>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</si>
  <si>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NgayKT|:29/07/2025&lt;|&gt;CDBanTrai|:-1196&lt;|&gt;CDBanTim|:-1667&lt;|&gt;CDBanPhai|:-1719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</si>
  <si>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</si>
  <si>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</si>
  <si>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</si>
  <si>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NgayKT|:29/07/2025&lt;|&gt;CDBanTrai|:-953&lt;|&gt;CDBanTim|:-1405&lt;|&gt;CDBanPhai|:-1113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</si>
  <si>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</si>
  <si>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</si>
  <si>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</si>
  <si>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NgayKT|:30/05/2025&lt;|&gt;CDBanTrai|:-596&lt;|&gt;CDBanTim|:-711&lt;|&gt;CDBanPhai|:-535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</si>
  <si>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</si>
  <si>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</si>
  <si>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</si>
  <si>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</si>
  <si>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NgayKT|:30/05/2025&lt;|&gt;CDBanTrai|:-1018&lt;|&gt;CDBanTim|:-1147&lt;|&gt;CDBanPhai|:-651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</si>
  <si>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</si>
  <si>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</si>
  <si>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</si>
  <si>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NgayKT|:30/05/2025&lt;|&gt;CDBanTrai|:-1264&lt;|&gt;CDBanTim|:-1085&lt;|&gt;CDBanPhai|:-830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</si>
  <si>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</si>
  <si>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</si>
  <si>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</si>
  <si>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NgayKT|:30/05/2025&lt;|&gt;CDBanTrai|:-784&lt;|&gt;CDBanTim|:-753&lt;|&gt;CDBanPhai|:-756</t>
  </si>
  <si>
    <t>30/11/2024|:2000</t>
  </si>
  <si>
    <t>120+620  |:04/12/2024|:DN Lớp 10||0</t>
  </si>
  <si>
    <t>KM0+100&lt;|&gt;HD XL01&lt;|&gt;L03</t>
  </si>
  <si>
    <t>KM0+100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</si>
  <si>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1||0.2&lt;|&gt;09/06/2025|:VCM||0</t>
  </si>
  <si>
    <t>29/01/2024</t>
  </si>
  <si>
    <t>02/02/2024</t>
  </si>
  <si>
    <t>03/02/2024</t>
  </si>
  <si>
    <t>06/02/2024</t>
  </si>
  <si>
    <t>07/02/2024</t>
  </si>
  <si>
    <t>10/02/2024</t>
  </si>
  <si>
    <t>11/02/2024</t>
  </si>
  <si>
    <t>14/02/2024</t>
  </si>
  <si>
    <t>15/02/2024</t>
  </si>
  <si>
    <t>18/02/2024</t>
  </si>
  <si>
    <t>19/02/2024</t>
  </si>
  <si>
    <t>17/06/2024</t>
  </si>
  <si>
    <t>18/06/2024</t>
  </si>
  <si>
    <t>21/06/2024</t>
  </si>
  <si>
    <t>22/06/2024</t>
  </si>
  <si>
    <t>08/06/2025</t>
  </si>
  <si>
    <t>09/06/2025</t>
  </si>
  <si>
    <t>27/07/2025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</si>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</sst>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2" borderId="0" xfId="0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4.4" x14ac:dyDescent="0.3"/>
  <cols>
    <col min="1" max="1" width="12" bestFit="1" customWidth="1"/>
    <col min="2" max="2" width="12.44140625" bestFit="1" customWidth="1"/>
    <col min="3" max="3" width="10.33203125" bestFit="1" customWidth="1"/>
    <col min="4" max="4" width="18.33203125" customWidth="1"/>
    <col min="5" max="5" width="18.10937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s="1" t="s">
        <v>9</v>
      </c>
      <c r="B2" s="1" t="s">
        <v>117</v>
      </c>
      <c r="C2" s="1" t="s">
        <v>10</v>
      </c>
      <c r="D2" s="1" t="s">
        <v>11</v>
      </c>
      <c r="E2" s="1" t="s">
        <v>118</v>
      </c>
    </row>
    <row r="3" spans="1:5" x14ac:dyDescent="0.3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3">
      <c r="A4" s="1" t="s">
        <v>142</v>
      </c>
      <c r="B4" s="1" t="s">
        <v>143</v>
      </c>
      <c r="C4" s="1" t="s">
        <v>10</v>
      </c>
      <c r="D4" s="1" t="s">
        <v>144</v>
      </c>
      <c r="E4" s="1" t="s">
        <v>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K5" sqref="K5"/>
    </sheetView>
  </sheetViews>
  <sheetFormatPr defaultRowHeight="14.4" x14ac:dyDescent="0.3"/>
  <cols>
    <col min="1" max="1" width="25" bestFit="1" customWidth="1"/>
    <col min="2" max="2" width="11.109375" bestFit="1" customWidth="1"/>
    <col min="3" max="3" width="12" bestFit="1" customWidth="1"/>
    <col min="4" max="4" width="11.6640625" bestFit="1" customWidth="1"/>
    <col min="5" max="5" width="16.6640625" bestFit="1" customWidth="1"/>
  </cols>
  <sheetData>
    <row r="1" spans="1:5" x14ac:dyDescent="0.3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3">
      <c r="A2" t="s">
        <v>18</v>
      </c>
      <c r="B2" t="s">
        <v>19</v>
      </c>
      <c r="C2" t="s">
        <v>9</v>
      </c>
      <c r="D2" t="s">
        <v>17</v>
      </c>
    </row>
    <row r="3" spans="1:5" x14ac:dyDescent="0.3">
      <c r="A3" t="s">
        <v>147</v>
      </c>
      <c r="B3" t="s">
        <v>146</v>
      </c>
      <c r="C3" t="s">
        <v>142</v>
      </c>
      <c r="D3" t="s">
        <v>17</v>
      </c>
    </row>
    <row r="4" spans="1:5" x14ac:dyDescent="0.3">
      <c r="A4" t="s">
        <v>340</v>
      </c>
      <c r="B4" t="s">
        <v>341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G73"/>
  <sheetViews>
    <sheetView tabSelected="1" topLeftCell="A7" zoomScale="85" zoomScaleNormal="85" workbookViewId="0">
      <selection activeCell="B14" sqref="B14"/>
    </sheetView>
  </sheetViews>
  <sheetFormatPr defaultColWidth="9.109375" defaultRowHeight="14.4" x14ac:dyDescent="0.3"/>
  <cols>
    <col min="1" max="1" width="104.5546875" style="3" bestFit="1" customWidth="1"/>
    <col min="2" max="2" width="180.88671875" style="3" customWidth="1"/>
    <col min="3" max="3" width="74.33203125" style="3" customWidth="1"/>
    <col min="4" max="4" width="109.44140625" style="3" bestFit="1" customWidth="1"/>
    <col min="5" max="5" width="44.109375" style="3" customWidth="1"/>
    <col min="6" max="6" width="31.109375" style="3" customWidth="1"/>
    <col min="7" max="7" width="255.77734375" style="3" bestFit="1" customWidth="1"/>
    <col min="8" max="16384" width="9.109375" style="3"/>
  </cols>
  <sheetData>
    <row r="1" spans="1:7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3">
      <c r="A2" s="3" t="s">
        <v>25</v>
      </c>
      <c r="B2" s="3" t="s">
        <v>26</v>
      </c>
      <c r="C2" s="3" t="s">
        <v>27</v>
      </c>
      <c r="D2" s="3" t="s">
        <v>119</v>
      </c>
      <c r="E2" s="3" t="s">
        <v>28</v>
      </c>
      <c r="F2" s="3" t="s">
        <v>165</v>
      </c>
      <c r="G2" s="3" t="s">
        <v>148</v>
      </c>
    </row>
    <row r="3" spans="1:7" x14ac:dyDescent="0.3">
      <c r="A3" s="3" t="s">
        <v>29</v>
      </c>
      <c r="B3" s="3" t="s">
        <v>30</v>
      </c>
      <c r="C3" s="3" t="s">
        <v>31</v>
      </c>
      <c r="D3" s="3" t="s">
        <v>120</v>
      </c>
      <c r="E3" s="3" t="s">
        <v>32</v>
      </c>
      <c r="F3" s="3" t="s">
        <v>166</v>
      </c>
      <c r="G3" s="3" t="s">
        <v>149</v>
      </c>
    </row>
    <row r="4" spans="1:7" x14ac:dyDescent="0.3">
      <c r="A4" s="3" t="s">
        <v>33</v>
      </c>
      <c r="B4" s="3" t="s">
        <v>34</v>
      </c>
      <c r="C4" s="3" t="s">
        <v>35</v>
      </c>
      <c r="D4" s="3" t="s">
        <v>121</v>
      </c>
      <c r="E4" s="3" t="s">
        <v>36</v>
      </c>
      <c r="F4" s="3" t="s">
        <v>167</v>
      </c>
      <c r="G4" s="3" t="s">
        <v>150</v>
      </c>
    </row>
    <row r="5" spans="1:7" x14ac:dyDescent="0.3">
      <c r="A5" s="3" t="s">
        <v>37</v>
      </c>
      <c r="B5" s="3" t="s">
        <v>38</v>
      </c>
      <c r="C5" s="3" t="s">
        <v>39</v>
      </c>
      <c r="D5" s="3" t="s">
        <v>122</v>
      </c>
      <c r="E5" s="3" t="s">
        <v>40</v>
      </c>
      <c r="F5" s="3" t="s">
        <v>168</v>
      </c>
      <c r="G5" s="3" t="s">
        <v>151</v>
      </c>
    </row>
    <row r="6" spans="1:7" x14ac:dyDescent="0.3">
      <c r="A6" s="3" t="s">
        <v>41</v>
      </c>
      <c r="B6" s="3" t="s">
        <v>42</v>
      </c>
      <c r="C6" s="3" t="s">
        <v>43</v>
      </c>
      <c r="D6" s="3" t="s">
        <v>123</v>
      </c>
      <c r="E6" s="3" t="s">
        <v>44</v>
      </c>
      <c r="F6" s="3" t="s">
        <v>169</v>
      </c>
      <c r="G6" s="3" t="s">
        <v>152</v>
      </c>
    </row>
    <row r="7" spans="1:7" x14ac:dyDescent="0.3">
      <c r="A7" s="3" t="s">
        <v>45</v>
      </c>
      <c r="B7" s="3" t="s">
        <v>46</v>
      </c>
      <c r="C7" s="3" t="s">
        <v>47</v>
      </c>
      <c r="D7" s="3" t="s">
        <v>124</v>
      </c>
      <c r="E7" s="3" t="s">
        <v>48</v>
      </c>
      <c r="F7" s="3" t="s">
        <v>170</v>
      </c>
      <c r="G7" s="3" t="s">
        <v>153</v>
      </c>
    </row>
    <row r="8" spans="1:7" x14ac:dyDescent="0.3">
      <c r="A8" s="3" t="s">
        <v>49</v>
      </c>
      <c r="B8" s="3" t="s">
        <v>50</v>
      </c>
      <c r="C8" s="3" t="s">
        <v>51</v>
      </c>
      <c r="D8" s="3" t="s">
        <v>125</v>
      </c>
      <c r="E8" s="3" t="s">
        <v>52</v>
      </c>
      <c r="F8" s="3" t="s">
        <v>171</v>
      </c>
      <c r="G8" s="3" t="s">
        <v>154</v>
      </c>
    </row>
    <row r="9" spans="1:7" x14ac:dyDescent="0.3">
      <c r="A9" s="3" t="s">
        <v>53</v>
      </c>
      <c r="B9" s="3" t="s">
        <v>54</v>
      </c>
      <c r="C9" s="3" t="s">
        <v>55</v>
      </c>
      <c r="D9" s="3" t="s">
        <v>126</v>
      </c>
      <c r="E9" s="3" t="s">
        <v>56</v>
      </c>
      <c r="F9" s="3" t="s">
        <v>172</v>
      </c>
      <c r="G9" s="3" t="s">
        <v>155</v>
      </c>
    </row>
    <row r="10" spans="1:7" x14ac:dyDescent="0.3">
      <c r="A10" s="3" t="s">
        <v>57</v>
      </c>
      <c r="B10" s="3" t="s">
        <v>58</v>
      </c>
      <c r="C10" s="3" t="s">
        <v>59</v>
      </c>
      <c r="D10" s="3" t="s">
        <v>127</v>
      </c>
      <c r="E10" s="3" t="s">
        <v>60</v>
      </c>
      <c r="F10" s="3" t="s">
        <v>173</v>
      </c>
      <c r="G10" s="3" t="s">
        <v>155</v>
      </c>
    </row>
    <row r="11" spans="1:7" x14ac:dyDescent="0.3">
      <c r="A11" s="3" t="s">
        <v>61</v>
      </c>
      <c r="B11" s="3" t="s">
        <v>62</v>
      </c>
      <c r="C11" s="3" t="s">
        <v>63</v>
      </c>
      <c r="D11" s="3" t="s">
        <v>128</v>
      </c>
      <c r="E11" s="3" t="s">
        <v>64</v>
      </c>
      <c r="F11" s="3" t="s">
        <v>174</v>
      </c>
      <c r="G11" s="3" t="s">
        <v>156</v>
      </c>
    </row>
    <row r="12" spans="1:7" x14ac:dyDescent="0.3">
      <c r="A12" s="3" t="s">
        <v>65</v>
      </c>
      <c r="B12" s="3" t="s">
        <v>66</v>
      </c>
      <c r="C12" s="3" t="s">
        <v>67</v>
      </c>
      <c r="D12" s="3" t="s">
        <v>129</v>
      </c>
      <c r="E12" s="3" t="s">
        <v>68</v>
      </c>
      <c r="F12" s="3" t="s">
        <v>175</v>
      </c>
      <c r="G12" s="3" t="s">
        <v>156</v>
      </c>
    </row>
    <row r="13" spans="1:7" x14ac:dyDescent="0.3">
      <c r="A13" s="3" t="s">
        <v>69</v>
      </c>
      <c r="B13" s="3" t="s">
        <v>70</v>
      </c>
      <c r="C13" s="3" t="s">
        <v>71</v>
      </c>
      <c r="D13" s="3" t="s">
        <v>130</v>
      </c>
      <c r="E13" s="3" t="s">
        <v>72</v>
      </c>
      <c r="F13" s="3" t="s">
        <v>176</v>
      </c>
      <c r="G13" s="3" t="s">
        <v>157</v>
      </c>
    </row>
    <row r="14" spans="1:7" x14ac:dyDescent="0.3">
      <c r="A14" s="3" t="s">
        <v>73</v>
      </c>
      <c r="B14" s="3" t="s">
        <v>74</v>
      </c>
      <c r="C14" s="3" t="s">
        <v>75</v>
      </c>
      <c r="D14" s="3" t="s">
        <v>131</v>
      </c>
      <c r="E14" s="3" t="s">
        <v>76</v>
      </c>
      <c r="F14" s="3" t="s">
        <v>177</v>
      </c>
      <c r="G14" s="3" t="s">
        <v>158</v>
      </c>
    </row>
    <row r="15" spans="1:7" x14ac:dyDescent="0.3">
      <c r="A15" s="3" t="s">
        <v>77</v>
      </c>
      <c r="B15" s="3" t="s">
        <v>78</v>
      </c>
      <c r="C15" s="3" t="s">
        <v>79</v>
      </c>
      <c r="D15" s="3" t="s">
        <v>132</v>
      </c>
      <c r="E15" s="3" t="s">
        <v>80</v>
      </c>
      <c r="F15" s="3" t="s">
        <v>178</v>
      </c>
      <c r="G15" s="3" t="s">
        <v>158</v>
      </c>
    </row>
    <row r="16" spans="1:7" x14ac:dyDescent="0.3">
      <c r="A16" s="3" t="s">
        <v>81</v>
      </c>
      <c r="B16" s="3" t="s">
        <v>82</v>
      </c>
      <c r="C16" s="3" t="s">
        <v>83</v>
      </c>
      <c r="D16" s="3" t="s">
        <v>133</v>
      </c>
      <c r="E16" s="3" t="s">
        <v>84</v>
      </c>
      <c r="F16" s="3" t="s">
        <v>179</v>
      </c>
      <c r="G16" s="3" t="s">
        <v>159</v>
      </c>
    </row>
    <row r="17" spans="1:7" x14ac:dyDescent="0.3">
      <c r="A17" s="3" t="s">
        <v>85</v>
      </c>
      <c r="B17" s="3" t="s">
        <v>86</v>
      </c>
      <c r="C17" s="3" t="s">
        <v>87</v>
      </c>
      <c r="D17" s="3" t="s">
        <v>134</v>
      </c>
      <c r="E17" s="3" t="s">
        <v>88</v>
      </c>
      <c r="F17" s="3" t="s">
        <v>180</v>
      </c>
      <c r="G17" s="3" t="s">
        <v>160</v>
      </c>
    </row>
    <row r="18" spans="1:7" x14ac:dyDescent="0.3">
      <c r="A18" s="3" t="s">
        <v>89</v>
      </c>
      <c r="B18" s="3" t="s">
        <v>90</v>
      </c>
      <c r="C18" s="3" t="s">
        <v>91</v>
      </c>
      <c r="D18" s="3" t="s">
        <v>135</v>
      </c>
      <c r="E18" s="3" t="s">
        <v>92</v>
      </c>
      <c r="F18" s="3" t="s">
        <v>181</v>
      </c>
      <c r="G18" s="3" t="s">
        <v>161</v>
      </c>
    </row>
    <row r="19" spans="1:7" x14ac:dyDescent="0.3">
      <c r="A19" s="3" t="s">
        <v>93</v>
      </c>
      <c r="B19" s="3" t="s">
        <v>94</v>
      </c>
      <c r="C19" s="3" t="s">
        <v>95</v>
      </c>
      <c r="D19" s="3" t="s">
        <v>136</v>
      </c>
      <c r="E19" s="3" t="s">
        <v>96</v>
      </c>
      <c r="F19" s="3" t="s">
        <v>182</v>
      </c>
      <c r="G19" s="3" t="s">
        <v>162</v>
      </c>
    </row>
    <row r="20" spans="1:7" x14ac:dyDescent="0.3">
      <c r="A20" s="3" t="s">
        <v>97</v>
      </c>
      <c r="B20" s="3" t="s">
        <v>98</v>
      </c>
      <c r="C20" s="3" t="s">
        <v>99</v>
      </c>
      <c r="D20" s="3" t="s">
        <v>137</v>
      </c>
      <c r="E20" s="3" t="s">
        <v>100</v>
      </c>
      <c r="F20" s="3" t="s">
        <v>183</v>
      </c>
      <c r="G20" s="3" t="s">
        <v>162</v>
      </c>
    </row>
    <row r="21" spans="1:7" x14ac:dyDescent="0.3">
      <c r="A21" s="3" t="s">
        <v>101</v>
      </c>
      <c r="B21" s="3" t="s">
        <v>102</v>
      </c>
      <c r="C21" s="3" t="s">
        <v>103</v>
      </c>
      <c r="D21" s="3" t="s">
        <v>138</v>
      </c>
      <c r="E21" s="3" t="s">
        <v>104</v>
      </c>
      <c r="F21" s="3" t="s">
        <v>184</v>
      </c>
      <c r="G21" s="3" t="s">
        <v>162</v>
      </c>
    </row>
    <row r="22" spans="1:7" x14ac:dyDescent="0.3">
      <c r="A22" s="3" t="s">
        <v>105</v>
      </c>
      <c r="B22" s="3" t="s">
        <v>106</v>
      </c>
      <c r="C22" s="3" t="s">
        <v>107</v>
      </c>
      <c r="D22" s="3" t="s">
        <v>139</v>
      </c>
      <c r="E22" s="3" t="s">
        <v>108</v>
      </c>
      <c r="F22" s="3" t="s">
        <v>185</v>
      </c>
      <c r="G22" s="3" t="s">
        <v>163</v>
      </c>
    </row>
    <row r="23" spans="1:7" x14ac:dyDescent="0.3">
      <c r="A23" s="3" t="s">
        <v>109</v>
      </c>
      <c r="B23" s="3" t="s">
        <v>110</v>
      </c>
      <c r="C23" s="3" t="s">
        <v>111</v>
      </c>
      <c r="D23" s="3" t="s">
        <v>140</v>
      </c>
      <c r="E23" s="3" t="s">
        <v>112</v>
      </c>
      <c r="F23" s="3" t="s">
        <v>186</v>
      </c>
      <c r="G23" s="3" t="s">
        <v>164</v>
      </c>
    </row>
    <row r="24" spans="1:7" x14ac:dyDescent="0.3">
      <c r="A24" s="3" t="s">
        <v>113</v>
      </c>
      <c r="B24" s="3" t="s">
        <v>114</v>
      </c>
      <c r="C24" s="3" t="s">
        <v>115</v>
      </c>
      <c r="D24" s="3" t="s">
        <v>141</v>
      </c>
      <c r="E24" s="3" t="s">
        <v>116</v>
      </c>
      <c r="F24" s="3" t="s">
        <v>187</v>
      </c>
      <c r="G24" s="3" t="s">
        <v>164</v>
      </c>
    </row>
    <row r="25" spans="1:7" x14ac:dyDescent="0.3">
      <c r="A25" s="3" t="s">
        <v>188</v>
      </c>
      <c r="B25" s="3" t="s">
        <v>189</v>
      </c>
      <c r="C25" s="3" t="s">
        <v>190</v>
      </c>
      <c r="D25" s="3" t="s">
        <v>191</v>
      </c>
      <c r="E25" s="3" t="s">
        <v>192</v>
      </c>
    </row>
    <row r="26" spans="1:7" x14ac:dyDescent="0.3">
      <c r="A26" s="3" t="s">
        <v>193</v>
      </c>
      <c r="B26" s="3" t="s">
        <v>361</v>
      </c>
      <c r="C26" s="3" t="s">
        <v>194</v>
      </c>
      <c r="D26" s="3" t="s">
        <v>195</v>
      </c>
      <c r="E26" s="3" t="s">
        <v>196</v>
      </c>
    </row>
    <row r="27" spans="1:7" s="4" customFormat="1" x14ac:dyDescent="0.3">
      <c r="A27" s="4" t="s">
        <v>197</v>
      </c>
      <c r="B27" s="4" t="s">
        <v>342</v>
      </c>
      <c r="C27" s="4" t="s">
        <v>198</v>
      </c>
      <c r="D27" s="4" t="s">
        <v>195</v>
      </c>
      <c r="E27" s="4" t="s">
        <v>199</v>
      </c>
    </row>
    <row r="28" spans="1:7" x14ac:dyDescent="0.3">
      <c r="A28" s="3" t="s">
        <v>200</v>
      </c>
      <c r="B28" s="3" t="s">
        <v>201</v>
      </c>
      <c r="C28" s="3" t="s">
        <v>202</v>
      </c>
      <c r="D28" s="3" t="s">
        <v>195</v>
      </c>
      <c r="E28" s="3" t="s">
        <v>203</v>
      </c>
    </row>
    <row r="29" spans="1:7" x14ac:dyDescent="0.3">
      <c r="A29" s="3" t="s">
        <v>204</v>
      </c>
      <c r="B29" s="3" t="s">
        <v>205</v>
      </c>
      <c r="C29" s="3" t="s">
        <v>206</v>
      </c>
      <c r="D29" s="3" t="s">
        <v>195</v>
      </c>
      <c r="E29" s="3" t="s">
        <v>207</v>
      </c>
    </row>
    <row r="30" spans="1:7" x14ac:dyDescent="0.3">
      <c r="A30" s="3" t="s">
        <v>208</v>
      </c>
      <c r="B30" s="3" t="s">
        <v>209</v>
      </c>
      <c r="C30" s="3" t="s">
        <v>210</v>
      </c>
      <c r="D30" s="3" t="s">
        <v>211</v>
      </c>
      <c r="E30" s="3" t="s">
        <v>212</v>
      </c>
    </row>
    <row r="31" spans="1:7" x14ac:dyDescent="0.3">
      <c r="A31" s="3" t="s">
        <v>213</v>
      </c>
      <c r="B31" s="3" t="s">
        <v>214</v>
      </c>
      <c r="C31" s="3" t="s">
        <v>215</v>
      </c>
      <c r="D31" s="3" t="s">
        <v>211</v>
      </c>
      <c r="E31" s="3" t="s">
        <v>216</v>
      </c>
    </row>
    <row r="32" spans="1:7" x14ac:dyDescent="0.3">
      <c r="A32" s="3" t="s">
        <v>217</v>
      </c>
      <c r="B32" s="3" t="s">
        <v>218</v>
      </c>
      <c r="C32" s="3" t="s">
        <v>219</v>
      </c>
      <c r="D32" s="3" t="s">
        <v>211</v>
      </c>
      <c r="E32" s="3" t="s">
        <v>220</v>
      </c>
    </row>
    <row r="33" spans="1:5" x14ac:dyDescent="0.3">
      <c r="A33" s="3" t="s">
        <v>221</v>
      </c>
      <c r="B33" s="3" t="s">
        <v>222</v>
      </c>
      <c r="C33" s="3" t="s">
        <v>223</v>
      </c>
      <c r="D33" s="3" t="s">
        <v>224</v>
      </c>
      <c r="E33" s="3" t="s">
        <v>225</v>
      </c>
    </row>
    <row r="34" spans="1:5" x14ac:dyDescent="0.3">
      <c r="A34" s="3" t="s">
        <v>226</v>
      </c>
      <c r="B34" s="3" t="s">
        <v>227</v>
      </c>
      <c r="C34" s="3" t="s">
        <v>228</v>
      </c>
      <c r="D34" s="3" t="s">
        <v>224</v>
      </c>
      <c r="E34" s="3" t="s">
        <v>229</v>
      </c>
    </row>
    <row r="35" spans="1:5" x14ac:dyDescent="0.3">
      <c r="A35" s="3" t="s">
        <v>230</v>
      </c>
      <c r="B35" s="3" t="s">
        <v>231</v>
      </c>
      <c r="C35" s="3" t="s">
        <v>232</v>
      </c>
      <c r="D35" s="3" t="s">
        <v>224</v>
      </c>
      <c r="E35" s="3" t="s">
        <v>233</v>
      </c>
    </row>
    <row r="36" spans="1:5" x14ac:dyDescent="0.3">
      <c r="A36" s="3" t="s">
        <v>234</v>
      </c>
      <c r="B36" s="3" t="s">
        <v>235</v>
      </c>
      <c r="C36" s="3" t="s">
        <v>236</v>
      </c>
      <c r="D36" s="3" t="s">
        <v>224</v>
      </c>
      <c r="E36" s="3" t="s">
        <v>237</v>
      </c>
    </row>
    <row r="37" spans="1:5" x14ac:dyDescent="0.3">
      <c r="A37" s="3" t="s">
        <v>238</v>
      </c>
      <c r="B37" s="3" t="s">
        <v>239</v>
      </c>
      <c r="C37" s="3" t="s">
        <v>240</v>
      </c>
      <c r="D37" s="3" t="s">
        <v>224</v>
      </c>
      <c r="E37" s="3" t="s">
        <v>241</v>
      </c>
    </row>
    <row r="38" spans="1:5" x14ac:dyDescent="0.3">
      <c r="A38" s="3" t="s">
        <v>242</v>
      </c>
      <c r="B38" s="3" t="s">
        <v>243</v>
      </c>
      <c r="C38" s="3" t="s">
        <v>244</v>
      </c>
      <c r="D38" s="3" t="s">
        <v>224</v>
      </c>
      <c r="E38" s="3" t="s">
        <v>245</v>
      </c>
    </row>
    <row r="39" spans="1:5" x14ac:dyDescent="0.3">
      <c r="A39" s="3" t="s">
        <v>246</v>
      </c>
      <c r="B39" s="3" t="s">
        <v>247</v>
      </c>
      <c r="C39" s="3" t="s">
        <v>248</v>
      </c>
      <c r="D39" s="3" t="s">
        <v>224</v>
      </c>
      <c r="E39" s="3" t="s">
        <v>249</v>
      </c>
    </row>
    <row r="40" spans="1:5" x14ac:dyDescent="0.3">
      <c r="A40" s="3" t="s">
        <v>250</v>
      </c>
      <c r="B40" s="3" t="s">
        <v>251</v>
      </c>
      <c r="C40" s="3" t="s">
        <v>252</v>
      </c>
      <c r="D40" s="3" t="s">
        <v>253</v>
      </c>
      <c r="E40" s="3" t="s">
        <v>254</v>
      </c>
    </row>
    <row r="41" spans="1:5" x14ac:dyDescent="0.3">
      <c r="A41" s="3" t="s">
        <v>255</v>
      </c>
      <c r="B41" s="3" t="s">
        <v>256</v>
      </c>
      <c r="C41" s="3" t="s">
        <v>257</v>
      </c>
      <c r="D41" s="3" t="s">
        <v>258</v>
      </c>
      <c r="E41" s="3" t="s">
        <v>259</v>
      </c>
    </row>
    <row r="42" spans="1:5" x14ac:dyDescent="0.3">
      <c r="A42" s="3" t="s">
        <v>260</v>
      </c>
      <c r="B42" s="3" t="s">
        <v>261</v>
      </c>
      <c r="C42" s="3" t="s">
        <v>262</v>
      </c>
      <c r="D42" s="3" t="s">
        <v>263</v>
      </c>
      <c r="E42" s="3" t="s">
        <v>264</v>
      </c>
    </row>
    <row r="43" spans="1:5" x14ac:dyDescent="0.3">
      <c r="A43" s="3" t="s">
        <v>265</v>
      </c>
      <c r="B43" s="3" t="s">
        <v>266</v>
      </c>
      <c r="C43" s="3" t="s">
        <v>267</v>
      </c>
      <c r="D43" s="3" t="s">
        <v>268</v>
      </c>
      <c r="E43" s="3" t="s">
        <v>269</v>
      </c>
    </row>
    <row r="44" spans="1:5" x14ac:dyDescent="0.3">
      <c r="A44" s="3" t="s">
        <v>270</v>
      </c>
      <c r="B44" s="3" t="s">
        <v>271</v>
      </c>
      <c r="C44" s="3" t="s">
        <v>272</v>
      </c>
      <c r="D44" s="3" t="s">
        <v>273</v>
      </c>
      <c r="E44" s="3" t="s">
        <v>274</v>
      </c>
    </row>
    <row r="45" spans="1:5" x14ac:dyDescent="0.3">
      <c r="A45" s="3" t="s">
        <v>275</v>
      </c>
      <c r="B45" s="3" t="s">
        <v>276</v>
      </c>
      <c r="C45" s="3" t="s">
        <v>277</v>
      </c>
      <c r="D45" s="3" t="s">
        <v>278</v>
      </c>
      <c r="E45" s="3" t="s">
        <v>279</v>
      </c>
    </row>
    <row r="46" spans="1:5" x14ac:dyDescent="0.3">
      <c r="A46" s="3" t="s">
        <v>280</v>
      </c>
      <c r="B46" s="3" t="s">
        <v>281</v>
      </c>
      <c r="C46" s="3" t="s">
        <v>282</v>
      </c>
      <c r="D46" s="3" t="s">
        <v>283</v>
      </c>
      <c r="E46" s="3" t="s">
        <v>284</v>
      </c>
    </row>
    <row r="47" spans="1:5" x14ac:dyDescent="0.3">
      <c r="A47" s="3" t="s">
        <v>285</v>
      </c>
      <c r="B47" s="3" t="s">
        <v>286</v>
      </c>
      <c r="C47" s="3" t="s">
        <v>287</v>
      </c>
      <c r="D47" s="3" t="s">
        <v>283</v>
      </c>
      <c r="E47" s="3" t="s">
        <v>288</v>
      </c>
    </row>
    <row r="48" spans="1:5" x14ac:dyDescent="0.3">
      <c r="A48" s="3" t="s">
        <v>289</v>
      </c>
      <c r="B48" s="3" t="s">
        <v>290</v>
      </c>
      <c r="C48" s="3" t="s">
        <v>291</v>
      </c>
      <c r="D48" s="3" t="s">
        <v>292</v>
      </c>
      <c r="E48" s="3" t="s">
        <v>293</v>
      </c>
    </row>
    <row r="49" spans="1:5" x14ac:dyDescent="0.3">
      <c r="A49" s="3" t="s">
        <v>204</v>
      </c>
      <c r="B49" s="3" t="s">
        <v>294</v>
      </c>
      <c r="C49" s="3" t="s">
        <v>295</v>
      </c>
      <c r="D49" s="3" t="s">
        <v>195</v>
      </c>
      <c r="E49" s="3" t="s">
        <v>296</v>
      </c>
    </row>
    <row r="50" spans="1:5" x14ac:dyDescent="0.3">
      <c r="A50" s="3" t="s">
        <v>208</v>
      </c>
      <c r="B50" s="3" t="s">
        <v>297</v>
      </c>
      <c r="C50" s="3" t="s">
        <v>298</v>
      </c>
      <c r="D50" s="3" t="s">
        <v>211</v>
      </c>
      <c r="E50" s="3" t="s">
        <v>299</v>
      </c>
    </row>
    <row r="51" spans="1:5" x14ac:dyDescent="0.3">
      <c r="A51" s="3" t="s">
        <v>213</v>
      </c>
      <c r="B51" s="3" t="s">
        <v>300</v>
      </c>
      <c r="C51" s="3" t="s">
        <v>301</v>
      </c>
      <c r="D51" s="3" t="s">
        <v>211</v>
      </c>
      <c r="E51" s="3" t="s">
        <v>302</v>
      </c>
    </row>
    <row r="52" spans="1:5" x14ac:dyDescent="0.3">
      <c r="A52" s="3" t="s">
        <v>217</v>
      </c>
      <c r="B52" s="3" t="s">
        <v>303</v>
      </c>
      <c r="C52" s="3" t="s">
        <v>304</v>
      </c>
      <c r="D52" s="3" t="s">
        <v>305</v>
      </c>
      <c r="E52" s="3" t="s">
        <v>306</v>
      </c>
    </row>
    <row r="53" spans="1:5" x14ac:dyDescent="0.3">
      <c r="A53" s="3" t="s">
        <v>221</v>
      </c>
      <c r="B53" s="3" t="s">
        <v>222</v>
      </c>
      <c r="C53" s="3" t="s">
        <v>307</v>
      </c>
      <c r="D53" s="3" t="s">
        <v>224</v>
      </c>
      <c r="E53" s="3" t="s">
        <v>308</v>
      </c>
    </row>
    <row r="54" spans="1:5" x14ac:dyDescent="0.3">
      <c r="A54" s="3" t="s">
        <v>309</v>
      </c>
      <c r="B54" s="3" t="s">
        <v>310</v>
      </c>
      <c r="C54" s="3" t="s">
        <v>311</v>
      </c>
      <c r="D54" s="3" t="s">
        <v>312</v>
      </c>
      <c r="E54" s="3" t="s">
        <v>313</v>
      </c>
    </row>
    <row r="55" spans="1:5" x14ac:dyDescent="0.3">
      <c r="A55" s="3" t="s">
        <v>314</v>
      </c>
      <c r="B55" s="3" t="s">
        <v>315</v>
      </c>
      <c r="C55" s="3" t="s">
        <v>316</v>
      </c>
      <c r="D55" s="3" t="s">
        <v>312</v>
      </c>
      <c r="E55" s="3" t="s">
        <v>317</v>
      </c>
    </row>
    <row r="56" spans="1:5" x14ac:dyDescent="0.3">
      <c r="A56" s="3" t="s">
        <v>318</v>
      </c>
      <c r="B56" s="3" t="s">
        <v>319</v>
      </c>
      <c r="C56" s="3" t="s">
        <v>320</v>
      </c>
      <c r="D56" s="3" t="s">
        <v>312</v>
      </c>
      <c r="E56" s="3" t="s">
        <v>321</v>
      </c>
    </row>
    <row r="57" spans="1:5" x14ac:dyDescent="0.3">
      <c r="A57" s="3" t="s">
        <v>322</v>
      </c>
      <c r="B57" s="3" t="s">
        <v>323</v>
      </c>
      <c r="C57" s="3" t="s">
        <v>324</v>
      </c>
      <c r="D57" s="3" t="s">
        <v>325</v>
      </c>
      <c r="E57" s="3" t="s">
        <v>326</v>
      </c>
    </row>
    <row r="58" spans="1:5" x14ac:dyDescent="0.3">
      <c r="A58" s="3" t="s">
        <v>327</v>
      </c>
      <c r="B58" s="3" t="s">
        <v>328</v>
      </c>
      <c r="C58" s="3" t="s">
        <v>329</v>
      </c>
      <c r="D58" s="3" t="s">
        <v>325</v>
      </c>
      <c r="E58" s="3" t="s">
        <v>330</v>
      </c>
    </row>
    <row r="59" spans="1:5" x14ac:dyDescent="0.3">
      <c r="A59" s="3" t="s">
        <v>331</v>
      </c>
      <c r="B59" s="3" t="s">
        <v>332</v>
      </c>
      <c r="C59" s="3" t="s">
        <v>333</v>
      </c>
      <c r="D59" s="3" t="s">
        <v>325</v>
      </c>
      <c r="E59" s="3" t="s">
        <v>334</v>
      </c>
    </row>
    <row r="60" spans="1:5" x14ac:dyDescent="0.3">
      <c r="A60" s="3" t="s">
        <v>335</v>
      </c>
      <c r="B60" s="3" t="s">
        <v>336</v>
      </c>
      <c r="C60" s="3" t="s">
        <v>337</v>
      </c>
      <c r="D60" s="3" t="s">
        <v>338</v>
      </c>
      <c r="E60" s="3" t="s">
        <v>339</v>
      </c>
    </row>
    <row r="73" spans="3:3" x14ac:dyDescent="0.3">
      <c r="C73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F12"/>
  <sheetViews>
    <sheetView workbookViewId="0">
      <selection activeCell="S9" sqref="S9"/>
    </sheetView>
  </sheetViews>
  <sheetFormatPr defaultRowHeight="14.4" x14ac:dyDescent="0.3"/>
  <cols>
    <col min="1" max="2" width="10.44140625" bestFit="1" customWidth="1"/>
    <col min="3" max="3" width="9.44140625" customWidth="1"/>
    <col min="4" max="4" width="8.88671875" customWidth="1"/>
    <col min="5" max="5" width="7.33203125" customWidth="1"/>
    <col min="6" max="6" width="12.109375" customWidth="1"/>
  </cols>
  <sheetData>
    <row r="1" spans="1:6" x14ac:dyDescent="0.3">
      <c r="A1" s="5" t="s">
        <v>343</v>
      </c>
      <c r="B1" s="5" t="s">
        <v>344</v>
      </c>
      <c r="C1" s="5">
        <v>5</v>
      </c>
      <c r="D1" s="5">
        <v>8</v>
      </c>
      <c r="E1" s="5">
        <v>6</v>
      </c>
      <c r="F1" s="5">
        <v>4</v>
      </c>
    </row>
    <row r="2" spans="1:6" x14ac:dyDescent="0.3">
      <c r="A2" s="5" t="s">
        <v>345</v>
      </c>
      <c r="B2" s="5" t="s">
        <v>346</v>
      </c>
      <c r="C2" s="5">
        <v>4</v>
      </c>
      <c r="D2" s="5">
        <v>6</v>
      </c>
      <c r="E2" s="5">
        <v>5</v>
      </c>
      <c r="F2" s="5">
        <v>3</v>
      </c>
    </row>
    <row r="3" spans="1:6" x14ac:dyDescent="0.3">
      <c r="A3" s="5" t="s">
        <v>347</v>
      </c>
      <c r="B3" s="5" t="s">
        <v>348</v>
      </c>
      <c r="C3" s="5">
        <v>4</v>
      </c>
      <c r="D3" s="5">
        <v>6</v>
      </c>
      <c r="E3" s="5">
        <v>5</v>
      </c>
      <c r="F3" s="5">
        <v>3</v>
      </c>
    </row>
    <row r="4" spans="1:6" x14ac:dyDescent="0.3">
      <c r="A4" s="5" t="s">
        <v>349</v>
      </c>
      <c r="B4" s="5" t="s">
        <v>350</v>
      </c>
      <c r="C4" s="5">
        <v>4</v>
      </c>
      <c r="D4" s="5">
        <v>6</v>
      </c>
      <c r="E4" s="5">
        <v>5</v>
      </c>
      <c r="F4" s="5">
        <v>4</v>
      </c>
    </row>
    <row r="5" spans="1:6" x14ac:dyDescent="0.3">
      <c r="A5" s="5" t="s">
        <v>351</v>
      </c>
      <c r="B5" s="5" t="s">
        <v>352</v>
      </c>
      <c r="C5" s="5">
        <v>4</v>
      </c>
      <c r="D5" s="5">
        <v>7</v>
      </c>
      <c r="E5" s="5">
        <v>5</v>
      </c>
      <c r="F5" s="5">
        <v>4</v>
      </c>
    </row>
    <row r="6" spans="1:6" x14ac:dyDescent="0.3">
      <c r="A6" s="5" t="s">
        <v>353</v>
      </c>
      <c r="B6" s="5" t="s">
        <v>354</v>
      </c>
      <c r="C6" s="5">
        <v>120</v>
      </c>
      <c r="D6" s="5">
        <v>165</v>
      </c>
      <c r="E6" s="5">
        <v>120</v>
      </c>
      <c r="F6" s="5">
        <v>78</v>
      </c>
    </row>
    <row r="7" spans="1:6" x14ac:dyDescent="0.3">
      <c r="A7" s="5" t="s">
        <v>355</v>
      </c>
      <c r="B7" s="5" t="s">
        <v>356</v>
      </c>
      <c r="C7" s="5">
        <v>4</v>
      </c>
      <c r="D7" s="5">
        <v>6</v>
      </c>
      <c r="E7" s="5">
        <v>5</v>
      </c>
      <c r="F7" s="5">
        <v>4</v>
      </c>
    </row>
    <row r="8" spans="1:6" x14ac:dyDescent="0.3">
      <c r="A8" s="5" t="s">
        <v>357</v>
      </c>
      <c r="B8" s="5" t="s">
        <v>358</v>
      </c>
      <c r="C8" s="5">
        <v>352</v>
      </c>
      <c r="D8" s="5">
        <v>481</v>
      </c>
      <c r="E8" s="5">
        <v>350</v>
      </c>
      <c r="F8" s="5">
        <v>228</v>
      </c>
    </row>
    <row r="9" spans="1:6" x14ac:dyDescent="0.3">
      <c r="A9" s="5" t="s">
        <v>359</v>
      </c>
      <c r="B9" s="5" t="s">
        <v>360</v>
      </c>
      <c r="C9" s="5">
        <v>49</v>
      </c>
      <c r="D9" s="5">
        <v>68</v>
      </c>
      <c r="E9" s="5">
        <v>50</v>
      </c>
      <c r="F9" s="5">
        <v>33</v>
      </c>
    </row>
    <row r="10" spans="1:6" x14ac:dyDescent="0.3">
      <c r="D10" s="5">
        <f>SUM(D1:D9)</f>
        <v>753</v>
      </c>
    </row>
    <row r="12" spans="1:6" x14ac:dyDescent="0.3">
      <c r="B1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DS Goi Thau</vt:lpstr>
      <vt:lpstr>DS Mat Cat</vt:lpstr>
      <vt:lpstr>Caches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2025-08-13T15:35:11Z</dcterms:modified>
</cp:coreProperties>
</file>