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bketech\Quan Trac Lun\"/>
    </mc:Choice>
  </mc:AlternateContent>
  <xr:revisionPtr revIDLastSave="0" documentId="13_ncr:1_{7D24C167-D989-4D96-ACF7-7BE1B3ECA8D4}" xr6:coauthVersionLast="47" xr6:coauthVersionMax="47" xr10:uidLastSave="{00000000-0000-0000-0000-000000000000}"/>
  <bookViews>
    <workbookView xWindow="-105" yWindow="-16320" windowWidth="29040" windowHeight="15720" firstSheet="1" activeTab="3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  <sheet name="Sheet2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1" i="4" l="1"/>
  <c r="R12" i="4"/>
  <c r="E8" i="4"/>
  <c r="F8" i="4"/>
  <c r="D8" i="4"/>
  <c r="S18" i="4"/>
  <c r="S19" i="4"/>
  <c r="S20" i="4"/>
  <c r="S15" i="4"/>
  <c r="S16" i="4"/>
  <c r="S14" i="4"/>
  <c r="W88" i="4" a="1"/>
  <c r="V88" i="4" a="1"/>
  <c r="U88" i="4" a="1"/>
  <c r="W78" i="4" a="1"/>
  <c r="V78" i="4" a="1"/>
  <c r="U78" i="4" a="1"/>
  <c r="W68" i="4" a="1"/>
  <c r="V68" i="4" a="1"/>
  <c r="U68" i="4" a="1"/>
  <c r="V60" i="4" a="1"/>
  <c r="W60" i="4" a="1"/>
  <c r="U60" i="4" a="1"/>
  <c r="W53" i="4" a="1"/>
  <c r="V53" i="4" a="1"/>
  <c r="U53" i="4" a="1"/>
  <c r="V46" i="4" a="1"/>
  <c r="W46" i="4" a="1"/>
  <c r="U46" i="4" a="1"/>
  <c r="V39" i="4" a="1"/>
  <c r="W39" i="4" a="1"/>
  <c r="U39" i="4" a="1"/>
  <c r="V32" i="4" a="1"/>
  <c r="W32" i="4" a="1"/>
  <c r="U32" i="4" a="1"/>
  <c r="T46" i="4" a="1"/>
  <c r="T39" i="4" a="1"/>
  <c r="T32" i="4" a="1"/>
  <c r="R18" i="4" a="1"/>
  <c r="R20" i="4" a="1"/>
  <c r="R14" i="4" a="1"/>
  <c r="R19" i="4" a="1"/>
  <c r="V88" i="4" l="1"/>
  <c r="W88" i="4"/>
  <c r="U88" i="4"/>
  <c r="V78" i="4"/>
  <c r="W78" i="4"/>
  <c r="U78" i="4"/>
  <c r="V68" i="4"/>
  <c r="W68" i="4"/>
  <c r="U68" i="4"/>
  <c r="W60" i="4"/>
  <c r="V60" i="4"/>
  <c r="U60" i="4"/>
  <c r="V53" i="4"/>
  <c r="W53" i="4"/>
  <c r="U53" i="4"/>
  <c r="W46" i="4"/>
  <c r="V46" i="4"/>
  <c r="U46" i="4"/>
  <c r="W39" i="4"/>
  <c r="V39" i="4"/>
  <c r="U39" i="4"/>
  <c r="W32" i="4"/>
  <c r="V32" i="4"/>
  <c r="U32" i="4"/>
  <c r="AC30" i="4" s="1"/>
  <c r="AC31" i="4" s="1"/>
  <c r="AC32" i="4" s="1"/>
  <c r="AC33" i="4" s="1"/>
  <c r="AC34" i="4" s="1"/>
  <c r="AC35" i="4" s="1"/>
  <c r="AC36" i="4" s="1"/>
  <c r="AC37" i="4" s="1"/>
  <c r="T46" i="4"/>
  <c r="T39" i="4"/>
  <c r="T32" i="4"/>
  <c r="R19" i="4"/>
  <c r="T19" i="4" s="1"/>
  <c r="R20" i="4"/>
  <c r="T20" i="4" s="1"/>
  <c r="R18" i="4"/>
  <c r="T18" i="4" s="1"/>
  <c r="R14" i="4"/>
  <c r="R10" i="4"/>
  <c r="T47" i="4" a="1"/>
  <c r="T40" i="4" a="1"/>
  <c r="T33" i="4" a="1"/>
  <c r="R15" i="4" a="1"/>
  <c r="R16" i="4" a="1"/>
  <c r="T47" i="4" l="1"/>
  <c r="T40" i="4"/>
  <c r="T33" i="4"/>
  <c r="R16" i="4"/>
  <c r="R15" i="4"/>
  <c r="C73" i="3"/>
  <c r="T48" i="4" a="1"/>
  <c r="T41" i="4" a="1"/>
  <c r="T34" i="4" a="1"/>
  <c r="T48" i="4" l="1"/>
  <c r="T41" i="4"/>
  <c r="T34" i="4"/>
  <c r="T49" i="4" a="1"/>
  <c r="T42" i="4" a="1"/>
  <c r="T35" i="4" a="1"/>
  <c r="T49" i="4" l="1"/>
  <c r="T42" i="4"/>
  <c r="T35" i="4"/>
  <c r="T50" i="4" a="1"/>
  <c r="T43" i="4" a="1"/>
  <c r="T36" i="4" a="1"/>
  <c r="T50" i="4" l="1"/>
  <c r="T43" i="4"/>
  <c r="T36" i="4"/>
  <c r="T51" i="4" a="1"/>
  <c r="T44" i="4" a="1"/>
  <c r="T37" i="4" a="1"/>
  <c r="T51" i="4" l="1"/>
  <c r="T44" i="4"/>
  <c r="T37" i="4"/>
  <c r="T52" i="4" a="1"/>
  <c r="T52" i="4" l="1"/>
  <c r="T53" i="4" a="1"/>
  <c r="T53" i="4" l="1"/>
  <c r="T54" i="4" a="1"/>
  <c r="T54" i="4" l="1"/>
  <c r="T55" i="4" a="1"/>
  <c r="T55" i="4" l="1"/>
  <c r="T56" i="4" a="1"/>
  <c r="T56" i="4" l="1"/>
  <c r="T57" i="4" a="1"/>
  <c r="T57" i="4" l="1"/>
  <c r="T58" i="4" a="1"/>
  <c r="T58" i="4" l="1"/>
  <c r="T59" i="4" a="1"/>
  <c r="T59" i="4" l="1"/>
  <c r="T60" i="4" a="1"/>
  <c r="T60" i="4" l="1"/>
  <c r="T61" i="4" a="1"/>
  <c r="T61" i="4" l="1"/>
  <c r="T62" i="4" a="1"/>
  <c r="T62" i="4" l="1"/>
  <c r="T63" i="4" a="1"/>
  <c r="T63" i="4" l="1"/>
  <c r="T64" i="4" a="1"/>
  <c r="T64" i="4" l="1"/>
  <c r="T65" i="4" a="1"/>
  <c r="T65" i="4" l="1"/>
  <c r="T66" i="4" a="1"/>
  <c r="T66" i="4" l="1"/>
  <c r="T67" i="4" a="1"/>
  <c r="T67" i="4" l="1"/>
  <c r="T68" i="4" a="1"/>
  <c r="T68" i="4" l="1"/>
  <c r="T69" i="4" a="1"/>
  <c r="T69" i="4" l="1"/>
  <c r="T70" i="4" a="1"/>
  <c r="T70" i="4" l="1"/>
  <c r="T71" i="4" a="1"/>
  <c r="T71" i="4" l="1"/>
  <c r="T72" i="4" a="1"/>
  <c r="T72" i="4" l="1"/>
  <c r="T73" i="4" a="1"/>
  <c r="T73" i="4" l="1"/>
  <c r="T74" i="4" a="1"/>
  <c r="T74" i="4" l="1"/>
  <c r="T75" i="4" a="1"/>
  <c r="T75" i="4" l="1"/>
  <c r="T76" i="4" a="1"/>
  <c r="T76" i="4" l="1"/>
  <c r="T77" i="4" a="1"/>
  <c r="T77" i="4" l="1"/>
  <c r="T78" i="4" a="1"/>
  <c r="T78" i="4" l="1"/>
  <c r="T79" i="4" a="1"/>
  <c r="T79" i="4" l="1"/>
  <c r="T80" i="4" a="1"/>
  <c r="T80" i="4" l="1"/>
  <c r="T81" i="4" a="1"/>
  <c r="T81" i="4" l="1"/>
  <c r="T82" i="4" a="1"/>
  <c r="T82" i="4" l="1"/>
  <c r="T83" i="4" a="1"/>
  <c r="T83" i="4" l="1"/>
  <c r="T84" i="4" a="1"/>
  <c r="T84" i="4" l="1"/>
  <c r="T85" i="4" a="1"/>
  <c r="T85" i="4" l="1"/>
  <c r="T86" i="4" a="1"/>
  <c r="T86" i="4" l="1"/>
  <c r="T87" i="4" a="1"/>
  <c r="T87" i="4" l="1"/>
  <c r="T88" i="4" a="1"/>
  <c r="T88" i="4" l="1"/>
  <c r="T89" i="4" a="1"/>
  <c r="T89" i="4" l="1"/>
  <c r="T90" i="4" a="1"/>
  <c r="T90" i="4" l="1"/>
  <c r="T91" i="4" a="1"/>
  <c r="T91" i="4" l="1"/>
  <c r="T92" i="4" a="1"/>
  <c r="T92" i="4" l="1"/>
  <c r="T93" i="4" a="1"/>
  <c r="T93" i="4" l="1"/>
  <c r="T94" i="4" a="1"/>
  <c r="T94" i="4" l="1"/>
  <c r="T95" i="4" a="1"/>
  <c r="T95" i="4" l="1"/>
  <c r="T96" i="4" a="1"/>
  <c r="T96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<sst xmlns="http://schemas.openxmlformats.org/spreadsheetml/2006/main" count="574" uniqueCount="457">
  <si>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</si>
  <si>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</si>
  <si>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</si>
  <si>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</si>
  <si>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</si>
  <si>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</si>
  <si>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</si>
  <si>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</si>
  <si>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</si>
  <si>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</si>
  <si>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</si>
  <si>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</si>
  <si>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</si>
  <si>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</si>
  <si>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</si>
  <si>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</si>
  <si>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</si>
  <si>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L03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</si>
  <si>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</si>
  <si>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</si>
  <si>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</si>
  <si>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</si>
  <si>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</si>
  <si>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</si>
  <si>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</si>
  <si>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</si>
  <si>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</si>
  <si>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</si>
  <si>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</si>
  <si>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</si>
  <si>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</si>
  <si>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</si>
  <si>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</si>
  <si>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</si>
  <si>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</si>
  <si>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</si>
  <si>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</si>
  <si>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</si>
  <si>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</si>
  <si>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</si>
  <si>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</si>
  <si>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</si>
  <si>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</si>
  <si>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</si>
  <si>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</si>
  <si>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</si>
  <si>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</si>
  <si>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</si>
  <si>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</si>
  <si>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</si>
  <si>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</si>
  <si>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</si>
  <si>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</si>
  <si>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</si>
  <si>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</si>
  <si>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</si>
  <si>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</si>
  <si>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</si>
  <si>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</si>
  <si>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</si>
  <si>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</si>
  <si>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</si>
  <si>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</si>
  <si>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</si>
  <si>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</si>
  <si>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</si>
  <si>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</si>
  <si>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</si>
  <si>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</si>
  <si>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</si>
  <si>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</si>
  <si>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</si>
  <si>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</si>
  <si>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</si>
  <si>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</si>
  <si>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</si>
  <si>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</si>
  <si>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</si>
  <si>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</si>
  <si>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</si>
  <si>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</si>
  <si>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</si>
  <si>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</si>
  <si>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</si>
  <si>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</si>
  <si>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</si>
  <si>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</si>
  <si>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</si>
  <si>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</si>
  <si>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</si>
  <si>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</si>
  <si>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</si>
  <si>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</si>
  <si>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</si>
  <si>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</si>
  <si>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</si>
  <si>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</si>
  <si>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</si>
  <si>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</si>
  <si>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</si>
  <si>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</si>
  <si>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</si>
  <si>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</si>
  <si>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</si>
  <si>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</si>
  <si>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</si>
  <si>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</si>
  <si>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</si>
  <si>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</si>
  <si>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</si>
  <si>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</si>
  <si>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</si>
  <si>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</si>
  <si>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</si>
  <si>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</si>
  <si>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</si>
  <si>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</si>
  <si>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</si>
  <si>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</si>
  <si>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</si>
  <si>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</si>
  <si>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</si>
  <si>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</si>
  <si>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</si>
  <si>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</si>
  <si>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</si>
  <si>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</si>
  <si>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</si>
  <si>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</si>
  <si>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</si>
  <si>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</si>
  <si>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</si>
  <si>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</si>
  <si>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</si>
  <si>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</si>
  <si>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</si>
  <si>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</si>
  <si>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</si>
  <si>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</si>
  <si>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</si>
  <si>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</si>
  <si>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</si>
  <si>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</si>
  <si>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</si>
  <si>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</si>
  <si>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</si>
  <si>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</si>
  <si>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17/05/2025||21/05/2025||24/05/2025||28/05/2025||31/05/2025||04/06/2025||07/06/2025||11/06/2025||18/06/2025||25/06/2025||02/07/2025||09/07/2025||16/07/2025||23/07/2025</t>
  </si>
  <si>
    <t>14/05/2025||18/05/2025||21/05/2025||25/05/2025||28/05/2025||01/06/2025||04/06/2025||08/06/2025||15/06/2025||22/06/2025||29/06/2025||06/07/2025||13/07/2025||20/07/2025||27/07/2025</t>
  </si>
  <si>
    <t>09/05/2025||13/05/2025||16/05/2025||20/05/2025||23/05/2025||27/05/2025||30/05/2025||03/06/2025||10/06/2025||17/06/2025||24/06/2025||01/07/2025||08/07/2025||15/07/2025||22/07/2025</t>
  </si>
  <si>
    <t>02/05/2025||06/05/2025||09/05/2025||13/05/2025||16/05/2025||20/05/2025||23/05/2025||27/05/2025||03/06/2025||10/06/2025||17/06/2025||24/06/2025||01/07/2025||08/07/2025||15/07/2025||22/07/2025||29/07/2025</t>
  </si>
  <si>
    <t>29/04/2025||03/05/2025||06/05/2025||10/05/2025||13/05/2025||17/05/2025||20/05/2025||24/05/2025||31/05/2025||07/06/2025||14/06/2025||21/06/2025||28/06/2025||05/07/2025||12/07/2025||19/07/2025||26/07/2025</t>
  </si>
  <si>
    <t>24/04/2025||28/04/2025||01/05/2025||05/05/2025||08/05/2025||12/05/2025||15/05/2025||19/05/2025||26/05/2025||02/06/2025||09/06/2025||16/06/2025||23/06/2025||30/06/2025||07/07/2025||14/07/2025||21/07/2025||28/07/2025</t>
  </si>
  <si>
    <t>21/04/2025||25/04/2025||28/04/2025||02/05/2025||05/05/2025||09/05/2025||12/05/2025||16/05/2025||23/05/2025||30/05/2025||06/06/2025||13/06/2025||20/06/2025||27/06/2025||04/07/2025||11/07/2025||18/07/2025||25/07/2025</t>
  </si>
  <si>
    <t>17/04/2025||21/04/2025||24/04/2025||28/04/2025||01/05/2025||05/05/2025||08/05/2025||12/05/2025||19/05/2025||26/05/2025||02/06/2025||09/06/2025||16/06/2025||23/06/2025||30/06/2025||07/07/2025||14/07/2025||21/07/2025||28/07/2025</t>
  </si>
  <si>
    <t>13/04/2025||17/04/2025||20/04/2025||24/04/2025||27/04/2025||01/05/2025||04/05/2025||08/05/2025||15/05/2025||22/05/2025||29/05/2025||05/06/2025||12/06/2025||19/06/2025||26/06/2025||03/07/2025||10/07/2025||17/07/2025||24/07/2025||31/07/2025</t>
  </si>
  <si>
    <t>08/04/2025||12/04/2025||15/04/2025||19/04/2025||22/04/2025||26/04/2025||29/04/2025||03/05/2025||10/05/2025||17/05/2025||24/05/2025||31/05/2025||07/06/2025||14/06/2025||21/06/2025||28/06/2025||05/07/2025||12/07/2025||19/07/2025||26/07/2025</t>
  </si>
  <si>
    <t>03/04/2025||07/04/2025||10/04/2025||14/04/2025||17/04/2025||21/04/2025||24/04/2025||28/04/2025||05/05/2025||12/05/2025||19/05/2025||26/05/2025||02/06/2025||09/06/2025||16/06/2025||23/06/2025||30/06/2025||07/07/2025||14/07/2025||21/07/2025</t>
  </si>
  <si>
    <t>30/03/2025||03/04/2025||06/04/2025||10/04/2025||13/04/2025||17/04/2025||20/04/2025||24/04/2025||01/05/2025||08/05/2025||15/05/2025||22/05/2025||29/05/2025||05/06/2025||12/06/2025||19/06/2025||26/06/2025||03/07/2025||10/07/2025||17/07/2025||24/07/2025</t>
  </si>
  <si>
    <t>24/03/2025||28/03/2025||31/03/2025||04/04/2025||07/04/2025||11/04/2025||14/04/2025||18/04/2025||25/04/2025||02/05/2025||09/05/2025||16/05/2025||23/05/2025||30/05/2025||06/06/2025||13/06/2025||20/06/2025||27/06/2025||04/07/2025||11/07/2025||18/07/2025||25/07/2025</t>
  </si>
  <si>
    <t>22/03/2025||26/03/2025||29/03/2025||02/04/2025||05/04/2025||09/04/2025||12/04/2025||16/04/2025||23/04/2025||30/04/2025||07/05/2025||14/05/2025||21/05/2025||28/05/2025||04/06/2025||11/06/2025||18/06/2025||25/06/2025||02/07/2025||09/07/2025||16/07/2025||23/07/2025</t>
  </si>
  <si>
    <t>19/03/2025||23/03/2025||26/03/2025||30/03/2025||02/04/2025||06/04/2025||09/04/2025||13/04/2025||20/04/2025||27/04/2025||04/05/2025||11/05/2025||18/05/2025||25/05/2025||01/06/2025||08/06/2025||15/06/2025||22/06/2025||29/06/2025||06/07/2025||13/07/2025||20/07/2025||27/07/2025</t>
  </si>
  <si>
    <t>16/03/2025||20/03/2025||23/03/2025||27/03/2025||30/03/2025||03/04/2025||06/04/2025||10/04/2025||17/04/2025||24/04/2025||01/05/2025||08/05/2025||15/05/2025||22/05/2025||29/05/2025||05/06/2025||12/06/2025||19/06/2025||26/06/2025||03/07/2025||10/07/2025||17/07/2025||24/07/2025</t>
  </si>
  <si>
    <t>13/03/2025||17/03/2025||20/03/2025||24/03/2025||27/03/2025||31/03/2025||03/04/2025||07/04/2025||14/04/2025||21/04/2025||28/04/2025||05/05/2025||12/05/2025||19/05/2025||26/05/2025||02/06/2025||09/06/2025||16/06/2025||23/06/2025||30/06/2025||07/07/2025||14/07/2025||21/07/2025||28/07/2025</t>
  </si>
  <si>
    <t>Trai|:19||24||12||20||12||18||10||19||27||20||18||14||12||10&lt;|&gt;Tim|:20||28||18||24||22||26||20||24||21.9999999999998||20||22||18||16||20&lt;|&gt;Phai|:17||20||16||20||15||20||12||19||23||20||15||12||10||8</t>
  </si>
  <si>
    <t>Trai|:28||33||20||27||18||26||9||16||30||20||16||14||14||14||12&lt;|&gt;Tim|:20||25||19||22||16||20||12||19||23||20||19||19||17||14||35&lt;|&gt;Phai|:22||24||20||24||16||24||16||22||26||22||20||15||13||12||10</t>
  </si>
  <si>
    <t>Trai|:12||24||10||22||10||18||9||15||24||20||19||18||18||12||12&lt;|&gt;Tim|:20||25||19||22||16||20||12||19||28||20||16||17||16||25||22&lt;|&gt;Phai|:20||30||16||25||10||19||6||16||25||24||22||20||18||16||14</t>
  </si>
  <si>
    <t>Trai|:28||29||32||34||30||32||26||29||30||25||25||24||20||20||16||20||38&lt;|&gt;Tim|:35||40||33||39||40||45||42||32||39||35||25||18||18||16||14||12||40&lt;|&gt;Phai|:40||38||40||44||59||62||60||58||45||42||40||30||28||20||19||18||16</t>
  </si>
  <si>
    <t>Trai|:20||25||19||22||16||20||12||19||30||25||25||20||22||20||18||16||14&lt;|&gt;Tim|:36||44||34||40||32||44||28||29||45||40||38||34||28||27||24||10||10&lt;|&gt;Phai|:20||25||19||22||16||20||12||19||30||30||29||20||22||20||18||12||9</t>
  </si>
  <si>
    <t>Trai|:22||25||22||30||16||26||12||22||25||20||15||13||12||10||10||10||9||9&lt;|&gt;Tim|:20||25||15||24||12||25||10||21.9999999999999||20.0000000000001||18||16||16||15||15||13||12||10||10&lt;|&gt;Phai|:17||26||18||22||15||20||10||19||24||20||20||16||16||14||12||10||10||9</t>
  </si>
  <si>
    <t>Trai|:12||16||11||15||11||15||10||16||20||14||12||10||9||9||8||8||9||9&lt;|&gt;Tim|:17||20||19||22||16||20||10||15||20||15||12||10||12||12||11||12||9||10&lt;|&gt;Phai|:14||19||12||16||10||16||10||14||12||12||10||8||8||8||8||8||6||6</t>
  </si>
  <si>
    <t>Trai|:12||16||10||15||10||15||11||15||19||15||13||12||10||9||9||9||8||8||6&lt;|&gt;Tim|:12||18||12||17||10||15||10||11||17||14||12||14||10||10||10||9||9||8||10&lt;|&gt;Phai|:10||12||8||12||10||12||7||10||15||12||12||12||10||9||9||9||8||8||6</t>
  </si>
  <si>
    <t>Trai|:20||25||12||20||9||16||7||12||20||16||15||16||14||14||12||10||9||8||6&lt;|&gt;Tim|:20||25||20||22||16||23||12||20||18||18||16||16||12||14||13||13||11||10||10&lt;|&gt;Phai|:24||33||22||17||6||15||6||10||18||12||10||10||8||8||8||6||6||6||6</t>
  </si>
  <si>
    <t>Trai|:27||30||24||26||22||26||18||20||25||22||20||18||16||16||14||14||12||12||14||13&lt;|&gt;Tim|:30||36||26||30||20||28||16||25||35||28||24||22||22||21||20||14||10||10||9||8&lt;|&gt;Phai|:24||33||20||30||18||26||19||25||24||20||17||17||16||15||14||13||12||12||12||10</t>
  </si>
  <si>
    <t>Trai|:30||40||28||40||22||35||20||30||35||30||25||22||22||20||21||19||19||18||18||16&lt;|&gt;Tim|:35||40||33||40||32||37||30||39||40||40||39||28||22||21||21||20||18||18||17||15&lt;|&gt;Phai|:25||33||24||30||22||29||20||22||35||30||25||23||18||16||14||12||10||10||10||8</t>
  </si>
  <si>
    <t>Trai|:24||35||22||33||22||31||16||22||25||24||22||20||16||15||12||13||11||10||8||8&lt;|&gt;Tim|:26||30||20||20||27||30||25||33||35||30||24||22||15||12||14||10||18||10||9||6&lt;|&gt;Phai|:26||34||25||32||13||18||18||18||22||20||18||14||14||13||13||12||10||7||7||5</t>
  </si>
  <si>
    <t>Trai|:22||34||20||28||16||24||15||26||25||18||16||16||14||14||12||12||10||10||8||7&lt;|&gt;Tim|:14||18||18||20||12||19||10||22||25||20||18||18||16||14||12||12||12||10||8||8&lt;|&gt;Phai|:26||37||22||30||18||22||12||20||24||22||20||22||18||18||16||12||12||10||8||8</t>
  </si>
  <si>
    <t>Trai|:30||40||26||36||22||30||18||20||30||20||19||18||16||14||12||12||11||10||9||9&lt;|&gt;Tim|:25||29||25||28||20||24||14||20||32||31||34||32||29||24||20||18||16||12||12||12&lt;|&gt;Phai|:25||30||23||29||20||27||15||24||29||24||20||18||16||14||14||12||12||10||10||9</t>
  </si>
  <si>
    <t>Trai|:30||40||30||39||22||30||20||12||25||24||18||15||13||13||12||12||10||9||9||9||9&lt;|&gt;Tim|:25||30||29||25||20||15||8||12||30||29||27||28||22||22||20||21||16||15||14||15||17&lt;|&gt;Phai|:16||22||14||20||12||17||10||14||25||18||16||15||14||13||12||12||11||10||9||9||9</t>
  </si>
  <si>
    <t>Trai|:20||27||16||25||15||24||13||22||27||20||18||14||12||12||12||14||12||12||11||10||10||9&lt;|&gt;Tim|:30||40||28||39||29||36||28||35||40||38||36||33||34||30||28||27||24||25||24||26||24||23&lt;|&gt;Phai|:25||35||22||30||20||28||16||25||35||35||30||22||18||14||12||12||11||12||11||11||10||9</t>
  </si>
  <si>
    <t>Trai|:22||27||12||25||14||22||10||19||27||20||18||14||14||14||12||13||12||11||10||10||9||9&lt;|&gt;Tim|:30||45||30||44||28||40||27||38||44||40||40||34||32||26||26||22||18||18||14||14||12||13&lt;|&gt;Phai|:27||30||15||26||12||20||10||20||25||22||20||18||16||16||12||10||10||10||9||9||7||8</t>
  </si>
  <si>
    <t>Trai|:20||29||18||26||10||20||8||16||22||17||14||10||10||10||9||9||8||8||6||6||6||6||4&lt;|&gt;Tim|:27||34||25||33||22||30||20||29||30||28||26||25||22||18||14||12||12||10||9||9||9||8||4&lt;|&gt;Phai|:25||35||22||30||20||28||16||25||35||35||30||26||20||18||16||16||12||10||8||8||8||6||6</t>
  </si>
  <si>
    <t>Trai|:26||34||20||30||18||30||16||26||36||20||16||14||12||11||11||10||10||10||10||9||9||9||8&lt;|&gt;Tim|:30||35||24||33||22||25||13||22||25||22||20||18||10||8||8||8||8||6||6||6||4||4||4&lt;|&gt;Phai|:22||25||10||22||10||20||9||19||25||20||18||14||12||12||10||11||10||9||9||9||8||8||8</t>
  </si>
  <si>
    <t>Trai|:26||34||20||30||18||30||16||26||36||20||16||14||12||10||8||6||4||4||4||2||2||2||2&lt;|&gt;Tim|:28||30||25||28||25||26||22||25||27||22||18||12||12||8||8||6||6||5||5||3||2||2||1&lt;|&gt;Phai|:30||40||28||38||28||36||24||30||35||20||17||15||16||14||10||8||8||6||6||6||4||4||4</t>
  </si>
  <si>
    <t>Trai|:22||27||12||25||14||22||10||19||27||20||18||14||10||8||8||8||6||6||6||5||4||4||3&lt;|&gt;Tim|:30||35||27||30||22||26||20||26||30||25||20||18||13||11||9||9||8||6||6||6||6||4||4&lt;|&gt;Phai|:30||40||30||40||22||30||20||29||30||25||22||20||18||18||16||10||9||9||8||8||6||6||4</t>
  </si>
  <si>
    <t>Trai|:30||35||20||33||16||27||13||22||25||20||18||18||16||16||16||15||15||14||14||12||10||10||9||9&lt;|&gt;Tim|:28||30||24||28||24||27||22||26||30||26||26||25||22||20||18||19||17||15||12||10||9||9||8||6&lt;|&gt;Phai|:20||30||18||28||15||20||10||19||28||22||20||18||18||16||16||12||12||12||10||10||9||9||9||10</t>
  </si>
  <si>
    <t>Trai|:25||35||22||30||20||28||16||25||35||35||30||22||18||14||12||12||11||10||9||8||9||8||8||7&lt;|&gt;Tim|:24||30||24||40||25||30||20||35||40||30||25||20||18||16||14||11||12||12||10||10||10||11||9||9&lt;|&gt;Phai|:28||33||20||27||18||26||9||16||30||20||16||14||12||10||10||10||10||9||9||9||8||8||7||7</t>
  </si>
  <si>
    <t>NgayLD|:20/01/2024&lt;|&gt;CDMoc|:884&lt;|&gt;CDBanTrai|:-600&lt;|&gt;CDBanTim|:-710&lt;|&gt;CDBanPhai|:-920&lt;|&gt;CDNen|:-0.71</t>
  </si>
  <si>
    <t>22/01/2024|:DN Lớp 10||0&lt;|&gt;25/01/2024|:DN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</si>
  <si>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20/01/2024|:2000&lt;|&gt;22/06/2024|:3000</t>
  </si>
  <si>
    <t>117+004,66|:22/01/2024|:DN Lớp 10||0</t>
  </si>
  <si>
    <t>NgayLD|:20/01/2024&lt;|&gt;CDMoc|:884&lt;|&gt;CDBanTrai|:-100&lt;|&gt;CDBanTim|:-630&lt;|&gt;CDBanPhai|:-720&lt;|&gt;CDNen|:-0.63</t>
  </si>
  <si>
    <t>20/01/2024|:2000</t>
  </si>
  <si>
    <t>117+100|:25/01/2024|:DN Lớp 9||0.3</t>
  </si>
  <si>
    <t>NgayLD|:20/01/2024&lt;|&gt;CDMoc|:1769&lt;|&gt;CDBanTrai|:-700&lt;|&gt;CDBanTim|:-700&lt;|&gt;CDBanPhai|:-700&lt;|&gt;CDNen|:-0.7</t>
  </si>
  <si>
    <t>117+200|:29/01/2024|:DN Lớp 8||0.2</t>
  </si>
  <si>
    <t>NgayLD|:20/01/2024&lt;|&gt;CDMoc|:884&lt;|&gt;CDBanTrai|:-110&lt;|&gt;CDBanTim|:-100&lt;|&gt;CDBanPhai|:-90&lt;|&gt;CDNen|:-0.1</t>
  </si>
  <si>
    <t>07/02/2024|:DN Lớp 6||0.1&lt;|&gt;11/02/2024|:DN Lớp 5||0.3&lt;|&gt;15/02/2024|:DN Lớp 4||0.3&lt;|&gt;19/02/2024|:DN Lớp 3||0.3&lt;|&gt;18/06/2024|:DN Lớp 2||0.3&lt;|&gt;22/06/2024|:DN Lớp 1||0.3</t>
  </si>
  <si>
    <t>117+300|:07/02/2024|:DN Lớp 6||0.1</t>
  </si>
  <si>
    <t>NgayLD|:20/01/2024&lt;|&gt;CDMoc|:884&lt;|&gt;CDBanTrai|:-280&lt;|&gt;CDBanTim|:-730&lt;|&gt;CDBanPhai|:-600&lt;|&gt;CDNen|:-0.73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</si>
  <si>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</si>
  <si>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117+400|:29/01/2024|:DN Lớp 8||0</t>
  </si>
  <si>
    <t>NgayLD|:30/01/2024&lt;|&gt;CDMoc|:884&lt;|&gt;CDBanTrai|:-400&lt;|&gt;CDBanTim|:-190&lt;|&gt;CDBanPhai|:-200&lt;|&gt;CDNen|:-0.19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</si>
  <si>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</t>
  </si>
  <si>
    <t>30/01/2024|:2000</t>
  </si>
  <si>
    <t>117+500|:07/02/2024|:DN Lớp 8||0</t>
  </si>
  <si>
    <t>NgayLD|:30/01/2024&lt;|&gt;CDMoc|:884&lt;|&gt;CDBanTrai|:-320&lt;|&gt;CDBanTim|:-340&lt;|&gt;CDBanPhai|:-380&lt;|&gt;CDNen|:-0.34</t>
  </si>
  <si>
    <t>13/02/2024|:DN Lớp 7||0&lt;|&gt;17/02/2024|:DN Lớp 6||0.3&lt;|&gt;21/02/2024|:DN Lớp 5||0.3&lt;|&gt;25/02/2024|:DN Lớp 4||0.3&lt;|&gt;29/02/2024|:DN Lớp 3||0.3&lt;|&gt;26/06/2024|:DN Lớp 2||0.3&lt;|&gt;30/06/2024|:DN Lớp 1||0.3</t>
  </si>
  <si>
    <t>117+600|:13/02/2024|:DN Lớp 7||0</t>
  </si>
  <si>
    <t>NgayLD|:30/01/2024&lt;|&gt;CDMoc|:884&lt;|&gt;CDBanTrai|:-1200&lt;|&gt;CDBanTim|:-1020&lt;|&gt;CDBanPhai|:-950&lt;|&gt;CDNen|:-1.02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</si>
  <si>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</si>
  <si>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117+700|:04/02/2024|:DN Lớp 9||0</t>
  </si>
  <si>
    <t>NgayLD|:20/05/2024&lt;|&gt;CDMoc|:884&lt;|&gt;CDBanTrai|:-230&lt;|&gt;CDBanTim|:-220&lt;|&gt;CDBanPhai|:-180&lt;|&gt;CDNen|:-0.22</t>
  </si>
  <si>
    <t>05/06/2024|:DN Lớp 6||0.32&lt;|&gt;09/06/2024|:DN Lớp 5||0.3&lt;|&gt;13/06/2024|:DN Lớp 4||0.3&lt;|&gt;17/06/2024|:DN Lớp 3||0.3&lt;|&gt;20/07/2024|:DN Lớp 2||0.3&lt;|&gt;26/07/2024|:DN Lớp 1||0.3</t>
  </si>
  <si>
    <t>20/05/2024|:2000</t>
  </si>
  <si>
    <t>117+800|:05/06/2024|:DN Lớp 6||0.32</t>
  </si>
  <si>
    <t>NgayLD|:20/05/2024&lt;|&gt;CDMoc|:884&lt;|&gt;CDBanTrai|:-370&lt;|&gt;CDBanTim|:-350&lt;|&gt;CDBanPhai|:-330&lt;|&gt;CDNen|:-0.35</t>
  </si>
  <si>
    <t>01/06/2024|:DN Lớp 7||0&lt;|&gt;05/06/2024|:DN Lớp 6||0.3&lt;|&gt;09/06/2024|:DN Lớp 5||0.3&lt;|&gt;13/06/2024|:DN Lớp 4||0.3&lt;|&gt;17/06/2024|:DN Lớp 3||0.3&lt;|&gt;20/07/2024|:DN Lớp 2||0.3&lt;|&gt;26/07/2024|:DN Lớp 1||0.3</t>
  </si>
  <si>
    <t>117+900|:01/06/2024|:DN Lớp 7||0</t>
  </si>
  <si>
    <t>NgayLD|:20/05/2024&lt;|&gt;CDMoc|:884&lt;|&gt;CDBanTrai|:-250&lt;|&gt;CDBanTim|:-960&lt;|&gt;CDBanPhai|:-960&lt;|&gt;CDNen|:-0.96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</si>
  <si>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</si>
  <si>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118+000|:23/05/2024|:DN Lớp 9||0</t>
  </si>
  <si>
    <t>NgayLD|:20/05/2024&lt;|&gt;CDMoc|:884&lt;|&gt;CDBanTrai|:-250&lt;|&gt;CDBanTim|:-270&lt;|&gt;CDBanPhai|:-270&lt;|&gt;CDNen|:-0.27</t>
  </si>
  <si>
    <t>01/06/2024|:DN Lớp 7||0.05&lt;|&gt;05/06/2024|:DN Lớp 6||0.3&lt;|&gt;09/06/2024|:DN Lớp 5||0.3&lt;|&gt;13/06/2024|:DN Lớp 4||0.3&lt;|&gt;17/06/2024|:DN Lớp 3||0.3&lt;|&gt;20/07/2024|:DN Lớp 2||0.3&lt;|&gt;26/07/2024|:DN Lớp 1||0.3</t>
  </si>
  <si>
    <t>118+100|:01/06/2024|:DN Lớp 7||0.05</t>
  </si>
  <si>
    <t>NgayLD|:20/05/2024&lt;|&gt;CDMoc|:884&lt;|&gt;CDBanTrai|:-280&lt;|&gt;CDBanTim|:-340&lt;|&gt;CDBanPhai|:-900&lt;|&gt;CDNen|:-0.34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</si>
  <si>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</si>
  <si>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118+200|:23/05/2024|:DN Lớp 9||0</t>
  </si>
  <si>
    <t>NgayLD|:20/05/2024&lt;|&gt;CDMoc|:884&lt;|&gt;CDBanTrai|:-250&lt;|&gt;CDBanTim|:-860&lt;|&gt;CDBanPhai|:-900&lt;|&gt;CDNen|:-0.86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</si>
  <si>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</si>
  <si>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118+300|:24/05/2024|:DN Lớp 9||0.16</t>
  </si>
  <si>
    <t>NgayLD|:20/05/2024&lt;|&gt;CDMoc|:0.899&lt;|&gt;CDBanTrai|:-200&lt;|&gt;CDBanTim|:-180&lt;|&gt;CDBanPhai|:-180&lt;|&gt;CDNen|:-0.18</t>
  </si>
  <si>
    <t>11/07/2024|:DN Lớp 6||0.28&lt;|&gt;15/07/2024|:DN Lớp 5||0.3&lt;|&gt;19/07/2024|:DN Lớp 4||0.3&lt;|&gt;23/07/2024|:DN Lớp 3||0.3&lt;|&gt;27/07/2024|:DN Lớp 2||0.3&lt;|&gt;31/07/2024|:DN Lớp 1||0.3</t>
  </si>
  <si>
    <t>118+340|:11/07/2024|:DN Lớp 6||0.28</t>
  </si>
  <si>
    <t>NgayLD|:20/05/2024&lt;|&gt;CDMoc|:899&lt;|&gt;CDBanTrai|:-850&lt;|&gt;CDBanTim|:-820&lt;|&gt;CDBanPhai|:-750&lt;|&gt;CDNen|:-0.82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</si>
  <si>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</si>
  <si>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20/05/2024|:2000&lt;|&gt;31/07/2024|:3000</t>
  </si>
  <si>
    <t>118+410|:25/06/2024|:DN Lớp 10||0.15</t>
  </si>
  <si>
    <t>NgayLD|:20/05/2024&lt;|&gt;CDMoc|:899&lt;|&gt;CDBanTrai|:-750&lt;|&gt;CDBanTim|:-800&lt;|&gt;CDBanPhai|:-400&lt;|&gt;CDNen|:-0.8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</si>
  <si>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</si>
  <si>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20/05/2024|:2000&lt;|&gt;23/07/2024|:3000</t>
  </si>
  <si>
    <t>118+495|:20/06/2024|:DN Lớp 11||0.3</t>
  </si>
  <si>
    <t>NgayLD|:01/08/2024&lt;|&gt;CDMoc|:899&lt;|&gt;CDBanTrai|:-1000&lt;|&gt;CDBanTim|:-1010&lt;|&gt;CDBanPhai|:-490&lt;|&gt;CDNen|:-1.01</t>
  </si>
  <si>
    <t>10/08/2024|:DN Lớp 11||0.31&lt;|&gt;14/08/2024|:DN Lớp 10||0.3&lt;|&gt;19/08/2024|:DN Lớp 9||0.3&lt;|&gt;23/08/2024|:DN Lớp 8||0.3&lt;|&gt;27/08/2024|:DN Lớp 7||0.3&lt;|&gt;01/09/2024|:DN Lớp 6||0.3&lt;|&gt;05/09/2024|:DN Lớp 5||0.3&lt;|&gt;10/09/2024|:DN Lớp 4||0.3&lt;|&gt;16/09/2024|:DN Lớp 3||0.3&lt;|&gt;20/09/2024|:DN Lớp 2||0.3&lt;|&gt;24/09/2024|:DN Lớp 1||0.3</t>
  </si>
  <si>
    <t>01/08/2024|:2000&lt;|&gt;16/09/2024|:3000</t>
  </si>
  <si>
    <t>118+693.65|:10/08/2024|:DN Lớp 11||0.31</t>
  </si>
  <si>
    <t>NgayLD|:02/08/2024&lt;|&gt;CDMoc|:884&lt;|&gt;CDBanTrai|:-320&lt;|&gt;CDBanTim|:-310&lt;|&gt;CDBanPhai|:-320&lt;|&gt;CDNen|:-0.31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</si>
  <si>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</t>
  </si>
  <si>
    <t>02/08/2024|:2000</t>
  </si>
  <si>
    <t>118+790|:24/08/2024|:DN Lớp 8||0.21</t>
  </si>
  <si>
    <t>NgayLD|:31/08/2024&lt;|&gt;CDMoc|:899&lt;|&gt;CDBanTrai|:-1220&lt;|&gt;CDBanTim|:-200&lt;|&gt;CDBanPhai|:-200&lt;|&gt;CDNen|:-0.2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</si>
  <si>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</t>
  </si>
  <si>
    <t>31/08/2024|:2000</t>
  </si>
  <si>
    <t>118+890|:14/09/2024|:DN Lớp 10||0</t>
  </si>
  <si>
    <t>NgayLD|:01/08/2024&lt;|&gt;CDMoc|:899&lt;|&gt;CDBanTrai|:-150&lt;|&gt;CDBanTim|:-150&lt;|&gt;CDBanPhai|:-850&lt;|&gt;CDNen|:-0.15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</si>
  <si>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1||0.3&lt;|&gt;02/01/2025|:DN Lớp 1||0</t>
  </si>
  <si>
    <t>01/08/2024|:2000</t>
  </si>
  <si>
    <t>118+990|:19/08/2024|:DN Lớp 9||0</t>
  </si>
  <si>
    <t>NgayLD|:14/08/2024&lt;|&gt;CDMoc|:899&lt;|&gt;CDBanTrai|:-240&lt;|&gt;CDBanTim|:-240&lt;|&gt;CDBanPhai|:-240&lt;|&gt;CDNen|:-0.24</t>
  </si>
  <si>
    <t>03/09/2024|:DN Lớp 7||0.16&lt;|&gt;08/09/2024|:DN Lớp 6||0.18&lt;|&gt;12/09/2024|:DN Lớp 5||0.3&lt;|&gt;17/09/2024|:DN Lớp 4||0.3&lt;|&gt;23/09/2024|:DN Lớp 3||0.3&lt;|&gt;27/09/2024|:DN Lớp 2||0.3&lt;|&gt;01/10/2024|:DN Lớp 1||0.3</t>
  </si>
  <si>
    <t>14/08/2024|:2000</t>
  </si>
  <si>
    <t>119+090|:03/09/2024|:DN Lớp 7||0.16</t>
  </si>
  <si>
    <t>NgayLD|:14/08/2024&lt;|&gt;CDMoc|:1769&lt;|&gt;CDBanTrai|:-250&lt;|&gt;CDBanTim|:-250&lt;|&gt;CDBanPhai|:-260&lt;|&gt;CDNen|:-0.25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</si>
  <si>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</si>
  <si>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119+150|:30/08/2024|:DN Lớp 8||0.15</t>
  </si>
  <si>
    <t>NgayLD|:14/08/2024&lt;|&gt;CDMoc|:884&lt;|&gt;CDBanTrai|:-280&lt;|&gt;CDBanTim|:-280&lt;|&gt;CDBanPhai|:-900&lt;|&gt;CDNen|:-0.28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</si>
  <si>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</si>
  <si>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14/08/2024|:2000&lt;|&gt;01/10/2024|:3000</t>
  </si>
  <si>
    <t>119+220|:17/08/2024|:DN Lớp 11||0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</si>
  <si>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</si>
  <si>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119+630|:29/01/2024|:DN Lớp 8||0.13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</si>
  <si>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</si>
  <si>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119+680|:07/02/2024|:DN Lớp 8||0.21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</si>
  <si>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</t>
  </si>
  <si>
    <t>119+780|:07/02/2024|:DN Lớp 8||0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</si>
  <si>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</si>
  <si>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30/01/2024|:2000&lt;|&gt;30/06/2024|:3000</t>
  </si>
  <si>
    <t>119+880|:04/02/2024|:DN Lớp 9||0.22</t>
  </si>
  <si>
    <t>119+980|:05/06/2024|:DN Lớp 6||0.32</t>
  </si>
  <si>
    <t>NgayLD|:16/10/2024&lt;|&gt;CDMoc|:884&lt;|&gt;CDBanTrai|:-190&lt;|&gt;CDBanTim|:-730&lt;|&gt;CDBanPhai|:-660&lt;|&gt;CDNen|:-0.73</t>
  </si>
  <si>
    <t>23/10/2024|:DN Lớp 7||0.24&lt;|&gt;28/10/2024|:DN Lớp 6||0.3&lt;|&gt;01/11/2024|:DN Lớp 5||0.3&lt;|&gt;05/11/2024|:DN Lớp 4||0.3&lt;|&gt;10/11/2024|:DN Lớp 3||0.3&lt;|&gt;26/11/2024|:DN Lớp 2||0.3&lt;|&gt;30/11/2024|:DN Lớp 1||0.3</t>
  </si>
  <si>
    <t>16/10/2024|:2000</t>
  </si>
  <si>
    <t>120+020|:23/10/2024|:DN Lớp 7||0.24</t>
  </si>
  <si>
    <t>NgayLD|:16/10/2024&lt;|&gt;CDMoc|:884&lt;|&gt;CDBanTrai|:-190&lt;|&gt;CDBanTim|:-220&lt;|&gt;CDBanPhai|:-250&lt;|&gt;CDNen|:-0.22</t>
  </si>
  <si>
    <t>23/10/2024|:DN Lớp 7||0&lt;|&gt;28/10/2024|:DN Lớp 6||0.03&lt;|&gt;01/11/2024|:DN Lớp 5||0.3&lt;|&gt;05/11/2024|:DN Lớp 4||0.3&lt;|&gt;10/11/2024|:DN Lớp 3||0.3&lt;|&gt;26/11/2024|:DN Lớp 2||0.3&lt;|&gt;30/11/2024|:DN Lớp 1||0.3</t>
  </si>
  <si>
    <t>120+120|:23/10/2024|:DN Lớp 7||0</t>
  </si>
  <si>
    <t>NgayLD|:16/10/2024&lt;|&gt;CDMoc|:884&lt;|&gt;CDBanTrai|:-230&lt;|&gt;CDBanTim|:-190&lt;|&gt;CDBanPhai|:-190&lt;|&gt;CDNen|:-0.19</t>
  </si>
  <si>
    <t>28/10/2024|:DN Lớp 6||0&lt;|&gt;01/11/2024|:DN Lớp 5||0.3&lt;|&gt;05/11/2024|:DN Lớp 4||0.3&lt;|&gt;10/11/2024|:DN Lớp 3||0.3&lt;|&gt;26/11/2024|:DN Lớp 2||0.3&lt;|&gt;30/11/2024|:DN Lớp 1||0.3</t>
  </si>
  <si>
    <t>120+220|:28/10/2024|:DN Lớp 6||0</t>
  </si>
  <si>
    <t>NgayLD|:26/09/2024&lt;|&gt;CDMoc|:884&lt;|&gt;CDBanTrai|:-230&lt;|&gt;CDBanTim|:-250&lt;|&gt;CDBanPhai|:-160&lt;|&gt;CDNen|:-0.25</t>
  </si>
  <si>
    <t>25/10/2024|:DN Lớp 5||0.27&lt;|&gt;30/10/2024|:DN Lớp 4||0.3&lt;|&gt;04/11/2024|:DN Lớp 3||0.3&lt;|&gt;26/11/2024|:DN Lớp 2||0.3&lt;|&gt;30/11/2024|:DN Lớp 1||0.3</t>
  </si>
  <si>
    <t>26/09/2024|:2000</t>
  </si>
  <si>
    <t>120+320|:25/10/2024|:DN Lớp 5||0.27</t>
  </si>
  <si>
    <t>NgayLD|:26/09/2024&lt;|&gt;CDMoc|:884&lt;|&gt;CDBanTrai|:-880&lt;|&gt;CDBanTim|:-900&lt;|&gt;CDBanPhai|:-400&lt;|&gt;CDNen|:-0.9</t>
  </si>
  <si>
    <t>12/10/2024|:DN Lớp 8||0.3&lt;|&gt;16/10/2024|:DN Lớp 7||0.3&lt;|&gt;21/10/2024|:DN Lớp 6||0.3&lt;|&gt;25/10/2024|:DN Lớp 5||0.3&lt;|&gt;30/10/2024|:DN Lớp 4||0.3&lt;|&gt;04/11/2024|:DN Lớp 3||0.3&lt;|&gt;26/11/2024|:DN Lớp 2||0.3&lt;|&gt;30/11/2024|:DN Lớp 1||0.3</t>
  </si>
  <si>
    <t>120+420|:12/10/2024|:DN Lớp 8||0.3</t>
  </si>
  <si>
    <t>NgayLD|:26/09/2024&lt;|&gt;CDMoc|:884&lt;|&gt;CDBanTrai|:-220&lt;|&gt;CDBanTim|:-230&lt;|&gt;CDBanPhai|:-230&lt;|&gt;CDNen|:-0.23</t>
  </si>
  <si>
    <t>16/10/2024|:DN Lớp 7||0.13&lt;|&gt;21/10/2024|:DN Lớp 6||0.3&lt;|&gt;25/10/2024|:DN Lớp 5||0.3&lt;|&gt;30/10/2024|:DN Lớp 4||0.3&lt;|&gt;04/11/2024|:DN Lớp 3||0.3&lt;|&gt;26/11/2024|:DN Lớp 2||0.3&lt;|&gt;30/11/2024|:DN Lớp 1||0.3</t>
  </si>
  <si>
    <t>120+520 |:16/10/2024|:DN Lớp 7||0.13</t>
  </si>
  <si>
    <t>NgayLD|:30/11/2024&lt;|&gt;CDMoc|:884&lt;|&gt;CDBanTrai|:-160&lt;|&gt;CDBanTim|:-200&lt;|&gt;CDBanPhai|:-180&lt;|&gt;CDNen|:-0.2</t>
  </si>
  <si>
    <t>04/12/2024|:DN Lớp 10||0&lt;|&gt;08/12/2024|:DN Lớp 9||0&lt;|&gt;13/12/2024|:DN Lớp 8||0.3&lt;|&gt;17/12/2024|:DN Lớp 7||0.3&lt;|&gt;21/12/2024|:DN Lớp 6||0.3&lt;|&gt;26/12/2024|:DN Lớp 5||0.3&lt;|&gt;30/12/2024|:DN Lớp 4||0.3&lt;|&gt;04/01/2025|:DN Lớp 3||0.3&lt;|&gt;08/01/2025|:DN Lớp 2||0.3&lt;|&gt;12/01/2025|:DN Lớp 1||0.3</t>
  </si>
  <si>
    <t>30/11/2024|:2000</t>
  </si>
  <si>
    <t>120+620  |:04/12/2024|:DN Lớp 10||0</t>
  </si>
  <si>
    <t>KM0+100&lt;|&gt;HD XL01&lt;|&gt;L03</t>
  </si>
  <si>
    <t>KM0+100</t>
  </si>
  <si>
    <t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</t>
  </si>
  <si>
    <t>NgayKT|:17/06/2025&lt;|&gt;CDBanTrai|:-548&lt;|&gt;CDBanTim|:-838&lt;|&gt;CDBanPhai|:-743</t>
  </si>
  <si>
    <t>NgayKT|:17/06/2025&lt;|&gt;CDBanTrai|:-726&lt;|&gt;CDBanTim|:-1048&lt;|&gt;CDBanPhai|:-1281</t>
  </si>
  <si>
    <t>NgayKT|:17/06/2025&lt;|&gt;CDBanTrai|:-668&lt;|&gt;CDBanTim|:-1178&lt;|&gt;CDBanPhai|:-1058</t>
  </si>
  <si>
    <t>NgayKT|:24/03/2025&lt;|&gt;CDBanTrai|:-1066&lt;|&gt;CDBanTim|:-1138&lt;|&gt;CDBanPhai|:-901</t>
  </si>
  <si>
    <t>NgayKT|:24/03/2025&lt;|&gt;CDBanTrai|:-780&lt;|&gt;CDBanTim|:-1142&lt;|&gt;CDBanPhai|:-999</t>
  </si>
  <si>
    <t>NgayKT|:24/03/2025&lt;|&gt;CDBanTrai|:-980&lt;|&gt;CDBanTim|:-1150&lt;|&gt;CDBanPhai|:-650</t>
  </si>
  <si>
    <t>NgayKT|:04/03/2025&lt;|&gt;CDBanTrai|:-630&lt;|&gt;CDBanTim|:-640&lt;|&gt;CDBanPhai|:-690</t>
  </si>
  <si>
    <t>NgayKT|:04/03/2025&lt;|&gt;CDBanTrai|:-1098&lt;|&gt;CDBanTim|:-795&lt;|&gt;CDBanPhai|:-1132</t>
  </si>
  <si>
    <t>NgayKT|:27/02/2025&lt;|&gt;CDBanTrai|:-1194&lt;|&gt;CDBanTim|:-1190&lt;|&gt;CDBanPhai|:-1590</t>
  </si>
  <si>
    <t>NgayKT|:27/02/2025&lt;|&gt;CDBanTrai|:-1010&lt;|&gt;CDBanTim|:-961&lt;|&gt;CDBanPhai|:-704</t>
  </si>
  <si>
    <t>NgayKT|:27/02/2025&lt;|&gt;CDBanTrai|:-917&lt;|&gt;CDBanTim|:-758&lt;|&gt;CDBanPhai|:-572</t>
  </si>
  <si>
    <t>NgayKT|:25/12/2024&lt;|&gt;CDBanTrai|:-756&lt;|&gt;CDBanTim|:-746&lt;|&gt;CDBanPhai|:-1436</t>
  </si>
  <si>
    <t>NgayKT|:25/12/2024&lt;|&gt;CDBanTrai|:-1753&lt;|&gt;CDBanTim|:-956&lt;|&gt;CDBanPhai|:-1107</t>
  </si>
  <si>
    <t>NgayKT|:20/07/2025&lt;|&gt;CDBanTrai|:-1208&lt;|&gt;CDBanTim|:-1188&lt;|&gt;CDBanPhai|:-1127</t>
  </si>
  <si>
    <t>NgayKT|:17/03/2025&lt;|&gt;CDBanTrai|:-1898&lt;|&gt;CDBanTim|:-1658&lt;|&gt;CDBanPhai|:-1155</t>
  </si>
  <si>
    <t>NgayKT|:17/03/2025&lt;|&gt;CDBanTrai|:-1220&lt;|&gt;CDBanTim|:-1225&lt;|&gt;CDBanPhai|:-1067</t>
  </si>
  <si>
    <t>NgayKT|:13/05/2025&lt;|&gt;CDBanTrai|:-758&lt;|&gt;CDBanTim|:-870&lt;|&gt;CDBanPhai|:-773</t>
  </si>
  <si>
    <t>NgayKT|:13/05/2025&lt;|&gt;CDBanTrai|:-1063&lt;|&gt;CDBanTim|:-1353&lt;|&gt;CDBanPhai|:-1350</t>
  </si>
  <si>
    <t>NgayKT|:13/05/2025&lt;|&gt;CDBanTrai|:-770&lt;|&gt;CDBanTim|:-1001&lt;|&gt;CDBanPhai|:-1368</t>
  </si>
  <si>
    <t>NgayKT|:20/05/2025&lt;|&gt;CDBanTrai|:-477&lt;|&gt;CDBanTim|:-1004&lt;|&gt;CDBanPhai|:-578</t>
  </si>
  <si>
    <t>NgayKT|:20/05/2025&lt;|&gt;CDBanTrai|:-723&lt;|&gt;CDBanTim|:-1315&lt;|&gt;CDBanPhai|:-1792</t>
  </si>
  <si>
    <t>NgayKT|:20/05/2025&lt;|&gt;CDBanTrai|:-778&lt;|&gt;CDBanTim|:-1093&lt;|&gt;CDBanPhai|:-468</t>
  </si>
  <si>
    <t>NgayKT|:20/05/2025&lt;|&gt;CDBanTrai|:-413&lt;|&gt;CDBanTim|:-683&lt;|&gt;CDBanPhai|:-390</t>
  </si>
  <si>
    <t>NgayKT|:05/06/2025&lt;|&gt;CDBanTrai|:-1793&lt;|&gt;CDBanTim|:-1297&lt;|&gt;CDBanPhai|:-1352</t>
  </si>
  <si>
    <t>NgayKT|:05/06/2025&lt;|&gt;CDBanTrai|:-649&lt;|&gt;CDBanTim|:-609&lt;|&gt;CDBanPhai|:-625</t>
  </si>
  <si>
    <t>NgayKT|:05/06/2025&lt;|&gt;CDBanTrai|:-818&lt;|&gt;CDBanTim|:-527&lt;|&gt;CDBanPhai|:-535</t>
  </si>
  <si>
    <t>NgayKT|:10/06/2025&lt;|&gt;CDBanTrai|:-616&lt;|&gt;CDBanTim|:-1165&lt;|&gt;CDBanPhai|:-909</t>
  </si>
  <si>
    <t>NgayKT|:10/06/2025&lt;|&gt;CDBanTrai|:-204&lt;|&gt;CDBanTim|:-310&lt;|&gt;CDBanPhai|:-417</t>
  </si>
  <si>
    <t>NgayKT|:25/07/2025&lt;|&gt;CDBanTrai|:-559&lt;|&gt;CDBanTim|:-619&lt;|&gt;CDBanPhai|:-449</t>
  </si>
  <si>
    <t>&lt;|&gt;09/06/2025|:VCM||0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</si>
  <si>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1||0.2&lt;|&gt;10/06/2025|:VCM||0</t>
  </si>
  <si>
    <t>Trai|:-1569&lt;|&gt;Tim|:-1412&lt;|&gt;Phai|:-1163</t>
  </si>
  <si>
    <t>NgayKT|:05/08/2025&lt;|&gt;CDBanTrai|:-1593&lt;|&gt;CDBanTim|:-1412&lt;|&gt;CDBanPhai|:-1163</t>
  </si>
  <si>
    <t>Trai|:-1193&lt;|&gt;Tim|:-910&lt;|&gt;Phai|:-851</t>
  </si>
  <si>
    <t>QTL-KM117+100</t>
  </si>
  <si>
    <t>QTL-KM117+200</t>
  </si>
  <si>
    <t>NgayKT|:10/06/2025&lt;|&gt;CDBanTrai|:-1193&lt;|&gt;CDBanTim|:-910&lt;|&gt;CDBanPhai|:-851</t>
  </si>
  <si>
    <t>QTL-KM117+300</t>
  </si>
  <si>
    <t>QTL-KM117+400</t>
  </si>
  <si>
    <t>QTL-KM117+500</t>
  </si>
  <si>
    <t>QTL-KM117+600</t>
  </si>
  <si>
    <t>QTL-KM117+800</t>
  </si>
  <si>
    <t>QTL-KM117+900</t>
  </si>
  <si>
    <t>QTL-KM118+00</t>
  </si>
  <si>
    <t>QTL-KM118+100</t>
  </si>
  <si>
    <t>QTL -KM118+200</t>
  </si>
  <si>
    <t>QTL-KM118+300</t>
  </si>
  <si>
    <t>QTL-KM118+340</t>
  </si>
  <si>
    <t>QTL- Km118+410</t>
  </si>
  <si>
    <t>QTLKm118+495</t>
  </si>
  <si>
    <t>QTL-KM118+790</t>
  </si>
  <si>
    <t>QTL-Km118+890,00</t>
  </si>
  <si>
    <t>QTL-Km118+990,00</t>
  </si>
  <si>
    <t>QTL-Km119+090</t>
  </si>
  <si>
    <t>QTL-Km119+150</t>
  </si>
  <si>
    <t>QTC-Km119+220</t>
  </si>
  <si>
    <t>QTL-Km199+680</t>
  </si>
  <si>
    <t>QTL-km119+780</t>
  </si>
  <si>
    <t>QTL-KM119+880</t>
  </si>
  <si>
    <t>QTL-KM119+980</t>
  </si>
  <si>
    <t>QTL-KM120+020</t>
  </si>
  <si>
    <t>QTL-KM120+120</t>
  </si>
  <si>
    <t>QTL-KM120+220</t>
  </si>
  <si>
    <t>VCMTrai|:237&lt;|&gt;VCMTim|:265&lt;|&gt;VCMPhai|:263</t>
  </si>
  <si>
    <t>VCMTrai|:376&lt;|&gt;VCMTim|:393&lt;|&gt;VCMPhai|:394</t>
  </si>
  <si>
    <t>VCMTrai|:264&lt;|&gt;VCMTim|:280&lt;|&gt;VCMPhai|:272</t>
  </si>
  <si>
    <t>VCMTrai|:231&lt;|&gt;VCMTim|:268&lt;|&gt;VCMPhai|:263</t>
  </si>
  <si>
    <t>VCMTrai|:358&lt;|&gt;VCMTim|:417&lt;|&gt;VCMPhai|:393</t>
  </si>
  <si>
    <t>VCMTrai|:369&lt;|&gt;VCMTim|:377&lt;|&gt;VCMPhai|:375</t>
  </si>
  <si>
    <t>QTL-KM117+700</t>
  </si>
  <si>
    <t>VCMTrai|:371&lt;|&gt;VCMTim|:435&lt;|&gt;VCMPhai|:377</t>
  </si>
  <si>
    <t>VCMTrai|:420&lt;|&gt;VCMTim|:473&lt;|&gt;VCMPhai|:455</t>
  </si>
  <si>
    <t>VCMTrai|:427&lt;|&gt;VCMTim|:492&lt;|&gt;VCMPhai|:462</t>
  </si>
  <si>
    <t>VCMTrai|:398&lt;|&gt;VCMTim|:485&lt;|&gt;VCMPhai|:428</t>
  </si>
  <si>
    <t>VCMTrai|:413&lt;|&gt;VCMTim|:431&lt;|&gt;VCMPhai|:451</t>
  </si>
  <si>
    <t>VCMTrai|:658&lt;|&gt;VCMTim|:663&lt;|&gt;VCMPhai|:660</t>
  </si>
  <si>
    <t>VCMTrai|:737&lt;|&gt;VCMTim|:745&lt;|&gt;VCMPhai|:739</t>
  </si>
  <si>
    <t>VCMTrai|:755&lt;|&gt;VCMTim|:780&lt;|&gt;VCMPhai|:760</t>
  </si>
  <si>
    <t>VCMTrai|:944&lt;|&gt;VCMTim|:949&lt;|&gt;VCMPhai|:949</t>
  </si>
  <si>
    <t>VCMTrai|:682&lt;|&gt;VCMTim|:696&lt;|&gt;VCMPhai|:684</t>
  </si>
  <si>
    <t>VCMTrai|:274&lt;|&gt;VCMTim|:287&lt;|&gt;VCMPhai|:301</t>
  </si>
  <si>
    <t>VCMTrai|:1095&lt;|&gt;VCMTim|:1096&lt;|&gt;VCMPhai|:1097</t>
  </si>
  <si>
    <t>VCMTrai|:1166&lt;|&gt;VCMTim|:1169&lt;|&gt;VCMPhai|:1167</t>
  </si>
  <si>
    <t>VCMTrai|:860&lt;|&gt;VCMTim|:866&lt;|&gt;VCMPhai|:868</t>
  </si>
  <si>
    <t>VCMTrai|:1006&lt;|&gt;VCMTim|:1013&lt;|&gt;VCMPhai|:1012</t>
  </si>
  <si>
    <t>VCMTrai|:805&lt;|&gt;VCMTim|:842&lt;|&gt;VCMPhai|:809</t>
  </si>
  <si>
    <t>VCMTrai|:1173&lt;|&gt;VCMTim|:1178&lt;|&gt;VCMPhai|:1176</t>
  </si>
  <si>
    <t>VCMTrai|:779&lt;|&gt;VCMTim|:788&lt;|&gt;VCMPhai|:782</t>
  </si>
  <si>
    <t>VCMTrai|:1093&lt;|&gt;VCMTim|:1097&lt;|&gt;VCMPhai|:1097</t>
  </si>
  <si>
    <t>VCMTrai|:933&lt;|&gt;VCMTim|:938&lt;|&gt;VCMPhai|:939</t>
  </si>
  <si>
    <t>VCMTrai|:584&lt;|&gt;VCMTim|:602&lt;|&gt;VCMPhai|:594</t>
  </si>
  <si>
    <t>VCMTrai|:550&lt;|&gt;VCMTim|:573&lt;|&gt;VCMPhai|:561</t>
  </si>
  <si>
    <t>VCMTrai|:460&lt;|&gt;VCMTim|:469&lt;|&gt;VCMPhai|:462</t>
  </si>
  <si>
    <t>QTL-Km119+630</t>
  </si>
  <si>
    <t>VCMTrai|:1148&lt;|&gt;VCMTim|:1188&lt;|&gt;VCMPhai|:1150</t>
  </si>
  <si>
    <t>VCMTrai|:237&lt;|&gt;VCMTim|:297&lt;|&gt;VCMPhai|:202</t>
  </si>
  <si>
    <t>VCMTrai|:376&lt;|&gt;VCMTim|:502&lt;|&gt;VCMPhai|:312</t>
  </si>
  <si>
    <t>VCMTrai|:264&lt;|&gt;VCMTim|:386&lt;|&gt;VCMPhai|:219</t>
  </si>
  <si>
    <t>VCMTrai|:231&lt;|&gt;VCMTim|:426&lt;|&gt;VCMPhai|:254</t>
  </si>
  <si>
    <t>VCMTrai|:358&lt;|&gt;VCMTim|:446&lt;|&gt;VCMPhai|:270</t>
  </si>
  <si>
    <t>VCMTrai|:369&lt;|&gt;VCMTim|:487&lt;|&gt;VCMPhai|:301</t>
  </si>
  <si>
    <t>VCMTrai|:371&lt;|&gt;VCMTim|:464&lt;|&gt;VCMPhai|:336</t>
  </si>
  <si>
    <t>VCMTrai|:420&lt;|&gt;VCMTim|:505&lt;|&gt;VCMPhai|:375</t>
  </si>
  <si>
    <t>VCMTrai|:427&lt;|&gt;VCMTim|:525&lt;|&gt;VCMPhai|:403</t>
  </si>
  <si>
    <t>VCMTrai|:398&lt;|&gt;VCMTim|:548&lt;|&gt;VCMPhai|:361</t>
  </si>
  <si>
    <t>VCMTrai|:413&lt;|&gt;VCMTim|:564&lt;|&gt;VCMPhai|:366</t>
  </si>
  <si>
    <t>VCMTrai|:658&lt;|&gt;VCMTim|:879&lt;|&gt;VCMPhai|:602</t>
  </si>
  <si>
    <t>VCMTrai|:737&lt;|&gt;VCMTim|:887&lt;|&gt;VCMPhai|:650</t>
  </si>
  <si>
    <t>VCMTrai|:755&lt;|&gt;VCMTim|:905&lt;|&gt;VCMPhai|:675</t>
  </si>
  <si>
    <t>VCMTrai|:924&lt;|&gt;VCMTim|:1165&lt;|&gt;VCMPhai|:793</t>
  </si>
  <si>
    <t>VCMTrai|:676&lt;|&gt;VCMTim|:784&lt;|&gt;VCMPhai|:604</t>
  </si>
  <si>
    <t>VCMTrai|:274&lt;|&gt;VCMTim|:244&lt;|&gt;VCMPhai|:170</t>
  </si>
  <si>
    <t>VCMTrai|:1095&lt;|&gt;VCMTim|:1326&lt;|&gt;VCMPhai|:1074</t>
  </si>
  <si>
    <t>VCMTrai|:1106&lt;|&gt;VCMTim|:1226&lt;|&gt;VCMPhai|:912</t>
  </si>
  <si>
    <t>VCMTrai|:860&lt;|&gt;VCMTim|:1008&lt;|&gt;VCMPhai|:754</t>
  </si>
  <si>
    <t>VCMTrai|:992&lt;|&gt;VCMTim|:1086&lt;|&gt;VCMPhai|:1023</t>
  </si>
  <si>
    <t>VCMTrai|:805&lt;|&gt;VCMTim|:872&lt;|&gt;VCMPhai|:742</t>
  </si>
  <si>
    <t>VCMTrai|:1148&lt;|&gt;VCMTim|:1403&lt;|&gt;VCMPhai|:999</t>
  </si>
  <si>
    <t>VCMTrai|:1173&lt;|&gt;VCMTim|:1203&lt;|&gt;VCMPhai|:898</t>
  </si>
  <si>
    <t>VCMTrai|:779&lt;|&gt;VCMTim|:948&lt;|&gt;VCMPhai|:704</t>
  </si>
  <si>
    <t>VCMTrai|:903&lt;|&gt;VCMTim|:1030&lt;|&gt;VCMPhai|:744</t>
  </si>
  <si>
    <t>VCMTrai|:933&lt;|&gt;VCMTim|:1040&lt;|&gt;VCMPhai|:973</t>
  </si>
  <si>
    <t>VCMTrai|:584&lt;|&gt;VCMTim|:775&lt;|&gt;VCMPhai|:527</t>
  </si>
  <si>
    <t>VCMTrai|:550&lt;|&gt;VCMTim|:775&lt;|&gt;VCMPhai|:526</t>
  </si>
  <si>
    <t>VCMTrai|:460&lt;|&gt;VCMTim|:639&lt;|&gt;VCMPhai|:425</t>
  </si>
  <si>
    <t>NgayLD|:10/10/2024&lt;|&gt;CDMoc|:884&lt;|&gt;CDBanTrai|:-270&lt;|&gt;CDBanTim|:-450&lt;|&gt;CDBanPhai|:-250&lt;|&gt;CDNen|:-0.2</t>
  </si>
  <si>
    <t>10/10/2024|:2000</t>
  </si>
  <si>
    <t>121+680|:13/04/2025|:DN Lớp 6||0.3</t>
  </si>
  <si>
    <t>13/04/2025</t>
  </si>
  <si>
    <t>14/04/2025</t>
  </si>
  <si>
    <t>15/04/2025</t>
  </si>
  <si>
    <t>16/04/2025</t>
  </si>
  <si>
    <t>17/04/2025</t>
  </si>
  <si>
    <t>18/04/2025</t>
  </si>
  <si>
    <t>19/04/2025</t>
  </si>
  <si>
    <t>20/04/2025</t>
  </si>
  <si>
    <t>21/04/2025</t>
  </si>
  <si>
    <t>23/04/2025</t>
  </si>
  <si>
    <t>24/04/2025</t>
  </si>
  <si>
    <t>13/05/2025</t>
  </si>
  <si>
    <t>14/05/2025</t>
  </si>
  <si>
    <t>15/08/2025</t>
  </si>
  <si>
    <t>11/06/2025</t>
  </si>
  <si>
    <t>NgayKT|:11/06/2025&lt;|&gt;CDBanTrai|:-1360&lt;|&gt;CDBanTim|:-1386&lt;|&gt;CDBanPhai|:-958</t>
  </si>
  <si>
    <t>VCMTrai|:502&lt;|&gt;VCMTim|:629&lt;|&gt;VCMPhai|:441</t>
  </si>
  <si>
    <t>13/04/2025|:DN Lớp 6||0.3&lt;|&gt;15/04/2025|:DN Lớp 5||0.3&lt;|&gt;17/04/2025|:DN Lớp 4||0.3&lt;|&gt;19/04/2025|:DN Lớp 3||0.3&lt;|&gt;21/04/2025|:DN Lớp 2||0.3&lt;|&gt;24/04/2025|:DN Lớp 1||0.3&lt;|&gt;15/05/2025|:VCM||0</t>
  </si>
  <si>
    <t>17/7/2025</t>
  </si>
  <si>
    <t>27/7/2025</t>
  </si>
  <si>
    <t>15/8/2025</t>
  </si>
  <si>
    <t>18/06/2025</t>
  </si>
  <si>
    <t>25/06/2025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</si>
</sst>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dd/mm/yyyy"/>
  </numFmts>
  <fonts count="7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/>
    <xf numFmtId="0" fontId="1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3" borderId="0" xfId="0" applyFont="1" applyFill="1"/>
    <xf numFmtId="0" fontId="0" fillId="2" borderId="0" xfId="0" applyFill="1"/>
    <xf numFmtId="0" fontId="0" fillId="4" borderId="0" xfId="0" applyFill="1"/>
    <xf numFmtId="0" fontId="2" fillId="2" borderId="0" xfId="0" applyFont="1" applyFill="1"/>
    <xf numFmtId="0" fontId="3" fillId="0" borderId="0" xfId="0" applyFont="1" applyFill="1"/>
    <xf numFmtId="0" fontId="3" fillId="0" borderId="0" xfId="0" applyFont="1"/>
    <xf numFmtId="49" fontId="2" fillId="0" borderId="0" xfId="0" applyNumberFormat="1" applyFont="1" applyFill="1"/>
    <xf numFmtId="49" fontId="0" fillId="0" borderId="0" xfId="0" applyNumberFormat="1"/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0" fillId="5" borderId="0" xfId="0" applyFill="1"/>
    <xf numFmtId="0" fontId="2" fillId="5" borderId="0" xfId="0" applyFont="1" applyFill="1"/>
    <xf numFmtId="0" fontId="0" fillId="0" borderId="0" xfId="0" applyNumberFormat="1"/>
    <xf numFmtId="14" fontId="0" fillId="0" borderId="0" xfId="0" applyNumberFormat="1"/>
    <xf numFmtId="0" fontId="5" fillId="0" borderId="0" xfId="0" applyFont="1"/>
    <xf numFmtId="49" fontId="5" fillId="0" borderId="1" xfId="0" applyNumberFormat="1" applyFont="1" applyBorder="1"/>
    <xf numFmtId="0" fontId="5" fillId="0" borderId="1" xfId="0" applyFont="1" applyBorder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A4" sqref="A4"/>
    </sheetView>
  </sheetViews>
  <sheetFormatPr defaultRowHeight="15" x14ac:dyDescent="0.25"/>
  <cols>
    <col min="1" max="1" width="12" bestFit="1" customWidth="1"/>
    <col min="2" max="2" width="12.42578125" bestFit="1" customWidth="1"/>
    <col min="3" max="3" width="10.28515625" bestFit="1" customWidth="1"/>
    <col min="4" max="4" width="18.28515625" customWidth="1"/>
    <col min="5" max="5" width="18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 t="s">
        <v>9</v>
      </c>
      <c r="B2" s="1" t="s">
        <v>116</v>
      </c>
      <c r="C2" s="1" t="s">
        <v>10</v>
      </c>
      <c r="D2" s="1" t="s">
        <v>11</v>
      </c>
      <c r="E2" s="1" t="s">
        <v>117</v>
      </c>
    </row>
    <row r="3" spans="1:5" x14ac:dyDescent="0.25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25">
      <c r="A4" s="1" t="s">
        <v>141</v>
      </c>
      <c r="B4" s="1" t="s">
        <v>142</v>
      </c>
      <c r="C4" s="1" t="s">
        <v>10</v>
      </c>
      <c r="D4" s="1" t="s">
        <v>143</v>
      </c>
      <c r="E4" s="1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4"/>
  <sheetViews>
    <sheetView workbookViewId="0">
      <selection activeCell="I9" sqref="I9"/>
    </sheetView>
  </sheetViews>
  <sheetFormatPr defaultRowHeight="15" x14ac:dyDescent="0.25"/>
  <cols>
    <col min="1" max="1" width="25" bestFit="1" customWidth="1"/>
    <col min="2" max="2" width="11.140625" bestFit="1" customWidth="1"/>
    <col min="3" max="3" width="12" bestFit="1" customWidth="1"/>
    <col min="4" max="4" width="11.7109375" bestFit="1" customWidth="1"/>
    <col min="5" max="5" width="16.7109375" bestFit="1" customWidth="1"/>
  </cols>
  <sheetData>
    <row r="1" spans="1:5" x14ac:dyDescent="0.25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25">
      <c r="A2" t="s">
        <v>18</v>
      </c>
      <c r="B2" t="s">
        <v>19</v>
      </c>
      <c r="C2" t="s">
        <v>9</v>
      </c>
      <c r="D2" t="s">
        <v>17</v>
      </c>
    </row>
    <row r="3" spans="1:5" x14ac:dyDescent="0.25">
      <c r="A3" t="s">
        <v>146</v>
      </c>
      <c r="B3" t="s">
        <v>145</v>
      </c>
      <c r="C3" t="s">
        <v>141</v>
      </c>
      <c r="D3" t="s">
        <v>17</v>
      </c>
    </row>
    <row r="4" spans="1:5" x14ac:dyDescent="0.25">
      <c r="A4" t="s">
        <v>303</v>
      </c>
      <c r="B4" t="s">
        <v>304</v>
      </c>
      <c r="C4" t="s">
        <v>9</v>
      </c>
      <c r="D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J73"/>
  <sheetViews>
    <sheetView topLeftCell="A40" zoomScale="85" zoomScaleNormal="85" workbookViewId="0">
      <selection activeCell="B62" sqref="B62"/>
    </sheetView>
  </sheetViews>
  <sheetFormatPr defaultColWidth="9.140625" defaultRowHeight="15" x14ac:dyDescent="0.25"/>
  <cols>
    <col min="1" max="1" width="104.5703125" style="3" bestFit="1" customWidth="1"/>
    <col min="2" max="2" width="180.85546875" style="3" customWidth="1"/>
    <col min="3" max="3" width="74.28515625" style="3" customWidth="1"/>
    <col min="4" max="4" width="109.42578125" style="3" bestFit="1" customWidth="1"/>
    <col min="5" max="5" width="44.140625" style="3" customWidth="1"/>
    <col min="6" max="6" width="31.140625" style="3" customWidth="1"/>
    <col min="7" max="7" width="255.7109375" style="3" bestFit="1" customWidth="1"/>
    <col min="8" max="16384" width="9.140625" style="3"/>
  </cols>
  <sheetData>
    <row r="1" spans="1:7" x14ac:dyDescent="0.25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7" x14ac:dyDescent="0.25">
      <c r="A2" s="3" t="s">
        <v>25</v>
      </c>
      <c r="B2" s="3" t="s">
        <v>26</v>
      </c>
      <c r="C2" s="3" t="s">
        <v>27</v>
      </c>
      <c r="D2" s="3" t="s">
        <v>118</v>
      </c>
      <c r="E2" s="3" t="s">
        <v>28</v>
      </c>
      <c r="F2" s="3" t="s">
        <v>164</v>
      </c>
      <c r="G2" s="3" t="s">
        <v>147</v>
      </c>
    </row>
    <row r="3" spans="1:7" x14ac:dyDescent="0.25">
      <c r="A3" s="3" t="s">
        <v>29</v>
      </c>
      <c r="B3" s="3" t="s">
        <v>30</v>
      </c>
      <c r="C3" s="3" t="s">
        <v>31</v>
      </c>
      <c r="D3" s="3" t="s">
        <v>119</v>
      </c>
      <c r="E3" s="3" t="s">
        <v>32</v>
      </c>
      <c r="F3" s="3" t="s">
        <v>165</v>
      </c>
      <c r="G3" s="3" t="s">
        <v>148</v>
      </c>
    </row>
    <row r="4" spans="1:7" x14ac:dyDescent="0.25">
      <c r="A4" s="3" t="s">
        <v>33</v>
      </c>
      <c r="B4" s="3" t="s">
        <v>34</v>
      </c>
      <c r="C4" s="3" t="s">
        <v>35</v>
      </c>
      <c r="D4" s="3" t="s">
        <v>120</v>
      </c>
      <c r="E4" s="3" t="s">
        <v>36</v>
      </c>
      <c r="F4" s="3" t="s">
        <v>166</v>
      </c>
      <c r="G4" s="3" t="s">
        <v>149</v>
      </c>
    </row>
    <row r="5" spans="1:7" x14ac:dyDescent="0.25">
      <c r="A5" s="3" t="s">
        <v>37</v>
      </c>
      <c r="B5" s="3" t="s">
        <v>38</v>
      </c>
      <c r="C5" s="3" t="s">
        <v>39</v>
      </c>
      <c r="D5" s="3" t="s">
        <v>121</v>
      </c>
      <c r="E5" s="3" t="s">
        <v>40</v>
      </c>
      <c r="F5" s="3" t="s">
        <v>167</v>
      </c>
      <c r="G5" s="3" t="s">
        <v>150</v>
      </c>
    </row>
    <row r="6" spans="1:7" x14ac:dyDescent="0.25">
      <c r="A6" s="3" t="s">
        <v>41</v>
      </c>
      <c r="B6" s="3" t="s">
        <v>42</v>
      </c>
      <c r="C6" s="3" t="s">
        <v>43</v>
      </c>
      <c r="D6" s="3" t="s">
        <v>122</v>
      </c>
      <c r="E6" s="3" t="s">
        <v>44</v>
      </c>
      <c r="F6" s="3" t="s">
        <v>168</v>
      </c>
      <c r="G6" s="3" t="s">
        <v>151</v>
      </c>
    </row>
    <row r="7" spans="1:7" x14ac:dyDescent="0.25">
      <c r="A7" s="3" t="s">
        <v>45</v>
      </c>
      <c r="B7" s="3" t="s">
        <v>46</v>
      </c>
      <c r="C7" s="3" t="s">
        <v>47</v>
      </c>
      <c r="D7" s="3" t="s">
        <v>123</v>
      </c>
      <c r="E7" s="3" t="s">
        <v>48</v>
      </c>
      <c r="F7" s="3" t="s">
        <v>169</v>
      </c>
      <c r="G7" s="3" t="s">
        <v>152</v>
      </c>
    </row>
    <row r="8" spans="1:7" x14ac:dyDescent="0.25">
      <c r="A8" s="3" t="s">
        <v>49</v>
      </c>
      <c r="B8" s="3" t="s">
        <v>50</v>
      </c>
      <c r="C8" s="3" t="s">
        <v>51</v>
      </c>
      <c r="D8" s="3" t="s">
        <v>124</v>
      </c>
      <c r="E8" s="3" t="s">
        <v>52</v>
      </c>
      <c r="F8" s="3" t="s">
        <v>170</v>
      </c>
      <c r="G8" s="3" t="s">
        <v>153</v>
      </c>
    </row>
    <row r="9" spans="1:7" x14ac:dyDescent="0.25">
      <c r="A9" s="3" t="s">
        <v>53</v>
      </c>
      <c r="B9" s="3" t="s">
        <v>54</v>
      </c>
      <c r="C9" s="3" t="s">
        <v>55</v>
      </c>
      <c r="D9" s="3" t="s">
        <v>125</v>
      </c>
      <c r="E9" s="3" t="s">
        <v>56</v>
      </c>
      <c r="F9" s="3" t="s">
        <v>171</v>
      </c>
      <c r="G9" s="3" t="s">
        <v>154</v>
      </c>
    </row>
    <row r="10" spans="1:7" x14ac:dyDescent="0.25">
      <c r="A10" s="3" t="s">
        <v>57</v>
      </c>
      <c r="B10" s="3" t="s">
        <v>58</v>
      </c>
      <c r="C10" s="3" t="s">
        <v>59</v>
      </c>
      <c r="D10" s="3" t="s">
        <v>126</v>
      </c>
      <c r="E10" s="3" t="s">
        <v>60</v>
      </c>
      <c r="F10" s="3" t="s">
        <v>172</v>
      </c>
      <c r="G10" s="3" t="s">
        <v>154</v>
      </c>
    </row>
    <row r="11" spans="1:7" x14ac:dyDescent="0.25">
      <c r="A11" s="3" t="s">
        <v>61</v>
      </c>
      <c r="B11" s="3" t="s">
        <v>62</v>
      </c>
      <c r="C11" s="3" t="s">
        <v>63</v>
      </c>
      <c r="D11" s="3" t="s">
        <v>127</v>
      </c>
      <c r="E11" s="3" t="s">
        <v>64</v>
      </c>
      <c r="F11" s="3" t="s">
        <v>173</v>
      </c>
      <c r="G11" s="3" t="s">
        <v>155</v>
      </c>
    </row>
    <row r="12" spans="1:7" x14ac:dyDescent="0.25">
      <c r="A12" s="3" t="s">
        <v>65</v>
      </c>
      <c r="B12" s="3" t="s">
        <v>66</v>
      </c>
      <c r="C12" s="3" t="s">
        <v>67</v>
      </c>
      <c r="D12" s="3" t="s">
        <v>128</v>
      </c>
      <c r="E12" s="3" t="s">
        <v>68</v>
      </c>
      <c r="F12" s="3" t="s">
        <v>174</v>
      </c>
      <c r="G12" s="3" t="s">
        <v>155</v>
      </c>
    </row>
    <row r="13" spans="1:7" x14ac:dyDescent="0.25">
      <c r="A13" s="3" t="s">
        <v>69</v>
      </c>
      <c r="B13" s="3" t="s">
        <v>70</v>
      </c>
      <c r="C13" s="3" t="s">
        <v>71</v>
      </c>
      <c r="D13" s="3" t="s">
        <v>129</v>
      </c>
      <c r="E13" s="3" t="s">
        <v>72</v>
      </c>
      <c r="F13" s="3" t="s">
        <v>175</v>
      </c>
      <c r="G13" s="3" t="s">
        <v>156</v>
      </c>
    </row>
    <row r="14" spans="1:7" x14ac:dyDescent="0.25">
      <c r="A14" s="3" t="s">
        <v>73</v>
      </c>
      <c r="B14" s="3" t="s">
        <v>74</v>
      </c>
      <c r="C14" s="3" t="s">
        <v>75</v>
      </c>
      <c r="D14" s="3" t="s">
        <v>130</v>
      </c>
      <c r="E14" s="3" t="s">
        <v>76</v>
      </c>
      <c r="F14" s="3" t="s">
        <v>176</v>
      </c>
      <c r="G14" s="3" t="s">
        <v>157</v>
      </c>
    </row>
    <row r="15" spans="1:7" x14ac:dyDescent="0.25">
      <c r="A15" s="3" t="s">
        <v>77</v>
      </c>
      <c r="B15" s="3" t="s">
        <v>78</v>
      </c>
      <c r="C15" s="3" t="s">
        <v>79</v>
      </c>
      <c r="D15" s="3" t="s">
        <v>131</v>
      </c>
      <c r="E15" s="3" t="s">
        <v>80</v>
      </c>
      <c r="F15" s="3" t="s">
        <v>177</v>
      </c>
      <c r="G15" s="3" t="s">
        <v>157</v>
      </c>
    </row>
    <row r="16" spans="1:7" x14ac:dyDescent="0.25">
      <c r="A16" s="3" t="s">
        <v>81</v>
      </c>
      <c r="B16" s="3" t="s">
        <v>82</v>
      </c>
      <c r="C16" s="3" t="s">
        <v>83</v>
      </c>
      <c r="D16" s="3" t="s">
        <v>132</v>
      </c>
      <c r="E16" s="3" t="s">
        <v>84</v>
      </c>
      <c r="F16" s="3" t="s">
        <v>178</v>
      </c>
      <c r="G16" s="3" t="s">
        <v>158</v>
      </c>
    </row>
    <row r="17" spans="1:10" x14ac:dyDescent="0.25">
      <c r="A17" s="3" t="s">
        <v>85</v>
      </c>
      <c r="B17" s="3" t="s">
        <v>86</v>
      </c>
      <c r="C17" s="3" t="s">
        <v>87</v>
      </c>
      <c r="D17" s="3" t="s">
        <v>133</v>
      </c>
      <c r="E17" s="3" t="s">
        <v>88</v>
      </c>
      <c r="F17" s="3" t="s">
        <v>179</v>
      </c>
      <c r="G17" s="3" t="s">
        <v>159</v>
      </c>
    </row>
    <row r="18" spans="1:10" x14ac:dyDescent="0.25">
      <c r="A18" s="3" t="s">
        <v>89</v>
      </c>
      <c r="B18" s="3" t="s">
        <v>90</v>
      </c>
      <c r="C18" s="3" t="s">
        <v>91</v>
      </c>
      <c r="D18" s="3" t="s">
        <v>134</v>
      </c>
      <c r="E18" s="3" t="s">
        <v>92</v>
      </c>
      <c r="F18" s="3" t="s">
        <v>180</v>
      </c>
      <c r="G18" s="3" t="s">
        <v>160</v>
      </c>
    </row>
    <row r="19" spans="1:10" x14ac:dyDescent="0.25">
      <c r="A19" s="3" t="s">
        <v>93</v>
      </c>
      <c r="B19" s="3" t="s">
        <v>94</v>
      </c>
      <c r="C19" s="3" t="s">
        <v>95</v>
      </c>
      <c r="D19" s="3" t="s">
        <v>135</v>
      </c>
      <c r="E19" s="3" t="s">
        <v>96</v>
      </c>
      <c r="F19" s="3" t="s">
        <v>181</v>
      </c>
      <c r="G19" s="3" t="s">
        <v>161</v>
      </c>
    </row>
    <row r="20" spans="1:10" x14ac:dyDescent="0.25">
      <c r="A20" s="3" t="s">
        <v>97</v>
      </c>
      <c r="B20" s="3" t="s">
        <v>98</v>
      </c>
      <c r="C20" s="3" t="s">
        <v>99</v>
      </c>
      <c r="D20" s="3" t="s">
        <v>136</v>
      </c>
      <c r="E20" s="3" t="s">
        <v>100</v>
      </c>
      <c r="F20" s="3" t="s">
        <v>182</v>
      </c>
      <c r="G20" s="3" t="s">
        <v>161</v>
      </c>
    </row>
    <row r="21" spans="1:10" x14ac:dyDescent="0.25">
      <c r="A21" s="3" t="s">
        <v>101</v>
      </c>
      <c r="B21" s="3" t="s">
        <v>102</v>
      </c>
      <c r="C21" s="3" t="s">
        <v>103</v>
      </c>
      <c r="D21" s="3" t="s">
        <v>137</v>
      </c>
      <c r="E21" s="3" t="s">
        <v>104</v>
      </c>
      <c r="F21" s="3" t="s">
        <v>183</v>
      </c>
      <c r="G21" s="3" t="s">
        <v>161</v>
      </c>
    </row>
    <row r="22" spans="1:10" x14ac:dyDescent="0.25">
      <c r="A22" s="3" t="s">
        <v>105</v>
      </c>
      <c r="B22" s="3" t="s">
        <v>106</v>
      </c>
      <c r="C22" s="3" t="s">
        <v>107</v>
      </c>
      <c r="D22" s="3" t="s">
        <v>138</v>
      </c>
      <c r="E22" s="3" t="s">
        <v>108</v>
      </c>
      <c r="F22" s="3" t="s">
        <v>184</v>
      </c>
      <c r="G22" s="3" t="s">
        <v>162</v>
      </c>
    </row>
    <row r="23" spans="1:10" x14ac:dyDescent="0.25">
      <c r="A23" s="3" t="s">
        <v>109</v>
      </c>
      <c r="B23" s="3" t="s">
        <v>110</v>
      </c>
      <c r="C23" s="3" t="s">
        <v>111</v>
      </c>
      <c r="D23" s="3" t="s">
        <v>139</v>
      </c>
      <c r="E23" s="3" t="s">
        <v>112</v>
      </c>
      <c r="F23" s="3" t="s">
        <v>185</v>
      </c>
      <c r="G23" s="3" t="s">
        <v>163</v>
      </c>
    </row>
    <row r="24" spans="1:10" s="4" customFormat="1" x14ac:dyDescent="0.25">
      <c r="A24" s="4" t="s">
        <v>113</v>
      </c>
      <c r="B24" s="4" t="s">
        <v>114</v>
      </c>
      <c r="D24" s="4" t="s">
        <v>140</v>
      </c>
      <c r="E24" s="4" t="s">
        <v>115</v>
      </c>
      <c r="F24" s="4" t="s">
        <v>186</v>
      </c>
      <c r="G24" s="4" t="s">
        <v>163</v>
      </c>
    </row>
    <row r="25" spans="1:10" x14ac:dyDescent="0.25">
      <c r="A25" s="3" t="s">
        <v>187</v>
      </c>
      <c r="B25" s="3" t="s">
        <v>188</v>
      </c>
      <c r="D25" s="3" t="s">
        <v>189</v>
      </c>
      <c r="E25" s="3" t="s">
        <v>190</v>
      </c>
    </row>
    <row r="26" spans="1:10" x14ac:dyDescent="0.25">
      <c r="A26" s="3" t="s">
        <v>191</v>
      </c>
      <c r="B26" s="3" t="s">
        <v>305</v>
      </c>
      <c r="C26" t="s">
        <v>334</v>
      </c>
      <c r="D26" s="3" t="s">
        <v>192</v>
      </c>
      <c r="E26" s="3" t="s">
        <v>193</v>
      </c>
      <c r="H26" t="s">
        <v>401</v>
      </c>
      <c r="I26"/>
      <c r="J26"/>
    </row>
    <row r="27" spans="1:10" s="8" customFormat="1" x14ac:dyDescent="0.25">
      <c r="A27" s="8" t="s">
        <v>194</v>
      </c>
      <c r="B27" s="8" t="s">
        <v>336</v>
      </c>
      <c r="C27" s="9" t="s">
        <v>338</v>
      </c>
      <c r="D27" s="8" t="s">
        <v>192</v>
      </c>
      <c r="E27" s="8" t="s">
        <v>195</v>
      </c>
      <c r="H27" t="s">
        <v>402</v>
      </c>
      <c r="I27" s="9"/>
      <c r="J27" s="9"/>
    </row>
    <row r="28" spans="1:10" x14ac:dyDescent="0.25">
      <c r="A28" s="3" t="s">
        <v>196</v>
      </c>
      <c r="B28" s="3" t="s">
        <v>197</v>
      </c>
      <c r="C28" t="s">
        <v>333</v>
      </c>
      <c r="D28" s="3" t="s">
        <v>192</v>
      </c>
      <c r="E28" s="3" t="s">
        <v>198</v>
      </c>
      <c r="H28" t="s">
        <v>403</v>
      </c>
      <c r="I28"/>
      <c r="J28"/>
    </row>
    <row r="29" spans="1:10" x14ac:dyDescent="0.25">
      <c r="A29" s="3" t="s">
        <v>199</v>
      </c>
      <c r="B29" s="3" t="s">
        <v>200</v>
      </c>
      <c r="C29" t="s">
        <v>332</v>
      </c>
      <c r="D29" s="3" t="s">
        <v>192</v>
      </c>
      <c r="E29" s="3" t="s">
        <v>201</v>
      </c>
      <c r="H29" t="s">
        <v>404</v>
      </c>
      <c r="I29"/>
      <c r="J29"/>
    </row>
    <row r="30" spans="1:10" x14ac:dyDescent="0.25">
      <c r="A30" s="3" t="s">
        <v>202</v>
      </c>
      <c r="B30" s="3" t="s">
        <v>203</v>
      </c>
      <c r="C30" t="s">
        <v>331</v>
      </c>
      <c r="D30" s="3" t="s">
        <v>204</v>
      </c>
      <c r="E30" s="3" t="s">
        <v>205</v>
      </c>
      <c r="H30" t="s">
        <v>405</v>
      </c>
      <c r="I30"/>
      <c r="J30"/>
    </row>
    <row r="31" spans="1:10" x14ac:dyDescent="0.25">
      <c r="A31" s="3" t="s">
        <v>206</v>
      </c>
      <c r="B31" s="3" t="s">
        <v>207</v>
      </c>
      <c r="C31" t="s">
        <v>330</v>
      </c>
      <c r="D31" s="3" t="s">
        <v>204</v>
      </c>
      <c r="E31" s="3" t="s">
        <v>208</v>
      </c>
      <c r="H31" t="s">
        <v>406</v>
      </c>
      <c r="I31"/>
      <c r="J31"/>
    </row>
    <row r="32" spans="1:10" x14ac:dyDescent="0.25">
      <c r="A32" s="3" t="s">
        <v>209</v>
      </c>
      <c r="B32" s="3" t="s">
        <v>210</v>
      </c>
      <c r="C32" t="s">
        <v>329</v>
      </c>
      <c r="D32" s="3" t="s">
        <v>204</v>
      </c>
      <c r="E32" s="3" t="s">
        <v>211</v>
      </c>
      <c r="H32" t="s">
        <v>407</v>
      </c>
      <c r="I32"/>
      <c r="J32"/>
    </row>
    <row r="33" spans="1:10" x14ac:dyDescent="0.25">
      <c r="A33" s="3" t="s">
        <v>212</v>
      </c>
      <c r="B33" s="3" t="s">
        <v>213</v>
      </c>
      <c r="C33" t="s">
        <v>328</v>
      </c>
      <c r="D33" s="3" t="s">
        <v>214</v>
      </c>
      <c r="E33" s="3" t="s">
        <v>215</v>
      </c>
      <c r="H33" t="s">
        <v>408</v>
      </c>
      <c r="I33"/>
      <c r="J33"/>
    </row>
    <row r="34" spans="1:10" x14ac:dyDescent="0.25">
      <c r="A34" s="3" t="s">
        <v>216</v>
      </c>
      <c r="B34" s="3" t="s">
        <v>217</v>
      </c>
      <c r="C34" t="s">
        <v>327</v>
      </c>
      <c r="D34" s="3" t="s">
        <v>214</v>
      </c>
      <c r="E34" s="3" t="s">
        <v>218</v>
      </c>
      <c r="H34" t="s">
        <v>409</v>
      </c>
      <c r="I34"/>
      <c r="J34"/>
    </row>
    <row r="35" spans="1:10" x14ac:dyDescent="0.25">
      <c r="A35" s="3" t="s">
        <v>219</v>
      </c>
      <c r="B35" s="3" t="s">
        <v>220</v>
      </c>
      <c r="C35" t="s">
        <v>326</v>
      </c>
      <c r="D35" s="3" t="s">
        <v>214</v>
      </c>
      <c r="E35" s="3" t="s">
        <v>221</v>
      </c>
      <c r="H35" t="s">
        <v>410</v>
      </c>
      <c r="I35"/>
      <c r="J35"/>
    </row>
    <row r="36" spans="1:10" x14ac:dyDescent="0.25">
      <c r="A36" s="3" t="s">
        <v>222</v>
      </c>
      <c r="B36" s="3" t="s">
        <v>223</v>
      </c>
      <c r="C36" t="s">
        <v>325</v>
      </c>
      <c r="D36" s="3" t="s">
        <v>214</v>
      </c>
      <c r="E36" s="3" t="s">
        <v>224</v>
      </c>
      <c r="H36" t="s">
        <v>411</v>
      </c>
      <c r="I36"/>
      <c r="J36"/>
    </row>
    <row r="37" spans="1:10" x14ac:dyDescent="0.25">
      <c r="A37" s="3" t="s">
        <v>225</v>
      </c>
      <c r="B37" s="3" t="s">
        <v>226</v>
      </c>
      <c r="C37" t="s">
        <v>324</v>
      </c>
      <c r="D37" s="3" t="s">
        <v>214</v>
      </c>
      <c r="E37" s="3" t="s">
        <v>227</v>
      </c>
      <c r="H37" t="s">
        <v>412</v>
      </c>
      <c r="I37"/>
      <c r="J37"/>
    </row>
    <row r="38" spans="1:10" x14ac:dyDescent="0.25">
      <c r="A38" s="3" t="s">
        <v>228</v>
      </c>
      <c r="B38" s="3" t="s">
        <v>229</v>
      </c>
      <c r="C38" t="s">
        <v>323</v>
      </c>
      <c r="D38" s="3" t="s">
        <v>214</v>
      </c>
      <c r="E38" s="3" t="s">
        <v>230</v>
      </c>
      <c r="H38" t="s">
        <v>413</v>
      </c>
      <c r="I38"/>
      <c r="J38"/>
    </row>
    <row r="39" spans="1:10" x14ac:dyDescent="0.25">
      <c r="A39" s="3" t="s">
        <v>231</v>
      </c>
      <c r="B39" s="3" t="s">
        <v>232</v>
      </c>
      <c r="C39" s="6" t="s">
        <v>322</v>
      </c>
      <c r="D39" s="3" t="s">
        <v>214</v>
      </c>
      <c r="E39" s="3" t="s">
        <v>233</v>
      </c>
      <c r="H39" t="s">
        <v>414</v>
      </c>
      <c r="I39"/>
      <c r="J39"/>
    </row>
    <row r="40" spans="1:10" x14ac:dyDescent="0.25">
      <c r="A40" s="3" t="s">
        <v>234</v>
      </c>
      <c r="B40" s="3" t="s">
        <v>235</v>
      </c>
      <c r="C40" t="s">
        <v>321</v>
      </c>
      <c r="D40" s="3" t="s">
        <v>236</v>
      </c>
      <c r="E40" s="3" t="s">
        <v>237</v>
      </c>
      <c r="H40" t="s">
        <v>415</v>
      </c>
      <c r="I40"/>
      <c r="J40"/>
    </row>
    <row r="41" spans="1:10" x14ac:dyDescent="0.25">
      <c r="A41" s="3" t="s">
        <v>238</v>
      </c>
      <c r="B41" s="3" t="s">
        <v>239</v>
      </c>
      <c r="C41" t="s">
        <v>320</v>
      </c>
      <c r="D41" s="3" t="s">
        <v>240</v>
      </c>
      <c r="E41" s="3" t="s">
        <v>241</v>
      </c>
      <c r="H41" t="s">
        <v>416</v>
      </c>
      <c r="I41"/>
      <c r="J41"/>
    </row>
    <row r="42" spans="1:10" x14ac:dyDescent="0.25">
      <c r="A42" s="3" t="s">
        <v>246</v>
      </c>
      <c r="B42" s="3" t="s">
        <v>247</v>
      </c>
      <c r="C42" t="s">
        <v>319</v>
      </c>
      <c r="D42" s="3" t="s">
        <v>248</v>
      </c>
      <c r="E42" s="3" t="s">
        <v>249</v>
      </c>
      <c r="H42" t="s">
        <v>417</v>
      </c>
      <c r="I42"/>
      <c r="J42"/>
    </row>
    <row r="43" spans="1:10" x14ac:dyDescent="0.25">
      <c r="A43" s="3" t="s">
        <v>250</v>
      </c>
      <c r="B43" s="3" t="s">
        <v>251</v>
      </c>
      <c r="C43" s="5" t="s">
        <v>318</v>
      </c>
      <c r="D43" s="3" t="s">
        <v>252</v>
      </c>
      <c r="E43" s="3" t="s">
        <v>253</v>
      </c>
      <c r="H43" s="5" t="s">
        <v>418</v>
      </c>
      <c r="I43" s="5"/>
      <c r="J43" s="5"/>
    </row>
    <row r="44" spans="1:10" x14ac:dyDescent="0.25">
      <c r="A44" s="3" t="s">
        <v>254</v>
      </c>
      <c r="B44" s="3" t="s">
        <v>255</v>
      </c>
      <c r="C44" t="s">
        <v>317</v>
      </c>
      <c r="D44" s="3" t="s">
        <v>256</v>
      </c>
      <c r="E44" s="3" t="s">
        <v>257</v>
      </c>
      <c r="H44" t="s">
        <v>419</v>
      </c>
      <c r="I44"/>
      <c r="J44"/>
    </row>
    <row r="45" spans="1:10" x14ac:dyDescent="0.25">
      <c r="A45" s="3" t="s">
        <v>258</v>
      </c>
      <c r="B45" s="3" t="s">
        <v>259</v>
      </c>
      <c r="C45" t="s">
        <v>316</v>
      </c>
      <c r="D45" s="3" t="s">
        <v>260</v>
      </c>
      <c r="E45" s="3" t="s">
        <v>261</v>
      </c>
      <c r="H45" t="s">
        <v>420</v>
      </c>
      <c r="I45"/>
      <c r="J45"/>
    </row>
    <row r="46" spans="1:10" x14ac:dyDescent="0.25">
      <c r="A46" s="3" t="s">
        <v>262</v>
      </c>
      <c r="B46" s="3" t="s">
        <v>263</v>
      </c>
      <c r="C46" t="s">
        <v>315</v>
      </c>
      <c r="D46" s="3" t="s">
        <v>260</v>
      </c>
      <c r="E46" s="3" t="s">
        <v>264</v>
      </c>
      <c r="H46" t="s">
        <v>421</v>
      </c>
      <c r="I46"/>
      <c r="J46"/>
    </row>
    <row r="47" spans="1:10" x14ac:dyDescent="0.25">
      <c r="A47" s="3" t="s">
        <v>265</v>
      </c>
      <c r="B47" s="3" t="s">
        <v>266</v>
      </c>
      <c r="C47" t="s">
        <v>314</v>
      </c>
      <c r="D47" s="3" t="s">
        <v>267</v>
      </c>
      <c r="E47" s="3" t="s">
        <v>268</v>
      </c>
      <c r="H47" t="s">
        <v>422</v>
      </c>
      <c r="I47"/>
      <c r="J47"/>
    </row>
    <row r="48" spans="1:10" x14ac:dyDescent="0.25">
      <c r="A48" s="3" t="s">
        <v>199</v>
      </c>
      <c r="B48" s="3" t="s">
        <v>269</v>
      </c>
      <c r="C48" t="s">
        <v>313</v>
      </c>
      <c r="D48" s="3" t="s">
        <v>192</v>
      </c>
      <c r="E48" s="3" t="s">
        <v>270</v>
      </c>
      <c r="H48" t="s">
        <v>423</v>
      </c>
      <c r="I48"/>
      <c r="J48"/>
    </row>
    <row r="49" spans="1:10" x14ac:dyDescent="0.25">
      <c r="A49" s="3" t="s">
        <v>202</v>
      </c>
      <c r="B49" s="3" t="s">
        <v>271</v>
      </c>
      <c r="C49" t="s">
        <v>312</v>
      </c>
      <c r="D49" s="3" t="s">
        <v>204</v>
      </c>
      <c r="E49" s="3" t="s">
        <v>272</v>
      </c>
      <c r="H49" t="s">
        <v>424</v>
      </c>
      <c r="I49"/>
      <c r="J49"/>
    </row>
    <row r="50" spans="1:10" x14ac:dyDescent="0.25">
      <c r="A50" s="3" t="s">
        <v>206</v>
      </c>
      <c r="B50" s="3" t="s">
        <v>273</v>
      </c>
      <c r="C50" t="s">
        <v>311</v>
      </c>
      <c r="D50" s="3" t="s">
        <v>204</v>
      </c>
      <c r="E50" s="3" t="s">
        <v>274</v>
      </c>
      <c r="H50" t="s">
        <v>425</v>
      </c>
      <c r="I50"/>
      <c r="J50"/>
    </row>
    <row r="51" spans="1:10" x14ac:dyDescent="0.25">
      <c r="A51" s="3" t="s">
        <v>209</v>
      </c>
      <c r="B51" s="3" t="s">
        <v>275</v>
      </c>
      <c r="C51" t="s">
        <v>310</v>
      </c>
      <c r="D51" s="3" t="s">
        <v>276</v>
      </c>
      <c r="E51" s="3" t="s">
        <v>277</v>
      </c>
      <c r="H51" t="s">
        <v>426</v>
      </c>
      <c r="I51"/>
      <c r="J51"/>
    </row>
    <row r="52" spans="1:10" x14ac:dyDescent="0.25">
      <c r="A52" s="3" t="s">
        <v>212</v>
      </c>
      <c r="B52" s="3" t="s">
        <v>213</v>
      </c>
      <c r="C52" t="s">
        <v>309</v>
      </c>
      <c r="D52" s="3" t="s">
        <v>214</v>
      </c>
      <c r="E52" s="3" t="s">
        <v>278</v>
      </c>
      <c r="H52" t="s">
        <v>427</v>
      </c>
      <c r="I52"/>
      <c r="J52"/>
    </row>
    <row r="53" spans="1:10" x14ac:dyDescent="0.25">
      <c r="A53" s="3" t="s">
        <v>279</v>
      </c>
      <c r="B53" s="3" t="s">
        <v>280</v>
      </c>
      <c r="C53" t="s">
        <v>308</v>
      </c>
      <c r="D53" s="3" t="s">
        <v>281</v>
      </c>
      <c r="E53" s="3" t="s">
        <v>282</v>
      </c>
      <c r="H53" t="s">
        <v>428</v>
      </c>
      <c r="I53"/>
      <c r="J53"/>
    </row>
    <row r="54" spans="1:10" x14ac:dyDescent="0.25">
      <c r="A54" s="3" t="s">
        <v>283</v>
      </c>
      <c r="B54" s="3" t="s">
        <v>284</v>
      </c>
      <c r="C54" t="s">
        <v>307</v>
      </c>
      <c r="D54" s="3" t="s">
        <v>281</v>
      </c>
      <c r="E54" s="3" t="s">
        <v>285</v>
      </c>
      <c r="H54" t="s">
        <v>429</v>
      </c>
      <c r="I54"/>
      <c r="J54"/>
    </row>
    <row r="55" spans="1:10" s="7" customFormat="1" x14ac:dyDescent="0.25">
      <c r="A55" s="7" t="s">
        <v>286</v>
      </c>
      <c r="B55" s="7" t="s">
        <v>287</v>
      </c>
      <c r="C55" s="5" t="s">
        <v>306</v>
      </c>
      <c r="D55" s="7" t="s">
        <v>281</v>
      </c>
      <c r="E55" s="7" t="s">
        <v>288</v>
      </c>
      <c r="H55" t="s">
        <v>430</v>
      </c>
      <c r="I55" s="5"/>
      <c r="J55" s="5"/>
    </row>
    <row r="56" spans="1:10" s="15" customFormat="1" x14ac:dyDescent="0.25">
      <c r="A56" s="14" t="s">
        <v>431</v>
      </c>
      <c r="B56" s="14" t="s">
        <v>451</v>
      </c>
      <c r="C56" s="14" t="s">
        <v>449</v>
      </c>
      <c r="D56" s="15" t="s">
        <v>432</v>
      </c>
      <c r="E56" s="15" t="s">
        <v>433</v>
      </c>
      <c r="H56" s="14" t="s">
        <v>450</v>
      </c>
      <c r="I56" s="14"/>
      <c r="J56" s="14"/>
    </row>
    <row r="57" spans="1:10" x14ac:dyDescent="0.25">
      <c r="A57" s="3" t="s">
        <v>289</v>
      </c>
      <c r="B57" s="3" t="s">
        <v>290</v>
      </c>
      <c r="D57" s="3" t="s">
        <v>291</v>
      </c>
      <c r="E57" s="3" t="s">
        <v>292</v>
      </c>
    </row>
    <row r="58" spans="1:10" x14ac:dyDescent="0.25">
      <c r="A58" s="3" t="s">
        <v>293</v>
      </c>
      <c r="B58" s="3" t="s">
        <v>294</v>
      </c>
      <c r="D58" s="3" t="s">
        <v>291</v>
      </c>
      <c r="E58" s="3" t="s">
        <v>295</v>
      </c>
    </row>
    <row r="59" spans="1:10" x14ac:dyDescent="0.25">
      <c r="A59" s="3" t="s">
        <v>296</v>
      </c>
      <c r="B59" s="3" t="s">
        <v>297</v>
      </c>
      <c r="D59" s="3" t="s">
        <v>291</v>
      </c>
      <c r="E59" s="3" t="s">
        <v>298</v>
      </c>
    </row>
    <row r="60" spans="1:10" x14ac:dyDescent="0.25">
      <c r="A60" s="3" t="s">
        <v>299</v>
      </c>
      <c r="B60" s="3" t="s">
        <v>300</v>
      </c>
      <c r="D60" s="3" t="s">
        <v>301</v>
      </c>
      <c r="E60" s="3" t="s">
        <v>302</v>
      </c>
    </row>
    <row r="63" spans="1:10" x14ac:dyDescent="0.25">
      <c r="A63" s="8" t="s">
        <v>242</v>
      </c>
      <c r="B63" s="8" t="s">
        <v>243</v>
      </c>
      <c r="C63" s="9"/>
      <c r="D63" s="8" t="s">
        <v>244</v>
      </c>
      <c r="E63" s="8" t="s">
        <v>245</v>
      </c>
    </row>
    <row r="65" spans="2:3" x14ac:dyDescent="0.25">
      <c r="C65" s="3" t="s">
        <v>335</v>
      </c>
    </row>
    <row r="66" spans="2:3" x14ac:dyDescent="0.25">
      <c r="C66" s="3" t="s">
        <v>337</v>
      </c>
    </row>
    <row r="67" spans="2:3" x14ac:dyDescent="0.25">
      <c r="C67" s="3" t="s">
        <v>339</v>
      </c>
    </row>
    <row r="70" spans="2:3" x14ac:dyDescent="0.25">
      <c r="B70">
        <v>-1360</v>
      </c>
    </row>
    <row r="71" spans="2:3" x14ac:dyDescent="0.25">
      <c r="B71">
        <v>-1386</v>
      </c>
    </row>
    <row r="72" spans="2:3" x14ac:dyDescent="0.25">
      <c r="B72">
        <v>-958</v>
      </c>
    </row>
    <row r="73" spans="2:3" x14ac:dyDescent="0.25">
      <c r="C73" s="3">
        <f>18</f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DDA-2F3E-4D42-A468-ABDEBDFDB55E}">
  <sheetPr codeName="Sheet4"/>
  <dimension ref="A1:AU96"/>
  <sheetViews>
    <sheetView tabSelected="1" topLeftCell="F24" workbookViewId="0">
      <selection activeCell="AA37" sqref="AA37"/>
    </sheetView>
  </sheetViews>
  <sheetFormatPr defaultRowHeight="15" x14ac:dyDescent="0.25"/>
  <cols>
    <col min="1" max="1" width="13.42578125" customWidth="1"/>
    <col min="2" max="2" width="10.42578125" customWidth="1"/>
    <col min="3" max="3" width="7.85546875" customWidth="1"/>
    <col min="4" max="4" width="6.7109375" bestFit="1" customWidth="1"/>
    <col min="5" max="5" width="10.28515625" customWidth="1"/>
    <col min="6" max="6" width="8.42578125" customWidth="1"/>
    <col min="14" max="14" width="10.42578125" bestFit="1" customWidth="1"/>
    <col min="17" max="17" width="10.42578125" bestFit="1" customWidth="1"/>
    <col min="20" max="20" width="10.42578125" bestFit="1" customWidth="1"/>
  </cols>
  <sheetData>
    <row r="1" spans="1:21" x14ac:dyDescent="0.25">
      <c r="A1" s="10" t="s">
        <v>434</v>
      </c>
      <c r="B1" s="11" t="s">
        <v>435</v>
      </c>
      <c r="C1" s="11">
        <v>2</v>
      </c>
      <c r="D1" s="11">
        <v>39</v>
      </c>
      <c r="E1" s="11">
        <v>21</v>
      </c>
      <c r="F1" s="11">
        <v>18</v>
      </c>
    </row>
    <row r="2" spans="1:21" x14ac:dyDescent="0.25">
      <c r="A2" s="10" t="s">
        <v>436</v>
      </c>
      <c r="B2" s="11" t="s">
        <v>437</v>
      </c>
      <c r="C2" s="11">
        <v>2</v>
      </c>
      <c r="D2" s="11">
        <v>39</v>
      </c>
      <c r="E2" s="11">
        <v>21</v>
      </c>
      <c r="F2" s="11">
        <v>18</v>
      </c>
    </row>
    <row r="3" spans="1:21" x14ac:dyDescent="0.25">
      <c r="A3" s="10" t="s">
        <v>438</v>
      </c>
      <c r="B3" s="11" t="s">
        <v>439</v>
      </c>
      <c r="C3" s="11">
        <v>2</v>
      </c>
      <c r="D3" s="11">
        <v>39</v>
      </c>
      <c r="E3" s="11">
        <v>20</v>
      </c>
      <c r="F3" s="11">
        <v>18</v>
      </c>
    </row>
    <row r="4" spans="1:21" x14ac:dyDescent="0.25">
      <c r="A4" s="10" t="s">
        <v>440</v>
      </c>
      <c r="B4" s="11" t="s">
        <v>441</v>
      </c>
      <c r="C4" s="11">
        <v>2</v>
      </c>
      <c r="D4" s="11">
        <v>38</v>
      </c>
      <c r="E4" s="11">
        <v>20</v>
      </c>
      <c r="F4" s="11">
        <v>18</v>
      </c>
    </row>
    <row r="5" spans="1:21" x14ac:dyDescent="0.25">
      <c r="A5" s="10" t="s">
        <v>442</v>
      </c>
      <c r="B5" s="11" t="s">
        <v>443</v>
      </c>
      <c r="C5" s="11">
        <v>3</v>
      </c>
      <c r="D5" s="11">
        <v>57</v>
      </c>
      <c r="E5" s="11">
        <v>30</v>
      </c>
      <c r="F5" s="11">
        <v>26</v>
      </c>
    </row>
    <row r="6" spans="1:21" x14ac:dyDescent="0.25">
      <c r="A6" s="10" t="s">
        <v>444</v>
      </c>
      <c r="B6" s="11" t="s">
        <v>445</v>
      </c>
      <c r="C6" s="11">
        <v>20</v>
      </c>
      <c r="D6" s="11">
        <v>376</v>
      </c>
      <c r="E6" s="11">
        <v>195</v>
      </c>
      <c r="F6" s="11">
        <v>169</v>
      </c>
    </row>
    <row r="7" spans="1:21" x14ac:dyDescent="0.25">
      <c r="A7" s="10" t="s">
        <v>446</v>
      </c>
      <c r="B7" s="11" t="s">
        <v>448</v>
      </c>
      <c r="C7" s="11">
        <v>29</v>
      </c>
      <c r="D7" s="11">
        <v>502</v>
      </c>
      <c r="E7" s="11">
        <v>629</v>
      </c>
      <c r="F7" s="11">
        <v>441</v>
      </c>
    </row>
    <row r="8" spans="1:21" x14ac:dyDescent="0.25">
      <c r="A8" s="10"/>
      <c r="B8" s="11"/>
      <c r="C8" s="11"/>
      <c r="D8" s="11">
        <f>SUM(D1:D7)</f>
        <v>1090</v>
      </c>
      <c r="E8" s="11">
        <f t="shared" ref="E8:F8" si="0">SUM(E1:E7)</f>
        <v>936</v>
      </c>
      <c r="F8" s="11">
        <f t="shared" si="0"/>
        <v>708</v>
      </c>
    </row>
    <row r="9" spans="1:21" x14ac:dyDescent="0.25">
      <c r="A9" s="10"/>
      <c r="B9" s="11"/>
      <c r="C9" s="11"/>
      <c r="D9" s="11"/>
      <c r="E9" s="11"/>
      <c r="F9" s="11"/>
    </row>
    <row r="10" spans="1:21" x14ac:dyDescent="0.25">
      <c r="A10" s="3"/>
      <c r="D10" s="11"/>
      <c r="H10" s="11"/>
      <c r="J10" s="11"/>
      <c r="N10" s="10" t="s">
        <v>434</v>
      </c>
      <c r="O10">
        <v>-270</v>
      </c>
      <c r="R10">
        <f>O10-O18</f>
        <v>1090</v>
      </c>
    </row>
    <row r="11" spans="1:21" x14ac:dyDescent="0.25">
      <c r="A11" s="3"/>
      <c r="C11" s="11"/>
      <c r="D11" s="11"/>
      <c r="F11" s="11"/>
      <c r="N11" s="10" t="s">
        <v>434</v>
      </c>
      <c r="O11">
        <v>-450</v>
      </c>
      <c r="R11">
        <f t="shared" ref="R11:R12" si="1">O11-O19</f>
        <v>936</v>
      </c>
      <c r="U11">
        <v>-858</v>
      </c>
    </row>
    <row r="12" spans="1:21" x14ac:dyDescent="0.25">
      <c r="A12" s="3"/>
      <c r="D12" s="11"/>
      <c r="N12" s="10" t="s">
        <v>434</v>
      </c>
      <c r="O12">
        <v>-250</v>
      </c>
      <c r="R12">
        <f t="shared" si="1"/>
        <v>708</v>
      </c>
      <c r="U12">
        <v>-757</v>
      </c>
    </row>
    <row r="13" spans="1:21" x14ac:dyDescent="0.25">
      <c r="A13" s="3"/>
      <c r="U13">
        <v>-517</v>
      </c>
    </row>
    <row r="14" spans="1:21" x14ac:dyDescent="0.25">
      <c r="A14" s="3"/>
      <c r="D14" s="11"/>
      <c r="N14" t="s">
        <v>446</v>
      </c>
      <c r="O14">
        <v>-858</v>
      </c>
      <c r="R14" s="16" cm="1">
        <f t="array" ref="R14">dhDate(N14)-dhDate(N10)</f>
        <v>31</v>
      </c>
      <c r="S14">
        <f>(O14-O10)</f>
        <v>-588</v>
      </c>
    </row>
    <row r="15" spans="1:21" x14ac:dyDescent="0.25">
      <c r="A15" s="3"/>
      <c r="N15" t="s">
        <v>446</v>
      </c>
      <c r="O15">
        <v>-757</v>
      </c>
      <c r="R15" s="16" cm="1">
        <f t="array" ref="R15">dhDate(N15)-dhDate(N11)</f>
        <v>31</v>
      </c>
      <c r="S15">
        <f t="shared" ref="S15:S16" si="2">(O15-O11)</f>
        <v>-307</v>
      </c>
    </row>
    <row r="16" spans="1:21" x14ac:dyDescent="0.25">
      <c r="A16" s="3"/>
      <c r="N16" t="s">
        <v>446</v>
      </c>
      <c r="O16">
        <v>-517</v>
      </c>
      <c r="R16" s="16" cm="1">
        <f t="array" ref="R16">dhDate(N16)-dhDate(N12)</f>
        <v>31</v>
      </c>
      <c r="S16">
        <f t="shared" si="2"/>
        <v>-267</v>
      </c>
    </row>
    <row r="17" spans="1:38" x14ac:dyDescent="0.25">
      <c r="A17" s="3"/>
    </row>
    <row r="18" spans="1:38" x14ac:dyDescent="0.25">
      <c r="A18" s="3"/>
      <c r="N18" s="11" t="s">
        <v>448</v>
      </c>
      <c r="O18">
        <v>-1360</v>
      </c>
      <c r="R18" s="16" cm="1">
        <f t="array" ref="R18">dhDate(N18)-dhDate(N14)</f>
        <v>28</v>
      </c>
      <c r="S18">
        <f>(O18-O10)</f>
        <v>-1090</v>
      </c>
      <c r="T18">
        <f>S18/R18</f>
        <v>-38.928571428571431</v>
      </c>
    </row>
    <row r="19" spans="1:38" x14ac:dyDescent="0.25">
      <c r="A19" s="3"/>
      <c r="N19" s="11" t="s">
        <v>448</v>
      </c>
      <c r="O19">
        <v>-1386</v>
      </c>
      <c r="R19" s="16" cm="1">
        <f t="array" ref="R19">dhDate(N19)-dhDate(N15)</f>
        <v>28</v>
      </c>
      <c r="S19">
        <f t="shared" ref="S19:S20" si="3">(O19-O15)</f>
        <v>-629</v>
      </c>
      <c r="T19">
        <f t="shared" ref="T19:T20" si="4">S19/R19</f>
        <v>-22.464285714285715</v>
      </c>
    </row>
    <row r="20" spans="1:38" x14ac:dyDescent="0.25">
      <c r="A20" s="3"/>
      <c r="N20" s="11" t="s">
        <v>448</v>
      </c>
      <c r="O20">
        <v>-958</v>
      </c>
      <c r="R20" s="16" cm="1">
        <f t="array" ref="R20">dhDate(N20)-dhDate(N16)</f>
        <v>28</v>
      </c>
      <c r="S20">
        <f t="shared" si="3"/>
        <v>-441</v>
      </c>
      <c r="T20">
        <f t="shared" si="4"/>
        <v>-15.75</v>
      </c>
      <c r="Y20" s="17" t="s">
        <v>455</v>
      </c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>
        <v>-1436</v>
      </c>
    </row>
    <row r="21" spans="1:38" x14ac:dyDescent="0.25">
      <c r="A21" s="3"/>
      <c r="R21" s="16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</row>
    <row r="22" spans="1:38" x14ac:dyDescent="0.25">
      <c r="A22" s="3"/>
      <c r="N22" t="s">
        <v>447</v>
      </c>
      <c r="O22">
        <v>-1836</v>
      </c>
      <c r="R22" s="16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</row>
    <row r="23" spans="1:38" x14ac:dyDescent="0.25">
      <c r="A23" s="3"/>
      <c r="N23" t="s">
        <v>447</v>
      </c>
      <c r="O23">
        <v>-1951</v>
      </c>
      <c r="R23" s="16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</row>
    <row r="24" spans="1:38" x14ac:dyDescent="0.25">
      <c r="A24" s="3"/>
      <c r="N24" t="s">
        <v>447</v>
      </c>
      <c r="O24">
        <v>-1381</v>
      </c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</row>
    <row r="25" spans="1:38" x14ac:dyDescent="0.25">
      <c r="A25" s="3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</row>
    <row r="26" spans="1:38" x14ac:dyDescent="0.25">
      <c r="A26" s="3"/>
      <c r="N26" s="17">
        <v>45967</v>
      </c>
      <c r="O26">
        <v>-1360</v>
      </c>
      <c r="P26">
        <v>134</v>
      </c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</row>
    <row r="27" spans="1:38" x14ac:dyDescent="0.25">
      <c r="A27" s="3"/>
      <c r="N27" s="17">
        <v>45967</v>
      </c>
      <c r="O27">
        <v>-1386</v>
      </c>
      <c r="P27">
        <v>157</v>
      </c>
      <c r="Y27" t="s">
        <v>456</v>
      </c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>
        <v>-1511</v>
      </c>
    </row>
    <row r="28" spans="1:38" x14ac:dyDescent="0.25">
      <c r="A28" s="3"/>
      <c r="N28" s="17">
        <v>45967</v>
      </c>
      <c r="O28">
        <v>-958</v>
      </c>
      <c r="P28">
        <v>107</v>
      </c>
    </row>
    <row r="29" spans="1:38" x14ac:dyDescent="0.25">
      <c r="A29" s="3"/>
      <c r="AC29" s="18">
        <v>-1360</v>
      </c>
    </row>
    <row r="30" spans="1:38" x14ac:dyDescent="0.25">
      <c r="A30" s="3"/>
      <c r="AC30">
        <f>AC29+U32</f>
        <v>-1349</v>
      </c>
    </row>
    <row r="31" spans="1:38" x14ac:dyDescent="0.25">
      <c r="A31" s="3"/>
      <c r="T31" s="19" t="s">
        <v>448</v>
      </c>
      <c r="X31">
        <v>-1360</v>
      </c>
      <c r="Y31">
        <v>-1386</v>
      </c>
      <c r="Z31">
        <v>-958</v>
      </c>
      <c r="AC31">
        <f t="shared" ref="AC31:AC37" si="5">AC30+AB31</f>
        <v>-1349</v>
      </c>
    </row>
    <row r="32" spans="1:38" x14ac:dyDescent="0.25">
      <c r="A32" s="3"/>
      <c r="T32" s="21" t="str" cm="1">
        <f t="array" ref="T32">TEXT(dhDate(T31)+1,"dd/mm/yyyy")</f>
        <v>12/06/2025</v>
      </c>
      <c r="U32" cm="1">
        <f t="array" ref="U32:U38">TRANSPOSE(TaoMangDoLun(0,6,ABS(X38-X31),1,1.2,ABS(X38-X31)/7))</f>
        <v>11</v>
      </c>
      <c r="V32" cm="1">
        <f t="array" ref="V32:V38">TRANSPOSE(TaoMangDoLun(0,6,ABS(Y38-Y31),1,1.2,ABS(Y38-Y31)/7))</f>
        <v>10</v>
      </c>
      <c r="W32" cm="1">
        <f t="array" ref="W32:W38">TRANSPOSE(TaoMangDoLun(0,6,ABS(Z38-Z31),1,1.2,ABS(Z38-Z31)/7))</f>
        <v>9</v>
      </c>
      <c r="AA32" s="18"/>
      <c r="AB32" s="18"/>
      <c r="AC32">
        <f t="shared" si="5"/>
        <v>-1349</v>
      </c>
      <c r="AD32" s="18"/>
      <c r="AE32" s="18"/>
      <c r="AF32" s="18"/>
      <c r="AG32" s="18"/>
    </row>
    <row r="33" spans="1:47" x14ac:dyDescent="0.25">
      <c r="A33" s="3"/>
      <c r="T33" s="21" t="str" cm="1">
        <f t="array" ref="T33">TEXT(dhDate(T32)+1,"dd/mm/yyyy")</f>
        <v>13/06/2025</v>
      </c>
      <c r="U33">
        <v>11</v>
      </c>
      <c r="V33">
        <v>10</v>
      </c>
      <c r="W33">
        <v>9</v>
      </c>
      <c r="X33" s="18"/>
      <c r="Y33" s="18"/>
      <c r="Z33" s="18"/>
      <c r="AA33" s="18"/>
      <c r="AB33" s="18"/>
      <c r="AC33">
        <f t="shared" si="5"/>
        <v>-1349</v>
      </c>
      <c r="AD33" s="18"/>
      <c r="AE33" s="18"/>
      <c r="AF33" s="18"/>
      <c r="AG33" s="18"/>
    </row>
    <row r="34" spans="1:47" x14ac:dyDescent="0.25">
      <c r="A34" s="3"/>
      <c r="T34" s="21" t="str" cm="1">
        <f t="array" ref="T34">TEXT(dhDate(T33)+1,"dd/mm/yyyy")</f>
        <v>14/06/2025</v>
      </c>
      <c r="U34">
        <v>11</v>
      </c>
      <c r="V34">
        <v>10</v>
      </c>
      <c r="W34">
        <v>9</v>
      </c>
      <c r="X34" s="18"/>
      <c r="Y34" s="18"/>
      <c r="Z34" s="18"/>
      <c r="AA34" s="18"/>
      <c r="AB34" s="18"/>
      <c r="AC34">
        <f t="shared" si="5"/>
        <v>-1349</v>
      </c>
      <c r="AD34" s="18"/>
      <c r="AE34" s="18"/>
      <c r="AF34" s="19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</row>
    <row r="35" spans="1:47" x14ac:dyDescent="0.25">
      <c r="A35" s="3"/>
      <c r="T35" s="21" t="str" cm="1">
        <f t="array" ref="T35">TEXT(dhDate(T34)+1,"dd/mm/yyyy")</f>
        <v>15/06/2025</v>
      </c>
      <c r="U35">
        <v>11</v>
      </c>
      <c r="V35">
        <v>10</v>
      </c>
      <c r="W35">
        <v>9</v>
      </c>
      <c r="X35" s="18"/>
      <c r="Y35" s="18"/>
      <c r="Z35" s="18"/>
      <c r="AA35" s="18"/>
      <c r="AB35" s="18"/>
      <c r="AC35">
        <f t="shared" si="5"/>
        <v>-1349</v>
      </c>
      <c r="AD35" s="18"/>
      <c r="AE35" s="18"/>
      <c r="AF35" s="18"/>
      <c r="AG35" s="18"/>
    </row>
    <row r="36" spans="1:47" x14ac:dyDescent="0.25">
      <c r="A36" s="3"/>
      <c r="T36" s="21" t="str" cm="1">
        <f t="array" ref="T36">TEXT(dhDate(T35)+1,"dd/mm/yyyy")</f>
        <v>16/06/2025</v>
      </c>
      <c r="U36">
        <v>11</v>
      </c>
      <c r="V36">
        <v>10</v>
      </c>
      <c r="W36">
        <v>9</v>
      </c>
      <c r="X36" s="18"/>
      <c r="Y36" s="18"/>
      <c r="Z36" s="18"/>
      <c r="AA36" s="18"/>
      <c r="AB36" s="18"/>
      <c r="AC36">
        <f t="shared" si="5"/>
        <v>-1349</v>
      </c>
      <c r="AD36" s="18"/>
      <c r="AE36" s="18"/>
      <c r="AF36" s="18"/>
      <c r="AG36" s="18"/>
    </row>
    <row r="37" spans="1:47" x14ac:dyDescent="0.25">
      <c r="A37" s="3"/>
      <c r="T37" s="21" t="str" cm="1">
        <f t="array" ref="T37">TEXT(dhDate(T36)+1,"dd/mm/yyyy")</f>
        <v>17/06/2025</v>
      </c>
      <c r="U37">
        <v>10</v>
      </c>
      <c r="V37">
        <v>10</v>
      </c>
      <c r="W37">
        <v>8</v>
      </c>
      <c r="X37" s="18"/>
      <c r="Y37" s="18"/>
      <c r="Z37" s="18"/>
      <c r="AA37" s="18"/>
      <c r="AB37" s="18"/>
      <c r="AC37">
        <f t="shared" si="5"/>
        <v>-1349</v>
      </c>
      <c r="AD37" s="18"/>
      <c r="AE37" s="18"/>
      <c r="AF37" s="18"/>
      <c r="AG37" s="18"/>
    </row>
    <row r="38" spans="1:47" x14ac:dyDescent="0.25">
      <c r="A38" s="3"/>
      <c r="T38" s="17" t="s">
        <v>455</v>
      </c>
      <c r="U38">
        <v>11</v>
      </c>
      <c r="V38">
        <v>10</v>
      </c>
      <c r="W38">
        <v>9</v>
      </c>
      <c r="X38" s="18">
        <v>-1436</v>
      </c>
      <c r="Y38" s="18">
        <v>-1456</v>
      </c>
      <c r="Z38" s="18">
        <v>-1020</v>
      </c>
      <c r="AA38" s="18"/>
      <c r="AB38" s="18"/>
      <c r="AC38" s="18"/>
      <c r="AD38" s="18"/>
      <c r="AE38" s="18"/>
      <c r="AF38" s="18"/>
      <c r="AG38" s="18"/>
    </row>
    <row r="39" spans="1:47" x14ac:dyDescent="0.25">
      <c r="A39" s="3"/>
      <c r="T39" s="21" t="str" cm="1">
        <f t="array" ref="T39">TEXT(dhDate(T38)+1,"dd/mm/yyyy")</f>
        <v>19/06/2025</v>
      </c>
      <c r="U39" cm="1">
        <f t="array" ref="U39:U45">TRANSPOSE(TaoMangDoLun(0,6,ABS(X45-X38),0.2,0.25,ABS(X45-X38)/7))</f>
        <v>11</v>
      </c>
      <c r="V39" cm="1">
        <f t="array" ref="V39:V45">TRANSPOSE(TaoMangDoLun(0,6,ABS(Y45-Y38),0.2,0.25,ABS(Y45-Y38)/7))</f>
        <v>10</v>
      </c>
      <c r="W39" cm="1">
        <f t="array" ref="W39:W45">TRANSPOSE(TaoMangDoLun(0,6,ABS(Z45-Z38),0.2,0.25,ABS(Z45-Z38)/7))</f>
        <v>9</v>
      </c>
      <c r="X39" s="18"/>
      <c r="Y39" s="18"/>
      <c r="Z39" s="18"/>
      <c r="AA39" s="18"/>
      <c r="AB39" s="18"/>
      <c r="AC39" s="18"/>
      <c r="AD39" s="18"/>
      <c r="AE39" s="18"/>
      <c r="AF39" s="18"/>
      <c r="AG39" s="18"/>
    </row>
    <row r="40" spans="1:47" x14ac:dyDescent="0.25">
      <c r="A40" s="3"/>
      <c r="T40" s="21" t="str" cm="1">
        <f t="array" ref="T40">TEXT(dhDate(T39)+1,"dd/mm/yyyy")</f>
        <v>20/06/2025</v>
      </c>
      <c r="U40">
        <v>11</v>
      </c>
      <c r="V40">
        <v>10</v>
      </c>
      <c r="W40">
        <v>9</v>
      </c>
      <c r="X40" s="18"/>
      <c r="Y40" s="18"/>
      <c r="Z40" s="18"/>
      <c r="AA40" s="18"/>
      <c r="AB40" s="18"/>
      <c r="AC40" s="18"/>
      <c r="AD40" s="18"/>
      <c r="AE40" s="18"/>
      <c r="AF40" s="18"/>
      <c r="AG40" s="18"/>
    </row>
    <row r="41" spans="1:47" x14ac:dyDescent="0.25">
      <c r="A41" s="3"/>
      <c r="T41" s="21" t="str" cm="1">
        <f t="array" ref="T41">TEXT(dhDate(T40)+1,"dd/mm/yyyy")</f>
        <v>21/06/2025</v>
      </c>
      <c r="U41">
        <v>11</v>
      </c>
      <c r="V41">
        <v>10</v>
      </c>
      <c r="W41">
        <v>9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</row>
    <row r="42" spans="1:47" x14ac:dyDescent="0.25">
      <c r="A42" s="3"/>
      <c r="T42" s="21" t="str" cm="1">
        <f t="array" ref="T42">TEXT(dhDate(T41)+1,"dd/mm/yyyy")</f>
        <v>22/06/2025</v>
      </c>
      <c r="U42">
        <v>11</v>
      </c>
      <c r="V42">
        <v>10</v>
      </c>
      <c r="W42">
        <v>9</v>
      </c>
      <c r="X42" s="18"/>
      <c r="Y42" s="18"/>
      <c r="Z42" s="18"/>
      <c r="AA42" s="18"/>
      <c r="AB42" s="18"/>
      <c r="AC42" s="18"/>
      <c r="AD42" s="18"/>
      <c r="AE42" s="18"/>
      <c r="AF42" s="18"/>
      <c r="AG42" s="18"/>
    </row>
    <row r="43" spans="1:47" x14ac:dyDescent="0.25">
      <c r="A43" s="3"/>
      <c r="T43" s="21" t="str" cm="1">
        <f t="array" ref="T43">TEXT(dhDate(T42)+1,"dd/mm/yyyy")</f>
        <v>23/06/2025</v>
      </c>
      <c r="U43">
        <v>9</v>
      </c>
      <c r="V43">
        <v>10</v>
      </c>
      <c r="W43">
        <v>8</v>
      </c>
      <c r="X43" s="18"/>
      <c r="Y43" s="18"/>
      <c r="Z43" s="18"/>
      <c r="AA43" s="18"/>
      <c r="AB43" s="18"/>
      <c r="AC43" s="18"/>
      <c r="AD43" s="18"/>
      <c r="AE43" s="18"/>
      <c r="AF43" s="18"/>
      <c r="AG43" s="18"/>
    </row>
    <row r="44" spans="1:47" x14ac:dyDescent="0.25">
      <c r="A44" s="3"/>
      <c r="T44" s="21" t="str" cm="1">
        <f t="array" ref="T44">TEXT(dhDate(T43)+1,"dd/mm/yyyy")</f>
        <v>24/06/2025</v>
      </c>
      <c r="U44">
        <v>11</v>
      </c>
      <c r="V44">
        <v>10</v>
      </c>
      <c r="W44">
        <v>8</v>
      </c>
      <c r="X44" s="18"/>
      <c r="Y44" s="18"/>
      <c r="Z44" s="18"/>
      <c r="AA44" s="18"/>
      <c r="AB44" s="18"/>
      <c r="AC44" s="18"/>
      <c r="AD44" s="18"/>
      <c r="AE44" s="18"/>
      <c r="AF44" s="18"/>
      <c r="AG44" s="18"/>
    </row>
    <row r="45" spans="1:47" x14ac:dyDescent="0.25">
      <c r="A45" s="3"/>
      <c r="T45" t="s">
        <v>456</v>
      </c>
      <c r="U45">
        <v>11</v>
      </c>
      <c r="V45">
        <v>10</v>
      </c>
      <c r="W45">
        <v>9</v>
      </c>
      <c r="X45" s="18">
        <v>-1511</v>
      </c>
      <c r="Y45" s="18">
        <v>-1526</v>
      </c>
      <c r="Z45" s="18">
        <v>-1081</v>
      </c>
      <c r="AA45" s="18"/>
      <c r="AB45" s="18"/>
      <c r="AC45" s="18"/>
      <c r="AD45" s="18"/>
      <c r="AE45" s="18"/>
      <c r="AF45" s="18"/>
      <c r="AG45" s="18"/>
    </row>
    <row r="46" spans="1:47" x14ac:dyDescent="0.25">
      <c r="A46" s="3"/>
      <c r="S46" s="17">
        <v>45695</v>
      </c>
      <c r="T46" s="21" t="str" cm="1">
        <f t="array" ref="T46">TEXT(dhDate(T45)+1,"dd/mm/yyyy")</f>
        <v>26/06/2025</v>
      </c>
      <c r="U46" cm="1">
        <f t="array" ref="U46:U52">TRANSPOSE(TaoMangDoLun(0,6,ABS(X46-X45),0.2,0.25,ABS(X46-X45)/7))</f>
        <v>4</v>
      </c>
      <c r="V46" cm="1">
        <f t="array" ref="V46:V52">TRANSPOSE(TaoMangDoLun(0,6,ABS(Y46-Y45),0.2,0.25,ABS(Y46-Y45)/7))</f>
        <v>11</v>
      </c>
      <c r="W46" cm="1">
        <f t="array" ref="W46:W52">TRANSPOSE(TaoMangDoLun(0,6,ABS(Z46-Z45),0.2,0.25,ABS(Z46-Z45)/7))</f>
        <v>6</v>
      </c>
      <c r="X46" s="18">
        <v>-1541</v>
      </c>
      <c r="Y46" s="18">
        <v>-1606</v>
      </c>
      <c r="Z46" s="18">
        <v>-1126</v>
      </c>
      <c r="AA46" s="18"/>
      <c r="AB46" s="18"/>
      <c r="AC46" s="18"/>
      <c r="AD46" s="18"/>
      <c r="AE46" s="18"/>
      <c r="AF46" s="18"/>
      <c r="AG46" s="18"/>
    </row>
    <row r="47" spans="1:47" x14ac:dyDescent="0.25">
      <c r="S47" s="17">
        <v>45907</v>
      </c>
      <c r="T47" s="21" t="str" cm="1">
        <f t="array" ref="T47">TEXT(dhDate(T46)+1,"dd/mm/yyyy")</f>
        <v>27/06/2025</v>
      </c>
      <c r="U47">
        <v>4</v>
      </c>
      <c r="V47">
        <v>11</v>
      </c>
      <c r="W47">
        <v>6</v>
      </c>
      <c r="X47" s="18">
        <v>-1571</v>
      </c>
      <c r="Y47" s="18">
        <v>-1686</v>
      </c>
      <c r="Z47" s="18">
        <v>-1171</v>
      </c>
      <c r="AA47" s="18"/>
      <c r="AB47" s="18"/>
      <c r="AC47" s="18"/>
      <c r="AD47" s="18"/>
      <c r="AE47" s="18"/>
      <c r="AF47" s="18"/>
      <c r="AG47" s="18"/>
    </row>
    <row r="48" spans="1:47" x14ac:dyDescent="0.25">
      <c r="S48" t="s">
        <v>452</v>
      </c>
      <c r="T48" s="21" t="str" cm="1">
        <f t="array" ref="T48">TEXT(dhDate(T47)+1,"dd/mm/yyyy")</f>
        <v>28/06/2025</v>
      </c>
      <c r="U48">
        <v>4</v>
      </c>
      <c r="V48">
        <v>11</v>
      </c>
      <c r="W48">
        <v>6</v>
      </c>
      <c r="X48" s="18">
        <v>-1666</v>
      </c>
      <c r="Y48" s="18">
        <v>-1756</v>
      </c>
      <c r="Z48" s="18">
        <v>-1221</v>
      </c>
      <c r="AA48" s="18"/>
      <c r="AB48" s="18"/>
      <c r="AC48" s="18"/>
      <c r="AD48" s="18"/>
      <c r="AE48" s="18"/>
      <c r="AF48" s="18"/>
      <c r="AG48" s="18"/>
    </row>
    <row r="49" spans="19:33" x14ac:dyDescent="0.25">
      <c r="S49" t="s">
        <v>453</v>
      </c>
      <c r="T49" s="21" t="str" cm="1">
        <f t="array" ref="T49">TEXT(dhDate(T48)+1,"dd/mm/yyyy")</f>
        <v>29/06/2025</v>
      </c>
      <c r="U49">
        <v>4</v>
      </c>
      <c r="V49">
        <v>11</v>
      </c>
      <c r="W49">
        <v>6</v>
      </c>
      <c r="X49" s="18">
        <v>-1731</v>
      </c>
      <c r="Y49" s="18">
        <v>-1826</v>
      </c>
      <c r="Z49" s="18">
        <v>-1281</v>
      </c>
      <c r="AA49" s="18"/>
      <c r="AB49" s="18"/>
      <c r="AC49" s="18"/>
      <c r="AD49" s="18"/>
      <c r="AE49" s="18"/>
      <c r="AF49" s="18"/>
      <c r="AG49" s="18"/>
    </row>
    <row r="50" spans="19:33" x14ac:dyDescent="0.25">
      <c r="S50" s="17">
        <v>45816</v>
      </c>
      <c r="T50" s="21" t="str" cm="1">
        <f t="array" ref="T50">TEXT(dhDate(T49)+1,"dd/mm/yyyy")</f>
        <v>30/06/2025</v>
      </c>
      <c r="U50">
        <v>4</v>
      </c>
      <c r="V50">
        <v>12</v>
      </c>
      <c r="W50">
        <v>7</v>
      </c>
      <c r="X50" s="18">
        <v>-1776</v>
      </c>
      <c r="Y50" s="18">
        <v>-1871</v>
      </c>
      <c r="Z50" s="18">
        <v>-1316</v>
      </c>
      <c r="AA50" s="18"/>
      <c r="AB50" s="18"/>
      <c r="AC50" s="18"/>
      <c r="AD50" s="18"/>
      <c r="AE50" s="18"/>
      <c r="AF50" s="18"/>
      <c r="AG50" s="18"/>
    </row>
    <row r="51" spans="19:33" x14ac:dyDescent="0.25">
      <c r="S51" t="s">
        <v>454</v>
      </c>
      <c r="T51" s="21" t="str" cm="1">
        <f t="array" ref="T51">TEXT(dhDate(T50)+1,"dd/mm/yyyy")</f>
        <v>01/07/2025</v>
      </c>
      <c r="U51">
        <v>5</v>
      </c>
      <c r="V51">
        <v>12</v>
      </c>
      <c r="W51">
        <v>7</v>
      </c>
      <c r="X51" s="18">
        <v>-1836</v>
      </c>
      <c r="Y51" s="18">
        <v>-1951</v>
      </c>
      <c r="Z51" s="18">
        <v>-1381</v>
      </c>
      <c r="AA51" s="18"/>
      <c r="AB51" s="18"/>
      <c r="AC51" s="18"/>
      <c r="AD51" s="18"/>
      <c r="AE51" s="18"/>
      <c r="AF51" s="18"/>
      <c r="AG51" s="18"/>
    </row>
    <row r="52" spans="19:33" x14ac:dyDescent="0.25">
      <c r="T52" s="21" t="str" cm="1">
        <f t="array" ref="T52">TEXT(dhDate(T51)+1,"dd/mm/yyyy")</f>
        <v>02/07/2025</v>
      </c>
      <c r="U52">
        <v>5</v>
      </c>
      <c r="V52">
        <v>12</v>
      </c>
      <c r="W52">
        <v>7</v>
      </c>
    </row>
    <row r="53" spans="19:33" x14ac:dyDescent="0.25">
      <c r="T53" s="21" t="str" cm="1">
        <f t="array" ref="T53">TEXT(dhDate(T52)+1,"dd/mm/yyyy")</f>
        <v>03/07/2025</v>
      </c>
      <c r="U53" cm="1">
        <f t="array" ref="U53:U59">TRANSPOSE(TaoMangDoLun(0,6,ABS(X47-X46),0.2,0.25,ABS(X47-X46)/7))</f>
        <v>4</v>
      </c>
      <c r="V53" cm="1">
        <f t="array" ref="V53:V59">TRANSPOSE(TaoMangDoLun(0,6,ABS(Y47-Y46),0.2,0.25,ABS(Y47-Y46)/7))</f>
        <v>11</v>
      </c>
      <c r="W53" cm="1">
        <f t="array" ref="W53:W59">TRANSPOSE(TaoMangDoLun(0,6,ABS(Z47-Z46),0.2,0.25,ABS(Z47-Z46)/7))</f>
        <v>6</v>
      </c>
    </row>
    <row r="54" spans="19:33" x14ac:dyDescent="0.25">
      <c r="T54" s="21" t="str" cm="1">
        <f t="array" ref="T54">TEXT(dhDate(T53)+1,"dd/mm/yyyy")</f>
        <v>04/07/2025</v>
      </c>
      <c r="U54">
        <v>4</v>
      </c>
      <c r="V54">
        <v>11</v>
      </c>
      <c r="W54">
        <v>6</v>
      </c>
    </row>
    <row r="55" spans="19:33" x14ac:dyDescent="0.25">
      <c r="T55" s="21" t="str" cm="1">
        <f t="array" ref="T55">TEXT(dhDate(T54)+1,"dd/mm/yyyy")</f>
        <v>05/07/2025</v>
      </c>
      <c r="U55">
        <v>4</v>
      </c>
      <c r="V55">
        <v>11</v>
      </c>
      <c r="W55">
        <v>6</v>
      </c>
    </row>
    <row r="56" spans="19:33" x14ac:dyDescent="0.25">
      <c r="T56" s="21" t="str" cm="1">
        <f t="array" ref="T56">TEXT(dhDate(T55)+1,"dd/mm/yyyy")</f>
        <v>06/07/2025</v>
      </c>
      <c r="U56">
        <v>4</v>
      </c>
      <c r="V56">
        <v>11</v>
      </c>
      <c r="W56">
        <v>6</v>
      </c>
    </row>
    <row r="57" spans="19:33" x14ac:dyDescent="0.25">
      <c r="T57" s="21" t="str" cm="1">
        <f t="array" ref="T57">TEXT(dhDate(T56)+1,"dd/mm/yyyy")</f>
        <v>07/07/2025</v>
      </c>
      <c r="U57">
        <v>4</v>
      </c>
      <c r="V57">
        <v>12</v>
      </c>
      <c r="W57">
        <v>7</v>
      </c>
    </row>
    <row r="58" spans="19:33" x14ac:dyDescent="0.25">
      <c r="T58" s="21" t="str" cm="1">
        <f t="array" ref="T58">TEXT(dhDate(T57)+1,"dd/mm/yyyy")</f>
        <v>08/07/2025</v>
      </c>
      <c r="U58">
        <v>5</v>
      </c>
      <c r="V58">
        <v>12</v>
      </c>
      <c r="W58">
        <v>7</v>
      </c>
    </row>
    <row r="59" spans="19:33" x14ac:dyDescent="0.25">
      <c r="T59" s="21" t="str" cm="1">
        <f t="array" ref="T59">TEXT(dhDate(T58)+1,"dd/mm/yyyy")</f>
        <v>09/07/2025</v>
      </c>
      <c r="U59">
        <v>5</v>
      </c>
      <c r="V59">
        <v>12</v>
      </c>
      <c r="W59">
        <v>7</v>
      </c>
    </row>
    <row r="60" spans="19:33" x14ac:dyDescent="0.25">
      <c r="S60">
        <v>1</v>
      </c>
      <c r="T60" s="21" t="str" cm="1">
        <f t="array" ref="T60">TEXT(dhDate(T59)+1,"dd/mm/yyyy")</f>
        <v>10/07/2025</v>
      </c>
      <c r="U60" cm="1">
        <f t="array" ref="U60:U67">TRANSPOSE(TaoMangDoLun(0,7,ABS(X48-X47),0.2,0.25,ABS(X48-X47)/8))</f>
        <v>12</v>
      </c>
      <c r="V60" cm="1">
        <f t="array" ref="V60:V67">TRANSPOSE(TaoMangDoLun(0,7,ABS(Y48-Y47),0.2,0.25,ABS(Y48-Y47)/8))</f>
        <v>9</v>
      </c>
      <c r="W60" cm="1">
        <f t="array" ref="W60:W67">TRANSPOSE(TaoMangDoLun(0,7,ABS(Z48-Z47),0.2,0.25,ABS(Z48-Z47)/8))</f>
        <v>6</v>
      </c>
    </row>
    <row r="61" spans="19:33" x14ac:dyDescent="0.25">
      <c r="S61">
        <v>2</v>
      </c>
      <c r="T61" s="21" t="str" cm="1">
        <f t="array" ref="T61">TEXT(dhDate(T60)+1,"dd/mm/yyyy")</f>
        <v>11/07/2025</v>
      </c>
      <c r="U61">
        <v>12</v>
      </c>
      <c r="V61">
        <v>9</v>
      </c>
      <c r="W61">
        <v>6</v>
      </c>
    </row>
    <row r="62" spans="19:33" x14ac:dyDescent="0.25">
      <c r="S62">
        <v>3</v>
      </c>
      <c r="T62" s="21" t="str" cm="1">
        <f t="array" ref="T62">TEXT(dhDate(T61)+1,"dd/mm/yyyy")</f>
        <v>12/07/2025</v>
      </c>
      <c r="U62">
        <v>12</v>
      </c>
      <c r="V62">
        <v>9</v>
      </c>
      <c r="W62">
        <v>6</v>
      </c>
    </row>
    <row r="63" spans="19:33" x14ac:dyDescent="0.25">
      <c r="S63">
        <v>4</v>
      </c>
      <c r="T63" s="21" t="str" cm="1">
        <f t="array" ref="T63">TEXT(dhDate(T62)+1,"dd/mm/yyyy")</f>
        <v>13/07/2025</v>
      </c>
      <c r="U63">
        <v>12</v>
      </c>
      <c r="V63">
        <v>9</v>
      </c>
      <c r="W63">
        <v>6</v>
      </c>
    </row>
    <row r="64" spans="19:33" x14ac:dyDescent="0.25">
      <c r="S64">
        <v>5</v>
      </c>
      <c r="T64" s="21" t="str" cm="1">
        <f t="array" ref="T64">TEXT(dhDate(T63)+1,"dd/mm/yyyy")</f>
        <v>14/07/2025</v>
      </c>
      <c r="U64">
        <v>12</v>
      </c>
      <c r="V64">
        <v>9</v>
      </c>
      <c r="W64">
        <v>6</v>
      </c>
    </row>
    <row r="65" spans="19:23" x14ac:dyDescent="0.25">
      <c r="S65">
        <v>6</v>
      </c>
      <c r="T65" s="21" t="str" cm="1">
        <f t="array" ref="T65">TEXT(dhDate(T64)+1,"dd/mm/yyyy")</f>
        <v>15/07/2025</v>
      </c>
      <c r="U65">
        <v>11</v>
      </c>
      <c r="V65">
        <v>7</v>
      </c>
      <c r="W65">
        <v>6</v>
      </c>
    </row>
    <row r="66" spans="19:23" x14ac:dyDescent="0.25">
      <c r="S66">
        <v>7</v>
      </c>
      <c r="T66" s="21" t="str" cm="1">
        <f t="array" ref="T66">TEXT(dhDate(T65)+1,"dd/mm/yyyy")</f>
        <v>16/07/2025</v>
      </c>
      <c r="U66">
        <v>12</v>
      </c>
      <c r="V66">
        <v>9</v>
      </c>
      <c r="W66">
        <v>7</v>
      </c>
    </row>
    <row r="67" spans="19:23" x14ac:dyDescent="0.25">
      <c r="S67">
        <v>8</v>
      </c>
      <c r="T67" s="21" t="str" cm="1">
        <f t="array" ref="T67">TEXT(dhDate(T66)+1,"dd/mm/yyyy")</f>
        <v>17/07/2025</v>
      </c>
      <c r="U67">
        <v>12</v>
      </c>
      <c r="V67">
        <v>9</v>
      </c>
      <c r="W67">
        <v>7</v>
      </c>
    </row>
    <row r="68" spans="19:23" x14ac:dyDescent="0.25">
      <c r="S68">
        <v>1</v>
      </c>
      <c r="T68" s="21" t="str" cm="1">
        <f t="array" ref="T68">TEXT(dhDate(T67)+1,"dd/mm/yyyy")</f>
        <v>18/07/2025</v>
      </c>
      <c r="U68" cm="1">
        <f t="array" ref="U68:U77">TRANSPOSE(TaoMangDoLun(0,9,ABS(X49-X48),0.2,0.25,ABS(X49-X48)/10))</f>
        <v>6</v>
      </c>
      <c r="V68" cm="1">
        <f t="array" ref="V68:V77">TRANSPOSE(TaoMangDoLun(0,9,ABS(Y49-Y48),0.2,0.25,ABS(Y49-Y48)/10))</f>
        <v>7</v>
      </c>
      <c r="W68" cm="1">
        <f t="array" ref="W68:W77">TRANSPOSE(TaoMangDoLun(0,9,ABS(Z49-Z48),0.2,0.25,ABS(Z49-Z48)/10))</f>
        <v>6</v>
      </c>
    </row>
    <row r="69" spans="19:23" x14ac:dyDescent="0.25">
      <c r="S69">
        <v>2</v>
      </c>
      <c r="T69" s="21" t="str" cm="1">
        <f t="array" ref="T69">TEXT(dhDate(T68)+1,"dd/mm/yyyy")</f>
        <v>19/07/2025</v>
      </c>
      <c r="U69">
        <v>6</v>
      </c>
      <c r="V69">
        <v>7</v>
      </c>
      <c r="W69">
        <v>6</v>
      </c>
    </row>
    <row r="70" spans="19:23" x14ac:dyDescent="0.25">
      <c r="S70">
        <v>3</v>
      </c>
      <c r="T70" s="21" t="str" cm="1">
        <f t="array" ref="T70">TEXT(dhDate(T69)+1,"dd/mm/yyyy")</f>
        <v>20/07/2025</v>
      </c>
      <c r="U70">
        <v>6</v>
      </c>
      <c r="V70">
        <v>7</v>
      </c>
      <c r="W70">
        <v>6</v>
      </c>
    </row>
    <row r="71" spans="19:23" x14ac:dyDescent="0.25">
      <c r="S71">
        <v>4</v>
      </c>
      <c r="T71" s="21" t="str" cm="1">
        <f t="array" ref="T71">TEXT(dhDate(T70)+1,"dd/mm/yyyy")</f>
        <v>21/07/2025</v>
      </c>
      <c r="U71">
        <v>6</v>
      </c>
      <c r="V71">
        <v>7</v>
      </c>
      <c r="W71">
        <v>6</v>
      </c>
    </row>
    <row r="72" spans="19:23" x14ac:dyDescent="0.25">
      <c r="S72">
        <v>5</v>
      </c>
      <c r="T72" s="21" t="str" cm="1">
        <f t="array" ref="T72">TEXT(dhDate(T71)+1,"dd/mm/yyyy")</f>
        <v>22/07/2025</v>
      </c>
      <c r="U72">
        <v>6</v>
      </c>
      <c r="V72">
        <v>7</v>
      </c>
      <c r="W72">
        <v>6</v>
      </c>
    </row>
    <row r="73" spans="19:23" x14ac:dyDescent="0.25">
      <c r="S73">
        <v>6</v>
      </c>
      <c r="T73" s="21" t="str" cm="1">
        <f t="array" ref="T73">TEXT(dhDate(T72)+1,"dd/mm/yyyy")</f>
        <v>23/07/2025</v>
      </c>
      <c r="U73">
        <v>7</v>
      </c>
      <c r="V73">
        <v>7</v>
      </c>
      <c r="W73">
        <v>6</v>
      </c>
    </row>
    <row r="74" spans="19:23" x14ac:dyDescent="0.25">
      <c r="S74">
        <v>7</v>
      </c>
      <c r="T74" s="21" t="str" cm="1">
        <f t="array" ref="T74">TEXT(dhDate(T73)+1,"dd/mm/yyyy")</f>
        <v>24/07/2025</v>
      </c>
      <c r="U74">
        <v>7</v>
      </c>
      <c r="V74">
        <v>7</v>
      </c>
      <c r="W74">
        <v>6</v>
      </c>
    </row>
    <row r="75" spans="19:23" x14ac:dyDescent="0.25">
      <c r="S75">
        <v>8</v>
      </c>
      <c r="T75" s="21" t="str" cm="1">
        <f t="array" ref="T75">TEXT(dhDate(T74)+1,"dd/mm/yyyy")</f>
        <v>25/07/2025</v>
      </c>
      <c r="U75">
        <v>7</v>
      </c>
      <c r="V75">
        <v>7</v>
      </c>
      <c r="W75">
        <v>6</v>
      </c>
    </row>
    <row r="76" spans="19:23" x14ac:dyDescent="0.25">
      <c r="S76">
        <v>9</v>
      </c>
      <c r="T76" s="21" t="str" cm="1">
        <f t="array" ref="T76">TEXT(dhDate(T75)+1,"dd/mm/yyyy")</f>
        <v>26/07/2025</v>
      </c>
      <c r="U76">
        <v>7</v>
      </c>
      <c r="V76">
        <v>7</v>
      </c>
      <c r="W76">
        <v>6</v>
      </c>
    </row>
    <row r="77" spans="19:23" x14ac:dyDescent="0.25">
      <c r="S77">
        <v>10</v>
      </c>
      <c r="T77" s="21" t="str" cm="1">
        <f t="array" ref="T77">TEXT(dhDate(T76)+1,"dd/mm/yyyy")</f>
        <v>27/07/2025</v>
      </c>
      <c r="U77">
        <v>7</v>
      </c>
      <c r="V77">
        <v>7</v>
      </c>
      <c r="W77">
        <v>6</v>
      </c>
    </row>
    <row r="78" spans="19:23" x14ac:dyDescent="0.25">
      <c r="S78">
        <v>1</v>
      </c>
      <c r="T78" s="21" t="str" cm="1">
        <f t="array" ref="T78">TEXT(dhDate(T77)+1,"dd/mm/yyyy")</f>
        <v>28/07/2025</v>
      </c>
      <c r="U78" cm="1">
        <f t="array" ref="U78:U87">TRANSPOSE(TaoMangDoLun(0,9,ABS(X50-X49),0.2,0.25,ABS(X50-X49)/10))</f>
        <v>4</v>
      </c>
      <c r="V78" cm="1">
        <f t="array" ref="V78:V87">TRANSPOSE(TaoMangDoLun(0,9,ABS(Y50-Y49),0.2,0.25,ABS(Y50-Y49)/10))</f>
        <v>4</v>
      </c>
      <c r="W78" cm="1">
        <f t="array" ref="W78:W87">TRANSPOSE(TaoMangDoLun(0,9,ABS(Z50-Z49),0.2,0.25,ABS(Z50-Z49)/10))</f>
        <v>4</v>
      </c>
    </row>
    <row r="79" spans="19:23" x14ac:dyDescent="0.25">
      <c r="S79">
        <v>2</v>
      </c>
      <c r="T79" s="21" t="str" cm="1">
        <f t="array" ref="T79">TEXT(dhDate(T78)+1,"dd/mm/yyyy")</f>
        <v>29/07/2025</v>
      </c>
      <c r="U79">
        <v>4</v>
      </c>
      <c r="V79">
        <v>4</v>
      </c>
      <c r="W79">
        <v>4</v>
      </c>
    </row>
    <row r="80" spans="19:23" x14ac:dyDescent="0.25">
      <c r="S80">
        <v>3</v>
      </c>
      <c r="T80" s="21" t="str" cm="1">
        <f t="array" ref="T80">TEXT(dhDate(T79)+1,"dd/mm/yyyy")</f>
        <v>30/07/2025</v>
      </c>
      <c r="U80">
        <v>4</v>
      </c>
      <c r="V80">
        <v>4</v>
      </c>
      <c r="W80">
        <v>4</v>
      </c>
    </row>
    <row r="81" spans="19:23" x14ac:dyDescent="0.25">
      <c r="S81">
        <v>4</v>
      </c>
      <c r="T81" s="21" t="str" cm="1">
        <f t="array" ref="T81">TEXT(dhDate(T80)+1,"dd/mm/yyyy")</f>
        <v>31/07/2025</v>
      </c>
      <c r="U81">
        <v>4</v>
      </c>
      <c r="V81">
        <v>4</v>
      </c>
      <c r="W81">
        <v>4</v>
      </c>
    </row>
    <row r="82" spans="19:23" x14ac:dyDescent="0.25">
      <c r="S82">
        <v>5</v>
      </c>
      <c r="T82" s="21" t="str" cm="1">
        <f t="array" ref="T82">TEXT(dhDate(T81)+1,"dd/mm/yyyy")</f>
        <v>01/08/2025</v>
      </c>
      <c r="U82">
        <v>4</v>
      </c>
      <c r="V82">
        <v>4</v>
      </c>
      <c r="W82">
        <v>4</v>
      </c>
    </row>
    <row r="83" spans="19:23" x14ac:dyDescent="0.25">
      <c r="S83">
        <v>6</v>
      </c>
      <c r="T83" s="21" t="str" cm="1">
        <f t="array" ref="T83">TEXT(dhDate(T82)+1,"dd/mm/yyyy")</f>
        <v>02/08/2025</v>
      </c>
      <c r="U83">
        <v>5</v>
      </c>
      <c r="V83">
        <v>5</v>
      </c>
      <c r="W83">
        <v>4</v>
      </c>
    </row>
    <row r="84" spans="19:23" x14ac:dyDescent="0.25">
      <c r="S84">
        <v>7</v>
      </c>
      <c r="T84" s="21" t="str" cm="1">
        <f t="array" ref="T84">TEXT(dhDate(T83)+1,"dd/mm/yyyy")</f>
        <v>03/08/2025</v>
      </c>
      <c r="U84">
        <v>5</v>
      </c>
      <c r="V84">
        <v>5</v>
      </c>
      <c r="W84">
        <v>3</v>
      </c>
    </row>
    <row r="85" spans="19:23" x14ac:dyDescent="0.25">
      <c r="S85">
        <v>8</v>
      </c>
      <c r="T85" s="21" t="str" cm="1">
        <f t="array" ref="T85">TEXT(dhDate(T84)+1,"dd/mm/yyyy")</f>
        <v>04/08/2025</v>
      </c>
      <c r="U85">
        <v>5</v>
      </c>
      <c r="V85">
        <v>5</v>
      </c>
      <c r="W85">
        <v>3</v>
      </c>
    </row>
    <row r="86" spans="19:23" x14ac:dyDescent="0.25">
      <c r="S86">
        <v>9</v>
      </c>
      <c r="T86" s="21" t="str" cm="1">
        <f t="array" ref="T86">TEXT(dhDate(T85)+1,"dd/mm/yyyy")</f>
        <v>05/08/2025</v>
      </c>
      <c r="U86">
        <v>5</v>
      </c>
      <c r="V86">
        <v>5</v>
      </c>
      <c r="W86">
        <v>2</v>
      </c>
    </row>
    <row r="87" spans="19:23" x14ac:dyDescent="0.25">
      <c r="S87">
        <v>10</v>
      </c>
      <c r="T87" s="21" t="str" cm="1">
        <f t="array" ref="T87">TEXT(dhDate(T86)+1,"dd/mm/yyyy")</f>
        <v>06/08/2025</v>
      </c>
      <c r="U87">
        <v>5</v>
      </c>
      <c r="V87">
        <v>5</v>
      </c>
      <c r="W87">
        <v>3</v>
      </c>
    </row>
    <row r="88" spans="19:23" x14ac:dyDescent="0.25">
      <c r="S88">
        <v>1</v>
      </c>
      <c r="T88" s="21" t="str" cm="1">
        <f t="array" ref="T88">TEXT(dhDate(T87)+1,"dd/mm/yyyy")</f>
        <v>07/08/2025</v>
      </c>
      <c r="U88" cm="1">
        <f t="array" ref="U88:U96">TRANSPOSE(TaoMangDoLun(0,8,ABS(X51-X50),0.2,0.25,ABS(X51-X50)/9))</f>
        <v>7</v>
      </c>
      <c r="V88" cm="1">
        <f t="array" ref="V88:V96">TRANSPOSE(TaoMangDoLun(0,8,ABS(Y51-Y50),0.2,0.25,ABS(Y51-Y50)/9))</f>
        <v>9</v>
      </c>
      <c r="W88" cm="1">
        <f t="array" ref="W88:W96">TRANSPOSE(TaoMangDoLun(0,8,ABS(Z51-Z50),0.2,0.25,ABS(Z51-Z50)/9))</f>
        <v>7</v>
      </c>
    </row>
    <row r="89" spans="19:23" x14ac:dyDescent="0.25">
      <c r="S89">
        <v>2</v>
      </c>
      <c r="T89" s="21" t="str" cm="1">
        <f t="array" ref="T89">TEXT(dhDate(T88)+1,"dd/mm/yyyy")</f>
        <v>08/08/2025</v>
      </c>
      <c r="U89">
        <v>7</v>
      </c>
      <c r="V89">
        <v>9</v>
      </c>
      <c r="W89">
        <v>7</v>
      </c>
    </row>
    <row r="90" spans="19:23" x14ac:dyDescent="0.25">
      <c r="S90">
        <v>3</v>
      </c>
      <c r="T90" s="21" t="str" cm="1">
        <f t="array" ref="T90">TEXT(dhDate(T89)+1,"dd/mm/yyyy")</f>
        <v>09/08/2025</v>
      </c>
      <c r="U90">
        <v>7</v>
      </c>
      <c r="V90">
        <v>9</v>
      </c>
      <c r="W90">
        <v>7</v>
      </c>
    </row>
    <row r="91" spans="19:23" x14ac:dyDescent="0.25">
      <c r="S91">
        <v>4</v>
      </c>
      <c r="T91" s="21" t="str" cm="1">
        <f t="array" ref="T91">TEXT(dhDate(T90)+1,"dd/mm/yyyy")</f>
        <v>10/08/2025</v>
      </c>
      <c r="U91">
        <v>7</v>
      </c>
      <c r="V91">
        <v>9</v>
      </c>
      <c r="W91">
        <v>7</v>
      </c>
    </row>
    <row r="92" spans="19:23" x14ac:dyDescent="0.25">
      <c r="S92">
        <v>5</v>
      </c>
      <c r="T92" s="21" t="str" cm="1">
        <f t="array" ref="T92">TEXT(dhDate(T91)+1,"dd/mm/yyyy")</f>
        <v>11/08/2025</v>
      </c>
      <c r="U92">
        <v>7</v>
      </c>
      <c r="V92">
        <v>9</v>
      </c>
      <c r="W92">
        <v>7</v>
      </c>
    </row>
    <row r="93" spans="19:23" x14ac:dyDescent="0.25">
      <c r="S93">
        <v>6</v>
      </c>
      <c r="T93" s="21" t="str" cm="1">
        <f t="array" ref="T93">TEXT(dhDate(T92)+1,"dd/mm/yyyy")</f>
        <v>12/08/2025</v>
      </c>
      <c r="U93">
        <v>6</v>
      </c>
      <c r="V93">
        <v>9</v>
      </c>
      <c r="W93">
        <v>7</v>
      </c>
    </row>
    <row r="94" spans="19:23" x14ac:dyDescent="0.25">
      <c r="S94">
        <v>7</v>
      </c>
      <c r="T94" s="21" t="str" cm="1">
        <f t="array" ref="T94">TEXT(dhDate(T93)+1,"dd/mm/yyyy")</f>
        <v>13/08/2025</v>
      </c>
      <c r="U94">
        <v>5</v>
      </c>
      <c r="V94">
        <v>8</v>
      </c>
      <c r="W94">
        <v>7</v>
      </c>
    </row>
    <row r="95" spans="19:23" x14ac:dyDescent="0.25">
      <c r="S95">
        <v>8</v>
      </c>
      <c r="T95" s="21" t="str" cm="1">
        <f t="array" ref="T95">TEXT(dhDate(T94)+1,"dd/mm/yyyy")</f>
        <v>14/08/2025</v>
      </c>
      <c r="U95">
        <v>6</v>
      </c>
      <c r="V95">
        <v>9</v>
      </c>
      <c r="W95">
        <v>8</v>
      </c>
    </row>
    <row r="96" spans="19:23" x14ac:dyDescent="0.25">
      <c r="S96">
        <v>9</v>
      </c>
      <c r="T96" s="21" t="str" cm="1">
        <f t="array" ref="T96">TEXT(dhDate(T95)+1,"dd/mm/yyyy")</f>
        <v>15/08/2025</v>
      </c>
      <c r="U96">
        <v>8</v>
      </c>
      <c r="V96">
        <v>9</v>
      </c>
      <c r="W96">
        <v>8</v>
      </c>
    </row>
  </sheetData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ED933-5304-45A2-9654-89A7808CC94A}">
  <sheetPr codeName="Sheet5"/>
  <dimension ref="A1:F35"/>
  <sheetViews>
    <sheetView topLeftCell="A10" workbookViewId="0">
      <selection activeCell="F2" sqref="F2:F31"/>
    </sheetView>
  </sheetViews>
  <sheetFormatPr defaultRowHeight="15" x14ac:dyDescent="0.25"/>
  <cols>
    <col min="1" max="1" width="17" bestFit="1" customWidth="1"/>
    <col min="2" max="2" width="34.28515625" bestFit="1" customWidth="1"/>
    <col min="3" max="3" width="72.42578125" bestFit="1" customWidth="1"/>
    <col min="4" max="4" width="11.85546875" bestFit="1" customWidth="1"/>
    <col min="5" max="5" width="14.85546875" bestFit="1" customWidth="1"/>
  </cols>
  <sheetData>
    <row r="1" spans="1:6" x14ac:dyDescent="0.25">
      <c r="A1" s="12" t="s">
        <v>20</v>
      </c>
      <c r="B1" s="12" t="s">
        <v>21</v>
      </c>
      <c r="C1" s="12" t="s">
        <v>22</v>
      </c>
      <c r="D1" s="12" t="s">
        <v>23</v>
      </c>
      <c r="E1" s="13" t="s">
        <v>24</v>
      </c>
    </row>
    <row r="2" spans="1:6" x14ac:dyDescent="0.25">
      <c r="A2" t="s">
        <v>340</v>
      </c>
      <c r="B2" s="3" t="s">
        <v>193</v>
      </c>
      <c r="C2" t="s">
        <v>334</v>
      </c>
      <c r="F2" t="s">
        <v>369</v>
      </c>
    </row>
    <row r="3" spans="1:6" x14ac:dyDescent="0.25">
      <c r="A3" t="s">
        <v>341</v>
      </c>
      <c r="B3" s="8" t="s">
        <v>195</v>
      </c>
      <c r="C3" t="s">
        <v>342</v>
      </c>
      <c r="F3" t="s">
        <v>370</v>
      </c>
    </row>
    <row r="4" spans="1:6" x14ac:dyDescent="0.25">
      <c r="A4" t="s">
        <v>343</v>
      </c>
      <c r="B4" s="3" t="s">
        <v>198</v>
      </c>
      <c r="C4" t="s">
        <v>333</v>
      </c>
      <c r="F4" t="s">
        <v>371</v>
      </c>
    </row>
    <row r="5" spans="1:6" x14ac:dyDescent="0.25">
      <c r="A5" t="s">
        <v>344</v>
      </c>
      <c r="B5" s="3" t="s">
        <v>201</v>
      </c>
      <c r="C5" t="s">
        <v>332</v>
      </c>
      <c r="F5" t="s">
        <v>372</v>
      </c>
    </row>
    <row r="6" spans="1:6" x14ac:dyDescent="0.25">
      <c r="A6" t="s">
        <v>345</v>
      </c>
      <c r="B6" s="3" t="s">
        <v>205</v>
      </c>
      <c r="C6" t="s">
        <v>331</v>
      </c>
      <c r="F6" t="s">
        <v>373</v>
      </c>
    </row>
    <row r="7" spans="1:6" x14ac:dyDescent="0.25">
      <c r="A7" t="s">
        <v>346</v>
      </c>
      <c r="B7" s="3" t="s">
        <v>208</v>
      </c>
      <c r="C7" t="s">
        <v>330</v>
      </c>
      <c r="F7" t="s">
        <v>374</v>
      </c>
    </row>
    <row r="8" spans="1:6" x14ac:dyDescent="0.25">
      <c r="A8" t="s">
        <v>375</v>
      </c>
      <c r="B8" s="3" t="s">
        <v>211</v>
      </c>
      <c r="C8" t="s">
        <v>329</v>
      </c>
      <c r="F8" t="s">
        <v>376</v>
      </c>
    </row>
    <row r="9" spans="1:6" x14ac:dyDescent="0.25">
      <c r="A9" t="s">
        <v>347</v>
      </c>
      <c r="B9" s="3" t="s">
        <v>215</v>
      </c>
      <c r="C9" t="s">
        <v>328</v>
      </c>
      <c r="F9" t="s">
        <v>377</v>
      </c>
    </row>
    <row r="10" spans="1:6" x14ac:dyDescent="0.25">
      <c r="A10" t="s">
        <v>348</v>
      </c>
      <c r="B10" s="3" t="s">
        <v>218</v>
      </c>
      <c r="C10" t="s">
        <v>327</v>
      </c>
      <c r="F10" t="s">
        <v>378</v>
      </c>
    </row>
    <row r="11" spans="1:6" x14ac:dyDescent="0.25">
      <c r="A11" t="s">
        <v>349</v>
      </c>
      <c r="B11" s="3" t="s">
        <v>221</v>
      </c>
      <c r="C11" t="s">
        <v>326</v>
      </c>
      <c r="F11" t="s">
        <v>379</v>
      </c>
    </row>
    <row r="12" spans="1:6" x14ac:dyDescent="0.25">
      <c r="A12" t="s">
        <v>350</v>
      </c>
      <c r="B12" s="3" t="s">
        <v>224</v>
      </c>
      <c r="C12" t="s">
        <v>325</v>
      </c>
      <c r="F12" t="s">
        <v>380</v>
      </c>
    </row>
    <row r="13" spans="1:6" x14ac:dyDescent="0.25">
      <c r="A13" t="s">
        <v>351</v>
      </c>
      <c r="B13" s="3" t="s">
        <v>227</v>
      </c>
      <c r="C13" t="s">
        <v>324</v>
      </c>
      <c r="F13" t="s">
        <v>381</v>
      </c>
    </row>
    <row r="14" spans="1:6" x14ac:dyDescent="0.25">
      <c r="A14" t="s">
        <v>352</v>
      </c>
      <c r="B14" s="3" t="s">
        <v>230</v>
      </c>
      <c r="C14" t="s">
        <v>323</v>
      </c>
      <c r="F14" t="s">
        <v>382</v>
      </c>
    </row>
    <row r="15" spans="1:6" x14ac:dyDescent="0.25">
      <c r="A15" t="s">
        <v>353</v>
      </c>
      <c r="B15" s="3" t="s">
        <v>233</v>
      </c>
      <c r="C15" t="s">
        <v>322</v>
      </c>
      <c r="F15" t="s">
        <v>383</v>
      </c>
    </row>
    <row r="16" spans="1:6" x14ac:dyDescent="0.25">
      <c r="A16" t="s">
        <v>354</v>
      </c>
      <c r="B16" s="3" t="s">
        <v>237</v>
      </c>
      <c r="C16" t="s">
        <v>321</v>
      </c>
      <c r="F16" t="s">
        <v>384</v>
      </c>
    </row>
    <row r="17" spans="1:6" x14ac:dyDescent="0.25">
      <c r="A17" t="s">
        <v>355</v>
      </c>
      <c r="B17" s="3" t="s">
        <v>241</v>
      </c>
      <c r="C17" t="s">
        <v>320</v>
      </c>
      <c r="F17" t="s">
        <v>385</v>
      </c>
    </row>
    <row r="18" spans="1:6" x14ac:dyDescent="0.25">
      <c r="A18" t="s">
        <v>356</v>
      </c>
      <c r="B18" s="3" t="s">
        <v>249</v>
      </c>
      <c r="C18" t="s">
        <v>319</v>
      </c>
      <c r="F18" t="s">
        <v>386</v>
      </c>
    </row>
    <row r="19" spans="1:6" x14ac:dyDescent="0.25">
      <c r="A19" s="5" t="s">
        <v>357</v>
      </c>
      <c r="B19" s="7" t="s">
        <v>253</v>
      </c>
      <c r="C19" s="5" t="s">
        <v>318</v>
      </c>
      <c r="D19" s="5"/>
      <c r="E19" s="5"/>
      <c r="F19" s="5" t="s">
        <v>387</v>
      </c>
    </row>
    <row r="20" spans="1:6" x14ac:dyDescent="0.25">
      <c r="A20" t="s">
        <v>358</v>
      </c>
      <c r="B20" s="3" t="s">
        <v>257</v>
      </c>
      <c r="C20" t="s">
        <v>317</v>
      </c>
      <c r="F20" t="s">
        <v>388</v>
      </c>
    </row>
    <row r="21" spans="1:6" x14ac:dyDescent="0.25">
      <c r="A21" t="s">
        <v>359</v>
      </c>
      <c r="B21" s="3" t="s">
        <v>261</v>
      </c>
      <c r="C21" t="s">
        <v>316</v>
      </c>
      <c r="F21" t="s">
        <v>389</v>
      </c>
    </row>
    <row r="22" spans="1:6" x14ac:dyDescent="0.25">
      <c r="A22" t="s">
        <v>360</v>
      </c>
      <c r="B22" s="3" t="s">
        <v>264</v>
      </c>
      <c r="C22" t="s">
        <v>315</v>
      </c>
      <c r="F22" t="s">
        <v>390</v>
      </c>
    </row>
    <row r="23" spans="1:6" x14ac:dyDescent="0.25">
      <c r="A23" t="s">
        <v>361</v>
      </c>
      <c r="B23" s="3" t="s">
        <v>268</v>
      </c>
      <c r="C23" t="s">
        <v>314</v>
      </c>
      <c r="F23" t="s">
        <v>391</v>
      </c>
    </row>
    <row r="24" spans="1:6" x14ac:dyDescent="0.25">
      <c r="A24" t="s">
        <v>399</v>
      </c>
      <c r="B24" s="3" t="s">
        <v>270</v>
      </c>
      <c r="C24" t="s">
        <v>313</v>
      </c>
      <c r="F24" t="s">
        <v>400</v>
      </c>
    </row>
    <row r="25" spans="1:6" x14ac:dyDescent="0.25">
      <c r="A25" t="s">
        <v>362</v>
      </c>
      <c r="B25" s="3" t="s">
        <v>272</v>
      </c>
      <c r="C25" t="s">
        <v>312</v>
      </c>
      <c r="F25" t="s">
        <v>392</v>
      </c>
    </row>
    <row r="26" spans="1:6" x14ac:dyDescent="0.25">
      <c r="A26" t="s">
        <v>363</v>
      </c>
      <c r="B26" s="3" t="s">
        <v>274</v>
      </c>
      <c r="C26" t="s">
        <v>311</v>
      </c>
      <c r="F26" t="s">
        <v>393</v>
      </c>
    </row>
    <row r="27" spans="1:6" x14ac:dyDescent="0.25">
      <c r="A27" t="s">
        <v>364</v>
      </c>
      <c r="B27" s="3" t="s">
        <v>277</v>
      </c>
      <c r="C27" t="s">
        <v>310</v>
      </c>
      <c r="F27" t="s">
        <v>394</v>
      </c>
    </row>
    <row r="28" spans="1:6" x14ac:dyDescent="0.25">
      <c r="A28" t="s">
        <v>365</v>
      </c>
      <c r="B28" s="3" t="s">
        <v>278</v>
      </c>
      <c r="C28" t="s">
        <v>309</v>
      </c>
      <c r="F28" t="s">
        <v>395</v>
      </c>
    </row>
    <row r="29" spans="1:6" x14ac:dyDescent="0.25">
      <c r="A29" t="s">
        <v>366</v>
      </c>
      <c r="B29" s="3" t="s">
        <v>282</v>
      </c>
      <c r="C29" t="s">
        <v>308</v>
      </c>
      <c r="F29" t="s">
        <v>396</v>
      </c>
    </row>
    <row r="30" spans="1:6" x14ac:dyDescent="0.25">
      <c r="A30" t="s">
        <v>367</v>
      </c>
      <c r="B30" s="3" t="s">
        <v>285</v>
      </c>
      <c r="C30" t="s">
        <v>307</v>
      </c>
      <c r="F30" t="s">
        <v>397</v>
      </c>
    </row>
    <row r="31" spans="1:6" x14ac:dyDescent="0.25">
      <c r="A31" t="s">
        <v>368</v>
      </c>
      <c r="B31" s="7" t="s">
        <v>288</v>
      </c>
      <c r="C31" t="s">
        <v>306</v>
      </c>
      <c r="F31" t="s">
        <v>398</v>
      </c>
    </row>
    <row r="32" spans="1:6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DS Goi Thau</vt:lpstr>
      <vt:lpstr>DS Mat Cat</vt:lpstr>
      <vt:lpstr>Caches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2025-08-19T13:38:40Z</dcterms:modified>
</cp:coreProperties>
</file>