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13_ncr:1_{8B3B84FF-64DD-4938-8B2A-E4DD6DE03C64}" xr6:coauthVersionLast="47" xr6:coauthVersionMax="47" xr10:uidLastSave="{00000000-0000-0000-0000-000000000000}"/>
  <bookViews>
    <workbookView xWindow="-120" yWindow="-16560" windowWidth="29040" windowHeight="15720" xr2:uid="{F4C30C40-8A99-4608-A733-396B3763C1E5}"/>
  </bookViews>
  <sheets>
    <sheet name="115+040" sheetId="2" r:id="rId1"/>
    <sheet name="BC.115+040" sheetId="3" r:id="rId2"/>
    <sheet name="SL.115+040" sheetId="4" r:id="rId3"/>
    <sheet name="Sheet1" sheetId="1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'115+040'!$A$1:$AB$610</definedName>
    <definedName name="_xlnm.Print_Area" localSheetId="1">'BC.115+040'!$A$1:$AB$339</definedName>
    <definedName name="_xlnm.Print_Area" localSheetId="2">'SL.115+040'!$A$1:$O$401</definedName>
    <definedName name="_xlnm.Print_Titles" localSheetId="0">'115+040'!$8:$10</definedName>
    <definedName name="_xlnm.Print_Titles" localSheetId="1">'BC.115+040'!$1:$12</definedName>
    <definedName name="_xlnm.Print_Titles" localSheetId="2">'SL.115+040'!$12:$13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'115+040'!#REF!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7" i="2" l="1"/>
  <c r="A1" i="2"/>
  <c r="Z34" i="2"/>
  <c r="Z35" i="2" s="1"/>
  <c r="Z36" i="2" s="1"/>
  <c r="Z37" i="2" s="1"/>
  <c r="Z38" i="2" s="1"/>
  <c r="Z39" i="2" s="1"/>
  <c r="Z40" i="2" s="1"/>
  <c r="Z41" i="2" s="1"/>
  <c r="Z42" i="2" s="1"/>
  <c r="Z43" i="2" s="1"/>
  <c r="Z44" i="2" s="1"/>
  <c r="Z45" i="2" s="1"/>
  <c r="Z46" i="2" s="1"/>
  <c r="Z47" i="2" s="1"/>
  <c r="Z48" i="2" s="1"/>
  <c r="Z49" i="2" s="1"/>
  <c r="Z50" i="2" s="1"/>
  <c r="Z51" i="2" s="1"/>
  <c r="Z52" i="2" s="1"/>
  <c r="Z53" i="2" s="1"/>
  <c r="Z54" i="2" s="1"/>
  <c r="Z55" i="2" s="1"/>
  <c r="Z56" i="2" s="1"/>
  <c r="Z57" i="2" s="1"/>
  <c r="Z58" i="2" s="1"/>
  <c r="Z59" i="2" s="1"/>
  <c r="Z60" i="2" s="1"/>
  <c r="Z61" i="2" s="1"/>
  <c r="Z62" i="2" s="1"/>
  <c r="Z63" i="2" s="1"/>
  <c r="Z64" i="2" s="1"/>
  <c r="Z65" i="2" s="1"/>
  <c r="Z66" i="2" s="1"/>
  <c r="Z67" i="2" s="1"/>
  <c r="Z68" i="2" s="1"/>
  <c r="Z69" i="2" s="1"/>
  <c r="Z70" i="2" s="1"/>
  <c r="Z71" i="2" s="1"/>
  <c r="Z72" i="2" s="1"/>
  <c r="Z73" i="2" s="1"/>
  <c r="Z74" i="2" s="1"/>
  <c r="Z75" i="2" s="1"/>
  <c r="Z76" i="2" s="1"/>
  <c r="Z77" i="2" s="1"/>
  <c r="Z78" i="2" s="1"/>
  <c r="Z79" i="2" s="1"/>
  <c r="Z80" i="2" s="1"/>
  <c r="Z81" i="2" s="1"/>
  <c r="Z82" i="2" s="1"/>
  <c r="Z83" i="2" s="1"/>
  <c r="Z84" i="2" s="1"/>
  <c r="Z85" i="2" s="1"/>
  <c r="Z86" i="2" s="1"/>
  <c r="Z87" i="2" s="1"/>
  <c r="Z88" i="2" s="1"/>
  <c r="Z89" i="2" s="1"/>
  <c r="Z90" i="2" s="1"/>
  <c r="Z91" i="2" s="1"/>
  <c r="Z92" i="2" s="1"/>
  <c r="Z93" i="2" s="1"/>
  <c r="Z94" i="2" s="1"/>
  <c r="Z95" i="2" s="1"/>
  <c r="Z96" i="2" s="1"/>
  <c r="Z97" i="2" s="1"/>
  <c r="Z98" i="2" s="1"/>
  <c r="Z99" i="2" s="1"/>
  <c r="Z100" i="2" s="1"/>
  <c r="Z101" i="2" s="1"/>
  <c r="Z102" i="2" s="1"/>
  <c r="Z103" i="2" s="1"/>
  <c r="Z104" i="2" s="1"/>
  <c r="Z105" i="2" s="1"/>
  <c r="Z106" i="2" s="1"/>
  <c r="Z107" i="2" s="1"/>
  <c r="Z108" i="2" s="1"/>
  <c r="Z109" i="2" s="1"/>
  <c r="Z110" i="2" s="1"/>
  <c r="Z111" i="2" s="1"/>
  <c r="Z112" i="2" s="1"/>
  <c r="Z113" i="2" s="1"/>
  <c r="Z114" i="2" s="1"/>
  <c r="Z115" i="2" s="1"/>
  <c r="Z116" i="2" s="1"/>
  <c r="Z117" i="2" s="1"/>
  <c r="Z118" i="2" s="1"/>
  <c r="Z119" i="2" s="1"/>
  <c r="Z120" i="2" s="1"/>
  <c r="Z121" i="2" s="1"/>
  <c r="Z122" i="2" s="1"/>
  <c r="Z123" i="2" s="1"/>
  <c r="Z124" i="2" s="1"/>
  <c r="Z125" i="2" s="1"/>
  <c r="Z126" i="2" s="1"/>
  <c r="Z127" i="2" s="1"/>
  <c r="Z128" i="2" s="1"/>
  <c r="Z129" i="2" s="1"/>
  <c r="Z130" i="2" s="1"/>
  <c r="Z131" i="2" s="1"/>
  <c r="Z132" i="2" s="1"/>
  <c r="Z133" i="2" s="1"/>
  <c r="Z134" i="2" s="1"/>
  <c r="Z135" i="2" s="1"/>
  <c r="Z136" i="2" s="1"/>
  <c r="Z137" i="2" s="1"/>
  <c r="Z138" i="2" s="1"/>
  <c r="Z139" i="2" s="1"/>
  <c r="Z140" i="2" s="1"/>
  <c r="Z141" i="2" s="1"/>
  <c r="Z142" i="2" s="1"/>
  <c r="Z143" i="2" s="1"/>
  <c r="Z144" i="2" s="1"/>
  <c r="Z145" i="2" s="1"/>
  <c r="Z146" i="2" s="1"/>
  <c r="Z147" i="2" s="1"/>
  <c r="Z148" i="2" s="1"/>
  <c r="Z149" i="2" s="1"/>
  <c r="Z150" i="2" s="1"/>
  <c r="Z151" i="2" s="1"/>
  <c r="Z152" i="2" s="1"/>
  <c r="Z153" i="2" s="1"/>
  <c r="Z154" i="2" s="1"/>
  <c r="Z155" i="2" s="1"/>
  <c r="Z156" i="2" s="1"/>
  <c r="Z157" i="2" s="1"/>
  <c r="Z158" i="2" s="1"/>
  <c r="Z159" i="2" s="1"/>
  <c r="Z160" i="2" s="1"/>
  <c r="Z161" i="2" s="1"/>
  <c r="Z162" i="2" s="1"/>
  <c r="Z163" i="2" s="1"/>
  <c r="Z164" i="2" s="1"/>
  <c r="Z165" i="2" s="1"/>
  <c r="Z166" i="2" s="1"/>
  <c r="Z167" i="2" s="1"/>
  <c r="Z168" i="2" s="1"/>
  <c r="Z169" i="2" s="1"/>
  <c r="Z170" i="2" s="1"/>
  <c r="Z171" i="2" s="1"/>
  <c r="Z172" i="2" s="1"/>
  <c r="Z173" i="2" s="1"/>
  <c r="Z174" i="2" s="1"/>
  <c r="Z175" i="2" s="1"/>
  <c r="Z176" i="2" s="1"/>
  <c r="Z177" i="2" s="1"/>
  <c r="Z178" i="2" s="1"/>
  <c r="Z179" i="2" s="1"/>
  <c r="Z180" i="2" s="1"/>
  <c r="Z181" i="2" s="1"/>
  <c r="Z182" i="2" s="1"/>
  <c r="Z183" i="2" s="1"/>
  <c r="Z184" i="2" s="1"/>
  <c r="Z185" i="2" s="1"/>
  <c r="Z186" i="2" s="1"/>
  <c r="Z187" i="2" s="1"/>
  <c r="Z188" i="2" s="1"/>
  <c r="Z189" i="2" s="1"/>
  <c r="Z190" i="2" s="1"/>
  <c r="Z191" i="2" s="1"/>
  <c r="Z192" i="2" s="1"/>
  <c r="Z193" i="2" s="1"/>
  <c r="Z194" i="2" s="1"/>
  <c r="Z195" i="2" s="1"/>
  <c r="Z196" i="2" s="1"/>
  <c r="Z197" i="2" s="1"/>
  <c r="Z198" i="2" s="1"/>
  <c r="Z199" i="2" s="1"/>
  <c r="Z200" i="2" s="1"/>
  <c r="Z201" i="2" s="1"/>
  <c r="Z202" i="2" s="1"/>
  <c r="Z203" i="2" s="1"/>
  <c r="Z204" i="2" s="1"/>
  <c r="Z205" i="2" s="1"/>
  <c r="Z206" i="2" s="1"/>
  <c r="Z207" i="2" s="1"/>
  <c r="Z208" i="2" s="1"/>
  <c r="Z209" i="2" s="1"/>
  <c r="Z210" i="2" s="1"/>
  <c r="Z211" i="2" s="1"/>
  <c r="Z212" i="2" s="1"/>
  <c r="Z213" i="2" s="1"/>
  <c r="Z214" i="2" s="1"/>
  <c r="Z215" i="2" s="1"/>
  <c r="Z216" i="2" s="1"/>
  <c r="Z217" i="2" s="1"/>
  <c r="Z218" i="2" s="1"/>
  <c r="Z219" i="2" s="1"/>
  <c r="Z220" i="2" s="1"/>
  <c r="Z221" i="2" s="1"/>
  <c r="Z222" i="2" s="1"/>
  <c r="Z223" i="2" s="1"/>
  <c r="Z224" i="2" s="1"/>
  <c r="Z225" i="2" s="1"/>
  <c r="Z226" i="2" s="1"/>
  <c r="Z227" i="2" s="1"/>
  <c r="Z228" i="2" s="1"/>
  <c r="Z229" i="2" s="1"/>
  <c r="Z230" i="2" s="1"/>
  <c r="Z231" i="2" s="1"/>
  <c r="Z232" i="2" s="1"/>
  <c r="Z233" i="2" s="1"/>
  <c r="Z234" i="2" s="1"/>
  <c r="Z235" i="2" s="1"/>
  <c r="Z236" i="2" s="1"/>
  <c r="Z237" i="2" s="1"/>
  <c r="Z238" i="2" s="1"/>
  <c r="Z239" i="2" s="1"/>
  <c r="Z240" i="2" s="1"/>
  <c r="Z241" i="2" s="1"/>
  <c r="Z242" i="2" s="1"/>
  <c r="Z243" i="2" s="1"/>
  <c r="Z244" i="2" s="1"/>
  <c r="Z245" i="2" s="1"/>
  <c r="Z246" i="2" s="1"/>
  <c r="Z247" i="2" s="1"/>
  <c r="Z248" i="2" s="1"/>
  <c r="Z249" i="2" s="1"/>
  <c r="Z250" i="2" s="1"/>
  <c r="Z251" i="2" s="1"/>
  <c r="Z252" i="2" s="1"/>
  <c r="Z253" i="2" s="1"/>
  <c r="Z254" i="2" s="1"/>
  <c r="Z255" i="2" s="1"/>
  <c r="Z256" i="2" s="1"/>
  <c r="Z257" i="2" s="1"/>
  <c r="Z258" i="2" s="1"/>
  <c r="Z259" i="2" s="1"/>
  <c r="Z260" i="2" s="1"/>
  <c r="Z261" i="2" s="1"/>
  <c r="Z262" i="2" s="1"/>
  <c r="Z263" i="2" s="1"/>
  <c r="Z264" i="2" s="1"/>
  <c r="Z265" i="2" s="1"/>
  <c r="Z266" i="2" s="1"/>
  <c r="Z267" i="2" s="1"/>
  <c r="Z268" i="2" s="1"/>
  <c r="Z269" i="2" s="1"/>
  <c r="Z270" i="2" s="1"/>
  <c r="Z271" i="2" s="1"/>
  <c r="Z272" i="2" s="1"/>
  <c r="Z273" i="2" s="1"/>
  <c r="Z274" i="2" s="1"/>
  <c r="Z275" i="2" s="1"/>
  <c r="Z276" i="2" s="1"/>
  <c r="Z277" i="2" s="1"/>
  <c r="Z278" i="2" s="1"/>
  <c r="Z279" i="2" s="1"/>
  <c r="Z280" i="2" s="1"/>
  <c r="Z281" i="2" s="1"/>
  <c r="Z282" i="2" s="1"/>
  <c r="Z283" i="2" s="1"/>
  <c r="Z284" i="2" s="1"/>
  <c r="Z285" i="2" s="1"/>
  <c r="Z286" i="2" s="1"/>
  <c r="Z287" i="2" s="1"/>
  <c r="Z288" i="2" s="1"/>
  <c r="Z289" i="2" s="1"/>
  <c r="Z290" i="2" s="1"/>
  <c r="Z291" i="2" s="1"/>
  <c r="Z292" i="2" s="1"/>
  <c r="Z293" i="2" s="1"/>
  <c r="Z294" i="2" s="1"/>
  <c r="Z295" i="2" s="1"/>
  <c r="Z296" i="2" s="1"/>
  <c r="Z297" i="2" s="1"/>
  <c r="Z298" i="2" s="1"/>
  <c r="Z299" i="2" s="1"/>
  <c r="Z300" i="2" s="1"/>
  <c r="Z301" i="2" s="1"/>
  <c r="Z302" i="2" s="1"/>
  <c r="Z303" i="2" s="1"/>
  <c r="Z304" i="2" s="1"/>
  <c r="Z305" i="2" s="1"/>
  <c r="Z306" i="2" s="1"/>
  <c r="Z307" i="2" s="1"/>
  <c r="Z308" i="2" s="1"/>
  <c r="Z309" i="2" s="1"/>
  <c r="Z310" i="2" s="1"/>
  <c r="Z311" i="2" s="1"/>
  <c r="Z312" i="2" s="1"/>
  <c r="Z313" i="2" s="1"/>
  <c r="Z314" i="2" s="1"/>
  <c r="Z315" i="2" s="1"/>
  <c r="Z316" i="2" s="1"/>
  <c r="Z317" i="2" s="1"/>
  <c r="Z318" i="2" s="1"/>
  <c r="Z319" i="2" s="1"/>
  <c r="Z320" i="2" s="1"/>
  <c r="Z321" i="2" s="1"/>
  <c r="Z322" i="2" s="1"/>
  <c r="Z323" i="2" s="1"/>
  <c r="Z324" i="2" s="1"/>
  <c r="Z325" i="2" s="1"/>
  <c r="Z326" i="2" s="1"/>
  <c r="Z327" i="2" s="1"/>
  <c r="Z328" i="2" s="1"/>
  <c r="Z329" i="2" s="1"/>
  <c r="Z330" i="2" s="1"/>
  <c r="Z331" i="2" s="1"/>
  <c r="Z332" i="2" s="1"/>
  <c r="Z333" i="2" s="1"/>
  <c r="Z334" i="2" s="1"/>
  <c r="Z335" i="2" s="1"/>
  <c r="Z336" i="2" s="1"/>
  <c r="Z337" i="2" s="1"/>
  <c r="Z338" i="2" s="1"/>
  <c r="Z339" i="2" s="1"/>
  <c r="Z340" i="2" s="1"/>
  <c r="Z341" i="2" s="1"/>
  <c r="Z342" i="2" s="1"/>
  <c r="Z343" i="2" s="1"/>
  <c r="Z344" i="2" s="1"/>
  <c r="Z345" i="2" s="1"/>
  <c r="Z346" i="2" s="1"/>
  <c r="Z347" i="2" s="1"/>
  <c r="Z348" i="2" s="1"/>
  <c r="Z349" i="2" s="1"/>
  <c r="Z350" i="2" s="1"/>
  <c r="Z351" i="2" s="1"/>
  <c r="Z352" i="2" s="1"/>
  <c r="Z353" i="2" s="1"/>
  <c r="Z354" i="2" s="1"/>
  <c r="Z355" i="2" s="1"/>
  <c r="Z356" i="2" s="1"/>
  <c r="Z357" i="2" s="1"/>
  <c r="Z358" i="2" s="1"/>
  <c r="Z359" i="2" s="1"/>
  <c r="Z360" i="2" s="1"/>
  <c r="Z361" i="2" s="1"/>
  <c r="Z362" i="2" s="1"/>
  <c r="Z363" i="2" s="1"/>
  <c r="Z364" i="2" s="1"/>
  <c r="Z365" i="2" s="1"/>
  <c r="Z366" i="2" s="1"/>
  <c r="Z367" i="2" s="1"/>
  <c r="Z368" i="2" s="1"/>
  <c r="Z369" i="2" s="1"/>
  <c r="Z370" i="2" s="1"/>
  <c r="Z371" i="2" s="1"/>
  <c r="Z372" i="2" s="1"/>
  <c r="Z373" i="2" s="1"/>
  <c r="Z374" i="2" s="1"/>
  <c r="Z375" i="2" s="1"/>
  <c r="Z376" i="2" s="1"/>
  <c r="Z377" i="2" s="1"/>
  <c r="Z378" i="2" s="1"/>
  <c r="Z379" i="2" s="1"/>
  <c r="Z380" i="2" s="1"/>
  <c r="Z381" i="2" s="1"/>
  <c r="Z382" i="2" s="1"/>
  <c r="Z383" i="2" s="1"/>
  <c r="Z384" i="2" s="1"/>
  <c r="Z385" i="2" s="1"/>
  <c r="Z386" i="2" s="1"/>
  <c r="Z387" i="2" s="1"/>
  <c r="Z388" i="2" s="1"/>
  <c r="Z389" i="2" s="1"/>
  <c r="Z390" i="2" s="1"/>
  <c r="Z391" i="2" s="1"/>
  <c r="Z392" i="2" s="1"/>
  <c r="Z393" i="2" s="1"/>
  <c r="Z394" i="2" s="1"/>
  <c r="Z395" i="2" s="1"/>
  <c r="Z396" i="2" s="1"/>
  <c r="Z397" i="2" s="1"/>
  <c r="Z398" i="2" s="1"/>
  <c r="Z399" i="2" s="1"/>
  <c r="Z400" i="2" s="1"/>
  <c r="Z401" i="2" s="1"/>
  <c r="Z402" i="2" s="1"/>
  <c r="Z403" i="2" s="1"/>
  <c r="Z404" i="2" s="1"/>
  <c r="Z405" i="2" s="1"/>
  <c r="Z406" i="2" s="1"/>
  <c r="Z407" i="2" s="1"/>
  <c r="Z408" i="2" s="1"/>
  <c r="Z409" i="2" s="1"/>
  <c r="Z410" i="2" s="1"/>
  <c r="Z411" i="2" s="1"/>
  <c r="Z412" i="2" s="1"/>
  <c r="Z413" i="2" s="1"/>
  <c r="Z414" i="2" s="1"/>
  <c r="Z415" i="2" s="1"/>
  <c r="Z416" i="2" s="1"/>
  <c r="Z417" i="2" s="1"/>
  <c r="Z418" i="2" s="1"/>
  <c r="Z419" i="2" s="1"/>
  <c r="Z420" i="2" s="1"/>
  <c r="Z421" i="2" s="1"/>
  <c r="Z422" i="2" s="1"/>
  <c r="Z423" i="2" s="1"/>
  <c r="Z424" i="2" s="1"/>
  <c r="Z425" i="2" s="1"/>
  <c r="Z426" i="2" s="1"/>
  <c r="Z427" i="2" s="1"/>
  <c r="Z428" i="2" s="1"/>
  <c r="Z429" i="2" s="1"/>
  <c r="Z430" i="2" s="1"/>
  <c r="Z431" i="2" s="1"/>
  <c r="Z432" i="2" s="1"/>
  <c r="Z433" i="2" s="1"/>
  <c r="Z434" i="2" s="1"/>
  <c r="Z435" i="2" s="1"/>
  <c r="Z436" i="2" s="1"/>
  <c r="Z437" i="2" s="1"/>
  <c r="Z438" i="2" s="1"/>
  <c r="Z439" i="2" s="1"/>
  <c r="Z440" i="2" s="1"/>
  <c r="Z441" i="2" s="1"/>
  <c r="Z442" i="2" s="1"/>
  <c r="Z443" i="2" s="1"/>
  <c r="Z444" i="2" s="1"/>
  <c r="Z445" i="2" s="1"/>
  <c r="Z446" i="2" s="1"/>
  <c r="Z447" i="2" s="1"/>
  <c r="Z448" i="2" s="1"/>
  <c r="Z449" i="2" s="1"/>
  <c r="Z450" i="2" s="1"/>
  <c r="Z451" i="2" s="1"/>
  <c r="Z452" i="2" s="1"/>
  <c r="Z453" i="2" s="1"/>
  <c r="Z454" i="2" s="1"/>
  <c r="Z455" i="2" s="1"/>
  <c r="Z456" i="2" s="1"/>
  <c r="Z457" i="2" s="1"/>
  <c r="Z458" i="2" s="1"/>
  <c r="Z459" i="2" s="1"/>
  <c r="Z460" i="2" s="1"/>
  <c r="Z461" i="2" s="1"/>
  <c r="Z462" i="2" s="1"/>
  <c r="Z463" i="2" s="1"/>
  <c r="Z464" i="2" s="1"/>
  <c r="Z465" i="2" s="1"/>
  <c r="Z466" i="2" s="1"/>
  <c r="Z467" i="2" s="1"/>
  <c r="Z468" i="2" s="1"/>
  <c r="Z469" i="2" s="1"/>
  <c r="Z470" i="2" s="1"/>
  <c r="Z471" i="2" s="1"/>
  <c r="Z472" i="2" s="1"/>
  <c r="Z473" i="2" s="1"/>
  <c r="Z474" i="2" s="1"/>
  <c r="Z475" i="2" s="1"/>
  <c r="Z476" i="2" s="1"/>
  <c r="Z477" i="2" s="1"/>
  <c r="Z478" i="2" s="1"/>
  <c r="Z479" i="2" s="1"/>
  <c r="Z480" i="2" s="1"/>
  <c r="Z481" i="2" s="1"/>
  <c r="Z482" i="2" s="1"/>
  <c r="Z483" i="2" s="1"/>
  <c r="Z484" i="2" s="1"/>
  <c r="Z485" i="2" s="1"/>
  <c r="Z486" i="2" s="1"/>
  <c r="Z487" i="2" s="1"/>
  <c r="Z488" i="2" s="1"/>
  <c r="Z489" i="2" s="1"/>
  <c r="Z490" i="2" s="1"/>
  <c r="Z491" i="2" s="1"/>
  <c r="Z492" i="2" s="1"/>
  <c r="Z493" i="2" s="1"/>
  <c r="Z494" i="2" s="1"/>
  <c r="Z495" i="2" s="1"/>
  <c r="Z496" i="2" s="1"/>
  <c r="Z497" i="2" s="1"/>
  <c r="Z498" i="2" s="1"/>
  <c r="Z499" i="2" s="1"/>
  <c r="Z500" i="2" s="1"/>
  <c r="Z501" i="2" s="1"/>
  <c r="Z502" i="2" s="1"/>
  <c r="Z503" i="2" s="1"/>
  <c r="Z504" i="2" s="1"/>
  <c r="Z505" i="2" s="1"/>
  <c r="Z506" i="2" s="1"/>
  <c r="Z507" i="2" s="1"/>
  <c r="Z508" i="2" s="1"/>
  <c r="Z509" i="2" s="1"/>
  <c r="Z510" i="2" s="1"/>
  <c r="Z511" i="2" s="1"/>
  <c r="Z512" i="2" s="1"/>
  <c r="Z513" i="2" s="1"/>
  <c r="Z514" i="2" s="1"/>
  <c r="Z515" i="2" s="1"/>
  <c r="Z516" i="2" s="1"/>
  <c r="Z517" i="2" s="1"/>
  <c r="Z518" i="2" s="1"/>
  <c r="Z519" i="2" s="1"/>
  <c r="Z520" i="2" s="1"/>
  <c r="Z521" i="2" s="1"/>
  <c r="Z522" i="2" s="1"/>
  <c r="Z523" i="2" s="1"/>
  <c r="Z524" i="2" s="1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293" i="2" s="1"/>
  <c r="V294" i="2" s="1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V312" i="2" s="1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V364" i="2" s="1"/>
  <c r="V365" i="2" s="1"/>
  <c r="V366" i="2" s="1"/>
  <c r="V367" i="2" s="1"/>
  <c r="V368" i="2" s="1"/>
  <c r="V369" i="2" s="1"/>
  <c r="V370" i="2" s="1"/>
  <c r="V371" i="2" s="1"/>
  <c r="V372" i="2" s="1"/>
  <c r="V373" i="2" s="1"/>
  <c r="V374" i="2" s="1"/>
  <c r="V375" i="2" s="1"/>
  <c r="V376" i="2" s="1"/>
  <c r="V377" i="2" s="1"/>
  <c r="V378" i="2" s="1"/>
  <c r="V379" i="2" s="1"/>
  <c r="V380" i="2" s="1"/>
  <c r="V381" i="2" s="1"/>
  <c r="V382" i="2" s="1"/>
  <c r="V383" i="2" s="1"/>
  <c r="V384" i="2" s="1"/>
  <c r="V385" i="2" s="1"/>
  <c r="V386" i="2" s="1"/>
  <c r="V387" i="2" s="1"/>
  <c r="V388" i="2" s="1"/>
  <c r="V389" i="2" s="1"/>
  <c r="V390" i="2" s="1"/>
  <c r="V391" i="2" s="1"/>
  <c r="V392" i="2" s="1"/>
  <c r="V393" i="2" s="1"/>
  <c r="V394" i="2" s="1"/>
  <c r="V395" i="2" s="1"/>
  <c r="V396" i="2" s="1"/>
  <c r="V397" i="2" s="1"/>
  <c r="V398" i="2" s="1"/>
  <c r="V399" i="2" s="1"/>
  <c r="V400" i="2" s="1"/>
  <c r="V401" i="2" s="1"/>
  <c r="V402" i="2" s="1"/>
  <c r="V403" i="2" s="1"/>
  <c r="V404" i="2" s="1"/>
  <c r="V405" i="2" s="1"/>
  <c r="V406" i="2" s="1"/>
  <c r="V407" i="2" s="1"/>
  <c r="V408" i="2" s="1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V478" i="2" s="1"/>
  <c r="V479" i="2" s="1"/>
  <c r="V480" i="2" s="1"/>
  <c r="V481" i="2" s="1"/>
  <c r="V482" i="2" s="1"/>
  <c r="V483" i="2" s="1"/>
  <c r="V484" i="2" s="1"/>
  <c r="V485" i="2" s="1"/>
  <c r="V486" i="2" s="1"/>
  <c r="V487" i="2" s="1"/>
  <c r="V488" i="2" s="1"/>
  <c r="V489" i="2" s="1"/>
  <c r="V490" i="2" s="1"/>
  <c r="V491" i="2" s="1"/>
  <c r="V492" i="2" s="1"/>
  <c r="V493" i="2" s="1"/>
  <c r="V494" i="2" s="1"/>
  <c r="V495" i="2" s="1"/>
  <c r="V496" i="2" s="1"/>
  <c r="V497" i="2" s="1"/>
  <c r="V498" i="2" s="1"/>
  <c r="V499" i="2" s="1"/>
  <c r="V500" i="2" s="1"/>
  <c r="V501" i="2" s="1"/>
  <c r="V502" i="2" s="1"/>
  <c r="V503" i="2" s="1"/>
  <c r="V504" i="2" s="1"/>
  <c r="V505" i="2" s="1"/>
  <c r="V506" i="2" s="1"/>
  <c r="V507" i="2" s="1"/>
  <c r="V508" i="2" s="1"/>
  <c r="V509" i="2" s="1"/>
  <c r="V510" i="2" s="1"/>
  <c r="V511" i="2" s="1"/>
  <c r="V512" i="2" s="1"/>
  <c r="V513" i="2" s="1"/>
  <c r="V514" i="2" s="1"/>
  <c r="V515" i="2" s="1"/>
  <c r="V516" i="2" s="1"/>
  <c r="V517" i="2" s="1"/>
  <c r="V518" i="2" s="1"/>
  <c r="V519" i="2" s="1"/>
  <c r="V520" i="2" s="1"/>
  <c r="V521" i="2" s="1"/>
  <c r="V522" i="2" s="1"/>
  <c r="V523" i="2" s="1"/>
  <c r="V524" i="2" s="1"/>
  <c r="W11" i="2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W493" i="2" s="1"/>
  <c r="W494" i="2" s="1"/>
  <c r="W495" i="2" s="1"/>
  <c r="W496" i="2" s="1"/>
  <c r="W497" i="2" s="1"/>
  <c r="W498" i="2" s="1"/>
  <c r="W499" i="2" s="1"/>
  <c r="W500" i="2" s="1"/>
  <c r="W501" i="2" s="1"/>
  <c r="W502" i="2" s="1"/>
  <c r="W503" i="2" s="1"/>
  <c r="W504" i="2" s="1"/>
  <c r="W505" i="2" s="1"/>
  <c r="W506" i="2" s="1"/>
  <c r="W507" i="2" s="1"/>
  <c r="W508" i="2" s="1"/>
  <c r="W509" i="2" s="1"/>
  <c r="W510" i="2" s="1"/>
  <c r="W511" i="2" s="1"/>
  <c r="W512" i="2" s="1"/>
  <c r="W513" i="2" s="1"/>
  <c r="W514" i="2" s="1"/>
  <c r="W515" i="2" s="1"/>
  <c r="W516" i="2" s="1"/>
  <c r="W517" i="2" s="1"/>
  <c r="W518" i="2" s="1"/>
  <c r="W519" i="2" s="1"/>
  <c r="W520" i="2" s="1"/>
  <c r="W521" i="2" s="1"/>
  <c r="W522" i="2" s="1"/>
  <c r="W523" i="2" s="1"/>
  <c r="W524" i="2" s="1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U493" i="2" s="1"/>
  <c r="U494" i="2" s="1"/>
  <c r="U495" i="2" s="1"/>
  <c r="U496" i="2" s="1"/>
  <c r="U497" i="2" s="1"/>
  <c r="U498" i="2" s="1"/>
  <c r="U499" i="2" s="1"/>
  <c r="U500" i="2" s="1"/>
  <c r="U501" i="2" s="1"/>
  <c r="U502" i="2" s="1"/>
  <c r="U503" i="2" s="1"/>
  <c r="U504" i="2" s="1"/>
  <c r="U505" i="2" s="1"/>
  <c r="U506" i="2" s="1"/>
  <c r="U507" i="2" s="1"/>
  <c r="U508" i="2" s="1"/>
  <c r="U509" i="2" s="1"/>
  <c r="U510" i="2" s="1"/>
  <c r="U511" i="2" s="1"/>
  <c r="U512" i="2" s="1"/>
  <c r="U513" i="2" s="1"/>
  <c r="U514" i="2" s="1"/>
  <c r="U515" i="2" s="1"/>
  <c r="U516" i="2" s="1"/>
  <c r="U517" i="2" s="1"/>
  <c r="U518" i="2" s="1"/>
  <c r="U519" i="2" s="1"/>
  <c r="U520" i="2" s="1"/>
  <c r="U521" i="2" s="1"/>
  <c r="U522" i="2" s="1"/>
  <c r="U523" i="2" s="1"/>
  <c r="U524" i="2" s="1"/>
  <c r="E11" i="2"/>
  <c r="B527" i="4"/>
  <c r="B527" i="3"/>
  <c r="K527" i="3"/>
  <c r="Q527" i="3"/>
  <c r="W527" i="3"/>
  <c r="X527" i="3" s="1"/>
  <c r="B528" i="3"/>
  <c r="E528" i="3" s="1"/>
  <c r="K528" i="3"/>
  <c r="Q528" i="3"/>
  <c r="W528" i="3"/>
  <c r="B529" i="3"/>
  <c r="E529" i="3" s="1"/>
  <c r="W529" i="3"/>
  <c r="B530" i="3"/>
  <c r="E530" i="3" s="1"/>
  <c r="K530" i="3"/>
  <c r="Q530" i="3"/>
  <c r="W530" i="3"/>
  <c r="B531" i="3"/>
  <c r="K531" i="3"/>
  <c r="Q531" i="3"/>
  <c r="W531" i="3"/>
  <c r="B532" i="3"/>
  <c r="E532" i="3" s="1"/>
  <c r="K532" i="3"/>
  <c r="Q532" i="3"/>
  <c r="W532" i="3"/>
  <c r="B533" i="3"/>
  <c r="E533" i="3" s="1"/>
  <c r="K533" i="3"/>
  <c r="Q533" i="3"/>
  <c r="W533" i="3"/>
  <c r="B526" i="4"/>
  <c r="B525" i="4"/>
  <c r="B524" i="4"/>
  <c r="B523" i="4"/>
  <c r="B492" i="4"/>
  <c r="B493" i="4"/>
  <c r="B494" i="4"/>
  <c r="B495" i="4"/>
  <c r="B496" i="4"/>
  <c r="B497" i="4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K509" i="3"/>
  <c r="Q509" i="3"/>
  <c r="W509" i="3"/>
  <c r="K510" i="3"/>
  <c r="Q510" i="3"/>
  <c r="W510" i="3"/>
  <c r="K511" i="3"/>
  <c r="Q511" i="3"/>
  <c r="W511" i="3"/>
  <c r="K512" i="3"/>
  <c r="Q512" i="3"/>
  <c r="W512" i="3"/>
  <c r="K513" i="3"/>
  <c r="Q513" i="3"/>
  <c r="W513" i="3"/>
  <c r="K514" i="3"/>
  <c r="Q514" i="3"/>
  <c r="W514" i="3"/>
  <c r="K515" i="3"/>
  <c r="Q515" i="3"/>
  <c r="W515" i="3"/>
  <c r="K516" i="3"/>
  <c r="Q516" i="3"/>
  <c r="W516" i="3"/>
  <c r="K517" i="3"/>
  <c r="Q517" i="3"/>
  <c r="W517" i="3"/>
  <c r="K518" i="3"/>
  <c r="Q518" i="3"/>
  <c r="W518" i="3"/>
  <c r="K519" i="3"/>
  <c r="Q519" i="3"/>
  <c r="W519" i="3"/>
  <c r="K520" i="3"/>
  <c r="Q520" i="3"/>
  <c r="W520" i="3"/>
  <c r="K521" i="3"/>
  <c r="Q521" i="3"/>
  <c r="W521" i="3"/>
  <c r="K522" i="3"/>
  <c r="Q522" i="3"/>
  <c r="W522" i="3"/>
  <c r="K523" i="3"/>
  <c r="Q523" i="3"/>
  <c r="W523" i="3"/>
  <c r="W524" i="3"/>
  <c r="K525" i="3"/>
  <c r="Q525" i="3"/>
  <c r="W525" i="3"/>
  <c r="K526" i="3"/>
  <c r="Q526" i="3"/>
  <c r="W526" i="3"/>
  <c r="K491" i="3"/>
  <c r="Q491" i="3"/>
  <c r="W491" i="3"/>
  <c r="K492" i="3"/>
  <c r="Q492" i="3"/>
  <c r="W492" i="3"/>
  <c r="K493" i="3"/>
  <c r="Q493" i="3"/>
  <c r="W493" i="3"/>
  <c r="K494" i="3"/>
  <c r="Q494" i="3"/>
  <c r="W494" i="3"/>
  <c r="K495" i="3"/>
  <c r="Q495" i="3"/>
  <c r="W495" i="3"/>
  <c r="K496" i="3"/>
  <c r="Q496" i="3"/>
  <c r="W496" i="3"/>
  <c r="K497" i="3"/>
  <c r="Q497" i="3"/>
  <c r="W497" i="3"/>
  <c r="K498" i="3"/>
  <c r="Q498" i="3"/>
  <c r="W498" i="3"/>
  <c r="K499" i="3"/>
  <c r="Q499" i="3"/>
  <c r="W499" i="3"/>
  <c r="K500" i="3"/>
  <c r="Q500" i="3"/>
  <c r="W500" i="3"/>
  <c r="K501" i="3"/>
  <c r="Q501" i="3"/>
  <c r="W501" i="3"/>
  <c r="K502" i="3"/>
  <c r="Q502" i="3"/>
  <c r="W502" i="3"/>
  <c r="K503" i="3"/>
  <c r="Q503" i="3"/>
  <c r="W503" i="3"/>
  <c r="K504" i="3"/>
  <c r="Q504" i="3"/>
  <c r="W504" i="3"/>
  <c r="K505" i="3"/>
  <c r="Q505" i="3"/>
  <c r="W505" i="3"/>
  <c r="K506" i="3"/>
  <c r="Q506" i="3"/>
  <c r="W506" i="3"/>
  <c r="K507" i="3"/>
  <c r="Q507" i="3"/>
  <c r="W507" i="3"/>
  <c r="K508" i="3"/>
  <c r="Q508" i="3"/>
  <c r="W508" i="3"/>
  <c r="A3" i="4"/>
  <c r="F5" i="4"/>
  <c r="B7" i="4"/>
  <c r="M7" i="4"/>
  <c r="B8" i="4"/>
  <c r="B9" i="4"/>
  <c r="A11" i="4" s="1"/>
  <c r="E14" i="4"/>
  <c r="B255" i="4"/>
  <c r="B256" i="4" s="1"/>
  <c r="B257" i="4" s="1"/>
  <c r="B258" i="4" s="1"/>
  <c r="B259" i="4"/>
  <c r="B260" i="4"/>
  <c r="B261" i="4" s="1"/>
  <c r="B262" i="4" s="1"/>
  <c r="B263" i="4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3" i="3"/>
  <c r="J5" i="3"/>
  <c r="C7" i="3"/>
  <c r="N7" i="3"/>
  <c r="C8" i="3"/>
  <c r="C9" i="3"/>
  <c r="B13" i="3"/>
  <c r="A14" i="4" s="1"/>
  <c r="K13" i="3"/>
  <c r="Q13" i="3"/>
  <c r="W13" i="3"/>
  <c r="Z13" i="3"/>
  <c r="AA13" i="3"/>
  <c r="K14" i="3"/>
  <c r="L14" i="3" s="1"/>
  <c r="Q14" i="3"/>
  <c r="R14" i="3" s="1"/>
  <c r="W14" i="3"/>
  <c r="X14" i="3" s="1"/>
  <c r="X15" i="3" s="1"/>
  <c r="X16" i="3" s="1"/>
  <c r="K15" i="3"/>
  <c r="Q15" i="3"/>
  <c r="W15" i="3"/>
  <c r="A16" i="3"/>
  <c r="K16" i="3"/>
  <c r="Q16" i="3"/>
  <c r="W16" i="3"/>
  <c r="A17" i="3"/>
  <c r="A18" i="3" s="1"/>
  <c r="A19" i="3" s="1"/>
  <c r="A20" i="3" s="1"/>
  <c r="A21" i="3" s="1"/>
  <c r="K17" i="3"/>
  <c r="Q17" i="3"/>
  <c r="W17" i="3"/>
  <c r="K18" i="3"/>
  <c r="Q18" i="3"/>
  <c r="W18" i="3"/>
  <c r="K19" i="3"/>
  <c r="Q19" i="3"/>
  <c r="W19" i="3"/>
  <c r="K20" i="3"/>
  <c r="Q20" i="3"/>
  <c r="W20" i="3"/>
  <c r="K21" i="3"/>
  <c r="Q21" i="3"/>
  <c r="W21" i="3"/>
  <c r="K22" i="3"/>
  <c r="Q22" i="3"/>
  <c r="W22" i="3"/>
  <c r="K23" i="3"/>
  <c r="Q23" i="3"/>
  <c r="W23" i="3"/>
  <c r="K24" i="3"/>
  <c r="Q24" i="3"/>
  <c r="W24" i="3"/>
  <c r="K25" i="3"/>
  <c r="Q25" i="3"/>
  <c r="W25" i="3"/>
  <c r="K26" i="3"/>
  <c r="Q26" i="3"/>
  <c r="W26" i="3"/>
  <c r="K27" i="3"/>
  <c r="Q27" i="3"/>
  <c r="W27" i="3"/>
  <c r="K28" i="3"/>
  <c r="Q28" i="3"/>
  <c r="W28" i="3"/>
  <c r="K29" i="3"/>
  <c r="Q29" i="3"/>
  <c r="W29" i="3"/>
  <c r="K30" i="3"/>
  <c r="Q30" i="3"/>
  <c r="W30" i="3"/>
  <c r="K31" i="3"/>
  <c r="Q31" i="3"/>
  <c r="W31" i="3"/>
  <c r="K32" i="3"/>
  <c r="Q32" i="3"/>
  <c r="W32" i="3"/>
  <c r="K33" i="3"/>
  <c r="Q33" i="3"/>
  <c r="W33" i="3"/>
  <c r="K34" i="3"/>
  <c r="Q34" i="3"/>
  <c r="W34" i="3"/>
  <c r="K35" i="3"/>
  <c r="Q35" i="3"/>
  <c r="W35" i="3"/>
  <c r="K36" i="3"/>
  <c r="Q36" i="3"/>
  <c r="W36" i="3"/>
  <c r="K37" i="3"/>
  <c r="Q37" i="3"/>
  <c r="W37" i="3"/>
  <c r="K38" i="3"/>
  <c r="Q38" i="3"/>
  <c r="W38" i="3"/>
  <c r="K39" i="3"/>
  <c r="Q39" i="3"/>
  <c r="W39" i="3"/>
  <c r="K40" i="3"/>
  <c r="Q40" i="3"/>
  <c r="W40" i="3"/>
  <c r="K41" i="3"/>
  <c r="Q41" i="3"/>
  <c r="W41" i="3"/>
  <c r="K42" i="3"/>
  <c r="Q42" i="3"/>
  <c r="W42" i="3"/>
  <c r="K43" i="3"/>
  <c r="Q43" i="3"/>
  <c r="W43" i="3"/>
  <c r="K44" i="3"/>
  <c r="Q44" i="3"/>
  <c r="W44" i="3"/>
  <c r="K45" i="3"/>
  <c r="Q45" i="3"/>
  <c r="W45" i="3"/>
  <c r="K46" i="3"/>
  <c r="Q46" i="3"/>
  <c r="W46" i="3"/>
  <c r="K47" i="3"/>
  <c r="Q47" i="3"/>
  <c r="W47" i="3"/>
  <c r="K48" i="3"/>
  <c r="Q48" i="3"/>
  <c r="W48" i="3"/>
  <c r="K49" i="3"/>
  <c r="Q49" i="3"/>
  <c r="W49" i="3"/>
  <c r="K50" i="3"/>
  <c r="Q50" i="3"/>
  <c r="W50" i="3"/>
  <c r="K51" i="3"/>
  <c r="Q51" i="3"/>
  <c r="W51" i="3"/>
  <c r="K52" i="3"/>
  <c r="Q52" i="3"/>
  <c r="W52" i="3"/>
  <c r="K53" i="3"/>
  <c r="Q53" i="3"/>
  <c r="W53" i="3"/>
  <c r="K54" i="3"/>
  <c r="Q54" i="3"/>
  <c r="W54" i="3"/>
  <c r="K55" i="3"/>
  <c r="Q55" i="3"/>
  <c r="W55" i="3"/>
  <c r="K56" i="3"/>
  <c r="Q56" i="3"/>
  <c r="W56" i="3"/>
  <c r="K57" i="3"/>
  <c r="Q57" i="3"/>
  <c r="W57" i="3"/>
  <c r="K58" i="3"/>
  <c r="Q58" i="3"/>
  <c r="W58" i="3"/>
  <c r="K59" i="3"/>
  <c r="Q59" i="3"/>
  <c r="W59" i="3"/>
  <c r="K60" i="3"/>
  <c r="Q60" i="3"/>
  <c r="W60" i="3"/>
  <c r="K61" i="3"/>
  <c r="Q61" i="3"/>
  <c r="W61" i="3"/>
  <c r="K62" i="3"/>
  <c r="Q62" i="3"/>
  <c r="W62" i="3"/>
  <c r="K63" i="3"/>
  <c r="Q63" i="3"/>
  <c r="W63" i="3"/>
  <c r="K64" i="3"/>
  <c r="Q64" i="3"/>
  <c r="W64" i="3"/>
  <c r="K65" i="3"/>
  <c r="Q65" i="3"/>
  <c r="W65" i="3"/>
  <c r="K66" i="3"/>
  <c r="Q66" i="3"/>
  <c r="W66" i="3"/>
  <c r="K67" i="3"/>
  <c r="Q67" i="3"/>
  <c r="W67" i="3"/>
  <c r="K68" i="3"/>
  <c r="Q68" i="3"/>
  <c r="W68" i="3"/>
  <c r="K69" i="3"/>
  <c r="Q69" i="3"/>
  <c r="W69" i="3"/>
  <c r="K70" i="3"/>
  <c r="Q70" i="3"/>
  <c r="W70" i="3"/>
  <c r="K71" i="3"/>
  <c r="Q71" i="3"/>
  <c r="W71" i="3"/>
  <c r="K72" i="3"/>
  <c r="Q72" i="3"/>
  <c r="W72" i="3"/>
  <c r="K73" i="3"/>
  <c r="Q73" i="3"/>
  <c r="W73" i="3"/>
  <c r="K74" i="3"/>
  <c r="Q74" i="3"/>
  <c r="W74" i="3"/>
  <c r="K75" i="3"/>
  <c r="Q75" i="3"/>
  <c r="W75" i="3"/>
  <c r="K76" i="3"/>
  <c r="Q76" i="3"/>
  <c r="W76" i="3"/>
  <c r="K77" i="3"/>
  <c r="Q77" i="3"/>
  <c r="W77" i="3"/>
  <c r="K78" i="3"/>
  <c r="Q78" i="3"/>
  <c r="W78" i="3"/>
  <c r="K79" i="3"/>
  <c r="Q79" i="3"/>
  <c r="W79" i="3"/>
  <c r="K80" i="3"/>
  <c r="Q80" i="3"/>
  <c r="W80" i="3"/>
  <c r="K81" i="3"/>
  <c r="Q81" i="3"/>
  <c r="W81" i="3"/>
  <c r="K82" i="3"/>
  <c r="Q82" i="3"/>
  <c r="W82" i="3"/>
  <c r="K83" i="3"/>
  <c r="Q83" i="3"/>
  <c r="W83" i="3"/>
  <c r="K84" i="3"/>
  <c r="Q84" i="3"/>
  <c r="W84" i="3"/>
  <c r="K85" i="3"/>
  <c r="Q85" i="3"/>
  <c r="W85" i="3"/>
  <c r="K86" i="3"/>
  <c r="Q86" i="3"/>
  <c r="W86" i="3"/>
  <c r="K87" i="3"/>
  <c r="Q87" i="3"/>
  <c r="W87" i="3"/>
  <c r="K88" i="3"/>
  <c r="Q88" i="3"/>
  <c r="W88" i="3"/>
  <c r="K89" i="3"/>
  <c r="Q89" i="3"/>
  <c r="W89" i="3"/>
  <c r="K90" i="3"/>
  <c r="Q90" i="3"/>
  <c r="W90" i="3"/>
  <c r="K91" i="3"/>
  <c r="Q91" i="3"/>
  <c r="W91" i="3"/>
  <c r="K92" i="3"/>
  <c r="Q92" i="3"/>
  <c r="W92" i="3"/>
  <c r="K93" i="3"/>
  <c r="Q93" i="3"/>
  <c r="W93" i="3"/>
  <c r="K94" i="3"/>
  <c r="Q94" i="3"/>
  <c r="W94" i="3"/>
  <c r="K95" i="3"/>
  <c r="Q95" i="3"/>
  <c r="W95" i="3"/>
  <c r="K96" i="3"/>
  <c r="Q96" i="3"/>
  <c r="W96" i="3"/>
  <c r="K97" i="3"/>
  <c r="Q97" i="3"/>
  <c r="W97" i="3"/>
  <c r="K98" i="3"/>
  <c r="Q98" i="3"/>
  <c r="W98" i="3"/>
  <c r="K99" i="3"/>
  <c r="Q99" i="3"/>
  <c r="W99" i="3"/>
  <c r="K100" i="3"/>
  <c r="Q100" i="3"/>
  <c r="W100" i="3"/>
  <c r="K101" i="3"/>
  <c r="Q101" i="3"/>
  <c r="W101" i="3"/>
  <c r="K102" i="3"/>
  <c r="Q102" i="3"/>
  <c r="W102" i="3"/>
  <c r="K103" i="3"/>
  <c r="Q103" i="3"/>
  <c r="W103" i="3"/>
  <c r="K104" i="3"/>
  <c r="Q104" i="3"/>
  <c r="W104" i="3"/>
  <c r="K105" i="3"/>
  <c r="Q105" i="3"/>
  <c r="W105" i="3"/>
  <c r="K106" i="3"/>
  <c r="Q106" i="3"/>
  <c r="W106" i="3"/>
  <c r="K107" i="3"/>
  <c r="Q107" i="3"/>
  <c r="W107" i="3"/>
  <c r="K108" i="3"/>
  <c r="Q108" i="3"/>
  <c r="W108" i="3"/>
  <c r="K109" i="3"/>
  <c r="Q109" i="3"/>
  <c r="W109" i="3"/>
  <c r="K110" i="3"/>
  <c r="Q110" i="3"/>
  <c r="W110" i="3"/>
  <c r="K111" i="3"/>
  <c r="Q111" i="3"/>
  <c r="W111" i="3"/>
  <c r="K112" i="3"/>
  <c r="Q112" i="3"/>
  <c r="W112" i="3"/>
  <c r="K113" i="3"/>
  <c r="Q113" i="3"/>
  <c r="W113" i="3"/>
  <c r="K114" i="3"/>
  <c r="Q114" i="3"/>
  <c r="W114" i="3"/>
  <c r="K115" i="3"/>
  <c r="Q115" i="3"/>
  <c r="W115" i="3"/>
  <c r="K116" i="3"/>
  <c r="Q116" i="3"/>
  <c r="W116" i="3"/>
  <c r="K117" i="3"/>
  <c r="Q117" i="3"/>
  <c r="W117" i="3"/>
  <c r="K118" i="3"/>
  <c r="Q118" i="3"/>
  <c r="W118" i="3"/>
  <c r="K119" i="3"/>
  <c r="Q119" i="3"/>
  <c r="W119" i="3"/>
  <c r="K120" i="3"/>
  <c r="Q120" i="3"/>
  <c r="W120" i="3"/>
  <c r="K121" i="3"/>
  <c r="Q121" i="3"/>
  <c r="W121" i="3"/>
  <c r="K122" i="3"/>
  <c r="Q122" i="3"/>
  <c r="W122" i="3"/>
  <c r="K123" i="3"/>
  <c r="Q123" i="3"/>
  <c r="W123" i="3"/>
  <c r="K124" i="3"/>
  <c r="Q124" i="3"/>
  <c r="W124" i="3"/>
  <c r="K125" i="3"/>
  <c r="Q125" i="3"/>
  <c r="W125" i="3"/>
  <c r="K126" i="3"/>
  <c r="Q126" i="3"/>
  <c r="W126" i="3"/>
  <c r="K127" i="3"/>
  <c r="Q127" i="3"/>
  <c r="W127" i="3"/>
  <c r="K128" i="3"/>
  <c r="Q128" i="3"/>
  <c r="W128" i="3"/>
  <c r="K129" i="3"/>
  <c r="Q129" i="3"/>
  <c r="W129" i="3"/>
  <c r="K130" i="3"/>
  <c r="Q130" i="3"/>
  <c r="W130" i="3"/>
  <c r="K131" i="3"/>
  <c r="Q131" i="3"/>
  <c r="W131" i="3"/>
  <c r="K132" i="3"/>
  <c r="Q132" i="3"/>
  <c r="W132" i="3"/>
  <c r="K133" i="3"/>
  <c r="Q133" i="3"/>
  <c r="W133" i="3"/>
  <c r="K134" i="3"/>
  <c r="Q134" i="3"/>
  <c r="W134" i="3"/>
  <c r="K135" i="3"/>
  <c r="Q135" i="3"/>
  <c r="W135" i="3"/>
  <c r="K136" i="3"/>
  <c r="Q136" i="3"/>
  <c r="W136" i="3"/>
  <c r="K137" i="3"/>
  <c r="Q137" i="3"/>
  <c r="W137" i="3"/>
  <c r="K138" i="3"/>
  <c r="Q138" i="3"/>
  <c r="W138" i="3"/>
  <c r="K139" i="3"/>
  <c r="Q139" i="3"/>
  <c r="W139" i="3"/>
  <c r="K140" i="3"/>
  <c r="Q140" i="3"/>
  <c r="W140" i="3"/>
  <c r="K141" i="3"/>
  <c r="Q141" i="3"/>
  <c r="W141" i="3"/>
  <c r="K142" i="3"/>
  <c r="Q142" i="3"/>
  <c r="W142" i="3"/>
  <c r="K143" i="3"/>
  <c r="Q143" i="3"/>
  <c r="W143" i="3"/>
  <c r="K144" i="3"/>
  <c r="Q144" i="3"/>
  <c r="W144" i="3"/>
  <c r="K145" i="3"/>
  <c r="Q145" i="3"/>
  <c r="W145" i="3"/>
  <c r="K146" i="3"/>
  <c r="Q146" i="3"/>
  <c r="W146" i="3"/>
  <c r="K147" i="3"/>
  <c r="Q147" i="3"/>
  <c r="W147" i="3"/>
  <c r="K148" i="3"/>
  <c r="Q148" i="3"/>
  <c r="W148" i="3"/>
  <c r="K149" i="3"/>
  <c r="Q149" i="3"/>
  <c r="W149" i="3"/>
  <c r="K150" i="3"/>
  <c r="Q150" i="3"/>
  <c r="W150" i="3"/>
  <c r="K151" i="3"/>
  <c r="Q151" i="3"/>
  <c r="W151" i="3"/>
  <c r="K152" i="3"/>
  <c r="Q152" i="3"/>
  <c r="W152" i="3"/>
  <c r="K153" i="3"/>
  <c r="Q153" i="3"/>
  <c r="W153" i="3"/>
  <c r="K154" i="3"/>
  <c r="Q154" i="3"/>
  <c r="W154" i="3"/>
  <c r="K155" i="3"/>
  <c r="Q155" i="3"/>
  <c r="W155" i="3"/>
  <c r="K156" i="3"/>
  <c r="Q156" i="3"/>
  <c r="W156" i="3"/>
  <c r="K157" i="3"/>
  <c r="Q157" i="3"/>
  <c r="W157" i="3"/>
  <c r="K158" i="3"/>
  <c r="Q158" i="3"/>
  <c r="W158" i="3"/>
  <c r="K159" i="3"/>
  <c r="Q159" i="3"/>
  <c r="W159" i="3"/>
  <c r="K160" i="3"/>
  <c r="Q160" i="3"/>
  <c r="W160" i="3"/>
  <c r="K161" i="3"/>
  <c r="Q161" i="3"/>
  <c r="W161" i="3"/>
  <c r="K162" i="3"/>
  <c r="Q162" i="3"/>
  <c r="W162" i="3"/>
  <c r="K163" i="3"/>
  <c r="Q163" i="3"/>
  <c r="W163" i="3"/>
  <c r="K164" i="3"/>
  <c r="Q164" i="3"/>
  <c r="W164" i="3"/>
  <c r="K165" i="3"/>
  <c r="Q165" i="3"/>
  <c r="W165" i="3"/>
  <c r="K166" i="3"/>
  <c r="Q166" i="3"/>
  <c r="W166" i="3"/>
  <c r="K167" i="3"/>
  <c r="Q167" i="3"/>
  <c r="W167" i="3"/>
  <c r="K168" i="3"/>
  <c r="Q168" i="3"/>
  <c r="W168" i="3"/>
  <c r="K169" i="3"/>
  <c r="Q169" i="3"/>
  <c r="W169" i="3"/>
  <c r="K170" i="3"/>
  <c r="Q170" i="3"/>
  <c r="W170" i="3"/>
  <c r="K171" i="3"/>
  <c r="Q171" i="3"/>
  <c r="W171" i="3"/>
  <c r="K172" i="3"/>
  <c r="Q172" i="3"/>
  <c r="W172" i="3"/>
  <c r="K173" i="3"/>
  <c r="Q173" i="3"/>
  <c r="W173" i="3"/>
  <c r="K174" i="3"/>
  <c r="Q174" i="3"/>
  <c r="W174" i="3"/>
  <c r="K175" i="3"/>
  <c r="Q175" i="3"/>
  <c r="W175" i="3"/>
  <c r="K176" i="3"/>
  <c r="Q176" i="3"/>
  <c r="W176" i="3"/>
  <c r="K177" i="3"/>
  <c r="Q177" i="3"/>
  <c r="W177" i="3"/>
  <c r="K178" i="3"/>
  <c r="Q178" i="3"/>
  <c r="W178" i="3"/>
  <c r="K179" i="3"/>
  <c r="Q179" i="3"/>
  <c r="W179" i="3"/>
  <c r="K180" i="3"/>
  <c r="Q180" i="3"/>
  <c r="W180" i="3"/>
  <c r="K181" i="3"/>
  <c r="Q181" i="3"/>
  <c r="W181" i="3"/>
  <c r="K182" i="3"/>
  <c r="Q182" i="3"/>
  <c r="W182" i="3"/>
  <c r="K183" i="3"/>
  <c r="Q183" i="3"/>
  <c r="W183" i="3"/>
  <c r="K184" i="3"/>
  <c r="Q184" i="3"/>
  <c r="W184" i="3"/>
  <c r="K185" i="3"/>
  <c r="Q185" i="3"/>
  <c r="W185" i="3"/>
  <c r="K186" i="3"/>
  <c r="Q186" i="3"/>
  <c r="W186" i="3"/>
  <c r="K187" i="3"/>
  <c r="Q187" i="3"/>
  <c r="W187" i="3"/>
  <c r="K188" i="3"/>
  <c r="Q188" i="3"/>
  <c r="W188" i="3"/>
  <c r="K189" i="3"/>
  <c r="Q189" i="3"/>
  <c r="W189" i="3"/>
  <c r="K190" i="3"/>
  <c r="Q190" i="3"/>
  <c r="W190" i="3"/>
  <c r="K191" i="3"/>
  <c r="Q191" i="3"/>
  <c r="W191" i="3"/>
  <c r="K192" i="3"/>
  <c r="Q192" i="3"/>
  <c r="W192" i="3"/>
  <c r="K193" i="3"/>
  <c r="Q193" i="3"/>
  <c r="W193" i="3"/>
  <c r="K194" i="3"/>
  <c r="Q194" i="3"/>
  <c r="W194" i="3"/>
  <c r="K195" i="3"/>
  <c r="Q195" i="3"/>
  <c r="W195" i="3"/>
  <c r="K196" i="3"/>
  <c r="Q196" i="3"/>
  <c r="W196" i="3"/>
  <c r="K197" i="3"/>
  <c r="Q197" i="3"/>
  <c r="W197" i="3"/>
  <c r="K198" i="3"/>
  <c r="Q198" i="3"/>
  <c r="W198" i="3"/>
  <c r="K199" i="3"/>
  <c r="Q199" i="3"/>
  <c r="W199" i="3"/>
  <c r="K200" i="3"/>
  <c r="Q200" i="3"/>
  <c r="W200" i="3"/>
  <c r="K201" i="3"/>
  <c r="Q201" i="3"/>
  <c r="W201" i="3"/>
  <c r="K202" i="3"/>
  <c r="Q202" i="3"/>
  <c r="W202" i="3"/>
  <c r="K203" i="3"/>
  <c r="Q203" i="3"/>
  <c r="W203" i="3"/>
  <c r="K204" i="3"/>
  <c r="Q204" i="3"/>
  <c r="W204" i="3"/>
  <c r="K205" i="3"/>
  <c r="Q205" i="3"/>
  <c r="W205" i="3"/>
  <c r="K206" i="3"/>
  <c r="Q206" i="3"/>
  <c r="W206" i="3"/>
  <c r="K207" i="3"/>
  <c r="Q207" i="3"/>
  <c r="W207" i="3"/>
  <c r="K208" i="3"/>
  <c r="Q208" i="3"/>
  <c r="W208" i="3"/>
  <c r="K209" i="3"/>
  <c r="Q209" i="3"/>
  <c r="W209" i="3"/>
  <c r="K210" i="3"/>
  <c r="Q210" i="3"/>
  <c r="W210" i="3"/>
  <c r="K211" i="3"/>
  <c r="Q211" i="3"/>
  <c r="W211" i="3"/>
  <c r="K212" i="3"/>
  <c r="Q212" i="3"/>
  <c r="W212" i="3"/>
  <c r="K213" i="3"/>
  <c r="Q213" i="3"/>
  <c r="W213" i="3"/>
  <c r="K214" i="3"/>
  <c r="Q214" i="3"/>
  <c r="W214" i="3"/>
  <c r="K215" i="3"/>
  <c r="Q215" i="3"/>
  <c r="W215" i="3"/>
  <c r="K216" i="3"/>
  <c r="Q216" i="3"/>
  <c r="W216" i="3"/>
  <c r="K217" i="3"/>
  <c r="Q217" i="3"/>
  <c r="W217" i="3"/>
  <c r="K218" i="3"/>
  <c r="Q218" i="3"/>
  <c r="W218" i="3"/>
  <c r="K219" i="3"/>
  <c r="Q219" i="3"/>
  <c r="W219" i="3"/>
  <c r="K220" i="3"/>
  <c r="Q220" i="3"/>
  <c r="W220" i="3"/>
  <c r="K221" i="3"/>
  <c r="Q221" i="3"/>
  <c r="W221" i="3"/>
  <c r="K222" i="3"/>
  <c r="Q222" i="3"/>
  <c r="W222" i="3"/>
  <c r="K223" i="3"/>
  <c r="Q223" i="3"/>
  <c r="W223" i="3"/>
  <c r="K224" i="3"/>
  <c r="Q224" i="3"/>
  <c r="W224" i="3"/>
  <c r="K225" i="3"/>
  <c r="Q225" i="3"/>
  <c r="W225" i="3"/>
  <c r="K226" i="3"/>
  <c r="Q226" i="3"/>
  <c r="W226" i="3"/>
  <c r="K227" i="3"/>
  <c r="Q227" i="3"/>
  <c r="W227" i="3"/>
  <c r="K228" i="3"/>
  <c r="Q228" i="3"/>
  <c r="W228" i="3"/>
  <c r="K229" i="3"/>
  <c r="Q229" i="3"/>
  <c r="W229" i="3"/>
  <c r="K230" i="3"/>
  <c r="Q230" i="3"/>
  <c r="W230" i="3"/>
  <c r="K231" i="3"/>
  <c r="Q231" i="3"/>
  <c r="W231" i="3"/>
  <c r="K232" i="3"/>
  <c r="Q232" i="3"/>
  <c r="W232" i="3"/>
  <c r="K233" i="3"/>
  <c r="Q233" i="3"/>
  <c r="W233" i="3"/>
  <c r="K234" i="3"/>
  <c r="Q234" i="3"/>
  <c r="W234" i="3"/>
  <c r="K235" i="3"/>
  <c r="Q235" i="3"/>
  <c r="W235" i="3"/>
  <c r="K236" i="3"/>
  <c r="Q236" i="3"/>
  <c r="W236" i="3"/>
  <c r="K237" i="3"/>
  <c r="Q237" i="3"/>
  <c r="W237" i="3"/>
  <c r="K238" i="3"/>
  <c r="Q238" i="3"/>
  <c r="W238" i="3"/>
  <c r="K239" i="3"/>
  <c r="Q239" i="3"/>
  <c r="W239" i="3"/>
  <c r="K240" i="3"/>
  <c r="Q240" i="3"/>
  <c r="W240" i="3"/>
  <c r="K241" i="3"/>
  <c r="Q241" i="3"/>
  <c r="W241" i="3"/>
  <c r="K242" i="3"/>
  <c r="Q242" i="3"/>
  <c r="W242" i="3"/>
  <c r="K243" i="3"/>
  <c r="Q243" i="3"/>
  <c r="W243" i="3"/>
  <c r="K244" i="3"/>
  <c r="Q244" i="3"/>
  <c r="W244" i="3"/>
  <c r="K245" i="3"/>
  <c r="Q245" i="3"/>
  <c r="W245" i="3"/>
  <c r="K246" i="3"/>
  <c r="Q246" i="3"/>
  <c r="W246" i="3"/>
  <c r="K247" i="3"/>
  <c r="Q247" i="3"/>
  <c r="W247" i="3"/>
  <c r="K248" i="3"/>
  <c r="Q248" i="3"/>
  <c r="W248" i="3"/>
  <c r="K249" i="3"/>
  <c r="Q249" i="3"/>
  <c r="W249" i="3"/>
  <c r="K250" i="3"/>
  <c r="Q250" i="3"/>
  <c r="W250" i="3"/>
  <c r="K251" i="3"/>
  <c r="Q251" i="3"/>
  <c r="W251" i="3"/>
  <c r="K252" i="3"/>
  <c r="Q252" i="3"/>
  <c r="W252" i="3"/>
  <c r="K253" i="3"/>
  <c r="Q253" i="3"/>
  <c r="W253" i="3"/>
  <c r="K254" i="3"/>
  <c r="Q254" i="3"/>
  <c r="W254" i="3"/>
  <c r="K255" i="3"/>
  <c r="Q255" i="3"/>
  <c r="W255" i="3"/>
  <c r="K256" i="3"/>
  <c r="Q256" i="3"/>
  <c r="W256" i="3"/>
  <c r="K257" i="3"/>
  <c r="Q257" i="3"/>
  <c r="W257" i="3"/>
  <c r="K258" i="3"/>
  <c r="Q258" i="3"/>
  <c r="W258" i="3"/>
  <c r="K259" i="3"/>
  <c r="Q259" i="3"/>
  <c r="W259" i="3"/>
  <c r="K260" i="3"/>
  <c r="Q260" i="3"/>
  <c r="W260" i="3"/>
  <c r="K261" i="3"/>
  <c r="Q261" i="3"/>
  <c r="W261" i="3"/>
  <c r="K262" i="3"/>
  <c r="Q262" i="3"/>
  <c r="W262" i="3"/>
  <c r="K263" i="3"/>
  <c r="Q263" i="3"/>
  <c r="W263" i="3"/>
  <c r="K264" i="3"/>
  <c r="Q264" i="3"/>
  <c r="W264" i="3"/>
  <c r="K265" i="3"/>
  <c r="Q265" i="3"/>
  <c r="W265" i="3"/>
  <c r="K266" i="3"/>
  <c r="Q266" i="3"/>
  <c r="W266" i="3"/>
  <c r="K267" i="3"/>
  <c r="Q267" i="3"/>
  <c r="W267" i="3"/>
  <c r="K268" i="3"/>
  <c r="Q268" i="3"/>
  <c r="W268" i="3"/>
  <c r="K269" i="3"/>
  <c r="Q269" i="3"/>
  <c r="W269" i="3"/>
  <c r="K270" i="3"/>
  <c r="Q270" i="3"/>
  <c r="W270" i="3"/>
  <c r="K271" i="3"/>
  <c r="Q271" i="3"/>
  <c r="W271" i="3"/>
  <c r="K272" i="3"/>
  <c r="Q272" i="3"/>
  <c r="W272" i="3"/>
  <c r="K273" i="3"/>
  <c r="Q273" i="3"/>
  <c r="W273" i="3"/>
  <c r="K274" i="3"/>
  <c r="Q274" i="3"/>
  <c r="W274" i="3"/>
  <c r="K275" i="3"/>
  <c r="Q275" i="3"/>
  <c r="W275" i="3"/>
  <c r="K276" i="3"/>
  <c r="Q276" i="3"/>
  <c r="W276" i="3"/>
  <c r="K277" i="3"/>
  <c r="Q277" i="3"/>
  <c r="W277" i="3"/>
  <c r="K278" i="3"/>
  <c r="Q278" i="3"/>
  <c r="W278" i="3"/>
  <c r="K279" i="3"/>
  <c r="Q279" i="3"/>
  <c r="W279" i="3"/>
  <c r="K280" i="3"/>
  <c r="Q280" i="3"/>
  <c r="W280" i="3"/>
  <c r="K281" i="3"/>
  <c r="Q281" i="3"/>
  <c r="W281" i="3"/>
  <c r="K282" i="3"/>
  <c r="Q282" i="3"/>
  <c r="W282" i="3"/>
  <c r="K283" i="3"/>
  <c r="Q283" i="3"/>
  <c r="W283" i="3"/>
  <c r="K284" i="3"/>
  <c r="Q284" i="3"/>
  <c r="W284" i="3"/>
  <c r="K285" i="3"/>
  <c r="Q285" i="3"/>
  <c r="W285" i="3"/>
  <c r="K286" i="3"/>
  <c r="Q286" i="3"/>
  <c r="W286" i="3"/>
  <c r="K287" i="3"/>
  <c r="Q287" i="3"/>
  <c r="W287" i="3"/>
  <c r="K288" i="3"/>
  <c r="Q288" i="3"/>
  <c r="W288" i="3"/>
  <c r="K289" i="3"/>
  <c r="Q289" i="3"/>
  <c r="W289" i="3"/>
  <c r="K290" i="3"/>
  <c r="Q290" i="3"/>
  <c r="W290" i="3"/>
  <c r="K291" i="3"/>
  <c r="Q291" i="3"/>
  <c r="W291" i="3"/>
  <c r="K292" i="3"/>
  <c r="Q292" i="3"/>
  <c r="W292" i="3"/>
  <c r="K293" i="3"/>
  <c r="Q293" i="3"/>
  <c r="W293" i="3"/>
  <c r="K294" i="3"/>
  <c r="Q294" i="3"/>
  <c r="W294" i="3"/>
  <c r="K295" i="3"/>
  <c r="Q295" i="3"/>
  <c r="W295" i="3"/>
  <c r="K296" i="3"/>
  <c r="Q296" i="3"/>
  <c r="W296" i="3"/>
  <c r="K297" i="3"/>
  <c r="Q297" i="3"/>
  <c r="W297" i="3"/>
  <c r="K298" i="3"/>
  <c r="Q298" i="3"/>
  <c r="W298" i="3"/>
  <c r="K299" i="3"/>
  <c r="Q299" i="3"/>
  <c r="W299" i="3"/>
  <c r="K300" i="3"/>
  <c r="Q300" i="3"/>
  <c r="W300" i="3"/>
  <c r="K301" i="3"/>
  <c r="Q301" i="3"/>
  <c r="W301" i="3"/>
  <c r="K302" i="3"/>
  <c r="Q302" i="3"/>
  <c r="W302" i="3"/>
  <c r="K303" i="3"/>
  <c r="Q303" i="3"/>
  <c r="W303" i="3"/>
  <c r="K304" i="3"/>
  <c r="Q304" i="3"/>
  <c r="W304" i="3"/>
  <c r="K305" i="3"/>
  <c r="Q305" i="3"/>
  <c r="W305" i="3"/>
  <c r="K306" i="3"/>
  <c r="Q306" i="3"/>
  <c r="W306" i="3"/>
  <c r="K307" i="3"/>
  <c r="Q307" i="3"/>
  <c r="W307" i="3"/>
  <c r="K308" i="3"/>
  <c r="Q308" i="3"/>
  <c r="W308" i="3"/>
  <c r="K309" i="3"/>
  <c r="Q309" i="3"/>
  <c r="W309" i="3"/>
  <c r="K310" i="3"/>
  <c r="Q310" i="3"/>
  <c r="W310" i="3"/>
  <c r="K311" i="3"/>
  <c r="Q311" i="3"/>
  <c r="W311" i="3"/>
  <c r="K312" i="3"/>
  <c r="Q312" i="3"/>
  <c r="W312" i="3"/>
  <c r="K313" i="3"/>
  <c r="Q313" i="3"/>
  <c r="W313" i="3"/>
  <c r="K314" i="3"/>
  <c r="Q314" i="3"/>
  <c r="W314" i="3"/>
  <c r="K315" i="3"/>
  <c r="Q315" i="3"/>
  <c r="W315" i="3"/>
  <c r="K316" i="3"/>
  <c r="Q316" i="3"/>
  <c r="W316" i="3"/>
  <c r="K317" i="3"/>
  <c r="Q317" i="3"/>
  <c r="W317" i="3"/>
  <c r="K318" i="3"/>
  <c r="Q318" i="3"/>
  <c r="W318" i="3"/>
  <c r="K319" i="3"/>
  <c r="Q319" i="3"/>
  <c r="W319" i="3"/>
  <c r="K320" i="3"/>
  <c r="Q320" i="3"/>
  <c r="W320" i="3"/>
  <c r="K321" i="3"/>
  <c r="Q321" i="3"/>
  <c r="W321" i="3"/>
  <c r="K322" i="3"/>
  <c r="Q322" i="3"/>
  <c r="W322" i="3"/>
  <c r="K323" i="3"/>
  <c r="Q323" i="3"/>
  <c r="W323" i="3"/>
  <c r="K324" i="3"/>
  <c r="Q324" i="3"/>
  <c r="W324" i="3"/>
  <c r="K325" i="3"/>
  <c r="Q325" i="3"/>
  <c r="W325" i="3"/>
  <c r="K326" i="3"/>
  <c r="Q326" i="3"/>
  <c r="W326" i="3"/>
  <c r="K327" i="3"/>
  <c r="Q327" i="3"/>
  <c r="W327" i="3"/>
  <c r="K328" i="3"/>
  <c r="Q328" i="3"/>
  <c r="W328" i="3"/>
  <c r="K329" i="3"/>
  <c r="Q329" i="3"/>
  <c r="W329" i="3"/>
  <c r="K330" i="3"/>
  <c r="Q330" i="3"/>
  <c r="W330" i="3"/>
  <c r="K331" i="3"/>
  <c r="Q331" i="3"/>
  <c r="W331" i="3"/>
  <c r="K332" i="3"/>
  <c r="Q332" i="3"/>
  <c r="W332" i="3"/>
  <c r="K333" i="3"/>
  <c r="Q333" i="3"/>
  <c r="W333" i="3"/>
  <c r="K334" i="3"/>
  <c r="Q334" i="3"/>
  <c r="W334" i="3"/>
  <c r="K335" i="3"/>
  <c r="Q335" i="3"/>
  <c r="W335" i="3"/>
  <c r="K336" i="3"/>
  <c r="Q336" i="3"/>
  <c r="W336" i="3"/>
  <c r="K337" i="3"/>
  <c r="Q337" i="3"/>
  <c r="W337" i="3"/>
  <c r="K338" i="3"/>
  <c r="Q338" i="3"/>
  <c r="W338" i="3"/>
  <c r="K339" i="3"/>
  <c r="Q339" i="3"/>
  <c r="W339" i="3"/>
  <c r="K340" i="3"/>
  <c r="Q340" i="3"/>
  <c r="W340" i="3"/>
  <c r="K341" i="3"/>
  <c r="Q341" i="3"/>
  <c r="W341" i="3"/>
  <c r="K342" i="3"/>
  <c r="Q342" i="3"/>
  <c r="W342" i="3"/>
  <c r="K343" i="3"/>
  <c r="Q343" i="3"/>
  <c r="W343" i="3"/>
  <c r="K344" i="3"/>
  <c r="Q344" i="3"/>
  <c r="W344" i="3"/>
  <c r="K345" i="3"/>
  <c r="Q345" i="3"/>
  <c r="W345" i="3"/>
  <c r="K346" i="3"/>
  <c r="Q346" i="3"/>
  <c r="W346" i="3"/>
  <c r="K347" i="3"/>
  <c r="Q347" i="3"/>
  <c r="W347" i="3"/>
  <c r="K348" i="3"/>
  <c r="Q348" i="3"/>
  <c r="W348" i="3"/>
  <c r="K349" i="3"/>
  <c r="Q349" i="3"/>
  <c r="W349" i="3"/>
  <c r="K350" i="3"/>
  <c r="Q350" i="3"/>
  <c r="W350" i="3"/>
  <c r="K351" i="3"/>
  <c r="Q351" i="3"/>
  <c r="W351" i="3"/>
  <c r="K352" i="3"/>
  <c r="Q352" i="3"/>
  <c r="W352" i="3"/>
  <c r="K353" i="3"/>
  <c r="Q353" i="3"/>
  <c r="W353" i="3"/>
  <c r="K354" i="3"/>
  <c r="Q354" i="3"/>
  <c r="W354" i="3"/>
  <c r="K355" i="3"/>
  <c r="Q355" i="3"/>
  <c r="W355" i="3"/>
  <c r="K356" i="3"/>
  <c r="Q356" i="3"/>
  <c r="W356" i="3"/>
  <c r="K357" i="3"/>
  <c r="Q357" i="3"/>
  <c r="W357" i="3"/>
  <c r="K358" i="3"/>
  <c r="Q358" i="3"/>
  <c r="W358" i="3"/>
  <c r="K359" i="3"/>
  <c r="Q359" i="3"/>
  <c r="W359" i="3"/>
  <c r="K360" i="3"/>
  <c r="Q360" i="3"/>
  <c r="W360" i="3"/>
  <c r="K361" i="3"/>
  <c r="Q361" i="3"/>
  <c r="W361" i="3"/>
  <c r="K362" i="3"/>
  <c r="Q362" i="3"/>
  <c r="W362" i="3"/>
  <c r="K363" i="3"/>
  <c r="Q363" i="3"/>
  <c r="W363" i="3"/>
  <c r="K364" i="3"/>
  <c r="Q364" i="3"/>
  <c r="W364" i="3"/>
  <c r="K365" i="3"/>
  <c r="Q365" i="3"/>
  <c r="W365" i="3"/>
  <c r="K366" i="3"/>
  <c r="Q366" i="3"/>
  <c r="W366" i="3"/>
  <c r="K367" i="3"/>
  <c r="Q367" i="3"/>
  <c r="W367" i="3"/>
  <c r="K368" i="3"/>
  <c r="Q368" i="3"/>
  <c r="W368" i="3"/>
  <c r="K369" i="3"/>
  <c r="Q369" i="3"/>
  <c r="W369" i="3"/>
  <c r="K370" i="3"/>
  <c r="Q370" i="3"/>
  <c r="W370" i="3"/>
  <c r="K371" i="3"/>
  <c r="Q371" i="3"/>
  <c r="W371" i="3"/>
  <c r="K372" i="3"/>
  <c r="Q372" i="3"/>
  <c r="W372" i="3"/>
  <c r="K373" i="3"/>
  <c r="Q373" i="3"/>
  <c r="W373" i="3"/>
  <c r="K374" i="3"/>
  <c r="Q374" i="3"/>
  <c r="W374" i="3"/>
  <c r="K375" i="3"/>
  <c r="Q375" i="3"/>
  <c r="W375" i="3"/>
  <c r="K376" i="3"/>
  <c r="Q376" i="3"/>
  <c r="W376" i="3"/>
  <c r="K377" i="3"/>
  <c r="Q377" i="3"/>
  <c r="W377" i="3"/>
  <c r="K378" i="3"/>
  <c r="Q378" i="3"/>
  <c r="W378" i="3"/>
  <c r="K379" i="3"/>
  <c r="Q379" i="3"/>
  <c r="W379" i="3"/>
  <c r="K380" i="3"/>
  <c r="Q380" i="3"/>
  <c r="W380" i="3"/>
  <c r="K381" i="3"/>
  <c r="Q381" i="3"/>
  <c r="W381" i="3"/>
  <c r="K382" i="3"/>
  <c r="Q382" i="3"/>
  <c r="W382" i="3"/>
  <c r="K383" i="3"/>
  <c r="Q383" i="3"/>
  <c r="W383" i="3"/>
  <c r="K384" i="3"/>
  <c r="Q384" i="3"/>
  <c r="W384" i="3"/>
  <c r="K385" i="3"/>
  <c r="Q385" i="3"/>
  <c r="W385" i="3"/>
  <c r="K386" i="3"/>
  <c r="Q386" i="3"/>
  <c r="W386" i="3"/>
  <c r="K387" i="3"/>
  <c r="Q387" i="3"/>
  <c r="W387" i="3"/>
  <c r="K388" i="3"/>
  <c r="Q388" i="3"/>
  <c r="W388" i="3"/>
  <c r="K389" i="3"/>
  <c r="Q389" i="3"/>
  <c r="W389" i="3"/>
  <c r="K390" i="3"/>
  <c r="Q390" i="3"/>
  <c r="W390" i="3"/>
  <c r="K391" i="3"/>
  <c r="Q391" i="3"/>
  <c r="W391" i="3"/>
  <c r="K392" i="3"/>
  <c r="Q392" i="3"/>
  <c r="W392" i="3"/>
  <c r="K393" i="3"/>
  <c r="Q393" i="3"/>
  <c r="W393" i="3"/>
  <c r="K394" i="3"/>
  <c r="Q394" i="3"/>
  <c r="W394" i="3"/>
  <c r="K395" i="3"/>
  <c r="Q395" i="3"/>
  <c r="W395" i="3"/>
  <c r="K396" i="3"/>
  <c r="Q396" i="3"/>
  <c r="W396" i="3"/>
  <c r="K397" i="3"/>
  <c r="Q397" i="3"/>
  <c r="W397" i="3"/>
  <c r="K398" i="3"/>
  <c r="Q398" i="3"/>
  <c r="W398" i="3"/>
  <c r="K399" i="3"/>
  <c r="Q399" i="3"/>
  <c r="W399" i="3"/>
  <c r="K400" i="3"/>
  <c r="Q400" i="3"/>
  <c r="W400" i="3"/>
  <c r="K401" i="3"/>
  <c r="Q401" i="3"/>
  <c r="W401" i="3"/>
  <c r="K402" i="3"/>
  <c r="Q402" i="3"/>
  <c r="W402" i="3"/>
  <c r="K403" i="3"/>
  <c r="Q403" i="3"/>
  <c r="W403" i="3"/>
  <c r="K404" i="3"/>
  <c r="Q404" i="3"/>
  <c r="W404" i="3"/>
  <c r="K405" i="3"/>
  <c r="Q405" i="3"/>
  <c r="W405" i="3"/>
  <c r="K406" i="3"/>
  <c r="Q406" i="3"/>
  <c r="W406" i="3"/>
  <c r="K407" i="3"/>
  <c r="Q407" i="3"/>
  <c r="W407" i="3"/>
  <c r="K408" i="3"/>
  <c r="Q408" i="3"/>
  <c r="W408" i="3"/>
  <c r="K409" i="3"/>
  <c r="Q409" i="3"/>
  <c r="W409" i="3"/>
  <c r="K410" i="3"/>
  <c r="Q410" i="3"/>
  <c r="W410" i="3"/>
  <c r="K411" i="3"/>
  <c r="Q411" i="3"/>
  <c r="W411" i="3"/>
  <c r="K412" i="3"/>
  <c r="Q412" i="3"/>
  <c r="W412" i="3"/>
  <c r="K413" i="3"/>
  <c r="Q413" i="3"/>
  <c r="W413" i="3"/>
  <c r="K414" i="3"/>
  <c r="Q414" i="3"/>
  <c r="W414" i="3"/>
  <c r="K415" i="3"/>
  <c r="Q415" i="3"/>
  <c r="W415" i="3"/>
  <c r="K416" i="3"/>
  <c r="Q416" i="3"/>
  <c r="W416" i="3"/>
  <c r="K417" i="3"/>
  <c r="Q417" i="3"/>
  <c r="W417" i="3"/>
  <c r="K418" i="3"/>
  <c r="Q418" i="3"/>
  <c r="W418" i="3"/>
  <c r="K419" i="3"/>
  <c r="Q419" i="3"/>
  <c r="W419" i="3"/>
  <c r="K420" i="3"/>
  <c r="Q420" i="3"/>
  <c r="W420" i="3"/>
  <c r="K421" i="3"/>
  <c r="Q421" i="3"/>
  <c r="W421" i="3"/>
  <c r="K422" i="3"/>
  <c r="Q422" i="3"/>
  <c r="W422" i="3"/>
  <c r="K423" i="3"/>
  <c r="Q423" i="3"/>
  <c r="W423" i="3"/>
  <c r="K424" i="3"/>
  <c r="Q424" i="3"/>
  <c r="W424" i="3"/>
  <c r="K425" i="3"/>
  <c r="Q425" i="3"/>
  <c r="W425" i="3"/>
  <c r="K426" i="3"/>
  <c r="Q426" i="3"/>
  <c r="W426" i="3"/>
  <c r="K427" i="3"/>
  <c r="Q427" i="3"/>
  <c r="W427" i="3"/>
  <c r="K428" i="3"/>
  <c r="Q428" i="3"/>
  <c r="W428" i="3"/>
  <c r="K429" i="3"/>
  <c r="Q429" i="3"/>
  <c r="W429" i="3"/>
  <c r="K430" i="3"/>
  <c r="Q430" i="3"/>
  <c r="W430" i="3"/>
  <c r="K431" i="3"/>
  <c r="Q431" i="3"/>
  <c r="W431" i="3"/>
  <c r="K432" i="3"/>
  <c r="Q432" i="3"/>
  <c r="W432" i="3"/>
  <c r="K433" i="3"/>
  <c r="Q433" i="3"/>
  <c r="W433" i="3"/>
  <c r="K434" i="3"/>
  <c r="Q434" i="3"/>
  <c r="W434" i="3"/>
  <c r="K435" i="3"/>
  <c r="Q435" i="3"/>
  <c r="W435" i="3"/>
  <c r="K436" i="3"/>
  <c r="Q436" i="3"/>
  <c r="W436" i="3"/>
  <c r="K437" i="3"/>
  <c r="Q437" i="3"/>
  <c r="W437" i="3"/>
  <c r="K438" i="3"/>
  <c r="Q438" i="3"/>
  <c r="W438" i="3"/>
  <c r="K439" i="3"/>
  <c r="Q439" i="3"/>
  <c r="W439" i="3"/>
  <c r="K440" i="3"/>
  <c r="Q440" i="3"/>
  <c r="W440" i="3"/>
  <c r="K441" i="3"/>
  <c r="Q441" i="3"/>
  <c r="W441" i="3"/>
  <c r="K442" i="3"/>
  <c r="Q442" i="3"/>
  <c r="W442" i="3"/>
  <c r="K443" i="3"/>
  <c r="Q443" i="3"/>
  <c r="W443" i="3"/>
  <c r="K444" i="3"/>
  <c r="Q444" i="3"/>
  <c r="W444" i="3"/>
  <c r="K445" i="3"/>
  <c r="Q445" i="3"/>
  <c r="W445" i="3"/>
  <c r="K446" i="3"/>
  <c r="Q446" i="3"/>
  <c r="W446" i="3"/>
  <c r="K447" i="3"/>
  <c r="Q447" i="3"/>
  <c r="W447" i="3"/>
  <c r="K448" i="3"/>
  <c r="Q448" i="3"/>
  <c r="W448" i="3"/>
  <c r="K449" i="3"/>
  <c r="Q449" i="3"/>
  <c r="W449" i="3"/>
  <c r="K450" i="3"/>
  <c r="Q450" i="3"/>
  <c r="W450" i="3"/>
  <c r="K451" i="3"/>
  <c r="Q451" i="3"/>
  <c r="W451" i="3"/>
  <c r="K452" i="3"/>
  <c r="Q452" i="3"/>
  <c r="W452" i="3"/>
  <c r="K453" i="3"/>
  <c r="Q453" i="3"/>
  <c r="W453" i="3"/>
  <c r="K454" i="3"/>
  <c r="Q454" i="3"/>
  <c r="W454" i="3"/>
  <c r="K455" i="3"/>
  <c r="Q455" i="3"/>
  <c r="W455" i="3"/>
  <c r="K456" i="3"/>
  <c r="Q456" i="3"/>
  <c r="W456" i="3"/>
  <c r="K457" i="3"/>
  <c r="Q457" i="3"/>
  <c r="W457" i="3"/>
  <c r="K458" i="3"/>
  <c r="Q458" i="3"/>
  <c r="W458" i="3"/>
  <c r="K459" i="3"/>
  <c r="Q459" i="3"/>
  <c r="W459" i="3"/>
  <c r="K460" i="3"/>
  <c r="Q460" i="3"/>
  <c r="W460" i="3"/>
  <c r="K461" i="3"/>
  <c r="Q461" i="3"/>
  <c r="W461" i="3"/>
  <c r="K462" i="3"/>
  <c r="Q462" i="3"/>
  <c r="W462" i="3"/>
  <c r="K463" i="3"/>
  <c r="Q463" i="3"/>
  <c r="W463" i="3"/>
  <c r="K464" i="3"/>
  <c r="Q464" i="3"/>
  <c r="W464" i="3"/>
  <c r="K465" i="3"/>
  <c r="Q465" i="3"/>
  <c r="W465" i="3"/>
  <c r="K466" i="3"/>
  <c r="Q466" i="3"/>
  <c r="W466" i="3"/>
  <c r="K467" i="3"/>
  <c r="Q467" i="3"/>
  <c r="W467" i="3"/>
  <c r="K468" i="3"/>
  <c r="Q468" i="3"/>
  <c r="W468" i="3"/>
  <c r="K469" i="3"/>
  <c r="Q469" i="3"/>
  <c r="W469" i="3"/>
  <c r="K470" i="3"/>
  <c r="Q470" i="3"/>
  <c r="W470" i="3"/>
  <c r="K471" i="3"/>
  <c r="Q471" i="3"/>
  <c r="W471" i="3"/>
  <c r="K472" i="3"/>
  <c r="Q472" i="3"/>
  <c r="W472" i="3"/>
  <c r="K473" i="3"/>
  <c r="Q473" i="3"/>
  <c r="W473" i="3"/>
  <c r="K474" i="3"/>
  <c r="Q474" i="3"/>
  <c r="W474" i="3"/>
  <c r="K475" i="3"/>
  <c r="Q475" i="3"/>
  <c r="W475" i="3"/>
  <c r="K476" i="3"/>
  <c r="Q476" i="3"/>
  <c r="W476" i="3"/>
  <c r="K477" i="3"/>
  <c r="Q477" i="3"/>
  <c r="W477" i="3"/>
  <c r="K478" i="3"/>
  <c r="Q478" i="3"/>
  <c r="W478" i="3"/>
  <c r="K479" i="3"/>
  <c r="Q479" i="3"/>
  <c r="W479" i="3"/>
  <c r="K480" i="3"/>
  <c r="Q480" i="3"/>
  <c r="W480" i="3"/>
  <c r="K481" i="3"/>
  <c r="Q481" i="3"/>
  <c r="W481" i="3"/>
  <c r="K482" i="3"/>
  <c r="Q482" i="3"/>
  <c r="W482" i="3"/>
  <c r="K483" i="3"/>
  <c r="Q483" i="3"/>
  <c r="W483" i="3"/>
  <c r="K484" i="3"/>
  <c r="Q484" i="3"/>
  <c r="W484" i="3"/>
  <c r="K485" i="3"/>
  <c r="Q485" i="3"/>
  <c r="W485" i="3"/>
  <c r="K486" i="3"/>
  <c r="Q486" i="3"/>
  <c r="W486" i="3"/>
  <c r="K487" i="3"/>
  <c r="Q487" i="3"/>
  <c r="W487" i="3"/>
  <c r="K488" i="3"/>
  <c r="Q488" i="3"/>
  <c r="W488" i="3"/>
  <c r="K489" i="3"/>
  <c r="Q489" i="3"/>
  <c r="W489" i="3"/>
  <c r="K490" i="3"/>
  <c r="Q490" i="3"/>
  <c r="W490" i="3"/>
  <c r="J3" i="2"/>
  <c r="N6" i="2"/>
  <c r="I11" i="2"/>
  <c r="F11" i="2" s="1"/>
  <c r="H13" i="3" s="1"/>
  <c r="J11" i="2"/>
  <c r="G11" i="2" s="1"/>
  <c r="K11" i="2"/>
  <c r="H11" i="2" s="1"/>
  <c r="C12" i="2"/>
  <c r="D12" i="2"/>
  <c r="D13" i="2" s="1"/>
  <c r="D14" i="2" s="1"/>
  <c r="L12" i="2"/>
  <c r="M12" i="2"/>
  <c r="M13" i="2" s="1"/>
  <c r="N12" i="2"/>
  <c r="N13" i="2" s="1"/>
  <c r="O12" i="2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P12" i="2"/>
  <c r="Q12" i="2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Q38" i="2" s="1"/>
  <c r="Q39" i="2" s="1"/>
  <c r="Q40" i="2" s="1"/>
  <c r="Q41" i="2" s="1"/>
  <c r="Q42" i="2" s="1"/>
  <c r="Q43" i="2" s="1"/>
  <c r="Q44" i="2" s="1"/>
  <c r="Q45" i="2" s="1"/>
  <c r="Q46" i="2" s="1"/>
  <c r="Q47" i="2" s="1"/>
  <c r="Q48" i="2" s="1"/>
  <c r="Q49" i="2" s="1"/>
  <c r="Q50" i="2" s="1"/>
  <c r="Q51" i="2" s="1"/>
  <c r="Q52" i="2" s="1"/>
  <c r="Q53" i="2" s="1"/>
  <c r="Q54" i="2" s="1"/>
  <c r="Q55" i="2" s="1"/>
  <c r="Q56" i="2" s="1"/>
  <c r="Q57" i="2" s="1"/>
  <c r="Q58" i="2" s="1"/>
  <c r="Q59" i="2" s="1"/>
  <c r="Q60" i="2" s="1"/>
  <c r="Q61" i="2" s="1"/>
  <c r="Q62" i="2" s="1"/>
  <c r="Q63" i="2" s="1"/>
  <c r="Q64" i="2" s="1"/>
  <c r="Q65" i="2" s="1"/>
  <c r="Q66" i="2" s="1"/>
  <c r="Q67" i="2" s="1"/>
  <c r="Q68" i="2" s="1"/>
  <c r="Q69" i="2" s="1"/>
  <c r="Q70" i="2" s="1"/>
  <c r="Q71" i="2" s="1"/>
  <c r="Q72" i="2" s="1"/>
  <c r="Q73" i="2" s="1"/>
  <c r="Q74" i="2" s="1"/>
  <c r="Q75" i="2" s="1"/>
  <c r="Q76" i="2" s="1"/>
  <c r="Q77" i="2" s="1"/>
  <c r="Q78" i="2" s="1"/>
  <c r="Q79" i="2" s="1"/>
  <c r="Q80" i="2" s="1"/>
  <c r="Q81" i="2" s="1"/>
  <c r="Q82" i="2" s="1"/>
  <c r="Q83" i="2" s="1"/>
  <c r="Q84" i="2" s="1"/>
  <c r="Q85" i="2" s="1"/>
  <c r="Q86" i="2" s="1"/>
  <c r="Q87" i="2" s="1"/>
  <c r="Q88" i="2" s="1"/>
  <c r="Q89" i="2" s="1"/>
  <c r="Q90" i="2" s="1"/>
  <c r="Q91" i="2" s="1"/>
  <c r="Q92" i="2" s="1"/>
  <c r="Q93" i="2" s="1"/>
  <c r="Q94" i="2" s="1"/>
  <c r="Q95" i="2" s="1"/>
  <c r="Q96" i="2" s="1"/>
  <c r="Q97" i="2" s="1"/>
  <c r="Q98" i="2" s="1"/>
  <c r="Q99" i="2" s="1"/>
  <c r="Q100" i="2" s="1"/>
  <c r="Q101" i="2" s="1"/>
  <c r="Q102" i="2" s="1"/>
  <c r="Q103" i="2" s="1"/>
  <c r="Q104" i="2" s="1"/>
  <c r="Q105" i="2" s="1"/>
  <c r="Q106" i="2" s="1"/>
  <c r="Q107" i="2" s="1"/>
  <c r="Q108" i="2" s="1"/>
  <c r="Q109" i="2" s="1"/>
  <c r="Q110" i="2" s="1"/>
  <c r="Q111" i="2" s="1"/>
  <c r="Q112" i="2" s="1"/>
  <c r="Q113" i="2" s="1"/>
  <c r="Q114" i="2" s="1"/>
  <c r="Q115" i="2" s="1"/>
  <c r="Q116" i="2" s="1"/>
  <c r="Q117" i="2" s="1"/>
  <c r="Q118" i="2" s="1"/>
  <c r="Q119" i="2" s="1"/>
  <c r="Q120" i="2" s="1"/>
  <c r="Q121" i="2" s="1"/>
  <c r="Q122" i="2" s="1"/>
  <c r="Q123" i="2" s="1"/>
  <c r="Q124" i="2" s="1"/>
  <c r="Q125" i="2" s="1"/>
  <c r="Q126" i="2" s="1"/>
  <c r="Q127" i="2" s="1"/>
  <c r="Q128" i="2" s="1"/>
  <c r="Q129" i="2" s="1"/>
  <c r="Q130" i="2" s="1"/>
  <c r="Q131" i="2" s="1"/>
  <c r="Q132" i="2" s="1"/>
  <c r="Q133" i="2" s="1"/>
  <c r="Q134" i="2" s="1"/>
  <c r="Q135" i="2" s="1"/>
  <c r="Q136" i="2" s="1"/>
  <c r="Q137" i="2" s="1"/>
  <c r="Q138" i="2" s="1"/>
  <c r="Q139" i="2" s="1"/>
  <c r="Q140" i="2" s="1"/>
  <c r="Q141" i="2" s="1"/>
  <c r="Q142" i="2" s="1"/>
  <c r="Q143" i="2" s="1"/>
  <c r="Q144" i="2" s="1"/>
  <c r="Q145" i="2" s="1"/>
  <c r="Q146" i="2" s="1"/>
  <c r="Q147" i="2" s="1"/>
  <c r="Q148" i="2" s="1"/>
  <c r="Q149" i="2" s="1"/>
  <c r="Q150" i="2" s="1"/>
  <c r="Q151" i="2" s="1"/>
  <c r="Q152" i="2" s="1"/>
  <c r="Q153" i="2" s="1"/>
  <c r="Q154" i="2" s="1"/>
  <c r="Q155" i="2" s="1"/>
  <c r="Q156" i="2" s="1"/>
  <c r="Q157" i="2" s="1"/>
  <c r="Q158" i="2" s="1"/>
  <c r="Q159" i="2" s="1"/>
  <c r="Q160" i="2" s="1"/>
  <c r="Q161" i="2" s="1"/>
  <c r="Q162" i="2" s="1"/>
  <c r="Q163" i="2" s="1"/>
  <c r="Q164" i="2" s="1"/>
  <c r="Q165" i="2" s="1"/>
  <c r="Q166" i="2" s="1"/>
  <c r="Q167" i="2" s="1"/>
  <c r="Q168" i="2" s="1"/>
  <c r="Q169" i="2" s="1"/>
  <c r="Q170" i="2" s="1"/>
  <c r="Q171" i="2" s="1"/>
  <c r="Q172" i="2" s="1"/>
  <c r="Q173" i="2" s="1"/>
  <c r="Q174" i="2" s="1"/>
  <c r="Q175" i="2" s="1"/>
  <c r="Q176" i="2" s="1"/>
  <c r="Q177" i="2" s="1"/>
  <c r="Q178" i="2" s="1"/>
  <c r="Q179" i="2" s="1"/>
  <c r="Q180" i="2" s="1"/>
  <c r="Q181" i="2" s="1"/>
  <c r="Q182" i="2" s="1"/>
  <c r="Q183" i="2" s="1"/>
  <c r="Q184" i="2" s="1"/>
  <c r="Q185" i="2" s="1"/>
  <c r="Q186" i="2" s="1"/>
  <c r="Q187" i="2" s="1"/>
  <c r="Q188" i="2" s="1"/>
  <c r="Q189" i="2" s="1"/>
  <c r="Q190" i="2" s="1"/>
  <c r="Q191" i="2" s="1"/>
  <c r="Q192" i="2" s="1"/>
  <c r="Q193" i="2" s="1"/>
  <c r="Q194" i="2" s="1"/>
  <c r="Q195" i="2" s="1"/>
  <c r="Q196" i="2" s="1"/>
  <c r="Q197" i="2" s="1"/>
  <c r="Q198" i="2" s="1"/>
  <c r="Q199" i="2" s="1"/>
  <c r="Q200" i="2" s="1"/>
  <c r="Q201" i="2" s="1"/>
  <c r="Q202" i="2" s="1"/>
  <c r="Q203" i="2" s="1"/>
  <c r="Q204" i="2" s="1"/>
  <c r="Q205" i="2" s="1"/>
  <c r="Q206" i="2" s="1"/>
  <c r="Q207" i="2" s="1"/>
  <c r="Q208" i="2" s="1"/>
  <c r="Q209" i="2" s="1"/>
  <c r="Q210" i="2" s="1"/>
  <c r="Q211" i="2" s="1"/>
  <c r="Q212" i="2" s="1"/>
  <c r="Q213" i="2" s="1"/>
  <c r="Q214" i="2" s="1"/>
  <c r="Q215" i="2" s="1"/>
  <c r="Q216" i="2" s="1"/>
  <c r="Q217" i="2" s="1"/>
  <c r="Q218" i="2" s="1"/>
  <c r="Q219" i="2" s="1"/>
  <c r="Q220" i="2" s="1"/>
  <c r="Q221" i="2" s="1"/>
  <c r="Q222" i="2" s="1"/>
  <c r="Q223" i="2" s="1"/>
  <c r="Q224" i="2" s="1"/>
  <c r="Q225" i="2" s="1"/>
  <c r="Q226" i="2" s="1"/>
  <c r="Q227" i="2" s="1"/>
  <c r="Q228" i="2" s="1"/>
  <c r="Q229" i="2" s="1"/>
  <c r="Q230" i="2" s="1"/>
  <c r="Q231" i="2" s="1"/>
  <c r="Q232" i="2" s="1"/>
  <c r="Q233" i="2" s="1"/>
  <c r="Q234" i="2" s="1"/>
  <c r="Q235" i="2" s="1"/>
  <c r="Q236" i="2" s="1"/>
  <c r="Q237" i="2" s="1"/>
  <c r="Q238" i="2" s="1"/>
  <c r="Q239" i="2" s="1"/>
  <c r="Q240" i="2" s="1"/>
  <c r="Q241" i="2" s="1"/>
  <c r="Q242" i="2" s="1"/>
  <c r="Q243" i="2" s="1"/>
  <c r="Q244" i="2" s="1"/>
  <c r="Q245" i="2" s="1"/>
  <c r="Q246" i="2" s="1"/>
  <c r="Q247" i="2" s="1"/>
  <c r="Q248" i="2" s="1"/>
  <c r="Q249" i="2" s="1"/>
  <c r="Q250" i="2" s="1"/>
  <c r="Q251" i="2" s="1"/>
  <c r="Q252" i="2" s="1"/>
  <c r="Q253" i="2" s="1"/>
  <c r="Q254" i="2" s="1"/>
  <c r="Q255" i="2" s="1"/>
  <c r="Q256" i="2" s="1"/>
  <c r="Q257" i="2" s="1"/>
  <c r="Q258" i="2" s="1"/>
  <c r="Q259" i="2" s="1"/>
  <c r="Q260" i="2" s="1"/>
  <c r="Q261" i="2" s="1"/>
  <c r="Q262" i="2" s="1"/>
  <c r="Q263" i="2" s="1"/>
  <c r="Q264" i="2" s="1"/>
  <c r="Q265" i="2" s="1"/>
  <c r="Q266" i="2" s="1"/>
  <c r="Q267" i="2" s="1"/>
  <c r="Q268" i="2" s="1"/>
  <c r="Q269" i="2" s="1"/>
  <c r="Q270" i="2" s="1"/>
  <c r="Q271" i="2" s="1"/>
  <c r="Q272" i="2" s="1"/>
  <c r="Q273" i="2" s="1"/>
  <c r="Q274" i="2" s="1"/>
  <c r="Q275" i="2" s="1"/>
  <c r="Q276" i="2" s="1"/>
  <c r="Q277" i="2" s="1"/>
  <c r="Q278" i="2" s="1"/>
  <c r="Q279" i="2" s="1"/>
  <c r="Q280" i="2" s="1"/>
  <c r="Q281" i="2" s="1"/>
  <c r="Q282" i="2" s="1"/>
  <c r="Q283" i="2" s="1"/>
  <c r="Q284" i="2" s="1"/>
  <c r="Q285" i="2" s="1"/>
  <c r="Q286" i="2" s="1"/>
  <c r="Q287" i="2" s="1"/>
  <c r="Q288" i="2" s="1"/>
  <c r="Q289" i="2" s="1"/>
  <c r="Q290" i="2" s="1"/>
  <c r="Q291" i="2" s="1"/>
  <c r="Q292" i="2" s="1"/>
  <c r="Q293" i="2" s="1"/>
  <c r="Q294" i="2" s="1"/>
  <c r="Q295" i="2" s="1"/>
  <c r="Q296" i="2" s="1"/>
  <c r="Q297" i="2" s="1"/>
  <c r="Q298" i="2" s="1"/>
  <c r="Q299" i="2" s="1"/>
  <c r="Q300" i="2" s="1"/>
  <c r="Q301" i="2" s="1"/>
  <c r="Q302" i="2" s="1"/>
  <c r="Q303" i="2" s="1"/>
  <c r="Q304" i="2" s="1"/>
  <c r="Q305" i="2" s="1"/>
  <c r="Q306" i="2" s="1"/>
  <c r="Q307" i="2" s="1"/>
  <c r="Q308" i="2" s="1"/>
  <c r="Q309" i="2" s="1"/>
  <c r="Q310" i="2" s="1"/>
  <c r="Q311" i="2" s="1"/>
  <c r="Q312" i="2" s="1"/>
  <c r="Q313" i="2" s="1"/>
  <c r="Q314" i="2" s="1"/>
  <c r="Q315" i="2" s="1"/>
  <c r="Q316" i="2" s="1"/>
  <c r="Q317" i="2" s="1"/>
  <c r="Q318" i="2" s="1"/>
  <c r="Q319" i="2" s="1"/>
  <c r="Q320" i="2" s="1"/>
  <c r="Q321" i="2" s="1"/>
  <c r="Q322" i="2" s="1"/>
  <c r="Q323" i="2" s="1"/>
  <c r="Q324" i="2" s="1"/>
  <c r="Q325" i="2" s="1"/>
  <c r="Q326" i="2" s="1"/>
  <c r="Q327" i="2" s="1"/>
  <c r="Q328" i="2" s="1"/>
  <c r="Q329" i="2" s="1"/>
  <c r="Q330" i="2" s="1"/>
  <c r="Q331" i="2" s="1"/>
  <c r="Q332" i="2" s="1"/>
  <c r="Q333" i="2" s="1"/>
  <c r="Q334" i="2" s="1"/>
  <c r="Q335" i="2" s="1"/>
  <c r="Q336" i="2" s="1"/>
  <c r="Q337" i="2" s="1"/>
  <c r="Q338" i="2" s="1"/>
  <c r="Q339" i="2" s="1"/>
  <c r="Q340" i="2" s="1"/>
  <c r="Q341" i="2" s="1"/>
  <c r="Q342" i="2" s="1"/>
  <c r="Q343" i="2" s="1"/>
  <c r="Q344" i="2" s="1"/>
  <c r="Q345" i="2" s="1"/>
  <c r="Q346" i="2" s="1"/>
  <c r="Q347" i="2" s="1"/>
  <c r="Q348" i="2" s="1"/>
  <c r="Q349" i="2" s="1"/>
  <c r="Q350" i="2" s="1"/>
  <c r="Q351" i="2" s="1"/>
  <c r="Q352" i="2" s="1"/>
  <c r="Q353" i="2" s="1"/>
  <c r="Q354" i="2" s="1"/>
  <c r="Q355" i="2" s="1"/>
  <c r="Q356" i="2" s="1"/>
  <c r="Q357" i="2" s="1"/>
  <c r="Q358" i="2" s="1"/>
  <c r="Q359" i="2" s="1"/>
  <c r="Q360" i="2" s="1"/>
  <c r="Q361" i="2" s="1"/>
  <c r="Q362" i="2" s="1"/>
  <c r="Q363" i="2" s="1"/>
  <c r="Q364" i="2" s="1"/>
  <c r="Q365" i="2" s="1"/>
  <c r="Q366" i="2" s="1"/>
  <c r="Q367" i="2" s="1"/>
  <c r="Q368" i="2" s="1"/>
  <c r="Q369" i="2" s="1"/>
  <c r="Q370" i="2" s="1"/>
  <c r="Q371" i="2" s="1"/>
  <c r="Q372" i="2" s="1"/>
  <c r="Q373" i="2" s="1"/>
  <c r="Q374" i="2" s="1"/>
  <c r="Q375" i="2" s="1"/>
  <c r="Q376" i="2" s="1"/>
  <c r="Q377" i="2" s="1"/>
  <c r="Q378" i="2" s="1"/>
  <c r="Q379" i="2" s="1"/>
  <c r="Q380" i="2" s="1"/>
  <c r="Q381" i="2" s="1"/>
  <c r="Q382" i="2" s="1"/>
  <c r="Q383" i="2" s="1"/>
  <c r="Q384" i="2" s="1"/>
  <c r="Q385" i="2" s="1"/>
  <c r="Q386" i="2" s="1"/>
  <c r="Q387" i="2" s="1"/>
  <c r="Q388" i="2" s="1"/>
  <c r="Q389" i="2" s="1"/>
  <c r="Q390" i="2" s="1"/>
  <c r="Q391" i="2" s="1"/>
  <c r="Q392" i="2" s="1"/>
  <c r="Q393" i="2" s="1"/>
  <c r="Q394" i="2" s="1"/>
  <c r="Q395" i="2" s="1"/>
  <c r="Q396" i="2" s="1"/>
  <c r="Q397" i="2" s="1"/>
  <c r="Q398" i="2" s="1"/>
  <c r="Q399" i="2" s="1"/>
  <c r="Q400" i="2" s="1"/>
  <c r="Q401" i="2" s="1"/>
  <c r="Q402" i="2" s="1"/>
  <c r="Q403" i="2" s="1"/>
  <c r="Q404" i="2" s="1"/>
  <c r="Q405" i="2" s="1"/>
  <c r="Q406" i="2" s="1"/>
  <c r="Q407" i="2" s="1"/>
  <c r="Q408" i="2" s="1"/>
  <c r="Q409" i="2" s="1"/>
  <c r="Q410" i="2" s="1"/>
  <c r="Q411" i="2" s="1"/>
  <c r="Q412" i="2" s="1"/>
  <c r="Q413" i="2" s="1"/>
  <c r="Q414" i="2" s="1"/>
  <c r="Q415" i="2" s="1"/>
  <c r="Q416" i="2" s="1"/>
  <c r="Q417" i="2" s="1"/>
  <c r="Q418" i="2" s="1"/>
  <c r="Q419" i="2" s="1"/>
  <c r="Q420" i="2" s="1"/>
  <c r="Q421" i="2" s="1"/>
  <c r="Q422" i="2" s="1"/>
  <c r="Q423" i="2" s="1"/>
  <c r="Q424" i="2" s="1"/>
  <c r="Q425" i="2" s="1"/>
  <c r="Q426" i="2" s="1"/>
  <c r="Q427" i="2" s="1"/>
  <c r="Q428" i="2" s="1"/>
  <c r="Q429" i="2" s="1"/>
  <c r="Q430" i="2" s="1"/>
  <c r="Q431" i="2" s="1"/>
  <c r="Q432" i="2" s="1"/>
  <c r="Q433" i="2" s="1"/>
  <c r="Q434" i="2" s="1"/>
  <c r="Q435" i="2" s="1"/>
  <c r="Q436" i="2" s="1"/>
  <c r="Q437" i="2" s="1"/>
  <c r="Q438" i="2" s="1"/>
  <c r="Q439" i="2" s="1"/>
  <c r="Q440" i="2" s="1"/>
  <c r="Q441" i="2" s="1"/>
  <c r="Q442" i="2" s="1"/>
  <c r="Q443" i="2" s="1"/>
  <c r="Q444" i="2" s="1"/>
  <c r="Q445" i="2" s="1"/>
  <c r="Q446" i="2" s="1"/>
  <c r="Q447" i="2" s="1"/>
  <c r="Q448" i="2" s="1"/>
  <c r="Q449" i="2" s="1"/>
  <c r="Q450" i="2" s="1"/>
  <c r="Q451" i="2" s="1"/>
  <c r="Q452" i="2" s="1"/>
  <c r="Q453" i="2" s="1"/>
  <c r="Q454" i="2" s="1"/>
  <c r="Q455" i="2" s="1"/>
  <c r="Q456" i="2" s="1"/>
  <c r="Q457" i="2" s="1"/>
  <c r="Q458" i="2" s="1"/>
  <c r="Q459" i="2" s="1"/>
  <c r="Q460" i="2" s="1"/>
  <c r="Q461" i="2" s="1"/>
  <c r="Q462" i="2" s="1"/>
  <c r="Q463" i="2" s="1"/>
  <c r="Q464" i="2" s="1"/>
  <c r="Q465" i="2" s="1"/>
  <c r="Q466" i="2" s="1"/>
  <c r="Q467" i="2" s="1"/>
  <c r="Q468" i="2" s="1"/>
  <c r="Q469" i="2" s="1"/>
  <c r="Q470" i="2" s="1"/>
  <c r="Q471" i="2" s="1"/>
  <c r="Q472" i="2" s="1"/>
  <c r="Q473" i="2" s="1"/>
  <c r="Q474" i="2" s="1"/>
  <c r="Q475" i="2" s="1"/>
  <c r="Q476" i="2" s="1"/>
  <c r="Q477" i="2" s="1"/>
  <c r="Q478" i="2" s="1"/>
  <c r="Q479" i="2" s="1"/>
  <c r="Q480" i="2" s="1"/>
  <c r="Q481" i="2" s="1"/>
  <c r="Q482" i="2" s="1"/>
  <c r="Q483" i="2" s="1"/>
  <c r="Q484" i="2" s="1"/>
  <c r="Q485" i="2" s="1"/>
  <c r="Q486" i="2" s="1"/>
  <c r="Q487" i="2" s="1"/>
  <c r="Q488" i="2" s="1"/>
  <c r="Q489" i="2" s="1"/>
  <c r="Q490" i="2" s="1"/>
  <c r="C13" i="2"/>
  <c r="C14" i="2" s="1"/>
  <c r="A276" i="2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C531" i="3" l="1"/>
  <c r="J12" i="2"/>
  <c r="G12" i="2" s="1"/>
  <c r="E14" i="2"/>
  <c r="E12" i="2"/>
  <c r="E13" i="2"/>
  <c r="R15" i="3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R203" i="3" s="1"/>
  <c r="R204" i="3" s="1"/>
  <c r="R205" i="3" s="1"/>
  <c r="R206" i="3" s="1"/>
  <c r="R207" i="3" s="1"/>
  <c r="R208" i="3" s="1"/>
  <c r="R209" i="3" s="1"/>
  <c r="R210" i="3" s="1"/>
  <c r="R211" i="3" s="1"/>
  <c r="R212" i="3" s="1"/>
  <c r="R213" i="3" s="1"/>
  <c r="R214" i="3" s="1"/>
  <c r="R215" i="3" s="1"/>
  <c r="R216" i="3" s="1"/>
  <c r="R217" i="3" s="1"/>
  <c r="R218" i="3" s="1"/>
  <c r="R219" i="3" s="1"/>
  <c r="R220" i="3" s="1"/>
  <c r="R221" i="3" s="1"/>
  <c r="R222" i="3" s="1"/>
  <c r="R223" i="3" s="1"/>
  <c r="R224" i="3" s="1"/>
  <c r="R225" i="3" s="1"/>
  <c r="R226" i="3" s="1"/>
  <c r="R227" i="3" s="1"/>
  <c r="R228" i="3" s="1"/>
  <c r="R229" i="3" s="1"/>
  <c r="R230" i="3" s="1"/>
  <c r="R231" i="3" s="1"/>
  <c r="R232" i="3" s="1"/>
  <c r="R233" i="3" s="1"/>
  <c r="R234" i="3" s="1"/>
  <c r="R235" i="3" s="1"/>
  <c r="R236" i="3" s="1"/>
  <c r="R237" i="3" s="1"/>
  <c r="R238" i="3" s="1"/>
  <c r="R239" i="3" s="1"/>
  <c r="R240" i="3" s="1"/>
  <c r="R241" i="3" s="1"/>
  <c r="R242" i="3" s="1"/>
  <c r="R243" i="3" s="1"/>
  <c r="R244" i="3" s="1"/>
  <c r="R245" i="3" s="1"/>
  <c r="R246" i="3" s="1"/>
  <c r="R247" i="3" s="1"/>
  <c r="R248" i="3" s="1"/>
  <c r="R249" i="3" s="1"/>
  <c r="R250" i="3" s="1"/>
  <c r="R251" i="3" s="1"/>
  <c r="R252" i="3" s="1"/>
  <c r="R253" i="3" s="1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84" i="3" s="1"/>
  <c r="R285" i="3" s="1"/>
  <c r="R286" i="3" s="1"/>
  <c r="R287" i="3" s="1"/>
  <c r="R288" i="3" s="1"/>
  <c r="R289" i="3" s="1"/>
  <c r="R290" i="3" s="1"/>
  <c r="R291" i="3" s="1"/>
  <c r="R292" i="3" s="1"/>
  <c r="R293" i="3" s="1"/>
  <c r="R294" i="3" s="1"/>
  <c r="R295" i="3" s="1"/>
  <c r="R296" i="3" s="1"/>
  <c r="R297" i="3" s="1"/>
  <c r="R298" i="3" s="1"/>
  <c r="R299" i="3" s="1"/>
  <c r="R300" i="3" s="1"/>
  <c r="R301" i="3" s="1"/>
  <c r="R302" i="3" s="1"/>
  <c r="R303" i="3" s="1"/>
  <c r="R304" i="3" s="1"/>
  <c r="R305" i="3" s="1"/>
  <c r="R306" i="3" s="1"/>
  <c r="R307" i="3" s="1"/>
  <c r="R308" i="3" s="1"/>
  <c r="R309" i="3" s="1"/>
  <c r="R310" i="3" s="1"/>
  <c r="R311" i="3" s="1"/>
  <c r="R312" i="3" s="1"/>
  <c r="R313" i="3" s="1"/>
  <c r="R314" i="3" s="1"/>
  <c r="R315" i="3" s="1"/>
  <c r="R316" i="3" s="1"/>
  <c r="R317" i="3" s="1"/>
  <c r="R318" i="3" s="1"/>
  <c r="R319" i="3" s="1"/>
  <c r="R320" i="3" s="1"/>
  <c r="R321" i="3" s="1"/>
  <c r="R322" i="3" s="1"/>
  <c r="R323" i="3" s="1"/>
  <c r="R324" i="3" s="1"/>
  <c r="R325" i="3" s="1"/>
  <c r="R326" i="3" s="1"/>
  <c r="R327" i="3" s="1"/>
  <c r="R328" i="3" s="1"/>
  <c r="R329" i="3" s="1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R346" i="3" s="1"/>
  <c r="R347" i="3" s="1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R358" i="3" s="1"/>
  <c r="R359" i="3" s="1"/>
  <c r="R360" i="3" s="1"/>
  <c r="R361" i="3" s="1"/>
  <c r="R362" i="3" s="1"/>
  <c r="R363" i="3" s="1"/>
  <c r="R364" i="3" s="1"/>
  <c r="R365" i="3" s="1"/>
  <c r="R366" i="3" s="1"/>
  <c r="R367" i="3" s="1"/>
  <c r="R368" i="3" s="1"/>
  <c r="R369" i="3" s="1"/>
  <c r="R370" i="3" s="1"/>
  <c r="R371" i="3" s="1"/>
  <c r="R372" i="3" s="1"/>
  <c r="R373" i="3" s="1"/>
  <c r="R374" i="3" s="1"/>
  <c r="R375" i="3" s="1"/>
  <c r="R376" i="3" s="1"/>
  <c r="R377" i="3" s="1"/>
  <c r="R378" i="3" s="1"/>
  <c r="R379" i="3" s="1"/>
  <c r="R380" i="3" s="1"/>
  <c r="R381" i="3" s="1"/>
  <c r="R382" i="3" s="1"/>
  <c r="R383" i="3" s="1"/>
  <c r="R384" i="3" s="1"/>
  <c r="R385" i="3" s="1"/>
  <c r="R386" i="3" s="1"/>
  <c r="R387" i="3" s="1"/>
  <c r="R388" i="3" s="1"/>
  <c r="R389" i="3" s="1"/>
  <c r="R390" i="3" s="1"/>
  <c r="R391" i="3" s="1"/>
  <c r="R392" i="3" s="1"/>
  <c r="R393" i="3" s="1"/>
  <c r="R394" i="3" s="1"/>
  <c r="R395" i="3" s="1"/>
  <c r="R396" i="3" s="1"/>
  <c r="R397" i="3" s="1"/>
  <c r="R398" i="3" s="1"/>
  <c r="R399" i="3" s="1"/>
  <c r="R400" i="3" s="1"/>
  <c r="R401" i="3" s="1"/>
  <c r="R402" i="3" s="1"/>
  <c r="R403" i="3" s="1"/>
  <c r="R404" i="3" s="1"/>
  <c r="R405" i="3" s="1"/>
  <c r="R406" i="3" s="1"/>
  <c r="R407" i="3" s="1"/>
  <c r="R408" i="3" s="1"/>
  <c r="R409" i="3" s="1"/>
  <c r="R410" i="3" s="1"/>
  <c r="R411" i="3" s="1"/>
  <c r="R412" i="3" s="1"/>
  <c r="R413" i="3" s="1"/>
  <c r="R414" i="3" s="1"/>
  <c r="R415" i="3" s="1"/>
  <c r="R416" i="3" s="1"/>
  <c r="R417" i="3" s="1"/>
  <c r="R418" i="3" s="1"/>
  <c r="R419" i="3" s="1"/>
  <c r="R420" i="3" s="1"/>
  <c r="R421" i="3" s="1"/>
  <c r="R422" i="3" s="1"/>
  <c r="R423" i="3" s="1"/>
  <c r="R424" i="3" s="1"/>
  <c r="R425" i="3" s="1"/>
  <c r="R426" i="3" s="1"/>
  <c r="R427" i="3" s="1"/>
  <c r="R428" i="3" s="1"/>
  <c r="R429" i="3" s="1"/>
  <c r="R430" i="3" s="1"/>
  <c r="R431" i="3" s="1"/>
  <c r="R432" i="3" s="1"/>
  <c r="R433" i="3" s="1"/>
  <c r="R434" i="3" s="1"/>
  <c r="R435" i="3" s="1"/>
  <c r="R436" i="3" s="1"/>
  <c r="R437" i="3" s="1"/>
  <c r="R438" i="3" s="1"/>
  <c r="R439" i="3" s="1"/>
  <c r="R440" i="3" s="1"/>
  <c r="R441" i="3" s="1"/>
  <c r="R442" i="3" s="1"/>
  <c r="R443" i="3" s="1"/>
  <c r="R444" i="3" s="1"/>
  <c r="R445" i="3" s="1"/>
  <c r="R446" i="3" s="1"/>
  <c r="R447" i="3" s="1"/>
  <c r="R448" i="3" s="1"/>
  <c r="R449" i="3" s="1"/>
  <c r="R450" i="3" s="1"/>
  <c r="R451" i="3" s="1"/>
  <c r="R452" i="3" s="1"/>
  <c r="R453" i="3" s="1"/>
  <c r="R454" i="3" s="1"/>
  <c r="R455" i="3" s="1"/>
  <c r="R456" i="3" s="1"/>
  <c r="R457" i="3" s="1"/>
  <c r="R458" i="3" s="1"/>
  <c r="R459" i="3" s="1"/>
  <c r="R460" i="3" s="1"/>
  <c r="R461" i="3" s="1"/>
  <c r="R462" i="3" s="1"/>
  <c r="R463" i="3" s="1"/>
  <c r="R464" i="3" s="1"/>
  <c r="R465" i="3" s="1"/>
  <c r="R466" i="3" s="1"/>
  <c r="R467" i="3" s="1"/>
  <c r="R468" i="3" s="1"/>
  <c r="R469" i="3" s="1"/>
  <c r="R470" i="3" s="1"/>
  <c r="R471" i="3" s="1"/>
  <c r="R472" i="3" s="1"/>
  <c r="R473" i="3" s="1"/>
  <c r="R474" i="3" s="1"/>
  <c r="R475" i="3" s="1"/>
  <c r="R476" i="3" s="1"/>
  <c r="R477" i="3" s="1"/>
  <c r="R478" i="3" s="1"/>
  <c r="R479" i="3" s="1"/>
  <c r="R480" i="3" s="1"/>
  <c r="R481" i="3" s="1"/>
  <c r="R482" i="3" s="1"/>
  <c r="R483" i="3" s="1"/>
  <c r="R484" i="3" s="1"/>
  <c r="R485" i="3" s="1"/>
  <c r="R486" i="3" s="1"/>
  <c r="R487" i="3" s="1"/>
  <c r="R488" i="3" s="1"/>
  <c r="R489" i="3" s="1"/>
  <c r="R490" i="3" s="1"/>
  <c r="R491" i="3" s="1"/>
  <c r="R492" i="3" s="1"/>
  <c r="R493" i="3" s="1"/>
  <c r="R494" i="3" s="1"/>
  <c r="L15" i="3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L248" i="3" s="1"/>
  <c r="L249" i="3" s="1"/>
  <c r="L250" i="3" s="1"/>
  <c r="L251" i="3" s="1"/>
  <c r="L252" i="3" s="1"/>
  <c r="L253" i="3" s="1"/>
  <c r="L254" i="3" s="1"/>
  <c r="L255" i="3" s="1"/>
  <c r="L256" i="3" s="1"/>
  <c r="L257" i="3" s="1"/>
  <c r="L258" i="3" s="1"/>
  <c r="L259" i="3" s="1"/>
  <c r="L260" i="3" s="1"/>
  <c r="L261" i="3" s="1"/>
  <c r="L262" i="3" s="1"/>
  <c r="L263" i="3" s="1"/>
  <c r="L264" i="3" s="1"/>
  <c r="L265" i="3" s="1"/>
  <c r="L266" i="3" s="1"/>
  <c r="L267" i="3" s="1"/>
  <c r="L268" i="3" s="1"/>
  <c r="L269" i="3" s="1"/>
  <c r="L270" i="3" s="1"/>
  <c r="L271" i="3" s="1"/>
  <c r="L272" i="3" s="1"/>
  <c r="L273" i="3" s="1"/>
  <c r="L274" i="3" s="1"/>
  <c r="L275" i="3" s="1"/>
  <c r="L276" i="3" s="1"/>
  <c r="L277" i="3" s="1"/>
  <c r="L278" i="3" s="1"/>
  <c r="L279" i="3" s="1"/>
  <c r="L280" i="3" s="1"/>
  <c r="L281" i="3" s="1"/>
  <c r="L282" i="3" s="1"/>
  <c r="L283" i="3" s="1"/>
  <c r="L284" i="3" s="1"/>
  <c r="L285" i="3" s="1"/>
  <c r="L286" i="3" s="1"/>
  <c r="L287" i="3" s="1"/>
  <c r="L288" i="3" s="1"/>
  <c r="L289" i="3" s="1"/>
  <c r="L290" i="3" s="1"/>
  <c r="L291" i="3" s="1"/>
  <c r="L292" i="3" s="1"/>
  <c r="L293" i="3" s="1"/>
  <c r="L294" i="3" s="1"/>
  <c r="L295" i="3" s="1"/>
  <c r="L296" i="3" s="1"/>
  <c r="L297" i="3" s="1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L364" i="3" s="1"/>
  <c r="L365" i="3" s="1"/>
  <c r="L366" i="3" s="1"/>
  <c r="L367" i="3" s="1"/>
  <c r="L368" i="3" s="1"/>
  <c r="L369" i="3" s="1"/>
  <c r="L370" i="3" s="1"/>
  <c r="L371" i="3" s="1"/>
  <c r="L372" i="3" s="1"/>
  <c r="L373" i="3" s="1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L406" i="3" s="1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L421" i="3" s="1"/>
  <c r="L422" i="3" s="1"/>
  <c r="L423" i="3" s="1"/>
  <c r="L424" i="3" s="1"/>
  <c r="L425" i="3" s="1"/>
  <c r="L426" i="3" s="1"/>
  <c r="L427" i="3" s="1"/>
  <c r="L428" i="3" s="1"/>
  <c r="L429" i="3" s="1"/>
  <c r="L430" i="3" s="1"/>
  <c r="L431" i="3" s="1"/>
  <c r="L432" i="3" s="1"/>
  <c r="L433" i="3" s="1"/>
  <c r="L434" i="3" s="1"/>
  <c r="L435" i="3" s="1"/>
  <c r="L436" i="3" s="1"/>
  <c r="L437" i="3" s="1"/>
  <c r="L438" i="3" s="1"/>
  <c r="L439" i="3" s="1"/>
  <c r="L440" i="3" s="1"/>
  <c r="L441" i="3" s="1"/>
  <c r="L442" i="3" s="1"/>
  <c r="L443" i="3" s="1"/>
  <c r="L444" i="3" s="1"/>
  <c r="L445" i="3" s="1"/>
  <c r="L446" i="3" s="1"/>
  <c r="L447" i="3" s="1"/>
  <c r="L448" i="3" s="1"/>
  <c r="L449" i="3" s="1"/>
  <c r="L450" i="3" s="1"/>
  <c r="L451" i="3" s="1"/>
  <c r="L452" i="3" s="1"/>
  <c r="L453" i="3" s="1"/>
  <c r="L454" i="3" s="1"/>
  <c r="L455" i="3" s="1"/>
  <c r="L456" i="3" s="1"/>
  <c r="L457" i="3" s="1"/>
  <c r="L458" i="3" s="1"/>
  <c r="L459" i="3" s="1"/>
  <c r="L460" i="3" s="1"/>
  <c r="L461" i="3" s="1"/>
  <c r="L462" i="3" s="1"/>
  <c r="L463" i="3" s="1"/>
  <c r="L464" i="3" s="1"/>
  <c r="L465" i="3" s="1"/>
  <c r="L466" i="3" s="1"/>
  <c r="L467" i="3" s="1"/>
  <c r="L468" i="3" s="1"/>
  <c r="L469" i="3" s="1"/>
  <c r="L470" i="3" s="1"/>
  <c r="L471" i="3" s="1"/>
  <c r="L472" i="3" s="1"/>
  <c r="L473" i="3" s="1"/>
  <c r="L474" i="3" s="1"/>
  <c r="L475" i="3" s="1"/>
  <c r="L476" i="3" s="1"/>
  <c r="L477" i="3" s="1"/>
  <c r="L478" i="3" s="1"/>
  <c r="L479" i="3" s="1"/>
  <c r="L480" i="3" s="1"/>
  <c r="L481" i="3" s="1"/>
  <c r="L482" i="3" s="1"/>
  <c r="L483" i="3" s="1"/>
  <c r="L484" i="3" s="1"/>
  <c r="L485" i="3" s="1"/>
  <c r="L486" i="3" s="1"/>
  <c r="L487" i="3" s="1"/>
  <c r="L488" i="3" s="1"/>
  <c r="L489" i="3" s="1"/>
  <c r="L490" i="3" s="1"/>
  <c r="L491" i="3" s="1"/>
  <c r="L492" i="3" s="1"/>
  <c r="L493" i="3" s="1"/>
  <c r="L494" i="3" s="1"/>
  <c r="L495" i="3" s="1"/>
  <c r="L496" i="3" s="1"/>
  <c r="L497" i="3" s="1"/>
  <c r="L498" i="3" s="1"/>
  <c r="L499" i="3" s="1"/>
  <c r="L500" i="3" s="1"/>
  <c r="L501" i="3" s="1"/>
  <c r="L502" i="3" s="1"/>
  <c r="L503" i="3" s="1"/>
  <c r="L504" i="3" s="1"/>
  <c r="L505" i="3" s="1"/>
  <c r="L506" i="3" s="1"/>
  <c r="L507" i="3" s="1"/>
  <c r="L508" i="3" s="1"/>
  <c r="L509" i="3" s="1"/>
  <c r="L510" i="3" s="1"/>
  <c r="L511" i="3" s="1"/>
  <c r="L512" i="3" s="1"/>
  <c r="L513" i="3" s="1"/>
  <c r="L514" i="3" s="1"/>
  <c r="L515" i="3" s="1"/>
  <c r="L516" i="3" s="1"/>
  <c r="L517" i="3" s="1"/>
  <c r="L518" i="3" s="1"/>
  <c r="L519" i="3" s="1"/>
  <c r="L520" i="3" s="1"/>
  <c r="L521" i="3" s="1"/>
  <c r="L522" i="3" s="1"/>
  <c r="L523" i="3" s="1"/>
  <c r="J13" i="3"/>
  <c r="I12" i="2"/>
  <c r="F12" i="2" s="1"/>
  <c r="V13" i="3"/>
  <c r="K12" i="2"/>
  <c r="B14" i="3"/>
  <c r="P13" i="3"/>
  <c r="I14" i="4" s="1"/>
  <c r="M14" i="4" s="1"/>
  <c r="P13" i="2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P492" i="2" s="1"/>
  <c r="L13" i="2"/>
  <c r="L14" i="2" s="1"/>
  <c r="G13" i="3"/>
  <c r="O491" i="2"/>
  <c r="O492" i="2" s="1"/>
  <c r="O493" i="2" s="1"/>
  <c r="Q491" i="2"/>
  <c r="Q492" i="2" s="1"/>
  <c r="Q493" i="2" s="1"/>
  <c r="Q494" i="2" s="1"/>
  <c r="Q495" i="2" s="1"/>
  <c r="Q496" i="2" s="1"/>
  <c r="Q497" i="2" s="1"/>
  <c r="Q498" i="2" s="1"/>
  <c r="Q499" i="2" s="1"/>
  <c r="Q500" i="2" s="1"/>
  <c r="Q501" i="2" s="1"/>
  <c r="Q502" i="2" s="1"/>
  <c r="X528" i="3"/>
  <c r="X529" i="3" s="1"/>
  <c r="X530" i="3" s="1"/>
  <c r="X531" i="3" s="1"/>
  <c r="X532" i="3" s="1"/>
  <c r="X533" i="3" s="1"/>
  <c r="C530" i="3"/>
  <c r="C533" i="3"/>
  <c r="C529" i="3"/>
  <c r="C532" i="3"/>
  <c r="C528" i="3"/>
  <c r="E531" i="3"/>
  <c r="E527" i="3"/>
  <c r="N14" i="2"/>
  <c r="K13" i="2"/>
  <c r="H13" i="2" s="1"/>
  <c r="D15" i="2"/>
  <c r="M14" i="2"/>
  <c r="H12" i="2"/>
  <c r="M9" i="4"/>
  <c r="N9" i="3"/>
  <c r="M8" i="4"/>
  <c r="N8" i="3"/>
  <c r="C15" i="2"/>
  <c r="D14" i="4"/>
  <c r="X17" i="3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X63" i="3" s="1"/>
  <c r="X64" i="3" s="1"/>
  <c r="X65" i="3" s="1"/>
  <c r="X66" i="3" s="1"/>
  <c r="X67" i="3" s="1"/>
  <c r="X68" i="3" s="1"/>
  <c r="X69" i="3" s="1"/>
  <c r="X70" i="3" s="1"/>
  <c r="X71" i="3" s="1"/>
  <c r="X72" i="3" s="1"/>
  <c r="X73" i="3" s="1"/>
  <c r="X74" i="3" s="1"/>
  <c r="X75" i="3" s="1"/>
  <c r="X76" i="3" s="1"/>
  <c r="X77" i="3" s="1"/>
  <c r="X78" i="3" s="1"/>
  <c r="X79" i="3" s="1"/>
  <c r="X80" i="3" s="1"/>
  <c r="X81" i="3" s="1"/>
  <c r="X82" i="3" s="1"/>
  <c r="X83" i="3" s="1"/>
  <c r="X84" i="3" s="1"/>
  <c r="X85" i="3" s="1"/>
  <c r="X86" i="3" s="1"/>
  <c r="X87" i="3" s="1"/>
  <c r="X88" i="3" s="1"/>
  <c r="X89" i="3" s="1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X100" i="3" s="1"/>
  <c r="X101" i="3" s="1"/>
  <c r="X102" i="3" s="1"/>
  <c r="X103" i="3" s="1"/>
  <c r="X104" i="3" s="1"/>
  <c r="X105" i="3" s="1"/>
  <c r="X106" i="3" s="1"/>
  <c r="X107" i="3" s="1"/>
  <c r="X108" i="3" s="1"/>
  <c r="X109" i="3" s="1"/>
  <c r="X110" i="3" s="1"/>
  <c r="X111" i="3" s="1"/>
  <c r="X112" i="3" s="1"/>
  <c r="X113" i="3" s="1"/>
  <c r="X114" i="3" s="1"/>
  <c r="X115" i="3" s="1"/>
  <c r="X116" i="3" s="1"/>
  <c r="X117" i="3" s="1"/>
  <c r="X118" i="3" s="1"/>
  <c r="X119" i="3" s="1"/>
  <c r="X120" i="3" s="1"/>
  <c r="X121" i="3" s="1"/>
  <c r="X122" i="3" s="1"/>
  <c r="X123" i="3" s="1"/>
  <c r="X124" i="3" s="1"/>
  <c r="X125" i="3" s="1"/>
  <c r="X126" i="3" s="1"/>
  <c r="X127" i="3" s="1"/>
  <c r="X128" i="3" s="1"/>
  <c r="X129" i="3" s="1"/>
  <c r="X130" i="3" s="1"/>
  <c r="X131" i="3" s="1"/>
  <c r="X132" i="3" s="1"/>
  <c r="X133" i="3" s="1"/>
  <c r="X134" i="3" s="1"/>
  <c r="X135" i="3" s="1"/>
  <c r="X136" i="3" s="1"/>
  <c r="X137" i="3" s="1"/>
  <c r="X138" i="3" s="1"/>
  <c r="X139" i="3" s="1"/>
  <c r="X140" i="3" s="1"/>
  <c r="X141" i="3" s="1"/>
  <c r="X142" i="3" s="1"/>
  <c r="X143" i="3" s="1"/>
  <c r="X144" i="3" s="1"/>
  <c r="X145" i="3" s="1"/>
  <c r="X146" i="3" s="1"/>
  <c r="X147" i="3" s="1"/>
  <c r="X148" i="3" s="1"/>
  <c r="X149" i="3" s="1"/>
  <c r="X150" i="3" s="1"/>
  <c r="X151" i="3" s="1"/>
  <c r="X152" i="3" s="1"/>
  <c r="X153" i="3" s="1"/>
  <c r="X154" i="3" s="1"/>
  <c r="X155" i="3" s="1"/>
  <c r="X156" i="3" s="1"/>
  <c r="X157" i="3" s="1"/>
  <c r="X158" i="3" s="1"/>
  <c r="X159" i="3" s="1"/>
  <c r="X160" i="3" s="1"/>
  <c r="X161" i="3" s="1"/>
  <c r="X162" i="3" s="1"/>
  <c r="X163" i="3" s="1"/>
  <c r="X164" i="3" s="1"/>
  <c r="X165" i="3" s="1"/>
  <c r="X166" i="3" s="1"/>
  <c r="X167" i="3" s="1"/>
  <c r="X168" i="3" s="1"/>
  <c r="X169" i="3" s="1"/>
  <c r="X170" i="3" s="1"/>
  <c r="X171" i="3" s="1"/>
  <c r="X172" i="3" s="1"/>
  <c r="X173" i="3" s="1"/>
  <c r="X174" i="3" s="1"/>
  <c r="X175" i="3" s="1"/>
  <c r="X176" i="3" s="1"/>
  <c r="X177" i="3" s="1"/>
  <c r="X178" i="3" s="1"/>
  <c r="X179" i="3" s="1"/>
  <c r="X180" i="3" s="1"/>
  <c r="X181" i="3" s="1"/>
  <c r="X182" i="3" s="1"/>
  <c r="X183" i="3" s="1"/>
  <c r="X184" i="3" s="1"/>
  <c r="X185" i="3" s="1"/>
  <c r="X186" i="3" s="1"/>
  <c r="X187" i="3" s="1"/>
  <c r="X188" i="3" s="1"/>
  <c r="X189" i="3" s="1"/>
  <c r="X190" i="3" s="1"/>
  <c r="X191" i="3" s="1"/>
  <c r="X192" i="3" s="1"/>
  <c r="X193" i="3" s="1"/>
  <c r="X194" i="3" s="1"/>
  <c r="X195" i="3" s="1"/>
  <c r="X196" i="3" s="1"/>
  <c r="X197" i="3" s="1"/>
  <c r="X198" i="3" s="1"/>
  <c r="X199" i="3" s="1"/>
  <c r="X200" i="3" s="1"/>
  <c r="X201" i="3" s="1"/>
  <c r="X202" i="3" s="1"/>
  <c r="X203" i="3" s="1"/>
  <c r="X204" i="3" s="1"/>
  <c r="X205" i="3" s="1"/>
  <c r="X206" i="3" s="1"/>
  <c r="X207" i="3" s="1"/>
  <c r="X208" i="3" s="1"/>
  <c r="X209" i="3" s="1"/>
  <c r="X210" i="3" s="1"/>
  <c r="X211" i="3" s="1"/>
  <c r="X212" i="3" s="1"/>
  <c r="X213" i="3" s="1"/>
  <c r="X214" i="3" s="1"/>
  <c r="X215" i="3" s="1"/>
  <c r="X216" i="3" s="1"/>
  <c r="X217" i="3" s="1"/>
  <c r="X218" i="3" s="1"/>
  <c r="X219" i="3" s="1"/>
  <c r="X220" i="3" s="1"/>
  <c r="X221" i="3" s="1"/>
  <c r="X222" i="3" s="1"/>
  <c r="X223" i="3" s="1"/>
  <c r="X224" i="3" s="1"/>
  <c r="X225" i="3" s="1"/>
  <c r="X226" i="3" s="1"/>
  <c r="X227" i="3" s="1"/>
  <c r="X228" i="3" s="1"/>
  <c r="X229" i="3" s="1"/>
  <c r="X230" i="3" s="1"/>
  <c r="X231" i="3" s="1"/>
  <c r="X232" i="3" s="1"/>
  <c r="X233" i="3" s="1"/>
  <c r="X234" i="3" s="1"/>
  <c r="X235" i="3" s="1"/>
  <c r="X236" i="3" s="1"/>
  <c r="X237" i="3" s="1"/>
  <c r="X238" i="3" s="1"/>
  <c r="X239" i="3" s="1"/>
  <c r="X240" i="3" s="1"/>
  <c r="X241" i="3" s="1"/>
  <c r="X242" i="3" s="1"/>
  <c r="X243" i="3" s="1"/>
  <c r="X244" i="3" s="1"/>
  <c r="X245" i="3" s="1"/>
  <c r="X246" i="3" s="1"/>
  <c r="X247" i="3" s="1"/>
  <c r="X248" i="3" s="1"/>
  <c r="X249" i="3" s="1"/>
  <c r="X250" i="3" s="1"/>
  <c r="X251" i="3" s="1"/>
  <c r="X252" i="3" s="1"/>
  <c r="X253" i="3" s="1"/>
  <c r="X254" i="3" s="1"/>
  <c r="X255" i="3" s="1"/>
  <c r="X256" i="3" s="1"/>
  <c r="X257" i="3" s="1"/>
  <c r="X258" i="3" s="1"/>
  <c r="X259" i="3" s="1"/>
  <c r="X260" i="3" s="1"/>
  <c r="X261" i="3" s="1"/>
  <c r="X262" i="3" s="1"/>
  <c r="X263" i="3" s="1"/>
  <c r="X264" i="3" s="1"/>
  <c r="X265" i="3" s="1"/>
  <c r="X266" i="3" s="1"/>
  <c r="X267" i="3" s="1"/>
  <c r="X268" i="3" s="1"/>
  <c r="X269" i="3" s="1"/>
  <c r="X270" i="3" s="1"/>
  <c r="X271" i="3" s="1"/>
  <c r="X272" i="3" s="1"/>
  <c r="X273" i="3" s="1"/>
  <c r="X274" i="3" s="1"/>
  <c r="X275" i="3" s="1"/>
  <c r="X276" i="3" s="1"/>
  <c r="X277" i="3" s="1"/>
  <c r="X278" i="3" s="1"/>
  <c r="X279" i="3" s="1"/>
  <c r="X280" i="3" s="1"/>
  <c r="X281" i="3" s="1"/>
  <c r="X282" i="3" s="1"/>
  <c r="X283" i="3" s="1"/>
  <c r="X284" i="3" s="1"/>
  <c r="X285" i="3" s="1"/>
  <c r="X286" i="3" s="1"/>
  <c r="X287" i="3" s="1"/>
  <c r="X288" i="3" s="1"/>
  <c r="X289" i="3" s="1"/>
  <c r="X290" i="3" s="1"/>
  <c r="X291" i="3" s="1"/>
  <c r="X292" i="3" s="1"/>
  <c r="X293" i="3" s="1"/>
  <c r="X294" i="3" s="1"/>
  <c r="X295" i="3" s="1"/>
  <c r="X296" i="3" s="1"/>
  <c r="X297" i="3" s="1"/>
  <c r="X298" i="3" s="1"/>
  <c r="X299" i="3" s="1"/>
  <c r="X300" i="3" s="1"/>
  <c r="X301" i="3" s="1"/>
  <c r="X302" i="3" s="1"/>
  <c r="X303" i="3" s="1"/>
  <c r="X304" i="3" s="1"/>
  <c r="X305" i="3" s="1"/>
  <c r="X306" i="3" s="1"/>
  <c r="X307" i="3" s="1"/>
  <c r="X308" i="3" s="1"/>
  <c r="X309" i="3" s="1"/>
  <c r="X310" i="3" s="1"/>
  <c r="X311" i="3" s="1"/>
  <c r="X312" i="3" s="1"/>
  <c r="X313" i="3" s="1"/>
  <c r="X314" i="3" s="1"/>
  <c r="X315" i="3" s="1"/>
  <c r="X316" i="3" s="1"/>
  <c r="X317" i="3" s="1"/>
  <c r="X318" i="3" s="1"/>
  <c r="X319" i="3" s="1"/>
  <c r="X320" i="3" s="1"/>
  <c r="X321" i="3" s="1"/>
  <c r="X322" i="3" s="1"/>
  <c r="X323" i="3" s="1"/>
  <c r="X324" i="3" s="1"/>
  <c r="X325" i="3" s="1"/>
  <c r="X326" i="3" s="1"/>
  <c r="X327" i="3" s="1"/>
  <c r="X328" i="3" s="1"/>
  <c r="X329" i="3" s="1"/>
  <c r="X330" i="3" s="1"/>
  <c r="X331" i="3" s="1"/>
  <c r="X332" i="3" s="1"/>
  <c r="X333" i="3" s="1"/>
  <c r="X334" i="3" s="1"/>
  <c r="X335" i="3" s="1"/>
  <c r="X336" i="3" s="1"/>
  <c r="X337" i="3" s="1"/>
  <c r="X338" i="3" s="1"/>
  <c r="X339" i="3" s="1"/>
  <c r="X340" i="3" s="1"/>
  <c r="X341" i="3" s="1"/>
  <c r="X342" i="3" s="1"/>
  <c r="X343" i="3" s="1"/>
  <c r="X344" i="3" s="1"/>
  <c r="X345" i="3" s="1"/>
  <c r="X346" i="3" s="1"/>
  <c r="X347" i="3" s="1"/>
  <c r="X348" i="3" s="1"/>
  <c r="X349" i="3" s="1"/>
  <c r="X350" i="3" s="1"/>
  <c r="X351" i="3" s="1"/>
  <c r="X352" i="3" s="1"/>
  <c r="X353" i="3" s="1"/>
  <c r="X354" i="3" s="1"/>
  <c r="X355" i="3" s="1"/>
  <c r="X356" i="3" s="1"/>
  <c r="X357" i="3" s="1"/>
  <c r="X358" i="3" s="1"/>
  <c r="X359" i="3" s="1"/>
  <c r="X360" i="3" s="1"/>
  <c r="X361" i="3" s="1"/>
  <c r="X362" i="3" s="1"/>
  <c r="X363" i="3" s="1"/>
  <c r="X364" i="3" s="1"/>
  <c r="X365" i="3" s="1"/>
  <c r="X366" i="3" s="1"/>
  <c r="X367" i="3" s="1"/>
  <c r="X368" i="3" s="1"/>
  <c r="X369" i="3" s="1"/>
  <c r="X370" i="3" s="1"/>
  <c r="X371" i="3" s="1"/>
  <c r="X372" i="3" s="1"/>
  <c r="X373" i="3" s="1"/>
  <c r="X374" i="3" s="1"/>
  <c r="X375" i="3" s="1"/>
  <c r="X376" i="3" s="1"/>
  <c r="X377" i="3" s="1"/>
  <c r="X378" i="3" s="1"/>
  <c r="X379" i="3" s="1"/>
  <c r="X380" i="3" s="1"/>
  <c r="X381" i="3" s="1"/>
  <c r="X382" i="3" s="1"/>
  <c r="X383" i="3" s="1"/>
  <c r="X384" i="3" s="1"/>
  <c r="X385" i="3" s="1"/>
  <c r="X386" i="3" s="1"/>
  <c r="X387" i="3" s="1"/>
  <c r="X388" i="3" s="1"/>
  <c r="X389" i="3" s="1"/>
  <c r="X390" i="3" s="1"/>
  <c r="X391" i="3" s="1"/>
  <c r="X392" i="3" s="1"/>
  <c r="X393" i="3" s="1"/>
  <c r="X394" i="3" s="1"/>
  <c r="X395" i="3" s="1"/>
  <c r="X396" i="3" s="1"/>
  <c r="X397" i="3" s="1"/>
  <c r="X398" i="3" s="1"/>
  <c r="X399" i="3" s="1"/>
  <c r="X400" i="3" s="1"/>
  <c r="X401" i="3" s="1"/>
  <c r="X402" i="3" s="1"/>
  <c r="X403" i="3" s="1"/>
  <c r="X404" i="3" s="1"/>
  <c r="X405" i="3" s="1"/>
  <c r="X406" i="3" s="1"/>
  <c r="X407" i="3" s="1"/>
  <c r="X408" i="3" s="1"/>
  <c r="X409" i="3" s="1"/>
  <c r="X410" i="3" s="1"/>
  <c r="X411" i="3" s="1"/>
  <c r="X412" i="3" s="1"/>
  <c r="X413" i="3" s="1"/>
  <c r="X414" i="3" s="1"/>
  <c r="X415" i="3" s="1"/>
  <c r="X416" i="3" s="1"/>
  <c r="X417" i="3" s="1"/>
  <c r="X418" i="3" s="1"/>
  <c r="X419" i="3" s="1"/>
  <c r="X420" i="3" s="1"/>
  <c r="X421" i="3" s="1"/>
  <c r="X422" i="3" s="1"/>
  <c r="X423" i="3" s="1"/>
  <c r="X424" i="3" s="1"/>
  <c r="X425" i="3" s="1"/>
  <c r="X426" i="3" s="1"/>
  <c r="X427" i="3" s="1"/>
  <c r="X428" i="3" s="1"/>
  <c r="X429" i="3" s="1"/>
  <c r="X430" i="3" s="1"/>
  <c r="X431" i="3" s="1"/>
  <c r="X432" i="3" s="1"/>
  <c r="X433" i="3" s="1"/>
  <c r="X434" i="3" s="1"/>
  <c r="X435" i="3" s="1"/>
  <c r="X436" i="3" s="1"/>
  <c r="X437" i="3" s="1"/>
  <c r="X438" i="3" s="1"/>
  <c r="X439" i="3" s="1"/>
  <c r="X440" i="3" s="1"/>
  <c r="X441" i="3" s="1"/>
  <c r="X442" i="3" s="1"/>
  <c r="X443" i="3" s="1"/>
  <c r="X444" i="3" s="1"/>
  <c r="X445" i="3" s="1"/>
  <c r="X446" i="3" s="1"/>
  <c r="X447" i="3" s="1"/>
  <c r="X448" i="3" s="1"/>
  <c r="X449" i="3" s="1"/>
  <c r="X450" i="3" s="1"/>
  <c r="X451" i="3" s="1"/>
  <c r="X452" i="3" s="1"/>
  <c r="X453" i="3" s="1"/>
  <c r="X454" i="3" s="1"/>
  <c r="X455" i="3" s="1"/>
  <c r="X456" i="3" s="1"/>
  <c r="X457" i="3" s="1"/>
  <c r="X458" i="3" s="1"/>
  <c r="X459" i="3" s="1"/>
  <c r="X460" i="3" s="1"/>
  <c r="X461" i="3" s="1"/>
  <c r="X462" i="3" s="1"/>
  <c r="X463" i="3" s="1"/>
  <c r="X464" i="3" s="1"/>
  <c r="X465" i="3" s="1"/>
  <c r="X466" i="3" s="1"/>
  <c r="X467" i="3" s="1"/>
  <c r="X468" i="3" s="1"/>
  <c r="X469" i="3" s="1"/>
  <c r="X470" i="3" s="1"/>
  <c r="X471" i="3" s="1"/>
  <c r="X472" i="3" s="1"/>
  <c r="X473" i="3" s="1"/>
  <c r="X474" i="3" s="1"/>
  <c r="X475" i="3" s="1"/>
  <c r="X476" i="3" s="1"/>
  <c r="X477" i="3" s="1"/>
  <c r="X478" i="3" s="1"/>
  <c r="X479" i="3" s="1"/>
  <c r="X480" i="3" s="1"/>
  <c r="X481" i="3" s="1"/>
  <c r="X482" i="3" s="1"/>
  <c r="X483" i="3" s="1"/>
  <c r="X484" i="3" s="1"/>
  <c r="X485" i="3" s="1"/>
  <c r="X486" i="3" s="1"/>
  <c r="X487" i="3" s="1"/>
  <c r="X488" i="3" s="1"/>
  <c r="X489" i="3" s="1"/>
  <c r="X490" i="3" s="1"/>
  <c r="X491" i="3" s="1"/>
  <c r="X492" i="3" s="1"/>
  <c r="X493" i="3" s="1"/>
  <c r="X494" i="3" s="1"/>
  <c r="X495" i="3" s="1"/>
  <c r="X496" i="3" s="1"/>
  <c r="X497" i="3" s="1"/>
  <c r="X498" i="3" s="1"/>
  <c r="X499" i="3" s="1"/>
  <c r="X500" i="3" s="1"/>
  <c r="X501" i="3" s="1"/>
  <c r="X502" i="3" s="1"/>
  <c r="X503" i="3" s="1"/>
  <c r="X504" i="3" s="1"/>
  <c r="X505" i="3" s="1"/>
  <c r="X506" i="3" s="1"/>
  <c r="X507" i="3" s="1"/>
  <c r="X508" i="3" s="1"/>
  <c r="X509" i="3" s="1"/>
  <c r="X510" i="3" s="1"/>
  <c r="X511" i="3" s="1"/>
  <c r="X512" i="3" s="1"/>
  <c r="X513" i="3" s="1"/>
  <c r="X514" i="3" s="1"/>
  <c r="X515" i="3" s="1"/>
  <c r="X516" i="3" s="1"/>
  <c r="X517" i="3" s="1"/>
  <c r="X518" i="3" s="1"/>
  <c r="X519" i="3" s="1"/>
  <c r="X520" i="3" s="1"/>
  <c r="X521" i="3" s="1"/>
  <c r="X522" i="3" s="1"/>
  <c r="X523" i="3" s="1"/>
  <c r="X524" i="3" s="1"/>
  <c r="X525" i="3" s="1"/>
  <c r="X526" i="3" s="1"/>
  <c r="T13" i="3"/>
  <c r="S13" i="3"/>
  <c r="E13" i="3"/>
  <c r="D13" i="3"/>
  <c r="G14" i="4"/>
  <c r="L14" i="4" s="1"/>
  <c r="K14" i="4"/>
  <c r="N13" i="3"/>
  <c r="M13" i="3"/>
  <c r="C14" i="4" s="1"/>
  <c r="E15" i="2" l="1"/>
  <c r="I13" i="2"/>
  <c r="F13" i="2" s="1"/>
  <c r="J13" i="2"/>
  <c r="G13" i="2" s="1"/>
  <c r="B15" i="3"/>
  <c r="Q503" i="2"/>
  <c r="Q504" i="2" s="1"/>
  <c r="Q505" i="2" s="1"/>
  <c r="Q506" i="2" s="1"/>
  <c r="Q507" i="2" s="1"/>
  <c r="Q508" i="2" s="1"/>
  <c r="Q509" i="2" s="1"/>
  <c r="Q510" i="2" s="1"/>
  <c r="Q511" i="2" s="1"/>
  <c r="Q512" i="2" s="1"/>
  <c r="Q513" i="2" s="1"/>
  <c r="Q514" i="2" s="1"/>
  <c r="Q515" i="2" s="1"/>
  <c r="Q516" i="2" s="1"/>
  <c r="Q517" i="2" s="1"/>
  <c r="Q518" i="2" s="1"/>
  <c r="Q519" i="2" s="1"/>
  <c r="Q520" i="2" s="1"/>
  <c r="Q521" i="2" s="1"/>
  <c r="P493" i="2"/>
  <c r="O494" i="2"/>
  <c r="R495" i="3"/>
  <c r="A15" i="4"/>
  <c r="N14" i="3"/>
  <c r="C14" i="3"/>
  <c r="P14" i="3"/>
  <c r="E14" i="3"/>
  <c r="G14" i="3"/>
  <c r="S14" i="3"/>
  <c r="Y14" i="3" s="1"/>
  <c r="Z14" i="3" s="1"/>
  <c r="AA14" i="3" s="1"/>
  <c r="H14" i="3"/>
  <c r="T14" i="3"/>
  <c r="J14" i="3"/>
  <c r="V14" i="3"/>
  <c r="M14" i="3"/>
  <c r="N15" i="2"/>
  <c r="K14" i="2"/>
  <c r="H14" i="2" s="1"/>
  <c r="M15" i="2"/>
  <c r="J14" i="2"/>
  <c r="G14" i="2" s="1"/>
  <c r="D16" i="2"/>
  <c r="C16" i="2"/>
  <c r="D14" i="3"/>
  <c r="F13" i="3"/>
  <c r="L15" i="2"/>
  <c r="I14" i="2"/>
  <c r="F14" i="2" s="1"/>
  <c r="E16" i="2" l="1"/>
  <c r="B16" i="3"/>
  <c r="O495" i="2"/>
  <c r="P494" i="2"/>
  <c r="R496" i="3"/>
  <c r="F14" i="3"/>
  <c r="D15" i="3"/>
  <c r="D15" i="4"/>
  <c r="C17" i="2"/>
  <c r="D17" i="2"/>
  <c r="A16" i="4"/>
  <c r="M15" i="3"/>
  <c r="N15" i="3"/>
  <c r="C15" i="3"/>
  <c r="P15" i="3"/>
  <c r="E15" i="3"/>
  <c r="G15" i="3"/>
  <c r="S15" i="3"/>
  <c r="Y15" i="3" s="1"/>
  <c r="Z15" i="3" s="1"/>
  <c r="AA15" i="3" s="1"/>
  <c r="H15" i="3"/>
  <c r="T15" i="3"/>
  <c r="V15" i="3"/>
  <c r="J15" i="3"/>
  <c r="M16" i="2"/>
  <c r="J15" i="2"/>
  <c r="G15" i="2" s="1"/>
  <c r="L16" i="2"/>
  <c r="I15" i="2"/>
  <c r="F15" i="2" s="1"/>
  <c r="K15" i="2"/>
  <c r="H15" i="2" s="1"/>
  <c r="N16" i="2"/>
  <c r="O13" i="3"/>
  <c r="H14" i="4" s="1"/>
  <c r="I13" i="3"/>
  <c r="F14" i="4" s="1"/>
  <c r="U13" i="3"/>
  <c r="J14" i="4" s="1"/>
  <c r="C15" i="4"/>
  <c r="AB14" i="3"/>
  <c r="E15" i="4" s="1"/>
  <c r="G15" i="4"/>
  <c r="L15" i="4" s="1"/>
  <c r="I15" i="4"/>
  <c r="M15" i="4" s="1"/>
  <c r="K15" i="4"/>
  <c r="N15" i="4" s="1"/>
  <c r="E17" i="2" l="1"/>
  <c r="B17" i="3"/>
  <c r="P495" i="2"/>
  <c r="O496" i="2"/>
  <c r="R497" i="3"/>
  <c r="D16" i="4"/>
  <c r="C16" i="4"/>
  <c r="AB15" i="3"/>
  <c r="E16" i="4" s="1"/>
  <c r="G16" i="4"/>
  <c r="L16" i="4" s="1"/>
  <c r="I16" i="4"/>
  <c r="M16" i="4" s="1"/>
  <c r="K16" i="4"/>
  <c r="N16" i="4" s="1"/>
  <c r="M17" i="2"/>
  <c r="J16" i="2"/>
  <c r="G16" i="2" s="1"/>
  <c r="A17" i="4"/>
  <c r="G16" i="3"/>
  <c r="S16" i="3"/>
  <c r="Y16" i="3" s="1"/>
  <c r="Z16" i="3" s="1"/>
  <c r="AA16" i="3" s="1"/>
  <c r="H16" i="3"/>
  <c r="T16" i="3"/>
  <c r="J16" i="3"/>
  <c r="M16" i="3"/>
  <c r="P16" i="3"/>
  <c r="V16" i="3"/>
  <c r="C16" i="3"/>
  <c r="E16" i="3"/>
  <c r="N16" i="3"/>
  <c r="D18" i="2"/>
  <c r="C18" i="2"/>
  <c r="N17" i="2"/>
  <c r="K16" i="2"/>
  <c r="H16" i="2" s="1"/>
  <c r="L17" i="2"/>
  <c r="I16" i="2"/>
  <c r="F16" i="2" s="1"/>
  <c r="D16" i="3"/>
  <c r="F15" i="3"/>
  <c r="O14" i="3"/>
  <c r="H15" i="4" s="1"/>
  <c r="U14" i="3"/>
  <c r="J15" i="4" s="1"/>
  <c r="I14" i="3"/>
  <c r="F15" i="4" s="1"/>
  <c r="E18" i="2" l="1"/>
  <c r="B18" i="3"/>
  <c r="O497" i="2"/>
  <c r="P496" i="2"/>
  <c r="R498" i="3"/>
  <c r="D17" i="4"/>
  <c r="J17" i="2"/>
  <c r="G17" i="2" s="1"/>
  <c r="M18" i="2"/>
  <c r="A18" i="4"/>
  <c r="C17" i="3"/>
  <c r="P17" i="3"/>
  <c r="E17" i="3"/>
  <c r="G17" i="3"/>
  <c r="S17" i="3"/>
  <c r="Y17" i="3" s="1"/>
  <c r="Z17" i="3" s="1"/>
  <c r="AA17" i="3" s="1"/>
  <c r="H17" i="3"/>
  <c r="T17" i="3"/>
  <c r="V17" i="3"/>
  <c r="J17" i="3"/>
  <c r="M17" i="3"/>
  <c r="N17" i="3"/>
  <c r="I17" i="2"/>
  <c r="F17" i="2" s="1"/>
  <c r="L18" i="2"/>
  <c r="D17" i="3"/>
  <c r="F16" i="3"/>
  <c r="N18" i="2"/>
  <c r="K17" i="2"/>
  <c r="H17" i="2" s="1"/>
  <c r="C17" i="4"/>
  <c r="AB16" i="3"/>
  <c r="E17" i="4" s="1"/>
  <c r="C19" i="2"/>
  <c r="D19" i="2"/>
  <c r="O15" i="3"/>
  <c r="H16" i="4" s="1"/>
  <c r="I15" i="3"/>
  <c r="F16" i="4" s="1"/>
  <c r="U15" i="3"/>
  <c r="J16" i="4" s="1"/>
  <c r="G17" i="4"/>
  <c r="L17" i="4" s="1"/>
  <c r="I17" i="4"/>
  <c r="M17" i="4" s="1"/>
  <c r="K17" i="4"/>
  <c r="N17" i="4" s="1"/>
  <c r="E19" i="2" l="1"/>
  <c r="B19" i="3"/>
  <c r="O498" i="2"/>
  <c r="P497" i="2"/>
  <c r="R499" i="3"/>
  <c r="D18" i="4"/>
  <c r="N19" i="2"/>
  <c r="K18" i="2"/>
  <c r="H18" i="2" s="1"/>
  <c r="I16" i="3"/>
  <c r="F17" i="4" s="1"/>
  <c r="U16" i="3"/>
  <c r="J17" i="4" s="1"/>
  <c r="O16" i="3"/>
  <c r="H17" i="4" s="1"/>
  <c r="D18" i="3"/>
  <c r="F17" i="3"/>
  <c r="D20" i="2"/>
  <c r="L19" i="2"/>
  <c r="I18" i="2"/>
  <c r="F18" i="2" s="1"/>
  <c r="G18" i="4"/>
  <c r="L18" i="4" s="1"/>
  <c r="I18" i="4"/>
  <c r="M18" i="4" s="1"/>
  <c r="K18" i="4"/>
  <c r="N18" i="4" s="1"/>
  <c r="C20" i="2"/>
  <c r="C18" i="4"/>
  <c r="AB17" i="3"/>
  <c r="E18" i="4" s="1"/>
  <c r="M19" i="2"/>
  <c r="J18" i="2"/>
  <c r="G18" i="2" s="1"/>
  <c r="A19" i="4"/>
  <c r="M18" i="3"/>
  <c r="C18" i="3"/>
  <c r="P18" i="3"/>
  <c r="E18" i="3"/>
  <c r="H18" i="3"/>
  <c r="T18" i="3"/>
  <c r="S18" i="3"/>
  <c r="Y18" i="3" s="1"/>
  <c r="Z18" i="3" s="1"/>
  <c r="AA18" i="3" s="1"/>
  <c r="V18" i="3"/>
  <c r="G18" i="3"/>
  <c r="J18" i="3"/>
  <c r="N18" i="3"/>
  <c r="E20" i="2" l="1"/>
  <c r="B20" i="3"/>
  <c r="P498" i="2"/>
  <c r="O499" i="2"/>
  <c r="R500" i="3"/>
  <c r="D19" i="4"/>
  <c r="C21" i="2"/>
  <c r="D21" i="2"/>
  <c r="O17" i="3"/>
  <c r="H18" i="4" s="1"/>
  <c r="I17" i="3"/>
  <c r="F18" i="4" s="1"/>
  <c r="U17" i="3"/>
  <c r="J18" i="4" s="1"/>
  <c r="D19" i="3"/>
  <c r="F18" i="3"/>
  <c r="C19" i="4"/>
  <c r="AB18" i="3"/>
  <c r="E19" i="4" s="1"/>
  <c r="G19" i="4"/>
  <c r="L19" i="4" s="1"/>
  <c r="I19" i="4"/>
  <c r="M19" i="4" s="1"/>
  <c r="K19" i="4"/>
  <c r="N19" i="4" s="1"/>
  <c r="N20" i="2"/>
  <c r="K19" i="2"/>
  <c r="H19" i="2" s="1"/>
  <c r="A20" i="4"/>
  <c r="G19" i="3"/>
  <c r="S19" i="3"/>
  <c r="Y19" i="3" s="1"/>
  <c r="Z19" i="3" s="1"/>
  <c r="AA19" i="3" s="1"/>
  <c r="H19" i="3"/>
  <c r="T19" i="3"/>
  <c r="M19" i="3"/>
  <c r="P19" i="3"/>
  <c r="N19" i="3"/>
  <c r="V19" i="3"/>
  <c r="C19" i="3"/>
  <c r="E19" i="3"/>
  <c r="J19" i="3"/>
  <c r="M20" i="2"/>
  <c r="J19" i="2"/>
  <c r="G19" i="2" s="1"/>
  <c r="L20" i="2"/>
  <c r="I19" i="2"/>
  <c r="F19" i="2" s="1"/>
  <c r="E21" i="2" l="1"/>
  <c r="B21" i="3"/>
  <c r="O500" i="2"/>
  <c r="P499" i="2"/>
  <c r="R501" i="3"/>
  <c r="D20" i="4"/>
  <c r="G20" i="4"/>
  <c r="L20" i="4" s="1"/>
  <c r="I20" i="4"/>
  <c r="M20" i="4" s="1"/>
  <c r="K20" i="4"/>
  <c r="N20" i="4" s="1"/>
  <c r="D20" i="3"/>
  <c r="F19" i="3"/>
  <c r="N21" i="2"/>
  <c r="K20" i="2"/>
  <c r="H20" i="2" s="1"/>
  <c r="A21" i="4"/>
  <c r="C20" i="3"/>
  <c r="P20" i="3"/>
  <c r="E20" i="3"/>
  <c r="G20" i="3"/>
  <c r="S20" i="3"/>
  <c r="Y20" i="3" s="1"/>
  <c r="Z20" i="3" s="1"/>
  <c r="AA20" i="3" s="1"/>
  <c r="H20" i="3"/>
  <c r="T20" i="3"/>
  <c r="J20" i="3"/>
  <c r="M20" i="3"/>
  <c r="N20" i="3"/>
  <c r="V20" i="3"/>
  <c r="D22" i="2"/>
  <c r="C22" i="2"/>
  <c r="C20" i="4"/>
  <c r="AB19" i="3"/>
  <c r="E20" i="4" s="1"/>
  <c r="L21" i="2"/>
  <c r="I20" i="2"/>
  <c r="F20" i="2" s="1"/>
  <c r="M21" i="2"/>
  <c r="J20" i="2"/>
  <c r="G20" i="2" s="1"/>
  <c r="O18" i="3"/>
  <c r="H19" i="4" s="1"/>
  <c r="U18" i="3"/>
  <c r="J19" i="4" s="1"/>
  <c r="I18" i="3"/>
  <c r="F19" i="4" s="1"/>
  <c r="E22" i="2" l="1"/>
  <c r="B22" i="3"/>
  <c r="P500" i="2"/>
  <c r="O501" i="2"/>
  <c r="R502" i="3"/>
  <c r="D21" i="4"/>
  <c r="N22" i="2"/>
  <c r="K21" i="2"/>
  <c r="H21" i="2" s="1"/>
  <c r="L22" i="2"/>
  <c r="I21" i="2"/>
  <c r="F21" i="2" s="1"/>
  <c r="C21" i="4"/>
  <c r="AB20" i="3"/>
  <c r="E21" i="4" s="1"/>
  <c r="I19" i="3"/>
  <c r="F20" i="4" s="1"/>
  <c r="U19" i="3"/>
  <c r="J20" i="4" s="1"/>
  <c r="O19" i="3"/>
  <c r="H20" i="4" s="1"/>
  <c r="D21" i="3"/>
  <c r="F20" i="3"/>
  <c r="M22" i="2"/>
  <c r="J21" i="2"/>
  <c r="G21" i="2" s="1"/>
  <c r="C23" i="2"/>
  <c r="D23" i="2"/>
  <c r="A22" i="4"/>
  <c r="M21" i="3"/>
  <c r="C21" i="3"/>
  <c r="P21" i="3"/>
  <c r="E21" i="3"/>
  <c r="H21" i="3"/>
  <c r="T21" i="3"/>
  <c r="G21" i="3"/>
  <c r="J21" i="3"/>
  <c r="N21" i="3"/>
  <c r="S21" i="3"/>
  <c r="Y21" i="3" s="1"/>
  <c r="Z21" i="3" s="1"/>
  <c r="AA21" i="3" s="1"/>
  <c r="V21" i="3"/>
  <c r="K21" i="4"/>
  <c r="N21" i="4" s="1"/>
  <c r="G21" i="4"/>
  <c r="L21" i="4" s="1"/>
  <c r="I21" i="4"/>
  <c r="M21" i="4" s="1"/>
  <c r="Y92" i="4"/>
  <c r="E23" i="2" l="1"/>
  <c r="B23" i="3"/>
  <c r="O502" i="2"/>
  <c r="P501" i="2"/>
  <c r="R503" i="3"/>
  <c r="D22" i="4"/>
  <c r="C22" i="4"/>
  <c r="AB21" i="3"/>
  <c r="E22" i="4" s="1"/>
  <c r="D22" i="3"/>
  <c r="F21" i="3"/>
  <c r="G22" i="4"/>
  <c r="L22" i="4" s="1"/>
  <c r="I22" i="4"/>
  <c r="M22" i="4" s="1"/>
  <c r="K22" i="4"/>
  <c r="N22" i="4" s="1"/>
  <c r="D24" i="2"/>
  <c r="L23" i="2"/>
  <c r="I22" i="2"/>
  <c r="F22" i="2" s="1"/>
  <c r="C24" i="2"/>
  <c r="A23" i="4"/>
  <c r="H22" i="3"/>
  <c r="T22" i="3"/>
  <c r="J22" i="3"/>
  <c r="V22" i="3"/>
  <c r="M22" i="3"/>
  <c r="N22" i="3"/>
  <c r="E22" i="3"/>
  <c r="C22" i="3"/>
  <c r="G22" i="3"/>
  <c r="P22" i="3"/>
  <c r="S22" i="3"/>
  <c r="Y22" i="3" s="1"/>
  <c r="Z22" i="3" s="1"/>
  <c r="AA22" i="3" s="1"/>
  <c r="K22" i="2"/>
  <c r="H22" i="2" s="1"/>
  <c r="N23" i="2"/>
  <c r="J22" i="2"/>
  <c r="G22" i="2" s="1"/>
  <c r="M23" i="2"/>
  <c r="O20" i="3"/>
  <c r="H21" i="4" s="1"/>
  <c r="I20" i="3"/>
  <c r="F21" i="4" s="1"/>
  <c r="U20" i="3"/>
  <c r="J21" i="4" s="1"/>
  <c r="E24" i="2" l="1"/>
  <c r="B24" i="3"/>
  <c r="P502" i="2"/>
  <c r="O503" i="2"/>
  <c r="R504" i="3"/>
  <c r="D23" i="4"/>
  <c r="I23" i="4"/>
  <c r="M23" i="4" s="1"/>
  <c r="K23" i="4"/>
  <c r="N23" i="4" s="1"/>
  <c r="G23" i="4"/>
  <c r="L23" i="4" s="1"/>
  <c r="N24" i="2"/>
  <c r="K23" i="2"/>
  <c r="H23" i="2" s="1"/>
  <c r="C25" i="2"/>
  <c r="O21" i="3"/>
  <c r="H22" i="4" s="1"/>
  <c r="I21" i="3"/>
  <c r="F22" i="4" s="1"/>
  <c r="U21" i="3"/>
  <c r="J22" i="4" s="1"/>
  <c r="A24" i="4"/>
  <c r="E23" i="3"/>
  <c r="G23" i="3"/>
  <c r="S23" i="3"/>
  <c r="Y23" i="3" s="1"/>
  <c r="Z23" i="3" s="1"/>
  <c r="AA23" i="3" s="1"/>
  <c r="J23" i="3"/>
  <c r="V23" i="3"/>
  <c r="N23" i="3"/>
  <c r="C23" i="3"/>
  <c r="H23" i="3"/>
  <c r="M23" i="3"/>
  <c r="P23" i="3"/>
  <c r="T23" i="3"/>
  <c r="F22" i="3"/>
  <c r="D23" i="3"/>
  <c r="L24" i="2"/>
  <c r="I23" i="2"/>
  <c r="F23" i="2" s="1"/>
  <c r="D25" i="2"/>
  <c r="C23" i="4"/>
  <c r="AB22" i="3"/>
  <c r="E23" i="4" s="1"/>
  <c r="M24" i="2"/>
  <c r="J23" i="2"/>
  <c r="G23" i="2" s="1"/>
  <c r="E25" i="2" l="1"/>
  <c r="B25" i="3"/>
  <c r="O504" i="2"/>
  <c r="P503" i="2"/>
  <c r="R505" i="3"/>
  <c r="D24" i="4"/>
  <c r="D26" i="2"/>
  <c r="C26" i="2"/>
  <c r="N25" i="2"/>
  <c r="K24" i="2"/>
  <c r="H24" i="2" s="1"/>
  <c r="I24" i="2"/>
  <c r="F24" i="2" s="1"/>
  <c r="L25" i="2"/>
  <c r="F23" i="3"/>
  <c r="D24" i="3"/>
  <c r="A25" i="4"/>
  <c r="N24" i="3"/>
  <c r="C24" i="3"/>
  <c r="P24" i="3"/>
  <c r="G24" i="3"/>
  <c r="S24" i="3"/>
  <c r="Y24" i="3" s="1"/>
  <c r="Z24" i="3" s="1"/>
  <c r="AA24" i="3" s="1"/>
  <c r="H24" i="3"/>
  <c r="T24" i="3"/>
  <c r="V24" i="3"/>
  <c r="E24" i="3"/>
  <c r="J24" i="3"/>
  <c r="M24" i="3"/>
  <c r="I22" i="3"/>
  <c r="F23" i="4" s="1"/>
  <c r="U22" i="3"/>
  <c r="J23" i="4" s="1"/>
  <c r="O22" i="3"/>
  <c r="H23" i="4" s="1"/>
  <c r="K24" i="4"/>
  <c r="N24" i="4" s="1"/>
  <c r="G24" i="4"/>
  <c r="L24" i="4" s="1"/>
  <c r="I24" i="4"/>
  <c r="M24" i="4" s="1"/>
  <c r="C24" i="4"/>
  <c r="AB23" i="3"/>
  <c r="E24" i="4" s="1"/>
  <c r="M25" i="2"/>
  <c r="J24" i="2"/>
  <c r="G24" i="2" s="1"/>
  <c r="E26" i="2" l="1"/>
  <c r="B26" i="3"/>
  <c r="P504" i="2"/>
  <c r="O505" i="2"/>
  <c r="R506" i="3"/>
  <c r="D25" i="4"/>
  <c r="L26" i="2"/>
  <c r="I25" i="2"/>
  <c r="F25" i="2" s="1"/>
  <c r="N26" i="2"/>
  <c r="K25" i="2"/>
  <c r="H25" i="2" s="1"/>
  <c r="C27" i="2"/>
  <c r="D27" i="2"/>
  <c r="M26" i="2"/>
  <c r="J25" i="2"/>
  <c r="G25" i="2" s="1"/>
  <c r="C25" i="4"/>
  <c r="AB24" i="3"/>
  <c r="E25" i="4" s="1"/>
  <c r="G25" i="4"/>
  <c r="L25" i="4" s="1"/>
  <c r="I25" i="4"/>
  <c r="M25" i="4" s="1"/>
  <c r="K25" i="4"/>
  <c r="N25" i="4" s="1"/>
  <c r="F24" i="3"/>
  <c r="D25" i="3"/>
  <c r="A26" i="4"/>
  <c r="M25" i="3"/>
  <c r="C25" i="3"/>
  <c r="P25" i="3"/>
  <c r="E25" i="3"/>
  <c r="N25" i="3"/>
  <c r="S25" i="3"/>
  <c r="Y25" i="3" s="1"/>
  <c r="Z25" i="3" s="1"/>
  <c r="AA25" i="3" s="1"/>
  <c r="T25" i="3"/>
  <c r="V25" i="3"/>
  <c r="G25" i="3"/>
  <c r="H25" i="3"/>
  <c r="J25" i="3"/>
  <c r="I23" i="3"/>
  <c r="F24" i="4" s="1"/>
  <c r="U23" i="3"/>
  <c r="J24" i="4" s="1"/>
  <c r="O23" i="3"/>
  <c r="H24" i="4" s="1"/>
  <c r="E27" i="2" l="1"/>
  <c r="B27" i="3"/>
  <c r="O506" i="2"/>
  <c r="P505" i="2"/>
  <c r="R507" i="3"/>
  <c r="D26" i="4"/>
  <c r="F25" i="3"/>
  <c r="D26" i="3"/>
  <c r="D28" i="2"/>
  <c r="C28" i="2"/>
  <c r="O24" i="3"/>
  <c r="H25" i="4" s="1"/>
  <c r="U24" i="3"/>
  <c r="J25" i="4" s="1"/>
  <c r="I24" i="3"/>
  <c r="F25" i="4" s="1"/>
  <c r="A27" i="4"/>
  <c r="H26" i="3"/>
  <c r="T26" i="3"/>
  <c r="J26" i="3"/>
  <c r="V26" i="3"/>
  <c r="M26" i="3"/>
  <c r="N26" i="3"/>
  <c r="G26" i="3"/>
  <c r="P26" i="3"/>
  <c r="S26" i="3"/>
  <c r="Y26" i="3" s="1"/>
  <c r="Z26" i="3" s="1"/>
  <c r="AA26" i="3" s="1"/>
  <c r="C26" i="3"/>
  <c r="E26" i="3"/>
  <c r="N27" i="2"/>
  <c r="K26" i="2"/>
  <c r="H26" i="2" s="1"/>
  <c r="L27" i="2"/>
  <c r="I26" i="2"/>
  <c r="F26" i="2" s="1"/>
  <c r="C26" i="4"/>
  <c r="AB25" i="3"/>
  <c r="E26" i="4" s="1"/>
  <c r="I26" i="4"/>
  <c r="M26" i="4" s="1"/>
  <c r="K26" i="4"/>
  <c r="N26" i="4" s="1"/>
  <c r="G26" i="4"/>
  <c r="L26" i="4" s="1"/>
  <c r="M27" i="2"/>
  <c r="J26" i="2"/>
  <c r="G26" i="2" s="1"/>
  <c r="E28" i="2" l="1"/>
  <c r="B28" i="3"/>
  <c r="P506" i="2"/>
  <c r="O507" i="2"/>
  <c r="R508" i="3"/>
  <c r="D27" i="4"/>
  <c r="C29" i="2"/>
  <c r="C27" i="4"/>
  <c r="AB26" i="3"/>
  <c r="E27" i="4" s="1"/>
  <c r="L28" i="2"/>
  <c r="I27" i="2"/>
  <c r="F27" i="2" s="1"/>
  <c r="D29" i="2"/>
  <c r="F26" i="3"/>
  <c r="D27" i="3"/>
  <c r="M28" i="2"/>
  <c r="J27" i="2"/>
  <c r="G27" i="2" s="1"/>
  <c r="K27" i="2"/>
  <c r="H27" i="2" s="1"/>
  <c r="N28" i="2"/>
  <c r="O25" i="3"/>
  <c r="H26" i="4" s="1"/>
  <c r="U25" i="3"/>
  <c r="J26" i="4" s="1"/>
  <c r="I25" i="3"/>
  <c r="F26" i="4" s="1"/>
  <c r="A28" i="4"/>
  <c r="E27" i="3"/>
  <c r="G27" i="3"/>
  <c r="S27" i="3"/>
  <c r="Y27" i="3" s="1"/>
  <c r="Z27" i="3" s="1"/>
  <c r="AA27" i="3" s="1"/>
  <c r="J27" i="3"/>
  <c r="V27" i="3"/>
  <c r="C27" i="3"/>
  <c r="H27" i="3"/>
  <c r="M27" i="3"/>
  <c r="N27" i="3"/>
  <c r="P27" i="3"/>
  <c r="T27" i="3"/>
  <c r="G27" i="4"/>
  <c r="L27" i="4" s="1"/>
  <c r="I27" i="4"/>
  <c r="M27" i="4" s="1"/>
  <c r="K27" i="4"/>
  <c r="N27" i="4" s="1"/>
  <c r="E29" i="2" l="1"/>
  <c r="B29" i="3"/>
  <c r="O508" i="2"/>
  <c r="P507" i="2"/>
  <c r="R509" i="3"/>
  <c r="D28" i="4"/>
  <c r="A29" i="4"/>
  <c r="N28" i="3"/>
  <c r="C28" i="3"/>
  <c r="P28" i="3"/>
  <c r="G28" i="3"/>
  <c r="S28" i="3"/>
  <c r="Y28" i="3" s="1"/>
  <c r="Z28" i="3" s="1"/>
  <c r="AA28" i="3" s="1"/>
  <c r="H28" i="3"/>
  <c r="T28" i="3"/>
  <c r="V28" i="3"/>
  <c r="E28" i="3"/>
  <c r="J28" i="3"/>
  <c r="M28" i="3"/>
  <c r="D30" i="2"/>
  <c r="G28" i="4"/>
  <c r="L28" i="4" s="1"/>
  <c r="I28" i="4"/>
  <c r="M28" i="4" s="1"/>
  <c r="K28" i="4"/>
  <c r="N28" i="4" s="1"/>
  <c r="L29" i="2"/>
  <c r="I28" i="2"/>
  <c r="F28" i="2" s="1"/>
  <c r="C28" i="4"/>
  <c r="AB27" i="3"/>
  <c r="E28" i="4" s="1"/>
  <c r="N29" i="2"/>
  <c r="K28" i="2"/>
  <c r="H28" i="2" s="1"/>
  <c r="C30" i="2"/>
  <c r="E30" i="2" s="1"/>
  <c r="M29" i="2"/>
  <c r="J28" i="2"/>
  <c r="G28" i="2" s="1"/>
  <c r="F27" i="3"/>
  <c r="D28" i="3"/>
  <c r="I26" i="3"/>
  <c r="F27" i="4" s="1"/>
  <c r="U26" i="3"/>
  <c r="J27" i="4" s="1"/>
  <c r="O26" i="3"/>
  <c r="H27" i="4" s="1"/>
  <c r="B30" i="3" l="1"/>
  <c r="P508" i="2"/>
  <c r="O509" i="2"/>
  <c r="R510" i="3"/>
  <c r="D29" i="4"/>
  <c r="I27" i="3"/>
  <c r="F28" i="4" s="1"/>
  <c r="U27" i="3"/>
  <c r="J28" i="4" s="1"/>
  <c r="O27" i="3"/>
  <c r="H28" i="4" s="1"/>
  <c r="J29" i="2"/>
  <c r="G29" i="2" s="1"/>
  <c r="M30" i="2"/>
  <c r="C31" i="2"/>
  <c r="N30" i="2"/>
  <c r="K29" i="2"/>
  <c r="H29" i="2" s="1"/>
  <c r="D31" i="2"/>
  <c r="C29" i="4"/>
  <c r="AB28" i="3"/>
  <c r="E29" i="4" s="1"/>
  <c r="G29" i="4"/>
  <c r="L29" i="4" s="1"/>
  <c r="I29" i="4"/>
  <c r="M29" i="4" s="1"/>
  <c r="K29" i="4"/>
  <c r="N29" i="4" s="1"/>
  <c r="F28" i="3"/>
  <c r="D29" i="3"/>
  <c r="I29" i="2"/>
  <c r="F29" i="2" s="1"/>
  <c r="L30" i="2"/>
  <c r="A30" i="4"/>
  <c r="M29" i="3"/>
  <c r="C29" i="3"/>
  <c r="P29" i="3"/>
  <c r="E29" i="3"/>
  <c r="N29" i="3"/>
  <c r="S29" i="3"/>
  <c r="Y29" i="3" s="1"/>
  <c r="Z29" i="3" s="1"/>
  <c r="AA29" i="3" s="1"/>
  <c r="T29" i="3"/>
  <c r="V29" i="3"/>
  <c r="G29" i="3"/>
  <c r="H29" i="3"/>
  <c r="J29" i="3"/>
  <c r="E31" i="2" l="1"/>
  <c r="B31" i="3"/>
  <c r="O510" i="2"/>
  <c r="P509" i="2"/>
  <c r="R511" i="3"/>
  <c r="D30" i="4"/>
  <c r="O28" i="3"/>
  <c r="H29" i="4" s="1"/>
  <c r="U28" i="3"/>
  <c r="J29" i="4" s="1"/>
  <c r="I28" i="3"/>
  <c r="F29" i="4" s="1"/>
  <c r="C32" i="2"/>
  <c r="N31" i="2"/>
  <c r="K30" i="2"/>
  <c r="H30" i="2" s="1"/>
  <c r="A31" i="4"/>
  <c r="H30" i="3"/>
  <c r="T30" i="3"/>
  <c r="J30" i="3"/>
  <c r="V30" i="3"/>
  <c r="M30" i="3"/>
  <c r="N30" i="3"/>
  <c r="G30" i="3"/>
  <c r="P30" i="3"/>
  <c r="S30" i="3"/>
  <c r="Y30" i="3" s="1"/>
  <c r="Z30" i="3" s="1"/>
  <c r="AA30" i="3" s="1"/>
  <c r="C30" i="3"/>
  <c r="E30" i="3"/>
  <c r="M31" i="2"/>
  <c r="J30" i="2"/>
  <c r="G30" i="2" s="1"/>
  <c r="C30" i="4"/>
  <c r="AB29" i="3"/>
  <c r="E30" i="4" s="1"/>
  <c r="G30" i="4"/>
  <c r="L30" i="4" s="1"/>
  <c r="I30" i="4"/>
  <c r="M30" i="4" s="1"/>
  <c r="K30" i="4"/>
  <c r="N30" i="4" s="1"/>
  <c r="L31" i="2"/>
  <c r="I30" i="2"/>
  <c r="F30" i="2" s="1"/>
  <c r="D32" i="2"/>
  <c r="F29" i="3"/>
  <c r="D30" i="3"/>
  <c r="E32" i="2" l="1"/>
  <c r="B32" i="3"/>
  <c r="P510" i="2"/>
  <c r="O511" i="2"/>
  <c r="R512" i="3"/>
  <c r="D31" i="4"/>
  <c r="G31" i="4"/>
  <c r="L31" i="4" s="1"/>
  <c r="I31" i="4"/>
  <c r="M31" i="4" s="1"/>
  <c r="K31" i="4"/>
  <c r="N31" i="4" s="1"/>
  <c r="M32" i="2"/>
  <c r="J31" i="2"/>
  <c r="G31" i="2" s="1"/>
  <c r="N32" i="2"/>
  <c r="K31" i="2"/>
  <c r="H31" i="2" s="1"/>
  <c r="C33" i="2"/>
  <c r="L32" i="2"/>
  <c r="I31" i="2"/>
  <c r="F31" i="2" s="1"/>
  <c r="A32" i="4"/>
  <c r="E31" i="3"/>
  <c r="G31" i="3"/>
  <c r="S31" i="3"/>
  <c r="Y31" i="3" s="1"/>
  <c r="Z31" i="3" s="1"/>
  <c r="AA31" i="3" s="1"/>
  <c r="J31" i="3"/>
  <c r="V31" i="3"/>
  <c r="C31" i="3"/>
  <c r="H31" i="3"/>
  <c r="M31" i="3"/>
  <c r="N31" i="3"/>
  <c r="P31" i="3"/>
  <c r="T31" i="3"/>
  <c r="F30" i="3"/>
  <c r="D31" i="3"/>
  <c r="C31" i="4"/>
  <c r="AB30" i="3"/>
  <c r="E31" i="4" s="1"/>
  <c r="O29" i="3"/>
  <c r="H30" i="4" s="1"/>
  <c r="U29" i="3"/>
  <c r="J30" i="4" s="1"/>
  <c r="I29" i="3"/>
  <c r="F30" i="4" s="1"/>
  <c r="D33" i="2"/>
  <c r="E33" i="2" l="1"/>
  <c r="B33" i="3"/>
  <c r="O512" i="2"/>
  <c r="P511" i="2"/>
  <c r="R513" i="3"/>
  <c r="D32" i="4"/>
  <c r="N33" i="2"/>
  <c r="K32" i="2"/>
  <c r="H32" i="2" s="1"/>
  <c r="M33" i="2"/>
  <c r="J32" i="2"/>
  <c r="G32" i="2" s="1"/>
  <c r="F31" i="3"/>
  <c r="D32" i="3"/>
  <c r="A33" i="4"/>
  <c r="N32" i="3"/>
  <c r="C32" i="3"/>
  <c r="P32" i="3"/>
  <c r="G32" i="3"/>
  <c r="S32" i="3"/>
  <c r="Y32" i="3" s="1"/>
  <c r="Z32" i="3" s="1"/>
  <c r="AA32" i="3" s="1"/>
  <c r="M32" i="3"/>
  <c r="T32" i="3"/>
  <c r="V32" i="3"/>
  <c r="E32" i="3"/>
  <c r="H32" i="3"/>
  <c r="J32" i="3"/>
  <c r="I30" i="3"/>
  <c r="F31" i="4" s="1"/>
  <c r="U30" i="3"/>
  <c r="J31" i="4" s="1"/>
  <c r="O30" i="3"/>
  <c r="H31" i="4" s="1"/>
  <c r="G32" i="4"/>
  <c r="L32" i="4" s="1"/>
  <c r="I32" i="4"/>
  <c r="M32" i="4" s="1"/>
  <c r="K32" i="4"/>
  <c r="N32" i="4" s="1"/>
  <c r="L33" i="2"/>
  <c r="I32" i="2"/>
  <c r="F32" i="2" s="1"/>
  <c r="C32" i="4"/>
  <c r="AB31" i="3"/>
  <c r="E32" i="4" s="1"/>
  <c r="C34" i="2"/>
  <c r="D34" i="2"/>
  <c r="E34" i="2" l="1"/>
  <c r="B34" i="3"/>
  <c r="P512" i="2"/>
  <c r="O513" i="2"/>
  <c r="R514" i="3"/>
  <c r="D33" i="4"/>
  <c r="K33" i="4"/>
  <c r="N33" i="4" s="1"/>
  <c r="G33" i="4"/>
  <c r="L33" i="4" s="1"/>
  <c r="I33" i="4"/>
  <c r="M33" i="4" s="1"/>
  <c r="A34" i="4"/>
  <c r="M33" i="3"/>
  <c r="C33" i="3"/>
  <c r="P33" i="3"/>
  <c r="H33" i="3"/>
  <c r="J33" i="3"/>
  <c r="N33" i="3"/>
  <c r="S33" i="3"/>
  <c r="Y33" i="3" s="1"/>
  <c r="Z33" i="3" s="1"/>
  <c r="AA33" i="3" s="1"/>
  <c r="T33" i="3"/>
  <c r="E33" i="3"/>
  <c r="G33" i="3"/>
  <c r="V33" i="3"/>
  <c r="F32" i="3"/>
  <c r="D33" i="3"/>
  <c r="L34" i="2"/>
  <c r="I33" i="2"/>
  <c r="F33" i="2" s="1"/>
  <c r="I31" i="3"/>
  <c r="F32" i="4" s="1"/>
  <c r="U31" i="3"/>
  <c r="J32" i="4" s="1"/>
  <c r="O31" i="3"/>
  <c r="H32" i="4" s="1"/>
  <c r="M34" i="2"/>
  <c r="J33" i="2"/>
  <c r="G33" i="2" s="1"/>
  <c r="D35" i="2"/>
  <c r="C33" i="4"/>
  <c r="AB32" i="3"/>
  <c r="E33" i="4" s="1"/>
  <c r="N34" i="2"/>
  <c r="K33" i="2"/>
  <c r="H33" i="2" s="1"/>
  <c r="C35" i="2"/>
  <c r="E35" i="2" l="1"/>
  <c r="B35" i="3"/>
  <c r="O514" i="2"/>
  <c r="P513" i="2"/>
  <c r="R515" i="3"/>
  <c r="D34" i="4"/>
  <c r="K34" i="2"/>
  <c r="H34" i="2" s="1"/>
  <c r="N35" i="2"/>
  <c r="O32" i="3"/>
  <c r="H33" i="4" s="1"/>
  <c r="U32" i="3"/>
  <c r="J33" i="4" s="1"/>
  <c r="I32" i="3"/>
  <c r="F33" i="4" s="1"/>
  <c r="C34" i="4"/>
  <c r="AB33" i="3"/>
  <c r="E34" i="4" s="1"/>
  <c r="G34" i="4"/>
  <c r="L34" i="4" s="1"/>
  <c r="I34" i="4"/>
  <c r="M34" i="4" s="1"/>
  <c r="K34" i="4"/>
  <c r="N34" i="4" s="1"/>
  <c r="D36" i="2"/>
  <c r="J34" i="2"/>
  <c r="G34" i="2" s="1"/>
  <c r="M35" i="2"/>
  <c r="L35" i="2"/>
  <c r="I34" i="2"/>
  <c r="F34" i="2" s="1"/>
  <c r="D34" i="3"/>
  <c r="F33" i="3"/>
  <c r="A35" i="4"/>
  <c r="H34" i="3"/>
  <c r="T34" i="3"/>
  <c r="J34" i="3"/>
  <c r="V34" i="3"/>
  <c r="P34" i="3"/>
  <c r="C34" i="3"/>
  <c r="S34" i="3"/>
  <c r="Y34" i="3" s="1"/>
  <c r="Z34" i="3" s="1"/>
  <c r="AA34" i="3" s="1"/>
  <c r="E34" i="3"/>
  <c r="G34" i="3"/>
  <c r="M34" i="3"/>
  <c r="N34" i="3"/>
  <c r="C36" i="2"/>
  <c r="E36" i="2" l="1"/>
  <c r="B36" i="3"/>
  <c r="P514" i="2"/>
  <c r="O515" i="2"/>
  <c r="R516" i="3"/>
  <c r="D35" i="4"/>
  <c r="A36" i="4"/>
  <c r="E35" i="3"/>
  <c r="G35" i="3"/>
  <c r="S35" i="3"/>
  <c r="Y35" i="3" s="1"/>
  <c r="Z35" i="3" s="1"/>
  <c r="AA35" i="3" s="1"/>
  <c r="C35" i="3"/>
  <c r="T35" i="3"/>
  <c r="V35" i="3"/>
  <c r="H35" i="3"/>
  <c r="J35" i="3"/>
  <c r="M35" i="3"/>
  <c r="N35" i="3"/>
  <c r="P35" i="3"/>
  <c r="D35" i="3"/>
  <c r="F34" i="3"/>
  <c r="L36" i="2"/>
  <c r="I35" i="2"/>
  <c r="F35" i="2" s="1"/>
  <c r="M36" i="2"/>
  <c r="J35" i="2"/>
  <c r="G35" i="2" s="1"/>
  <c r="D37" i="2"/>
  <c r="C35" i="4"/>
  <c r="AB34" i="3"/>
  <c r="E35" i="4" s="1"/>
  <c r="C37" i="2"/>
  <c r="N36" i="2"/>
  <c r="K35" i="2"/>
  <c r="H35" i="2" s="1"/>
  <c r="O33" i="3"/>
  <c r="H34" i="4" s="1"/>
  <c r="I33" i="3"/>
  <c r="F34" i="4" s="1"/>
  <c r="U33" i="3"/>
  <c r="J34" i="4" s="1"/>
  <c r="I35" i="4"/>
  <c r="M35" i="4" s="1"/>
  <c r="K35" i="4"/>
  <c r="N35" i="4" s="1"/>
  <c r="G35" i="4"/>
  <c r="L35" i="4" s="1"/>
  <c r="E37" i="2" l="1"/>
  <c r="B37" i="3"/>
  <c r="O516" i="2"/>
  <c r="P515" i="2"/>
  <c r="R517" i="3"/>
  <c r="D36" i="4"/>
  <c r="M37" i="2"/>
  <c r="J36" i="2"/>
  <c r="G36" i="2" s="1"/>
  <c r="N37" i="2"/>
  <c r="K36" i="2"/>
  <c r="H36" i="2" s="1"/>
  <c r="I36" i="2"/>
  <c r="F36" i="2" s="1"/>
  <c r="L37" i="2"/>
  <c r="O34" i="3"/>
  <c r="H35" i="4" s="1"/>
  <c r="U34" i="3"/>
  <c r="J35" i="4" s="1"/>
  <c r="I34" i="3"/>
  <c r="F35" i="4" s="1"/>
  <c r="A37" i="4"/>
  <c r="N36" i="3"/>
  <c r="P36" i="3"/>
  <c r="H36" i="3"/>
  <c r="J36" i="3"/>
  <c r="M36" i="3"/>
  <c r="S36" i="3"/>
  <c r="Y36" i="3" s="1"/>
  <c r="Z36" i="3" s="1"/>
  <c r="AA36" i="3" s="1"/>
  <c r="C36" i="3"/>
  <c r="T36" i="3"/>
  <c r="V36" i="3"/>
  <c r="E36" i="3"/>
  <c r="G36" i="3"/>
  <c r="D38" i="2"/>
  <c r="D36" i="3"/>
  <c r="F35" i="3"/>
  <c r="C38" i="2"/>
  <c r="K36" i="4"/>
  <c r="N36" i="4" s="1"/>
  <c r="G36" i="4"/>
  <c r="L36" i="4" s="1"/>
  <c r="I36" i="4"/>
  <c r="M36" i="4" s="1"/>
  <c r="C36" i="4"/>
  <c r="AB35" i="3"/>
  <c r="E36" i="4" s="1"/>
  <c r="E38" i="2" l="1"/>
  <c r="B38" i="3"/>
  <c r="P516" i="2"/>
  <c r="O517" i="2"/>
  <c r="R518" i="3"/>
  <c r="D37" i="4"/>
  <c r="C39" i="2"/>
  <c r="L38" i="2"/>
  <c r="I37" i="2"/>
  <c r="F37" i="2" s="1"/>
  <c r="C37" i="4"/>
  <c r="AB36" i="3"/>
  <c r="E37" i="4" s="1"/>
  <c r="I35" i="3"/>
  <c r="F36" i="4" s="1"/>
  <c r="U35" i="3"/>
  <c r="J36" i="4" s="1"/>
  <c r="O35" i="3"/>
  <c r="H36" i="4" s="1"/>
  <c r="A38" i="4"/>
  <c r="M37" i="3"/>
  <c r="C37" i="3"/>
  <c r="N37" i="3"/>
  <c r="P37" i="3"/>
  <c r="E37" i="3"/>
  <c r="S37" i="3"/>
  <c r="Y37" i="3" s="1"/>
  <c r="Z37" i="3" s="1"/>
  <c r="AA37" i="3" s="1"/>
  <c r="T37" i="3"/>
  <c r="G37" i="3"/>
  <c r="H37" i="3"/>
  <c r="V37" i="3"/>
  <c r="J37" i="3"/>
  <c r="N38" i="2"/>
  <c r="K37" i="2"/>
  <c r="H37" i="2" s="1"/>
  <c r="F36" i="3"/>
  <c r="D37" i="3"/>
  <c r="D39" i="2"/>
  <c r="M38" i="2"/>
  <c r="J37" i="2"/>
  <c r="G37" i="2" s="1"/>
  <c r="G37" i="4"/>
  <c r="L37" i="4" s="1"/>
  <c r="I37" i="4"/>
  <c r="M37" i="4" s="1"/>
  <c r="K37" i="4"/>
  <c r="N37" i="4" s="1"/>
  <c r="E39" i="2" l="1"/>
  <c r="B39" i="3"/>
  <c r="O518" i="2"/>
  <c r="P517" i="2"/>
  <c r="R519" i="3"/>
  <c r="D38" i="4"/>
  <c r="M39" i="2"/>
  <c r="J38" i="2"/>
  <c r="G38" i="2" s="1"/>
  <c r="D40" i="2"/>
  <c r="L39" i="2"/>
  <c r="I38" i="2"/>
  <c r="F38" i="2" s="1"/>
  <c r="D38" i="3"/>
  <c r="F37" i="3"/>
  <c r="A39" i="4"/>
  <c r="J38" i="3"/>
  <c r="M38" i="3"/>
  <c r="N38" i="3"/>
  <c r="C38" i="3"/>
  <c r="P38" i="3"/>
  <c r="E38" i="3"/>
  <c r="S38" i="3"/>
  <c r="Y38" i="3" s="1"/>
  <c r="Z38" i="3" s="1"/>
  <c r="AA38" i="3" s="1"/>
  <c r="G38" i="3"/>
  <c r="T38" i="3"/>
  <c r="H38" i="3"/>
  <c r="V38" i="3"/>
  <c r="C40" i="2"/>
  <c r="I36" i="3"/>
  <c r="F37" i="4" s="1"/>
  <c r="O36" i="3"/>
  <c r="H37" i="4" s="1"/>
  <c r="U36" i="3"/>
  <c r="J37" i="4" s="1"/>
  <c r="N39" i="2"/>
  <c r="K38" i="2"/>
  <c r="H38" i="2" s="1"/>
  <c r="C38" i="4"/>
  <c r="AB37" i="3"/>
  <c r="E38" i="4" s="1"/>
  <c r="I38" i="4"/>
  <c r="M38" i="4" s="1"/>
  <c r="K38" i="4"/>
  <c r="N38" i="4" s="1"/>
  <c r="G38" i="4"/>
  <c r="L38" i="4" s="1"/>
  <c r="E40" i="2" l="1"/>
  <c r="B40" i="3"/>
  <c r="P518" i="2"/>
  <c r="O519" i="2"/>
  <c r="R520" i="3"/>
  <c r="D39" i="4"/>
  <c r="O37" i="3"/>
  <c r="H38" i="4" s="1"/>
  <c r="U37" i="3"/>
  <c r="J38" i="4" s="1"/>
  <c r="I37" i="3"/>
  <c r="F38" i="4" s="1"/>
  <c r="F38" i="3"/>
  <c r="D39" i="3"/>
  <c r="L40" i="2"/>
  <c r="I39" i="2"/>
  <c r="F39" i="2" s="1"/>
  <c r="K39" i="2"/>
  <c r="H39" i="2" s="1"/>
  <c r="N40" i="2"/>
  <c r="A40" i="4"/>
  <c r="J39" i="3"/>
  <c r="V39" i="3"/>
  <c r="M39" i="3"/>
  <c r="N39" i="3"/>
  <c r="C39" i="3"/>
  <c r="P39" i="3"/>
  <c r="E39" i="3"/>
  <c r="G39" i="3"/>
  <c r="S39" i="3"/>
  <c r="Y39" i="3" s="1"/>
  <c r="Z39" i="3" s="1"/>
  <c r="AA39" i="3" s="1"/>
  <c r="H39" i="3"/>
  <c r="T39" i="3"/>
  <c r="D41" i="2"/>
  <c r="M40" i="2"/>
  <c r="J39" i="2"/>
  <c r="G39" i="2" s="1"/>
  <c r="G39" i="4"/>
  <c r="L39" i="4" s="1"/>
  <c r="I39" i="4"/>
  <c r="M39" i="4" s="1"/>
  <c r="K39" i="4"/>
  <c r="N39" i="4" s="1"/>
  <c r="C39" i="4"/>
  <c r="AB38" i="3"/>
  <c r="E39" i="4" s="1"/>
  <c r="C41" i="2"/>
  <c r="E41" i="2" l="1"/>
  <c r="B41" i="3"/>
  <c r="O520" i="2"/>
  <c r="P519" i="2"/>
  <c r="R521" i="3"/>
  <c r="D40" i="4"/>
  <c r="N41" i="2"/>
  <c r="K40" i="2"/>
  <c r="H40" i="2" s="1"/>
  <c r="G40" i="4"/>
  <c r="L40" i="4" s="1"/>
  <c r="I40" i="4"/>
  <c r="M40" i="4" s="1"/>
  <c r="K40" i="4"/>
  <c r="N40" i="4" s="1"/>
  <c r="A41" i="4"/>
  <c r="G40" i="3"/>
  <c r="S40" i="3"/>
  <c r="Y40" i="3" s="1"/>
  <c r="Z40" i="3" s="1"/>
  <c r="AA40" i="3" s="1"/>
  <c r="H40" i="3"/>
  <c r="T40" i="3"/>
  <c r="J40" i="3"/>
  <c r="V40" i="3"/>
  <c r="M40" i="3"/>
  <c r="N40" i="3"/>
  <c r="C40" i="3"/>
  <c r="P40" i="3"/>
  <c r="E40" i="3"/>
  <c r="L41" i="2"/>
  <c r="I40" i="2"/>
  <c r="F40" i="2" s="1"/>
  <c r="F39" i="3"/>
  <c r="D40" i="3"/>
  <c r="O38" i="3"/>
  <c r="H39" i="4" s="1"/>
  <c r="U38" i="3"/>
  <c r="J39" i="4" s="1"/>
  <c r="I38" i="3"/>
  <c r="F39" i="4" s="1"/>
  <c r="C42" i="2"/>
  <c r="M41" i="2"/>
  <c r="J40" i="2"/>
  <c r="G40" i="2" s="1"/>
  <c r="D42" i="2"/>
  <c r="C40" i="4"/>
  <c r="AB39" i="3"/>
  <c r="E40" i="4" s="1"/>
  <c r="E42" i="2" l="1"/>
  <c r="B42" i="3"/>
  <c r="P520" i="2"/>
  <c r="O521" i="2"/>
  <c r="R522" i="3"/>
  <c r="D41" i="4"/>
  <c r="D43" i="2"/>
  <c r="I41" i="2"/>
  <c r="F41" i="2" s="1"/>
  <c r="L42" i="2"/>
  <c r="A42" i="4"/>
  <c r="P41" i="3"/>
  <c r="E41" i="3"/>
  <c r="G41" i="3"/>
  <c r="S41" i="3"/>
  <c r="Y41" i="3" s="1"/>
  <c r="Z41" i="3" s="1"/>
  <c r="AA41" i="3" s="1"/>
  <c r="H41" i="3"/>
  <c r="T41" i="3"/>
  <c r="J41" i="3"/>
  <c r="V41" i="3"/>
  <c r="M41" i="3"/>
  <c r="C41" i="3"/>
  <c r="N41" i="3"/>
  <c r="J41" i="2"/>
  <c r="G41" i="2" s="1"/>
  <c r="M42" i="2"/>
  <c r="C43" i="2"/>
  <c r="C41" i="4"/>
  <c r="AB40" i="3"/>
  <c r="E41" i="4" s="1"/>
  <c r="G41" i="4"/>
  <c r="L41" i="4" s="1"/>
  <c r="I41" i="4"/>
  <c r="M41" i="4" s="1"/>
  <c r="K41" i="4"/>
  <c r="N41" i="4" s="1"/>
  <c r="D41" i="3"/>
  <c r="F40" i="3"/>
  <c r="N42" i="2"/>
  <c r="K41" i="2"/>
  <c r="H41" i="2" s="1"/>
  <c r="O39" i="3"/>
  <c r="H40" i="4" s="1"/>
  <c r="I39" i="3"/>
  <c r="F40" i="4" s="1"/>
  <c r="U39" i="3"/>
  <c r="J40" i="4" s="1"/>
  <c r="E43" i="2" l="1"/>
  <c r="B43" i="3"/>
  <c r="P521" i="2"/>
  <c r="R523" i="3"/>
  <c r="D42" i="4"/>
  <c r="I40" i="3"/>
  <c r="F41" i="4" s="1"/>
  <c r="U40" i="3"/>
  <c r="J41" i="4" s="1"/>
  <c r="O40" i="3"/>
  <c r="H41" i="4" s="1"/>
  <c r="A43" i="4"/>
  <c r="M42" i="3"/>
  <c r="N42" i="3"/>
  <c r="C42" i="3"/>
  <c r="P42" i="3"/>
  <c r="E42" i="3"/>
  <c r="G42" i="3"/>
  <c r="S42" i="3"/>
  <c r="Y42" i="3" s="1"/>
  <c r="Z42" i="3" s="1"/>
  <c r="AA42" i="3" s="1"/>
  <c r="H42" i="3"/>
  <c r="T42" i="3"/>
  <c r="J42" i="3"/>
  <c r="V42" i="3"/>
  <c r="F41" i="3"/>
  <c r="D42" i="3"/>
  <c r="M43" i="2"/>
  <c r="J42" i="2"/>
  <c r="G42" i="2" s="1"/>
  <c r="G42" i="4"/>
  <c r="L42" i="4" s="1"/>
  <c r="I42" i="4"/>
  <c r="M42" i="4" s="1"/>
  <c r="K42" i="4"/>
  <c r="N42" i="4" s="1"/>
  <c r="L43" i="2"/>
  <c r="I42" i="2"/>
  <c r="F42" i="2" s="1"/>
  <c r="N43" i="2"/>
  <c r="K42" i="2"/>
  <c r="H42" i="2" s="1"/>
  <c r="C42" i="4"/>
  <c r="AB41" i="3"/>
  <c r="E42" i="4" s="1"/>
  <c r="D44" i="2"/>
  <c r="C44" i="2"/>
  <c r="E44" i="2" l="1"/>
  <c r="B44" i="3"/>
  <c r="D43" i="4"/>
  <c r="D45" i="2"/>
  <c r="M44" i="2"/>
  <c r="J43" i="2"/>
  <c r="G43" i="2" s="1"/>
  <c r="A44" i="4"/>
  <c r="J43" i="3"/>
  <c r="V43" i="3"/>
  <c r="M43" i="3"/>
  <c r="N43" i="3"/>
  <c r="C43" i="3"/>
  <c r="P43" i="3"/>
  <c r="E43" i="3"/>
  <c r="G43" i="3"/>
  <c r="S43" i="3"/>
  <c r="Y43" i="3" s="1"/>
  <c r="Z43" i="3" s="1"/>
  <c r="AA43" i="3" s="1"/>
  <c r="H43" i="3"/>
  <c r="T43" i="3"/>
  <c r="F42" i="3"/>
  <c r="D43" i="3"/>
  <c r="N44" i="2"/>
  <c r="K43" i="2"/>
  <c r="H43" i="2" s="1"/>
  <c r="I41" i="3"/>
  <c r="F42" i="4" s="1"/>
  <c r="U41" i="3"/>
  <c r="J42" i="4" s="1"/>
  <c r="O41" i="3"/>
  <c r="H42" i="4" s="1"/>
  <c r="C43" i="4"/>
  <c r="AB42" i="3"/>
  <c r="E43" i="4" s="1"/>
  <c r="G43" i="4"/>
  <c r="L43" i="4" s="1"/>
  <c r="I43" i="4"/>
  <c r="M43" i="4" s="1"/>
  <c r="K43" i="4"/>
  <c r="N43" i="4" s="1"/>
  <c r="L44" i="2"/>
  <c r="I43" i="2"/>
  <c r="F43" i="2" s="1"/>
  <c r="C45" i="2"/>
  <c r="E45" i="2" l="1"/>
  <c r="B45" i="3"/>
  <c r="D44" i="4"/>
  <c r="L45" i="2"/>
  <c r="I44" i="2"/>
  <c r="F44" i="2" s="1"/>
  <c r="N45" i="2"/>
  <c r="K44" i="2"/>
  <c r="H44" i="2" s="1"/>
  <c r="F43" i="3"/>
  <c r="D44" i="3"/>
  <c r="C44" i="4"/>
  <c r="AB43" i="3"/>
  <c r="E44" i="4" s="1"/>
  <c r="O42" i="3"/>
  <c r="H43" i="4" s="1"/>
  <c r="I42" i="3"/>
  <c r="F43" i="4" s="1"/>
  <c r="U42" i="3"/>
  <c r="J43" i="4" s="1"/>
  <c r="G44" i="4"/>
  <c r="L44" i="4" s="1"/>
  <c r="I44" i="4"/>
  <c r="M44" i="4" s="1"/>
  <c r="K44" i="4"/>
  <c r="N44" i="4" s="1"/>
  <c r="M45" i="2"/>
  <c r="J44" i="2"/>
  <c r="G44" i="2" s="1"/>
  <c r="C46" i="2"/>
  <c r="A45" i="4"/>
  <c r="G44" i="3"/>
  <c r="S44" i="3"/>
  <c r="Y44" i="3" s="1"/>
  <c r="Z44" i="3" s="1"/>
  <c r="AA44" i="3" s="1"/>
  <c r="H44" i="3"/>
  <c r="T44" i="3"/>
  <c r="J44" i="3"/>
  <c r="V44" i="3"/>
  <c r="M44" i="3"/>
  <c r="N44" i="3"/>
  <c r="C44" i="3"/>
  <c r="P44" i="3"/>
  <c r="E44" i="3"/>
  <c r="D46" i="2"/>
  <c r="E46" i="2" l="1"/>
  <c r="B46" i="3"/>
  <c r="D45" i="4"/>
  <c r="C47" i="2"/>
  <c r="C45" i="4"/>
  <c r="AB44" i="3"/>
  <c r="E45" i="4" s="1"/>
  <c r="M46" i="2"/>
  <c r="J45" i="2"/>
  <c r="G45" i="2" s="1"/>
  <c r="D45" i="3"/>
  <c r="F44" i="3"/>
  <c r="O43" i="3"/>
  <c r="H44" i="4" s="1"/>
  <c r="I43" i="3"/>
  <c r="F44" i="4" s="1"/>
  <c r="U43" i="3"/>
  <c r="J44" i="4" s="1"/>
  <c r="N46" i="2"/>
  <c r="K45" i="2"/>
  <c r="H45" i="2" s="1"/>
  <c r="D47" i="2"/>
  <c r="L46" i="2"/>
  <c r="I45" i="2"/>
  <c r="F45" i="2" s="1"/>
  <c r="A46" i="4"/>
  <c r="P45" i="3"/>
  <c r="E45" i="3"/>
  <c r="G45" i="3"/>
  <c r="S45" i="3"/>
  <c r="Y45" i="3" s="1"/>
  <c r="Z45" i="3" s="1"/>
  <c r="AA45" i="3" s="1"/>
  <c r="H45" i="3"/>
  <c r="T45" i="3"/>
  <c r="J45" i="3"/>
  <c r="V45" i="3"/>
  <c r="M45" i="3"/>
  <c r="C45" i="3"/>
  <c r="N45" i="3"/>
  <c r="K45" i="4"/>
  <c r="N45" i="4" s="1"/>
  <c r="G45" i="4"/>
  <c r="L45" i="4" s="1"/>
  <c r="I45" i="4"/>
  <c r="M45" i="4" s="1"/>
  <c r="E47" i="2" l="1"/>
  <c r="B47" i="3"/>
  <c r="D46" i="4"/>
  <c r="I44" i="3"/>
  <c r="F45" i="4" s="1"/>
  <c r="U44" i="3"/>
  <c r="J45" i="4" s="1"/>
  <c r="O44" i="3"/>
  <c r="H45" i="4" s="1"/>
  <c r="G46" i="4"/>
  <c r="L46" i="4" s="1"/>
  <c r="I46" i="4"/>
  <c r="M46" i="4" s="1"/>
  <c r="K46" i="4"/>
  <c r="N46" i="4" s="1"/>
  <c r="F45" i="3"/>
  <c r="D46" i="3"/>
  <c r="C46" i="4"/>
  <c r="AB45" i="3"/>
  <c r="E46" i="4" s="1"/>
  <c r="L47" i="2"/>
  <c r="I46" i="2"/>
  <c r="F46" i="2" s="1"/>
  <c r="J46" i="2"/>
  <c r="G46" i="2" s="1"/>
  <c r="M47" i="2"/>
  <c r="D48" i="2"/>
  <c r="K46" i="2"/>
  <c r="H46" i="2" s="1"/>
  <c r="N47" i="2"/>
  <c r="C48" i="2"/>
  <c r="A47" i="4"/>
  <c r="M46" i="3"/>
  <c r="N46" i="3"/>
  <c r="C46" i="3"/>
  <c r="P46" i="3"/>
  <c r="E46" i="3"/>
  <c r="G46" i="3"/>
  <c r="S46" i="3"/>
  <c r="Y46" i="3" s="1"/>
  <c r="Z46" i="3" s="1"/>
  <c r="AA46" i="3" s="1"/>
  <c r="H46" i="3"/>
  <c r="T46" i="3"/>
  <c r="J46" i="3"/>
  <c r="V46" i="3"/>
  <c r="E48" i="2" l="1"/>
  <c r="B48" i="3"/>
  <c r="D47" i="4"/>
  <c r="N48" i="2"/>
  <c r="K47" i="2"/>
  <c r="H47" i="2" s="1"/>
  <c r="I45" i="3"/>
  <c r="F46" i="4" s="1"/>
  <c r="U45" i="3"/>
  <c r="J46" i="4" s="1"/>
  <c r="O45" i="3"/>
  <c r="H46" i="4" s="1"/>
  <c r="D49" i="2"/>
  <c r="A48" i="4"/>
  <c r="J47" i="3"/>
  <c r="V47" i="3"/>
  <c r="M47" i="3"/>
  <c r="N47" i="3"/>
  <c r="C47" i="3"/>
  <c r="P47" i="3"/>
  <c r="E47" i="3"/>
  <c r="G47" i="3"/>
  <c r="S47" i="3"/>
  <c r="Y47" i="3" s="1"/>
  <c r="Z47" i="3" s="1"/>
  <c r="AA47" i="3" s="1"/>
  <c r="T47" i="3"/>
  <c r="H47" i="3"/>
  <c r="M48" i="2"/>
  <c r="J47" i="2"/>
  <c r="G47" i="2" s="1"/>
  <c r="C47" i="4"/>
  <c r="AB46" i="3"/>
  <c r="E47" i="4" s="1"/>
  <c r="I47" i="4"/>
  <c r="M47" i="4" s="1"/>
  <c r="K47" i="4"/>
  <c r="N47" i="4" s="1"/>
  <c r="G47" i="4"/>
  <c r="L47" i="4" s="1"/>
  <c r="L48" i="2"/>
  <c r="I47" i="2"/>
  <c r="F47" i="2" s="1"/>
  <c r="C49" i="2"/>
  <c r="F46" i="3"/>
  <c r="D47" i="3"/>
  <c r="E49" i="2" l="1"/>
  <c r="B49" i="3"/>
  <c r="D48" i="4"/>
  <c r="M49" i="2"/>
  <c r="J48" i="2"/>
  <c r="G48" i="2" s="1"/>
  <c r="K48" i="4"/>
  <c r="N48" i="4" s="1"/>
  <c r="G48" i="4"/>
  <c r="L48" i="4" s="1"/>
  <c r="I48" i="4"/>
  <c r="M48" i="4" s="1"/>
  <c r="I48" i="2"/>
  <c r="F48" i="2" s="1"/>
  <c r="L49" i="2"/>
  <c r="D50" i="2"/>
  <c r="A49" i="4"/>
  <c r="G48" i="3"/>
  <c r="S48" i="3"/>
  <c r="Y48" i="3" s="1"/>
  <c r="Z48" i="3" s="1"/>
  <c r="AA48" i="3" s="1"/>
  <c r="H48" i="3"/>
  <c r="T48" i="3"/>
  <c r="J48" i="3"/>
  <c r="V48" i="3"/>
  <c r="M48" i="3"/>
  <c r="N48" i="3"/>
  <c r="C48" i="3"/>
  <c r="P48" i="3"/>
  <c r="E48" i="3"/>
  <c r="F47" i="3"/>
  <c r="D48" i="3"/>
  <c r="O46" i="3"/>
  <c r="H47" i="4" s="1"/>
  <c r="I46" i="3"/>
  <c r="F47" i="4" s="1"/>
  <c r="U46" i="3"/>
  <c r="J47" i="4" s="1"/>
  <c r="N49" i="2"/>
  <c r="K48" i="2"/>
  <c r="H48" i="2" s="1"/>
  <c r="C48" i="4"/>
  <c r="AB47" i="3"/>
  <c r="E48" i="4" s="1"/>
  <c r="C50" i="2"/>
  <c r="E50" i="2" l="1"/>
  <c r="B50" i="3"/>
  <c r="D49" i="4"/>
  <c r="L50" i="2"/>
  <c r="I49" i="2"/>
  <c r="F49" i="2" s="1"/>
  <c r="C49" i="4"/>
  <c r="AB48" i="3"/>
  <c r="E49" i="4" s="1"/>
  <c r="N50" i="2"/>
  <c r="K49" i="2"/>
  <c r="H49" i="2" s="1"/>
  <c r="D49" i="3"/>
  <c r="F48" i="3"/>
  <c r="O47" i="3"/>
  <c r="H48" i="4" s="1"/>
  <c r="U47" i="3"/>
  <c r="J48" i="4" s="1"/>
  <c r="I47" i="3"/>
  <c r="F48" i="4" s="1"/>
  <c r="C51" i="2"/>
  <c r="A50" i="4"/>
  <c r="P49" i="3"/>
  <c r="E49" i="3"/>
  <c r="G49" i="3"/>
  <c r="S49" i="3"/>
  <c r="Y49" i="3" s="1"/>
  <c r="Z49" i="3" s="1"/>
  <c r="AA49" i="3" s="1"/>
  <c r="H49" i="3"/>
  <c r="T49" i="3"/>
  <c r="J49" i="3"/>
  <c r="V49" i="3"/>
  <c r="M49" i="3"/>
  <c r="N49" i="3"/>
  <c r="C49" i="3"/>
  <c r="G49" i="4"/>
  <c r="L49" i="4" s="1"/>
  <c r="I49" i="4"/>
  <c r="M49" i="4" s="1"/>
  <c r="K49" i="4"/>
  <c r="N49" i="4" s="1"/>
  <c r="D51" i="2"/>
  <c r="M50" i="2"/>
  <c r="J49" i="2"/>
  <c r="G49" i="2" s="1"/>
  <c r="E51" i="2" l="1"/>
  <c r="B51" i="3"/>
  <c r="D50" i="4"/>
  <c r="I48" i="3"/>
  <c r="F49" i="4" s="1"/>
  <c r="U48" i="3"/>
  <c r="J49" i="4" s="1"/>
  <c r="O48" i="3"/>
  <c r="H49" i="4" s="1"/>
  <c r="F49" i="3"/>
  <c r="D50" i="3"/>
  <c r="A51" i="4"/>
  <c r="M50" i="3"/>
  <c r="N50" i="3"/>
  <c r="C50" i="3"/>
  <c r="P50" i="3"/>
  <c r="E50" i="3"/>
  <c r="G50" i="3"/>
  <c r="S50" i="3"/>
  <c r="Y50" i="3" s="1"/>
  <c r="Z50" i="3" s="1"/>
  <c r="AA50" i="3" s="1"/>
  <c r="H50" i="3"/>
  <c r="T50" i="3"/>
  <c r="J50" i="3"/>
  <c r="V50" i="3"/>
  <c r="N51" i="2"/>
  <c r="K50" i="2"/>
  <c r="H50" i="2" s="1"/>
  <c r="I50" i="4"/>
  <c r="M50" i="4" s="1"/>
  <c r="K50" i="4"/>
  <c r="N50" i="4" s="1"/>
  <c r="G50" i="4"/>
  <c r="L50" i="4" s="1"/>
  <c r="C52" i="2"/>
  <c r="M51" i="2"/>
  <c r="J50" i="2"/>
  <c r="G50" i="2" s="1"/>
  <c r="C50" i="4"/>
  <c r="AB49" i="3"/>
  <c r="E50" i="4" s="1"/>
  <c r="L51" i="2"/>
  <c r="I50" i="2"/>
  <c r="F50" i="2" s="1"/>
  <c r="D52" i="2"/>
  <c r="E52" i="2" l="1"/>
  <c r="B52" i="3"/>
  <c r="D51" i="4"/>
  <c r="K51" i="2"/>
  <c r="H51" i="2" s="1"/>
  <c r="N52" i="2"/>
  <c r="C51" i="4"/>
  <c r="AB50" i="3"/>
  <c r="E51" i="4" s="1"/>
  <c r="M52" i="2"/>
  <c r="J51" i="2"/>
  <c r="G51" i="2" s="1"/>
  <c r="G51" i="4"/>
  <c r="L51" i="4" s="1"/>
  <c r="I51" i="4"/>
  <c r="M51" i="4" s="1"/>
  <c r="K51" i="4"/>
  <c r="N51" i="4" s="1"/>
  <c r="F50" i="3"/>
  <c r="D51" i="3"/>
  <c r="I49" i="3"/>
  <c r="F50" i="4" s="1"/>
  <c r="U49" i="3"/>
  <c r="J50" i="4" s="1"/>
  <c r="O49" i="3"/>
  <c r="H50" i="4" s="1"/>
  <c r="L52" i="2"/>
  <c r="I51" i="2"/>
  <c r="F51" i="2" s="1"/>
  <c r="C53" i="2"/>
  <c r="D53" i="2"/>
  <c r="A52" i="4"/>
  <c r="J51" i="3"/>
  <c r="V51" i="3"/>
  <c r="M51" i="3"/>
  <c r="N51" i="3"/>
  <c r="C51" i="3"/>
  <c r="P51" i="3"/>
  <c r="E51" i="3"/>
  <c r="G51" i="3"/>
  <c r="S51" i="3"/>
  <c r="Y51" i="3" s="1"/>
  <c r="Z51" i="3" s="1"/>
  <c r="AA51" i="3" s="1"/>
  <c r="T51" i="3"/>
  <c r="H51" i="3"/>
  <c r="E53" i="2" l="1"/>
  <c r="B53" i="3"/>
  <c r="D52" i="4"/>
  <c r="L53" i="2"/>
  <c r="I52" i="2"/>
  <c r="F52" i="2" s="1"/>
  <c r="C52" i="4"/>
  <c r="AB51" i="3"/>
  <c r="E52" i="4" s="1"/>
  <c r="M53" i="2"/>
  <c r="J52" i="2"/>
  <c r="G52" i="2" s="1"/>
  <c r="A53" i="4"/>
  <c r="G52" i="3"/>
  <c r="S52" i="3"/>
  <c r="Y52" i="3" s="1"/>
  <c r="Z52" i="3" s="1"/>
  <c r="AA52" i="3" s="1"/>
  <c r="H52" i="3"/>
  <c r="T52" i="3"/>
  <c r="J52" i="3"/>
  <c r="V52" i="3"/>
  <c r="M52" i="3"/>
  <c r="N52" i="3"/>
  <c r="C52" i="3"/>
  <c r="P52" i="3"/>
  <c r="E52" i="3"/>
  <c r="G52" i="4"/>
  <c r="L52" i="4" s="1"/>
  <c r="I52" i="4"/>
  <c r="M52" i="4" s="1"/>
  <c r="K52" i="4"/>
  <c r="N52" i="4" s="1"/>
  <c r="F51" i="3"/>
  <c r="D52" i="3"/>
  <c r="N53" i="2"/>
  <c r="K52" i="2"/>
  <c r="H52" i="2" s="1"/>
  <c r="C54" i="2"/>
  <c r="D54" i="2"/>
  <c r="O50" i="3"/>
  <c r="H51" i="4" s="1"/>
  <c r="I50" i="3"/>
  <c r="F51" i="4" s="1"/>
  <c r="U50" i="3"/>
  <c r="J51" i="4" s="1"/>
  <c r="E54" i="2" l="1"/>
  <c r="B54" i="3"/>
  <c r="D53" i="4"/>
  <c r="D55" i="2"/>
  <c r="G53" i="4"/>
  <c r="L53" i="4" s="1"/>
  <c r="I53" i="4"/>
  <c r="M53" i="4" s="1"/>
  <c r="K53" i="4"/>
  <c r="N53" i="4" s="1"/>
  <c r="C55" i="2"/>
  <c r="A54" i="4"/>
  <c r="P53" i="3"/>
  <c r="E53" i="3"/>
  <c r="G53" i="3"/>
  <c r="S53" i="3"/>
  <c r="Y53" i="3" s="1"/>
  <c r="Z53" i="3" s="1"/>
  <c r="AA53" i="3" s="1"/>
  <c r="H53" i="3"/>
  <c r="T53" i="3"/>
  <c r="J53" i="3"/>
  <c r="V53" i="3"/>
  <c r="M53" i="3"/>
  <c r="C53" i="3"/>
  <c r="N53" i="3"/>
  <c r="J53" i="2"/>
  <c r="G53" i="2" s="1"/>
  <c r="M54" i="2"/>
  <c r="N54" i="2"/>
  <c r="K53" i="2"/>
  <c r="H53" i="2" s="1"/>
  <c r="D53" i="3"/>
  <c r="F52" i="3"/>
  <c r="O51" i="3"/>
  <c r="H52" i="4" s="1"/>
  <c r="I51" i="3"/>
  <c r="F52" i="4" s="1"/>
  <c r="U51" i="3"/>
  <c r="J52" i="4" s="1"/>
  <c r="C53" i="4"/>
  <c r="AB52" i="3"/>
  <c r="E53" i="4" s="1"/>
  <c r="I53" i="2"/>
  <c r="F53" i="2" s="1"/>
  <c r="L54" i="2"/>
  <c r="E55" i="2" l="1"/>
  <c r="B55" i="3"/>
  <c r="D54" i="4"/>
  <c r="I52" i="3"/>
  <c r="F53" i="4" s="1"/>
  <c r="U52" i="3"/>
  <c r="J53" i="4" s="1"/>
  <c r="O52" i="3"/>
  <c r="H53" i="4" s="1"/>
  <c r="F53" i="3"/>
  <c r="D54" i="3"/>
  <c r="N55" i="2"/>
  <c r="K54" i="2"/>
  <c r="H54" i="2" s="1"/>
  <c r="A55" i="4"/>
  <c r="M54" i="3"/>
  <c r="N54" i="3"/>
  <c r="C54" i="3"/>
  <c r="P54" i="3"/>
  <c r="E54" i="3"/>
  <c r="G54" i="3"/>
  <c r="S54" i="3"/>
  <c r="Y54" i="3" s="1"/>
  <c r="Z54" i="3" s="1"/>
  <c r="AA54" i="3" s="1"/>
  <c r="H54" i="3"/>
  <c r="T54" i="3"/>
  <c r="J54" i="3"/>
  <c r="V54" i="3"/>
  <c r="D56" i="2"/>
  <c r="M55" i="2"/>
  <c r="J54" i="2"/>
  <c r="G54" i="2" s="1"/>
  <c r="L55" i="2"/>
  <c r="I54" i="2"/>
  <c r="F54" i="2" s="1"/>
  <c r="G54" i="4"/>
  <c r="L54" i="4" s="1"/>
  <c r="I54" i="4"/>
  <c r="M54" i="4" s="1"/>
  <c r="K54" i="4"/>
  <c r="N54" i="4" s="1"/>
  <c r="C56" i="2"/>
  <c r="C54" i="4"/>
  <c r="AB53" i="3"/>
  <c r="E54" i="4" s="1"/>
  <c r="E56" i="2" l="1"/>
  <c r="B56" i="3"/>
  <c r="D55" i="4"/>
  <c r="D57" i="2"/>
  <c r="C55" i="4"/>
  <c r="AB54" i="3"/>
  <c r="E55" i="4" s="1"/>
  <c r="G55" i="4"/>
  <c r="L55" i="4" s="1"/>
  <c r="I55" i="4"/>
  <c r="M55" i="4" s="1"/>
  <c r="K55" i="4"/>
  <c r="N55" i="4" s="1"/>
  <c r="N56" i="2"/>
  <c r="K55" i="2"/>
  <c r="H55" i="2" s="1"/>
  <c r="F54" i="3"/>
  <c r="D55" i="3"/>
  <c r="I53" i="3"/>
  <c r="F54" i="4" s="1"/>
  <c r="U53" i="3"/>
  <c r="J54" i="4" s="1"/>
  <c r="O53" i="3"/>
  <c r="H54" i="4" s="1"/>
  <c r="L56" i="2"/>
  <c r="I55" i="2"/>
  <c r="F55" i="2" s="1"/>
  <c r="A56" i="4"/>
  <c r="J55" i="3"/>
  <c r="V55" i="3"/>
  <c r="M55" i="3"/>
  <c r="N55" i="3"/>
  <c r="C55" i="3"/>
  <c r="P55" i="3"/>
  <c r="E55" i="3"/>
  <c r="G55" i="3"/>
  <c r="S55" i="3"/>
  <c r="Y55" i="3" s="1"/>
  <c r="Z55" i="3" s="1"/>
  <c r="AA55" i="3" s="1"/>
  <c r="H55" i="3"/>
  <c r="T55" i="3"/>
  <c r="M56" i="2"/>
  <c r="J55" i="2"/>
  <c r="G55" i="2" s="1"/>
  <c r="C57" i="2"/>
  <c r="E57" i="2" l="1"/>
  <c r="B57" i="3"/>
  <c r="D56" i="4"/>
  <c r="M57" i="2"/>
  <c r="J56" i="2"/>
  <c r="G56" i="2" s="1"/>
  <c r="L57" i="2"/>
  <c r="I56" i="2"/>
  <c r="F56" i="2" s="1"/>
  <c r="G56" i="4"/>
  <c r="L56" i="4" s="1"/>
  <c r="I56" i="4"/>
  <c r="M56" i="4" s="1"/>
  <c r="K56" i="4"/>
  <c r="N56" i="4" s="1"/>
  <c r="F55" i="3"/>
  <c r="D56" i="3"/>
  <c r="A57" i="4"/>
  <c r="G56" i="3"/>
  <c r="S56" i="3"/>
  <c r="Y56" i="3" s="1"/>
  <c r="Z56" i="3" s="1"/>
  <c r="AA56" i="3" s="1"/>
  <c r="H56" i="3"/>
  <c r="T56" i="3"/>
  <c r="J56" i="3"/>
  <c r="V56" i="3"/>
  <c r="M56" i="3"/>
  <c r="N56" i="3"/>
  <c r="C56" i="3"/>
  <c r="P56" i="3"/>
  <c r="E56" i="3"/>
  <c r="C58" i="2"/>
  <c r="O54" i="3"/>
  <c r="H55" i="4" s="1"/>
  <c r="I54" i="3"/>
  <c r="F55" i="4" s="1"/>
  <c r="U54" i="3"/>
  <c r="J55" i="4" s="1"/>
  <c r="D58" i="2"/>
  <c r="C56" i="4"/>
  <c r="AB55" i="3"/>
  <c r="E56" i="4" s="1"/>
  <c r="N57" i="2"/>
  <c r="K56" i="2"/>
  <c r="H56" i="2" s="1"/>
  <c r="E58" i="2" l="1"/>
  <c r="B58" i="3"/>
  <c r="D57" i="4"/>
  <c r="C57" i="4"/>
  <c r="AB56" i="3"/>
  <c r="E57" i="4" s="1"/>
  <c r="D59" i="2"/>
  <c r="C59" i="2"/>
  <c r="L58" i="2"/>
  <c r="I57" i="2"/>
  <c r="F57" i="2" s="1"/>
  <c r="N58" i="2"/>
  <c r="K57" i="2"/>
  <c r="H57" i="2" s="1"/>
  <c r="K57" i="4"/>
  <c r="N57" i="4" s="1"/>
  <c r="G57" i="4"/>
  <c r="L57" i="4" s="1"/>
  <c r="I57" i="4"/>
  <c r="M57" i="4" s="1"/>
  <c r="M58" i="2"/>
  <c r="J57" i="2"/>
  <c r="G57" i="2" s="1"/>
  <c r="A58" i="4"/>
  <c r="P57" i="3"/>
  <c r="E57" i="3"/>
  <c r="G57" i="3"/>
  <c r="S57" i="3"/>
  <c r="Y57" i="3" s="1"/>
  <c r="Z57" i="3" s="1"/>
  <c r="AA57" i="3" s="1"/>
  <c r="H57" i="3"/>
  <c r="T57" i="3"/>
  <c r="J57" i="3"/>
  <c r="V57" i="3"/>
  <c r="M57" i="3"/>
  <c r="C57" i="3"/>
  <c r="N57" i="3"/>
  <c r="D57" i="3"/>
  <c r="F56" i="3"/>
  <c r="O55" i="3"/>
  <c r="H56" i="4" s="1"/>
  <c r="I55" i="3"/>
  <c r="F56" i="4" s="1"/>
  <c r="U55" i="3"/>
  <c r="J56" i="4" s="1"/>
  <c r="E59" i="2" l="1"/>
  <c r="B59" i="3"/>
  <c r="D58" i="4"/>
  <c r="G58" i="4"/>
  <c r="L58" i="4" s="1"/>
  <c r="I58" i="4"/>
  <c r="M58" i="4" s="1"/>
  <c r="K58" i="4"/>
  <c r="N58" i="4" s="1"/>
  <c r="L59" i="2"/>
  <c r="I58" i="2"/>
  <c r="F58" i="2" s="1"/>
  <c r="F57" i="3"/>
  <c r="D58" i="3"/>
  <c r="C58" i="4"/>
  <c r="AB57" i="3"/>
  <c r="E58" i="4" s="1"/>
  <c r="J58" i="2"/>
  <c r="G58" i="2" s="1"/>
  <c r="M59" i="2"/>
  <c r="C60" i="2"/>
  <c r="D60" i="2"/>
  <c r="A59" i="4"/>
  <c r="M58" i="3"/>
  <c r="N58" i="3"/>
  <c r="C58" i="3"/>
  <c r="P58" i="3"/>
  <c r="E58" i="3"/>
  <c r="G58" i="3"/>
  <c r="S58" i="3"/>
  <c r="Y58" i="3" s="1"/>
  <c r="Z58" i="3" s="1"/>
  <c r="AA58" i="3" s="1"/>
  <c r="H58" i="3"/>
  <c r="T58" i="3"/>
  <c r="J58" i="3"/>
  <c r="V58" i="3"/>
  <c r="I56" i="3"/>
  <c r="F57" i="4" s="1"/>
  <c r="U56" i="3"/>
  <c r="J57" i="4" s="1"/>
  <c r="O56" i="3"/>
  <c r="H57" i="4" s="1"/>
  <c r="K58" i="2"/>
  <c r="H58" i="2" s="1"/>
  <c r="N59" i="2"/>
  <c r="E60" i="2" l="1"/>
  <c r="B60" i="3"/>
  <c r="D59" i="4"/>
  <c r="I59" i="4"/>
  <c r="M59" i="4" s="1"/>
  <c r="K59" i="4"/>
  <c r="N59" i="4" s="1"/>
  <c r="G59" i="4"/>
  <c r="L59" i="4" s="1"/>
  <c r="I57" i="3"/>
  <c r="F58" i="4" s="1"/>
  <c r="U57" i="3"/>
  <c r="J58" i="4" s="1"/>
  <c r="O57" i="3"/>
  <c r="H58" i="4" s="1"/>
  <c r="D61" i="2"/>
  <c r="L60" i="2"/>
  <c r="I59" i="2"/>
  <c r="F59" i="2" s="1"/>
  <c r="C61" i="2"/>
  <c r="C59" i="4"/>
  <c r="AB58" i="3"/>
  <c r="E59" i="4" s="1"/>
  <c r="A60" i="4"/>
  <c r="J59" i="3"/>
  <c r="V59" i="3"/>
  <c r="M59" i="3"/>
  <c r="N59" i="3"/>
  <c r="C59" i="3"/>
  <c r="P59" i="3"/>
  <c r="E59" i="3"/>
  <c r="G59" i="3"/>
  <c r="S59" i="3"/>
  <c r="Y59" i="3" s="1"/>
  <c r="Z59" i="3" s="1"/>
  <c r="AA59" i="3" s="1"/>
  <c r="H59" i="3"/>
  <c r="T59" i="3"/>
  <c r="N60" i="2"/>
  <c r="K59" i="2"/>
  <c r="H59" i="2" s="1"/>
  <c r="M60" i="2"/>
  <c r="J59" i="2"/>
  <c r="G59" i="2" s="1"/>
  <c r="F58" i="3"/>
  <c r="D59" i="3"/>
  <c r="E61" i="2" l="1"/>
  <c r="B61" i="3"/>
  <c r="D60" i="4"/>
  <c r="N61" i="2"/>
  <c r="K60" i="2"/>
  <c r="H60" i="2" s="1"/>
  <c r="K60" i="4"/>
  <c r="N60" i="4" s="1"/>
  <c r="G60" i="4"/>
  <c r="L60" i="4" s="1"/>
  <c r="I60" i="4"/>
  <c r="M60" i="4" s="1"/>
  <c r="A61" i="4"/>
  <c r="G60" i="3"/>
  <c r="S60" i="3"/>
  <c r="Y60" i="3" s="1"/>
  <c r="Z60" i="3" s="1"/>
  <c r="AA60" i="3" s="1"/>
  <c r="J60" i="3"/>
  <c r="V60" i="3"/>
  <c r="M60" i="3"/>
  <c r="N60" i="3"/>
  <c r="C60" i="3"/>
  <c r="P60" i="3"/>
  <c r="E60" i="3"/>
  <c r="H60" i="3"/>
  <c r="T60" i="3"/>
  <c r="C62" i="2"/>
  <c r="F59" i="3"/>
  <c r="D60" i="3"/>
  <c r="O58" i="3"/>
  <c r="H59" i="4" s="1"/>
  <c r="I58" i="3"/>
  <c r="F59" i="4" s="1"/>
  <c r="U58" i="3"/>
  <c r="J59" i="4" s="1"/>
  <c r="I60" i="2"/>
  <c r="F60" i="2" s="1"/>
  <c r="L61" i="2"/>
  <c r="M61" i="2"/>
  <c r="J60" i="2"/>
  <c r="G60" i="2" s="1"/>
  <c r="C60" i="4"/>
  <c r="AB59" i="3"/>
  <c r="E60" i="4" s="1"/>
  <c r="D62" i="2"/>
  <c r="E62" i="2" l="1"/>
  <c r="B62" i="3"/>
  <c r="D61" i="4"/>
  <c r="A62" i="4"/>
  <c r="P61" i="3"/>
  <c r="G61" i="3"/>
  <c r="S61" i="3"/>
  <c r="Y61" i="3" s="1"/>
  <c r="Z61" i="3" s="1"/>
  <c r="AA61" i="3" s="1"/>
  <c r="H61" i="3"/>
  <c r="T61" i="3"/>
  <c r="J61" i="3"/>
  <c r="V61" i="3"/>
  <c r="M61" i="3"/>
  <c r="N61" i="3"/>
  <c r="C61" i="3"/>
  <c r="E61" i="3"/>
  <c r="G61" i="4"/>
  <c r="L61" i="4" s="1"/>
  <c r="I61" i="4"/>
  <c r="M61" i="4" s="1"/>
  <c r="K61" i="4"/>
  <c r="N61" i="4" s="1"/>
  <c r="J61" i="2"/>
  <c r="G61" i="2" s="1"/>
  <c r="M62" i="2"/>
  <c r="L62" i="2"/>
  <c r="I61" i="2"/>
  <c r="F61" i="2" s="1"/>
  <c r="D63" i="2"/>
  <c r="D61" i="3"/>
  <c r="F60" i="3"/>
  <c r="C61" i="4"/>
  <c r="AB60" i="3"/>
  <c r="E61" i="4" s="1"/>
  <c r="O59" i="3"/>
  <c r="H60" i="4" s="1"/>
  <c r="I59" i="3"/>
  <c r="F60" i="4" s="1"/>
  <c r="U59" i="3"/>
  <c r="J60" i="4" s="1"/>
  <c r="N62" i="2"/>
  <c r="K61" i="2"/>
  <c r="H61" i="2" s="1"/>
  <c r="C63" i="2"/>
  <c r="E63" i="2" l="1"/>
  <c r="B63" i="3"/>
  <c r="D62" i="4"/>
  <c r="K62" i="2"/>
  <c r="H62" i="2" s="1"/>
  <c r="N63" i="2"/>
  <c r="L63" i="2"/>
  <c r="I62" i="2"/>
  <c r="F62" i="2" s="1"/>
  <c r="C62" i="4"/>
  <c r="AB61" i="3"/>
  <c r="E62" i="4" s="1"/>
  <c r="I60" i="3"/>
  <c r="F61" i="4" s="1"/>
  <c r="U60" i="3"/>
  <c r="J61" i="4" s="1"/>
  <c r="O60" i="3"/>
  <c r="H61" i="4" s="1"/>
  <c r="F61" i="3"/>
  <c r="D62" i="3"/>
  <c r="M63" i="2"/>
  <c r="J62" i="2"/>
  <c r="G62" i="2" s="1"/>
  <c r="C64" i="2"/>
  <c r="D64" i="2"/>
  <c r="I62" i="4"/>
  <c r="M62" i="4" s="1"/>
  <c r="K62" i="4"/>
  <c r="N62" i="4" s="1"/>
  <c r="G62" i="4"/>
  <c r="L62" i="4" s="1"/>
  <c r="A63" i="4"/>
  <c r="M62" i="3"/>
  <c r="C62" i="3"/>
  <c r="P62" i="3"/>
  <c r="E62" i="3"/>
  <c r="G62" i="3"/>
  <c r="S62" i="3"/>
  <c r="Y62" i="3" s="1"/>
  <c r="Z62" i="3" s="1"/>
  <c r="AA62" i="3" s="1"/>
  <c r="H62" i="3"/>
  <c r="T62" i="3"/>
  <c r="J62" i="3"/>
  <c r="V62" i="3"/>
  <c r="N62" i="3"/>
  <c r="E64" i="2" l="1"/>
  <c r="B64" i="3"/>
  <c r="D63" i="4"/>
  <c r="A64" i="4"/>
  <c r="J63" i="3"/>
  <c r="V63" i="3"/>
  <c r="M63" i="3"/>
  <c r="N63" i="3"/>
  <c r="C63" i="3"/>
  <c r="P63" i="3"/>
  <c r="E63" i="3"/>
  <c r="G63" i="3"/>
  <c r="S63" i="3"/>
  <c r="Y63" i="3" s="1"/>
  <c r="Z63" i="3" s="1"/>
  <c r="AA63" i="3" s="1"/>
  <c r="H63" i="3"/>
  <c r="T63" i="3"/>
  <c r="D65" i="2"/>
  <c r="I61" i="3"/>
  <c r="F62" i="4" s="1"/>
  <c r="U61" i="3"/>
  <c r="J62" i="4" s="1"/>
  <c r="O61" i="3"/>
  <c r="H62" i="4" s="1"/>
  <c r="C63" i="4"/>
  <c r="AB62" i="3"/>
  <c r="E63" i="4" s="1"/>
  <c r="L64" i="2"/>
  <c r="I63" i="2"/>
  <c r="F63" i="2" s="1"/>
  <c r="G63" i="4"/>
  <c r="L63" i="4" s="1"/>
  <c r="I63" i="4"/>
  <c r="M63" i="4" s="1"/>
  <c r="K63" i="4"/>
  <c r="N63" i="4" s="1"/>
  <c r="C65" i="2"/>
  <c r="K63" i="2"/>
  <c r="H63" i="2" s="1"/>
  <c r="N64" i="2"/>
  <c r="M64" i="2"/>
  <c r="J63" i="2"/>
  <c r="G63" i="2" s="1"/>
  <c r="F62" i="3"/>
  <c r="D63" i="3"/>
  <c r="E65" i="2" l="1"/>
  <c r="B65" i="3"/>
  <c r="D64" i="4"/>
  <c r="N65" i="2"/>
  <c r="K64" i="2"/>
  <c r="H64" i="2" s="1"/>
  <c r="I64" i="2"/>
  <c r="F64" i="2" s="1"/>
  <c r="L65" i="2"/>
  <c r="A65" i="4"/>
  <c r="G64" i="3"/>
  <c r="S64" i="3"/>
  <c r="Y64" i="3" s="1"/>
  <c r="Z64" i="3" s="1"/>
  <c r="AA64" i="3" s="1"/>
  <c r="J64" i="3"/>
  <c r="V64" i="3"/>
  <c r="M64" i="3"/>
  <c r="N64" i="3"/>
  <c r="C64" i="3"/>
  <c r="P64" i="3"/>
  <c r="T64" i="3"/>
  <c r="E64" i="3"/>
  <c r="H64" i="3"/>
  <c r="D66" i="2"/>
  <c r="C64" i="4"/>
  <c r="AB63" i="3"/>
  <c r="E64" i="4" s="1"/>
  <c r="C66" i="2"/>
  <c r="F63" i="3"/>
  <c r="D64" i="3"/>
  <c r="O62" i="3"/>
  <c r="H63" i="4" s="1"/>
  <c r="I62" i="3"/>
  <c r="F63" i="4" s="1"/>
  <c r="U62" i="3"/>
  <c r="J63" i="4" s="1"/>
  <c r="G64" i="4"/>
  <c r="L64" i="4" s="1"/>
  <c r="I64" i="4"/>
  <c r="M64" i="4" s="1"/>
  <c r="K64" i="4"/>
  <c r="N64" i="4" s="1"/>
  <c r="J64" i="2"/>
  <c r="G64" i="2" s="1"/>
  <c r="M65" i="2"/>
  <c r="E66" i="2" l="1"/>
  <c r="B66" i="3"/>
  <c r="D65" i="4"/>
  <c r="C65" i="4"/>
  <c r="AB64" i="3"/>
  <c r="E65" i="4" s="1"/>
  <c r="D67" i="2"/>
  <c r="G65" i="4"/>
  <c r="L65" i="4" s="1"/>
  <c r="I65" i="4"/>
  <c r="M65" i="4" s="1"/>
  <c r="K65" i="4"/>
  <c r="N65" i="4" s="1"/>
  <c r="I65" i="2"/>
  <c r="F65" i="2" s="1"/>
  <c r="L66" i="2"/>
  <c r="A66" i="4"/>
  <c r="P65" i="3"/>
  <c r="G65" i="3"/>
  <c r="S65" i="3"/>
  <c r="Y65" i="3" s="1"/>
  <c r="Z65" i="3" s="1"/>
  <c r="AA65" i="3" s="1"/>
  <c r="H65" i="3"/>
  <c r="T65" i="3"/>
  <c r="J65" i="3"/>
  <c r="V65" i="3"/>
  <c r="M65" i="3"/>
  <c r="C65" i="3"/>
  <c r="E65" i="3"/>
  <c r="N65" i="3"/>
  <c r="J65" i="2"/>
  <c r="G65" i="2" s="1"/>
  <c r="M66" i="2"/>
  <c r="O63" i="3"/>
  <c r="H64" i="4" s="1"/>
  <c r="I63" i="3"/>
  <c r="F64" i="4" s="1"/>
  <c r="U63" i="3"/>
  <c r="J64" i="4" s="1"/>
  <c r="D65" i="3"/>
  <c r="F64" i="3"/>
  <c r="N66" i="2"/>
  <c r="K65" i="2"/>
  <c r="H65" i="2" s="1"/>
  <c r="C67" i="2"/>
  <c r="E67" i="2" l="1"/>
  <c r="B67" i="3"/>
  <c r="D66" i="4"/>
  <c r="I64" i="3"/>
  <c r="F65" i="4" s="1"/>
  <c r="U64" i="3"/>
  <c r="J65" i="4" s="1"/>
  <c r="O64" i="3"/>
  <c r="H65" i="4" s="1"/>
  <c r="C66" i="4"/>
  <c r="AB65" i="3"/>
  <c r="E66" i="4" s="1"/>
  <c r="F65" i="3"/>
  <c r="D66" i="3"/>
  <c r="J66" i="2"/>
  <c r="G66" i="2" s="1"/>
  <c r="M67" i="2"/>
  <c r="K66" i="2"/>
  <c r="H66" i="2" s="1"/>
  <c r="N67" i="2"/>
  <c r="D68" i="2"/>
  <c r="G66" i="4"/>
  <c r="L66" i="4" s="1"/>
  <c r="I66" i="4"/>
  <c r="M66" i="4" s="1"/>
  <c r="K66" i="4"/>
  <c r="N66" i="4" s="1"/>
  <c r="C68" i="2"/>
  <c r="I66" i="2"/>
  <c r="F66" i="2" s="1"/>
  <c r="L67" i="2"/>
  <c r="A67" i="4"/>
  <c r="M66" i="3"/>
  <c r="C66" i="3"/>
  <c r="P66" i="3"/>
  <c r="E66" i="3"/>
  <c r="G66" i="3"/>
  <c r="S66" i="3"/>
  <c r="Y66" i="3" s="1"/>
  <c r="Z66" i="3" s="1"/>
  <c r="AA66" i="3" s="1"/>
  <c r="H66" i="3"/>
  <c r="T66" i="3"/>
  <c r="J66" i="3"/>
  <c r="V66" i="3"/>
  <c r="N66" i="3"/>
  <c r="E68" i="2" l="1"/>
  <c r="B68" i="3"/>
  <c r="D67" i="4"/>
  <c r="M68" i="2"/>
  <c r="J67" i="2"/>
  <c r="G67" i="2" s="1"/>
  <c r="A68" i="4"/>
  <c r="J67" i="3"/>
  <c r="V67" i="3"/>
  <c r="M67" i="3"/>
  <c r="N67" i="3"/>
  <c r="C67" i="3"/>
  <c r="P67" i="3"/>
  <c r="E67" i="3"/>
  <c r="G67" i="3"/>
  <c r="S67" i="3"/>
  <c r="Y67" i="3" s="1"/>
  <c r="Z67" i="3" s="1"/>
  <c r="AA67" i="3" s="1"/>
  <c r="T67" i="3"/>
  <c r="H67" i="3"/>
  <c r="F66" i="3"/>
  <c r="D67" i="3"/>
  <c r="I65" i="3"/>
  <c r="F66" i="4" s="1"/>
  <c r="U65" i="3"/>
  <c r="J66" i="4" s="1"/>
  <c r="O65" i="3"/>
  <c r="H66" i="4" s="1"/>
  <c r="C67" i="4"/>
  <c r="AB66" i="3"/>
  <c r="E67" i="4" s="1"/>
  <c r="G67" i="4"/>
  <c r="L67" i="4" s="1"/>
  <c r="I67" i="4"/>
  <c r="M67" i="4" s="1"/>
  <c r="K67" i="4"/>
  <c r="N67" i="4" s="1"/>
  <c r="L68" i="2"/>
  <c r="I67" i="2"/>
  <c r="F67" i="2" s="1"/>
  <c r="D69" i="2"/>
  <c r="C69" i="2"/>
  <c r="N68" i="2"/>
  <c r="K67" i="2"/>
  <c r="H67" i="2" s="1"/>
  <c r="E69" i="2" l="1"/>
  <c r="B69" i="3"/>
  <c r="D68" i="4"/>
  <c r="D70" i="2"/>
  <c r="C68" i="4"/>
  <c r="AB67" i="3"/>
  <c r="E68" i="4" s="1"/>
  <c r="I68" i="2"/>
  <c r="F68" i="2" s="1"/>
  <c r="L69" i="2"/>
  <c r="F67" i="3"/>
  <c r="D68" i="3"/>
  <c r="O66" i="3"/>
  <c r="H67" i="4" s="1"/>
  <c r="I66" i="3"/>
  <c r="F67" i="4" s="1"/>
  <c r="U66" i="3"/>
  <c r="J67" i="4" s="1"/>
  <c r="G68" i="4"/>
  <c r="L68" i="4" s="1"/>
  <c r="I68" i="4"/>
  <c r="M68" i="4" s="1"/>
  <c r="K68" i="4"/>
  <c r="N68" i="4" s="1"/>
  <c r="K68" i="2"/>
  <c r="H68" i="2" s="1"/>
  <c r="N69" i="2"/>
  <c r="M69" i="2"/>
  <c r="J68" i="2"/>
  <c r="G68" i="2" s="1"/>
  <c r="C70" i="2"/>
  <c r="E70" i="2" s="1"/>
  <c r="A69" i="4"/>
  <c r="G68" i="3"/>
  <c r="S68" i="3"/>
  <c r="Y68" i="3" s="1"/>
  <c r="Z68" i="3" s="1"/>
  <c r="AA68" i="3" s="1"/>
  <c r="J68" i="3"/>
  <c r="V68" i="3"/>
  <c r="M68" i="3"/>
  <c r="N68" i="3"/>
  <c r="C68" i="3"/>
  <c r="P68" i="3"/>
  <c r="T68" i="3"/>
  <c r="E68" i="3"/>
  <c r="H68" i="3"/>
  <c r="B70" i="3" l="1"/>
  <c r="D69" i="4"/>
  <c r="D69" i="3"/>
  <c r="F68" i="3"/>
  <c r="K69" i="2"/>
  <c r="H69" i="2" s="1"/>
  <c r="N70" i="2"/>
  <c r="O67" i="3"/>
  <c r="H68" i="4" s="1"/>
  <c r="I67" i="3"/>
  <c r="F68" i="4" s="1"/>
  <c r="U67" i="3"/>
  <c r="J68" i="4" s="1"/>
  <c r="J69" i="2"/>
  <c r="G69" i="2" s="1"/>
  <c r="M70" i="2"/>
  <c r="C69" i="4"/>
  <c r="AB68" i="3"/>
  <c r="E69" i="4" s="1"/>
  <c r="L70" i="2"/>
  <c r="I69" i="2"/>
  <c r="F69" i="2" s="1"/>
  <c r="D71" i="2"/>
  <c r="K69" i="4"/>
  <c r="N69" i="4" s="1"/>
  <c r="G69" i="4"/>
  <c r="L69" i="4" s="1"/>
  <c r="I69" i="4"/>
  <c r="M69" i="4" s="1"/>
  <c r="C71" i="2"/>
  <c r="A70" i="4"/>
  <c r="P69" i="3"/>
  <c r="G69" i="3"/>
  <c r="S69" i="3"/>
  <c r="Y69" i="3" s="1"/>
  <c r="Z69" i="3" s="1"/>
  <c r="AA69" i="3" s="1"/>
  <c r="H69" i="3"/>
  <c r="T69" i="3"/>
  <c r="J69" i="3"/>
  <c r="V69" i="3"/>
  <c r="M69" i="3"/>
  <c r="C69" i="3"/>
  <c r="E69" i="3"/>
  <c r="N69" i="3"/>
  <c r="E71" i="2" l="1"/>
  <c r="B71" i="3"/>
  <c r="D70" i="4"/>
  <c r="J70" i="2"/>
  <c r="G70" i="2" s="1"/>
  <c r="M71" i="2"/>
  <c r="K70" i="2"/>
  <c r="H70" i="2" s="1"/>
  <c r="N71" i="2"/>
  <c r="C70" i="4"/>
  <c r="AB69" i="3"/>
  <c r="E70" i="4" s="1"/>
  <c r="G70" i="4"/>
  <c r="L70" i="4" s="1"/>
  <c r="I70" i="4"/>
  <c r="M70" i="4" s="1"/>
  <c r="K70" i="4"/>
  <c r="N70" i="4" s="1"/>
  <c r="D72" i="2"/>
  <c r="I68" i="3"/>
  <c r="F69" i="4" s="1"/>
  <c r="U68" i="3"/>
  <c r="J69" i="4" s="1"/>
  <c r="O68" i="3"/>
  <c r="H69" i="4" s="1"/>
  <c r="F69" i="3"/>
  <c r="D70" i="3"/>
  <c r="I70" i="2"/>
  <c r="F70" i="2" s="1"/>
  <c r="L71" i="2"/>
  <c r="A71" i="4"/>
  <c r="M70" i="3"/>
  <c r="C70" i="3"/>
  <c r="P70" i="3"/>
  <c r="E70" i="3"/>
  <c r="G70" i="3"/>
  <c r="S70" i="3"/>
  <c r="Y70" i="3" s="1"/>
  <c r="Z70" i="3" s="1"/>
  <c r="AA70" i="3" s="1"/>
  <c r="H70" i="3"/>
  <c r="J70" i="3"/>
  <c r="V70" i="3"/>
  <c r="N70" i="3"/>
  <c r="T70" i="3"/>
  <c r="C72" i="2"/>
  <c r="E72" i="2" l="1"/>
  <c r="B72" i="3"/>
  <c r="D71" i="4"/>
  <c r="F70" i="3"/>
  <c r="D71" i="3"/>
  <c r="I71" i="2"/>
  <c r="F71" i="2" s="1"/>
  <c r="L72" i="2"/>
  <c r="I69" i="3"/>
  <c r="F70" i="4" s="1"/>
  <c r="U69" i="3"/>
  <c r="J70" i="4" s="1"/>
  <c r="O69" i="3"/>
  <c r="H70" i="4" s="1"/>
  <c r="A72" i="4"/>
  <c r="J71" i="3"/>
  <c r="V71" i="3"/>
  <c r="M71" i="3"/>
  <c r="N71" i="3"/>
  <c r="C71" i="3"/>
  <c r="P71" i="3"/>
  <c r="G71" i="3"/>
  <c r="S71" i="3"/>
  <c r="Y71" i="3" s="1"/>
  <c r="Z71" i="3" s="1"/>
  <c r="AA71" i="3" s="1"/>
  <c r="T71" i="3"/>
  <c r="E71" i="3"/>
  <c r="H71" i="3"/>
  <c r="N72" i="2"/>
  <c r="K71" i="2"/>
  <c r="H71" i="2" s="1"/>
  <c r="D73" i="2"/>
  <c r="C73" i="2"/>
  <c r="J71" i="2"/>
  <c r="G71" i="2" s="1"/>
  <c r="M72" i="2"/>
  <c r="C71" i="4"/>
  <c r="AB70" i="3"/>
  <c r="E71" i="4" s="1"/>
  <c r="I71" i="4"/>
  <c r="M71" i="4" s="1"/>
  <c r="K71" i="4"/>
  <c r="N71" i="4" s="1"/>
  <c r="G71" i="4"/>
  <c r="L71" i="4" s="1"/>
  <c r="E73" i="2" l="1"/>
  <c r="B73" i="3"/>
  <c r="D72" i="4"/>
  <c r="K72" i="4"/>
  <c r="N72" i="4" s="1"/>
  <c r="G72" i="4"/>
  <c r="L72" i="4" s="1"/>
  <c r="I72" i="4"/>
  <c r="M72" i="4" s="1"/>
  <c r="M73" i="2"/>
  <c r="J72" i="2"/>
  <c r="G72" i="2" s="1"/>
  <c r="A73" i="4"/>
  <c r="G72" i="3"/>
  <c r="S72" i="3"/>
  <c r="Y72" i="3" s="1"/>
  <c r="Z72" i="3" s="1"/>
  <c r="AA72" i="3" s="1"/>
  <c r="J72" i="3"/>
  <c r="V72" i="3"/>
  <c r="M72" i="3"/>
  <c r="C72" i="3"/>
  <c r="P72" i="3"/>
  <c r="T72" i="3"/>
  <c r="E72" i="3"/>
  <c r="H72" i="3"/>
  <c r="N72" i="3"/>
  <c r="I72" i="2"/>
  <c r="F72" i="2" s="1"/>
  <c r="L73" i="2"/>
  <c r="C74" i="2"/>
  <c r="F71" i="3"/>
  <c r="D72" i="3"/>
  <c r="D74" i="2"/>
  <c r="O70" i="3"/>
  <c r="H71" i="4" s="1"/>
  <c r="I70" i="3"/>
  <c r="F71" i="4" s="1"/>
  <c r="U70" i="3"/>
  <c r="J71" i="4" s="1"/>
  <c r="N73" i="2"/>
  <c r="K72" i="2"/>
  <c r="H72" i="2" s="1"/>
  <c r="C72" i="4"/>
  <c r="AB71" i="3"/>
  <c r="E72" i="4" s="1"/>
  <c r="E74" i="2" l="1"/>
  <c r="B74" i="3"/>
  <c r="D73" i="4"/>
  <c r="D75" i="2"/>
  <c r="J73" i="2"/>
  <c r="G73" i="2" s="1"/>
  <c r="M74" i="2"/>
  <c r="A74" i="4"/>
  <c r="P73" i="3"/>
  <c r="G73" i="3"/>
  <c r="S73" i="3"/>
  <c r="Y73" i="3" s="1"/>
  <c r="Z73" i="3" s="1"/>
  <c r="AA73" i="3" s="1"/>
  <c r="H73" i="3"/>
  <c r="T73" i="3"/>
  <c r="J73" i="3"/>
  <c r="V73" i="3"/>
  <c r="M73" i="3"/>
  <c r="C73" i="3"/>
  <c r="E73" i="3"/>
  <c r="N73" i="3"/>
  <c r="D73" i="3"/>
  <c r="F72" i="3"/>
  <c r="O71" i="3"/>
  <c r="H72" i="4" s="1"/>
  <c r="U71" i="3"/>
  <c r="J72" i="4" s="1"/>
  <c r="I71" i="3"/>
  <c r="F72" i="4" s="1"/>
  <c r="C75" i="2"/>
  <c r="E75" i="2" s="1"/>
  <c r="C73" i="4"/>
  <c r="AB72" i="3"/>
  <c r="E73" i="4" s="1"/>
  <c r="G73" i="4"/>
  <c r="L73" i="4" s="1"/>
  <c r="I73" i="4"/>
  <c r="M73" i="4" s="1"/>
  <c r="K73" i="4"/>
  <c r="N73" i="4" s="1"/>
  <c r="K73" i="2"/>
  <c r="H73" i="2" s="1"/>
  <c r="N74" i="2"/>
  <c r="L74" i="2"/>
  <c r="I73" i="2"/>
  <c r="F73" i="2" s="1"/>
  <c r="B75" i="3" l="1"/>
  <c r="D74" i="4"/>
  <c r="F73" i="3"/>
  <c r="D74" i="3"/>
  <c r="I74" i="4"/>
  <c r="M74" i="4" s="1"/>
  <c r="K74" i="4"/>
  <c r="N74" i="4" s="1"/>
  <c r="G74" i="4"/>
  <c r="L74" i="4" s="1"/>
  <c r="I72" i="3"/>
  <c r="F73" i="4" s="1"/>
  <c r="U72" i="3"/>
  <c r="J73" i="4" s="1"/>
  <c r="O72" i="3"/>
  <c r="H73" i="4" s="1"/>
  <c r="M75" i="2"/>
  <c r="J74" i="2"/>
  <c r="G74" i="2" s="1"/>
  <c r="A75" i="4"/>
  <c r="M74" i="3"/>
  <c r="C74" i="3"/>
  <c r="P74" i="3"/>
  <c r="E74" i="3"/>
  <c r="G74" i="3"/>
  <c r="S74" i="3"/>
  <c r="Y74" i="3" s="1"/>
  <c r="Z74" i="3" s="1"/>
  <c r="AA74" i="3" s="1"/>
  <c r="J74" i="3"/>
  <c r="V74" i="3"/>
  <c r="H74" i="3"/>
  <c r="N74" i="3"/>
  <c r="T74" i="3"/>
  <c r="D76" i="2"/>
  <c r="C76" i="2"/>
  <c r="C74" i="4"/>
  <c r="AB73" i="3"/>
  <c r="E74" i="4" s="1"/>
  <c r="I74" i="2"/>
  <c r="F74" i="2" s="1"/>
  <c r="L75" i="2"/>
  <c r="K74" i="2"/>
  <c r="H74" i="2" s="1"/>
  <c r="N75" i="2"/>
  <c r="E76" i="2" l="1"/>
  <c r="B76" i="3"/>
  <c r="D75" i="4"/>
  <c r="C77" i="2"/>
  <c r="D77" i="2"/>
  <c r="C75" i="4"/>
  <c r="AB74" i="3"/>
  <c r="E75" i="4" s="1"/>
  <c r="K75" i="2"/>
  <c r="H75" i="2" s="1"/>
  <c r="N76" i="2"/>
  <c r="G75" i="4"/>
  <c r="L75" i="4" s="1"/>
  <c r="I75" i="4"/>
  <c r="M75" i="4" s="1"/>
  <c r="K75" i="4"/>
  <c r="N75" i="4" s="1"/>
  <c r="F74" i="3"/>
  <c r="D75" i="3"/>
  <c r="I73" i="3"/>
  <c r="F74" i="4" s="1"/>
  <c r="U73" i="3"/>
  <c r="J74" i="4" s="1"/>
  <c r="O73" i="3"/>
  <c r="H74" i="4" s="1"/>
  <c r="I75" i="2"/>
  <c r="F75" i="2" s="1"/>
  <c r="L76" i="2"/>
  <c r="J75" i="2"/>
  <c r="G75" i="2" s="1"/>
  <c r="M76" i="2"/>
  <c r="A76" i="4"/>
  <c r="J75" i="3"/>
  <c r="V75" i="3"/>
  <c r="M75" i="3"/>
  <c r="C75" i="3"/>
  <c r="P75" i="3"/>
  <c r="G75" i="3"/>
  <c r="S75" i="3"/>
  <c r="Y75" i="3" s="1"/>
  <c r="Z75" i="3" s="1"/>
  <c r="AA75" i="3" s="1"/>
  <c r="E75" i="3"/>
  <c r="H75" i="3"/>
  <c r="N75" i="3"/>
  <c r="T75" i="3"/>
  <c r="E77" i="2" l="1"/>
  <c r="B77" i="3"/>
  <c r="D76" i="4"/>
  <c r="N77" i="2"/>
  <c r="K76" i="2"/>
  <c r="H76" i="2" s="1"/>
  <c r="F75" i="3"/>
  <c r="D76" i="3"/>
  <c r="D78" i="2"/>
  <c r="C76" i="4"/>
  <c r="AB75" i="3"/>
  <c r="E76" i="4" s="1"/>
  <c r="O74" i="3"/>
  <c r="H75" i="4" s="1"/>
  <c r="I74" i="3"/>
  <c r="F75" i="4" s="1"/>
  <c r="U74" i="3"/>
  <c r="J75" i="4" s="1"/>
  <c r="C78" i="2"/>
  <c r="A77" i="4"/>
  <c r="G76" i="3"/>
  <c r="S76" i="3"/>
  <c r="Y76" i="3" s="1"/>
  <c r="Z76" i="3" s="1"/>
  <c r="AA76" i="3" s="1"/>
  <c r="J76" i="3"/>
  <c r="V76" i="3"/>
  <c r="M76" i="3"/>
  <c r="C76" i="3"/>
  <c r="P76" i="3"/>
  <c r="E76" i="3"/>
  <c r="H76" i="3"/>
  <c r="N76" i="3"/>
  <c r="T76" i="3"/>
  <c r="G76" i="4"/>
  <c r="L76" i="4" s="1"/>
  <c r="I76" i="4"/>
  <c r="M76" i="4" s="1"/>
  <c r="K76" i="4"/>
  <c r="N76" i="4" s="1"/>
  <c r="M77" i="2"/>
  <c r="J76" i="2"/>
  <c r="G76" i="2" s="1"/>
  <c r="L77" i="2"/>
  <c r="I76" i="2"/>
  <c r="F76" i="2" s="1"/>
  <c r="E78" i="2" l="1"/>
  <c r="B78" i="3"/>
  <c r="D77" i="4"/>
  <c r="D79" i="2"/>
  <c r="C77" i="4"/>
  <c r="AB76" i="3"/>
  <c r="E77" i="4" s="1"/>
  <c r="A78" i="4"/>
  <c r="P77" i="3"/>
  <c r="G77" i="3"/>
  <c r="S77" i="3"/>
  <c r="Y77" i="3" s="1"/>
  <c r="Z77" i="3" s="1"/>
  <c r="AA77" i="3" s="1"/>
  <c r="J77" i="3"/>
  <c r="V77" i="3"/>
  <c r="M77" i="3"/>
  <c r="C77" i="3"/>
  <c r="E77" i="3"/>
  <c r="H77" i="3"/>
  <c r="N77" i="3"/>
  <c r="T77" i="3"/>
  <c r="G77" i="4"/>
  <c r="L77" i="4" s="1"/>
  <c r="I77" i="4"/>
  <c r="M77" i="4" s="1"/>
  <c r="K77" i="4"/>
  <c r="N77" i="4" s="1"/>
  <c r="D77" i="3"/>
  <c r="F76" i="3"/>
  <c r="O75" i="3"/>
  <c r="H76" i="4" s="1"/>
  <c r="I75" i="3"/>
  <c r="F76" i="4" s="1"/>
  <c r="U75" i="3"/>
  <c r="J76" i="4" s="1"/>
  <c r="I77" i="2"/>
  <c r="F77" i="2" s="1"/>
  <c r="L78" i="2"/>
  <c r="C79" i="2"/>
  <c r="E79" i="2" s="1"/>
  <c r="N78" i="2"/>
  <c r="K77" i="2"/>
  <c r="H77" i="2" s="1"/>
  <c r="J77" i="2"/>
  <c r="G77" i="2" s="1"/>
  <c r="M78" i="2"/>
  <c r="B79" i="3" l="1"/>
  <c r="D78" i="4"/>
  <c r="C80" i="2"/>
  <c r="G78" i="4"/>
  <c r="L78" i="4" s="1"/>
  <c r="I78" i="4"/>
  <c r="M78" i="4" s="1"/>
  <c r="K78" i="4"/>
  <c r="N78" i="4" s="1"/>
  <c r="L79" i="2"/>
  <c r="I78" i="2"/>
  <c r="F78" i="2" s="1"/>
  <c r="A79" i="4"/>
  <c r="M78" i="3"/>
  <c r="C78" i="3"/>
  <c r="P78" i="3"/>
  <c r="G78" i="3"/>
  <c r="S78" i="3"/>
  <c r="Y78" i="3" s="1"/>
  <c r="Z78" i="3" s="1"/>
  <c r="AA78" i="3" s="1"/>
  <c r="J78" i="3"/>
  <c r="V78" i="3"/>
  <c r="E78" i="3"/>
  <c r="H78" i="3"/>
  <c r="N78" i="3"/>
  <c r="T78" i="3"/>
  <c r="D80" i="2"/>
  <c r="M79" i="2"/>
  <c r="J78" i="2"/>
  <c r="G78" i="2" s="1"/>
  <c r="I76" i="3"/>
  <c r="F77" i="4" s="1"/>
  <c r="U76" i="3"/>
  <c r="J77" i="4" s="1"/>
  <c r="O76" i="3"/>
  <c r="H77" i="4" s="1"/>
  <c r="F77" i="3"/>
  <c r="D78" i="3"/>
  <c r="C78" i="4"/>
  <c r="AB77" i="3"/>
  <c r="E78" i="4" s="1"/>
  <c r="N79" i="2"/>
  <c r="K78" i="2"/>
  <c r="H78" i="2" s="1"/>
  <c r="E80" i="2" l="1"/>
  <c r="B80" i="3"/>
  <c r="D79" i="4"/>
  <c r="F78" i="3"/>
  <c r="D79" i="3"/>
  <c r="L80" i="2"/>
  <c r="I79" i="2"/>
  <c r="F79" i="2" s="1"/>
  <c r="A80" i="4"/>
  <c r="J79" i="3"/>
  <c r="V79" i="3"/>
  <c r="M79" i="3"/>
  <c r="C79" i="3"/>
  <c r="P79" i="3"/>
  <c r="G79" i="3"/>
  <c r="S79" i="3"/>
  <c r="Y79" i="3" s="1"/>
  <c r="Z79" i="3" s="1"/>
  <c r="AA79" i="3" s="1"/>
  <c r="E79" i="3"/>
  <c r="H79" i="3"/>
  <c r="N79" i="3"/>
  <c r="T79" i="3"/>
  <c r="I77" i="3"/>
  <c r="F78" i="4" s="1"/>
  <c r="U77" i="3"/>
  <c r="J78" i="4" s="1"/>
  <c r="O77" i="3"/>
  <c r="H78" i="4" s="1"/>
  <c r="J79" i="2"/>
  <c r="G79" i="2" s="1"/>
  <c r="M80" i="2"/>
  <c r="C81" i="2"/>
  <c r="K79" i="2"/>
  <c r="H79" i="2" s="1"/>
  <c r="N80" i="2"/>
  <c r="D81" i="2"/>
  <c r="C79" i="4"/>
  <c r="AB78" i="3"/>
  <c r="E79" i="4" s="1"/>
  <c r="G79" i="4"/>
  <c r="L79" i="4" s="1"/>
  <c r="I79" i="4"/>
  <c r="M79" i="4" s="1"/>
  <c r="K79" i="4"/>
  <c r="N79" i="4" s="1"/>
  <c r="E81" i="2" l="1"/>
  <c r="B81" i="3"/>
  <c r="D80" i="4"/>
  <c r="M81" i="2"/>
  <c r="J80" i="2"/>
  <c r="G80" i="2" s="1"/>
  <c r="G80" i="4"/>
  <c r="L80" i="4" s="1"/>
  <c r="I80" i="4"/>
  <c r="M80" i="4" s="1"/>
  <c r="K80" i="4"/>
  <c r="N80" i="4" s="1"/>
  <c r="D82" i="2"/>
  <c r="N81" i="2"/>
  <c r="K80" i="2"/>
  <c r="H80" i="2" s="1"/>
  <c r="L81" i="2"/>
  <c r="I80" i="2"/>
  <c r="F80" i="2" s="1"/>
  <c r="C80" i="4"/>
  <c r="AB79" i="3"/>
  <c r="E80" i="4" s="1"/>
  <c r="A81" i="4"/>
  <c r="G80" i="3"/>
  <c r="S80" i="3"/>
  <c r="Y80" i="3" s="1"/>
  <c r="Z80" i="3" s="1"/>
  <c r="AA80" i="3" s="1"/>
  <c r="J80" i="3"/>
  <c r="V80" i="3"/>
  <c r="M80" i="3"/>
  <c r="P80" i="3"/>
  <c r="T80" i="3"/>
  <c r="C80" i="3"/>
  <c r="E80" i="3"/>
  <c r="H80" i="3"/>
  <c r="N80" i="3"/>
  <c r="D80" i="3"/>
  <c r="F79" i="3"/>
  <c r="C82" i="2"/>
  <c r="E82" i="2" s="1"/>
  <c r="O78" i="3"/>
  <c r="H79" i="4" s="1"/>
  <c r="I78" i="3"/>
  <c r="F79" i="4" s="1"/>
  <c r="U78" i="3"/>
  <c r="J79" i="4" s="1"/>
  <c r="B82" i="3" l="1"/>
  <c r="D81" i="4"/>
  <c r="D81" i="3"/>
  <c r="F80" i="3"/>
  <c r="D83" i="2"/>
  <c r="K81" i="4"/>
  <c r="N81" i="4" s="1"/>
  <c r="G81" i="4"/>
  <c r="L81" i="4" s="1"/>
  <c r="I81" i="4"/>
  <c r="M81" i="4" s="1"/>
  <c r="A82" i="4"/>
  <c r="P81" i="3"/>
  <c r="G81" i="3"/>
  <c r="S81" i="3"/>
  <c r="Y81" i="3" s="1"/>
  <c r="Z81" i="3" s="1"/>
  <c r="AA81" i="3" s="1"/>
  <c r="J81" i="3"/>
  <c r="V81" i="3"/>
  <c r="M81" i="3"/>
  <c r="T81" i="3"/>
  <c r="C81" i="3"/>
  <c r="E81" i="3"/>
  <c r="H81" i="3"/>
  <c r="N81" i="3"/>
  <c r="L82" i="2"/>
  <c r="I81" i="2"/>
  <c r="F81" i="2" s="1"/>
  <c r="M82" i="2"/>
  <c r="J81" i="2"/>
  <c r="G81" i="2" s="1"/>
  <c r="K81" i="2"/>
  <c r="H81" i="2" s="1"/>
  <c r="N82" i="2"/>
  <c r="O79" i="3"/>
  <c r="H80" i="4" s="1"/>
  <c r="U79" i="3"/>
  <c r="J80" i="4" s="1"/>
  <c r="I79" i="3"/>
  <c r="F80" i="4" s="1"/>
  <c r="C83" i="2"/>
  <c r="E83" i="2" s="1"/>
  <c r="C81" i="4"/>
  <c r="AB80" i="3"/>
  <c r="E81" i="4" s="1"/>
  <c r="B83" i="3" l="1"/>
  <c r="D82" i="4"/>
  <c r="A83" i="4"/>
  <c r="M82" i="3"/>
  <c r="C82" i="3"/>
  <c r="P82" i="3"/>
  <c r="G82" i="3"/>
  <c r="S82" i="3"/>
  <c r="Y82" i="3" s="1"/>
  <c r="Z82" i="3" s="1"/>
  <c r="AA82" i="3" s="1"/>
  <c r="J82" i="3"/>
  <c r="V82" i="3"/>
  <c r="N82" i="3"/>
  <c r="T82" i="3"/>
  <c r="E82" i="3"/>
  <c r="H82" i="3"/>
  <c r="N83" i="2"/>
  <c r="K82" i="2"/>
  <c r="H82" i="2" s="1"/>
  <c r="C82" i="4"/>
  <c r="AB81" i="3"/>
  <c r="E82" i="4" s="1"/>
  <c r="D84" i="2"/>
  <c r="J82" i="2"/>
  <c r="G82" i="2" s="1"/>
  <c r="M83" i="2"/>
  <c r="I80" i="3"/>
  <c r="F81" i="4" s="1"/>
  <c r="U80" i="3"/>
  <c r="J81" i="4" s="1"/>
  <c r="O80" i="3"/>
  <c r="H81" i="4" s="1"/>
  <c r="L83" i="2"/>
  <c r="I82" i="2"/>
  <c r="F82" i="2" s="1"/>
  <c r="F81" i="3"/>
  <c r="D82" i="3"/>
  <c r="C84" i="2"/>
  <c r="G82" i="4"/>
  <c r="L82" i="4" s="1"/>
  <c r="I82" i="4"/>
  <c r="M82" i="4" s="1"/>
  <c r="K82" i="4"/>
  <c r="N82" i="4" s="1"/>
  <c r="E84" i="2" l="1"/>
  <c r="B84" i="3"/>
  <c r="D83" i="4"/>
  <c r="M84" i="2"/>
  <c r="J83" i="2"/>
  <c r="G83" i="2" s="1"/>
  <c r="C85" i="2"/>
  <c r="D85" i="2"/>
  <c r="F82" i="3"/>
  <c r="D83" i="3"/>
  <c r="I81" i="3"/>
  <c r="F82" i="4" s="1"/>
  <c r="U81" i="3"/>
  <c r="J82" i="4" s="1"/>
  <c r="O81" i="3"/>
  <c r="H82" i="4" s="1"/>
  <c r="L84" i="2"/>
  <c r="I83" i="2"/>
  <c r="F83" i="2" s="1"/>
  <c r="N84" i="2"/>
  <c r="K83" i="2"/>
  <c r="H83" i="2" s="1"/>
  <c r="C83" i="4"/>
  <c r="AB82" i="3"/>
  <c r="E83" i="4" s="1"/>
  <c r="I83" i="4"/>
  <c r="M83" i="4" s="1"/>
  <c r="G83" i="4"/>
  <c r="L83" i="4" s="1"/>
  <c r="K83" i="4"/>
  <c r="N83" i="4" s="1"/>
  <c r="A84" i="4"/>
  <c r="J83" i="3"/>
  <c r="V83" i="3"/>
  <c r="C83" i="3"/>
  <c r="P83" i="3"/>
  <c r="G83" i="3"/>
  <c r="S83" i="3"/>
  <c r="Y83" i="3" s="1"/>
  <c r="Z83" i="3" s="1"/>
  <c r="AA83" i="3" s="1"/>
  <c r="M83" i="3"/>
  <c r="N83" i="3"/>
  <c r="T83" i="3"/>
  <c r="E83" i="3"/>
  <c r="H83" i="3"/>
  <c r="E85" i="2" l="1"/>
  <c r="B85" i="3"/>
  <c r="D84" i="4"/>
  <c r="C84" i="4"/>
  <c r="AB83" i="3"/>
  <c r="E84" i="4" s="1"/>
  <c r="D86" i="2"/>
  <c r="C86" i="2"/>
  <c r="N85" i="2"/>
  <c r="K84" i="2"/>
  <c r="H84" i="2" s="1"/>
  <c r="D84" i="3"/>
  <c r="F83" i="3"/>
  <c r="K84" i="4"/>
  <c r="N84" i="4" s="1"/>
  <c r="G84" i="4"/>
  <c r="L84" i="4" s="1"/>
  <c r="I84" i="4"/>
  <c r="M84" i="4" s="1"/>
  <c r="I84" i="2"/>
  <c r="F84" i="2" s="1"/>
  <c r="L85" i="2"/>
  <c r="A85" i="4"/>
  <c r="G84" i="3"/>
  <c r="S84" i="3"/>
  <c r="Y84" i="3" s="1"/>
  <c r="Z84" i="3" s="1"/>
  <c r="AA84" i="3" s="1"/>
  <c r="M84" i="3"/>
  <c r="P84" i="3"/>
  <c r="C84" i="3"/>
  <c r="E84" i="3"/>
  <c r="H84" i="3"/>
  <c r="J84" i="3"/>
  <c r="N84" i="3"/>
  <c r="T84" i="3"/>
  <c r="V84" i="3"/>
  <c r="M85" i="2"/>
  <c r="J84" i="2"/>
  <c r="G84" i="2" s="1"/>
  <c r="O82" i="3"/>
  <c r="H83" i="4" s="1"/>
  <c r="U82" i="3"/>
  <c r="J83" i="4" s="1"/>
  <c r="I82" i="3"/>
  <c r="F83" i="4" s="1"/>
  <c r="E86" i="2" l="1"/>
  <c r="B86" i="3"/>
  <c r="D85" i="4"/>
  <c r="G85" i="4"/>
  <c r="L85" i="4" s="1"/>
  <c r="K85" i="4"/>
  <c r="N85" i="4" s="1"/>
  <c r="I85" i="4"/>
  <c r="M85" i="4" s="1"/>
  <c r="L86" i="2"/>
  <c r="I85" i="2"/>
  <c r="F85" i="2" s="1"/>
  <c r="C87" i="2"/>
  <c r="N86" i="2"/>
  <c r="K85" i="2"/>
  <c r="H85" i="2" s="1"/>
  <c r="A86" i="4"/>
  <c r="P85" i="3"/>
  <c r="M85" i="3"/>
  <c r="N85" i="3"/>
  <c r="S85" i="3"/>
  <c r="Y85" i="3" s="1"/>
  <c r="Z85" i="3" s="1"/>
  <c r="AA85" i="3" s="1"/>
  <c r="T85" i="3"/>
  <c r="C85" i="3"/>
  <c r="V85" i="3"/>
  <c r="E85" i="3"/>
  <c r="G85" i="3"/>
  <c r="H85" i="3"/>
  <c r="J85" i="3"/>
  <c r="D87" i="2"/>
  <c r="C85" i="4"/>
  <c r="AB84" i="3"/>
  <c r="E85" i="4" s="1"/>
  <c r="O83" i="3"/>
  <c r="H84" i="4" s="1"/>
  <c r="I83" i="3"/>
  <c r="F84" i="4" s="1"/>
  <c r="U83" i="3"/>
  <c r="J84" i="4" s="1"/>
  <c r="M86" i="2"/>
  <c r="J85" i="2"/>
  <c r="G85" i="2" s="1"/>
  <c r="D85" i="3"/>
  <c r="F84" i="3"/>
  <c r="E87" i="2" l="1"/>
  <c r="B87" i="3"/>
  <c r="D86" i="4"/>
  <c r="C88" i="2"/>
  <c r="I86" i="2"/>
  <c r="F86" i="2" s="1"/>
  <c r="L87" i="2"/>
  <c r="D88" i="2"/>
  <c r="C86" i="4"/>
  <c r="AB85" i="3"/>
  <c r="E86" i="4" s="1"/>
  <c r="I84" i="3"/>
  <c r="F85" i="4" s="1"/>
  <c r="U84" i="3"/>
  <c r="J85" i="4" s="1"/>
  <c r="O84" i="3"/>
  <c r="H85" i="4" s="1"/>
  <c r="A87" i="4"/>
  <c r="M86" i="3"/>
  <c r="C86" i="3"/>
  <c r="J86" i="3"/>
  <c r="V86" i="3"/>
  <c r="E86" i="3"/>
  <c r="G86" i="3"/>
  <c r="H86" i="3"/>
  <c r="N86" i="3"/>
  <c r="P86" i="3"/>
  <c r="S86" i="3"/>
  <c r="Y86" i="3" s="1"/>
  <c r="Z86" i="3" s="1"/>
  <c r="AA86" i="3" s="1"/>
  <c r="T86" i="3"/>
  <c r="I86" i="4"/>
  <c r="M86" i="4" s="1"/>
  <c r="K86" i="4"/>
  <c r="N86" i="4" s="1"/>
  <c r="G86" i="4"/>
  <c r="L86" i="4" s="1"/>
  <c r="F85" i="3"/>
  <c r="D86" i="3"/>
  <c r="K86" i="2"/>
  <c r="H86" i="2" s="1"/>
  <c r="N87" i="2"/>
  <c r="J86" i="2"/>
  <c r="G86" i="2" s="1"/>
  <c r="M87" i="2"/>
  <c r="E88" i="2" l="1"/>
  <c r="B88" i="3"/>
  <c r="D87" i="4"/>
  <c r="F86" i="3"/>
  <c r="D87" i="3"/>
  <c r="A88" i="4"/>
  <c r="J87" i="3"/>
  <c r="V87" i="3"/>
  <c r="C87" i="3"/>
  <c r="G87" i="3"/>
  <c r="S87" i="3"/>
  <c r="Y87" i="3" s="1"/>
  <c r="Z87" i="3" s="1"/>
  <c r="AA87" i="3" s="1"/>
  <c r="N87" i="3"/>
  <c r="P87" i="3"/>
  <c r="T87" i="3"/>
  <c r="E87" i="3"/>
  <c r="H87" i="3"/>
  <c r="M87" i="3"/>
  <c r="D89" i="2"/>
  <c r="L88" i="2"/>
  <c r="I87" i="2"/>
  <c r="F87" i="2" s="1"/>
  <c r="C87" i="4"/>
  <c r="AB86" i="3"/>
  <c r="E87" i="4" s="1"/>
  <c r="I85" i="3"/>
  <c r="F86" i="4" s="1"/>
  <c r="U85" i="3"/>
  <c r="J86" i="4" s="1"/>
  <c r="O85" i="3"/>
  <c r="H86" i="4" s="1"/>
  <c r="M88" i="2"/>
  <c r="J87" i="2"/>
  <c r="G87" i="2" s="1"/>
  <c r="I87" i="4"/>
  <c r="M87" i="4" s="1"/>
  <c r="K87" i="4"/>
  <c r="N87" i="4" s="1"/>
  <c r="G87" i="4"/>
  <c r="L87" i="4" s="1"/>
  <c r="C89" i="2"/>
  <c r="E89" i="2" s="1"/>
  <c r="K87" i="2"/>
  <c r="H87" i="2" s="1"/>
  <c r="N88" i="2"/>
  <c r="B89" i="3" l="1"/>
  <c r="D88" i="4"/>
  <c r="I88" i="2"/>
  <c r="F88" i="2" s="1"/>
  <c r="L89" i="2"/>
  <c r="C90" i="2"/>
  <c r="D90" i="2"/>
  <c r="A89" i="4"/>
  <c r="G88" i="3"/>
  <c r="S88" i="3"/>
  <c r="Y88" i="3" s="1"/>
  <c r="Z88" i="3" s="1"/>
  <c r="AA88" i="3" s="1"/>
  <c r="P88" i="3"/>
  <c r="E88" i="3"/>
  <c r="H88" i="3"/>
  <c r="J88" i="3"/>
  <c r="M88" i="3"/>
  <c r="N88" i="3"/>
  <c r="V88" i="3"/>
  <c r="C88" i="3"/>
  <c r="T88" i="3"/>
  <c r="G88" i="4"/>
  <c r="L88" i="4" s="1"/>
  <c r="K88" i="4"/>
  <c r="N88" i="4" s="1"/>
  <c r="I88" i="4"/>
  <c r="M88" i="4" s="1"/>
  <c r="K88" i="2"/>
  <c r="H88" i="2" s="1"/>
  <c r="N89" i="2"/>
  <c r="J88" i="2"/>
  <c r="G88" i="2" s="1"/>
  <c r="M89" i="2"/>
  <c r="C88" i="4"/>
  <c r="AB87" i="3"/>
  <c r="E88" i="4" s="1"/>
  <c r="D88" i="3"/>
  <c r="F87" i="3"/>
  <c r="O86" i="3"/>
  <c r="H87" i="4" s="1"/>
  <c r="I86" i="3"/>
  <c r="F87" i="4" s="1"/>
  <c r="U86" i="3"/>
  <c r="J87" i="4" s="1"/>
  <c r="E90" i="2" l="1"/>
  <c r="B90" i="3"/>
  <c r="D89" i="4"/>
  <c r="G89" i="4"/>
  <c r="L89" i="4" s="1"/>
  <c r="I89" i="4"/>
  <c r="M89" i="4" s="1"/>
  <c r="K89" i="4"/>
  <c r="N89" i="4" s="1"/>
  <c r="D91" i="2"/>
  <c r="M90" i="2"/>
  <c r="J89" i="2"/>
  <c r="G89" i="2" s="1"/>
  <c r="N90" i="2"/>
  <c r="K89" i="2"/>
  <c r="H89" i="2" s="1"/>
  <c r="A90" i="4"/>
  <c r="P89" i="3"/>
  <c r="M89" i="3"/>
  <c r="N89" i="3"/>
  <c r="S89" i="3"/>
  <c r="Y89" i="3" s="1"/>
  <c r="Z89" i="3" s="1"/>
  <c r="AA89" i="3" s="1"/>
  <c r="C89" i="3"/>
  <c r="T89" i="3"/>
  <c r="E89" i="3"/>
  <c r="V89" i="3"/>
  <c r="G89" i="3"/>
  <c r="H89" i="3"/>
  <c r="J89" i="3"/>
  <c r="C91" i="2"/>
  <c r="C89" i="4"/>
  <c r="AB88" i="3"/>
  <c r="E89" i="4" s="1"/>
  <c r="D89" i="3"/>
  <c r="F88" i="3"/>
  <c r="I89" i="2"/>
  <c r="F89" i="2" s="1"/>
  <c r="L90" i="2"/>
  <c r="O87" i="3"/>
  <c r="H88" i="4" s="1"/>
  <c r="U87" i="3"/>
  <c r="J88" i="4" s="1"/>
  <c r="I87" i="3"/>
  <c r="F88" i="4" s="1"/>
  <c r="E91" i="2" l="1"/>
  <c r="B91" i="3"/>
  <c r="D90" i="4"/>
  <c r="I88" i="3"/>
  <c r="F89" i="4" s="1"/>
  <c r="U88" i="3"/>
  <c r="J89" i="4" s="1"/>
  <c r="O88" i="3"/>
  <c r="H89" i="4" s="1"/>
  <c r="F89" i="3"/>
  <c r="D90" i="3"/>
  <c r="J90" i="2"/>
  <c r="G90" i="2" s="1"/>
  <c r="M91" i="2"/>
  <c r="D92" i="2"/>
  <c r="A91" i="4"/>
  <c r="M90" i="3"/>
  <c r="C90" i="3"/>
  <c r="S90" i="3"/>
  <c r="Y90" i="3" s="1"/>
  <c r="Z90" i="3" s="1"/>
  <c r="AA90" i="3" s="1"/>
  <c r="T90" i="3"/>
  <c r="E90" i="3"/>
  <c r="G90" i="3"/>
  <c r="V90" i="3"/>
  <c r="H90" i="3"/>
  <c r="J90" i="3"/>
  <c r="N90" i="3"/>
  <c r="P90" i="3"/>
  <c r="C90" i="4"/>
  <c r="AB89" i="3"/>
  <c r="E90" i="4" s="1"/>
  <c r="C92" i="2"/>
  <c r="I90" i="4"/>
  <c r="M90" i="4" s="1"/>
  <c r="K90" i="4"/>
  <c r="N90" i="4" s="1"/>
  <c r="G90" i="4"/>
  <c r="L90" i="4" s="1"/>
  <c r="K90" i="2"/>
  <c r="H90" i="2" s="1"/>
  <c r="N91" i="2"/>
  <c r="L91" i="2"/>
  <c r="I90" i="2"/>
  <c r="F90" i="2" s="1"/>
  <c r="E92" i="2" l="1"/>
  <c r="B92" i="3"/>
  <c r="D91" i="4"/>
  <c r="A92" i="4"/>
  <c r="E91" i="3"/>
  <c r="S91" i="3"/>
  <c r="Y91" i="3" s="1"/>
  <c r="Z91" i="3" s="1"/>
  <c r="AA91" i="3" s="1"/>
  <c r="G91" i="3"/>
  <c r="T91" i="3"/>
  <c r="H91" i="3"/>
  <c r="V91" i="3"/>
  <c r="J91" i="3"/>
  <c r="M91" i="3"/>
  <c r="N91" i="3"/>
  <c r="C91" i="3"/>
  <c r="P91" i="3"/>
  <c r="M92" i="2"/>
  <c r="J91" i="2"/>
  <c r="G91" i="2" s="1"/>
  <c r="F90" i="3"/>
  <c r="D91" i="3"/>
  <c r="C93" i="2"/>
  <c r="I89" i="3"/>
  <c r="F90" i="4" s="1"/>
  <c r="U89" i="3"/>
  <c r="J90" i="4" s="1"/>
  <c r="O89" i="3"/>
  <c r="H90" i="4" s="1"/>
  <c r="D93" i="2"/>
  <c r="L92" i="2"/>
  <c r="I91" i="2"/>
  <c r="F91" i="2" s="1"/>
  <c r="N92" i="2"/>
  <c r="K91" i="2"/>
  <c r="H91" i="2" s="1"/>
  <c r="C91" i="4"/>
  <c r="AB90" i="3"/>
  <c r="E91" i="4" s="1"/>
  <c r="G91" i="4"/>
  <c r="L91" i="4" s="1"/>
  <c r="I91" i="4"/>
  <c r="M91" i="4" s="1"/>
  <c r="K91" i="4"/>
  <c r="N91" i="4" s="1"/>
  <c r="E93" i="2" l="1"/>
  <c r="B93" i="3"/>
  <c r="D92" i="4"/>
  <c r="C92" i="4"/>
  <c r="AB91" i="3"/>
  <c r="E92" i="4" s="1"/>
  <c r="C94" i="2"/>
  <c r="K92" i="2"/>
  <c r="H92" i="2" s="1"/>
  <c r="N93" i="2"/>
  <c r="D92" i="3"/>
  <c r="F91" i="3"/>
  <c r="O90" i="3"/>
  <c r="H91" i="4" s="1"/>
  <c r="U90" i="3"/>
  <c r="J91" i="4" s="1"/>
  <c r="I90" i="3"/>
  <c r="F91" i="4" s="1"/>
  <c r="J92" i="2"/>
  <c r="G92" i="2" s="1"/>
  <c r="M93" i="2"/>
  <c r="A93" i="4"/>
  <c r="E92" i="3"/>
  <c r="S92" i="3"/>
  <c r="Y92" i="3" s="1"/>
  <c r="Z92" i="3" s="1"/>
  <c r="AA92" i="3" s="1"/>
  <c r="G92" i="3"/>
  <c r="T92" i="3"/>
  <c r="H92" i="3"/>
  <c r="V92" i="3"/>
  <c r="J92" i="3"/>
  <c r="M92" i="3"/>
  <c r="N92" i="3"/>
  <c r="C92" i="3"/>
  <c r="P92" i="3"/>
  <c r="G92" i="4"/>
  <c r="L92" i="4" s="1"/>
  <c r="I92" i="4"/>
  <c r="M92" i="4" s="1"/>
  <c r="K92" i="4"/>
  <c r="N92" i="4" s="1"/>
  <c r="L93" i="2"/>
  <c r="I92" i="2"/>
  <c r="F92" i="2" s="1"/>
  <c r="D94" i="2"/>
  <c r="E94" i="2" l="1"/>
  <c r="B94" i="3"/>
  <c r="D93" i="4"/>
  <c r="U91" i="3"/>
  <c r="J92" i="4" s="1"/>
  <c r="I91" i="3"/>
  <c r="F92" i="4" s="1"/>
  <c r="O91" i="3"/>
  <c r="H92" i="4" s="1"/>
  <c r="D93" i="3"/>
  <c r="F92" i="3"/>
  <c r="N94" i="2"/>
  <c r="K93" i="2"/>
  <c r="H93" i="2" s="1"/>
  <c r="C95" i="2"/>
  <c r="G93" i="4"/>
  <c r="L93" i="4" s="1"/>
  <c r="I93" i="4"/>
  <c r="M93" i="4" s="1"/>
  <c r="K93" i="4"/>
  <c r="N93" i="4" s="1"/>
  <c r="D95" i="2"/>
  <c r="M94" i="2"/>
  <c r="J93" i="2"/>
  <c r="G93" i="2" s="1"/>
  <c r="L94" i="2"/>
  <c r="I93" i="2"/>
  <c r="F93" i="2" s="1"/>
  <c r="A94" i="4"/>
  <c r="C93" i="3"/>
  <c r="P93" i="3"/>
  <c r="E93" i="3"/>
  <c r="S93" i="3"/>
  <c r="Y93" i="3" s="1"/>
  <c r="Z93" i="3" s="1"/>
  <c r="AA93" i="3" s="1"/>
  <c r="G93" i="3"/>
  <c r="T93" i="3"/>
  <c r="H93" i="3"/>
  <c r="V93" i="3"/>
  <c r="J93" i="3"/>
  <c r="M93" i="3"/>
  <c r="N93" i="3"/>
  <c r="C93" i="4"/>
  <c r="AB92" i="3"/>
  <c r="E93" i="4" s="1"/>
  <c r="E95" i="2" l="1"/>
  <c r="B95" i="3"/>
  <c r="D94" i="4"/>
  <c r="M95" i="2"/>
  <c r="J94" i="2"/>
  <c r="G94" i="2" s="1"/>
  <c r="C96" i="2"/>
  <c r="D96" i="2"/>
  <c r="N95" i="2"/>
  <c r="K94" i="2"/>
  <c r="H94" i="2" s="1"/>
  <c r="I92" i="3"/>
  <c r="F93" i="4" s="1"/>
  <c r="U92" i="3"/>
  <c r="J93" i="4" s="1"/>
  <c r="O92" i="3"/>
  <c r="H93" i="4" s="1"/>
  <c r="F93" i="3"/>
  <c r="D94" i="3"/>
  <c r="A95" i="4"/>
  <c r="C94" i="3"/>
  <c r="P94" i="3"/>
  <c r="E94" i="3"/>
  <c r="S94" i="3"/>
  <c r="Y94" i="3" s="1"/>
  <c r="Z94" i="3" s="1"/>
  <c r="AA94" i="3" s="1"/>
  <c r="G94" i="3"/>
  <c r="T94" i="3"/>
  <c r="H94" i="3"/>
  <c r="V94" i="3"/>
  <c r="J94" i="3"/>
  <c r="M94" i="3"/>
  <c r="N94" i="3"/>
  <c r="I94" i="2"/>
  <c r="F94" i="2" s="1"/>
  <c r="L95" i="2"/>
  <c r="G94" i="4"/>
  <c r="L94" i="4" s="1"/>
  <c r="I94" i="4"/>
  <c r="M94" i="4" s="1"/>
  <c r="K94" i="4"/>
  <c r="N94" i="4" s="1"/>
  <c r="C94" i="4"/>
  <c r="AB93" i="3"/>
  <c r="E94" i="4" s="1"/>
  <c r="E96" i="2" l="1"/>
  <c r="B96" i="3"/>
  <c r="D95" i="4"/>
  <c r="N96" i="2"/>
  <c r="K95" i="2"/>
  <c r="H95" i="2" s="1"/>
  <c r="D97" i="2"/>
  <c r="A96" i="4"/>
  <c r="C95" i="3"/>
  <c r="P95" i="3"/>
  <c r="E95" i="3"/>
  <c r="S95" i="3"/>
  <c r="Y95" i="3" s="1"/>
  <c r="Z95" i="3" s="1"/>
  <c r="AA95" i="3" s="1"/>
  <c r="G95" i="3"/>
  <c r="T95" i="3"/>
  <c r="H95" i="3"/>
  <c r="V95" i="3"/>
  <c r="J95" i="3"/>
  <c r="M95" i="3"/>
  <c r="N95" i="3"/>
  <c r="L96" i="2"/>
  <c r="I95" i="2"/>
  <c r="F95" i="2" s="1"/>
  <c r="C97" i="2"/>
  <c r="G95" i="4"/>
  <c r="L95" i="4" s="1"/>
  <c r="I95" i="4"/>
  <c r="M95" i="4" s="1"/>
  <c r="K95" i="4"/>
  <c r="N95" i="4" s="1"/>
  <c r="C95" i="4"/>
  <c r="AB94" i="3"/>
  <c r="E95" i="4" s="1"/>
  <c r="D95" i="3"/>
  <c r="F94" i="3"/>
  <c r="U93" i="3"/>
  <c r="J94" i="4" s="1"/>
  <c r="I93" i="3"/>
  <c r="F94" i="4" s="1"/>
  <c r="O93" i="3"/>
  <c r="H94" i="4" s="1"/>
  <c r="M96" i="2"/>
  <c r="J95" i="2"/>
  <c r="G95" i="2" s="1"/>
  <c r="E97" i="2" l="1"/>
  <c r="B97" i="3"/>
  <c r="D96" i="4"/>
  <c r="O94" i="3"/>
  <c r="H95" i="4" s="1"/>
  <c r="U94" i="3"/>
  <c r="J95" i="4" s="1"/>
  <c r="I94" i="3"/>
  <c r="F95" i="4" s="1"/>
  <c r="A97" i="4"/>
  <c r="M96" i="3"/>
  <c r="N96" i="3"/>
  <c r="C96" i="3"/>
  <c r="P96" i="3"/>
  <c r="E96" i="3"/>
  <c r="G96" i="3"/>
  <c r="S96" i="3"/>
  <c r="Y96" i="3" s="1"/>
  <c r="Z96" i="3" s="1"/>
  <c r="AA96" i="3" s="1"/>
  <c r="H96" i="3"/>
  <c r="T96" i="3"/>
  <c r="J96" i="3"/>
  <c r="V96" i="3"/>
  <c r="D96" i="3"/>
  <c r="F95" i="3"/>
  <c r="L97" i="2"/>
  <c r="I96" i="2"/>
  <c r="F96" i="2" s="1"/>
  <c r="K96" i="4"/>
  <c r="N96" i="4" s="1"/>
  <c r="G96" i="4"/>
  <c r="L96" i="4" s="1"/>
  <c r="I96" i="4"/>
  <c r="M96" i="4" s="1"/>
  <c r="C96" i="4"/>
  <c r="AB95" i="3"/>
  <c r="E96" i="4" s="1"/>
  <c r="D98" i="2"/>
  <c r="M97" i="2"/>
  <c r="J96" i="2"/>
  <c r="G96" i="2" s="1"/>
  <c r="N97" i="2"/>
  <c r="K96" i="2"/>
  <c r="H96" i="2" s="1"/>
  <c r="C98" i="2"/>
  <c r="E98" i="2" l="1"/>
  <c r="B98" i="3"/>
  <c r="D97" i="4"/>
  <c r="K97" i="2"/>
  <c r="H97" i="2" s="1"/>
  <c r="N98" i="2"/>
  <c r="A98" i="4"/>
  <c r="J97" i="3"/>
  <c r="V97" i="3"/>
  <c r="M97" i="3"/>
  <c r="N97" i="3"/>
  <c r="C97" i="3"/>
  <c r="P97" i="3"/>
  <c r="E97" i="3"/>
  <c r="G97" i="3"/>
  <c r="S97" i="3"/>
  <c r="Y97" i="3" s="1"/>
  <c r="Z97" i="3" s="1"/>
  <c r="AA97" i="3" s="1"/>
  <c r="H97" i="3"/>
  <c r="T97" i="3"/>
  <c r="M98" i="2"/>
  <c r="J97" i="2"/>
  <c r="G97" i="2" s="1"/>
  <c r="L98" i="2"/>
  <c r="I97" i="2"/>
  <c r="F97" i="2" s="1"/>
  <c r="O95" i="3"/>
  <c r="H96" i="4" s="1"/>
  <c r="U95" i="3"/>
  <c r="J96" i="4" s="1"/>
  <c r="I95" i="3"/>
  <c r="F96" i="4" s="1"/>
  <c r="D99" i="2"/>
  <c r="F96" i="3"/>
  <c r="D97" i="3"/>
  <c r="C97" i="4"/>
  <c r="AB96" i="3"/>
  <c r="E97" i="4" s="1"/>
  <c r="K97" i="4"/>
  <c r="N97" i="4" s="1"/>
  <c r="G97" i="4"/>
  <c r="L97" i="4" s="1"/>
  <c r="I97" i="4"/>
  <c r="M97" i="4" s="1"/>
  <c r="C99" i="2"/>
  <c r="E99" i="2" l="1"/>
  <c r="B99" i="3"/>
  <c r="D98" i="4"/>
  <c r="L99" i="2"/>
  <c r="I98" i="2"/>
  <c r="F98" i="2" s="1"/>
  <c r="C98" i="4"/>
  <c r="AB97" i="3"/>
  <c r="E98" i="4" s="1"/>
  <c r="M99" i="2"/>
  <c r="J98" i="2"/>
  <c r="G98" i="2" s="1"/>
  <c r="F97" i="3"/>
  <c r="D98" i="3"/>
  <c r="I98" i="4"/>
  <c r="M98" i="4" s="1"/>
  <c r="K98" i="4"/>
  <c r="N98" i="4" s="1"/>
  <c r="G98" i="4"/>
  <c r="L98" i="4" s="1"/>
  <c r="C100" i="2"/>
  <c r="O96" i="3"/>
  <c r="H97" i="4" s="1"/>
  <c r="I96" i="3"/>
  <c r="F97" i="4" s="1"/>
  <c r="U96" i="3"/>
  <c r="J97" i="4" s="1"/>
  <c r="N99" i="2"/>
  <c r="K98" i="2"/>
  <c r="H98" i="2" s="1"/>
  <c r="D100" i="2"/>
  <c r="A99" i="4"/>
  <c r="G98" i="3"/>
  <c r="S98" i="3"/>
  <c r="Y98" i="3" s="1"/>
  <c r="Z98" i="3" s="1"/>
  <c r="AA98" i="3" s="1"/>
  <c r="H98" i="3"/>
  <c r="T98" i="3"/>
  <c r="J98" i="3"/>
  <c r="V98" i="3"/>
  <c r="M98" i="3"/>
  <c r="N98" i="3"/>
  <c r="C98" i="3"/>
  <c r="P98" i="3"/>
  <c r="E98" i="3"/>
  <c r="E100" i="2" l="1"/>
  <c r="B100" i="3"/>
  <c r="D99" i="4"/>
  <c r="D99" i="3"/>
  <c r="F98" i="3"/>
  <c r="O97" i="3"/>
  <c r="H98" i="4" s="1"/>
  <c r="I97" i="3"/>
  <c r="F98" i="4" s="1"/>
  <c r="U97" i="3"/>
  <c r="J98" i="4" s="1"/>
  <c r="J99" i="2"/>
  <c r="G99" i="2" s="1"/>
  <c r="M100" i="2"/>
  <c r="N100" i="2"/>
  <c r="K99" i="2"/>
  <c r="H99" i="2" s="1"/>
  <c r="C101" i="2"/>
  <c r="C99" i="4"/>
  <c r="AB98" i="3"/>
  <c r="E99" i="4" s="1"/>
  <c r="A100" i="4"/>
  <c r="P99" i="3"/>
  <c r="E99" i="3"/>
  <c r="G99" i="3"/>
  <c r="S99" i="3"/>
  <c r="Y99" i="3" s="1"/>
  <c r="Z99" i="3" s="1"/>
  <c r="AA99" i="3" s="1"/>
  <c r="H99" i="3"/>
  <c r="T99" i="3"/>
  <c r="J99" i="3"/>
  <c r="V99" i="3"/>
  <c r="M99" i="3"/>
  <c r="C99" i="3"/>
  <c r="N99" i="3"/>
  <c r="I99" i="4"/>
  <c r="M99" i="4" s="1"/>
  <c r="K99" i="4"/>
  <c r="N99" i="4" s="1"/>
  <c r="G99" i="4"/>
  <c r="L99" i="4" s="1"/>
  <c r="I99" i="2"/>
  <c r="F99" i="2" s="1"/>
  <c r="L100" i="2"/>
  <c r="D101" i="2"/>
  <c r="E101" i="2" l="1"/>
  <c r="B101" i="3"/>
  <c r="D100" i="4"/>
  <c r="N101" i="2"/>
  <c r="K100" i="2"/>
  <c r="H100" i="2" s="1"/>
  <c r="M101" i="2"/>
  <c r="J100" i="2"/>
  <c r="G100" i="2" s="1"/>
  <c r="A101" i="4"/>
  <c r="M100" i="3"/>
  <c r="N100" i="3"/>
  <c r="C100" i="3"/>
  <c r="P100" i="3"/>
  <c r="E100" i="3"/>
  <c r="G100" i="3"/>
  <c r="S100" i="3"/>
  <c r="Y100" i="3" s="1"/>
  <c r="Z100" i="3" s="1"/>
  <c r="AA100" i="3" s="1"/>
  <c r="H100" i="3"/>
  <c r="T100" i="3"/>
  <c r="J100" i="3"/>
  <c r="V100" i="3"/>
  <c r="G100" i="4"/>
  <c r="L100" i="4" s="1"/>
  <c r="I100" i="4"/>
  <c r="M100" i="4" s="1"/>
  <c r="K100" i="4"/>
  <c r="N100" i="4" s="1"/>
  <c r="D102" i="2"/>
  <c r="I98" i="3"/>
  <c r="F99" i="4" s="1"/>
  <c r="U98" i="3"/>
  <c r="J99" i="4" s="1"/>
  <c r="O98" i="3"/>
  <c r="H99" i="4" s="1"/>
  <c r="C100" i="4"/>
  <c r="AB99" i="3"/>
  <c r="E100" i="4" s="1"/>
  <c r="F99" i="3"/>
  <c r="D100" i="3"/>
  <c r="C102" i="2"/>
  <c r="L101" i="2"/>
  <c r="I100" i="2"/>
  <c r="F100" i="2" s="1"/>
  <c r="E102" i="2" l="1"/>
  <c r="B102" i="3"/>
  <c r="D101" i="4"/>
  <c r="F100" i="3"/>
  <c r="D101" i="3"/>
  <c r="I99" i="3"/>
  <c r="F100" i="4" s="1"/>
  <c r="U99" i="3"/>
  <c r="J100" i="4" s="1"/>
  <c r="O99" i="3"/>
  <c r="H100" i="4" s="1"/>
  <c r="C101" i="4"/>
  <c r="AB100" i="3"/>
  <c r="E101" i="4" s="1"/>
  <c r="G101" i="4"/>
  <c r="L101" i="4" s="1"/>
  <c r="I101" i="4"/>
  <c r="M101" i="4" s="1"/>
  <c r="K101" i="4"/>
  <c r="N101" i="4" s="1"/>
  <c r="M102" i="2"/>
  <c r="J101" i="2"/>
  <c r="G101" i="2" s="1"/>
  <c r="L102" i="2"/>
  <c r="I101" i="2"/>
  <c r="F101" i="2" s="1"/>
  <c r="D103" i="2"/>
  <c r="N102" i="2"/>
  <c r="K101" i="2"/>
  <c r="H101" i="2" s="1"/>
  <c r="C103" i="2"/>
  <c r="A102" i="4"/>
  <c r="J101" i="3"/>
  <c r="V101" i="3"/>
  <c r="M101" i="3"/>
  <c r="N101" i="3"/>
  <c r="C101" i="3"/>
  <c r="P101" i="3"/>
  <c r="E101" i="3"/>
  <c r="G101" i="3"/>
  <c r="S101" i="3"/>
  <c r="Y101" i="3" s="1"/>
  <c r="Z101" i="3" s="1"/>
  <c r="AA101" i="3" s="1"/>
  <c r="T101" i="3"/>
  <c r="H101" i="3"/>
  <c r="E103" i="2" l="1"/>
  <c r="B103" i="3"/>
  <c r="D102" i="4"/>
  <c r="N103" i="2"/>
  <c r="K102" i="2"/>
  <c r="H102" i="2" s="1"/>
  <c r="D104" i="2"/>
  <c r="C102" i="4"/>
  <c r="AB101" i="3"/>
  <c r="E102" i="4" s="1"/>
  <c r="L103" i="2"/>
  <c r="I102" i="2"/>
  <c r="F102" i="2" s="1"/>
  <c r="A103" i="4"/>
  <c r="G102" i="3"/>
  <c r="S102" i="3"/>
  <c r="Y102" i="3" s="1"/>
  <c r="Z102" i="3" s="1"/>
  <c r="AA102" i="3" s="1"/>
  <c r="H102" i="3"/>
  <c r="T102" i="3"/>
  <c r="J102" i="3"/>
  <c r="V102" i="3"/>
  <c r="M102" i="3"/>
  <c r="N102" i="3"/>
  <c r="C102" i="3"/>
  <c r="P102" i="3"/>
  <c r="E102" i="3"/>
  <c r="G102" i="4"/>
  <c r="L102" i="4" s="1"/>
  <c r="I102" i="4"/>
  <c r="M102" i="4" s="1"/>
  <c r="K102" i="4"/>
  <c r="N102" i="4" s="1"/>
  <c r="M103" i="2"/>
  <c r="J102" i="2"/>
  <c r="G102" i="2" s="1"/>
  <c r="F101" i="3"/>
  <c r="D102" i="3"/>
  <c r="C104" i="2"/>
  <c r="O100" i="3"/>
  <c r="H101" i="4" s="1"/>
  <c r="I100" i="3"/>
  <c r="F101" i="4" s="1"/>
  <c r="U100" i="3"/>
  <c r="J101" i="4" s="1"/>
  <c r="E104" i="2" l="1"/>
  <c r="B104" i="3"/>
  <c r="D103" i="4"/>
  <c r="A104" i="4"/>
  <c r="P103" i="3"/>
  <c r="E103" i="3"/>
  <c r="G103" i="3"/>
  <c r="S103" i="3"/>
  <c r="Y103" i="3" s="1"/>
  <c r="Z103" i="3" s="1"/>
  <c r="AA103" i="3" s="1"/>
  <c r="H103" i="3"/>
  <c r="T103" i="3"/>
  <c r="J103" i="3"/>
  <c r="V103" i="3"/>
  <c r="M103" i="3"/>
  <c r="N103" i="3"/>
  <c r="C103" i="3"/>
  <c r="G103" i="4"/>
  <c r="L103" i="4" s="1"/>
  <c r="I103" i="4"/>
  <c r="M103" i="4" s="1"/>
  <c r="K103" i="4"/>
  <c r="N103" i="4" s="1"/>
  <c r="D103" i="3"/>
  <c r="F102" i="3"/>
  <c r="L104" i="2"/>
  <c r="I103" i="2"/>
  <c r="F103" i="2" s="1"/>
  <c r="O101" i="3"/>
  <c r="H102" i="4" s="1"/>
  <c r="U101" i="3"/>
  <c r="J102" i="4" s="1"/>
  <c r="I101" i="3"/>
  <c r="F102" i="4" s="1"/>
  <c r="M104" i="2"/>
  <c r="J103" i="2"/>
  <c r="G103" i="2" s="1"/>
  <c r="C103" i="4"/>
  <c r="AB102" i="3"/>
  <c r="E103" i="4" s="1"/>
  <c r="D105" i="2"/>
  <c r="N104" i="2"/>
  <c r="K103" i="2"/>
  <c r="H103" i="2" s="1"/>
  <c r="C105" i="2"/>
  <c r="E105" i="2" l="1"/>
  <c r="B105" i="3"/>
  <c r="D104" i="4"/>
  <c r="I102" i="3"/>
  <c r="F103" i="4" s="1"/>
  <c r="U102" i="3"/>
  <c r="J103" i="4" s="1"/>
  <c r="O102" i="3"/>
  <c r="H103" i="4" s="1"/>
  <c r="F103" i="3"/>
  <c r="D104" i="3"/>
  <c r="L105" i="2"/>
  <c r="I104" i="2"/>
  <c r="F104" i="2" s="1"/>
  <c r="D106" i="2"/>
  <c r="A105" i="4"/>
  <c r="M104" i="3"/>
  <c r="N104" i="3"/>
  <c r="C104" i="3"/>
  <c r="P104" i="3"/>
  <c r="E104" i="3"/>
  <c r="G104" i="3"/>
  <c r="S104" i="3"/>
  <c r="Y104" i="3" s="1"/>
  <c r="Z104" i="3" s="1"/>
  <c r="AA104" i="3" s="1"/>
  <c r="H104" i="3"/>
  <c r="T104" i="3"/>
  <c r="J104" i="3"/>
  <c r="V104" i="3"/>
  <c r="J104" i="2"/>
  <c r="G104" i="2" s="1"/>
  <c r="M105" i="2"/>
  <c r="K104" i="2"/>
  <c r="H104" i="2" s="1"/>
  <c r="N105" i="2"/>
  <c r="G104" i="4"/>
  <c r="L104" i="4" s="1"/>
  <c r="I104" i="4"/>
  <c r="M104" i="4" s="1"/>
  <c r="K104" i="4"/>
  <c r="N104" i="4" s="1"/>
  <c r="C106" i="2"/>
  <c r="E106" i="2" s="1"/>
  <c r="C104" i="4"/>
  <c r="AB103" i="3"/>
  <c r="E104" i="4" s="1"/>
  <c r="B106" i="3" l="1"/>
  <c r="D105" i="4"/>
  <c r="L106" i="2"/>
  <c r="I105" i="2"/>
  <c r="F105" i="2" s="1"/>
  <c r="A106" i="4"/>
  <c r="J105" i="3"/>
  <c r="V105" i="3"/>
  <c r="M105" i="3"/>
  <c r="N105" i="3"/>
  <c r="C105" i="3"/>
  <c r="P105" i="3"/>
  <c r="E105" i="3"/>
  <c r="G105" i="3"/>
  <c r="S105" i="3"/>
  <c r="Y105" i="3" s="1"/>
  <c r="Z105" i="3" s="1"/>
  <c r="AA105" i="3" s="1"/>
  <c r="H105" i="3"/>
  <c r="T105" i="3"/>
  <c r="F104" i="3"/>
  <c r="D105" i="3"/>
  <c r="D107" i="2"/>
  <c r="I103" i="3"/>
  <c r="F104" i="4" s="1"/>
  <c r="U103" i="3"/>
  <c r="J104" i="4" s="1"/>
  <c r="O103" i="3"/>
  <c r="H104" i="4" s="1"/>
  <c r="N106" i="2"/>
  <c r="K105" i="2"/>
  <c r="H105" i="2" s="1"/>
  <c r="M106" i="2"/>
  <c r="J105" i="2"/>
  <c r="G105" i="2" s="1"/>
  <c r="C107" i="2"/>
  <c r="C105" i="4"/>
  <c r="AB104" i="3"/>
  <c r="E105" i="4" s="1"/>
  <c r="G105" i="4"/>
  <c r="L105" i="4" s="1"/>
  <c r="I105" i="4"/>
  <c r="M105" i="4" s="1"/>
  <c r="K105" i="4"/>
  <c r="N105" i="4" s="1"/>
  <c r="E107" i="2" l="1"/>
  <c r="B107" i="3"/>
  <c r="D106" i="4"/>
  <c r="D108" i="2"/>
  <c r="C106" i="4"/>
  <c r="AB105" i="3"/>
  <c r="E106" i="4" s="1"/>
  <c r="F105" i="3"/>
  <c r="D106" i="3"/>
  <c r="C108" i="2"/>
  <c r="O104" i="3"/>
  <c r="H105" i="4" s="1"/>
  <c r="I104" i="3"/>
  <c r="F105" i="4" s="1"/>
  <c r="U104" i="3"/>
  <c r="J105" i="4" s="1"/>
  <c r="G106" i="4"/>
  <c r="L106" i="4" s="1"/>
  <c r="I106" i="4"/>
  <c r="M106" i="4" s="1"/>
  <c r="K106" i="4"/>
  <c r="N106" i="4" s="1"/>
  <c r="M107" i="2"/>
  <c r="J106" i="2"/>
  <c r="G106" i="2" s="1"/>
  <c r="I106" i="2"/>
  <c r="F106" i="2" s="1"/>
  <c r="L107" i="2"/>
  <c r="N107" i="2"/>
  <c r="K106" i="2"/>
  <c r="H106" i="2" s="1"/>
  <c r="A107" i="4"/>
  <c r="G106" i="3"/>
  <c r="S106" i="3"/>
  <c r="Y106" i="3" s="1"/>
  <c r="Z106" i="3" s="1"/>
  <c r="AA106" i="3" s="1"/>
  <c r="H106" i="3"/>
  <c r="T106" i="3"/>
  <c r="J106" i="3"/>
  <c r="V106" i="3"/>
  <c r="M106" i="3"/>
  <c r="N106" i="3"/>
  <c r="C106" i="3"/>
  <c r="P106" i="3"/>
  <c r="E106" i="3"/>
  <c r="E108" i="2" l="1"/>
  <c r="B108" i="3"/>
  <c r="D107" i="4"/>
  <c r="C107" i="4"/>
  <c r="AB106" i="3"/>
  <c r="E107" i="4" s="1"/>
  <c r="M108" i="2"/>
  <c r="J107" i="2"/>
  <c r="G107" i="2" s="1"/>
  <c r="D107" i="3"/>
  <c r="F106" i="3"/>
  <c r="O105" i="3"/>
  <c r="H106" i="4" s="1"/>
  <c r="I105" i="3"/>
  <c r="F106" i="4" s="1"/>
  <c r="U105" i="3"/>
  <c r="J106" i="4" s="1"/>
  <c r="D109" i="2"/>
  <c r="C109" i="2"/>
  <c r="G107" i="4"/>
  <c r="L107" i="4" s="1"/>
  <c r="I107" i="4"/>
  <c r="M107" i="4" s="1"/>
  <c r="K107" i="4"/>
  <c r="N107" i="4" s="1"/>
  <c r="A108" i="4"/>
  <c r="P107" i="3"/>
  <c r="E107" i="3"/>
  <c r="G107" i="3"/>
  <c r="S107" i="3"/>
  <c r="Y107" i="3" s="1"/>
  <c r="Z107" i="3" s="1"/>
  <c r="AA107" i="3" s="1"/>
  <c r="H107" i="3"/>
  <c r="T107" i="3"/>
  <c r="J107" i="3"/>
  <c r="V107" i="3"/>
  <c r="M107" i="3"/>
  <c r="C107" i="3"/>
  <c r="N107" i="3"/>
  <c r="N108" i="2"/>
  <c r="K107" i="2"/>
  <c r="H107" i="2" s="1"/>
  <c r="L108" i="2"/>
  <c r="I107" i="2"/>
  <c r="F107" i="2" s="1"/>
  <c r="E109" i="2" l="1"/>
  <c r="B109" i="3"/>
  <c r="D108" i="4"/>
  <c r="K108" i="4"/>
  <c r="N108" i="4" s="1"/>
  <c r="I108" i="4"/>
  <c r="M108" i="4" s="1"/>
  <c r="G108" i="4"/>
  <c r="L108" i="4" s="1"/>
  <c r="C108" i="4"/>
  <c r="AB107" i="3"/>
  <c r="E108" i="4" s="1"/>
  <c r="I106" i="3"/>
  <c r="F107" i="4" s="1"/>
  <c r="U106" i="3"/>
  <c r="J107" i="4" s="1"/>
  <c r="O106" i="3"/>
  <c r="H107" i="4" s="1"/>
  <c r="F107" i="3"/>
  <c r="D108" i="3"/>
  <c r="C110" i="2"/>
  <c r="M109" i="2"/>
  <c r="J108" i="2"/>
  <c r="G108" i="2" s="1"/>
  <c r="L109" i="2"/>
  <c r="I108" i="2"/>
  <c r="F108" i="2" s="1"/>
  <c r="A109" i="4"/>
  <c r="M108" i="3"/>
  <c r="N108" i="3"/>
  <c r="C108" i="3"/>
  <c r="P108" i="3"/>
  <c r="E108" i="3"/>
  <c r="G108" i="3"/>
  <c r="S108" i="3"/>
  <c r="Y108" i="3" s="1"/>
  <c r="Z108" i="3" s="1"/>
  <c r="AA108" i="3" s="1"/>
  <c r="H108" i="3"/>
  <c r="T108" i="3"/>
  <c r="J108" i="3"/>
  <c r="V108" i="3"/>
  <c r="D110" i="2"/>
  <c r="N109" i="2"/>
  <c r="K108" i="2"/>
  <c r="H108" i="2" s="1"/>
  <c r="E110" i="2" l="1"/>
  <c r="B110" i="3"/>
  <c r="D109" i="4"/>
  <c r="K109" i="4"/>
  <c r="N109" i="4" s="1"/>
  <c r="G109" i="4"/>
  <c r="L109" i="4" s="1"/>
  <c r="I109" i="4"/>
  <c r="M109" i="4" s="1"/>
  <c r="C109" i="4"/>
  <c r="AB108" i="3"/>
  <c r="E109" i="4" s="1"/>
  <c r="D111" i="2"/>
  <c r="L110" i="2"/>
  <c r="I109" i="2"/>
  <c r="F109" i="2" s="1"/>
  <c r="M110" i="2"/>
  <c r="J109" i="2"/>
  <c r="G109" i="2" s="1"/>
  <c r="C111" i="2"/>
  <c r="E111" i="2" s="1"/>
  <c r="K109" i="2"/>
  <c r="H109" i="2" s="1"/>
  <c r="N110" i="2"/>
  <c r="F108" i="3"/>
  <c r="D109" i="3"/>
  <c r="I107" i="3"/>
  <c r="F108" i="4" s="1"/>
  <c r="U107" i="3"/>
  <c r="J108" i="4" s="1"/>
  <c r="O107" i="3"/>
  <c r="H108" i="4" s="1"/>
  <c r="A110" i="4"/>
  <c r="J109" i="3"/>
  <c r="V109" i="3"/>
  <c r="M109" i="3"/>
  <c r="N109" i="3"/>
  <c r="C109" i="3"/>
  <c r="P109" i="3"/>
  <c r="E109" i="3"/>
  <c r="G109" i="3"/>
  <c r="S109" i="3"/>
  <c r="Y109" i="3" s="1"/>
  <c r="Z109" i="3" s="1"/>
  <c r="AA109" i="3" s="1"/>
  <c r="H109" i="3"/>
  <c r="T109" i="3"/>
  <c r="B111" i="3" l="1"/>
  <c r="D110" i="4"/>
  <c r="A111" i="4"/>
  <c r="G110" i="3"/>
  <c r="S110" i="3"/>
  <c r="Y110" i="3" s="1"/>
  <c r="Z110" i="3" s="1"/>
  <c r="AA110" i="3" s="1"/>
  <c r="H110" i="3"/>
  <c r="T110" i="3"/>
  <c r="J110" i="3"/>
  <c r="V110" i="3"/>
  <c r="M110" i="3"/>
  <c r="N110" i="3"/>
  <c r="C110" i="3"/>
  <c r="P110" i="3"/>
  <c r="E110" i="3"/>
  <c r="F109" i="3"/>
  <c r="D110" i="3"/>
  <c r="O108" i="3"/>
  <c r="H109" i="4" s="1"/>
  <c r="I108" i="3"/>
  <c r="F109" i="4" s="1"/>
  <c r="U108" i="3"/>
  <c r="J109" i="4" s="1"/>
  <c r="C110" i="4"/>
  <c r="AB109" i="3"/>
  <c r="E110" i="4" s="1"/>
  <c r="C112" i="2"/>
  <c r="I110" i="4"/>
  <c r="M110" i="4" s="1"/>
  <c r="K110" i="4"/>
  <c r="N110" i="4" s="1"/>
  <c r="G110" i="4"/>
  <c r="L110" i="4" s="1"/>
  <c r="M111" i="2"/>
  <c r="J110" i="2"/>
  <c r="G110" i="2" s="1"/>
  <c r="N111" i="2"/>
  <c r="K110" i="2"/>
  <c r="H110" i="2" s="1"/>
  <c r="L111" i="2"/>
  <c r="I110" i="2"/>
  <c r="F110" i="2" s="1"/>
  <c r="D112" i="2"/>
  <c r="E112" i="2" l="1"/>
  <c r="B112" i="3"/>
  <c r="D111" i="4"/>
  <c r="C113" i="2"/>
  <c r="I111" i="2"/>
  <c r="F111" i="2" s="1"/>
  <c r="L112" i="2"/>
  <c r="N112" i="2"/>
  <c r="K111" i="2"/>
  <c r="H111" i="2" s="1"/>
  <c r="C111" i="4"/>
  <c r="AB110" i="3"/>
  <c r="E111" i="4" s="1"/>
  <c r="J111" i="2"/>
  <c r="G111" i="2" s="1"/>
  <c r="M112" i="2"/>
  <c r="D111" i="3"/>
  <c r="F110" i="3"/>
  <c r="O109" i="3"/>
  <c r="H110" i="4" s="1"/>
  <c r="I109" i="3"/>
  <c r="F110" i="4" s="1"/>
  <c r="U109" i="3"/>
  <c r="J110" i="4" s="1"/>
  <c r="I111" i="4"/>
  <c r="M111" i="4" s="1"/>
  <c r="K111" i="4"/>
  <c r="N111" i="4" s="1"/>
  <c r="G111" i="4"/>
  <c r="L111" i="4" s="1"/>
  <c r="D113" i="2"/>
  <c r="A112" i="4"/>
  <c r="P111" i="3"/>
  <c r="E111" i="3"/>
  <c r="G111" i="3"/>
  <c r="S111" i="3"/>
  <c r="Y111" i="3" s="1"/>
  <c r="Z111" i="3" s="1"/>
  <c r="AA111" i="3" s="1"/>
  <c r="H111" i="3"/>
  <c r="T111" i="3"/>
  <c r="J111" i="3"/>
  <c r="V111" i="3"/>
  <c r="M111" i="3"/>
  <c r="C111" i="3"/>
  <c r="N111" i="3"/>
  <c r="E113" i="2" l="1"/>
  <c r="B113" i="3"/>
  <c r="D112" i="4"/>
  <c r="N113" i="2"/>
  <c r="K112" i="2"/>
  <c r="H112" i="2" s="1"/>
  <c r="A113" i="4"/>
  <c r="M112" i="3"/>
  <c r="N112" i="3"/>
  <c r="C112" i="3"/>
  <c r="P112" i="3"/>
  <c r="E112" i="3"/>
  <c r="G112" i="3"/>
  <c r="S112" i="3"/>
  <c r="Y112" i="3" s="1"/>
  <c r="Z112" i="3" s="1"/>
  <c r="AA112" i="3" s="1"/>
  <c r="H112" i="3"/>
  <c r="T112" i="3"/>
  <c r="J112" i="3"/>
  <c r="V112" i="3"/>
  <c r="L113" i="2"/>
  <c r="I112" i="2"/>
  <c r="F112" i="2" s="1"/>
  <c r="C114" i="2"/>
  <c r="G112" i="4"/>
  <c r="L112" i="4" s="1"/>
  <c r="I112" i="4"/>
  <c r="M112" i="4" s="1"/>
  <c r="K112" i="4"/>
  <c r="N112" i="4" s="1"/>
  <c r="D114" i="2"/>
  <c r="I110" i="3"/>
  <c r="F111" i="4" s="1"/>
  <c r="U110" i="3"/>
  <c r="J111" i="4" s="1"/>
  <c r="O110" i="3"/>
  <c r="H111" i="4" s="1"/>
  <c r="C112" i="4"/>
  <c r="AB111" i="3"/>
  <c r="E112" i="4" s="1"/>
  <c r="F111" i="3"/>
  <c r="D112" i="3"/>
  <c r="M113" i="2"/>
  <c r="J112" i="2"/>
  <c r="G112" i="2" s="1"/>
  <c r="E114" i="2" l="1"/>
  <c r="B114" i="3"/>
  <c r="D113" i="4"/>
  <c r="C115" i="2"/>
  <c r="D115" i="2"/>
  <c r="L114" i="2"/>
  <c r="I113" i="2"/>
  <c r="F113" i="2" s="1"/>
  <c r="C113" i="4"/>
  <c r="AB112" i="3"/>
  <c r="E113" i="4" s="1"/>
  <c r="G113" i="4"/>
  <c r="L113" i="4" s="1"/>
  <c r="I113" i="4"/>
  <c r="M113" i="4" s="1"/>
  <c r="K113" i="4"/>
  <c r="N113" i="4" s="1"/>
  <c r="A114" i="4"/>
  <c r="J113" i="3"/>
  <c r="V113" i="3"/>
  <c r="M113" i="3"/>
  <c r="N113" i="3"/>
  <c r="C113" i="3"/>
  <c r="P113" i="3"/>
  <c r="E113" i="3"/>
  <c r="G113" i="3"/>
  <c r="S113" i="3"/>
  <c r="Y113" i="3" s="1"/>
  <c r="Z113" i="3" s="1"/>
  <c r="AA113" i="3" s="1"/>
  <c r="H113" i="3"/>
  <c r="T113" i="3"/>
  <c r="M114" i="2"/>
  <c r="J113" i="2"/>
  <c r="G113" i="2" s="1"/>
  <c r="N114" i="2"/>
  <c r="K113" i="2"/>
  <c r="H113" i="2" s="1"/>
  <c r="F112" i="3"/>
  <c r="D113" i="3"/>
  <c r="I111" i="3"/>
  <c r="F112" i="4" s="1"/>
  <c r="U111" i="3"/>
  <c r="J112" i="4" s="1"/>
  <c r="O111" i="3"/>
  <c r="H112" i="4" s="1"/>
  <c r="E115" i="2" l="1"/>
  <c r="B115" i="3"/>
  <c r="D114" i="4"/>
  <c r="N115" i="2"/>
  <c r="K114" i="2"/>
  <c r="H114" i="2" s="1"/>
  <c r="C114" i="4"/>
  <c r="AB113" i="3"/>
  <c r="E114" i="4" s="1"/>
  <c r="L115" i="2"/>
  <c r="I114" i="2"/>
  <c r="F114" i="2" s="1"/>
  <c r="G114" i="4"/>
  <c r="L114" i="4" s="1"/>
  <c r="I114" i="4"/>
  <c r="M114" i="4" s="1"/>
  <c r="K114" i="4"/>
  <c r="N114" i="4" s="1"/>
  <c r="D116" i="2"/>
  <c r="C116" i="2"/>
  <c r="A115" i="4"/>
  <c r="G114" i="3"/>
  <c r="S114" i="3"/>
  <c r="Y114" i="3" s="1"/>
  <c r="Z114" i="3" s="1"/>
  <c r="AA114" i="3" s="1"/>
  <c r="H114" i="3"/>
  <c r="T114" i="3"/>
  <c r="J114" i="3"/>
  <c r="V114" i="3"/>
  <c r="M114" i="3"/>
  <c r="N114" i="3"/>
  <c r="C114" i="3"/>
  <c r="P114" i="3"/>
  <c r="E114" i="3"/>
  <c r="O112" i="3"/>
  <c r="H113" i="4" s="1"/>
  <c r="I112" i="3"/>
  <c r="F113" i="4" s="1"/>
  <c r="U112" i="3"/>
  <c r="J113" i="4" s="1"/>
  <c r="M115" i="2"/>
  <c r="J114" i="2"/>
  <c r="G114" i="2" s="1"/>
  <c r="F113" i="3"/>
  <c r="D114" i="3"/>
  <c r="E116" i="2" l="1"/>
  <c r="B116" i="3"/>
  <c r="D115" i="4"/>
  <c r="A116" i="4"/>
  <c r="P115" i="3"/>
  <c r="E115" i="3"/>
  <c r="G115" i="3"/>
  <c r="S115" i="3"/>
  <c r="Y115" i="3" s="1"/>
  <c r="Z115" i="3" s="1"/>
  <c r="AA115" i="3" s="1"/>
  <c r="H115" i="3"/>
  <c r="T115" i="3"/>
  <c r="J115" i="3"/>
  <c r="V115" i="3"/>
  <c r="M115" i="3"/>
  <c r="C115" i="3"/>
  <c r="N115" i="3"/>
  <c r="G115" i="4"/>
  <c r="L115" i="4" s="1"/>
  <c r="I115" i="4"/>
  <c r="M115" i="4" s="1"/>
  <c r="K115" i="4"/>
  <c r="N115" i="4" s="1"/>
  <c r="C117" i="2"/>
  <c r="L116" i="2"/>
  <c r="I115" i="2"/>
  <c r="F115" i="2" s="1"/>
  <c r="D117" i="2"/>
  <c r="D115" i="3"/>
  <c r="F114" i="3"/>
  <c r="C115" i="4"/>
  <c r="AB114" i="3"/>
  <c r="E115" i="4" s="1"/>
  <c r="O113" i="3"/>
  <c r="H114" i="4" s="1"/>
  <c r="I113" i="3"/>
  <c r="F114" i="4" s="1"/>
  <c r="U113" i="3"/>
  <c r="J114" i="4" s="1"/>
  <c r="N116" i="2"/>
  <c r="K115" i="2"/>
  <c r="H115" i="2" s="1"/>
  <c r="M116" i="2"/>
  <c r="J115" i="2"/>
  <c r="G115" i="2" s="1"/>
  <c r="E117" i="2" l="1"/>
  <c r="B117" i="3"/>
  <c r="D116" i="4"/>
  <c r="C118" i="2"/>
  <c r="I114" i="3"/>
  <c r="F115" i="4" s="1"/>
  <c r="U114" i="3"/>
  <c r="J115" i="4" s="1"/>
  <c r="O114" i="3"/>
  <c r="H115" i="4" s="1"/>
  <c r="F115" i="3"/>
  <c r="D116" i="3"/>
  <c r="A117" i="4"/>
  <c r="M116" i="3"/>
  <c r="N116" i="3"/>
  <c r="C116" i="3"/>
  <c r="P116" i="3"/>
  <c r="E116" i="3"/>
  <c r="G116" i="3"/>
  <c r="S116" i="3"/>
  <c r="Y116" i="3" s="1"/>
  <c r="Z116" i="3" s="1"/>
  <c r="AA116" i="3" s="1"/>
  <c r="H116" i="3"/>
  <c r="T116" i="3"/>
  <c r="J116" i="3"/>
  <c r="V116" i="3"/>
  <c r="D118" i="2"/>
  <c r="G116" i="4"/>
  <c r="L116" i="4" s="1"/>
  <c r="I116" i="4"/>
  <c r="M116" i="4" s="1"/>
  <c r="K116" i="4"/>
  <c r="N116" i="4" s="1"/>
  <c r="J116" i="2"/>
  <c r="G116" i="2" s="1"/>
  <c r="M117" i="2"/>
  <c r="K116" i="2"/>
  <c r="H116" i="2" s="1"/>
  <c r="N117" i="2"/>
  <c r="L117" i="2"/>
  <c r="I116" i="2"/>
  <c r="F116" i="2" s="1"/>
  <c r="C116" i="4"/>
  <c r="AB115" i="3"/>
  <c r="E118" i="2" l="1"/>
  <c r="B118" i="3"/>
  <c r="E116" i="4"/>
  <c r="D117" i="4"/>
  <c r="G117" i="4"/>
  <c r="L117" i="4" s="1"/>
  <c r="I117" i="4"/>
  <c r="M117" i="4" s="1"/>
  <c r="K117" i="4"/>
  <c r="N117" i="4" s="1"/>
  <c r="C117" i="4"/>
  <c r="AB116" i="3"/>
  <c r="M118" i="2"/>
  <c r="J117" i="2"/>
  <c r="G117" i="2" s="1"/>
  <c r="F116" i="3"/>
  <c r="D117" i="3"/>
  <c r="I115" i="3"/>
  <c r="U115" i="3"/>
  <c r="O115" i="3"/>
  <c r="N118" i="2"/>
  <c r="K117" i="2"/>
  <c r="H117" i="2" s="1"/>
  <c r="A118" i="4"/>
  <c r="J117" i="3"/>
  <c r="V117" i="3"/>
  <c r="M117" i="3"/>
  <c r="N117" i="3"/>
  <c r="C117" i="3"/>
  <c r="P117" i="3"/>
  <c r="E117" i="3"/>
  <c r="G117" i="3"/>
  <c r="S117" i="3"/>
  <c r="Y117" i="3" s="1"/>
  <c r="Z117" i="3" s="1"/>
  <c r="AA117" i="3" s="1"/>
  <c r="T117" i="3"/>
  <c r="H117" i="3"/>
  <c r="C119" i="2"/>
  <c r="D119" i="2"/>
  <c r="L118" i="2"/>
  <c r="I117" i="2"/>
  <c r="F117" i="2" s="1"/>
  <c r="E119" i="2" l="1"/>
  <c r="B119" i="3"/>
  <c r="E117" i="4"/>
  <c r="H116" i="4"/>
  <c r="J116" i="4"/>
  <c r="F116" i="4"/>
  <c r="D118" i="4"/>
  <c r="C118" i="4"/>
  <c r="AB117" i="3"/>
  <c r="M119" i="2"/>
  <c r="J118" i="2"/>
  <c r="G118" i="2" s="1"/>
  <c r="C120" i="2"/>
  <c r="G118" i="4"/>
  <c r="L118" i="4" s="1"/>
  <c r="I118" i="4"/>
  <c r="M118" i="4" s="1"/>
  <c r="K118" i="4"/>
  <c r="N118" i="4" s="1"/>
  <c r="N119" i="2"/>
  <c r="K118" i="2"/>
  <c r="H118" i="2" s="1"/>
  <c r="A119" i="4"/>
  <c r="G118" i="3"/>
  <c r="S118" i="3"/>
  <c r="Y118" i="3" s="1"/>
  <c r="Z118" i="3" s="1"/>
  <c r="AA118" i="3" s="1"/>
  <c r="H118" i="3"/>
  <c r="T118" i="3"/>
  <c r="J118" i="3"/>
  <c r="V118" i="3"/>
  <c r="M118" i="3"/>
  <c r="N118" i="3"/>
  <c r="C118" i="3"/>
  <c r="P118" i="3"/>
  <c r="E118" i="3"/>
  <c r="I118" i="2"/>
  <c r="F118" i="2" s="1"/>
  <c r="L119" i="2"/>
  <c r="F117" i="3"/>
  <c r="D118" i="3"/>
  <c r="D120" i="2"/>
  <c r="O116" i="3"/>
  <c r="I116" i="3"/>
  <c r="U116" i="3"/>
  <c r="E120" i="2" l="1"/>
  <c r="B120" i="3"/>
  <c r="E118" i="4"/>
  <c r="J117" i="4"/>
  <c r="F117" i="4"/>
  <c r="H117" i="4"/>
  <c r="D119" i="4"/>
  <c r="D119" i="3"/>
  <c r="F118" i="3"/>
  <c r="O117" i="3"/>
  <c r="U117" i="3"/>
  <c r="I117" i="3"/>
  <c r="C121" i="2"/>
  <c r="L120" i="2"/>
  <c r="I119" i="2"/>
  <c r="F119" i="2" s="1"/>
  <c r="A120" i="4"/>
  <c r="P119" i="3"/>
  <c r="E119" i="3"/>
  <c r="G119" i="3"/>
  <c r="S119" i="3"/>
  <c r="Y119" i="3" s="1"/>
  <c r="Z119" i="3" s="1"/>
  <c r="AA119" i="3" s="1"/>
  <c r="H119" i="3"/>
  <c r="T119" i="3"/>
  <c r="J119" i="3"/>
  <c r="V119" i="3"/>
  <c r="M119" i="3"/>
  <c r="N119" i="3"/>
  <c r="C119" i="3"/>
  <c r="G119" i="4"/>
  <c r="L119" i="4" s="1"/>
  <c r="I119" i="4"/>
  <c r="M119" i="4" s="1"/>
  <c r="K119" i="4"/>
  <c r="N119" i="4" s="1"/>
  <c r="M120" i="2"/>
  <c r="J119" i="2"/>
  <c r="G119" i="2" s="1"/>
  <c r="N120" i="2"/>
  <c r="K119" i="2"/>
  <c r="H119" i="2" s="1"/>
  <c r="D121" i="2"/>
  <c r="C119" i="4"/>
  <c r="AB118" i="3"/>
  <c r="E121" i="2" l="1"/>
  <c r="B121" i="3"/>
  <c r="H118" i="4"/>
  <c r="E119" i="4"/>
  <c r="F118" i="4"/>
  <c r="J118" i="4"/>
  <c r="D120" i="4"/>
  <c r="C120" i="4"/>
  <c r="AB119" i="3"/>
  <c r="L121" i="2"/>
  <c r="I120" i="2"/>
  <c r="F120" i="2" s="1"/>
  <c r="N121" i="2"/>
  <c r="K120" i="2"/>
  <c r="H120" i="2" s="1"/>
  <c r="C122" i="2"/>
  <c r="M121" i="2"/>
  <c r="J120" i="2"/>
  <c r="G120" i="2" s="1"/>
  <c r="A121" i="4"/>
  <c r="M120" i="3"/>
  <c r="N120" i="3"/>
  <c r="C120" i="3"/>
  <c r="P120" i="3"/>
  <c r="E120" i="3"/>
  <c r="G120" i="3"/>
  <c r="S120" i="3"/>
  <c r="Y120" i="3" s="1"/>
  <c r="Z120" i="3" s="1"/>
  <c r="AA120" i="3" s="1"/>
  <c r="H120" i="3"/>
  <c r="T120" i="3"/>
  <c r="J120" i="3"/>
  <c r="V120" i="3"/>
  <c r="I118" i="3"/>
  <c r="U118" i="3"/>
  <c r="O118" i="3"/>
  <c r="F119" i="3"/>
  <c r="D120" i="3"/>
  <c r="D122" i="2"/>
  <c r="K120" i="4"/>
  <c r="N120" i="4" s="1"/>
  <c r="G120" i="4"/>
  <c r="L120" i="4" s="1"/>
  <c r="I120" i="4"/>
  <c r="M120" i="4" s="1"/>
  <c r="E122" i="2" l="1"/>
  <c r="B122" i="3"/>
  <c r="E120" i="4"/>
  <c r="H119" i="4"/>
  <c r="J119" i="4"/>
  <c r="F119" i="4"/>
  <c r="D121" i="4"/>
  <c r="C123" i="2"/>
  <c r="E123" i="2" s="1"/>
  <c r="M122" i="2"/>
  <c r="J121" i="2"/>
  <c r="G121" i="2" s="1"/>
  <c r="D123" i="2"/>
  <c r="A122" i="4"/>
  <c r="J121" i="3"/>
  <c r="V121" i="3"/>
  <c r="M121" i="3"/>
  <c r="N121" i="3"/>
  <c r="C121" i="3"/>
  <c r="P121" i="3"/>
  <c r="E121" i="3"/>
  <c r="G121" i="3"/>
  <c r="S121" i="3"/>
  <c r="Y121" i="3" s="1"/>
  <c r="Z121" i="3" s="1"/>
  <c r="AA121" i="3" s="1"/>
  <c r="H121" i="3"/>
  <c r="T121" i="3"/>
  <c r="F120" i="3"/>
  <c r="D121" i="3"/>
  <c r="K121" i="2"/>
  <c r="H121" i="2" s="1"/>
  <c r="N122" i="2"/>
  <c r="I119" i="3"/>
  <c r="U119" i="3"/>
  <c r="O119" i="3"/>
  <c r="L122" i="2"/>
  <c r="I121" i="2"/>
  <c r="F121" i="2" s="1"/>
  <c r="C121" i="4"/>
  <c r="AB120" i="3"/>
  <c r="K121" i="4"/>
  <c r="N121" i="4" s="1"/>
  <c r="G121" i="4"/>
  <c r="L121" i="4" s="1"/>
  <c r="I121" i="4"/>
  <c r="M121" i="4" s="1"/>
  <c r="B123" i="3" l="1"/>
  <c r="H120" i="4"/>
  <c r="J120" i="4"/>
  <c r="F120" i="4"/>
  <c r="E121" i="4"/>
  <c r="D122" i="4"/>
  <c r="O120" i="3"/>
  <c r="I120" i="3"/>
  <c r="U120" i="3"/>
  <c r="D124" i="2"/>
  <c r="I122" i="4"/>
  <c r="M122" i="4" s="1"/>
  <c r="K122" i="4"/>
  <c r="N122" i="4" s="1"/>
  <c r="G122" i="4"/>
  <c r="L122" i="4" s="1"/>
  <c r="L123" i="2"/>
  <c r="I122" i="2"/>
  <c r="F122" i="2" s="1"/>
  <c r="A123" i="4"/>
  <c r="G122" i="3"/>
  <c r="S122" i="3"/>
  <c r="Y122" i="3" s="1"/>
  <c r="Z122" i="3" s="1"/>
  <c r="AA122" i="3" s="1"/>
  <c r="H122" i="3"/>
  <c r="T122" i="3"/>
  <c r="J122" i="3"/>
  <c r="V122" i="3"/>
  <c r="M122" i="3"/>
  <c r="C122" i="3"/>
  <c r="P122" i="3"/>
  <c r="E122" i="3"/>
  <c r="N122" i="3"/>
  <c r="M123" i="2"/>
  <c r="J122" i="2"/>
  <c r="G122" i="2" s="1"/>
  <c r="C124" i="2"/>
  <c r="E124" i="2" s="1"/>
  <c r="N123" i="2"/>
  <c r="K122" i="2"/>
  <c r="H122" i="2" s="1"/>
  <c r="C122" i="4"/>
  <c r="AB121" i="3"/>
  <c r="F121" i="3"/>
  <c r="D122" i="3"/>
  <c r="B124" i="3" l="1"/>
  <c r="F121" i="4"/>
  <c r="J121" i="4"/>
  <c r="H121" i="4"/>
  <c r="E122" i="4"/>
  <c r="D123" i="4"/>
  <c r="N124" i="2"/>
  <c r="K123" i="2"/>
  <c r="H123" i="2" s="1"/>
  <c r="C123" i="4"/>
  <c r="AB122" i="3"/>
  <c r="C125" i="2"/>
  <c r="J123" i="2"/>
  <c r="G123" i="2" s="1"/>
  <c r="M124" i="2"/>
  <c r="D125" i="2"/>
  <c r="I123" i="4"/>
  <c r="M123" i="4" s="1"/>
  <c r="K123" i="4"/>
  <c r="N123" i="4" s="1"/>
  <c r="G123" i="4"/>
  <c r="L123" i="4" s="1"/>
  <c r="D123" i="3"/>
  <c r="F122" i="3"/>
  <c r="O121" i="3"/>
  <c r="I121" i="3"/>
  <c r="U121" i="3"/>
  <c r="A124" i="4"/>
  <c r="P123" i="3"/>
  <c r="E123" i="3"/>
  <c r="G123" i="3"/>
  <c r="S123" i="3"/>
  <c r="Y123" i="3" s="1"/>
  <c r="Z123" i="3" s="1"/>
  <c r="AA123" i="3" s="1"/>
  <c r="H123" i="3"/>
  <c r="T123" i="3"/>
  <c r="J123" i="3"/>
  <c r="V123" i="3"/>
  <c r="M123" i="3"/>
  <c r="C123" i="3"/>
  <c r="N123" i="3"/>
  <c r="I123" i="2"/>
  <c r="F123" i="2" s="1"/>
  <c r="L124" i="2"/>
  <c r="E125" i="2" l="1"/>
  <c r="B125" i="3"/>
  <c r="H122" i="4"/>
  <c r="J122" i="4"/>
  <c r="F122" i="4"/>
  <c r="E123" i="4"/>
  <c r="D124" i="4"/>
  <c r="M125" i="2"/>
  <c r="J124" i="2"/>
  <c r="G124" i="2" s="1"/>
  <c r="I122" i="3"/>
  <c r="U122" i="3"/>
  <c r="O122" i="3"/>
  <c r="F123" i="3"/>
  <c r="D124" i="3"/>
  <c r="C126" i="2"/>
  <c r="C124" i="4"/>
  <c r="AB123" i="3"/>
  <c r="A125" i="4"/>
  <c r="M124" i="3"/>
  <c r="N124" i="3"/>
  <c r="C124" i="3"/>
  <c r="P124" i="3"/>
  <c r="E124" i="3"/>
  <c r="G124" i="3"/>
  <c r="S124" i="3"/>
  <c r="Y124" i="3" s="1"/>
  <c r="Z124" i="3" s="1"/>
  <c r="AA124" i="3" s="1"/>
  <c r="J124" i="3"/>
  <c r="V124" i="3"/>
  <c r="H124" i="3"/>
  <c r="T124" i="3"/>
  <c r="L125" i="2"/>
  <c r="I124" i="2"/>
  <c r="F124" i="2" s="1"/>
  <c r="N125" i="2"/>
  <c r="K124" i="2"/>
  <c r="H124" i="2" s="1"/>
  <c r="G124" i="4"/>
  <c r="L124" i="4" s="1"/>
  <c r="I124" i="4"/>
  <c r="M124" i="4" s="1"/>
  <c r="K124" i="4"/>
  <c r="N124" i="4" s="1"/>
  <c r="D126" i="2"/>
  <c r="E126" i="2" l="1"/>
  <c r="B126" i="3"/>
  <c r="F123" i="4"/>
  <c r="E124" i="4"/>
  <c r="H123" i="4"/>
  <c r="J123" i="4"/>
  <c r="D125" i="4"/>
  <c r="C127" i="2"/>
  <c r="A126" i="4"/>
  <c r="J125" i="3"/>
  <c r="V125" i="3"/>
  <c r="M125" i="3"/>
  <c r="N125" i="3"/>
  <c r="C125" i="3"/>
  <c r="P125" i="3"/>
  <c r="G125" i="3"/>
  <c r="S125" i="3"/>
  <c r="Y125" i="3" s="1"/>
  <c r="Z125" i="3" s="1"/>
  <c r="AA125" i="3" s="1"/>
  <c r="T125" i="3"/>
  <c r="E125" i="3"/>
  <c r="H125" i="3"/>
  <c r="F124" i="3"/>
  <c r="D125" i="3"/>
  <c r="I123" i="3"/>
  <c r="U123" i="3"/>
  <c r="O123" i="3"/>
  <c r="N126" i="2"/>
  <c r="K125" i="2"/>
  <c r="H125" i="2" s="1"/>
  <c r="L126" i="2"/>
  <c r="I125" i="2"/>
  <c r="F125" i="2" s="1"/>
  <c r="C125" i="4"/>
  <c r="AB124" i="3"/>
  <c r="D127" i="2"/>
  <c r="G125" i="4"/>
  <c r="L125" i="4" s="1"/>
  <c r="I125" i="4"/>
  <c r="M125" i="4" s="1"/>
  <c r="K125" i="4"/>
  <c r="N125" i="4" s="1"/>
  <c r="M126" i="2"/>
  <c r="J125" i="2"/>
  <c r="G125" i="2" s="1"/>
  <c r="E127" i="2" l="1"/>
  <c r="B127" i="3"/>
  <c r="E125" i="4"/>
  <c r="H124" i="4"/>
  <c r="J124" i="4"/>
  <c r="F124" i="4"/>
  <c r="D126" i="4"/>
  <c r="C126" i="4"/>
  <c r="AB125" i="3"/>
  <c r="F125" i="3"/>
  <c r="D126" i="3"/>
  <c r="O124" i="3"/>
  <c r="I124" i="3"/>
  <c r="U124" i="3"/>
  <c r="D128" i="2"/>
  <c r="G126" i="4"/>
  <c r="L126" i="4" s="1"/>
  <c r="I126" i="4"/>
  <c r="M126" i="4" s="1"/>
  <c r="K126" i="4"/>
  <c r="N126" i="4" s="1"/>
  <c r="N127" i="2"/>
  <c r="K126" i="2"/>
  <c r="H126" i="2" s="1"/>
  <c r="C128" i="2"/>
  <c r="A127" i="4"/>
  <c r="G126" i="3"/>
  <c r="S126" i="3"/>
  <c r="Y126" i="3" s="1"/>
  <c r="Z126" i="3" s="1"/>
  <c r="AA126" i="3" s="1"/>
  <c r="H126" i="3"/>
  <c r="T126" i="3"/>
  <c r="J126" i="3"/>
  <c r="V126" i="3"/>
  <c r="M126" i="3"/>
  <c r="C126" i="3"/>
  <c r="P126" i="3"/>
  <c r="E126" i="3"/>
  <c r="N126" i="3"/>
  <c r="M127" i="2"/>
  <c r="J126" i="2"/>
  <c r="G126" i="2" s="1"/>
  <c r="L127" i="2"/>
  <c r="I126" i="2"/>
  <c r="F126" i="2" s="1"/>
  <c r="E128" i="2" l="1"/>
  <c r="B128" i="3"/>
  <c r="E126" i="4"/>
  <c r="J125" i="4"/>
  <c r="F125" i="4"/>
  <c r="H125" i="4"/>
  <c r="D127" i="4"/>
  <c r="G127" i="4"/>
  <c r="L127" i="4" s="1"/>
  <c r="I127" i="4"/>
  <c r="M127" i="4" s="1"/>
  <c r="K127" i="4"/>
  <c r="N127" i="4" s="1"/>
  <c r="D129" i="2"/>
  <c r="A128" i="4"/>
  <c r="P127" i="3"/>
  <c r="E127" i="3"/>
  <c r="G127" i="3"/>
  <c r="S127" i="3"/>
  <c r="Y127" i="3" s="1"/>
  <c r="Z127" i="3" s="1"/>
  <c r="AA127" i="3" s="1"/>
  <c r="H127" i="3"/>
  <c r="T127" i="3"/>
  <c r="J127" i="3"/>
  <c r="V127" i="3"/>
  <c r="M127" i="3"/>
  <c r="C127" i="3"/>
  <c r="N127" i="3"/>
  <c r="C127" i="4"/>
  <c r="AB126" i="3"/>
  <c r="N128" i="2"/>
  <c r="K127" i="2"/>
  <c r="H127" i="2" s="1"/>
  <c r="D127" i="3"/>
  <c r="F126" i="3"/>
  <c r="O125" i="3"/>
  <c r="U125" i="3"/>
  <c r="I125" i="3"/>
  <c r="C129" i="2"/>
  <c r="L128" i="2"/>
  <c r="I127" i="2"/>
  <c r="F127" i="2" s="1"/>
  <c r="M128" i="2"/>
  <c r="J127" i="2"/>
  <c r="G127" i="2" s="1"/>
  <c r="E129" i="2" l="1"/>
  <c r="B129" i="3"/>
  <c r="F126" i="4"/>
  <c r="H126" i="4"/>
  <c r="J126" i="4"/>
  <c r="E127" i="4"/>
  <c r="D128" i="4"/>
  <c r="G128" i="4"/>
  <c r="L128" i="4" s="1"/>
  <c r="I128" i="4"/>
  <c r="M128" i="4" s="1"/>
  <c r="K128" i="4"/>
  <c r="N128" i="4" s="1"/>
  <c r="C130" i="2"/>
  <c r="C128" i="4"/>
  <c r="AB127" i="3"/>
  <c r="D130" i="2"/>
  <c r="I126" i="3"/>
  <c r="U126" i="3"/>
  <c r="O126" i="3"/>
  <c r="J128" i="2"/>
  <c r="G128" i="2" s="1"/>
  <c r="M129" i="2"/>
  <c r="K128" i="2"/>
  <c r="H128" i="2" s="1"/>
  <c r="N129" i="2"/>
  <c r="A129" i="4"/>
  <c r="M128" i="3"/>
  <c r="C128" i="3"/>
  <c r="P128" i="3"/>
  <c r="E128" i="3"/>
  <c r="G128" i="3"/>
  <c r="S128" i="3"/>
  <c r="Y128" i="3" s="1"/>
  <c r="Z128" i="3" s="1"/>
  <c r="AA128" i="3" s="1"/>
  <c r="J128" i="3"/>
  <c r="V128" i="3"/>
  <c r="N128" i="3"/>
  <c r="T128" i="3"/>
  <c r="H128" i="3"/>
  <c r="F127" i="3"/>
  <c r="D128" i="3"/>
  <c r="L129" i="2"/>
  <c r="I128" i="2"/>
  <c r="F128" i="2" s="1"/>
  <c r="E130" i="2" l="1"/>
  <c r="B130" i="3"/>
  <c r="H127" i="4"/>
  <c r="J127" i="4"/>
  <c r="F127" i="4"/>
  <c r="E128" i="4"/>
  <c r="D129" i="4"/>
  <c r="G129" i="4"/>
  <c r="L129" i="4" s="1"/>
  <c r="I129" i="4"/>
  <c r="M129" i="4" s="1"/>
  <c r="K129" i="4"/>
  <c r="N129" i="4" s="1"/>
  <c r="N130" i="2"/>
  <c r="K129" i="2"/>
  <c r="H129" i="2" s="1"/>
  <c r="C131" i="2"/>
  <c r="M130" i="2"/>
  <c r="J129" i="2"/>
  <c r="G129" i="2" s="1"/>
  <c r="A130" i="4"/>
  <c r="J129" i="3"/>
  <c r="V129" i="3"/>
  <c r="M129" i="3"/>
  <c r="N129" i="3"/>
  <c r="C129" i="3"/>
  <c r="P129" i="3"/>
  <c r="G129" i="3"/>
  <c r="S129" i="3"/>
  <c r="Y129" i="3" s="1"/>
  <c r="Z129" i="3" s="1"/>
  <c r="AA129" i="3" s="1"/>
  <c r="E129" i="3"/>
  <c r="H129" i="3"/>
  <c r="T129" i="3"/>
  <c r="D131" i="2"/>
  <c r="L130" i="2"/>
  <c r="I129" i="2"/>
  <c r="F129" i="2" s="1"/>
  <c r="F128" i="3"/>
  <c r="D129" i="3"/>
  <c r="I127" i="3"/>
  <c r="U127" i="3"/>
  <c r="O127" i="3"/>
  <c r="C129" i="4"/>
  <c r="AB128" i="3"/>
  <c r="E131" i="2" l="1"/>
  <c r="B131" i="3"/>
  <c r="F128" i="4"/>
  <c r="E129" i="4"/>
  <c r="H128" i="4"/>
  <c r="J128" i="4"/>
  <c r="D130" i="4"/>
  <c r="F129" i="3"/>
  <c r="D130" i="3"/>
  <c r="C132" i="2"/>
  <c r="O128" i="3"/>
  <c r="I128" i="3"/>
  <c r="U128" i="3"/>
  <c r="N131" i="2"/>
  <c r="K130" i="2"/>
  <c r="H130" i="2" s="1"/>
  <c r="I130" i="2"/>
  <c r="F130" i="2" s="1"/>
  <c r="L131" i="2"/>
  <c r="C130" i="4"/>
  <c r="AB129" i="3"/>
  <c r="D132" i="2"/>
  <c r="G130" i="4"/>
  <c r="L130" i="4" s="1"/>
  <c r="K130" i="4"/>
  <c r="N130" i="4" s="1"/>
  <c r="I130" i="4"/>
  <c r="M130" i="4" s="1"/>
  <c r="M131" i="2"/>
  <c r="J130" i="2"/>
  <c r="G130" i="2" s="1"/>
  <c r="A131" i="4"/>
  <c r="G130" i="3"/>
  <c r="S130" i="3"/>
  <c r="Y130" i="3" s="1"/>
  <c r="Z130" i="3" s="1"/>
  <c r="AA130" i="3" s="1"/>
  <c r="J130" i="3"/>
  <c r="V130" i="3"/>
  <c r="M130" i="3"/>
  <c r="C130" i="3"/>
  <c r="P130" i="3"/>
  <c r="E130" i="3"/>
  <c r="H130" i="3"/>
  <c r="N130" i="3"/>
  <c r="T130" i="3"/>
  <c r="E132" i="2" l="1"/>
  <c r="B132" i="3"/>
  <c r="E130" i="4"/>
  <c r="J129" i="4"/>
  <c r="F129" i="4"/>
  <c r="H129" i="4"/>
  <c r="D131" i="4"/>
  <c r="N132" i="2"/>
  <c r="K131" i="2"/>
  <c r="H131" i="2" s="1"/>
  <c r="D133" i="2"/>
  <c r="C133" i="2"/>
  <c r="A132" i="4"/>
  <c r="P131" i="3"/>
  <c r="G131" i="3"/>
  <c r="H131" i="3"/>
  <c r="T131" i="3"/>
  <c r="J131" i="3"/>
  <c r="V131" i="3"/>
  <c r="M131" i="3"/>
  <c r="C131" i="3"/>
  <c r="E131" i="3"/>
  <c r="N131" i="3"/>
  <c r="S131" i="3"/>
  <c r="Y131" i="3" s="1"/>
  <c r="Z131" i="3" s="1"/>
  <c r="AA131" i="3" s="1"/>
  <c r="C131" i="4"/>
  <c r="AB130" i="3"/>
  <c r="G131" i="4"/>
  <c r="L131" i="4" s="1"/>
  <c r="I131" i="4"/>
  <c r="M131" i="4" s="1"/>
  <c r="K131" i="4"/>
  <c r="N131" i="4" s="1"/>
  <c r="D131" i="3"/>
  <c r="F130" i="3"/>
  <c r="O129" i="3"/>
  <c r="U129" i="3"/>
  <c r="I129" i="3"/>
  <c r="M132" i="2"/>
  <c r="J131" i="2"/>
  <c r="G131" i="2" s="1"/>
  <c r="L132" i="2"/>
  <c r="I131" i="2"/>
  <c r="F131" i="2" s="1"/>
  <c r="E133" i="2" l="1"/>
  <c r="B133" i="3"/>
  <c r="F130" i="4"/>
  <c r="J130" i="4"/>
  <c r="H130" i="4"/>
  <c r="E131" i="4"/>
  <c r="D132" i="4"/>
  <c r="K132" i="4"/>
  <c r="N132" i="4" s="1"/>
  <c r="G132" i="4"/>
  <c r="L132" i="4" s="1"/>
  <c r="I132" i="4"/>
  <c r="M132" i="4" s="1"/>
  <c r="C134" i="2"/>
  <c r="I130" i="3"/>
  <c r="U130" i="3"/>
  <c r="O130" i="3"/>
  <c r="F131" i="3"/>
  <c r="D132" i="3"/>
  <c r="A133" i="4"/>
  <c r="M132" i="3"/>
  <c r="C132" i="3"/>
  <c r="E132" i="3"/>
  <c r="G132" i="3"/>
  <c r="S132" i="3"/>
  <c r="Y132" i="3" s="1"/>
  <c r="Z132" i="3" s="1"/>
  <c r="AA132" i="3" s="1"/>
  <c r="J132" i="3"/>
  <c r="V132" i="3"/>
  <c r="H132" i="3"/>
  <c r="N132" i="3"/>
  <c r="P132" i="3"/>
  <c r="T132" i="3"/>
  <c r="D134" i="2"/>
  <c r="C132" i="4"/>
  <c r="AB131" i="3"/>
  <c r="L133" i="2"/>
  <c r="I132" i="2"/>
  <c r="F132" i="2" s="1"/>
  <c r="N133" i="2"/>
  <c r="K132" i="2"/>
  <c r="H132" i="2" s="1"/>
  <c r="M133" i="2"/>
  <c r="J132" i="2"/>
  <c r="G132" i="2" s="1"/>
  <c r="E134" i="2" l="1"/>
  <c r="B134" i="3"/>
  <c r="E132" i="4"/>
  <c r="H131" i="4"/>
  <c r="J131" i="4"/>
  <c r="F131" i="4"/>
  <c r="D133" i="4"/>
  <c r="L134" i="2"/>
  <c r="I133" i="2"/>
  <c r="F133" i="2" s="1"/>
  <c r="A134" i="4"/>
  <c r="J133" i="3"/>
  <c r="V133" i="3"/>
  <c r="N133" i="3"/>
  <c r="P133" i="3"/>
  <c r="G133" i="3"/>
  <c r="S133" i="3"/>
  <c r="Y133" i="3" s="1"/>
  <c r="Z133" i="3" s="1"/>
  <c r="AA133" i="3" s="1"/>
  <c r="C133" i="3"/>
  <c r="E133" i="3"/>
  <c r="H133" i="3"/>
  <c r="M133" i="3"/>
  <c r="T133" i="3"/>
  <c r="C135" i="2"/>
  <c r="D135" i="2"/>
  <c r="C133" i="4"/>
  <c r="AB132" i="3"/>
  <c r="I133" i="4"/>
  <c r="M133" i="4" s="1"/>
  <c r="K133" i="4"/>
  <c r="N133" i="4" s="1"/>
  <c r="G133" i="4"/>
  <c r="L133" i="4" s="1"/>
  <c r="F132" i="3"/>
  <c r="D133" i="3"/>
  <c r="M134" i="2"/>
  <c r="J133" i="2"/>
  <c r="G133" i="2" s="1"/>
  <c r="I131" i="3"/>
  <c r="U131" i="3"/>
  <c r="O131" i="3"/>
  <c r="K133" i="2"/>
  <c r="H133" i="2" s="1"/>
  <c r="N134" i="2"/>
  <c r="E135" i="2" l="1"/>
  <c r="B135" i="3"/>
  <c r="F132" i="4"/>
  <c r="H132" i="4"/>
  <c r="E133" i="4"/>
  <c r="J132" i="4"/>
  <c r="D134" i="4"/>
  <c r="D136" i="2"/>
  <c r="M135" i="2"/>
  <c r="J134" i="2"/>
  <c r="G134" i="2" s="1"/>
  <c r="F133" i="3"/>
  <c r="D134" i="3"/>
  <c r="O132" i="3"/>
  <c r="I132" i="3"/>
  <c r="U132" i="3"/>
  <c r="C136" i="2"/>
  <c r="I134" i="4"/>
  <c r="M134" i="4" s="1"/>
  <c r="K134" i="4"/>
  <c r="N134" i="4" s="1"/>
  <c r="G134" i="4"/>
  <c r="L134" i="4" s="1"/>
  <c r="N135" i="2"/>
  <c r="K134" i="2"/>
  <c r="H134" i="2" s="1"/>
  <c r="C134" i="4"/>
  <c r="AB133" i="3"/>
  <c r="L135" i="2"/>
  <c r="I134" i="2"/>
  <c r="F134" i="2" s="1"/>
  <c r="A135" i="4"/>
  <c r="G134" i="3"/>
  <c r="S134" i="3"/>
  <c r="Y134" i="3" s="1"/>
  <c r="Z134" i="3" s="1"/>
  <c r="AA134" i="3" s="1"/>
  <c r="M134" i="3"/>
  <c r="C134" i="3"/>
  <c r="P134" i="3"/>
  <c r="T134" i="3"/>
  <c r="V134" i="3"/>
  <c r="E134" i="3"/>
  <c r="H134" i="3"/>
  <c r="J134" i="3"/>
  <c r="N134" i="3"/>
  <c r="E136" i="2" l="1"/>
  <c r="B136" i="3"/>
  <c r="J133" i="4"/>
  <c r="F133" i="4"/>
  <c r="H133" i="4"/>
  <c r="E134" i="4"/>
  <c r="D135" i="4"/>
  <c r="N136" i="2"/>
  <c r="K135" i="2"/>
  <c r="H135" i="2" s="1"/>
  <c r="D135" i="3"/>
  <c r="F134" i="3"/>
  <c r="I133" i="3"/>
  <c r="O133" i="3"/>
  <c r="U133" i="3"/>
  <c r="C135" i="4"/>
  <c r="AB134" i="3"/>
  <c r="J135" i="2"/>
  <c r="G135" i="2" s="1"/>
  <c r="M136" i="2"/>
  <c r="K135" i="4"/>
  <c r="N135" i="4" s="1"/>
  <c r="G135" i="4"/>
  <c r="L135" i="4" s="1"/>
  <c r="I135" i="4"/>
  <c r="M135" i="4" s="1"/>
  <c r="D137" i="2"/>
  <c r="A136" i="4"/>
  <c r="P135" i="3"/>
  <c r="H135" i="3"/>
  <c r="T135" i="3"/>
  <c r="J135" i="3"/>
  <c r="V135" i="3"/>
  <c r="M135" i="3"/>
  <c r="N135" i="3"/>
  <c r="S135" i="3"/>
  <c r="Y135" i="3" s="1"/>
  <c r="Z135" i="3" s="1"/>
  <c r="AA135" i="3" s="1"/>
  <c r="C135" i="3"/>
  <c r="E135" i="3"/>
  <c r="G135" i="3"/>
  <c r="I135" i="2"/>
  <c r="F135" i="2" s="1"/>
  <c r="L136" i="2"/>
  <c r="C137" i="2"/>
  <c r="E137" i="2" l="1"/>
  <c r="B137" i="3"/>
  <c r="H134" i="4"/>
  <c r="E135" i="4"/>
  <c r="J134" i="4"/>
  <c r="F134" i="4"/>
  <c r="D136" i="4"/>
  <c r="A137" i="4"/>
  <c r="M136" i="3"/>
  <c r="C136" i="3"/>
  <c r="E136" i="3"/>
  <c r="G136" i="3"/>
  <c r="S136" i="3"/>
  <c r="Y136" i="3" s="1"/>
  <c r="Z136" i="3" s="1"/>
  <c r="AA136" i="3" s="1"/>
  <c r="H136" i="3"/>
  <c r="J136" i="3"/>
  <c r="N136" i="3"/>
  <c r="P136" i="3"/>
  <c r="T136" i="3"/>
  <c r="V136" i="3"/>
  <c r="G136" i="4"/>
  <c r="L136" i="4" s="1"/>
  <c r="I136" i="4"/>
  <c r="M136" i="4" s="1"/>
  <c r="K136" i="4"/>
  <c r="N136" i="4" s="1"/>
  <c r="D138" i="2"/>
  <c r="I134" i="3"/>
  <c r="U134" i="3"/>
  <c r="O134" i="3"/>
  <c r="C136" i="4"/>
  <c r="AB135" i="3"/>
  <c r="F135" i="3"/>
  <c r="D136" i="3"/>
  <c r="C138" i="2"/>
  <c r="N137" i="2"/>
  <c r="K136" i="2"/>
  <c r="H136" i="2" s="1"/>
  <c r="L137" i="2"/>
  <c r="I136" i="2"/>
  <c r="F136" i="2" s="1"/>
  <c r="M137" i="2"/>
  <c r="J136" i="2"/>
  <c r="G136" i="2" s="1"/>
  <c r="E138" i="2" l="1"/>
  <c r="B138" i="3"/>
  <c r="J135" i="4"/>
  <c r="F135" i="4"/>
  <c r="E136" i="4"/>
  <c r="H135" i="4"/>
  <c r="D137" i="4"/>
  <c r="N138" i="2"/>
  <c r="K137" i="2"/>
  <c r="H137" i="2" s="1"/>
  <c r="D139" i="2"/>
  <c r="C139" i="2"/>
  <c r="D137" i="3"/>
  <c r="F136" i="3"/>
  <c r="A138" i="4"/>
  <c r="J137" i="3"/>
  <c r="V137" i="3"/>
  <c r="N137" i="3"/>
  <c r="P137" i="3"/>
  <c r="T137" i="3"/>
  <c r="C137" i="3"/>
  <c r="E137" i="3"/>
  <c r="G137" i="3"/>
  <c r="H137" i="3"/>
  <c r="M137" i="3"/>
  <c r="S137" i="3"/>
  <c r="Y137" i="3" s="1"/>
  <c r="Z137" i="3" s="1"/>
  <c r="AA137" i="3" s="1"/>
  <c r="O135" i="3"/>
  <c r="U135" i="3"/>
  <c r="I135" i="3"/>
  <c r="C137" i="4"/>
  <c r="AB136" i="3"/>
  <c r="M138" i="2"/>
  <c r="J137" i="2"/>
  <c r="G137" i="2" s="1"/>
  <c r="I137" i="4"/>
  <c r="M137" i="4" s="1"/>
  <c r="K137" i="4"/>
  <c r="N137" i="4" s="1"/>
  <c r="G137" i="4"/>
  <c r="L137" i="4" s="1"/>
  <c r="L138" i="2"/>
  <c r="I137" i="2"/>
  <c r="F137" i="2" s="1"/>
  <c r="E139" i="2" l="1"/>
  <c r="B139" i="3"/>
  <c r="F136" i="4"/>
  <c r="J136" i="4"/>
  <c r="H136" i="4"/>
  <c r="E137" i="4"/>
  <c r="D138" i="4"/>
  <c r="A139" i="4"/>
  <c r="G138" i="3"/>
  <c r="S138" i="3"/>
  <c r="Y138" i="3" s="1"/>
  <c r="Z138" i="3" s="1"/>
  <c r="AA138" i="3" s="1"/>
  <c r="M138" i="3"/>
  <c r="C138" i="3"/>
  <c r="N138" i="3"/>
  <c r="P138" i="3"/>
  <c r="T138" i="3"/>
  <c r="V138" i="3"/>
  <c r="E138" i="3"/>
  <c r="H138" i="3"/>
  <c r="J138" i="3"/>
  <c r="F137" i="3"/>
  <c r="D138" i="3"/>
  <c r="C140" i="2"/>
  <c r="M139" i="2"/>
  <c r="J138" i="2"/>
  <c r="G138" i="2" s="1"/>
  <c r="O136" i="3"/>
  <c r="I136" i="3"/>
  <c r="U136" i="3"/>
  <c r="C138" i="4"/>
  <c r="AB137" i="3"/>
  <c r="D140" i="2"/>
  <c r="L139" i="2"/>
  <c r="I138" i="2"/>
  <c r="F138" i="2" s="1"/>
  <c r="N139" i="2"/>
  <c r="K138" i="2"/>
  <c r="H138" i="2" s="1"/>
  <c r="G138" i="4"/>
  <c r="L138" i="4" s="1"/>
  <c r="I138" i="4"/>
  <c r="M138" i="4" s="1"/>
  <c r="K138" i="4"/>
  <c r="N138" i="4" s="1"/>
  <c r="E140" i="2" l="1"/>
  <c r="B140" i="3"/>
  <c r="E138" i="4"/>
  <c r="J137" i="4"/>
  <c r="H137" i="4"/>
  <c r="F137" i="4"/>
  <c r="D139" i="4"/>
  <c r="N140" i="2"/>
  <c r="K139" i="2"/>
  <c r="H139" i="2" s="1"/>
  <c r="M140" i="2"/>
  <c r="J139" i="2"/>
  <c r="G139" i="2" s="1"/>
  <c r="C141" i="2"/>
  <c r="L140" i="2"/>
  <c r="I139" i="2"/>
  <c r="F139" i="2" s="1"/>
  <c r="D141" i="2"/>
  <c r="C139" i="4"/>
  <c r="AB138" i="3"/>
  <c r="D139" i="3"/>
  <c r="F138" i="3"/>
  <c r="U137" i="3"/>
  <c r="I137" i="3"/>
  <c r="O137" i="3"/>
  <c r="G139" i="4"/>
  <c r="L139" i="4" s="1"/>
  <c r="I139" i="4"/>
  <c r="M139" i="4" s="1"/>
  <c r="K139" i="4"/>
  <c r="N139" i="4" s="1"/>
  <c r="A140" i="4"/>
  <c r="P139" i="3"/>
  <c r="H139" i="3"/>
  <c r="J139" i="3"/>
  <c r="V139" i="3"/>
  <c r="C139" i="3"/>
  <c r="E139" i="3"/>
  <c r="G139" i="3"/>
  <c r="M139" i="3"/>
  <c r="N139" i="3"/>
  <c r="S139" i="3"/>
  <c r="Y139" i="3" s="1"/>
  <c r="Z139" i="3" s="1"/>
  <c r="AA139" i="3" s="1"/>
  <c r="T139" i="3"/>
  <c r="E141" i="2" l="1"/>
  <c r="B141" i="3"/>
  <c r="F138" i="4"/>
  <c r="J138" i="4"/>
  <c r="E139" i="4"/>
  <c r="H138" i="4"/>
  <c r="D140" i="4"/>
  <c r="A141" i="4"/>
  <c r="M140" i="3"/>
  <c r="C140" i="3"/>
  <c r="G140" i="3"/>
  <c r="S140" i="3"/>
  <c r="Y140" i="3" s="1"/>
  <c r="Z140" i="3" s="1"/>
  <c r="AA140" i="3" s="1"/>
  <c r="N140" i="3"/>
  <c r="P140" i="3"/>
  <c r="T140" i="3"/>
  <c r="E140" i="3"/>
  <c r="V140" i="3"/>
  <c r="H140" i="3"/>
  <c r="J140" i="3"/>
  <c r="L141" i="2"/>
  <c r="I140" i="2"/>
  <c r="F140" i="2" s="1"/>
  <c r="D142" i="2"/>
  <c r="C142" i="2"/>
  <c r="I138" i="3"/>
  <c r="U138" i="3"/>
  <c r="O138" i="3"/>
  <c r="F139" i="3"/>
  <c r="D140" i="3"/>
  <c r="J140" i="2"/>
  <c r="G140" i="2" s="1"/>
  <c r="M141" i="2"/>
  <c r="G140" i="4"/>
  <c r="L140" i="4" s="1"/>
  <c r="I140" i="4"/>
  <c r="M140" i="4" s="1"/>
  <c r="K140" i="4"/>
  <c r="N140" i="4" s="1"/>
  <c r="K140" i="2"/>
  <c r="H140" i="2" s="1"/>
  <c r="N141" i="2"/>
  <c r="C140" i="4"/>
  <c r="AB139" i="3"/>
  <c r="E142" i="2" l="1"/>
  <c r="B142" i="3"/>
  <c r="H139" i="4"/>
  <c r="J139" i="4"/>
  <c r="E140" i="4"/>
  <c r="F139" i="4"/>
  <c r="D141" i="4"/>
  <c r="C143" i="2"/>
  <c r="D143" i="2"/>
  <c r="A142" i="4"/>
  <c r="J141" i="3"/>
  <c r="V141" i="3"/>
  <c r="P141" i="3"/>
  <c r="C141" i="3"/>
  <c r="S141" i="3"/>
  <c r="Y141" i="3" s="1"/>
  <c r="Z141" i="3" s="1"/>
  <c r="AA141" i="3" s="1"/>
  <c r="E141" i="3"/>
  <c r="T141" i="3"/>
  <c r="G141" i="3"/>
  <c r="H141" i="3"/>
  <c r="M141" i="3"/>
  <c r="N141" i="3"/>
  <c r="M142" i="2"/>
  <c r="J141" i="2"/>
  <c r="G141" i="2" s="1"/>
  <c r="D141" i="3"/>
  <c r="F140" i="3"/>
  <c r="L142" i="2"/>
  <c r="I141" i="2"/>
  <c r="F141" i="2" s="1"/>
  <c r="C141" i="4"/>
  <c r="AB140" i="3"/>
  <c r="I139" i="3"/>
  <c r="O139" i="3"/>
  <c r="U139" i="3"/>
  <c r="G141" i="4"/>
  <c r="L141" i="4" s="1"/>
  <c r="I141" i="4"/>
  <c r="M141" i="4" s="1"/>
  <c r="K141" i="4"/>
  <c r="N141" i="4" s="1"/>
  <c r="N142" i="2"/>
  <c r="K141" i="2"/>
  <c r="H141" i="2" s="1"/>
  <c r="E143" i="2" l="1"/>
  <c r="B143" i="3"/>
  <c r="J140" i="4"/>
  <c r="H140" i="4"/>
  <c r="F140" i="4"/>
  <c r="E141" i="4"/>
  <c r="D142" i="4"/>
  <c r="M143" i="2"/>
  <c r="J142" i="2"/>
  <c r="G142" i="2" s="1"/>
  <c r="G142" i="4"/>
  <c r="L142" i="4" s="1"/>
  <c r="I142" i="4"/>
  <c r="M142" i="4" s="1"/>
  <c r="K142" i="4"/>
  <c r="N142" i="4" s="1"/>
  <c r="A143" i="4"/>
  <c r="G142" i="3"/>
  <c r="S142" i="3"/>
  <c r="Y142" i="3" s="1"/>
  <c r="Z142" i="3" s="1"/>
  <c r="AA142" i="3" s="1"/>
  <c r="M142" i="3"/>
  <c r="H142" i="3"/>
  <c r="J142" i="3"/>
  <c r="N142" i="3"/>
  <c r="P142" i="3"/>
  <c r="C142" i="3"/>
  <c r="E142" i="3"/>
  <c r="V142" i="3"/>
  <c r="T142" i="3"/>
  <c r="C142" i="4"/>
  <c r="AB141" i="3"/>
  <c r="D144" i="2"/>
  <c r="N143" i="2"/>
  <c r="K142" i="2"/>
  <c r="H142" i="2" s="1"/>
  <c r="C144" i="2"/>
  <c r="E144" i="2" s="1"/>
  <c r="I142" i="2"/>
  <c r="F142" i="2" s="1"/>
  <c r="L143" i="2"/>
  <c r="F141" i="3"/>
  <c r="D142" i="3"/>
  <c r="O140" i="3"/>
  <c r="U140" i="3"/>
  <c r="I140" i="3"/>
  <c r="B144" i="3" l="1"/>
  <c r="H141" i="4"/>
  <c r="F141" i="4"/>
  <c r="E142" i="4"/>
  <c r="J141" i="4"/>
  <c r="D143" i="4"/>
  <c r="C145" i="2"/>
  <c r="L144" i="2"/>
  <c r="I143" i="2"/>
  <c r="F143" i="2" s="1"/>
  <c r="U141" i="3"/>
  <c r="I141" i="3"/>
  <c r="O141" i="3"/>
  <c r="I143" i="4"/>
  <c r="M143" i="4" s="1"/>
  <c r="K143" i="4"/>
  <c r="N143" i="4" s="1"/>
  <c r="G143" i="4"/>
  <c r="L143" i="4" s="1"/>
  <c r="A144" i="4"/>
  <c r="P143" i="3"/>
  <c r="J143" i="3"/>
  <c r="V143" i="3"/>
  <c r="M143" i="3"/>
  <c r="N143" i="3"/>
  <c r="S143" i="3"/>
  <c r="Y143" i="3" s="1"/>
  <c r="Z143" i="3" s="1"/>
  <c r="AA143" i="3" s="1"/>
  <c r="C143" i="3"/>
  <c r="T143" i="3"/>
  <c r="E143" i="3"/>
  <c r="G143" i="3"/>
  <c r="H143" i="3"/>
  <c r="N144" i="2"/>
  <c r="K143" i="2"/>
  <c r="H143" i="2" s="1"/>
  <c r="D145" i="2"/>
  <c r="M144" i="2"/>
  <c r="J143" i="2"/>
  <c r="G143" i="2" s="1"/>
  <c r="C143" i="4"/>
  <c r="AB142" i="3"/>
  <c r="D143" i="3"/>
  <c r="F142" i="3"/>
  <c r="E145" i="2" l="1"/>
  <c r="B145" i="3"/>
  <c r="H142" i="4"/>
  <c r="E143" i="4"/>
  <c r="F142" i="4"/>
  <c r="J142" i="4"/>
  <c r="D144" i="4"/>
  <c r="D146" i="2"/>
  <c r="A145" i="4"/>
  <c r="M144" i="3"/>
  <c r="C144" i="3"/>
  <c r="G144" i="3"/>
  <c r="S144" i="3"/>
  <c r="Y144" i="3" s="1"/>
  <c r="Z144" i="3" s="1"/>
  <c r="AA144" i="3" s="1"/>
  <c r="T144" i="3"/>
  <c r="E144" i="3"/>
  <c r="V144" i="3"/>
  <c r="H144" i="3"/>
  <c r="J144" i="3"/>
  <c r="P144" i="3"/>
  <c r="N144" i="3"/>
  <c r="C144" i="4"/>
  <c r="AB143" i="3"/>
  <c r="N145" i="2"/>
  <c r="K144" i="2"/>
  <c r="H144" i="2" s="1"/>
  <c r="L145" i="2"/>
  <c r="I144" i="2"/>
  <c r="F144" i="2" s="1"/>
  <c r="K144" i="4"/>
  <c r="N144" i="4" s="1"/>
  <c r="I144" i="4"/>
  <c r="M144" i="4" s="1"/>
  <c r="G144" i="4"/>
  <c r="L144" i="4" s="1"/>
  <c r="C146" i="2"/>
  <c r="I142" i="3"/>
  <c r="U142" i="3"/>
  <c r="O142" i="3"/>
  <c r="F143" i="3"/>
  <c r="D144" i="3"/>
  <c r="M145" i="2"/>
  <c r="J144" i="2"/>
  <c r="G144" i="2" s="1"/>
  <c r="E146" i="2" l="1"/>
  <c r="B146" i="3"/>
  <c r="H143" i="4"/>
  <c r="J143" i="4"/>
  <c r="F143" i="4"/>
  <c r="E144" i="4"/>
  <c r="D145" i="4"/>
  <c r="K145" i="2"/>
  <c r="H145" i="2" s="1"/>
  <c r="N146" i="2"/>
  <c r="C147" i="2"/>
  <c r="C145" i="4"/>
  <c r="AB144" i="3"/>
  <c r="K145" i="4"/>
  <c r="N145" i="4" s="1"/>
  <c r="G145" i="4"/>
  <c r="L145" i="4" s="1"/>
  <c r="I145" i="4"/>
  <c r="M145" i="4" s="1"/>
  <c r="L146" i="2"/>
  <c r="I145" i="2"/>
  <c r="F145" i="2" s="1"/>
  <c r="A146" i="4"/>
  <c r="J145" i="3"/>
  <c r="V145" i="3"/>
  <c r="P145" i="3"/>
  <c r="G145" i="3"/>
  <c r="H145" i="3"/>
  <c r="M145" i="3"/>
  <c r="N145" i="3"/>
  <c r="E145" i="3"/>
  <c r="T145" i="3"/>
  <c r="C145" i="3"/>
  <c r="S145" i="3"/>
  <c r="Y145" i="3" s="1"/>
  <c r="Z145" i="3" s="1"/>
  <c r="AA145" i="3" s="1"/>
  <c r="M146" i="2"/>
  <c r="J145" i="2"/>
  <c r="G145" i="2" s="1"/>
  <c r="D147" i="2"/>
  <c r="D145" i="3"/>
  <c r="F144" i="3"/>
  <c r="O143" i="3"/>
  <c r="U143" i="3"/>
  <c r="I143" i="3"/>
  <c r="E147" i="2" l="1"/>
  <c r="B147" i="3"/>
  <c r="F144" i="4"/>
  <c r="E145" i="4"/>
  <c r="J144" i="4"/>
  <c r="H144" i="4"/>
  <c r="D146" i="4"/>
  <c r="M147" i="2"/>
  <c r="J146" i="2"/>
  <c r="G146" i="2" s="1"/>
  <c r="C148" i="2"/>
  <c r="D148" i="2"/>
  <c r="I146" i="4"/>
  <c r="M146" i="4" s="1"/>
  <c r="K146" i="4"/>
  <c r="N146" i="4" s="1"/>
  <c r="G146" i="4"/>
  <c r="L146" i="4" s="1"/>
  <c r="F145" i="3"/>
  <c r="D146" i="3"/>
  <c r="L147" i="2"/>
  <c r="I146" i="2"/>
  <c r="F146" i="2" s="1"/>
  <c r="N147" i="2"/>
  <c r="K146" i="2"/>
  <c r="H146" i="2" s="1"/>
  <c r="C146" i="4"/>
  <c r="AB145" i="3"/>
  <c r="O144" i="3"/>
  <c r="U144" i="3"/>
  <c r="I144" i="3"/>
  <c r="A147" i="4"/>
  <c r="G146" i="3"/>
  <c r="S146" i="3"/>
  <c r="Y146" i="3" s="1"/>
  <c r="Z146" i="3" s="1"/>
  <c r="AA146" i="3" s="1"/>
  <c r="M146" i="3"/>
  <c r="N146" i="3"/>
  <c r="P146" i="3"/>
  <c r="C146" i="3"/>
  <c r="T146" i="3"/>
  <c r="E146" i="3"/>
  <c r="V146" i="3"/>
  <c r="J146" i="3"/>
  <c r="H146" i="3"/>
  <c r="E148" i="2" l="1"/>
  <c r="B148" i="3"/>
  <c r="F145" i="4"/>
  <c r="J145" i="4"/>
  <c r="H145" i="4"/>
  <c r="E146" i="4"/>
  <c r="D147" i="4"/>
  <c r="A148" i="4"/>
  <c r="P147" i="3"/>
  <c r="J147" i="3"/>
  <c r="S147" i="3"/>
  <c r="Y147" i="3" s="1"/>
  <c r="Z147" i="3" s="1"/>
  <c r="AA147" i="3" s="1"/>
  <c r="C147" i="3"/>
  <c r="T147" i="3"/>
  <c r="E147" i="3"/>
  <c r="G147" i="3"/>
  <c r="V147" i="3"/>
  <c r="H147" i="3"/>
  <c r="N147" i="3"/>
  <c r="M147" i="3"/>
  <c r="N148" i="2"/>
  <c r="K147" i="2"/>
  <c r="H147" i="2" s="1"/>
  <c r="D149" i="2"/>
  <c r="C147" i="4"/>
  <c r="AB146" i="3"/>
  <c r="I147" i="2"/>
  <c r="F147" i="2" s="1"/>
  <c r="L148" i="2"/>
  <c r="D147" i="3"/>
  <c r="F146" i="3"/>
  <c r="U145" i="3"/>
  <c r="I145" i="3"/>
  <c r="O145" i="3"/>
  <c r="C149" i="2"/>
  <c r="K147" i="4"/>
  <c r="N147" i="4" s="1"/>
  <c r="G147" i="4"/>
  <c r="L147" i="4" s="1"/>
  <c r="I147" i="4"/>
  <c r="M147" i="4" s="1"/>
  <c r="J147" i="2"/>
  <c r="G147" i="2" s="1"/>
  <c r="M148" i="2"/>
  <c r="E149" i="2" l="1"/>
  <c r="B149" i="3"/>
  <c r="H146" i="4"/>
  <c r="F146" i="4"/>
  <c r="J146" i="4"/>
  <c r="E147" i="4"/>
  <c r="D148" i="4"/>
  <c r="D150" i="2"/>
  <c r="C150" i="2"/>
  <c r="M149" i="2"/>
  <c r="J148" i="2"/>
  <c r="G148" i="2" s="1"/>
  <c r="K148" i="2"/>
  <c r="H148" i="2" s="1"/>
  <c r="N149" i="2"/>
  <c r="C148" i="4"/>
  <c r="AB147" i="3"/>
  <c r="G148" i="4"/>
  <c r="L148" i="4" s="1"/>
  <c r="K148" i="4"/>
  <c r="N148" i="4" s="1"/>
  <c r="I148" i="4"/>
  <c r="M148" i="4" s="1"/>
  <c r="I146" i="3"/>
  <c r="U146" i="3"/>
  <c r="O146" i="3"/>
  <c r="A149" i="4"/>
  <c r="C148" i="3"/>
  <c r="E148" i="3"/>
  <c r="S148" i="3"/>
  <c r="Y148" i="3" s="1"/>
  <c r="Z148" i="3" s="1"/>
  <c r="AA148" i="3" s="1"/>
  <c r="G148" i="3"/>
  <c r="T148" i="3"/>
  <c r="H148" i="3"/>
  <c r="V148" i="3"/>
  <c r="J148" i="3"/>
  <c r="M148" i="3"/>
  <c r="P148" i="3"/>
  <c r="N148" i="3"/>
  <c r="L149" i="2"/>
  <c r="I148" i="2"/>
  <c r="F148" i="2" s="1"/>
  <c r="F147" i="3"/>
  <c r="D148" i="3"/>
  <c r="E150" i="2" l="1"/>
  <c r="B150" i="3"/>
  <c r="F147" i="4"/>
  <c r="E148" i="4"/>
  <c r="H147" i="4"/>
  <c r="J147" i="4"/>
  <c r="D149" i="4"/>
  <c r="K149" i="4"/>
  <c r="N149" i="4" s="1"/>
  <c r="G149" i="4"/>
  <c r="L149" i="4" s="1"/>
  <c r="I149" i="4"/>
  <c r="M149" i="4" s="1"/>
  <c r="N150" i="2"/>
  <c r="K149" i="2"/>
  <c r="H149" i="2" s="1"/>
  <c r="A150" i="4"/>
  <c r="C149" i="3"/>
  <c r="P149" i="3"/>
  <c r="E149" i="3"/>
  <c r="S149" i="3"/>
  <c r="Y149" i="3" s="1"/>
  <c r="Z149" i="3" s="1"/>
  <c r="AA149" i="3" s="1"/>
  <c r="G149" i="3"/>
  <c r="T149" i="3"/>
  <c r="H149" i="3"/>
  <c r="V149" i="3"/>
  <c r="J149" i="3"/>
  <c r="M149" i="3"/>
  <c r="N149" i="3"/>
  <c r="C149" i="4"/>
  <c r="AB148" i="3"/>
  <c r="M150" i="2"/>
  <c r="J149" i="2"/>
  <c r="G149" i="2" s="1"/>
  <c r="C151" i="2"/>
  <c r="D149" i="3"/>
  <c r="F148" i="3"/>
  <c r="D151" i="2"/>
  <c r="O147" i="3"/>
  <c r="U147" i="3"/>
  <c r="I147" i="3"/>
  <c r="L150" i="2"/>
  <c r="I149" i="2"/>
  <c r="F149" i="2" s="1"/>
  <c r="E151" i="2" l="1"/>
  <c r="B151" i="3"/>
  <c r="H148" i="4"/>
  <c r="E149" i="4"/>
  <c r="F148" i="4"/>
  <c r="J148" i="4"/>
  <c r="D150" i="4"/>
  <c r="I150" i="4"/>
  <c r="M150" i="4" s="1"/>
  <c r="K150" i="4"/>
  <c r="N150" i="4" s="1"/>
  <c r="G150" i="4"/>
  <c r="L150" i="4" s="1"/>
  <c r="C150" i="4"/>
  <c r="AB149" i="3"/>
  <c r="D152" i="2"/>
  <c r="N151" i="2"/>
  <c r="K150" i="2"/>
  <c r="H150" i="2" s="1"/>
  <c r="D150" i="3"/>
  <c r="F149" i="3"/>
  <c r="O148" i="3"/>
  <c r="U148" i="3"/>
  <c r="I148" i="3"/>
  <c r="C152" i="2"/>
  <c r="I150" i="2"/>
  <c r="F150" i="2" s="1"/>
  <c r="L151" i="2"/>
  <c r="M151" i="2"/>
  <c r="J150" i="2"/>
  <c r="G150" i="2" s="1"/>
  <c r="A151" i="4"/>
  <c r="C150" i="3"/>
  <c r="P150" i="3"/>
  <c r="E150" i="3"/>
  <c r="S150" i="3"/>
  <c r="Y150" i="3" s="1"/>
  <c r="Z150" i="3" s="1"/>
  <c r="AA150" i="3" s="1"/>
  <c r="G150" i="3"/>
  <c r="T150" i="3"/>
  <c r="H150" i="3"/>
  <c r="V150" i="3"/>
  <c r="J150" i="3"/>
  <c r="N150" i="3"/>
  <c r="M150" i="3"/>
  <c r="E152" i="2" l="1"/>
  <c r="B152" i="3"/>
  <c r="H149" i="4"/>
  <c r="J149" i="4"/>
  <c r="F149" i="4"/>
  <c r="E150" i="4"/>
  <c r="D151" i="4"/>
  <c r="C153" i="2"/>
  <c r="A152" i="4"/>
  <c r="N151" i="3"/>
  <c r="C151" i="3"/>
  <c r="P151" i="3"/>
  <c r="E151" i="3"/>
  <c r="S151" i="3"/>
  <c r="Y151" i="3" s="1"/>
  <c r="Z151" i="3" s="1"/>
  <c r="AA151" i="3" s="1"/>
  <c r="G151" i="3"/>
  <c r="T151" i="3"/>
  <c r="H151" i="3"/>
  <c r="V151" i="3"/>
  <c r="J151" i="3"/>
  <c r="M151" i="3"/>
  <c r="U149" i="3"/>
  <c r="I149" i="3"/>
  <c r="O149" i="3"/>
  <c r="C151" i="4"/>
  <c r="AB150" i="3"/>
  <c r="I151" i="4"/>
  <c r="M151" i="4" s="1"/>
  <c r="K151" i="4"/>
  <c r="N151" i="4" s="1"/>
  <c r="G151" i="4"/>
  <c r="L151" i="4" s="1"/>
  <c r="D151" i="3"/>
  <c r="F150" i="3"/>
  <c r="M152" i="2"/>
  <c r="J151" i="2"/>
  <c r="G151" i="2" s="1"/>
  <c r="N152" i="2"/>
  <c r="K151" i="2"/>
  <c r="H151" i="2" s="1"/>
  <c r="L152" i="2"/>
  <c r="I151" i="2"/>
  <c r="F151" i="2" s="1"/>
  <c r="D153" i="2"/>
  <c r="E153" i="2" l="1"/>
  <c r="B153" i="3"/>
  <c r="F150" i="4"/>
  <c r="J150" i="4"/>
  <c r="E151" i="4"/>
  <c r="H150" i="4"/>
  <c r="D152" i="4"/>
  <c r="K152" i="2"/>
  <c r="H152" i="2" s="1"/>
  <c r="N153" i="2"/>
  <c r="A153" i="4"/>
  <c r="C152" i="3"/>
  <c r="M152" i="3"/>
  <c r="N152" i="3"/>
  <c r="P152" i="3"/>
  <c r="E152" i="3"/>
  <c r="S152" i="3"/>
  <c r="Y152" i="3" s="1"/>
  <c r="Z152" i="3" s="1"/>
  <c r="AA152" i="3" s="1"/>
  <c r="G152" i="3"/>
  <c r="T152" i="3"/>
  <c r="H152" i="3"/>
  <c r="V152" i="3"/>
  <c r="J152" i="3"/>
  <c r="J152" i="2"/>
  <c r="G152" i="2" s="1"/>
  <c r="M153" i="2"/>
  <c r="I150" i="3"/>
  <c r="U150" i="3"/>
  <c r="O150" i="3"/>
  <c r="F151" i="3"/>
  <c r="D152" i="3"/>
  <c r="C152" i="4"/>
  <c r="AB151" i="3"/>
  <c r="G152" i="4"/>
  <c r="L152" i="4" s="1"/>
  <c r="I152" i="4"/>
  <c r="M152" i="4" s="1"/>
  <c r="K152" i="4"/>
  <c r="N152" i="4" s="1"/>
  <c r="C154" i="2"/>
  <c r="D154" i="2"/>
  <c r="L153" i="2"/>
  <c r="I152" i="2"/>
  <c r="F152" i="2" s="1"/>
  <c r="E154" i="2" l="1"/>
  <c r="B154" i="3"/>
  <c r="E152" i="4"/>
  <c r="H151" i="4"/>
  <c r="J151" i="4"/>
  <c r="F151" i="4"/>
  <c r="D153" i="4"/>
  <c r="C155" i="2"/>
  <c r="O151" i="3"/>
  <c r="U151" i="3"/>
  <c r="I151" i="3"/>
  <c r="A154" i="4"/>
  <c r="M153" i="3"/>
  <c r="N153" i="3"/>
  <c r="C153" i="3"/>
  <c r="P153" i="3"/>
  <c r="E153" i="3"/>
  <c r="S153" i="3"/>
  <c r="Y153" i="3" s="1"/>
  <c r="Z153" i="3" s="1"/>
  <c r="AA153" i="3" s="1"/>
  <c r="G153" i="3"/>
  <c r="T153" i="3"/>
  <c r="H153" i="3"/>
  <c r="V153" i="3"/>
  <c r="J153" i="3"/>
  <c r="M154" i="2"/>
  <c r="J153" i="2"/>
  <c r="G153" i="2" s="1"/>
  <c r="C153" i="4"/>
  <c r="AB152" i="3"/>
  <c r="D153" i="3"/>
  <c r="F152" i="3"/>
  <c r="G153" i="4"/>
  <c r="L153" i="4" s="1"/>
  <c r="I153" i="4"/>
  <c r="M153" i="4" s="1"/>
  <c r="K153" i="4"/>
  <c r="N153" i="4" s="1"/>
  <c r="N154" i="2"/>
  <c r="K153" i="2"/>
  <c r="H153" i="2" s="1"/>
  <c r="D155" i="2"/>
  <c r="L154" i="2"/>
  <c r="I153" i="2"/>
  <c r="F153" i="2" s="1"/>
  <c r="E155" i="2" l="1"/>
  <c r="B155" i="3"/>
  <c r="H152" i="4"/>
  <c r="J152" i="4"/>
  <c r="E153" i="4"/>
  <c r="F152" i="4"/>
  <c r="D154" i="4"/>
  <c r="N155" i="2"/>
  <c r="K154" i="2"/>
  <c r="H154" i="2" s="1"/>
  <c r="M155" i="2"/>
  <c r="J154" i="2"/>
  <c r="G154" i="2" s="1"/>
  <c r="C154" i="4"/>
  <c r="AB153" i="3"/>
  <c r="G154" i="4"/>
  <c r="L154" i="4" s="1"/>
  <c r="I154" i="4"/>
  <c r="M154" i="4" s="1"/>
  <c r="K154" i="4"/>
  <c r="N154" i="4" s="1"/>
  <c r="C156" i="2"/>
  <c r="I154" i="2"/>
  <c r="F154" i="2" s="1"/>
  <c r="L155" i="2"/>
  <c r="O152" i="3"/>
  <c r="U152" i="3"/>
  <c r="I152" i="3"/>
  <c r="F153" i="3"/>
  <c r="D154" i="3"/>
  <c r="A155" i="4"/>
  <c r="J154" i="3"/>
  <c r="V154" i="3"/>
  <c r="M154" i="3"/>
  <c r="N154" i="3"/>
  <c r="C154" i="3"/>
  <c r="P154" i="3"/>
  <c r="E154" i="3"/>
  <c r="G154" i="3"/>
  <c r="S154" i="3"/>
  <c r="Y154" i="3" s="1"/>
  <c r="Z154" i="3" s="1"/>
  <c r="AA154" i="3" s="1"/>
  <c r="H154" i="3"/>
  <c r="T154" i="3"/>
  <c r="D156" i="2"/>
  <c r="E156" i="2" l="1"/>
  <c r="B156" i="3"/>
  <c r="F153" i="4"/>
  <c r="J153" i="4"/>
  <c r="H153" i="4"/>
  <c r="E154" i="4"/>
  <c r="D155" i="4"/>
  <c r="O153" i="3"/>
  <c r="U153" i="3"/>
  <c r="I153" i="3"/>
  <c r="F154" i="3"/>
  <c r="D155" i="3"/>
  <c r="A156" i="4"/>
  <c r="G155" i="3"/>
  <c r="S155" i="3"/>
  <c r="Y155" i="3" s="1"/>
  <c r="Z155" i="3" s="1"/>
  <c r="AA155" i="3" s="1"/>
  <c r="H155" i="3"/>
  <c r="T155" i="3"/>
  <c r="J155" i="3"/>
  <c r="V155" i="3"/>
  <c r="M155" i="3"/>
  <c r="N155" i="3"/>
  <c r="C155" i="3"/>
  <c r="P155" i="3"/>
  <c r="E155" i="3"/>
  <c r="L156" i="2"/>
  <c r="I155" i="2"/>
  <c r="F155" i="2" s="1"/>
  <c r="C157" i="2"/>
  <c r="J155" i="2"/>
  <c r="G155" i="2" s="1"/>
  <c r="M156" i="2"/>
  <c r="D157" i="2"/>
  <c r="C155" i="4"/>
  <c r="AB154" i="3"/>
  <c r="N156" i="2"/>
  <c r="K155" i="2"/>
  <c r="H155" i="2" s="1"/>
  <c r="G155" i="4"/>
  <c r="L155" i="4" s="1"/>
  <c r="I155" i="4"/>
  <c r="M155" i="4" s="1"/>
  <c r="K155" i="4"/>
  <c r="N155" i="4" s="1"/>
  <c r="E157" i="2" l="1"/>
  <c r="B157" i="3"/>
  <c r="H154" i="4"/>
  <c r="E155" i="4"/>
  <c r="F154" i="4"/>
  <c r="J154" i="4"/>
  <c r="D156" i="4"/>
  <c r="K156" i="2"/>
  <c r="H156" i="2" s="1"/>
  <c r="N157" i="2"/>
  <c r="L157" i="2"/>
  <c r="I156" i="2"/>
  <c r="F156" i="2" s="1"/>
  <c r="A157" i="4"/>
  <c r="P156" i="3"/>
  <c r="E156" i="3"/>
  <c r="G156" i="3"/>
  <c r="S156" i="3"/>
  <c r="Y156" i="3" s="1"/>
  <c r="Z156" i="3" s="1"/>
  <c r="AA156" i="3" s="1"/>
  <c r="H156" i="3"/>
  <c r="T156" i="3"/>
  <c r="J156" i="3"/>
  <c r="V156" i="3"/>
  <c r="M156" i="3"/>
  <c r="C156" i="3"/>
  <c r="N156" i="3"/>
  <c r="G156" i="4"/>
  <c r="L156" i="4" s="1"/>
  <c r="I156" i="4"/>
  <c r="M156" i="4" s="1"/>
  <c r="K156" i="4"/>
  <c r="N156" i="4" s="1"/>
  <c r="D156" i="3"/>
  <c r="F155" i="3"/>
  <c r="D158" i="2"/>
  <c r="O154" i="3"/>
  <c r="I154" i="3"/>
  <c r="U154" i="3"/>
  <c r="M157" i="2"/>
  <c r="J156" i="2"/>
  <c r="G156" i="2" s="1"/>
  <c r="C156" i="4"/>
  <c r="AB155" i="3"/>
  <c r="C158" i="2"/>
  <c r="E158" i="2" l="1"/>
  <c r="B158" i="3"/>
  <c r="H155" i="4"/>
  <c r="J155" i="4"/>
  <c r="F155" i="4"/>
  <c r="E156" i="4"/>
  <c r="D157" i="4"/>
  <c r="M158" i="2"/>
  <c r="J157" i="2"/>
  <c r="G157" i="2" s="1"/>
  <c r="A158" i="4"/>
  <c r="M157" i="3"/>
  <c r="N157" i="3"/>
  <c r="C157" i="3"/>
  <c r="P157" i="3"/>
  <c r="E157" i="3"/>
  <c r="G157" i="3"/>
  <c r="S157" i="3"/>
  <c r="Y157" i="3" s="1"/>
  <c r="Z157" i="3" s="1"/>
  <c r="AA157" i="3" s="1"/>
  <c r="H157" i="3"/>
  <c r="T157" i="3"/>
  <c r="J157" i="3"/>
  <c r="V157" i="3"/>
  <c r="G157" i="4"/>
  <c r="L157" i="4" s="1"/>
  <c r="I157" i="4"/>
  <c r="M157" i="4" s="1"/>
  <c r="K157" i="4"/>
  <c r="N157" i="4" s="1"/>
  <c r="C157" i="4"/>
  <c r="AB156" i="3"/>
  <c r="L158" i="2"/>
  <c r="I157" i="2"/>
  <c r="F157" i="2" s="1"/>
  <c r="D159" i="2"/>
  <c r="K157" i="2"/>
  <c r="H157" i="2" s="1"/>
  <c r="N158" i="2"/>
  <c r="I155" i="3"/>
  <c r="U155" i="3"/>
  <c r="O155" i="3"/>
  <c r="C159" i="2"/>
  <c r="F156" i="3"/>
  <c r="D157" i="3"/>
  <c r="E159" i="2" l="1"/>
  <c r="B159" i="3"/>
  <c r="F156" i="4"/>
  <c r="H156" i="4"/>
  <c r="J156" i="4"/>
  <c r="E157" i="4"/>
  <c r="D158" i="4"/>
  <c r="A159" i="4"/>
  <c r="J158" i="3"/>
  <c r="V158" i="3"/>
  <c r="M158" i="3"/>
  <c r="N158" i="3"/>
  <c r="C158" i="3"/>
  <c r="P158" i="3"/>
  <c r="E158" i="3"/>
  <c r="G158" i="3"/>
  <c r="S158" i="3"/>
  <c r="Y158" i="3" s="1"/>
  <c r="Z158" i="3" s="1"/>
  <c r="AA158" i="3" s="1"/>
  <c r="H158" i="3"/>
  <c r="T158" i="3"/>
  <c r="N159" i="2"/>
  <c r="K158" i="2"/>
  <c r="H158" i="2" s="1"/>
  <c r="D160" i="2"/>
  <c r="C158" i="4"/>
  <c r="AB157" i="3"/>
  <c r="G158" i="4"/>
  <c r="L158" i="4" s="1"/>
  <c r="I158" i="4"/>
  <c r="M158" i="4" s="1"/>
  <c r="K158" i="4"/>
  <c r="N158" i="4" s="1"/>
  <c r="F157" i="3"/>
  <c r="D158" i="3"/>
  <c r="I156" i="3"/>
  <c r="U156" i="3"/>
  <c r="O156" i="3"/>
  <c r="M159" i="2"/>
  <c r="J158" i="2"/>
  <c r="G158" i="2" s="1"/>
  <c r="C160" i="2"/>
  <c r="I158" i="2"/>
  <c r="F158" i="2" s="1"/>
  <c r="L159" i="2"/>
  <c r="E160" i="2" l="1"/>
  <c r="B160" i="3"/>
  <c r="J157" i="4"/>
  <c r="H157" i="4"/>
  <c r="F157" i="4"/>
  <c r="E158" i="4"/>
  <c r="D159" i="4"/>
  <c r="C161" i="2"/>
  <c r="A160" i="4"/>
  <c r="G159" i="3"/>
  <c r="S159" i="3"/>
  <c r="Y159" i="3" s="1"/>
  <c r="Z159" i="3" s="1"/>
  <c r="AA159" i="3" s="1"/>
  <c r="H159" i="3"/>
  <c r="T159" i="3"/>
  <c r="J159" i="3"/>
  <c r="V159" i="3"/>
  <c r="M159" i="3"/>
  <c r="N159" i="3"/>
  <c r="C159" i="3"/>
  <c r="P159" i="3"/>
  <c r="E159" i="3"/>
  <c r="D161" i="2"/>
  <c r="F158" i="3"/>
  <c r="D159" i="3"/>
  <c r="C159" i="4"/>
  <c r="AB158" i="3"/>
  <c r="J159" i="2"/>
  <c r="G159" i="2" s="1"/>
  <c r="M160" i="2"/>
  <c r="O157" i="3"/>
  <c r="I157" i="3"/>
  <c r="U157" i="3"/>
  <c r="N160" i="2"/>
  <c r="K159" i="2"/>
  <c r="H159" i="2" s="1"/>
  <c r="G159" i="4"/>
  <c r="L159" i="4" s="1"/>
  <c r="I159" i="4"/>
  <c r="M159" i="4" s="1"/>
  <c r="K159" i="4"/>
  <c r="N159" i="4" s="1"/>
  <c r="I159" i="2"/>
  <c r="F159" i="2" s="1"/>
  <c r="L160" i="2"/>
  <c r="E161" i="2" l="1"/>
  <c r="B161" i="3"/>
  <c r="F158" i="4"/>
  <c r="J158" i="4"/>
  <c r="H158" i="4"/>
  <c r="E159" i="4"/>
  <c r="D160" i="4"/>
  <c r="D160" i="3"/>
  <c r="F159" i="3"/>
  <c r="O158" i="3"/>
  <c r="I158" i="3"/>
  <c r="U158" i="3"/>
  <c r="D162" i="2"/>
  <c r="K160" i="2"/>
  <c r="H160" i="2" s="1"/>
  <c r="N161" i="2"/>
  <c r="K160" i="4"/>
  <c r="N160" i="4" s="1"/>
  <c r="G160" i="4"/>
  <c r="L160" i="4" s="1"/>
  <c r="I160" i="4"/>
  <c r="M160" i="4" s="1"/>
  <c r="A161" i="4"/>
  <c r="P160" i="3"/>
  <c r="E160" i="3"/>
  <c r="G160" i="3"/>
  <c r="S160" i="3"/>
  <c r="Y160" i="3" s="1"/>
  <c r="Z160" i="3" s="1"/>
  <c r="AA160" i="3" s="1"/>
  <c r="H160" i="3"/>
  <c r="T160" i="3"/>
  <c r="J160" i="3"/>
  <c r="V160" i="3"/>
  <c r="M160" i="3"/>
  <c r="C160" i="3"/>
  <c r="N160" i="3"/>
  <c r="C162" i="2"/>
  <c r="E162" i="2" s="1"/>
  <c r="L161" i="2"/>
  <c r="I160" i="2"/>
  <c r="F160" i="2" s="1"/>
  <c r="M161" i="2"/>
  <c r="J160" i="2"/>
  <c r="G160" i="2" s="1"/>
  <c r="C160" i="4"/>
  <c r="AB159" i="3"/>
  <c r="B162" i="3" l="1"/>
  <c r="H159" i="4"/>
  <c r="E160" i="4"/>
  <c r="J159" i="4"/>
  <c r="F159" i="4"/>
  <c r="D161" i="4"/>
  <c r="L162" i="2"/>
  <c r="I161" i="2"/>
  <c r="F161" i="2" s="1"/>
  <c r="A162" i="4"/>
  <c r="M161" i="3"/>
  <c r="N161" i="3"/>
  <c r="C161" i="3"/>
  <c r="P161" i="3"/>
  <c r="E161" i="3"/>
  <c r="G161" i="3"/>
  <c r="S161" i="3"/>
  <c r="Y161" i="3" s="1"/>
  <c r="Z161" i="3" s="1"/>
  <c r="AA161" i="3" s="1"/>
  <c r="H161" i="3"/>
  <c r="T161" i="3"/>
  <c r="J161" i="3"/>
  <c r="V161" i="3"/>
  <c r="C163" i="2"/>
  <c r="D163" i="2"/>
  <c r="N162" i="2"/>
  <c r="K161" i="2"/>
  <c r="H161" i="2" s="1"/>
  <c r="K161" i="4"/>
  <c r="N161" i="4" s="1"/>
  <c r="G161" i="4"/>
  <c r="L161" i="4" s="1"/>
  <c r="I161" i="4"/>
  <c r="M161" i="4" s="1"/>
  <c r="C161" i="4"/>
  <c r="AB160" i="3"/>
  <c r="I159" i="3"/>
  <c r="U159" i="3"/>
  <c r="O159" i="3"/>
  <c r="F160" i="3"/>
  <c r="D161" i="3"/>
  <c r="M162" i="2"/>
  <c r="J161" i="2"/>
  <c r="G161" i="2" s="1"/>
  <c r="E163" i="2" l="1"/>
  <c r="B163" i="3"/>
  <c r="H160" i="4"/>
  <c r="F160" i="4"/>
  <c r="J160" i="4"/>
  <c r="E161" i="4"/>
  <c r="D162" i="4"/>
  <c r="A163" i="4"/>
  <c r="J162" i="3"/>
  <c r="V162" i="3"/>
  <c r="M162" i="3"/>
  <c r="N162" i="3"/>
  <c r="C162" i="3"/>
  <c r="P162" i="3"/>
  <c r="E162" i="3"/>
  <c r="G162" i="3"/>
  <c r="S162" i="3"/>
  <c r="Y162" i="3" s="1"/>
  <c r="Z162" i="3" s="1"/>
  <c r="AA162" i="3" s="1"/>
  <c r="H162" i="3"/>
  <c r="T162" i="3"/>
  <c r="D164" i="2"/>
  <c r="C164" i="2"/>
  <c r="N163" i="2"/>
  <c r="K162" i="2"/>
  <c r="H162" i="2" s="1"/>
  <c r="C162" i="4"/>
  <c r="AB161" i="3"/>
  <c r="I162" i="4"/>
  <c r="M162" i="4" s="1"/>
  <c r="K162" i="4"/>
  <c r="N162" i="4" s="1"/>
  <c r="G162" i="4"/>
  <c r="L162" i="4" s="1"/>
  <c r="I162" i="2"/>
  <c r="F162" i="2" s="1"/>
  <c r="L163" i="2"/>
  <c r="M163" i="2"/>
  <c r="J162" i="2"/>
  <c r="G162" i="2" s="1"/>
  <c r="F161" i="3"/>
  <c r="D162" i="3"/>
  <c r="I160" i="3"/>
  <c r="U160" i="3"/>
  <c r="O160" i="3"/>
  <c r="E164" i="2" l="1"/>
  <c r="B164" i="3"/>
  <c r="J161" i="4"/>
  <c r="H161" i="4"/>
  <c r="E162" i="4"/>
  <c r="F161" i="4"/>
  <c r="D163" i="4"/>
  <c r="O161" i="3"/>
  <c r="I161" i="3"/>
  <c r="U161" i="3"/>
  <c r="A164" i="4"/>
  <c r="G163" i="3"/>
  <c r="S163" i="3"/>
  <c r="Y163" i="3" s="1"/>
  <c r="Z163" i="3" s="1"/>
  <c r="AA163" i="3" s="1"/>
  <c r="H163" i="3"/>
  <c r="T163" i="3"/>
  <c r="J163" i="3"/>
  <c r="V163" i="3"/>
  <c r="M163" i="3"/>
  <c r="N163" i="3"/>
  <c r="C163" i="3"/>
  <c r="P163" i="3"/>
  <c r="E163" i="3"/>
  <c r="J163" i="2"/>
  <c r="G163" i="2" s="1"/>
  <c r="M164" i="2"/>
  <c r="N164" i="2"/>
  <c r="K163" i="2"/>
  <c r="H163" i="2" s="1"/>
  <c r="L164" i="2"/>
  <c r="I163" i="2"/>
  <c r="F163" i="2" s="1"/>
  <c r="C165" i="2"/>
  <c r="D165" i="2"/>
  <c r="C163" i="4"/>
  <c r="AB162" i="3"/>
  <c r="I163" i="4"/>
  <c r="M163" i="4" s="1"/>
  <c r="K163" i="4"/>
  <c r="N163" i="4" s="1"/>
  <c r="G163" i="4"/>
  <c r="L163" i="4" s="1"/>
  <c r="F162" i="3"/>
  <c r="D163" i="3"/>
  <c r="E165" i="2" l="1"/>
  <c r="B165" i="3"/>
  <c r="F162" i="4"/>
  <c r="J162" i="4"/>
  <c r="E163" i="4"/>
  <c r="H162" i="4"/>
  <c r="D164" i="4"/>
  <c r="L165" i="2"/>
  <c r="I164" i="2"/>
  <c r="F164" i="2" s="1"/>
  <c r="K164" i="2"/>
  <c r="H164" i="2" s="1"/>
  <c r="N165" i="2"/>
  <c r="J164" i="2"/>
  <c r="G164" i="2" s="1"/>
  <c r="M165" i="2"/>
  <c r="A165" i="4"/>
  <c r="P164" i="3"/>
  <c r="E164" i="3"/>
  <c r="G164" i="3"/>
  <c r="S164" i="3"/>
  <c r="Y164" i="3" s="1"/>
  <c r="Z164" i="3" s="1"/>
  <c r="AA164" i="3" s="1"/>
  <c r="H164" i="3"/>
  <c r="T164" i="3"/>
  <c r="J164" i="3"/>
  <c r="V164" i="3"/>
  <c r="M164" i="3"/>
  <c r="C164" i="3"/>
  <c r="N164" i="3"/>
  <c r="G164" i="4"/>
  <c r="L164" i="4" s="1"/>
  <c r="I164" i="4"/>
  <c r="M164" i="4" s="1"/>
  <c r="K164" i="4"/>
  <c r="N164" i="4" s="1"/>
  <c r="D164" i="3"/>
  <c r="F163" i="3"/>
  <c r="O162" i="3"/>
  <c r="I162" i="3"/>
  <c r="U162" i="3"/>
  <c r="D166" i="2"/>
  <c r="C166" i="2"/>
  <c r="C164" i="4"/>
  <c r="AB163" i="3"/>
  <c r="E166" i="2" l="1"/>
  <c r="B166" i="3"/>
  <c r="J163" i="4"/>
  <c r="F163" i="4"/>
  <c r="H163" i="4"/>
  <c r="E164" i="4"/>
  <c r="D165" i="4"/>
  <c r="A166" i="4"/>
  <c r="M165" i="3"/>
  <c r="N165" i="3"/>
  <c r="C165" i="3"/>
  <c r="P165" i="3"/>
  <c r="E165" i="3"/>
  <c r="G165" i="3"/>
  <c r="S165" i="3"/>
  <c r="Y165" i="3" s="1"/>
  <c r="Z165" i="3" s="1"/>
  <c r="AA165" i="3" s="1"/>
  <c r="H165" i="3"/>
  <c r="T165" i="3"/>
  <c r="J165" i="3"/>
  <c r="V165" i="3"/>
  <c r="G165" i="4"/>
  <c r="L165" i="4" s="1"/>
  <c r="I165" i="4"/>
  <c r="M165" i="4" s="1"/>
  <c r="K165" i="4"/>
  <c r="N165" i="4" s="1"/>
  <c r="M166" i="2"/>
  <c r="J165" i="2"/>
  <c r="G165" i="2" s="1"/>
  <c r="C165" i="4"/>
  <c r="AB164" i="3"/>
  <c r="N166" i="2"/>
  <c r="K165" i="2"/>
  <c r="H165" i="2" s="1"/>
  <c r="I163" i="3"/>
  <c r="U163" i="3"/>
  <c r="O163" i="3"/>
  <c r="F164" i="3"/>
  <c r="D165" i="3"/>
  <c r="L166" i="2"/>
  <c r="I165" i="2"/>
  <c r="F165" i="2" s="1"/>
  <c r="D167" i="2"/>
  <c r="C167" i="2"/>
  <c r="E167" i="2" l="1"/>
  <c r="B167" i="3"/>
  <c r="F164" i="4"/>
  <c r="H164" i="4"/>
  <c r="J164" i="4"/>
  <c r="E165" i="4"/>
  <c r="D166" i="4"/>
  <c r="M167" i="2"/>
  <c r="J166" i="2"/>
  <c r="G166" i="2" s="1"/>
  <c r="I166" i="2"/>
  <c r="F166" i="2" s="1"/>
  <c r="L167" i="2"/>
  <c r="A167" i="4"/>
  <c r="J166" i="3"/>
  <c r="V166" i="3"/>
  <c r="M166" i="3"/>
  <c r="N166" i="3"/>
  <c r="C166" i="3"/>
  <c r="P166" i="3"/>
  <c r="E166" i="3"/>
  <c r="G166" i="3"/>
  <c r="S166" i="3"/>
  <c r="Y166" i="3" s="1"/>
  <c r="Z166" i="3" s="1"/>
  <c r="AA166" i="3" s="1"/>
  <c r="H166" i="3"/>
  <c r="T166" i="3"/>
  <c r="F165" i="3"/>
  <c r="D166" i="3"/>
  <c r="I164" i="3"/>
  <c r="U164" i="3"/>
  <c r="O164" i="3"/>
  <c r="C166" i="4"/>
  <c r="AB165" i="3"/>
  <c r="G166" i="4"/>
  <c r="L166" i="4" s="1"/>
  <c r="I166" i="4"/>
  <c r="M166" i="4" s="1"/>
  <c r="K166" i="4"/>
  <c r="N166" i="4" s="1"/>
  <c r="C168" i="2"/>
  <c r="N167" i="2"/>
  <c r="K166" i="2"/>
  <c r="H166" i="2" s="1"/>
  <c r="D168" i="2"/>
  <c r="E168" i="2" l="1"/>
  <c r="B168" i="3"/>
  <c r="E166" i="4"/>
  <c r="H165" i="4"/>
  <c r="J165" i="4"/>
  <c r="F165" i="4"/>
  <c r="D167" i="4"/>
  <c r="C169" i="2"/>
  <c r="C167" i="4"/>
  <c r="AB166" i="3"/>
  <c r="F166" i="3"/>
  <c r="D167" i="3"/>
  <c r="O165" i="3"/>
  <c r="I165" i="3"/>
  <c r="U165" i="3"/>
  <c r="G167" i="4"/>
  <c r="L167" i="4" s="1"/>
  <c r="I167" i="4"/>
  <c r="M167" i="4" s="1"/>
  <c r="K167" i="4"/>
  <c r="N167" i="4" s="1"/>
  <c r="N168" i="2"/>
  <c r="K167" i="2"/>
  <c r="H167" i="2" s="1"/>
  <c r="L168" i="2"/>
  <c r="I167" i="2"/>
  <c r="F167" i="2" s="1"/>
  <c r="D169" i="2"/>
  <c r="A168" i="4"/>
  <c r="G167" i="3"/>
  <c r="S167" i="3"/>
  <c r="Y167" i="3" s="1"/>
  <c r="Z167" i="3" s="1"/>
  <c r="AA167" i="3" s="1"/>
  <c r="H167" i="3"/>
  <c r="T167" i="3"/>
  <c r="J167" i="3"/>
  <c r="V167" i="3"/>
  <c r="M167" i="3"/>
  <c r="N167" i="3"/>
  <c r="C167" i="3"/>
  <c r="P167" i="3"/>
  <c r="E167" i="3"/>
  <c r="M168" i="2"/>
  <c r="J167" i="2"/>
  <c r="G167" i="2" s="1"/>
  <c r="E169" i="2" l="1"/>
  <c r="B169" i="3"/>
  <c r="J166" i="4"/>
  <c r="F166" i="4"/>
  <c r="H166" i="4"/>
  <c r="E167" i="4"/>
  <c r="D168" i="4"/>
  <c r="C168" i="4"/>
  <c r="AB167" i="3"/>
  <c r="L169" i="2"/>
  <c r="I168" i="2"/>
  <c r="F168" i="2" s="1"/>
  <c r="D168" i="3"/>
  <c r="F167" i="3"/>
  <c r="O166" i="3"/>
  <c r="U166" i="3"/>
  <c r="I166" i="3"/>
  <c r="K168" i="2"/>
  <c r="H168" i="2" s="1"/>
  <c r="N169" i="2"/>
  <c r="C170" i="2"/>
  <c r="A169" i="4"/>
  <c r="P168" i="3"/>
  <c r="E168" i="3"/>
  <c r="G168" i="3"/>
  <c r="S168" i="3"/>
  <c r="Y168" i="3" s="1"/>
  <c r="Z168" i="3" s="1"/>
  <c r="AA168" i="3" s="1"/>
  <c r="H168" i="3"/>
  <c r="T168" i="3"/>
  <c r="J168" i="3"/>
  <c r="V168" i="3"/>
  <c r="M168" i="3"/>
  <c r="C168" i="3"/>
  <c r="N168" i="3"/>
  <c r="G168" i="4"/>
  <c r="L168" i="4" s="1"/>
  <c r="I168" i="4"/>
  <c r="M168" i="4" s="1"/>
  <c r="K168" i="4"/>
  <c r="N168" i="4" s="1"/>
  <c r="M169" i="2"/>
  <c r="J168" i="2"/>
  <c r="G168" i="2" s="1"/>
  <c r="D170" i="2"/>
  <c r="E170" i="2" l="1"/>
  <c r="B170" i="3"/>
  <c r="E168" i="4"/>
  <c r="J167" i="4"/>
  <c r="F167" i="4"/>
  <c r="H167" i="4"/>
  <c r="D169" i="4"/>
  <c r="A170" i="4"/>
  <c r="M169" i="3"/>
  <c r="N169" i="3"/>
  <c r="C169" i="3"/>
  <c r="E169" i="3"/>
  <c r="G169" i="3"/>
  <c r="S169" i="3"/>
  <c r="Y169" i="3" s="1"/>
  <c r="Z169" i="3" s="1"/>
  <c r="AA169" i="3" s="1"/>
  <c r="H169" i="3"/>
  <c r="J169" i="3"/>
  <c r="V169" i="3"/>
  <c r="P169" i="3"/>
  <c r="T169" i="3"/>
  <c r="I167" i="3"/>
  <c r="U167" i="3"/>
  <c r="O167" i="3"/>
  <c r="F168" i="3"/>
  <c r="D169" i="3"/>
  <c r="M170" i="2"/>
  <c r="J169" i="2"/>
  <c r="G169" i="2" s="1"/>
  <c r="G169" i="4"/>
  <c r="L169" i="4" s="1"/>
  <c r="I169" i="4"/>
  <c r="M169" i="4" s="1"/>
  <c r="K169" i="4"/>
  <c r="N169" i="4" s="1"/>
  <c r="L170" i="2"/>
  <c r="I169" i="2"/>
  <c r="F169" i="2" s="1"/>
  <c r="C169" i="4"/>
  <c r="AB168" i="3"/>
  <c r="D171" i="2"/>
  <c r="C171" i="2"/>
  <c r="K169" i="2"/>
  <c r="H169" i="2" s="1"/>
  <c r="N170" i="2"/>
  <c r="E171" i="2" l="1"/>
  <c r="B171" i="3"/>
  <c r="F168" i="4"/>
  <c r="H168" i="4"/>
  <c r="E169" i="4"/>
  <c r="J168" i="4"/>
  <c r="D170" i="4"/>
  <c r="D172" i="2"/>
  <c r="M171" i="2"/>
  <c r="J170" i="2"/>
  <c r="G170" i="2" s="1"/>
  <c r="F169" i="3"/>
  <c r="D170" i="3"/>
  <c r="A171" i="4"/>
  <c r="J170" i="3"/>
  <c r="V170" i="3"/>
  <c r="C170" i="3"/>
  <c r="P170" i="3"/>
  <c r="G170" i="3"/>
  <c r="S170" i="3"/>
  <c r="Y170" i="3" s="1"/>
  <c r="Z170" i="3" s="1"/>
  <c r="AA170" i="3" s="1"/>
  <c r="E170" i="3"/>
  <c r="H170" i="3"/>
  <c r="M170" i="3"/>
  <c r="N170" i="3"/>
  <c r="T170" i="3"/>
  <c r="I168" i="3"/>
  <c r="U168" i="3"/>
  <c r="O168" i="3"/>
  <c r="I170" i="2"/>
  <c r="F170" i="2" s="1"/>
  <c r="L171" i="2"/>
  <c r="N171" i="2"/>
  <c r="K170" i="2"/>
  <c r="H170" i="2" s="1"/>
  <c r="C170" i="4"/>
  <c r="AB169" i="3"/>
  <c r="G170" i="4"/>
  <c r="L170" i="4" s="1"/>
  <c r="I170" i="4"/>
  <c r="M170" i="4" s="1"/>
  <c r="K170" i="4"/>
  <c r="N170" i="4" s="1"/>
  <c r="C172" i="2"/>
  <c r="E172" i="2" l="1"/>
  <c r="B172" i="3"/>
  <c r="E170" i="4"/>
  <c r="H169" i="4"/>
  <c r="J169" i="4"/>
  <c r="F169" i="4"/>
  <c r="D171" i="4"/>
  <c r="G171" i="4"/>
  <c r="L171" i="4" s="1"/>
  <c r="I171" i="4"/>
  <c r="M171" i="4" s="1"/>
  <c r="K171" i="4"/>
  <c r="N171" i="4" s="1"/>
  <c r="F170" i="3"/>
  <c r="D171" i="3"/>
  <c r="C171" i="4"/>
  <c r="AB170" i="3"/>
  <c r="O169" i="3"/>
  <c r="I169" i="3"/>
  <c r="U169" i="3"/>
  <c r="A172" i="4"/>
  <c r="G171" i="3"/>
  <c r="S171" i="3"/>
  <c r="Y171" i="3" s="1"/>
  <c r="Z171" i="3" s="1"/>
  <c r="AA171" i="3" s="1"/>
  <c r="H171" i="3"/>
  <c r="T171" i="3"/>
  <c r="M171" i="3"/>
  <c r="C171" i="3"/>
  <c r="P171" i="3"/>
  <c r="E171" i="3"/>
  <c r="J171" i="3"/>
  <c r="N171" i="3"/>
  <c r="V171" i="3"/>
  <c r="J171" i="2"/>
  <c r="G171" i="2" s="1"/>
  <c r="M172" i="2"/>
  <c r="N172" i="2"/>
  <c r="K171" i="2"/>
  <c r="H171" i="2" s="1"/>
  <c r="I171" i="2"/>
  <c r="F171" i="2" s="1"/>
  <c r="L172" i="2"/>
  <c r="D173" i="2"/>
  <c r="C173" i="2"/>
  <c r="E173" i="2" l="1"/>
  <c r="B173" i="3"/>
  <c r="J170" i="4"/>
  <c r="F170" i="4"/>
  <c r="H170" i="4"/>
  <c r="E171" i="4"/>
  <c r="D172" i="4"/>
  <c r="L173" i="2"/>
  <c r="I172" i="2"/>
  <c r="F172" i="2" s="1"/>
  <c r="D172" i="3"/>
  <c r="F171" i="3"/>
  <c r="C172" i="4"/>
  <c r="AB171" i="3"/>
  <c r="O170" i="3"/>
  <c r="I170" i="3"/>
  <c r="U170" i="3"/>
  <c r="N173" i="2"/>
  <c r="K172" i="2"/>
  <c r="H172" i="2" s="1"/>
  <c r="M173" i="2"/>
  <c r="J172" i="2"/>
  <c r="G172" i="2" s="1"/>
  <c r="A173" i="4"/>
  <c r="P172" i="3"/>
  <c r="E172" i="3"/>
  <c r="J172" i="3"/>
  <c r="V172" i="3"/>
  <c r="M172" i="3"/>
  <c r="C172" i="3"/>
  <c r="G172" i="3"/>
  <c r="H172" i="3"/>
  <c r="N172" i="3"/>
  <c r="S172" i="3"/>
  <c r="Y172" i="3" s="1"/>
  <c r="Z172" i="3" s="1"/>
  <c r="AA172" i="3" s="1"/>
  <c r="T172" i="3"/>
  <c r="C174" i="2"/>
  <c r="K172" i="4"/>
  <c r="N172" i="4" s="1"/>
  <c r="G172" i="4"/>
  <c r="L172" i="4" s="1"/>
  <c r="I172" i="4"/>
  <c r="M172" i="4" s="1"/>
  <c r="D174" i="2"/>
  <c r="E174" i="2" l="1"/>
  <c r="B174" i="3"/>
  <c r="H171" i="4"/>
  <c r="J171" i="4"/>
  <c r="F171" i="4"/>
  <c r="E172" i="4"/>
  <c r="D173" i="4"/>
  <c r="N174" i="2"/>
  <c r="K173" i="2"/>
  <c r="H173" i="2" s="1"/>
  <c r="A174" i="4"/>
  <c r="M173" i="3"/>
  <c r="C173" i="3"/>
  <c r="G173" i="3"/>
  <c r="S173" i="3"/>
  <c r="Y173" i="3" s="1"/>
  <c r="Z173" i="3" s="1"/>
  <c r="AA173" i="3" s="1"/>
  <c r="J173" i="3"/>
  <c r="V173" i="3"/>
  <c r="E173" i="3"/>
  <c r="H173" i="3"/>
  <c r="N173" i="3"/>
  <c r="P173" i="3"/>
  <c r="T173" i="3"/>
  <c r="C173" i="4"/>
  <c r="AB172" i="3"/>
  <c r="C175" i="2"/>
  <c r="I171" i="3"/>
  <c r="U171" i="3"/>
  <c r="O171" i="3"/>
  <c r="F172" i="3"/>
  <c r="D173" i="3"/>
  <c r="K173" i="4"/>
  <c r="N173" i="4" s="1"/>
  <c r="G173" i="4"/>
  <c r="L173" i="4" s="1"/>
  <c r="I173" i="4"/>
  <c r="M173" i="4" s="1"/>
  <c r="D175" i="2"/>
  <c r="L174" i="2"/>
  <c r="I173" i="2"/>
  <c r="F173" i="2" s="1"/>
  <c r="M174" i="2"/>
  <c r="J173" i="2"/>
  <c r="G173" i="2" s="1"/>
  <c r="E175" i="2" l="1"/>
  <c r="B175" i="3"/>
  <c r="H172" i="4"/>
  <c r="J172" i="4"/>
  <c r="F172" i="4"/>
  <c r="E173" i="4"/>
  <c r="D174" i="4"/>
  <c r="D176" i="2"/>
  <c r="C176" i="2"/>
  <c r="C174" i="4"/>
  <c r="AB173" i="3"/>
  <c r="I174" i="4"/>
  <c r="M174" i="4" s="1"/>
  <c r="K174" i="4"/>
  <c r="N174" i="4" s="1"/>
  <c r="G174" i="4"/>
  <c r="L174" i="4" s="1"/>
  <c r="M175" i="2"/>
  <c r="J174" i="2"/>
  <c r="G174" i="2" s="1"/>
  <c r="F173" i="3"/>
  <c r="D174" i="3"/>
  <c r="K174" i="2"/>
  <c r="H174" i="2" s="1"/>
  <c r="N175" i="2"/>
  <c r="I172" i="3"/>
  <c r="U172" i="3"/>
  <c r="O172" i="3"/>
  <c r="L175" i="2"/>
  <c r="I174" i="2"/>
  <c r="F174" i="2" s="1"/>
  <c r="A175" i="4"/>
  <c r="J174" i="3"/>
  <c r="V174" i="3"/>
  <c r="C174" i="3"/>
  <c r="P174" i="3"/>
  <c r="G174" i="3"/>
  <c r="T174" i="3"/>
  <c r="E174" i="3"/>
  <c r="H174" i="3"/>
  <c r="M174" i="3"/>
  <c r="N174" i="3"/>
  <c r="S174" i="3"/>
  <c r="Y174" i="3" s="1"/>
  <c r="Z174" i="3" s="1"/>
  <c r="AA174" i="3" s="1"/>
  <c r="E176" i="2" l="1"/>
  <c r="B176" i="3"/>
  <c r="F173" i="4"/>
  <c r="H173" i="4"/>
  <c r="E174" i="4"/>
  <c r="J173" i="4"/>
  <c r="D175" i="4"/>
  <c r="K175" i="2"/>
  <c r="H175" i="2" s="1"/>
  <c r="N176" i="2"/>
  <c r="F174" i="3"/>
  <c r="D175" i="3"/>
  <c r="C177" i="2"/>
  <c r="O173" i="3"/>
  <c r="I173" i="3"/>
  <c r="U173" i="3"/>
  <c r="J175" i="2"/>
  <c r="G175" i="2" s="1"/>
  <c r="M176" i="2"/>
  <c r="I175" i="4"/>
  <c r="M175" i="4" s="1"/>
  <c r="K175" i="4"/>
  <c r="N175" i="4" s="1"/>
  <c r="G175" i="4"/>
  <c r="L175" i="4" s="1"/>
  <c r="D177" i="2"/>
  <c r="C175" i="4"/>
  <c r="AB174" i="3"/>
  <c r="L176" i="2"/>
  <c r="I175" i="2"/>
  <c r="F175" i="2" s="1"/>
  <c r="A176" i="4"/>
  <c r="G175" i="3"/>
  <c r="S175" i="3"/>
  <c r="Y175" i="3" s="1"/>
  <c r="Z175" i="3" s="1"/>
  <c r="AA175" i="3" s="1"/>
  <c r="M175" i="3"/>
  <c r="C175" i="3"/>
  <c r="N175" i="3"/>
  <c r="P175" i="3"/>
  <c r="T175" i="3"/>
  <c r="V175" i="3"/>
  <c r="E175" i="3"/>
  <c r="H175" i="3"/>
  <c r="J175" i="3"/>
  <c r="E177" i="2" l="1"/>
  <c r="B177" i="3"/>
  <c r="J174" i="4"/>
  <c r="F174" i="4"/>
  <c r="H174" i="4"/>
  <c r="E175" i="4"/>
  <c r="D176" i="4"/>
  <c r="D178" i="2"/>
  <c r="C176" i="4"/>
  <c r="AB175" i="3"/>
  <c r="C178" i="2"/>
  <c r="D176" i="3"/>
  <c r="F175" i="3"/>
  <c r="O174" i="3"/>
  <c r="U174" i="3"/>
  <c r="I174" i="3"/>
  <c r="G176" i="4"/>
  <c r="L176" i="4" s="1"/>
  <c r="I176" i="4"/>
  <c r="M176" i="4" s="1"/>
  <c r="K176" i="4"/>
  <c r="N176" i="4" s="1"/>
  <c r="K176" i="2"/>
  <c r="H176" i="2" s="1"/>
  <c r="N177" i="2"/>
  <c r="A177" i="4"/>
  <c r="P176" i="3"/>
  <c r="J176" i="3"/>
  <c r="V176" i="3"/>
  <c r="G176" i="3"/>
  <c r="H176" i="3"/>
  <c r="M176" i="3"/>
  <c r="N176" i="3"/>
  <c r="S176" i="3"/>
  <c r="Y176" i="3" s="1"/>
  <c r="Z176" i="3" s="1"/>
  <c r="AA176" i="3" s="1"/>
  <c r="T176" i="3"/>
  <c r="E176" i="3"/>
  <c r="C176" i="3"/>
  <c r="I176" i="2"/>
  <c r="F176" i="2" s="1"/>
  <c r="L177" i="2"/>
  <c r="J176" i="2"/>
  <c r="G176" i="2" s="1"/>
  <c r="M177" i="2"/>
  <c r="E178" i="2" l="1"/>
  <c r="B178" i="3"/>
  <c r="F175" i="4"/>
  <c r="J175" i="4"/>
  <c r="H175" i="4"/>
  <c r="E176" i="4"/>
  <c r="D177" i="4"/>
  <c r="G177" i="4"/>
  <c r="L177" i="4" s="1"/>
  <c r="I177" i="4"/>
  <c r="M177" i="4" s="1"/>
  <c r="K177" i="4"/>
  <c r="N177" i="4" s="1"/>
  <c r="I175" i="3"/>
  <c r="U175" i="3"/>
  <c r="O175" i="3"/>
  <c r="I177" i="2"/>
  <c r="F177" i="2" s="1"/>
  <c r="L178" i="2"/>
  <c r="N178" i="2"/>
  <c r="K177" i="2"/>
  <c r="H177" i="2" s="1"/>
  <c r="F176" i="3"/>
  <c r="D177" i="3"/>
  <c r="C179" i="2"/>
  <c r="A178" i="4"/>
  <c r="M177" i="3"/>
  <c r="C177" i="3"/>
  <c r="G177" i="3"/>
  <c r="S177" i="3"/>
  <c r="Y177" i="3" s="1"/>
  <c r="Z177" i="3" s="1"/>
  <c r="AA177" i="3" s="1"/>
  <c r="N177" i="3"/>
  <c r="P177" i="3"/>
  <c r="T177" i="3"/>
  <c r="E177" i="3"/>
  <c r="V177" i="3"/>
  <c r="H177" i="3"/>
  <c r="J177" i="3"/>
  <c r="C177" i="4"/>
  <c r="AB176" i="3"/>
  <c r="D179" i="2"/>
  <c r="M178" i="2"/>
  <c r="J177" i="2"/>
  <c r="G177" i="2" s="1"/>
  <c r="E179" i="2" l="1"/>
  <c r="B179" i="3"/>
  <c r="E177" i="4"/>
  <c r="H176" i="4"/>
  <c r="J176" i="4"/>
  <c r="F176" i="4"/>
  <c r="D178" i="4"/>
  <c r="C178" i="4"/>
  <c r="AB177" i="3"/>
  <c r="G178" i="4"/>
  <c r="L178" i="4" s="1"/>
  <c r="I178" i="4"/>
  <c r="M178" i="4" s="1"/>
  <c r="K178" i="4"/>
  <c r="N178" i="4" s="1"/>
  <c r="C180" i="2"/>
  <c r="D178" i="3"/>
  <c r="F177" i="3"/>
  <c r="I176" i="3"/>
  <c r="O176" i="3"/>
  <c r="U176" i="3"/>
  <c r="M179" i="2"/>
  <c r="J178" i="2"/>
  <c r="G178" i="2" s="1"/>
  <c r="D180" i="2"/>
  <c r="A179" i="4"/>
  <c r="J178" i="3"/>
  <c r="V178" i="3"/>
  <c r="P178" i="3"/>
  <c r="C178" i="3"/>
  <c r="S178" i="3"/>
  <c r="Y178" i="3" s="1"/>
  <c r="Z178" i="3" s="1"/>
  <c r="AA178" i="3" s="1"/>
  <c r="E178" i="3"/>
  <c r="T178" i="3"/>
  <c r="G178" i="3"/>
  <c r="H178" i="3"/>
  <c r="M178" i="3"/>
  <c r="N178" i="3"/>
  <c r="N179" i="2"/>
  <c r="K178" i="2"/>
  <c r="H178" i="2" s="1"/>
  <c r="L179" i="2"/>
  <c r="I178" i="2"/>
  <c r="F178" i="2" s="1"/>
  <c r="E180" i="2" l="1"/>
  <c r="B180" i="3"/>
  <c r="E178" i="4"/>
  <c r="J177" i="4"/>
  <c r="H177" i="4"/>
  <c r="F177" i="4"/>
  <c r="D179" i="4"/>
  <c r="G179" i="4"/>
  <c r="L179" i="4" s="1"/>
  <c r="I179" i="4"/>
  <c r="M179" i="4" s="1"/>
  <c r="K179" i="4"/>
  <c r="N179" i="4" s="1"/>
  <c r="A180" i="4"/>
  <c r="G179" i="3"/>
  <c r="S179" i="3"/>
  <c r="Y179" i="3" s="1"/>
  <c r="Z179" i="3" s="1"/>
  <c r="AA179" i="3" s="1"/>
  <c r="M179" i="3"/>
  <c r="H179" i="3"/>
  <c r="J179" i="3"/>
  <c r="N179" i="3"/>
  <c r="P179" i="3"/>
  <c r="C179" i="3"/>
  <c r="E179" i="3"/>
  <c r="V179" i="3"/>
  <c r="T179" i="3"/>
  <c r="D181" i="2"/>
  <c r="C179" i="4"/>
  <c r="AB178" i="3"/>
  <c r="M180" i="2"/>
  <c r="J179" i="2"/>
  <c r="G179" i="2" s="1"/>
  <c r="L180" i="2"/>
  <c r="I179" i="2"/>
  <c r="F179" i="2" s="1"/>
  <c r="O177" i="3"/>
  <c r="U177" i="3"/>
  <c r="I177" i="3"/>
  <c r="F178" i="3"/>
  <c r="D179" i="3"/>
  <c r="N180" i="2"/>
  <c r="K179" i="2"/>
  <c r="H179" i="2" s="1"/>
  <c r="C181" i="2"/>
  <c r="E181" i="2" l="1"/>
  <c r="B181" i="3"/>
  <c r="H178" i="4"/>
  <c r="J178" i="4"/>
  <c r="E179" i="4"/>
  <c r="F178" i="4"/>
  <c r="D180" i="4"/>
  <c r="C180" i="4"/>
  <c r="AB179" i="3"/>
  <c r="D180" i="3"/>
  <c r="F179" i="3"/>
  <c r="D182" i="2"/>
  <c r="K180" i="2"/>
  <c r="H180" i="2" s="1"/>
  <c r="N181" i="2"/>
  <c r="U178" i="3"/>
  <c r="I178" i="3"/>
  <c r="O178" i="3"/>
  <c r="G180" i="4"/>
  <c r="L180" i="4" s="1"/>
  <c r="I180" i="4"/>
  <c r="M180" i="4" s="1"/>
  <c r="K180" i="4"/>
  <c r="N180" i="4" s="1"/>
  <c r="I180" i="2"/>
  <c r="F180" i="2" s="1"/>
  <c r="L181" i="2"/>
  <c r="A181" i="4"/>
  <c r="P180" i="3"/>
  <c r="J180" i="3"/>
  <c r="V180" i="3"/>
  <c r="M180" i="3"/>
  <c r="N180" i="3"/>
  <c r="S180" i="3"/>
  <c r="Y180" i="3" s="1"/>
  <c r="Z180" i="3" s="1"/>
  <c r="AA180" i="3" s="1"/>
  <c r="C180" i="3"/>
  <c r="T180" i="3"/>
  <c r="E180" i="3"/>
  <c r="G180" i="3"/>
  <c r="H180" i="3"/>
  <c r="J180" i="2"/>
  <c r="G180" i="2" s="1"/>
  <c r="M181" i="2"/>
  <c r="C182" i="2"/>
  <c r="E182" i="2" s="1"/>
  <c r="B182" i="3" l="1"/>
  <c r="E180" i="4"/>
  <c r="J179" i="4"/>
  <c r="F179" i="4"/>
  <c r="H179" i="4"/>
  <c r="D181" i="4"/>
  <c r="G181" i="4"/>
  <c r="L181" i="4" s="1"/>
  <c r="I181" i="4"/>
  <c r="M181" i="4" s="1"/>
  <c r="K181" i="4"/>
  <c r="N181" i="4" s="1"/>
  <c r="K181" i="2"/>
  <c r="H181" i="2" s="1"/>
  <c r="N182" i="2"/>
  <c r="I181" i="2"/>
  <c r="F181" i="2" s="1"/>
  <c r="L182" i="2"/>
  <c r="D183" i="2"/>
  <c r="I179" i="3"/>
  <c r="U179" i="3"/>
  <c r="O179" i="3"/>
  <c r="F180" i="3"/>
  <c r="D181" i="3"/>
  <c r="A182" i="4"/>
  <c r="M181" i="3"/>
  <c r="C181" i="3"/>
  <c r="G181" i="3"/>
  <c r="S181" i="3"/>
  <c r="Y181" i="3" s="1"/>
  <c r="Z181" i="3" s="1"/>
  <c r="AA181" i="3" s="1"/>
  <c r="T181" i="3"/>
  <c r="E181" i="3"/>
  <c r="V181" i="3"/>
  <c r="H181" i="3"/>
  <c r="J181" i="3"/>
  <c r="P181" i="3"/>
  <c r="N181" i="3"/>
  <c r="C181" i="4"/>
  <c r="AB180" i="3"/>
  <c r="C183" i="2"/>
  <c r="M182" i="2"/>
  <c r="J181" i="2"/>
  <c r="G181" i="2" s="1"/>
  <c r="E183" i="2" l="1"/>
  <c r="B183" i="3"/>
  <c r="H180" i="4"/>
  <c r="J180" i="4"/>
  <c r="F180" i="4"/>
  <c r="E181" i="4"/>
  <c r="D182" i="4"/>
  <c r="L183" i="2"/>
  <c r="I182" i="2"/>
  <c r="F182" i="2" s="1"/>
  <c r="C182" i="4"/>
  <c r="AB181" i="3"/>
  <c r="N183" i="2"/>
  <c r="K182" i="2"/>
  <c r="H182" i="2" s="1"/>
  <c r="G182" i="4"/>
  <c r="L182" i="4" s="1"/>
  <c r="I182" i="4"/>
  <c r="M182" i="4" s="1"/>
  <c r="K182" i="4"/>
  <c r="N182" i="4" s="1"/>
  <c r="D182" i="3"/>
  <c r="F181" i="3"/>
  <c r="A183" i="4"/>
  <c r="J182" i="3"/>
  <c r="V182" i="3"/>
  <c r="T182" i="3"/>
  <c r="G182" i="3"/>
  <c r="H182" i="3"/>
  <c r="M182" i="3"/>
  <c r="N182" i="3"/>
  <c r="P182" i="3"/>
  <c r="E182" i="3"/>
  <c r="S182" i="3"/>
  <c r="Y182" i="3" s="1"/>
  <c r="Z182" i="3" s="1"/>
  <c r="AA182" i="3" s="1"/>
  <c r="C182" i="3"/>
  <c r="O180" i="3"/>
  <c r="U180" i="3"/>
  <c r="I180" i="3"/>
  <c r="J182" i="2"/>
  <c r="G182" i="2" s="1"/>
  <c r="M183" i="2"/>
  <c r="D184" i="2"/>
  <c r="C184" i="2"/>
  <c r="E184" i="2" l="1"/>
  <c r="B184" i="3"/>
  <c r="F181" i="4"/>
  <c r="J181" i="4"/>
  <c r="H181" i="4"/>
  <c r="E182" i="4"/>
  <c r="D183" i="4"/>
  <c r="C183" i="4"/>
  <c r="AB182" i="3"/>
  <c r="N184" i="2"/>
  <c r="K183" i="2"/>
  <c r="H183" i="2" s="1"/>
  <c r="I183" i="4"/>
  <c r="M183" i="4" s="1"/>
  <c r="G183" i="4"/>
  <c r="L183" i="4" s="1"/>
  <c r="K183" i="4"/>
  <c r="N183" i="4" s="1"/>
  <c r="J183" i="2"/>
  <c r="G183" i="2" s="1"/>
  <c r="M184" i="2"/>
  <c r="O181" i="3"/>
  <c r="U181" i="3"/>
  <c r="I181" i="3"/>
  <c r="F182" i="3"/>
  <c r="D183" i="3"/>
  <c r="I183" i="2"/>
  <c r="F183" i="2" s="1"/>
  <c r="L184" i="2"/>
  <c r="D185" i="2"/>
  <c r="C185" i="2"/>
  <c r="A184" i="4"/>
  <c r="G183" i="3"/>
  <c r="S183" i="3"/>
  <c r="Y183" i="3" s="1"/>
  <c r="Z183" i="3" s="1"/>
  <c r="AA183" i="3" s="1"/>
  <c r="H183" i="3"/>
  <c r="V183" i="3"/>
  <c r="J183" i="3"/>
  <c r="M183" i="3"/>
  <c r="N183" i="3"/>
  <c r="C183" i="3"/>
  <c r="P183" i="3"/>
  <c r="T183" i="3"/>
  <c r="E183" i="3"/>
  <c r="E185" i="2" l="1"/>
  <c r="B185" i="3"/>
  <c r="E183" i="4"/>
  <c r="F182" i="4"/>
  <c r="J182" i="4"/>
  <c r="H182" i="4"/>
  <c r="D184" i="4"/>
  <c r="C184" i="4"/>
  <c r="AB183" i="3"/>
  <c r="L185" i="2"/>
  <c r="I184" i="2"/>
  <c r="F184" i="2" s="1"/>
  <c r="F183" i="3"/>
  <c r="D184" i="3"/>
  <c r="U182" i="3"/>
  <c r="I182" i="3"/>
  <c r="O182" i="3"/>
  <c r="D186" i="2"/>
  <c r="N185" i="2"/>
  <c r="K184" i="2"/>
  <c r="H184" i="2" s="1"/>
  <c r="K184" i="4"/>
  <c r="N184" i="4" s="1"/>
  <c r="G184" i="4"/>
  <c r="L184" i="4" s="1"/>
  <c r="I184" i="4"/>
  <c r="M184" i="4" s="1"/>
  <c r="C186" i="2"/>
  <c r="A185" i="4"/>
  <c r="G184" i="3"/>
  <c r="S184" i="3"/>
  <c r="Y184" i="3" s="1"/>
  <c r="Z184" i="3" s="1"/>
  <c r="AA184" i="3" s="1"/>
  <c r="H184" i="3"/>
  <c r="T184" i="3"/>
  <c r="J184" i="3"/>
  <c r="V184" i="3"/>
  <c r="M184" i="3"/>
  <c r="N184" i="3"/>
  <c r="C184" i="3"/>
  <c r="E184" i="3"/>
  <c r="P184" i="3"/>
  <c r="M185" i="2"/>
  <c r="J184" i="2"/>
  <c r="G184" i="2" s="1"/>
  <c r="E186" i="2" l="1"/>
  <c r="B186" i="3"/>
  <c r="E184" i="4"/>
  <c r="H183" i="4"/>
  <c r="F183" i="4"/>
  <c r="J183" i="4"/>
  <c r="D185" i="4"/>
  <c r="C187" i="2"/>
  <c r="D187" i="2"/>
  <c r="F184" i="3"/>
  <c r="D185" i="3"/>
  <c r="C185" i="4"/>
  <c r="AB184" i="3"/>
  <c r="U183" i="3"/>
  <c r="I183" i="3"/>
  <c r="O183" i="3"/>
  <c r="L186" i="2"/>
  <c r="I185" i="2"/>
  <c r="F185" i="2" s="1"/>
  <c r="J185" i="2"/>
  <c r="G185" i="2" s="1"/>
  <c r="M186" i="2"/>
  <c r="K185" i="2"/>
  <c r="H185" i="2" s="1"/>
  <c r="N186" i="2"/>
  <c r="K185" i="4"/>
  <c r="N185" i="4" s="1"/>
  <c r="G185" i="4"/>
  <c r="L185" i="4" s="1"/>
  <c r="I185" i="4"/>
  <c r="M185" i="4" s="1"/>
  <c r="A186" i="4"/>
  <c r="C185" i="3"/>
  <c r="P185" i="3"/>
  <c r="E185" i="3"/>
  <c r="G185" i="3"/>
  <c r="S185" i="3"/>
  <c r="Y185" i="3" s="1"/>
  <c r="Z185" i="3" s="1"/>
  <c r="AA185" i="3" s="1"/>
  <c r="H185" i="3"/>
  <c r="T185" i="3"/>
  <c r="J185" i="3"/>
  <c r="V185" i="3"/>
  <c r="N185" i="3"/>
  <c r="M185" i="3"/>
  <c r="E187" i="2" l="1"/>
  <c r="B187" i="3"/>
  <c r="E185" i="4"/>
  <c r="H184" i="4"/>
  <c r="F184" i="4"/>
  <c r="J184" i="4"/>
  <c r="D186" i="4"/>
  <c r="F185" i="3"/>
  <c r="D186" i="3"/>
  <c r="N187" i="2"/>
  <c r="K186" i="2"/>
  <c r="H186" i="2" s="1"/>
  <c r="I184" i="3"/>
  <c r="U184" i="3"/>
  <c r="O184" i="3"/>
  <c r="A187" i="4"/>
  <c r="M186" i="3"/>
  <c r="N186" i="3"/>
  <c r="C186" i="3"/>
  <c r="P186" i="3"/>
  <c r="E186" i="3"/>
  <c r="G186" i="3"/>
  <c r="S186" i="3"/>
  <c r="Y186" i="3" s="1"/>
  <c r="Z186" i="3" s="1"/>
  <c r="AA186" i="3" s="1"/>
  <c r="H186" i="3"/>
  <c r="T186" i="3"/>
  <c r="J186" i="3"/>
  <c r="V186" i="3"/>
  <c r="D188" i="2"/>
  <c r="M187" i="2"/>
  <c r="J186" i="2"/>
  <c r="G186" i="2" s="1"/>
  <c r="C188" i="2"/>
  <c r="C186" i="4"/>
  <c r="AB185" i="3"/>
  <c r="I186" i="4"/>
  <c r="M186" i="4" s="1"/>
  <c r="K186" i="4"/>
  <c r="N186" i="4" s="1"/>
  <c r="G186" i="4"/>
  <c r="L186" i="4" s="1"/>
  <c r="L187" i="2"/>
  <c r="I186" i="2"/>
  <c r="F186" i="2" s="1"/>
  <c r="E188" i="2" l="1"/>
  <c r="B188" i="3"/>
  <c r="E186" i="4"/>
  <c r="H185" i="4"/>
  <c r="J185" i="4"/>
  <c r="F185" i="4"/>
  <c r="D187" i="4"/>
  <c r="I187" i="4"/>
  <c r="M187" i="4" s="1"/>
  <c r="K187" i="4"/>
  <c r="N187" i="4" s="1"/>
  <c r="G187" i="4"/>
  <c r="L187" i="4" s="1"/>
  <c r="C187" i="4"/>
  <c r="AB186" i="3"/>
  <c r="K187" i="2"/>
  <c r="H187" i="2" s="1"/>
  <c r="N188" i="2"/>
  <c r="C189" i="2"/>
  <c r="A188" i="4"/>
  <c r="J187" i="3"/>
  <c r="V187" i="3"/>
  <c r="M187" i="3"/>
  <c r="N187" i="3"/>
  <c r="C187" i="3"/>
  <c r="P187" i="3"/>
  <c r="E187" i="3"/>
  <c r="H187" i="3"/>
  <c r="T187" i="3"/>
  <c r="G187" i="3"/>
  <c r="S187" i="3"/>
  <c r="Y187" i="3" s="1"/>
  <c r="Z187" i="3" s="1"/>
  <c r="AA187" i="3" s="1"/>
  <c r="F186" i="3"/>
  <c r="D187" i="3"/>
  <c r="D189" i="2"/>
  <c r="L188" i="2"/>
  <c r="I187" i="2"/>
  <c r="F187" i="2" s="1"/>
  <c r="O185" i="3"/>
  <c r="I185" i="3"/>
  <c r="U185" i="3"/>
  <c r="J187" i="2"/>
  <c r="G187" i="2" s="1"/>
  <c r="M188" i="2"/>
  <c r="E189" i="2" l="1"/>
  <c r="B189" i="3"/>
  <c r="H186" i="4"/>
  <c r="J186" i="4"/>
  <c r="E187" i="4"/>
  <c r="F186" i="4"/>
  <c r="D188" i="4"/>
  <c r="A189" i="4"/>
  <c r="G188" i="3"/>
  <c r="S188" i="3"/>
  <c r="Y188" i="3" s="1"/>
  <c r="Z188" i="3" s="1"/>
  <c r="AA188" i="3" s="1"/>
  <c r="H188" i="3"/>
  <c r="T188" i="3"/>
  <c r="J188" i="3"/>
  <c r="V188" i="3"/>
  <c r="M188" i="3"/>
  <c r="N188" i="3"/>
  <c r="C188" i="3"/>
  <c r="E188" i="3"/>
  <c r="P188" i="3"/>
  <c r="N189" i="2"/>
  <c r="K188" i="2"/>
  <c r="H188" i="2" s="1"/>
  <c r="L189" i="2"/>
  <c r="I188" i="2"/>
  <c r="F188" i="2" s="1"/>
  <c r="D190" i="2"/>
  <c r="C188" i="4"/>
  <c r="AB187" i="3"/>
  <c r="F187" i="3"/>
  <c r="D188" i="3"/>
  <c r="O186" i="3"/>
  <c r="I186" i="3"/>
  <c r="U186" i="3"/>
  <c r="M189" i="2"/>
  <c r="J188" i="2"/>
  <c r="G188" i="2" s="1"/>
  <c r="G188" i="4"/>
  <c r="L188" i="4" s="1"/>
  <c r="I188" i="4"/>
  <c r="M188" i="4" s="1"/>
  <c r="K188" i="4"/>
  <c r="N188" i="4" s="1"/>
  <c r="C190" i="2"/>
  <c r="E190" i="2" l="1"/>
  <c r="B190" i="3"/>
  <c r="J187" i="4"/>
  <c r="F187" i="4"/>
  <c r="H187" i="4"/>
  <c r="E188" i="4"/>
  <c r="D189" i="4"/>
  <c r="C189" i="4"/>
  <c r="AB188" i="3"/>
  <c r="D191" i="2"/>
  <c r="M190" i="2"/>
  <c r="J189" i="2"/>
  <c r="G189" i="2" s="1"/>
  <c r="I189" i="2"/>
  <c r="F189" i="2" s="1"/>
  <c r="L190" i="2"/>
  <c r="N190" i="2"/>
  <c r="K189" i="2"/>
  <c r="H189" i="2" s="1"/>
  <c r="G189" i="4"/>
  <c r="L189" i="4" s="1"/>
  <c r="I189" i="4"/>
  <c r="M189" i="4" s="1"/>
  <c r="K189" i="4"/>
  <c r="N189" i="4" s="1"/>
  <c r="C191" i="2"/>
  <c r="E191" i="2" s="1"/>
  <c r="F188" i="3"/>
  <c r="D189" i="3"/>
  <c r="A190" i="4"/>
  <c r="C189" i="3"/>
  <c r="P189" i="3"/>
  <c r="E189" i="3"/>
  <c r="G189" i="3"/>
  <c r="S189" i="3"/>
  <c r="Y189" i="3" s="1"/>
  <c r="Z189" i="3" s="1"/>
  <c r="AA189" i="3" s="1"/>
  <c r="H189" i="3"/>
  <c r="T189" i="3"/>
  <c r="J189" i="3"/>
  <c r="V189" i="3"/>
  <c r="N189" i="3"/>
  <c r="M189" i="3"/>
  <c r="I187" i="3"/>
  <c r="U187" i="3"/>
  <c r="O187" i="3"/>
  <c r="B191" i="3" l="1"/>
  <c r="E189" i="4"/>
  <c r="F188" i="4"/>
  <c r="H188" i="4"/>
  <c r="J188" i="4"/>
  <c r="D190" i="4"/>
  <c r="I188" i="3"/>
  <c r="U188" i="3"/>
  <c r="O188" i="3"/>
  <c r="L191" i="2"/>
  <c r="I190" i="2"/>
  <c r="F190" i="2" s="1"/>
  <c r="N191" i="2"/>
  <c r="K190" i="2"/>
  <c r="H190" i="2" s="1"/>
  <c r="C192" i="2"/>
  <c r="M191" i="2"/>
  <c r="J190" i="2"/>
  <c r="G190" i="2" s="1"/>
  <c r="F189" i="3"/>
  <c r="D190" i="3"/>
  <c r="D192" i="2"/>
  <c r="A191" i="4"/>
  <c r="M190" i="3"/>
  <c r="N190" i="3"/>
  <c r="C190" i="3"/>
  <c r="P190" i="3"/>
  <c r="E190" i="3"/>
  <c r="G190" i="3"/>
  <c r="S190" i="3"/>
  <c r="Y190" i="3" s="1"/>
  <c r="Z190" i="3" s="1"/>
  <c r="AA190" i="3" s="1"/>
  <c r="H190" i="3"/>
  <c r="T190" i="3"/>
  <c r="V190" i="3"/>
  <c r="J190" i="3"/>
  <c r="C190" i="4"/>
  <c r="AB189" i="3"/>
  <c r="G190" i="4"/>
  <c r="L190" i="4" s="1"/>
  <c r="I190" i="4"/>
  <c r="M190" i="4" s="1"/>
  <c r="K190" i="4"/>
  <c r="N190" i="4" s="1"/>
  <c r="E192" i="2" l="1"/>
  <c r="B192" i="3"/>
  <c r="J189" i="4"/>
  <c r="F189" i="4"/>
  <c r="H189" i="4"/>
  <c r="E190" i="4"/>
  <c r="D191" i="4"/>
  <c r="C191" i="4"/>
  <c r="AB190" i="3"/>
  <c r="G191" i="4"/>
  <c r="L191" i="4" s="1"/>
  <c r="I191" i="4"/>
  <c r="M191" i="4" s="1"/>
  <c r="K191" i="4"/>
  <c r="N191" i="4" s="1"/>
  <c r="N192" i="2"/>
  <c r="K191" i="2"/>
  <c r="H191" i="2" s="1"/>
  <c r="D193" i="2"/>
  <c r="L192" i="2"/>
  <c r="I191" i="2"/>
  <c r="F191" i="2" s="1"/>
  <c r="F190" i="3"/>
  <c r="D191" i="3"/>
  <c r="O189" i="3"/>
  <c r="I189" i="3"/>
  <c r="U189" i="3"/>
  <c r="A192" i="4"/>
  <c r="J191" i="3"/>
  <c r="V191" i="3"/>
  <c r="M191" i="3"/>
  <c r="N191" i="3"/>
  <c r="C191" i="3"/>
  <c r="P191" i="3"/>
  <c r="E191" i="3"/>
  <c r="H191" i="3"/>
  <c r="T191" i="3"/>
  <c r="G191" i="3"/>
  <c r="S191" i="3"/>
  <c r="Y191" i="3" s="1"/>
  <c r="Z191" i="3" s="1"/>
  <c r="AA191" i="3" s="1"/>
  <c r="C193" i="2"/>
  <c r="M192" i="2"/>
  <c r="J191" i="2"/>
  <c r="G191" i="2" s="1"/>
  <c r="E193" i="2" l="1"/>
  <c r="B193" i="3"/>
  <c r="E191" i="4"/>
  <c r="H190" i="4"/>
  <c r="F190" i="4"/>
  <c r="J190" i="4"/>
  <c r="D192" i="4"/>
  <c r="G192" i="4"/>
  <c r="L192" i="4" s="1"/>
  <c r="I192" i="4"/>
  <c r="M192" i="4" s="1"/>
  <c r="K192" i="4"/>
  <c r="N192" i="4" s="1"/>
  <c r="K192" i="2"/>
  <c r="H192" i="2" s="1"/>
  <c r="N193" i="2"/>
  <c r="A193" i="4"/>
  <c r="G192" i="3"/>
  <c r="S192" i="3"/>
  <c r="Y192" i="3" s="1"/>
  <c r="Z192" i="3" s="1"/>
  <c r="AA192" i="3" s="1"/>
  <c r="H192" i="3"/>
  <c r="T192" i="3"/>
  <c r="J192" i="3"/>
  <c r="V192" i="3"/>
  <c r="M192" i="3"/>
  <c r="N192" i="3"/>
  <c r="C192" i="3"/>
  <c r="E192" i="3"/>
  <c r="P192" i="3"/>
  <c r="F191" i="3"/>
  <c r="D192" i="3"/>
  <c r="O190" i="3"/>
  <c r="I190" i="3"/>
  <c r="U190" i="3"/>
  <c r="C194" i="2"/>
  <c r="L193" i="2"/>
  <c r="I192" i="2"/>
  <c r="F192" i="2" s="1"/>
  <c r="M193" i="2"/>
  <c r="J192" i="2"/>
  <c r="G192" i="2" s="1"/>
  <c r="C192" i="4"/>
  <c r="AB191" i="3"/>
  <c r="D194" i="2"/>
  <c r="E194" i="2" l="1"/>
  <c r="B194" i="3"/>
  <c r="F191" i="4"/>
  <c r="J191" i="4"/>
  <c r="H191" i="4"/>
  <c r="E192" i="4"/>
  <c r="D193" i="4"/>
  <c r="I191" i="3"/>
  <c r="U191" i="3"/>
  <c r="O191" i="3"/>
  <c r="G193" i="4"/>
  <c r="L193" i="4" s="1"/>
  <c r="I193" i="4"/>
  <c r="M193" i="4" s="1"/>
  <c r="K193" i="4"/>
  <c r="N193" i="4" s="1"/>
  <c r="M194" i="2"/>
  <c r="J193" i="2"/>
  <c r="G193" i="2" s="1"/>
  <c r="A194" i="4"/>
  <c r="C193" i="3"/>
  <c r="P193" i="3"/>
  <c r="E193" i="3"/>
  <c r="G193" i="3"/>
  <c r="S193" i="3"/>
  <c r="Y193" i="3" s="1"/>
  <c r="Z193" i="3" s="1"/>
  <c r="AA193" i="3" s="1"/>
  <c r="H193" i="3"/>
  <c r="T193" i="3"/>
  <c r="J193" i="3"/>
  <c r="V193" i="3"/>
  <c r="N193" i="3"/>
  <c r="M193" i="3"/>
  <c r="N194" i="2"/>
  <c r="K193" i="2"/>
  <c r="H193" i="2" s="1"/>
  <c r="L194" i="2"/>
  <c r="I193" i="2"/>
  <c r="F193" i="2" s="1"/>
  <c r="C195" i="2"/>
  <c r="C193" i="4"/>
  <c r="AB192" i="3"/>
  <c r="D195" i="2"/>
  <c r="F192" i="3"/>
  <c r="D193" i="3"/>
  <c r="E195" i="2" l="1"/>
  <c r="B195" i="3"/>
  <c r="H192" i="4"/>
  <c r="J192" i="4"/>
  <c r="E193" i="4"/>
  <c r="F192" i="4"/>
  <c r="D194" i="4"/>
  <c r="J194" i="2"/>
  <c r="G194" i="2" s="1"/>
  <c r="M195" i="2"/>
  <c r="C196" i="2"/>
  <c r="A195" i="4"/>
  <c r="M194" i="3"/>
  <c r="N194" i="3"/>
  <c r="C194" i="3"/>
  <c r="P194" i="3"/>
  <c r="E194" i="3"/>
  <c r="G194" i="3"/>
  <c r="S194" i="3"/>
  <c r="Y194" i="3" s="1"/>
  <c r="Z194" i="3" s="1"/>
  <c r="AA194" i="3" s="1"/>
  <c r="H194" i="3"/>
  <c r="T194" i="3"/>
  <c r="J194" i="3"/>
  <c r="V194" i="3"/>
  <c r="I194" i="2"/>
  <c r="F194" i="2" s="1"/>
  <c r="L195" i="2"/>
  <c r="F193" i="3"/>
  <c r="D194" i="3"/>
  <c r="I192" i="3"/>
  <c r="U192" i="3"/>
  <c r="O192" i="3"/>
  <c r="N195" i="2"/>
  <c r="K194" i="2"/>
  <c r="H194" i="2" s="1"/>
  <c r="D196" i="2"/>
  <c r="C194" i="4"/>
  <c r="AB193" i="3"/>
  <c r="G194" i="4"/>
  <c r="L194" i="4" s="1"/>
  <c r="K194" i="4"/>
  <c r="N194" i="4" s="1"/>
  <c r="I194" i="4"/>
  <c r="M194" i="4" s="1"/>
  <c r="E196" i="2" l="1"/>
  <c r="B196" i="3"/>
  <c r="H193" i="4"/>
  <c r="J193" i="4"/>
  <c r="F193" i="4"/>
  <c r="E194" i="4"/>
  <c r="D195" i="4"/>
  <c r="O193" i="3"/>
  <c r="I193" i="3"/>
  <c r="U193" i="3"/>
  <c r="F194" i="3"/>
  <c r="D195" i="3"/>
  <c r="L196" i="2"/>
  <c r="I195" i="2"/>
  <c r="F195" i="2" s="1"/>
  <c r="C195" i="4"/>
  <c r="AB194" i="3"/>
  <c r="D197" i="2"/>
  <c r="G195" i="4"/>
  <c r="L195" i="4" s="1"/>
  <c r="I195" i="4"/>
  <c r="M195" i="4" s="1"/>
  <c r="K195" i="4"/>
  <c r="N195" i="4" s="1"/>
  <c r="C197" i="2"/>
  <c r="N196" i="2"/>
  <c r="K195" i="2"/>
  <c r="H195" i="2" s="1"/>
  <c r="M196" i="2"/>
  <c r="J195" i="2"/>
  <c r="G195" i="2" s="1"/>
  <c r="A196" i="4"/>
  <c r="J195" i="3"/>
  <c r="V195" i="3"/>
  <c r="M195" i="3"/>
  <c r="N195" i="3"/>
  <c r="C195" i="3"/>
  <c r="P195" i="3"/>
  <c r="E195" i="3"/>
  <c r="H195" i="3"/>
  <c r="T195" i="3"/>
  <c r="G195" i="3"/>
  <c r="S195" i="3"/>
  <c r="Y195" i="3" s="1"/>
  <c r="Z195" i="3" s="1"/>
  <c r="AA195" i="3" s="1"/>
  <c r="E197" i="2" l="1"/>
  <c r="B197" i="3"/>
  <c r="F194" i="4"/>
  <c r="H194" i="4"/>
  <c r="J194" i="4"/>
  <c r="E195" i="4"/>
  <c r="D196" i="4"/>
  <c r="C198" i="2"/>
  <c r="A197" i="4"/>
  <c r="G196" i="3"/>
  <c r="S196" i="3"/>
  <c r="Y196" i="3" s="1"/>
  <c r="Z196" i="3" s="1"/>
  <c r="AA196" i="3" s="1"/>
  <c r="H196" i="3"/>
  <c r="T196" i="3"/>
  <c r="J196" i="3"/>
  <c r="V196" i="3"/>
  <c r="M196" i="3"/>
  <c r="N196" i="3"/>
  <c r="C196" i="3"/>
  <c r="E196" i="3"/>
  <c r="P196" i="3"/>
  <c r="N197" i="2"/>
  <c r="K196" i="2"/>
  <c r="H196" i="2" s="1"/>
  <c r="L197" i="2"/>
  <c r="I196" i="2"/>
  <c r="F196" i="2" s="1"/>
  <c r="C196" i="4"/>
  <c r="AB195" i="3"/>
  <c r="F195" i="3"/>
  <c r="D196" i="3"/>
  <c r="O194" i="3"/>
  <c r="I194" i="3"/>
  <c r="U194" i="3"/>
  <c r="K196" i="4"/>
  <c r="N196" i="4" s="1"/>
  <c r="G196" i="4"/>
  <c r="L196" i="4" s="1"/>
  <c r="I196" i="4"/>
  <c r="M196" i="4" s="1"/>
  <c r="M197" i="2"/>
  <c r="J196" i="2"/>
  <c r="G196" i="2" s="1"/>
  <c r="D198" i="2"/>
  <c r="E198" i="2" l="1"/>
  <c r="B198" i="3"/>
  <c r="J195" i="4"/>
  <c r="F195" i="4"/>
  <c r="H195" i="4"/>
  <c r="E196" i="4"/>
  <c r="D197" i="4"/>
  <c r="L198" i="2"/>
  <c r="I197" i="2"/>
  <c r="F197" i="2" s="1"/>
  <c r="N198" i="2"/>
  <c r="K197" i="2"/>
  <c r="H197" i="2" s="1"/>
  <c r="K197" i="4"/>
  <c r="N197" i="4" s="1"/>
  <c r="G197" i="4"/>
  <c r="L197" i="4" s="1"/>
  <c r="I197" i="4"/>
  <c r="M197" i="4" s="1"/>
  <c r="M198" i="2"/>
  <c r="J197" i="2"/>
  <c r="G197" i="2" s="1"/>
  <c r="A198" i="4"/>
  <c r="C197" i="3"/>
  <c r="P197" i="3"/>
  <c r="E197" i="3"/>
  <c r="G197" i="3"/>
  <c r="S197" i="3"/>
  <c r="Y197" i="3" s="1"/>
  <c r="Z197" i="3" s="1"/>
  <c r="AA197" i="3" s="1"/>
  <c r="H197" i="3"/>
  <c r="T197" i="3"/>
  <c r="J197" i="3"/>
  <c r="V197" i="3"/>
  <c r="N197" i="3"/>
  <c r="M197" i="3"/>
  <c r="C199" i="2"/>
  <c r="D199" i="2"/>
  <c r="F196" i="3"/>
  <c r="D197" i="3"/>
  <c r="I195" i="3"/>
  <c r="U195" i="3"/>
  <c r="O195" i="3"/>
  <c r="C197" i="4"/>
  <c r="AB196" i="3"/>
  <c r="E199" i="2" l="1"/>
  <c r="B199" i="3"/>
  <c r="F196" i="4"/>
  <c r="E197" i="4"/>
  <c r="H196" i="4"/>
  <c r="J196" i="4"/>
  <c r="D198" i="4"/>
  <c r="F197" i="3"/>
  <c r="D198" i="3"/>
  <c r="I196" i="3"/>
  <c r="U196" i="3"/>
  <c r="O196" i="3"/>
  <c r="D200" i="2"/>
  <c r="A199" i="4"/>
  <c r="M198" i="3"/>
  <c r="N198" i="3"/>
  <c r="C198" i="3"/>
  <c r="P198" i="3"/>
  <c r="E198" i="3"/>
  <c r="G198" i="3"/>
  <c r="S198" i="3"/>
  <c r="Y198" i="3" s="1"/>
  <c r="Z198" i="3" s="1"/>
  <c r="AA198" i="3" s="1"/>
  <c r="H198" i="3"/>
  <c r="T198" i="3"/>
  <c r="J198" i="3"/>
  <c r="V198" i="3"/>
  <c r="C200" i="2"/>
  <c r="N199" i="2"/>
  <c r="K198" i="2"/>
  <c r="H198" i="2" s="1"/>
  <c r="C198" i="4"/>
  <c r="AB197" i="3"/>
  <c r="I198" i="4"/>
  <c r="M198" i="4" s="1"/>
  <c r="K198" i="4"/>
  <c r="N198" i="4" s="1"/>
  <c r="G198" i="4"/>
  <c r="L198" i="4" s="1"/>
  <c r="L199" i="2"/>
  <c r="I198" i="2"/>
  <c r="F198" i="2" s="1"/>
  <c r="M199" i="2"/>
  <c r="J198" i="2"/>
  <c r="G198" i="2" s="1"/>
  <c r="E200" i="2" l="1"/>
  <c r="B200" i="3"/>
  <c r="F197" i="4"/>
  <c r="E198" i="4"/>
  <c r="H197" i="4"/>
  <c r="J197" i="4"/>
  <c r="D199" i="4"/>
  <c r="I199" i="4"/>
  <c r="M199" i="4" s="1"/>
  <c r="K199" i="4"/>
  <c r="N199" i="4" s="1"/>
  <c r="G199" i="4"/>
  <c r="L199" i="4" s="1"/>
  <c r="D201" i="2"/>
  <c r="C199" i="4"/>
  <c r="AB198" i="3"/>
  <c r="C201" i="2"/>
  <c r="F198" i="3"/>
  <c r="D199" i="3"/>
  <c r="J199" i="2"/>
  <c r="G199" i="2" s="1"/>
  <c r="M200" i="2"/>
  <c r="K199" i="2"/>
  <c r="H199" i="2" s="1"/>
  <c r="N200" i="2"/>
  <c r="O197" i="3"/>
  <c r="I197" i="3"/>
  <c r="U197" i="3"/>
  <c r="A200" i="4"/>
  <c r="J199" i="3"/>
  <c r="V199" i="3"/>
  <c r="M199" i="3"/>
  <c r="N199" i="3"/>
  <c r="C199" i="3"/>
  <c r="P199" i="3"/>
  <c r="E199" i="3"/>
  <c r="H199" i="3"/>
  <c r="T199" i="3"/>
  <c r="S199" i="3"/>
  <c r="Y199" i="3" s="1"/>
  <c r="Z199" i="3" s="1"/>
  <c r="AA199" i="3" s="1"/>
  <c r="G199" i="3"/>
  <c r="L200" i="2"/>
  <c r="I199" i="2"/>
  <c r="F199" i="2" s="1"/>
  <c r="E201" i="2" l="1"/>
  <c r="B201" i="3"/>
  <c r="H198" i="4"/>
  <c r="E199" i="4"/>
  <c r="J198" i="4"/>
  <c r="F198" i="4"/>
  <c r="D200" i="4"/>
  <c r="D202" i="2"/>
  <c r="A201" i="4"/>
  <c r="G200" i="3"/>
  <c r="S200" i="3"/>
  <c r="Y200" i="3" s="1"/>
  <c r="Z200" i="3" s="1"/>
  <c r="AA200" i="3" s="1"/>
  <c r="H200" i="3"/>
  <c r="T200" i="3"/>
  <c r="J200" i="3"/>
  <c r="V200" i="3"/>
  <c r="M200" i="3"/>
  <c r="N200" i="3"/>
  <c r="C200" i="3"/>
  <c r="E200" i="3"/>
  <c r="P200" i="3"/>
  <c r="N201" i="2"/>
  <c r="K200" i="2"/>
  <c r="H200" i="2" s="1"/>
  <c r="M201" i="2"/>
  <c r="J200" i="2"/>
  <c r="G200" i="2" s="1"/>
  <c r="F199" i="3"/>
  <c r="D200" i="3"/>
  <c r="C200" i="4"/>
  <c r="AB199" i="3"/>
  <c r="O198" i="3"/>
  <c r="I198" i="3"/>
  <c r="U198" i="3"/>
  <c r="C202" i="2"/>
  <c r="L201" i="2"/>
  <c r="I200" i="2"/>
  <c r="F200" i="2" s="1"/>
  <c r="G200" i="4"/>
  <c r="L200" i="4" s="1"/>
  <c r="I200" i="4"/>
  <c r="M200" i="4" s="1"/>
  <c r="K200" i="4"/>
  <c r="N200" i="4" s="1"/>
  <c r="E202" i="2" l="1"/>
  <c r="B202" i="3"/>
  <c r="F199" i="4"/>
  <c r="H199" i="4"/>
  <c r="E200" i="4"/>
  <c r="J199" i="4"/>
  <c r="D201" i="4"/>
  <c r="F200" i="3"/>
  <c r="D201" i="3"/>
  <c r="I201" i="2"/>
  <c r="F201" i="2" s="1"/>
  <c r="L202" i="2"/>
  <c r="M202" i="2"/>
  <c r="J201" i="2"/>
  <c r="G201" i="2" s="1"/>
  <c r="I199" i="3"/>
  <c r="U199" i="3"/>
  <c r="O199" i="3"/>
  <c r="N202" i="2"/>
  <c r="K201" i="2"/>
  <c r="H201" i="2" s="1"/>
  <c r="C203" i="2"/>
  <c r="K201" i="4"/>
  <c r="N201" i="4" s="1"/>
  <c r="G201" i="4"/>
  <c r="L201" i="4" s="1"/>
  <c r="I201" i="4"/>
  <c r="M201" i="4" s="1"/>
  <c r="A202" i="4"/>
  <c r="C201" i="3"/>
  <c r="P201" i="3"/>
  <c r="E201" i="3"/>
  <c r="G201" i="3"/>
  <c r="S201" i="3"/>
  <c r="Y201" i="3" s="1"/>
  <c r="Z201" i="3" s="1"/>
  <c r="AA201" i="3" s="1"/>
  <c r="H201" i="3"/>
  <c r="T201" i="3"/>
  <c r="J201" i="3"/>
  <c r="V201" i="3"/>
  <c r="N201" i="3"/>
  <c r="M201" i="3"/>
  <c r="D203" i="2"/>
  <c r="C201" i="4"/>
  <c r="AB200" i="3"/>
  <c r="E203" i="2" l="1"/>
  <c r="B203" i="3"/>
  <c r="H200" i="4"/>
  <c r="J200" i="4"/>
  <c r="E201" i="4"/>
  <c r="F200" i="4"/>
  <c r="D202" i="4"/>
  <c r="C202" i="4"/>
  <c r="AB201" i="3"/>
  <c r="N203" i="2"/>
  <c r="K202" i="2"/>
  <c r="H202" i="2" s="1"/>
  <c r="M203" i="2"/>
  <c r="J202" i="2"/>
  <c r="G202" i="2" s="1"/>
  <c r="L203" i="2"/>
  <c r="I202" i="2"/>
  <c r="F202" i="2" s="1"/>
  <c r="I202" i="4"/>
  <c r="M202" i="4" s="1"/>
  <c r="K202" i="4"/>
  <c r="N202" i="4" s="1"/>
  <c r="G202" i="4"/>
  <c r="L202" i="4" s="1"/>
  <c r="C204" i="2"/>
  <c r="F201" i="3"/>
  <c r="D202" i="3"/>
  <c r="A203" i="4"/>
  <c r="M202" i="3"/>
  <c r="N202" i="3"/>
  <c r="C202" i="3"/>
  <c r="P202" i="3"/>
  <c r="E202" i="3"/>
  <c r="G202" i="3"/>
  <c r="S202" i="3"/>
  <c r="Y202" i="3" s="1"/>
  <c r="Z202" i="3" s="1"/>
  <c r="AA202" i="3" s="1"/>
  <c r="H202" i="3"/>
  <c r="T202" i="3"/>
  <c r="J202" i="3"/>
  <c r="V202" i="3"/>
  <c r="I200" i="3"/>
  <c r="U200" i="3"/>
  <c r="O200" i="3"/>
  <c r="D204" i="2"/>
  <c r="E204" i="2" l="1"/>
  <c r="B204" i="3"/>
  <c r="E202" i="4"/>
  <c r="F201" i="4"/>
  <c r="H201" i="4"/>
  <c r="J201" i="4"/>
  <c r="D203" i="4"/>
  <c r="F202" i="3"/>
  <c r="D203" i="3"/>
  <c r="O201" i="3"/>
  <c r="I201" i="3"/>
  <c r="U201" i="3"/>
  <c r="L204" i="2"/>
  <c r="I203" i="2"/>
  <c r="F203" i="2" s="1"/>
  <c r="C205" i="2"/>
  <c r="M204" i="2"/>
  <c r="J203" i="2"/>
  <c r="G203" i="2" s="1"/>
  <c r="I203" i="4"/>
  <c r="M203" i="4" s="1"/>
  <c r="K203" i="4"/>
  <c r="N203" i="4" s="1"/>
  <c r="G203" i="4"/>
  <c r="L203" i="4" s="1"/>
  <c r="N204" i="2"/>
  <c r="K203" i="2"/>
  <c r="H203" i="2" s="1"/>
  <c r="D205" i="2"/>
  <c r="A204" i="4"/>
  <c r="J203" i="3"/>
  <c r="V203" i="3"/>
  <c r="M203" i="3"/>
  <c r="N203" i="3"/>
  <c r="C203" i="3"/>
  <c r="P203" i="3"/>
  <c r="E203" i="3"/>
  <c r="H203" i="3"/>
  <c r="T203" i="3"/>
  <c r="G203" i="3"/>
  <c r="S203" i="3"/>
  <c r="Y203" i="3" s="1"/>
  <c r="Z203" i="3" s="1"/>
  <c r="AA203" i="3" s="1"/>
  <c r="C203" i="4"/>
  <c r="AB202" i="3"/>
  <c r="E205" i="2" l="1"/>
  <c r="B205" i="3"/>
  <c r="E203" i="4"/>
  <c r="J202" i="4"/>
  <c r="H202" i="4"/>
  <c r="F202" i="4"/>
  <c r="D204" i="4"/>
  <c r="D206" i="2"/>
  <c r="A205" i="4"/>
  <c r="G204" i="3"/>
  <c r="S204" i="3"/>
  <c r="Y204" i="3" s="1"/>
  <c r="Z204" i="3" s="1"/>
  <c r="AA204" i="3" s="1"/>
  <c r="H204" i="3"/>
  <c r="T204" i="3"/>
  <c r="J204" i="3"/>
  <c r="V204" i="3"/>
  <c r="M204" i="3"/>
  <c r="N204" i="3"/>
  <c r="E204" i="3"/>
  <c r="C204" i="3"/>
  <c r="P204" i="3"/>
  <c r="C206" i="2"/>
  <c r="L205" i="2"/>
  <c r="I204" i="2"/>
  <c r="F204" i="2" s="1"/>
  <c r="K204" i="2"/>
  <c r="H204" i="2" s="1"/>
  <c r="N205" i="2"/>
  <c r="C204" i="4"/>
  <c r="AB203" i="3"/>
  <c r="F203" i="3"/>
  <c r="D204" i="3"/>
  <c r="O202" i="3"/>
  <c r="I202" i="3"/>
  <c r="U202" i="3"/>
  <c r="G204" i="4"/>
  <c r="L204" i="4" s="1"/>
  <c r="I204" i="4"/>
  <c r="M204" i="4" s="1"/>
  <c r="K204" i="4"/>
  <c r="N204" i="4" s="1"/>
  <c r="M205" i="2"/>
  <c r="J204" i="2"/>
  <c r="G204" i="2" s="1"/>
  <c r="E206" i="2" l="1"/>
  <c r="B206" i="3"/>
  <c r="J203" i="4"/>
  <c r="F203" i="4"/>
  <c r="H203" i="4"/>
  <c r="E204" i="4"/>
  <c r="D205" i="4"/>
  <c r="L206" i="2"/>
  <c r="I205" i="2"/>
  <c r="F205" i="2" s="1"/>
  <c r="G205" i="4"/>
  <c r="L205" i="4" s="1"/>
  <c r="I205" i="4"/>
  <c r="M205" i="4" s="1"/>
  <c r="K205" i="4"/>
  <c r="N205" i="4" s="1"/>
  <c r="C207" i="2"/>
  <c r="F204" i="3"/>
  <c r="D205" i="3"/>
  <c r="D207" i="2"/>
  <c r="I203" i="3"/>
  <c r="U203" i="3"/>
  <c r="O203" i="3"/>
  <c r="A206" i="4"/>
  <c r="C205" i="3"/>
  <c r="P205" i="3"/>
  <c r="E205" i="3"/>
  <c r="G205" i="3"/>
  <c r="S205" i="3"/>
  <c r="Y205" i="3" s="1"/>
  <c r="Z205" i="3" s="1"/>
  <c r="AA205" i="3" s="1"/>
  <c r="H205" i="3"/>
  <c r="T205" i="3"/>
  <c r="J205" i="3"/>
  <c r="V205" i="3"/>
  <c r="N205" i="3"/>
  <c r="M205" i="3"/>
  <c r="M206" i="2"/>
  <c r="J205" i="2"/>
  <c r="G205" i="2" s="1"/>
  <c r="N206" i="2"/>
  <c r="K205" i="2"/>
  <c r="H205" i="2" s="1"/>
  <c r="C205" i="4"/>
  <c r="AB204" i="3"/>
  <c r="E207" i="2" l="1"/>
  <c r="B207" i="3"/>
  <c r="H204" i="4"/>
  <c r="J204" i="4"/>
  <c r="F204" i="4"/>
  <c r="E205" i="4"/>
  <c r="D206" i="4"/>
  <c r="J206" i="2"/>
  <c r="G206" i="2" s="1"/>
  <c r="M207" i="2"/>
  <c r="C208" i="2"/>
  <c r="C206" i="4"/>
  <c r="AB205" i="3"/>
  <c r="G206" i="4"/>
  <c r="L206" i="4" s="1"/>
  <c r="I206" i="4"/>
  <c r="M206" i="4" s="1"/>
  <c r="K206" i="4"/>
  <c r="N206" i="4" s="1"/>
  <c r="D208" i="2"/>
  <c r="F205" i="3"/>
  <c r="D206" i="3"/>
  <c r="I206" i="2"/>
  <c r="F206" i="2" s="1"/>
  <c r="L207" i="2"/>
  <c r="A207" i="4"/>
  <c r="M206" i="3"/>
  <c r="N206" i="3"/>
  <c r="C206" i="3"/>
  <c r="P206" i="3"/>
  <c r="E206" i="3"/>
  <c r="G206" i="3"/>
  <c r="S206" i="3"/>
  <c r="Y206" i="3" s="1"/>
  <c r="Z206" i="3" s="1"/>
  <c r="AA206" i="3" s="1"/>
  <c r="H206" i="3"/>
  <c r="T206" i="3"/>
  <c r="J206" i="3"/>
  <c r="V206" i="3"/>
  <c r="I204" i="3"/>
  <c r="U204" i="3"/>
  <c r="O204" i="3"/>
  <c r="N207" i="2"/>
  <c r="K206" i="2"/>
  <c r="H206" i="2" s="1"/>
  <c r="E208" i="2" l="1"/>
  <c r="B208" i="3"/>
  <c r="F205" i="4"/>
  <c r="E206" i="4"/>
  <c r="H205" i="4"/>
  <c r="J205" i="4"/>
  <c r="D207" i="4"/>
  <c r="C207" i="4"/>
  <c r="AB206" i="3"/>
  <c r="L208" i="2"/>
  <c r="I207" i="2"/>
  <c r="F207" i="2" s="1"/>
  <c r="G207" i="4"/>
  <c r="L207" i="4" s="1"/>
  <c r="I207" i="4"/>
  <c r="M207" i="4" s="1"/>
  <c r="K207" i="4"/>
  <c r="N207" i="4" s="1"/>
  <c r="F206" i="3"/>
  <c r="D207" i="3"/>
  <c r="O205" i="3"/>
  <c r="I205" i="3"/>
  <c r="U205" i="3"/>
  <c r="C209" i="2"/>
  <c r="D209" i="2"/>
  <c r="A208" i="4"/>
  <c r="J207" i="3"/>
  <c r="V207" i="3"/>
  <c r="M207" i="3"/>
  <c r="N207" i="3"/>
  <c r="C207" i="3"/>
  <c r="P207" i="3"/>
  <c r="E207" i="3"/>
  <c r="H207" i="3"/>
  <c r="T207" i="3"/>
  <c r="G207" i="3"/>
  <c r="S207" i="3"/>
  <c r="Y207" i="3" s="1"/>
  <c r="Z207" i="3" s="1"/>
  <c r="AA207" i="3" s="1"/>
  <c r="M208" i="2"/>
  <c r="J207" i="2"/>
  <c r="G207" i="2" s="1"/>
  <c r="N208" i="2"/>
  <c r="K207" i="2"/>
  <c r="H207" i="2" s="1"/>
  <c r="E209" i="2" l="1"/>
  <c r="B209" i="3"/>
  <c r="E207" i="4"/>
  <c r="J206" i="4"/>
  <c r="F206" i="4"/>
  <c r="H206" i="4"/>
  <c r="D208" i="4"/>
  <c r="D210" i="2"/>
  <c r="A209" i="4"/>
  <c r="G208" i="3"/>
  <c r="S208" i="3"/>
  <c r="Y208" i="3" s="1"/>
  <c r="Z208" i="3" s="1"/>
  <c r="AA208" i="3" s="1"/>
  <c r="H208" i="3"/>
  <c r="T208" i="3"/>
  <c r="J208" i="3"/>
  <c r="V208" i="3"/>
  <c r="M208" i="3"/>
  <c r="N208" i="3"/>
  <c r="E208" i="3"/>
  <c r="C208" i="3"/>
  <c r="P208" i="3"/>
  <c r="C210" i="2"/>
  <c r="L209" i="2"/>
  <c r="I208" i="2"/>
  <c r="F208" i="2" s="1"/>
  <c r="C208" i="4"/>
  <c r="AB207" i="3"/>
  <c r="N209" i="2"/>
  <c r="K208" i="2"/>
  <c r="H208" i="2" s="1"/>
  <c r="F207" i="3"/>
  <c r="D208" i="3"/>
  <c r="G208" i="4"/>
  <c r="L208" i="4" s="1"/>
  <c r="I208" i="4"/>
  <c r="M208" i="4" s="1"/>
  <c r="K208" i="4"/>
  <c r="N208" i="4" s="1"/>
  <c r="M209" i="2"/>
  <c r="J208" i="2"/>
  <c r="G208" i="2" s="1"/>
  <c r="O206" i="3"/>
  <c r="I206" i="3"/>
  <c r="U206" i="3"/>
  <c r="E210" i="2" l="1"/>
  <c r="B210" i="3"/>
  <c r="E208" i="4"/>
  <c r="F207" i="4"/>
  <c r="J207" i="4"/>
  <c r="H207" i="4"/>
  <c r="D209" i="4"/>
  <c r="L210" i="2"/>
  <c r="I209" i="2"/>
  <c r="F209" i="2" s="1"/>
  <c r="C211" i="2"/>
  <c r="G209" i="4"/>
  <c r="L209" i="4" s="1"/>
  <c r="I209" i="4"/>
  <c r="M209" i="4" s="1"/>
  <c r="K209" i="4"/>
  <c r="N209" i="4" s="1"/>
  <c r="F208" i="3"/>
  <c r="D209" i="3"/>
  <c r="I207" i="3"/>
  <c r="U207" i="3"/>
  <c r="O207" i="3"/>
  <c r="A210" i="4"/>
  <c r="C209" i="3"/>
  <c r="P209" i="3"/>
  <c r="E209" i="3"/>
  <c r="G209" i="3"/>
  <c r="S209" i="3"/>
  <c r="Y209" i="3" s="1"/>
  <c r="Z209" i="3" s="1"/>
  <c r="AA209" i="3" s="1"/>
  <c r="H209" i="3"/>
  <c r="T209" i="3"/>
  <c r="J209" i="3"/>
  <c r="V209" i="3"/>
  <c r="N209" i="3"/>
  <c r="M209" i="3"/>
  <c r="D211" i="2"/>
  <c r="N210" i="2"/>
  <c r="K209" i="2"/>
  <c r="H209" i="2" s="1"/>
  <c r="M210" i="2"/>
  <c r="J209" i="2"/>
  <c r="G209" i="2" s="1"/>
  <c r="C209" i="4"/>
  <c r="AB208" i="3"/>
  <c r="E211" i="2" l="1"/>
  <c r="B211" i="3"/>
  <c r="J208" i="4"/>
  <c r="F208" i="4"/>
  <c r="H208" i="4"/>
  <c r="E209" i="4"/>
  <c r="D210" i="4"/>
  <c r="A211" i="4"/>
  <c r="M210" i="3"/>
  <c r="N210" i="3"/>
  <c r="C210" i="3"/>
  <c r="P210" i="3"/>
  <c r="E210" i="3"/>
  <c r="G210" i="3"/>
  <c r="S210" i="3"/>
  <c r="Y210" i="3" s="1"/>
  <c r="Z210" i="3" s="1"/>
  <c r="AA210" i="3" s="1"/>
  <c r="H210" i="3"/>
  <c r="T210" i="3"/>
  <c r="J210" i="3"/>
  <c r="V210" i="3"/>
  <c r="D212" i="2"/>
  <c r="N211" i="2"/>
  <c r="K210" i="2"/>
  <c r="H210" i="2" s="1"/>
  <c r="C210" i="4"/>
  <c r="AB209" i="3"/>
  <c r="G210" i="4"/>
  <c r="L210" i="4" s="1"/>
  <c r="I210" i="4"/>
  <c r="M210" i="4" s="1"/>
  <c r="K210" i="4"/>
  <c r="N210" i="4" s="1"/>
  <c r="C212" i="2"/>
  <c r="F209" i="3"/>
  <c r="D210" i="3"/>
  <c r="L211" i="2"/>
  <c r="I210" i="2"/>
  <c r="F210" i="2" s="1"/>
  <c r="I208" i="3"/>
  <c r="U208" i="3"/>
  <c r="O208" i="3"/>
  <c r="M211" i="2"/>
  <c r="J210" i="2"/>
  <c r="G210" i="2" s="1"/>
  <c r="E212" i="2" l="1"/>
  <c r="B212" i="3"/>
  <c r="H209" i="4"/>
  <c r="F209" i="4"/>
  <c r="E210" i="4"/>
  <c r="J209" i="4"/>
  <c r="D211" i="4"/>
  <c r="A212" i="4"/>
  <c r="J211" i="3"/>
  <c r="V211" i="3"/>
  <c r="M211" i="3"/>
  <c r="N211" i="3"/>
  <c r="C211" i="3"/>
  <c r="P211" i="3"/>
  <c r="E211" i="3"/>
  <c r="H211" i="3"/>
  <c r="T211" i="3"/>
  <c r="G211" i="3"/>
  <c r="S211" i="3"/>
  <c r="Y211" i="3" s="1"/>
  <c r="Z211" i="3" s="1"/>
  <c r="AA211" i="3" s="1"/>
  <c r="O209" i="3"/>
  <c r="I209" i="3"/>
  <c r="U209" i="3"/>
  <c r="K211" i="2"/>
  <c r="H211" i="2" s="1"/>
  <c r="N212" i="2"/>
  <c r="F210" i="3"/>
  <c r="D211" i="3"/>
  <c r="C213" i="2"/>
  <c r="L212" i="2"/>
  <c r="I211" i="2"/>
  <c r="F211" i="2" s="1"/>
  <c r="D213" i="2"/>
  <c r="C211" i="4"/>
  <c r="AB210" i="3"/>
  <c r="J211" i="2"/>
  <c r="G211" i="2" s="1"/>
  <c r="M212" i="2"/>
  <c r="G211" i="4"/>
  <c r="L211" i="4" s="1"/>
  <c r="I211" i="4"/>
  <c r="M211" i="4" s="1"/>
  <c r="K211" i="4"/>
  <c r="N211" i="4" s="1"/>
  <c r="E213" i="2" l="1"/>
  <c r="B213" i="3"/>
  <c r="J210" i="4"/>
  <c r="E211" i="4"/>
  <c r="F210" i="4"/>
  <c r="H210" i="4"/>
  <c r="D212" i="4"/>
  <c r="O210" i="3"/>
  <c r="U210" i="3"/>
  <c r="I210" i="3"/>
  <c r="M213" i="2"/>
  <c r="J212" i="2"/>
  <c r="G212" i="2" s="1"/>
  <c r="D212" i="3"/>
  <c r="F211" i="3"/>
  <c r="N213" i="2"/>
  <c r="K212" i="2"/>
  <c r="H212" i="2" s="1"/>
  <c r="A213" i="4"/>
  <c r="G212" i="3"/>
  <c r="S212" i="3"/>
  <c r="Y212" i="3" s="1"/>
  <c r="Z212" i="3" s="1"/>
  <c r="AA212" i="3" s="1"/>
  <c r="H212" i="3"/>
  <c r="T212" i="3"/>
  <c r="J212" i="3"/>
  <c r="V212" i="3"/>
  <c r="M212" i="3"/>
  <c r="N212" i="3"/>
  <c r="E212" i="3"/>
  <c r="C212" i="3"/>
  <c r="P212" i="3"/>
  <c r="D214" i="2"/>
  <c r="K212" i="4"/>
  <c r="N212" i="4" s="1"/>
  <c r="G212" i="4"/>
  <c r="L212" i="4" s="1"/>
  <c r="I212" i="4"/>
  <c r="M212" i="4" s="1"/>
  <c r="C212" i="4"/>
  <c r="AB211" i="3"/>
  <c r="L213" i="2"/>
  <c r="I212" i="2"/>
  <c r="F212" i="2" s="1"/>
  <c r="C214" i="2"/>
  <c r="E214" i="2" l="1"/>
  <c r="B214" i="3"/>
  <c r="J211" i="4"/>
  <c r="F211" i="4"/>
  <c r="H211" i="4"/>
  <c r="E212" i="4"/>
  <c r="D213" i="4"/>
  <c r="K213" i="4"/>
  <c r="N213" i="4" s="1"/>
  <c r="G213" i="4"/>
  <c r="L213" i="4" s="1"/>
  <c r="I213" i="4"/>
  <c r="M213" i="4" s="1"/>
  <c r="I213" i="2"/>
  <c r="F213" i="2" s="1"/>
  <c r="L214" i="2"/>
  <c r="A214" i="4"/>
  <c r="C213" i="3"/>
  <c r="P213" i="3"/>
  <c r="E213" i="3"/>
  <c r="G213" i="3"/>
  <c r="S213" i="3"/>
  <c r="Y213" i="3" s="1"/>
  <c r="Z213" i="3" s="1"/>
  <c r="AA213" i="3" s="1"/>
  <c r="H213" i="3"/>
  <c r="T213" i="3"/>
  <c r="J213" i="3"/>
  <c r="V213" i="3"/>
  <c r="N213" i="3"/>
  <c r="M213" i="3"/>
  <c r="N214" i="2"/>
  <c r="K213" i="2"/>
  <c r="H213" i="2" s="1"/>
  <c r="F212" i="3"/>
  <c r="D213" i="3"/>
  <c r="C213" i="4"/>
  <c r="AB212" i="3"/>
  <c r="I211" i="3"/>
  <c r="U211" i="3"/>
  <c r="O211" i="3"/>
  <c r="M214" i="2"/>
  <c r="J213" i="2"/>
  <c r="G213" i="2" s="1"/>
  <c r="C215" i="2"/>
  <c r="D215" i="2"/>
  <c r="E215" i="2" l="1"/>
  <c r="B215" i="3"/>
  <c r="H212" i="4"/>
  <c r="F212" i="4"/>
  <c r="J212" i="4"/>
  <c r="E213" i="4"/>
  <c r="D214" i="4"/>
  <c r="N215" i="2"/>
  <c r="K214" i="2"/>
  <c r="H214" i="2" s="1"/>
  <c r="C214" i="4"/>
  <c r="AB213" i="3"/>
  <c r="I214" i="4"/>
  <c r="M214" i="4" s="1"/>
  <c r="K214" i="4"/>
  <c r="N214" i="4" s="1"/>
  <c r="G214" i="4"/>
  <c r="L214" i="4" s="1"/>
  <c r="L215" i="2"/>
  <c r="I214" i="2"/>
  <c r="F214" i="2" s="1"/>
  <c r="M215" i="2"/>
  <c r="J214" i="2"/>
  <c r="G214" i="2" s="1"/>
  <c r="D216" i="2"/>
  <c r="F213" i="3"/>
  <c r="D214" i="3"/>
  <c r="A215" i="4"/>
  <c r="M214" i="3"/>
  <c r="N214" i="3"/>
  <c r="C214" i="3"/>
  <c r="P214" i="3"/>
  <c r="E214" i="3"/>
  <c r="G214" i="3"/>
  <c r="S214" i="3"/>
  <c r="Y214" i="3" s="1"/>
  <c r="Z214" i="3" s="1"/>
  <c r="AA214" i="3" s="1"/>
  <c r="H214" i="3"/>
  <c r="T214" i="3"/>
  <c r="J214" i="3"/>
  <c r="V214" i="3"/>
  <c r="I212" i="3"/>
  <c r="U212" i="3"/>
  <c r="O212" i="3"/>
  <c r="C216" i="2"/>
  <c r="E216" i="2" l="1"/>
  <c r="B216" i="3"/>
  <c r="J213" i="4"/>
  <c r="H213" i="4"/>
  <c r="F213" i="4"/>
  <c r="E214" i="4"/>
  <c r="D215" i="4"/>
  <c r="O213" i="3"/>
  <c r="I213" i="3"/>
  <c r="U213" i="3"/>
  <c r="I215" i="4"/>
  <c r="M215" i="4" s="1"/>
  <c r="K215" i="4"/>
  <c r="N215" i="4" s="1"/>
  <c r="G215" i="4"/>
  <c r="L215" i="4" s="1"/>
  <c r="D217" i="2"/>
  <c r="C217" i="2"/>
  <c r="A216" i="4"/>
  <c r="J215" i="3"/>
  <c r="V215" i="3"/>
  <c r="M215" i="3"/>
  <c r="N215" i="3"/>
  <c r="C215" i="3"/>
  <c r="P215" i="3"/>
  <c r="E215" i="3"/>
  <c r="H215" i="3"/>
  <c r="T215" i="3"/>
  <c r="G215" i="3"/>
  <c r="S215" i="3"/>
  <c r="Y215" i="3" s="1"/>
  <c r="Z215" i="3" s="1"/>
  <c r="AA215" i="3" s="1"/>
  <c r="C215" i="4"/>
  <c r="AB214" i="3"/>
  <c r="M216" i="2"/>
  <c r="J215" i="2"/>
  <c r="G215" i="2" s="1"/>
  <c r="N216" i="2"/>
  <c r="K215" i="2"/>
  <c r="H215" i="2" s="1"/>
  <c r="F214" i="3"/>
  <c r="D215" i="3"/>
  <c r="I215" i="2"/>
  <c r="F215" i="2" s="1"/>
  <c r="L216" i="2"/>
  <c r="E217" i="2" l="1"/>
  <c r="B217" i="3"/>
  <c r="F214" i="4"/>
  <c r="H214" i="4"/>
  <c r="J214" i="4"/>
  <c r="E215" i="4"/>
  <c r="D216" i="4"/>
  <c r="K216" i="2"/>
  <c r="H216" i="2" s="1"/>
  <c r="N217" i="2"/>
  <c r="M217" i="2"/>
  <c r="J216" i="2"/>
  <c r="G216" i="2" s="1"/>
  <c r="C216" i="4"/>
  <c r="AB215" i="3"/>
  <c r="G216" i="4"/>
  <c r="L216" i="4" s="1"/>
  <c r="I216" i="4"/>
  <c r="M216" i="4" s="1"/>
  <c r="K216" i="4"/>
  <c r="N216" i="4" s="1"/>
  <c r="L217" i="2"/>
  <c r="I216" i="2"/>
  <c r="F216" i="2" s="1"/>
  <c r="C218" i="2"/>
  <c r="F215" i="3"/>
  <c r="D216" i="3"/>
  <c r="A217" i="4"/>
  <c r="G216" i="3"/>
  <c r="S216" i="3"/>
  <c r="Y216" i="3" s="1"/>
  <c r="Z216" i="3" s="1"/>
  <c r="AA216" i="3" s="1"/>
  <c r="H216" i="3"/>
  <c r="T216" i="3"/>
  <c r="J216" i="3"/>
  <c r="V216" i="3"/>
  <c r="M216" i="3"/>
  <c r="N216" i="3"/>
  <c r="E216" i="3"/>
  <c r="C216" i="3"/>
  <c r="P216" i="3"/>
  <c r="D218" i="2"/>
  <c r="O214" i="3"/>
  <c r="I214" i="3"/>
  <c r="U214" i="3"/>
  <c r="E218" i="2" l="1"/>
  <c r="B218" i="3"/>
  <c r="H215" i="4"/>
  <c r="J215" i="4"/>
  <c r="E216" i="4"/>
  <c r="F215" i="4"/>
  <c r="D217" i="4"/>
  <c r="G217" i="4"/>
  <c r="L217" i="4" s="1"/>
  <c r="I217" i="4"/>
  <c r="M217" i="4" s="1"/>
  <c r="K217" i="4"/>
  <c r="N217" i="4" s="1"/>
  <c r="F216" i="3"/>
  <c r="D217" i="3"/>
  <c r="A218" i="4"/>
  <c r="C217" i="3"/>
  <c r="P217" i="3"/>
  <c r="E217" i="3"/>
  <c r="G217" i="3"/>
  <c r="S217" i="3"/>
  <c r="Y217" i="3" s="1"/>
  <c r="Z217" i="3" s="1"/>
  <c r="AA217" i="3" s="1"/>
  <c r="H217" i="3"/>
  <c r="T217" i="3"/>
  <c r="J217" i="3"/>
  <c r="V217" i="3"/>
  <c r="N217" i="3"/>
  <c r="M217" i="3"/>
  <c r="I215" i="3"/>
  <c r="U215" i="3"/>
  <c r="O215" i="3"/>
  <c r="C219" i="2"/>
  <c r="C217" i="4"/>
  <c r="AB216" i="3"/>
  <c r="M218" i="2"/>
  <c r="J217" i="2"/>
  <c r="G217" i="2" s="1"/>
  <c r="N218" i="2"/>
  <c r="K217" i="2"/>
  <c r="H217" i="2" s="1"/>
  <c r="L218" i="2"/>
  <c r="I217" i="2"/>
  <c r="F217" i="2" s="1"/>
  <c r="D219" i="2"/>
  <c r="E219" i="2" l="1"/>
  <c r="B219" i="3"/>
  <c r="J216" i="4"/>
  <c r="E217" i="4"/>
  <c r="F216" i="4"/>
  <c r="H216" i="4"/>
  <c r="D218" i="4"/>
  <c r="C218" i="4"/>
  <c r="AB217" i="3"/>
  <c r="G218" i="4"/>
  <c r="L218" i="4" s="1"/>
  <c r="I218" i="4"/>
  <c r="M218" i="4" s="1"/>
  <c r="K218" i="4"/>
  <c r="N218" i="4" s="1"/>
  <c r="N219" i="2"/>
  <c r="K218" i="2"/>
  <c r="H218" i="2" s="1"/>
  <c r="F217" i="3"/>
  <c r="D218" i="3"/>
  <c r="I216" i="3"/>
  <c r="U216" i="3"/>
  <c r="O216" i="3"/>
  <c r="M219" i="2"/>
  <c r="J218" i="2"/>
  <c r="G218" i="2" s="1"/>
  <c r="C220" i="2"/>
  <c r="A219" i="4"/>
  <c r="M218" i="3"/>
  <c r="N218" i="3"/>
  <c r="P218" i="3"/>
  <c r="E218" i="3"/>
  <c r="G218" i="3"/>
  <c r="S218" i="3"/>
  <c r="Y218" i="3" s="1"/>
  <c r="Z218" i="3" s="1"/>
  <c r="AA218" i="3" s="1"/>
  <c r="H218" i="3"/>
  <c r="T218" i="3"/>
  <c r="J218" i="3"/>
  <c r="V218" i="3"/>
  <c r="C218" i="3"/>
  <c r="D220" i="2"/>
  <c r="I218" i="2"/>
  <c r="F218" i="2" s="1"/>
  <c r="L219" i="2"/>
  <c r="E220" i="2" l="1"/>
  <c r="B220" i="3"/>
  <c r="E218" i="4"/>
  <c r="H217" i="4"/>
  <c r="J217" i="4"/>
  <c r="F217" i="4"/>
  <c r="D219" i="4"/>
  <c r="C219" i="4"/>
  <c r="AB218" i="3"/>
  <c r="G219" i="4"/>
  <c r="L219" i="4" s="1"/>
  <c r="I219" i="4"/>
  <c r="M219" i="4" s="1"/>
  <c r="K219" i="4"/>
  <c r="N219" i="4" s="1"/>
  <c r="N220" i="2"/>
  <c r="K219" i="2"/>
  <c r="H219" i="2" s="1"/>
  <c r="C221" i="2"/>
  <c r="M220" i="2"/>
  <c r="J219" i="2"/>
  <c r="G219" i="2" s="1"/>
  <c r="L220" i="2"/>
  <c r="I219" i="2"/>
  <c r="F219" i="2" s="1"/>
  <c r="A220" i="4"/>
  <c r="J219" i="3"/>
  <c r="V219" i="3"/>
  <c r="M219" i="3"/>
  <c r="N219" i="3"/>
  <c r="C219" i="3"/>
  <c r="P219" i="3"/>
  <c r="E219" i="3"/>
  <c r="H219" i="3"/>
  <c r="T219" i="3"/>
  <c r="S219" i="3"/>
  <c r="Y219" i="3" s="1"/>
  <c r="Z219" i="3" s="1"/>
  <c r="AA219" i="3" s="1"/>
  <c r="G219" i="3"/>
  <c r="D221" i="2"/>
  <c r="F218" i="3"/>
  <c r="D219" i="3"/>
  <c r="O217" i="3"/>
  <c r="I217" i="3"/>
  <c r="U217" i="3"/>
  <c r="E221" i="2" l="1"/>
  <c r="B221" i="3"/>
  <c r="E219" i="4"/>
  <c r="F218" i="4"/>
  <c r="J218" i="4"/>
  <c r="H218" i="4"/>
  <c r="D220" i="4"/>
  <c r="C220" i="4"/>
  <c r="AB219" i="3"/>
  <c r="N221" i="2"/>
  <c r="K220" i="2"/>
  <c r="H220" i="2" s="1"/>
  <c r="I218" i="3"/>
  <c r="O218" i="3"/>
  <c r="U218" i="3"/>
  <c r="D222" i="2"/>
  <c r="G220" i="4"/>
  <c r="L220" i="4" s="1"/>
  <c r="I220" i="4"/>
  <c r="M220" i="4" s="1"/>
  <c r="K220" i="4"/>
  <c r="N220" i="4" s="1"/>
  <c r="I220" i="2"/>
  <c r="F220" i="2" s="1"/>
  <c r="L221" i="2"/>
  <c r="A221" i="4"/>
  <c r="G220" i="3"/>
  <c r="S220" i="3"/>
  <c r="Y220" i="3" s="1"/>
  <c r="Z220" i="3" s="1"/>
  <c r="AA220" i="3" s="1"/>
  <c r="H220" i="3"/>
  <c r="T220" i="3"/>
  <c r="J220" i="3"/>
  <c r="V220" i="3"/>
  <c r="M220" i="3"/>
  <c r="N220" i="3"/>
  <c r="E220" i="3"/>
  <c r="C220" i="3"/>
  <c r="P220" i="3"/>
  <c r="J220" i="2"/>
  <c r="G220" i="2" s="1"/>
  <c r="M221" i="2"/>
  <c r="D220" i="3"/>
  <c r="F219" i="3"/>
  <c r="C222" i="2"/>
  <c r="E222" i="2" l="1"/>
  <c r="B222" i="3"/>
  <c r="E220" i="4"/>
  <c r="F219" i="4"/>
  <c r="J219" i="4"/>
  <c r="H219" i="4"/>
  <c r="D221" i="4"/>
  <c r="M222" i="2"/>
  <c r="J221" i="2"/>
  <c r="G221" i="2" s="1"/>
  <c r="F220" i="3"/>
  <c r="D221" i="3"/>
  <c r="D223" i="2"/>
  <c r="G221" i="4"/>
  <c r="L221" i="4" s="1"/>
  <c r="I221" i="4"/>
  <c r="M221" i="4" s="1"/>
  <c r="K221" i="4"/>
  <c r="N221" i="4" s="1"/>
  <c r="L222" i="2"/>
  <c r="I221" i="2"/>
  <c r="F221" i="2" s="1"/>
  <c r="A222" i="4"/>
  <c r="C221" i="3"/>
  <c r="P221" i="3"/>
  <c r="E221" i="3"/>
  <c r="G221" i="3"/>
  <c r="S221" i="3"/>
  <c r="Y221" i="3" s="1"/>
  <c r="Z221" i="3" s="1"/>
  <c r="AA221" i="3" s="1"/>
  <c r="J221" i="3"/>
  <c r="V221" i="3"/>
  <c r="T221" i="3"/>
  <c r="H221" i="3"/>
  <c r="M221" i="3"/>
  <c r="N221" i="3"/>
  <c r="N222" i="2"/>
  <c r="K221" i="2"/>
  <c r="H221" i="2" s="1"/>
  <c r="C223" i="2"/>
  <c r="E223" i="2" s="1"/>
  <c r="C221" i="4"/>
  <c r="AB220" i="3"/>
  <c r="I219" i="3"/>
  <c r="U219" i="3"/>
  <c r="O219" i="3"/>
  <c r="B223" i="3" l="1"/>
  <c r="H220" i="4"/>
  <c r="J220" i="4"/>
  <c r="F220" i="4"/>
  <c r="E221" i="4"/>
  <c r="D222" i="4"/>
  <c r="A223" i="4"/>
  <c r="M222" i="3"/>
  <c r="N222" i="3"/>
  <c r="P222" i="3"/>
  <c r="G222" i="3"/>
  <c r="S222" i="3"/>
  <c r="Y222" i="3" s="1"/>
  <c r="Z222" i="3" s="1"/>
  <c r="AA222" i="3" s="1"/>
  <c r="H222" i="3"/>
  <c r="T222" i="3"/>
  <c r="V222" i="3"/>
  <c r="C222" i="3"/>
  <c r="E222" i="3"/>
  <c r="J222" i="3"/>
  <c r="D224" i="2"/>
  <c r="N223" i="2"/>
  <c r="K222" i="2"/>
  <c r="H222" i="2" s="1"/>
  <c r="C224" i="2"/>
  <c r="G222" i="4"/>
  <c r="L222" i="4" s="1"/>
  <c r="I222" i="4"/>
  <c r="M222" i="4" s="1"/>
  <c r="K222" i="4"/>
  <c r="N222" i="4" s="1"/>
  <c r="D222" i="3"/>
  <c r="F221" i="3"/>
  <c r="C222" i="4"/>
  <c r="AB221" i="3"/>
  <c r="U220" i="3"/>
  <c r="I220" i="3"/>
  <c r="O220" i="3"/>
  <c r="L223" i="2"/>
  <c r="I222" i="2"/>
  <c r="F222" i="2" s="1"/>
  <c r="M223" i="2"/>
  <c r="J222" i="2"/>
  <c r="G222" i="2" s="1"/>
  <c r="E224" i="2" l="1"/>
  <c r="B224" i="3"/>
  <c r="H221" i="4"/>
  <c r="F221" i="4"/>
  <c r="J221" i="4"/>
  <c r="E222" i="4"/>
  <c r="D223" i="4"/>
  <c r="C225" i="2"/>
  <c r="A224" i="4"/>
  <c r="J223" i="3"/>
  <c r="V223" i="3"/>
  <c r="M223" i="3"/>
  <c r="C223" i="3"/>
  <c r="P223" i="3"/>
  <c r="E223" i="3"/>
  <c r="S223" i="3"/>
  <c r="Y223" i="3" s="1"/>
  <c r="Z223" i="3" s="1"/>
  <c r="AA223" i="3" s="1"/>
  <c r="T223" i="3"/>
  <c r="G223" i="3"/>
  <c r="H223" i="3"/>
  <c r="N223" i="3"/>
  <c r="N224" i="2"/>
  <c r="K223" i="2"/>
  <c r="H223" i="2" s="1"/>
  <c r="O221" i="3"/>
  <c r="I221" i="3"/>
  <c r="U221" i="3"/>
  <c r="F222" i="3"/>
  <c r="D223" i="3"/>
  <c r="D225" i="2"/>
  <c r="C223" i="4"/>
  <c r="AB222" i="3"/>
  <c r="M224" i="2"/>
  <c r="J223" i="2"/>
  <c r="G223" i="2" s="1"/>
  <c r="G223" i="4"/>
  <c r="L223" i="4" s="1"/>
  <c r="I223" i="4"/>
  <c r="M223" i="4" s="1"/>
  <c r="K223" i="4"/>
  <c r="N223" i="4" s="1"/>
  <c r="L224" i="2"/>
  <c r="I223" i="2"/>
  <c r="F223" i="2" s="1"/>
  <c r="E225" i="2" l="1"/>
  <c r="B225" i="3"/>
  <c r="E223" i="4"/>
  <c r="H222" i="4"/>
  <c r="J222" i="4"/>
  <c r="F222" i="4"/>
  <c r="D224" i="4"/>
  <c r="U222" i="3"/>
  <c r="I222" i="3"/>
  <c r="O222" i="3"/>
  <c r="C224" i="4"/>
  <c r="AB223" i="3"/>
  <c r="M225" i="2"/>
  <c r="J224" i="2"/>
  <c r="G224" i="2" s="1"/>
  <c r="N225" i="2"/>
  <c r="K224" i="2"/>
  <c r="H224" i="2" s="1"/>
  <c r="K224" i="4"/>
  <c r="N224" i="4" s="1"/>
  <c r="G224" i="4"/>
  <c r="L224" i="4" s="1"/>
  <c r="I224" i="4"/>
  <c r="M224" i="4" s="1"/>
  <c r="C226" i="2"/>
  <c r="D226" i="2"/>
  <c r="L225" i="2"/>
  <c r="I224" i="2"/>
  <c r="F224" i="2" s="1"/>
  <c r="F223" i="3"/>
  <c r="D224" i="3"/>
  <c r="A225" i="4"/>
  <c r="G224" i="3"/>
  <c r="S224" i="3"/>
  <c r="Y224" i="3" s="1"/>
  <c r="Z224" i="3" s="1"/>
  <c r="AA224" i="3" s="1"/>
  <c r="H224" i="3"/>
  <c r="T224" i="3"/>
  <c r="J224" i="3"/>
  <c r="V224" i="3"/>
  <c r="M224" i="3"/>
  <c r="N224" i="3"/>
  <c r="P224" i="3"/>
  <c r="C224" i="3"/>
  <c r="E224" i="3"/>
  <c r="E226" i="2" l="1"/>
  <c r="B226" i="3"/>
  <c r="F223" i="4"/>
  <c r="H223" i="4"/>
  <c r="J223" i="4"/>
  <c r="E224" i="4"/>
  <c r="D225" i="4"/>
  <c r="C225" i="4"/>
  <c r="AB224" i="3"/>
  <c r="K225" i="2"/>
  <c r="H225" i="2" s="1"/>
  <c r="N226" i="2"/>
  <c r="D227" i="2"/>
  <c r="L226" i="2"/>
  <c r="I225" i="2"/>
  <c r="F225" i="2" s="1"/>
  <c r="J225" i="2"/>
  <c r="G225" i="2" s="1"/>
  <c r="M226" i="2"/>
  <c r="C227" i="2"/>
  <c r="K225" i="4"/>
  <c r="N225" i="4" s="1"/>
  <c r="G225" i="4"/>
  <c r="L225" i="4" s="1"/>
  <c r="I225" i="4"/>
  <c r="M225" i="4" s="1"/>
  <c r="A226" i="4"/>
  <c r="C225" i="3"/>
  <c r="P225" i="3"/>
  <c r="E225" i="3"/>
  <c r="G225" i="3"/>
  <c r="S225" i="3"/>
  <c r="Y225" i="3" s="1"/>
  <c r="Z225" i="3" s="1"/>
  <c r="AA225" i="3" s="1"/>
  <c r="M225" i="3"/>
  <c r="N225" i="3"/>
  <c r="T225" i="3"/>
  <c r="V225" i="3"/>
  <c r="H225" i="3"/>
  <c r="J225" i="3"/>
  <c r="F224" i="3"/>
  <c r="D225" i="3"/>
  <c r="I223" i="3"/>
  <c r="U223" i="3"/>
  <c r="O223" i="3"/>
  <c r="E227" i="2" l="1"/>
  <c r="B227" i="3"/>
  <c r="E225" i="4"/>
  <c r="J224" i="4"/>
  <c r="H224" i="4"/>
  <c r="F224" i="4"/>
  <c r="D226" i="4"/>
  <c r="I226" i="4"/>
  <c r="M226" i="4" s="1"/>
  <c r="K226" i="4"/>
  <c r="N226" i="4" s="1"/>
  <c r="G226" i="4"/>
  <c r="L226" i="4" s="1"/>
  <c r="L227" i="2"/>
  <c r="I226" i="2"/>
  <c r="F226" i="2" s="1"/>
  <c r="D228" i="2"/>
  <c r="O224" i="3"/>
  <c r="U224" i="3"/>
  <c r="I224" i="3"/>
  <c r="C226" i="4"/>
  <c r="AB225" i="3"/>
  <c r="N227" i="2"/>
  <c r="K226" i="2"/>
  <c r="H226" i="2" s="1"/>
  <c r="C228" i="2"/>
  <c r="A227" i="4"/>
  <c r="M226" i="3"/>
  <c r="N226" i="3"/>
  <c r="P226" i="3"/>
  <c r="H226" i="3"/>
  <c r="T226" i="3"/>
  <c r="C226" i="3"/>
  <c r="E226" i="3"/>
  <c r="G226" i="3"/>
  <c r="J226" i="3"/>
  <c r="S226" i="3"/>
  <c r="Y226" i="3" s="1"/>
  <c r="Z226" i="3" s="1"/>
  <c r="AA226" i="3" s="1"/>
  <c r="V226" i="3"/>
  <c r="D226" i="3"/>
  <c r="F225" i="3"/>
  <c r="M227" i="2"/>
  <c r="J226" i="2"/>
  <c r="G226" i="2" s="1"/>
  <c r="E228" i="2" l="1"/>
  <c r="B228" i="3"/>
  <c r="E226" i="4"/>
  <c r="F225" i="4"/>
  <c r="J225" i="4"/>
  <c r="H225" i="4"/>
  <c r="D227" i="4"/>
  <c r="C229" i="2"/>
  <c r="I227" i="2"/>
  <c r="F227" i="2" s="1"/>
  <c r="L228" i="2"/>
  <c r="A228" i="4"/>
  <c r="J227" i="3"/>
  <c r="V227" i="3"/>
  <c r="M227" i="3"/>
  <c r="C227" i="3"/>
  <c r="S227" i="3"/>
  <c r="Y227" i="3" s="1"/>
  <c r="Z227" i="3" s="1"/>
  <c r="AA227" i="3" s="1"/>
  <c r="T227" i="3"/>
  <c r="E227" i="3"/>
  <c r="G227" i="3"/>
  <c r="H227" i="3"/>
  <c r="N227" i="3"/>
  <c r="P227" i="3"/>
  <c r="I227" i="4"/>
  <c r="M227" i="4" s="1"/>
  <c r="K227" i="4"/>
  <c r="N227" i="4" s="1"/>
  <c r="G227" i="4"/>
  <c r="L227" i="4" s="1"/>
  <c r="N228" i="2"/>
  <c r="K227" i="2"/>
  <c r="H227" i="2" s="1"/>
  <c r="D229" i="2"/>
  <c r="O225" i="3"/>
  <c r="I225" i="3"/>
  <c r="U225" i="3"/>
  <c r="M228" i="2"/>
  <c r="J227" i="2"/>
  <c r="G227" i="2" s="1"/>
  <c r="F226" i="3"/>
  <c r="D227" i="3"/>
  <c r="C227" i="4"/>
  <c r="AB226" i="3"/>
  <c r="E229" i="2" l="1"/>
  <c r="B229" i="3"/>
  <c r="J226" i="4"/>
  <c r="F226" i="4"/>
  <c r="H226" i="4"/>
  <c r="E227" i="4"/>
  <c r="D228" i="4"/>
  <c r="M229" i="2"/>
  <c r="J228" i="2"/>
  <c r="G228" i="2" s="1"/>
  <c r="C228" i="4"/>
  <c r="AB227" i="3"/>
  <c r="G228" i="4"/>
  <c r="L228" i="4" s="1"/>
  <c r="I228" i="4"/>
  <c r="M228" i="4" s="1"/>
  <c r="K228" i="4"/>
  <c r="N228" i="4" s="1"/>
  <c r="L229" i="2"/>
  <c r="I228" i="2"/>
  <c r="F228" i="2" s="1"/>
  <c r="A229" i="4"/>
  <c r="G228" i="3"/>
  <c r="S228" i="3"/>
  <c r="Y228" i="3" s="1"/>
  <c r="Z228" i="3" s="1"/>
  <c r="AA228" i="3" s="1"/>
  <c r="H228" i="3"/>
  <c r="T228" i="3"/>
  <c r="J228" i="3"/>
  <c r="V228" i="3"/>
  <c r="M228" i="3"/>
  <c r="N228" i="3"/>
  <c r="P228" i="3"/>
  <c r="C228" i="3"/>
  <c r="E228" i="3"/>
  <c r="C230" i="2"/>
  <c r="D230" i="2"/>
  <c r="N229" i="2"/>
  <c r="K228" i="2"/>
  <c r="H228" i="2" s="1"/>
  <c r="F227" i="3"/>
  <c r="D228" i="3"/>
  <c r="I226" i="3"/>
  <c r="O226" i="3"/>
  <c r="U226" i="3"/>
  <c r="E230" i="2" l="1"/>
  <c r="B230" i="3"/>
  <c r="H227" i="4"/>
  <c r="F227" i="4"/>
  <c r="J227" i="4"/>
  <c r="E228" i="4"/>
  <c r="D229" i="4"/>
  <c r="C229" i="4"/>
  <c r="AB228" i="3"/>
  <c r="N230" i="2"/>
  <c r="K229" i="2"/>
  <c r="H229" i="2" s="1"/>
  <c r="A230" i="4"/>
  <c r="C229" i="3"/>
  <c r="P229" i="3"/>
  <c r="E229" i="3"/>
  <c r="G229" i="3"/>
  <c r="S229" i="3"/>
  <c r="Y229" i="3" s="1"/>
  <c r="Z229" i="3" s="1"/>
  <c r="AA229" i="3" s="1"/>
  <c r="H229" i="3"/>
  <c r="J229" i="3"/>
  <c r="M229" i="3"/>
  <c r="N229" i="3"/>
  <c r="T229" i="3"/>
  <c r="V229" i="3"/>
  <c r="I227" i="3"/>
  <c r="U227" i="3"/>
  <c r="O227" i="3"/>
  <c r="D231" i="2"/>
  <c r="C231" i="2"/>
  <c r="G229" i="4"/>
  <c r="L229" i="4" s="1"/>
  <c r="I229" i="4"/>
  <c r="M229" i="4" s="1"/>
  <c r="K229" i="4"/>
  <c r="N229" i="4" s="1"/>
  <c r="M230" i="2"/>
  <c r="J229" i="2"/>
  <c r="G229" i="2" s="1"/>
  <c r="F228" i="3"/>
  <c r="D229" i="3"/>
  <c r="L230" i="2"/>
  <c r="I229" i="2"/>
  <c r="F229" i="2" s="1"/>
  <c r="E231" i="2" l="1"/>
  <c r="B231" i="3"/>
  <c r="E229" i="4"/>
  <c r="H228" i="4"/>
  <c r="J228" i="4"/>
  <c r="F228" i="4"/>
  <c r="D230" i="4"/>
  <c r="M231" i="2"/>
  <c r="J230" i="2"/>
  <c r="G230" i="2" s="1"/>
  <c r="D232" i="2"/>
  <c r="G230" i="4"/>
  <c r="L230" i="4" s="1"/>
  <c r="I230" i="4"/>
  <c r="M230" i="4" s="1"/>
  <c r="K230" i="4"/>
  <c r="N230" i="4" s="1"/>
  <c r="K230" i="2"/>
  <c r="H230" i="2" s="1"/>
  <c r="N231" i="2"/>
  <c r="C230" i="4"/>
  <c r="AB229" i="3"/>
  <c r="L231" i="2"/>
  <c r="I230" i="2"/>
  <c r="F230" i="2" s="1"/>
  <c r="A231" i="4"/>
  <c r="P230" i="3"/>
  <c r="M230" i="3"/>
  <c r="N230" i="3"/>
  <c r="S230" i="3"/>
  <c r="Y230" i="3" s="1"/>
  <c r="Z230" i="3" s="1"/>
  <c r="AA230" i="3" s="1"/>
  <c r="C230" i="3"/>
  <c r="T230" i="3"/>
  <c r="E230" i="3"/>
  <c r="G230" i="3"/>
  <c r="V230" i="3"/>
  <c r="H230" i="3"/>
  <c r="J230" i="3"/>
  <c r="D230" i="3"/>
  <c r="F229" i="3"/>
  <c r="C232" i="2"/>
  <c r="O228" i="3"/>
  <c r="U228" i="3"/>
  <c r="I228" i="3"/>
  <c r="E232" i="2" l="1"/>
  <c r="B232" i="3"/>
  <c r="F229" i="4"/>
  <c r="J229" i="4"/>
  <c r="E230" i="4"/>
  <c r="H229" i="4"/>
  <c r="D231" i="4"/>
  <c r="A232" i="4"/>
  <c r="M231" i="3"/>
  <c r="C231" i="3"/>
  <c r="S231" i="3"/>
  <c r="Y231" i="3" s="1"/>
  <c r="Z231" i="3" s="1"/>
  <c r="AA231" i="3" s="1"/>
  <c r="E231" i="3"/>
  <c r="T231" i="3"/>
  <c r="V231" i="3"/>
  <c r="G231" i="3"/>
  <c r="H231" i="3"/>
  <c r="J231" i="3"/>
  <c r="N231" i="3"/>
  <c r="P231" i="3"/>
  <c r="O229" i="3"/>
  <c r="I229" i="3"/>
  <c r="U229" i="3"/>
  <c r="C231" i="4"/>
  <c r="AB230" i="3"/>
  <c r="F230" i="3"/>
  <c r="D231" i="3"/>
  <c r="G231" i="4"/>
  <c r="L231" i="4" s="1"/>
  <c r="I231" i="4"/>
  <c r="M231" i="4" s="1"/>
  <c r="K231" i="4"/>
  <c r="N231" i="4" s="1"/>
  <c r="D233" i="2"/>
  <c r="L232" i="2"/>
  <c r="I231" i="2"/>
  <c r="F231" i="2" s="1"/>
  <c r="N232" i="2"/>
  <c r="K231" i="2"/>
  <c r="H231" i="2" s="1"/>
  <c r="M232" i="2"/>
  <c r="J231" i="2"/>
  <c r="G231" i="2" s="1"/>
  <c r="C233" i="2"/>
  <c r="E233" i="2" l="1"/>
  <c r="B233" i="3"/>
  <c r="J230" i="4"/>
  <c r="F230" i="4"/>
  <c r="H230" i="4"/>
  <c r="E231" i="4"/>
  <c r="D232" i="4"/>
  <c r="N233" i="2"/>
  <c r="K232" i="2"/>
  <c r="H232" i="2" s="1"/>
  <c r="F231" i="3"/>
  <c r="D232" i="3"/>
  <c r="O230" i="3"/>
  <c r="U230" i="3"/>
  <c r="I230" i="3"/>
  <c r="I232" i="2"/>
  <c r="F232" i="2" s="1"/>
  <c r="L233" i="2"/>
  <c r="D234" i="2"/>
  <c r="C232" i="4"/>
  <c r="AB231" i="3"/>
  <c r="G232" i="4"/>
  <c r="L232" i="4" s="1"/>
  <c r="I232" i="4"/>
  <c r="M232" i="4" s="1"/>
  <c r="K232" i="4"/>
  <c r="N232" i="4" s="1"/>
  <c r="C234" i="2"/>
  <c r="J232" i="2"/>
  <c r="G232" i="2" s="1"/>
  <c r="M233" i="2"/>
  <c r="A233" i="4"/>
  <c r="J232" i="3"/>
  <c r="V232" i="3"/>
  <c r="E232" i="3"/>
  <c r="G232" i="3"/>
  <c r="H232" i="3"/>
  <c r="M232" i="3"/>
  <c r="N232" i="3"/>
  <c r="P232" i="3"/>
  <c r="C232" i="3"/>
  <c r="S232" i="3"/>
  <c r="Y232" i="3" s="1"/>
  <c r="Z232" i="3" s="1"/>
  <c r="AA232" i="3" s="1"/>
  <c r="T232" i="3"/>
  <c r="E234" i="2" l="1"/>
  <c r="B234" i="3"/>
  <c r="E232" i="4"/>
  <c r="F231" i="4"/>
  <c r="J231" i="4"/>
  <c r="H231" i="4"/>
  <c r="D233" i="4"/>
  <c r="L234" i="2"/>
  <c r="I233" i="2"/>
  <c r="F233" i="2" s="1"/>
  <c r="C233" i="4"/>
  <c r="AB232" i="3"/>
  <c r="F232" i="3"/>
  <c r="D233" i="3"/>
  <c r="I231" i="3"/>
  <c r="U231" i="3"/>
  <c r="O231" i="3"/>
  <c r="G233" i="4"/>
  <c r="L233" i="4" s="1"/>
  <c r="I233" i="4"/>
  <c r="M233" i="4" s="1"/>
  <c r="K233" i="4"/>
  <c r="N233" i="4" s="1"/>
  <c r="M234" i="2"/>
  <c r="J233" i="2"/>
  <c r="G233" i="2" s="1"/>
  <c r="N234" i="2"/>
  <c r="K233" i="2"/>
  <c r="H233" i="2" s="1"/>
  <c r="D235" i="2"/>
  <c r="A234" i="4"/>
  <c r="C233" i="3"/>
  <c r="G233" i="3"/>
  <c r="S233" i="3"/>
  <c r="Y233" i="3" s="1"/>
  <c r="Z233" i="3" s="1"/>
  <c r="AA233" i="3" s="1"/>
  <c r="M233" i="3"/>
  <c r="N233" i="3"/>
  <c r="P233" i="3"/>
  <c r="T233" i="3"/>
  <c r="E233" i="3"/>
  <c r="V233" i="3"/>
  <c r="H233" i="3"/>
  <c r="J233" i="3"/>
  <c r="C235" i="2"/>
  <c r="E235" i="2" l="1"/>
  <c r="B235" i="3"/>
  <c r="H232" i="4"/>
  <c r="F232" i="4"/>
  <c r="J232" i="4"/>
  <c r="E233" i="4"/>
  <c r="D234" i="4"/>
  <c r="N235" i="2"/>
  <c r="K234" i="2"/>
  <c r="H234" i="2" s="1"/>
  <c r="D234" i="3"/>
  <c r="F233" i="3"/>
  <c r="U232" i="3"/>
  <c r="I232" i="3"/>
  <c r="O232" i="3"/>
  <c r="A235" i="4"/>
  <c r="P234" i="3"/>
  <c r="S234" i="3"/>
  <c r="Y234" i="3" s="1"/>
  <c r="Z234" i="3" s="1"/>
  <c r="AA234" i="3" s="1"/>
  <c r="C234" i="3"/>
  <c r="T234" i="3"/>
  <c r="E234" i="3"/>
  <c r="G234" i="3"/>
  <c r="V234" i="3"/>
  <c r="H234" i="3"/>
  <c r="J234" i="3"/>
  <c r="M234" i="3"/>
  <c r="N234" i="3"/>
  <c r="M235" i="2"/>
  <c r="J234" i="2"/>
  <c r="G234" i="2" s="1"/>
  <c r="C234" i="4"/>
  <c r="AB233" i="3"/>
  <c r="C236" i="2"/>
  <c r="L235" i="2"/>
  <c r="I234" i="2"/>
  <c r="F234" i="2" s="1"/>
  <c r="D236" i="2"/>
  <c r="G234" i="4"/>
  <c r="L234" i="4" s="1"/>
  <c r="I234" i="4"/>
  <c r="M234" i="4" s="1"/>
  <c r="K234" i="4"/>
  <c r="N234" i="4" s="1"/>
  <c r="E236" i="2" l="1"/>
  <c r="B236" i="3"/>
  <c r="E234" i="4"/>
  <c r="H233" i="4"/>
  <c r="F233" i="4"/>
  <c r="J233" i="4"/>
  <c r="D235" i="4"/>
  <c r="M236" i="2"/>
  <c r="J235" i="2"/>
  <c r="G235" i="2" s="1"/>
  <c r="G235" i="4"/>
  <c r="L235" i="4" s="1"/>
  <c r="I235" i="4"/>
  <c r="M235" i="4" s="1"/>
  <c r="K235" i="4"/>
  <c r="N235" i="4" s="1"/>
  <c r="A236" i="4"/>
  <c r="C235" i="3"/>
  <c r="E235" i="3"/>
  <c r="S235" i="3"/>
  <c r="Y235" i="3" s="1"/>
  <c r="Z235" i="3" s="1"/>
  <c r="AA235" i="3" s="1"/>
  <c r="T235" i="3"/>
  <c r="G235" i="3"/>
  <c r="V235" i="3"/>
  <c r="H235" i="3"/>
  <c r="J235" i="3"/>
  <c r="M235" i="3"/>
  <c r="N235" i="3"/>
  <c r="P235" i="3"/>
  <c r="C235" i="4"/>
  <c r="AB234" i="3"/>
  <c r="L236" i="2"/>
  <c r="I235" i="2"/>
  <c r="F235" i="2" s="1"/>
  <c r="O233" i="3"/>
  <c r="I233" i="3"/>
  <c r="U233" i="3"/>
  <c r="C237" i="2"/>
  <c r="F234" i="3"/>
  <c r="D235" i="3"/>
  <c r="N236" i="2"/>
  <c r="K235" i="2"/>
  <c r="H235" i="2" s="1"/>
  <c r="D237" i="2"/>
  <c r="E237" i="2" l="1"/>
  <c r="B237" i="3"/>
  <c r="H234" i="4"/>
  <c r="J234" i="4"/>
  <c r="F234" i="4"/>
  <c r="E235" i="4"/>
  <c r="D236" i="4"/>
  <c r="F235" i="3"/>
  <c r="D236" i="3"/>
  <c r="K236" i="4"/>
  <c r="N236" i="4" s="1"/>
  <c r="G236" i="4"/>
  <c r="L236" i="4" s="1"/>
  <c r="I236" i="4"/>
  <c r="M236" i="4" s="1"/>
  <c r="N237" i="2"/>
  <c r="K236" i="2"/>
  <c r="H236" i="2" s="1"/>
  <c r="O234" i="3"/>
  <c r="U234" i="3"/>
  <c r="I234" i="3"/>
  <c r="A237" i="4"/>
  <c r="G236" i="3"/>
  <c r="H236" i="3"/>
  <c r="V236" i="3"/>
  <c r="J236" i="3"/>
  <c r="M236" i="3"/>
  <c r="N236" i="3"/>
  <c r="P236" i="3"/>
  <c r="C236" i="3"/>
  <c r="S236" i="3"/>
  <c r="Y236" i="3" s="1"/>
  <c r="Z236" i="3" s="1"/>
  <c r="AA236" i="3" s="1"/>
  <c r="E236" i="3"/>
  <c r="T236" i="3"/>
  <c r="C238" i="2"/>
  <c r="C236" i="4"/>
  <c r="AB235" i="3"/>
  <c r="M237" i="2"/>
  <c r="J236" i="2"/>
  <c r="G236" i="2" s="1"/>
  <c r="D238" i="2"/>
  <c r="L237" i="2"/>
  <c r="I236" i="2"/>
  <c r="F236" i="2" s="1"/>
  <c r="E238" i="2" l="1"/>
  <c r="B238" i="3"/>
  <c r="E236" i="4"/>
  <c r="F235" i="4"/>
  <c r="J235" i="4"/>
  <c r="H235" i="4"/>
  <c r="D237" i="4"/>
  <c r="D239" i="2"/>
  <c r="J237" i="2"/>
  <c r="G237" i="2" s="1"/>
  <c r="M238" i="2"/>
  <c r="K237" i="2"/>
  <c r="H237" i="2" s="1"/>
  <c r="N238" i="2"/>
  <c r="C237" i="4"/>
  <c r="AB236" i="3"/>
  <c r="C239" i="2"/>
  <c r="K237" i="4"/>
  <c r="N237" i="4" s="1"/>
  <c r="G237" i="4"/>
  <c r="L237" i="4" s="1"/>
  <c r="I237" i="4"/>
  <c r="M237" i="4" s="1"/>
  <c r="F236" i="3"/>
  <c r="D237" i="3"/>
  <c r="A238" i="4"/>
  <c r="C237" i="3"/>
  <c r="H237" i="3"/>
  <c r="J237" i="3"/>
  <c r="M237" i="3"/>
  <c r="N237" i="3"/>
  <c r="P237" i="3"/>
  <c r="E237" i="3"/>
  <c r="S237" i="3"/>
  <c r="Y237" i="3" s="1"/>
  <c r="Z237" i="3" s="1"/>
  <c r="AA237" i="3" s="1"/>
  <c r="T237" i="3"/>
  <c r="G237" i="3"/>
  <c r="V237" i="3"/>
  <c r="L238" i="2"/>
  <c r="I237" i="2"/>
  <c r="F237" i="2" s="1"/>
  <c r="I235" i="3"/>
  <c r="U235" i="3"/>
  <c r="O235" i="3"/>
  <c r="E239" i="2" l="1"/>
  <c r="B239" i="3"/>
  <c r="F236" i="4"/>
  <c r="E237" i="4"/>
  <c r="H236" i="4"/>
  <c r="J236" i="4"/>
  <c r="D238" i="4"/>
  <c r="I238" i="4"/>
  <c r="M238" i="4" s="1"/>
  <c r="K238" i="4"/>
  <c r="N238" i="4" s="1"/>
  <c r="G238" i="4"/>
  <c r="L238" i="4" s="1"/>
  <c r="D238" i="3"/>
  <c r="F237" i="3"/>
  <c r="L239" i="2"/>
  <c r="I238" i="2"/>
  <c r="F238" i="2" s="1"/>
  <c r="U236" i="3"/>
  <c r="I236" i="3"/>
  <c r="O236" i="3"/>
  <c r="N239" i="2"/>
  <c r="K238" i="2"/>
  <c r="H238" i="2" s="1"/>
  <c r="M239" i="2"/>
  <c r="J238" i="2"/>
  <c r="G238" i="2" s="1"/>
  <c r="A239" i="4"/>
  <c r="J238" i="3"/>
  <c r="M238" i="3"/>
  <c r="N238" i="3"/>
  <c r="P238" i="3"/>
  <c r="C238" i="3"/>
  <c r="S238" i="3"/>
  <c r="Y238" i="3" s="1"/>
  <c r="Z238" i="3" s="1"/>
  <c r="AA238" i="3" s="1"/>
  <c r="E238" i="3"/>
  <c r="T238" i="3"/>
  <c r="G238" i="3"/>
  <c r="H238" i="3"/>
  <c r="V238" i="3"/>
  <c r="D240" i="2"/>
  <c r="C238" i="4"/>
  <c r="AB237" i="3"/>
  <c r="C240" i="2"/>
  <c r="E240" i="2" l="1"/>
  <c r="B240" i="3"/>
  <c r="H237" i="4"/>
  <c r="F237" i="4"/>
  <c r="J237" i="4"/>
  <c r="E238" i="4"/>
  <c r="D239" i="4"/>
  <c r="A240" i="4"/>
  <c r="C239" i="3"/>
  <c r="M239" i="3"/>
  <c r="N239" i="3"/>
  <c r="P239" i="3"/>
  <c r="E239" i="3"/>
  <c r="S239" i="3"/>
  <c r="Y239" i="3" s="1"/>
  <c r="Z239" i="3" s="1"/>
  <c r="AA239" i="3" s="1"/>
  <c r="T239" i="3"/>
  <c r="G239" i="3"/>
  <c r="V239" i="3"/>
  <c r="H239" i="3"/>
  <c r="J239" i="3"/>
  <c r="D241" i="2"/>
  <c r="C239" i="4"/>
  <c r="AB238" i="3"/>
  <c r="O237" i="3"/>
  <c r="I237" i="3"/>
  <c r="U237" i="3"/>
  <c r="I239" i="2"/>
  <c r="F239" i="2" s="1"/>
  <c r="L240" i="2"/>
  <c r="F238" i="3"/>
  <c r="D239" i="3"/>
  <c r="I239" i="4"/>
  <c r="M239" i="4" s="1"/>
  <c r="K239" i="4"/>
  <c r="N239" i="4" s="1"/>
  <c r="G239" i="4"/>
  <c r="L239" i="4" s="1"/>
  <c r="M240" i="2"/>
  <c r="J239" i="2"/>
  <c r="G239" i="2" s="1"/>
  <c r="N240" i="2"/>
  <c r="K239" i="2"/>
  <c r="H239" i="2" s="1"/>
  <c r="C241" i="2"/>
  <c r="E241" i="2" l="1"/>
  <c r="B241" i="3"/>
  <c r="J238" i="4"/>
  <c r="F238" i="4"/>
  <c r="H238" i="4"/>
  <c r="E239" i="4"/>
  <c r="D240" i="4"/>
  <c r="A241" i="4"/>
  <c r="N240" i="3"/>
  <c r="P240" i="3"/>
  <c r="C240" i="3"/>
  <c r="S240" i="3"/>
  <c r="Y240" i="3" s="1"/>
  <c r="Z240" i="3" s="1"/>
  <c r="AA240" i="3" s="1"/>
  <c r="E240" i="3"/>
  <c r="T240" i="3"/>
  <c r="G240" i="3"/>
  <c r="H240" i="3"/>
  <c r="V240" i="3"/>
  <c r="J240" i="3"/>
  <c r="M240" i="3"/>
  <c r="D242" i="2"/>
  <c r="N241" i="2"/>
  <c r="K240" i="2"/>
  <c r="H240" i="2" s="1"/>
  <c r="C240" i="4"/>
  <c r="AB239" i="3"/>
  <c r="M241" i="2"/>
  <c r="J240" i="2"/>
  <c r="G240" i="2" s="1"/>
  <c r="C242" i="2"/>
  <c r="D240" i="3"/>
  <c r="F239" i="3"/>
  <c r="G240" i="4"/>
  <c r="L240" i="4" s="1"/>
  <c r="I240" i="4"/>
  <c r="M240" i="4" s="1"/>
  <c r="K240" i="4"/>
  <c r="N240" i="4" s="1"/>
  <c r="O238" i="3"/>
  <c r="U238" i="3"/>
  <c r="I238" i="3"/>
  <c r="L241" i="2"/>
  <c r="I240" i="2"/>
  <c r="F240" i="2" s="1"/>
  <c r="E242" i="2" l="1"/>
  <c r="B242" i="3"/>
  <c r="H239" i="4"/>
  <c r="E240" i="4"/>
  <c r="F239" i="4"/>
  <c r="J239" i="4"/>
  <c r="D241" i="4"/>
  <c r="M242" i="2"/>
  <c r="J241" i="2"/>
  <c r="G241" i="2" s="1"/>
  <c r="N242" i="2"/>
  <c r="K241" i="2"/>
  <c r="H241" i="2" s="1"/>
  <c r="D243" i="2"/>
  <c r="I239" i="3"/>
  <c r="U239" i="3"/>
  <c r="O239" i="3"/>
  <c r="A242" i="4"/>
  <c r="C241" i="3"/>
  <c r="P241" i="3"/>
  <c r="E241" i="3"/>
  <c r="S241" i="3"/>
  <c r="Y241" i="3" s="1"/>
  <c r="Z241" i="3" s="1"/>
  <c r="AA241" i="3" s="1"/>
  <c r="T241" i="3"/>
  <c r="G241" i="3"/>
  <c r="V241" i="3"/>
  <c r="H241" i="3"/>
  <c r="J241" i="3"/>
  <c r="M241" i="3"/>
  <c r="N241" i="3"/>
  <c r="F240" i="3"/>
  <c r="D241" i="3"/>
  <c r="L242" i="2"/>
  <c r="I241" i="2"/>
  <c r="F241" i="2" s="1"/>
  <c r="C243" i="2"/>
  <c r="C241" i="4"/>
  <c r="AB240" i="3"/>
  <c r="G241" i="4"/>
  <c r="L241" i="4" s="1"/>
  <c r="I241" i="4"/>
  <c r="M241" i="4" s="1"/>
  <c r="K241" i="4"/>
  <c r="N241" i="4" s="1"/>
  <c r="E243" i="2" l="1"/>
  <c r="B243" i="3"/>
  <c r="H240" i="4"/>
  <c r="J240" i="4"/>
  <c r="F240" i="4"/>
  <c r="E241" i="4"/>
  <c r="D242" i="4"/>
  <c r="C242" i="4"/>
  <c r="AB241" i="3"/>
  <c r="D244" i="2"/>
  <c r="C244" i="2"/>
  <c r="K242" i="2"/>
  <c r="H242" i="2" s="1"/>
  <c r="N243" i="2"/>
  <c r="I242" i="2"/>
  <c r="F242" i="2" s="1"/>
  <c r="L243" i="2"/>
  <c r="D242" i="3"/>
  <c r="F241" i="3"/>
  <c r="M243" i="2"/>
  <c r="J242" i="2"/>
  <c r="G242" i="2" s="1"/>
  <c r="O240" i="3"/>
  <c r="U240" i="3"/>
  <c r="I240" i="3"/>
  <c r="A243" i="4"/>
  <c r="C242" i="3"/>
  <c r="S242" i="3"/>
  <c r="Y242" i="3" s="1"/>
  <c r="Z242" i="3" s="1"/>
  <c r="AA242" i="3" s="1"/>
  <c r="E242" i="3"/>
  <c r="T242" i="3"/>
  <c r="G242" i="3"/>
  <c r="H242" i="3"/>
  <c r="V242" i="3"/>
  <c r="J242" i="3"/>
  <c r="M242" i="3"/>
  <c r="N242" i="3"/>
  <c r="P242" i="3"/>
  <c r="G242" i="4"/>
  <c r="L242" i="4" s="1"/>
  <c r="I242" i="4"/>
  <c r="M242" i="4" s="1"/>
  <c r="K242" i="4"/>
  <c r="N242" i="4" s="1"/>
  <c r="E244" i="2" l="1"/>
  <c r="B244" i="3"/>
  <c r="H241" i="4"/>
  <c r="E242" i="4"/>
  <c r="J241" i="4"/>
  <c r="F241" i="4"/>
  <c r="D243" i="4"/>
  <c r="G243" i="4"/>
  <c r="L243" i="4" s="1"/>
  <c r="I243" i="4"/>
  <c r="M243" i="4" s="1"/>
  <c r="K243" i="4"/>
  <c r="N243" i="4" s="1"/>
  <c r="C245" i="2"/>
  <c r="A244" i="4"/>
  <c r="C243" i="3"/>
  <c r="E243" i="3"/>
  <c r="S243" i="3"/>
  <c r="Y243" i="3" s="1"/>
  <c r="Z243" i="3" s="1"/>
  <c r="AA243" i="3" s="1"/>
  <c r="T243" i="3"/>
  <c r="G243" i="3"/>
  <c r="V243" i="3"/>
  <c r="H243" i="3"/>
  <c r="J243" i="3"/>
  <c r="M243" i="3"/>
  <c r="N243" i="3"/>
  <c r="P243" i="3"/>
  <c r="D245" i="2"/>
  <c r="M244" i="2"/>
  <c r="J243" i="2"/>
  <c r="G243" i="2" s="1"/>
  <c r="N244" i="2"/>
  <c r="K243" i="2"/>
  <c r="H243" i="2" s="1"/>
  <c r="O241" i="3"/>
  <c r="I241" i="3"/>
  <c r="U241" i="3"/>
  <c r="C243" i="4"/>
  <c r="AB242" i="3"/>
  <c r="F242" i="3"/>
  <c r="D243" i="3"/>
  <c r="L244" i="2"/>
  <c r="I243" i="2"/>
  <c r="F243" i="2" s="1"/>
  <c r="E245" i="2" l="1"/>
  <c r="B245" i="3"/>
  <c r="E243" i="4"/>
  <c r="F242" i="4"/>
  <c r="J242" i="4"/>
  <c r="H242" i="4"/>
  <c r="D244" i="4"/>
  <c r="G244" i="4"/>
  <c r="L244" i="4" s="1"/>
  <c r="I244" i="4"/>
  <c r="M244" i="4" s="1"/>
  <c r="K244" i="4"/>
  <c r="N244" i="4" s="1"/>
  <c r="A245" i="4"/>
  <c r="G244" i="3"/>
  <c r="S244" i="3"/>
  <c r="Y244" i="3" s="1"/>
  <c r="Z244" i="3" s="1"/>
  <c r="AA244" i="3" s="1"/>
  <c r="H244" i="3"/>
  <c r="T244" i="3"/>
  <c r="J244" i="3"/>
  <c r="V244" i="3"/>
  <c r="M244" i="3"/>
  <c r="N244" i="3"/>
  <c r="C244" i="3"/>
  <c r="P244" i="3"/>
  <c r="E244" i="3"/>
  <c r="C244" i="4"/>
  <c r="AB243" i="3"/>
  <c r="C246" i="2"/>
  <c r="N245" i="2"/>
  <c r="K244" i="2"/>
  <c r="H244" i="2" s="1"/>
  <c r="I244" i="2"/>
  <c r="F244" i="2" s="1"/>
  <c r="L245" i="2"/>
  <c r="F243" i="3"/>
  <c r="D244" i="3"/>
  <c r="J244" i="2"/>
  <c r="G244" i="2" s="1"/>
  <c r="M245" i="2"/>
  <c r="U242" i="3"/>
  <c r="I242" i="3"/>
  <c r="O242" i="3"/>
  <c r="D246" i="2"/>
  <c r="E246" i="2" l="1"/>
  <c r="B246" i="3"/>
  <c r="J243" i="4"/>
  <c r="H243" i="4"/>
  <c r="E244" i="4"/>
  <c r="F243" i="4"/>
  <c r="D245" i="4"/>
  <c r="M246" i="2"/>
  <c r="J245" i="2"/>
  <c r="G245" i="2" s="1"/>
  <c r="A246" i="4"/>
  <c r="C245" i="3"/>
  <c r="P245" i="3"/>
  <c r="E245" i="3"/>
  <c r="G245" i="3"/>
  <c r="S245" i="3"/>
  <c r="Y245" i="3" s="1"/>
  <c r="Z245" i="3" s="1"/>
  <c r="AA245" i="3" s="1"/>
  <c r="H245" i="3"/>
  <c r="T245" i="3"/>
  <c r="J245" i="3"/>
  <c r="V245" i="3"/>
  <c r="M245" i="3"/>
  <c r="N245" i="3"/>
  <c r="G245" i="4"/>
  <c r="L245" i="4" s="1"/>
  <c r="I245" i="4"/>
  <c r="M245" i="4" s="1"/>
  <c r="K245" i="4"/>
  <c r="N245" i="4" s="1"/>
  <c r="F244" i="3"/>
  <c r="D245" i="3"/>
  <c r="I243" i="3"/>
  <c r="U243" i="3"/>
  <c r="O243" i="3"/>
  <c r="L246" i="2"/>
  <c r="I245" i="2"/>
  <c r="F245" i="2" s="1"/>
  <c r="D247" i="2"/>
  <c r="C245" i="4"/>
  <c r="AB244" i="3"/>
  <c r="N246" i="2"/>
  <c r="K245" i="2"/>
  <c r="H245" i="2" s="1"/>
  <c r="C247" i="2"/>
  <c r="E247" i="2" l="1"/>
  <c r="B247" i="3"/>
  <c r="J244" i="4"/>
  <c r="H244" i="4"/>
  <c r="F244" i="4"/>
  <c r="E245" i="4"/>
  <c r="D246" i="4"/>
  <c r="A247" i="4"/>
  <c r="M246" i="3"/>
  <c r="N246" i="3"/>
  <c r="C246" i="3"/>
  <c r="P246" i="3"/>
  <c r="E246" i="3"/>
  <c r="G246" i="3"/>
  <c r="S246" i="3"/>
  <c r="Y246" i="3" s="1"/>
  <c r="Z246" i="3" s="1"/>
  <c r="AA246" i="3" s="1"/>
  <c r="H246" i="3"/>
  <c r="T246" i="3"/>
  <c r="J246" i="3"/>
  <c r="V246" i="3"/>
  <c r="N247" i="2"/>
  <c r="K246" i="2"/>
  <c r="H246" i="2" s="1"/>
  <c r="I244" i="3"/>
  <c r="U244" i="3"/>
  <c r="O244" i="3"/>
  <c r="D248" i="2"/>
  <c r="L247" i="2"/>
  <c r="I246" i="2"/>
  <c r="F246" i="2" s="1"/>
  <c r="G246" i="4"/>
  <c r="L246" i="4" s="1"/>
  <c r="I246" i="4"/>
  <c r="M246" i="4" s="1"/>
  <c r="K246" i="4"/>
  <c r="N246" i="4" s="1"/>
  <c r="C246" i="4"/>
  <c r="AB245" i="3"/>
  <c r="M247" i="2"/>
  <c r="J246" i="2"/>
  <c r="G246" i="2" s="1"/>
  <c r="C248" i="2"/>
  <c r="F245" i="3"/>
  <c r="D246" i="3"/>
  <c r="E248" i="2" l="1"/>
  <c r="B248" i="3"/>
  <c r="F245" i="4"/>
  <c r="E246" i="4"/>
  <c r="H245" i="4"/>
  <c r="J245" i="4"/>
  <c r="D247" i="4"/>
  <c r="J247" i="2"/>
  <c r="G247" i="2" s="1"/>
  <c r="M248" i="2"/>
  <c r="D249" i="2"/>
  <c r="A248" i="4"/>
  <c r="J247" i="3"/>
  <c r="V247" i="3"/>
  <c r="M247" i="3"/>
  <c r="N247" i="3"/>
  <c r="C247" i="3"/>
  <c r="P247" i="3"/>
  <c r="E247" i="3"/>
  <c r="G247" i="3"/>
  <c r="S247" i="3"/>
  <c r="Y247" i="3" s="1"/>
  <c r="Z247" i="3" s="1"/>
  <c r="AA247" i="3" s="1"/>
  <c r="H247" i="3"/>
  <c r="T247" i="3"/>
  <c r="F246" i="3"/>
  <c r="D247" i="3"/>
  <c r="K247" i="2"/>
  <c r="H247" i="2" s="1"/>
  <c r="N248" i="2"/>
  <c r="C247" i="4"/>
  <c r="AB246" i="3"/>
  <c r="O245" i="3"/>
  <c r="I245" i="3"/>
  <c r="U245" i="3"/>
  <c r="G247" i="4"/>
  <c r="L247" i="4" s="1"/>
  <c r="I247" i="4"/>
  <c r="M247" i="4" s="1"/>
  <c r="K247" i="4"/>
  <c r="N247" i="4" s="1"/>
  <c r="L248" i="2"/>
  <c r="I247" i="2"/>
  <c r="F247" i="2" s="1"/>
  <c r="C249" i="2"/>
  <c r="E249" i="2" l="1"/>
  <c r="B249" i="3"/>
  <c r="F246" i="4"/>
  <c r="E247" i="4"/>
  <c r="J246" i="4"/>
  <c r="H246" i="4"/>
  <c r="D248" i="4"/>
  <c r="C248" i="4"/>
  <c r="AB247" i="3"/>
  <c r="F247" i="3"/>
  <c r="D248" i="3"/>
  <c r="O246" i="3"/>
  <c r="I246" i="3"/>
  <c r="U246" i="3"/>
  <c r="K248" i="4"/>
  <c r="N248" i="4" s="1"/>
  <c r="G248" i="4"/>
  <c r="L248" i="4" s="1"/>
  <c r="I248" i="4"/>
  <c r="M248" i="4" s="1"/>
  <c r="D250" i="2"/>
  <c r="L249" i="2"/>
  <c r="I248" i="2"/>
  <c r="F248" i="2" s="1"/>
  <c r="C250" i="2"/>
  <c r="A249" i="4"/>
  <c r="G248" i="3"/>
  <c r="S248" i="3"/>
  <c r="Y248" i="3" s="1"/>
  <c r="Z248" i="3" s="1"/>
  <c r="AA248" i="3" s="1"/>
  <c r="H248" i="3"/>
  <c r="T248" i="3"/>
  <c r="J248" i="3"/>
  <c r="V248" i="3"/>
  <c r="M248" i="3"/>
  <c r="N248" i="3"/>
  <c r="C248" i="3"/>
  <c r="P248" i="3"/>
  <c r="E248" i="3"/>
  <c r="M249" i="2"/>
  <c r="J248" i="2"/>
  <c r="G248" i="2" s="1"/>
  <c r="N249" i="2"/>
  <c r="K248" i="2"/>
  <c r="H248" i="2" s="1"/>
  <c r="E250" i="2" l="1"/>
  <c r="B250" i="3"/>
  <c r="E248" i="4"/>
  <c r="J247" i="4"/>
  <c r="F247" i="4"/>
  <c r="H247" i="4"/>
  <c r="D249" i="4"/>
  <c r="C251" i="2"/>
  <c r="A250" i="4"/>
  <c r="C249" i="3"/>
  <c r="P249" i="3"/>
  <c r="E249" i="3"/>
  <c r="G249" i="3"/>
  <c r="S249" i="3"/>
  <c r="Y249" i="3" s="1"/>
  <c r="Z249" i="3" s="1"/>
  <c r="AA249" i="3" s="1"/>
  <c r="H249" i="3"/>
  <c r="T249" i="3"/>
  <c r="J249" i="3"/>
  <c r="V249" i="3"/>
  <c r="M249" i="3"/>
  <c r="N249" i="3"/>
  <c r="C249" i="4"/>
  <c r="AB248" i="3"/>
  <c r="I249" i="2"/>
  <c r="F249" i="2" s="1"/>
  <c r="L250" i="2"/>
  <c r="F248" i="3"/>
  <c r="D249" i="3"/>
  <c r="I247" i="3"/>
  <c r="U247" i="3"/>
  <c r="O247" i="3"/>
  <c r="K249" i="4"/>
  <c r="N249" i="4" s="1"/>
  <c r="G249" i="4"/>
  <c r="L249" i="4" s="1"/>
  <c r="I249" i="4"/>
  <c r="M249" i="4" s="1"/>
  <c r="D251" i="2"/>
  <c r="K249" i="2"/>
  <c r="H249" i="2" s="1"/>
  <c r="N250" i="2"/>
  <c r="J249" i="2"/>
  <c r="G249" i="2" s="1"/>
  <c r="M250" i="2"/>
  <c r="E251" i="2" l="1"/>
  <c r="B251" i="3"/>
  <c r="E249" i="4"/>
  <c r="H248" i="4"/>
  <c r="F248" i="4"/>
  <c r="J248" i="4"/>
  <c r="D250" i="4"/>
  <c r="D252" i="2"/>
  <c r="F249" i="3"/>
  <c r="D250" i="3"/>
  <c r="I248" i="3"/>
  <c r="U248" i="3"/>
  <c r="O248" i="3"/>
  <c r="L251" i="2"/>
  <c r="I250" i="2"/>
  <c r="F250" i="2" s="1"/>
  <c r="A251" i="4"/>
  <c r="M250" i="3"/>
  <c r="N250" i="3"/>
  <c r="C250" i="3"/>
  <c r="P250" i="3"/>
  <c r="E250" i="3"/>
  <c r="G250" i="3"/>
  <c r="S250" i="3"/>
  <c r="Y250" i="3" s="1"/>
  <c r="Z250" i="3" s="1"/>
  <c r="AA250" i="3" s="1"/>
  <c r="H250" i="3"/>
  <c r="T250" i="3"/>
  <c r="J250" i="3"/>
  <c r="V250" i="3"/>
  <c r="I250" i="4"/>
  <c r="M250" i="4" s="1"/>
  <c r="K250" i="4"/>
  <c r="N250" i="4" s="1"/>
  <c r="G250" i="4"/>
  <c r="L250" i="4" s="1"/>
  <c r="C250" i="4"/>
  <c r="AB249" i="3"/>
  <c r="C252" i="2"/>
  <c r="M251" i="2"/>
  <c r="J250" i="2"/>
  <c r="G250" i="2" s="1"/>
  <c r="N251" i="2"/>
  <c r="K250" i="2"/>
  <c r="H250" i="2" s="1"/>
  <c r="E252" i="2" l="1"/>
  <c r="B252" i="3"/>
  <c r="E250" i="4"/>
  <c r="J249" i="4"/>
  <c r="F249" i="4"/>
  <c r="H249" i="4"/>
  <c r="D251" i="4"/>
  <c r="I251" i="2"/>
  <c r="F251" i="2" s="1"/>
  <c r="L252" i="2"/>
  <c r="A252" i="4"/>
  <c r="J251" i="3"/>
  <c r="V251" i="3"/>
  <c r="M251" i="3"/>
  <c r="N251" i="3"/>
  <c r="C251" i="3"/>
  <c r="P251" i="3"/>
  <c r="E251" i="3"/>
  <c r="G251" i="3"/>
  <c r="S251" i="3"/>
  <c r="Y251" i="3" s="1"/>
  <c r="Z251" i="3" s="1"/>
  <c r="AA251" i="3" s="1"/>
  <c r="H251" i="3"/>
  <c r="T251" i="3"/>
  <c r="F250" i="3"/>
  <c r="D251" i="3"/>
  <c r="C253" i="2"/>
  <c r="O249" i="3"/>
  <c r="I249" i="3"/>
  <c r="U249" i="3"/>
  <c r="D253" i="2"/>
  <c r="N252" i="2"/>
  <c r="K251" i="2"/>
  <c r="H251" i="2" s="1"/>
  <c r="C251" i="4"/>
  <c r="AB250" i="3"/>
  <c r="M252" i="2"/>
  <c r="J251" i="2"/>
  <c r="G251" i="2" s="1"/>
  <c r="I251" i="4"/>
  <c r="M251" i="4" s="1"/>
  <c r="K251" i="4"/>
  <c r="N251" i="4" s="1"/>
  <c r="G251" i="4"/>
  <c r="L251" i="4" s="1"/>
  <c r="E253" i="2" l="1"/>
  <c r="B253" i="3"/>
  <c r="E251" i="4"/>
  <c r="J250" i="4"/>
  <c r="H250" i="4"/>
  <c r="F250" i="4"/>
  <c r="D252" i="4"/>
  <c r="C254" i="2"/>
  <c r="M253" i="2"/>
  <c r="J252" i="2"/>
  <c r="G252" i="2" s="1"/>
  <c r="C252" i="4"/>
  <c r="AB251" i="3"/>
  <c r="F251" i="3"/>
  <c r="D252" i="3"/>
  <c r="O250" i="3"/>
  <c r="I250" i="3"/>
  <c r="U250" i="3"/>
  <c r="K252" i="2"/>
  <c r="H252" i="2" s="1"/>
  <c r="N253" i="2"/>
  <c r="G252" i="4"/>
  <c r="L252" i="4" s="1"/>
  <c r="I252" i="4"/>
  <c r="M252" i="4" s="1"/>
  <c r="K252" i="4"/>
  <c r="N252" i="4" s="1"/>
  <c r="D254" i="2"/>
  <c r="L253" i="2"/>
  <c r="I252" i="2"/>
  <c r="F252" i="2" s="1"/>
  <c r="A253" i="4"/>
  <c r="G252" i="3"/>
  <c r="S252" i="3"/>
  <c r="Y252" i="3" s="1"/>
  <c r="Z252" i="3" s="1"/>
  <c r="AA252" i="3" s="1"/>
  <c r="H252" i="3"/>
  <c r="T252" i="3"/>
  <c r="J252" i="3"/>
  <c r="V252" i="3"/>
  <c r="M252" i="3"/>
  <c r="N252" i="3"/>
  <c r="C252" i="3"/>
  <c r="P252" i="3"/>
  <c r="E252" i="3"/>
  <c r="E254" i="2" l="1"/>
  <c r="B254" i="3"/>
  <c r="J251" i="4"/>
  <c r="F251" i="4"/>
  <c r="H251" i="4"/>
  <c r="E252" i="4"/>
  <c r="D253" i="4"/>
  <c r="C253" i="4"/>
  <c r="AB252" i="3"/>
  <c r="F252" i="3"/>
  <c r="D253" i="3"/>
  <c r="I251" i="3"/>
  <c r="U251" i="3"/>
  <c r="O251" i="3"/>
  <c r="M254" i="2"/>
  <c r="J253" i="2"/>
  <c r="G253" i="2" s="1"/>
  <c r="C255" i="2"/>
  <c r="A254" i="4"/>
  <c r="C253" i="3"/>
  <c r="P253" i="3"/>
  <c r="E253" i="3"/>
  <c r="G253" i="3"/>
  <c r="S253" i="3"/>
  <c r="Y253" i="3" s="1"/>
  <c r="Z253" i="3" s="1"/>
  <c r="AA253" i="3" s="1"/>
  <c r="H253" i="3"/>
  <c r="T253" i="3"/>
  <c r="J253" i="3"/>
  <c r="V253" i="3"/>
  <c r="M253" i="3"/>
  <c r="N253" i="3"/>
  <c r="G253" i="4"/>
  <c r="L253" i="4" s="1"/>
  <c r="I253" i="4"/>
  <c r="M253" i="4" s="1"/>
  <c r="K253" i="4"/>
  <c r="N253" i="4" s="1"/>
  <c r="N254" i="2"/>
  <c r="K253" i="2"/>
  <c r="H253" i="2" s="1"/>
  <c r="L254" i="2"/>
  <c r="I253" i="2"/>
  <c r="F253" i="2" s="1"/>
  <c r="D255" i="2"/>
  <c r="E255" i="2" l="1"/>
  <c r="B255" i="3"/>
  <c r="E253" i="4"/>
  <c r="H252" i="4"/>
  <c r="J252" i="4"/>
  <c r="F252" i="4"/>
  <c r="D254" i="4"/>
  <c r="I254" i="2"/>
  <c r="F254" i="2" s="1"/>
  <c r="L255" i="2"/>
  <c r="C256" i="2"/>
  <c r="K254" i="2"/>
  <c r="H254" i="2" s="1"/>
  <c r="N255" i="2"/>
  <c r="J254" i="2"/>
  <c r="G254" i="2" s="1"/>
  <c r="M255" i="2"/>
  <c r="A255" i="4"/>
  <c r="M254" i="3"/>
  <c r="N254" i="3"/>
  <c r="C254" i="3"/>
  <c r="P254" i="3"/>
  <c r="E254" i="3"/>
  <c r="G254" i="3"/>
  <c r="S254" i="3"/>
  <c r="Y254" i="3" s="1"/>
  <c r="Z254" i="3" s="1"/>
  <c r="AA254" i="3" s="1"/>
  <c r="H254" i="3"/>
  <c r="T254" i="3"/>
  <c r="J254" i="3"/>
  <c r="V254" i="3"/>
  <c r="F253" i="3"/>
  <c r="D254" i="3"/>
  <c r="I252" i="3"/>
  <c r="U252" i="3"/>
  <c r="O252" i="3"/>
  <c r="G254" i="4"/>
  <c r="L254" i="4" s="1"/>
  <c r="I254" i="4"/>
  <c r="M254" i="4" s="1"/>
  <c r="K254" i="4"/>
  <c r="N254" i="4" s="1"/>
  <c r="D256" i="2"/>
  <c r="C254" i="4"/>
  <c r="AB253" i="3"/>
  <c r="E256" i="2" l="1"/>
  <c r="B256" i="3"/>
  <c r="J253" i="4"/>
  <c r="F253" i="4"/>
  <c r="H253" i="4"/>
  <c r="E254" i="4"/>
  <c r="D255" i="4"/>
  <c r="M256" i="2"/>
  <c r="J255" i="2"/>
  <c r="G255" i="2" s="1"/>
  <c r="G255" i="4"/>
  <c r="L255" i="4" s="1"/>
  <c r="I255" i="4"/>
  <c r="M255" i="4" s="1"/>
  <c r="K255" i="4"/>
  <c r="N255" i="4" s="1"/>
  <c r="N256" i="2"/>
  <c r="K255" i="2"/>
  <c r="H255" i="2" s="1"/>
  <c r="C257" i="2"/>
  <c r="A256" i="4"/>
  <c r="J255" i="3"/>
  <c r="V255" i="3"/>
  <c r="M255" i="3"/>
  <c r="N255" i="3"/>
  <c r="C255" i="3"/>
  <c r="P255" i="3"/>
  <c r="G255" i="3"/>
  <c r="S255" i="3"/>
  <c r="Y255" i="3" s="1"/>
  <c r="Z255" i="3" s="1"/>
  <c r="AA255" i="3" s="1"/>
  <c r="E255" i="3"/>
  <c r="H255" i="3"/>
  <c r="T255" i="3"/>
  <c r="L256" i="2"/>
  <c r="I255" i="2"/>
  <c r="F255" i="2" s="1"/>
  <c r="D257" i="2"/>
  <c r="F254" i="3"/>
  <c r="D255" i="3"/>
  <c r="O253" i="3"/>
  <c r="I253" i="3"/>
  <c r="U253" i="3"/>
  <c r="C255" i="4"/>
  <c r="AB254" i="3"/>
  <c r="E257" i="2" l="1"/>
  <c r="B257" i="3"/>
  <c r="J254" i="4"/>
  <c r="F254" i="4"/>
  <c r="H254" i="4"/>
  <c r="E255" i="4"/>
  <c r="D256" i="4"/>
  <c r="F255" i="3"/>
  <c r="D256" i="3"/>
  <c r="N257" i="2"/>
  <c r="K256" i="2"/>
  <c r="H256" i="2" s="1"/>
  <c r="O254" i="3"/>
  <c r="I254" i="3"/>
  <c r="U254" i="3"/>
  <c r="C256" i="4"/>
  <c r="AB255" i="3"/>
  <c r="I256" i="2"/>
  <c r="F256" i="2" s="1"/>
  <c r="L257" i="2"/>
  <c r="D258" i="2"/>
  <c r="A257" i="4"/>
  <c r="G256" i="3"/>
  <c r="S256" i="3"/>
  <c r="Y256" i="3" s="1"/>
  <c r="Z256" i="3" s="1"/>
  <c r="AA256" i="3" s="1"/>
  <c r="H256" i="3"/>
  <c r="T256" i="3"/>
  <c r="J256" i="3"/>
  <c r="V256" i="3"/>
  <c r="M256" i="3"/>
  <c r="C256" i="3"/>
  <c r="P256" i="3"/>
  <c r="E256" i="3"/>
  <c r="N256" i="3"/>
  <c r="G256" i="4"/>
  <c r="L256" i="4" s="1"/>
  <c r="K256" i="4"/>
  <c r="N256" i="4" s="1"/>
  <c r="I256" i="4"/>
  <c r="M256" i="4" s="1"/>
  <c r="J256" i="2"/>
  <c r="G256" i="2" s="1"/>
  <c r="M257" i="2"/>
  <c r="C258" i="2"/>
  <c r="E258" i="2" l="1"/>
  <c r="B258" i="3"/>
  <c r="E256" i="4"/>
  <c r="J255" i="4"/>
  <c r="F255" i="4"/>
  <c r="H255" i="4"/>
  <c r="D257" i="4"/>
  <c r="K257" i="4"/>
  <c r="N257" i="4" s="1"/>
  <c r="G257" i="4"/>
  <c r="L257" i="4" s="1"/>
  <c r="I257" i="4"/>
  <c r="M257" i="4" s="1"/>
  <c r="N258" i="2"/>
  <c r="K257" i="2"/>
  <c r="H257" i="2" s="1"/>
  <c r="C257" i="4"/>
  <c r="AB256" i="3"/>
  <c r="C259" i="2"/>
  <c r="D259" i="2"/>
  <c r="F256" i="3"/>
  <c r="D257" i="3"/>
  <c r="A258" i="4"/>
  <c r="C257" i="3"/>
  <c r="P257" i="3"/>
  <c r="E257" i="3"/>
  <c r="G257" i="3"/>
  <c r="S257" i="3"/>
  <c r="Y257" i="3" s="1"/>
  <c r="Z257" i="3" s="1"/>
  <c r="AA257" i="3" s="1"/>
  <c r="H257" i="3"/>
  <c r="T257" i="3"/>
  <c r="J257" i="3"/>
  <c r="V257" i="3"/>
  <c r="M257" i="3"/>
  <c r="N257" i="3"/>
  <c r="I255" i="3"/>
  <c r="U255" i="3"/>
  <c r="O255" i="3"/>
  <c r="M258" i="2"/>
  <c r="J257" i="2"/>
  <c r="G257" i="2" s="1"/>
  <c r="L258" i="2"/>
  <c r="I257" i="2"/>
  <c r="F257" i="2" s="1"/>
  <c r="E259" i="2" l="1"/>
  <c r="B259" i="3"/>
  <c r="F256" i="4"/>
  <c r="H256" i="4"/>
  <c r="J256" i="4"/>
  <c r="E257" i="4"/>
  <c r="D258" i="4"/>
  <c r="I258" i="4"/>
  <c r="M258" i="4" s="1"/>
  <c r="K258" i="4"/>
  <c r="N258" i="4" s="1"/>
  <c r="G258" i="4"/>
  <c r="L258" i="4" s="1"/>
  <c r="N259" i="2"/>
  <c r="K258" i="2"/>
  <c r="H258" i="2" s="1"/>
  <c r="C258" i="4"/>
  <c r="AB257" i="3"/>
  <c r="F257" i="3"/>
  <c r="D258" i="3"/>
  <c r="I256" i="3"/>
  <c r="U256" i="3"/>
  <c r="O256" i="3"/>
  <c r="D260" i="2"/>
  <c r="L259" i="2"/>
  <c r="I258" i="2"/>
  <c r="F258" i="2" s="1"/>
  <c r="C260" i="2"/>
  <c r="M259" i="2"/>
  <c r="J258" i="2"/>
  <c r="G258" i="2" s="1"/>
  <c r="A259" i="4"/>
  <c r="M258" i="3"/>
  <c r="N258" i="3"/>
  <c r="C258" i="3"/>
  <c r="P258" i="3"/>
  <c r="E258" i="3"/>
  <c r="G258" i="3"/>
  <c r="S258" i="3"/>
  <c r="Y258" i="3" s="1"/>
  <c r="Z258" i="3" s="1"/>
  <c r="AA258" i="3" s="1"/>
  <c r="J258" i="3"/>
  <c r="T258" i="3"/>
  <c r="V258" i="3"/>
  <c r="H258" i="3"/>
  <c r="E260" i="2" l="1"/>
  <c r="B260" i="3"/>
  <c r="H257" i="4"/>
  <c r="J257" i="4"/>
  <c r="F257" i="4"/>
  <c r="E258" i="4"/>
  <c r="D259" i="4"/>
  <c r="A260" i="4"/>
  <c r="J259" i="3"/>
  <c r="V259" i="3"/>
  <c r="M259" i="3"/>
  <c r="N259" i="3"/>
  <c r="C259" i="3"/>
  <c r="P259" i="3"/>
  <c r="T259" i="3"/>
  <c r="E259" i="3"/>
  <c r="G259" i="3"/>
  <c r="H259" i="3"/>
  <c r="S259" i="3"/>
  <c r="Y259" i="3" s="1"/>
  <c r="Z259" i="3" s="1"/>
  <c r="AA259" i="3" s="1"/>
  <c r="L260" i="2"/>
  <c r="I259" i="2"/>
  <c r="F259" i="2" s="1"/>
  <c r="K259" i="2"/>
  <c r="H259" i="2" s="1"/>
  <c r="N260" i="2"/>
  <c r="D261" i="2"/>
  <c r="C259" i="4"/>
  <c r="AB258" i="3"/>
  <c r="G259" i="4"/>
  <c r="L259" i="4" s="1"/>
  <c r="I259" i="4"/>
  <c r="M259" i="4" s="1"/>
  <c r="K259" i="4"/>
  <c r="N259" i="4" s="1"/>
  <c r="M260" i="2"/>
  <c r="J259" i="2"/>
  <c r="G259" i="2" s="1"/>
  <c r="F258" i="3"/>
  <c r="D259" i="3"/>
  <c r="C261" i="2"/>
  <c r="O257" i="3"/>
  <c r="I257" i="3"/>
  <c r="U257" i="3"/>
  <c r="E261" i="2" l="1"/>
  <c r="B261" i="3"/>
  <c r="E259" i="4"/>
  <c r="J258" i="4"/>
  <c r="F258" i="4"/>
  <c r="H258" i="4"/>
  <c r="D260" i="4"/>
  <c r="A261" i="4"/>
  <c r="G260" i="3"/>
  <c r="S260" i="3"/>
  <c r="Y260" i="3" s="1"/>
  <c r="Z260" i="3" s="1"/>
  <c r="AA260" i="3" s="1"/>
  <c r="H260" i="3"/>
  <c r="T260" i="3"/>
  <c r="J260" i="3"/>
  <c r="V260" i="3"/>
  <c r="M260" i="3"/>
  <c r="C260" i="3"/>
  <c r="E260" i="3"/>
  <c r="N260" i="3"/>
  <c r="P260" i="3"/>
  <c r="F259" i="3"/>
  <c r="D260" i="3"/>
  <c r="D262" i="2"/>
  <c r="O258" i="3"/>
  <c r="I258" i="3"/>
  <c r="U258" i="3"/>
  <c r="M261" i="2"/>
  <c r="J260" i="2"/>
  <c r="G260" i="2" s="1"/>
  <c r="N261" i="2"/>
  <c r="K260" i="2"/>
  <c r="H260" i="2" s="1"/>
  <c r="C260" i="4"/>
  <c r="AB259" i="3"/>
  <c r="L261" i="2"/>
  <c r="I260" i="2"/>
  <c r="F260" i="2" s="1"/>
  <c r="G260" i="4"/>
  <c r="L260" i="4" s="1"/>
  <c r="I260" i="4"/>
  <c r="M260" i="4" s="1"/>
  <c r="K260" i="4"/>
  <c r="N260" i="4" s="1"/>
  <c r="C262" i="2"/>
  <c r="E262" i="2" l="1"/>
  <c r="B262" i="3"/>
  <c r="E260" i="4"/>
  <c r="H259" i="4"/>
  <c r="J259" i="4"/>
  <c r="F259" i="4"/>
  <c r="D261" i="4"/>
  <c r="C261" i="4"/>
  <c r="AB260" i="3"/>
  <c r="J261" i="2"/>
  <c r="G261" i="2" s="1"/>
  <c r="M262" i="2"/>
  <c r="I261" i="2"/>
  <c r="F261" i="2" s="1"/>
  <c r="L262" i="2"/>
  <c r="D263" i="2"/>
  <c r="F260" i="3"/>
  <c r="D261" i="3"/>
  <c r="I259" i="3"/>
  <c r="U259" i="3"/>
  <c r="O259" i="3"/>
  <c r="A262" i="4"/>
  <c r="C261" i="3"/>
  <c r="P261" i="3"/>
  <c r="E261" i="3"/>
  <c r="H261" i="3"/>
  <c r="J261" i="3"/>
  <c r="V261" i="3"/>
  <c r="G261" i="3"/>
  <c r="M261" i="3"/>
  <c r="N261" i="3"/>
  <c r="S261" i="3"/>
  <c r="Y261" i="3" s="1"/>
  <c r="Z261" i="3" s="1"/>
  <c r="AA261" i="3" s="1"/>
  <c r="T261" i="3"/>
  <c r="G261" i="4"/>
  <c r="L261" i="4" s="1"/>
  <c r="I261" i="4"/>
  <c r="M261" i="4" s="1"/>
  <c r="K261" i="4"/>
  <c r="N261" i="4" s="1"/>
  <c r="C263" i="2"/>
  <c r="K261" i="2"/>
  <c r="H261" i="2" s="1"/>
  <c r="N262" i="2"/>
  <c r="E263" i="2" l="1"/>
  <c r="B263" i="3"/>
  <c r="E261" i="4"/>
  <c r="H260" i="4"/>
  <c r="J260" i="4"/>
  <c r="F260" i="4"/>
  <c r="D262" i="4"/>
  <c r="D264" i="2"/>
  <c r="I260" i="3"/>
  <c r="U260" i="3"/>
  <c r="O260" i="3"/>
  <c r="L263" i="2"/>
  <c r="I262" i="2"/>
  <c r="F262" i="2" s="1"/>
  <c r="M263" i="2"/>
  <c r="J262" i="2"/>
  <c r="G262" i="2" s="1"/>
  <c r="G262" i="4"/>
  <c r="L262" i="4" s="1"/>
  <c r="I262" i="4"/>
  <c r="M262" i="4" s="1"/>
  <c r="K262" i="4"/>
  <c r="N262" i="4" s="1"/>
  <c r="C262" i="4"/>
  <c r="AB261" i="3"/>
  <c r="N263" i="2"/>
  <c r="K262" i="2"/>
  <c r="H262" i="2" s="1"/>
  <c r="C264" i="2"/>
  <c r="A263" i="4"/>
  <c r="M262" i="3"/>
  <c r="C262" i="3"/>
  <c r="G262" i="3"/>
  <c r="S262" i="3"/>
  <c r="Y262" i="3" s="1"/>
  <c r="Z262" i="3" s="1"/>
  <c r="AA262" i="3" s="1"/>
  <c r="T262" i="3"/>
  <c r="V262" i="3"/>
  <c r="E262" i="3"/>
  <c r="H262" i="3"/>
  <c r="J262" i="3"/>
  <c r="N262" i="3"/>
  <c r="P262" i="3"/>
  <c r="F261" i="3"/>
  <c r="D262" i="3"/>
  <c r="E264" i="2" l="1"/>
  <c r="B264" i="3"/>
  <c r="F261" i="4"/>
  <c r="E262" i="4"/>
  <c r="H261" i="4"/>
  <c r="J261" i="4"/>
  <c r="D263" i="4"/>
  <c r="A264" i="4"/>
  <c r="J263" i="3"/>
  <c r="C263" i="3"/>
  <c r="P263" i="3"/>
  <c r="M263" i="3"/>
  <c r="N263" i="3"/>
  <c r="S263" i="3"/>
  <c r="Y263" i="3" s="1"/>
  <c r="Z263" i="3" s="1"/>
  <c r="AA263" i="3" s="1"/>
  <c r="T263" i="3"/>
  <c r="V263" i="3"/>
  <c r="E263" i="3"/>
  <c r="G263" i="3"/>
  <c r="H263" i="3"/>
  <c r="C265" i="2"/>
  <c r="M264" i="2"/>
  <c r="J263" i="2"/>
  <c r="G263" i="2" s="1"/>
  <c r="N264" i="2"/>
  <c r="K263" i="2"/>
  <c r="H263" i="2" s="1"/>
  <c r="I263" i="2"/>
  <c r="F263" i="2" s="1"/>
  <c r="L264" i="2"/>
  <c r="F262" i="3"/>
  <c r="D263" i="3"/>
  <c r="D265" i="2"/>
  <c r="O261" i="3"/>
  <c r="I261" i="3"/>
  <c r="U261" i="3"/>
  <c r="C263" i="4"/>
  <c r="AB262" i="3"/>
  <c r="K263" i="4"/>
  <c r="N263" i="4" s="1"/>
  <c r="G263" i="4"/>
  <c r="L263" i="4" s="1"/>
  <c r="I263" i="4"/>
  <c r="M263" i="4" s="1"/>
  <c r="E265" i="2" l="1"/>
  <c r="B265" i="3"/>
  <c r="E263" i="4"/>
  <c r="J262" i="4"/>
  <c r="F262" i="4"/>
  <c r="H262" i="4"/>
  <c r="D264" i="4"/>
  <c r="L265" i="2"/>
  <c r="I264" i="2"/>
  <c r="F264" i="2" s="1"/>
  <c r="K264" i="2"/>
  <c r="H264" i="2" s="1"/>
  <c r="N265" i="2"/>
  <c r="M265" i="2"/>
  <c r="J264" i="2"/>
  <c r="G264" i="2" s="1"/>
  <c r="C264" i="4"/>
  <c r="AB263" i="3"/>
  <c r="C266" i="2"/>
  <c r="D266" i="2"/>
  <c r="I264" i="4"/>
  <c r="M264" i="4" s="1"/>
  <c r="K264" i="4"/>
  <c r="N264" i="4" s="1"/>
  <c r="G264" i="4"/>
  <c r="L264" i="4" s="1"/>
  <c r="D264" i="3"/>
  <c r="F263" i="3"/>
  <c r="A265" i="4"/>
  <c r="M264" i="3"/>
  <c r="V264" i="3"/>
  <c r="E264" i="3"/>
  <c r="G264" i="3"/>
  <c r="H264" i="3"/>
  <c r="J264" i="3"/>
  <c r="N264" i="3"/>
  <c r="P264" i="3"/>
  <c r="C264" i="3"/>
  <c r="T264" i="3"/>
  <c r="S264" i="3"/>
  <c r="Y264" i="3" s="1"/>
  <c r="Z264" i="3" s="1"/>
  <c r="AA264" i="3" s="1"/>
  <c r="O262" i="3"/>
  <c r="U262" i="3"/>
  <c r="I262" i="3"/>
  <c r="E266" i="2" l="1"/>
  <c r="B266" i="3"/>
  <c r="E264" i="4"/>
  <c r="F263" i="4"/>
  <c r="H263" i="4"/>
  <c r="J263" i="4"/>
  <c r="D265" i="4"/>
  <c r="I263" i="3"/>
  <c r="U263" i="3"/>
  <c r="O263" i="3"/>
  <c r="F264" i="3"/>
  <c r="D265" i="3"/>
  <c r="A266" i="4"/>
  <c r="C265" i="3"/>
  <c r="M265" i="3"/>
  <c r="N265" i="3"/>
  <c r="P265" i="3"/>
  <c r="S265" i="3"/>
  <c r="Y265" i="3" s="1"/>
  <c r="Z265" i="3" s="1"/>
  <c r="AA265" i="3" s="1"/>
  <c r="T265" i="3"/>
  <c r="E265" i="3"/>
  <c r="V265" i="3"/>
  <c r="G265" i="3"/>
  <c r="J265" i="3"/>
  <c r="H265" i="3"/>
  <c r="M266" i="2"/>
  <c r="J265" i="2"/>
  <c r="G265" i="2" s="1"/>
  <c r="N266" i="2"/>
  <c r="K265" i="2"/>
  <c r="H265" i="2" s="1"/>
  <c r="D267" i="2"/>
  <c r="L266" i="2"/>
  <c r="I265" i="2"/>
  <c r="F265" i="2" s="1"/>
  <c r="C265" i="4"/>
  <c r="AB264" i="3"/>
  <c r="G265" i="4"/>
  <c r="L265" i="4" s="1"/>
  <c r="K265" i="4"/>
  <c r="N265" i="4" s="1"/>
  <c r="I265" i="4"/>
  <c r="M265" i="4" s="1"/>
  <c r="C267" i="2"/>
  <c r="E267" i="2" l="1"/>
  <c r="B267" i="3"/>
  <c r="J264" i="4"/>
  <c r="H264" i="4"/>
  <c r="F264" i="4"/>
  <c r="E265" i="4"/>
  <c r="D266" i="4"/>
  <c r="C266" i="4"/>
  <c r="AB265" i="3"/>
  <c r="J266" i="2"/>
  <c r="G266" i="2" s="1"/>
  <c r="M267" i="2"/>
  <c r="I266" i="4"/>
  <c r="M266" i="4" s="1"/>
  <c r="K266" i="4"/>
  <c r="N266" i="4" s="1"/>
  <c r="G266" i="4"/>
  <c r="L266" i="4" s="1"/>
  <c r="F265" i="3"/>
  <c r="D266" i="3"/>
  <c r="I264" i="3"/>
  <c r="U264" i="3"/>
  <c r="O264" i="3"/>
  <c r="K266" i="2"/>
  <c r="H266" i="2" s="1"/>
  <c r="N267" i="2"/>
  <c r="I266" i="2"/>
  <c r="F266" i="2" s="1"/>
  <c r="L267" i="2"/>
  <c r="A267" i="4"/>
  <c r="C266" i="3"/>
  <c r="P266" i="3"/>
  <c r="S266" i="3"/>
  <c r="Y266" i="3" s="1"/>
  <c r="Z266" i="3" s="1"/>
  <c r="AA266" i="3" s="1"/>
  <c r="T266" i="3"/>
  <c r="E266" i="3"/>
  <c r="G266" i="3"/>
  <c r="V266" i="3"/>
  <c r="H266" i="3"/>
  <c r="J266" i="3"/>
  <c r="N266" i="3"/>
  <c r="M266" i="3"/>
  <c r="C268" i="2"/>
  <c r="D268" i="2"/>
  <c r="E268" i="2" l="1"/>
  <c r="B268" i="3"/>
  <c r="E266" i="4"/>
  <c r="H265" i="4"/>
  <c r="J265" i="4"/>
  <c r="F265" i="4"/>
  <c r="D267" i="4"/>
  <c r="A268" i="4"/>
  <c r="C267" i="3"/>
  <c r="E267" i="3"/>
  <c r="T267" i="3"/>
  <c r="V267" i="3"/>
  <c r="G267" i="3"/>
  <c r="H267" i="3"/>
  <c r="J267" i="3"/>
  <c r="M267" i="3"/>
  <c r="N267" i="3"/>
  <c r="P267" i="3"/>
  <c r="S267" i="3"/>
  <c r="Y267" i="3" s="1"/>
  <c r="Z267" i="3" s="1"/>
  <c r="AA267" i="3" s="1"/>
  <c r="G267" i="4"/>
  <c r="L267" i="4" s="1"/>
  <c r="I267" i="4"/>
  <c r="M267" i="4" s="1"/>
  <c r="K267" i="4"/>
  <c r="N267" i="4" s="1"/>
  <c r="C267" i="4"/>
  <c r="AB266" i="3"/>
  <c r="L268" i="2"/>
  <c r="I267" i="2"/>
  <c r="F267" i="2" s="1"/>
  <c r="N268" i="2"/>
  <c r="K267" i="2"/>
  <c r="H267" i="2" s="1"/>
  <c r="M268" i="2"/>
  <c r="J267" i="2"/>
  <c r="G267" i="2" s="1"/>
  <c r="D269" i="2"/>
  <c r="F266" i="3"/>
  <c r="D267" i="3"/>
  <c r="C269" i="2"/>
  <c r="O265" i="3"/>
  <c r="I265" i="3"/>
  <c r="U265" i="3"/>
  <c r="E269" i="2" l="1"/>
  <c r="B269" i="3"/>
  <c r="J266" i="4"/>
  <c r="F266" i="4"/>
  <c r="H266" i="4"/>
  <c r="E267" i="4"/>
  <c r="D268" i="4"/>
  <c r="I268" i="2"/>
  <c r="F268" i="2" s="1"/>
  <c r="L269" i="2"/>
  <c r="A269" i="4"/>
  <c r="J268" i="3"/>
  <c r="M268" i="3"/>
  <c r="N268" i="3"/>
  <c r="P268" i="3"/>
  <c r="C268" i="3"/>
  <c r="S268" i="3"/>
  <c r="Y268" i="3" s="1"/>
  <c r="Z268" i="3" s="1"/>
  <c r="AA268" i="3" s="1"/>
  <c r="T268" i="3"/>
  <c r="E268" i="3"/>
  <c r="V268" i="3"/>
  <c r="H268" i="3"/>
  <c r="G268" i="3"/>
  <c r="C268" i="4"/>
  <c r="AB267" i="3"/>
  <c r="F267" i="3"/>
  <c r="D268" i="3"/>
  <c r="C270" i="2"/>
  <c r="O266" i="3"/>
  <c r="U266" i="3"/>
  <c r="I266" i="3"/>
  <c r="D270" i="2"/>
  <c r="J268" i="2"/>
  <c r="G268" i="2" s="1"/>
  <c r="M269" i="2"/>
  <c r="G268" i="4"/>
  <c r="L268" i="4" s="1"/>
  <c r="I268" i="4"/>
  <c r="M268" i="4" s="1"/>
  <c r="K268" i="4"/>
  <c r="N268" i="4" s="1"/>
  <c r="N269" i="2"/>
  <c r="K268" i="2"/>
  <c r="H268" i="2" s="1"/>
  <c r="E270" i="2" l="1"/>
  <c r="B270" i="3"/>
  <c r="E268" i="4"/>
  <c r="F267" i="4"/>
  <c r="H267" i="4"/>
  <c r="J267" i="4"/>
  <c r="D269" i="4"/>
  <c r="C271" i="2"/>
  <c r="F268" i="3"/>
  <c r="D269" i="3"/>
  <c r="A270" i="4"/>
  <c r="C269" i="3"/>
  <c r="N269" i="3"/>
  <c r="P269" i="3"/>
  <c r="S269" i="3"/>
  <c r="Y269" i="3" s="1"/>
  <c r="Z269" i="3" s="1"/>
  <c r="AA269" i="3" s="1"/>
  <c r="T269" i="3"/>
  <c r="E269" i="3"/>
  <c r="V269" i="3"/>
  <c r="G269" i="3"/>
  <c r="H269" i="3"/>
  <c r="J269" i="3"/>
  <c r="M269" i="3"/>
  <c r="M270" i="2"/>
  <c r="J269" i="2"/>
  <c r="G269" i="2" s="1"/>
  <c r="I267" i="3"/>
  <c r="U267" i="3"/>
  <c r="O267" i="3"/>
  <c r="C269" i="4"/>
  <c r="AB268" i="3"/>
  <c r="D271" i="2"/>
  <c r="G269" i="4"/>
  <c r="L269" i="4" s="1"/>
  <c r="I269" i="4"/>
  <c r="M269" i="4" s="1"/>
  <c r="K269" i="4"/>
  <c r="N269" i="4" s="1"/>
  <c r="L270" i="2"/>
  <c r="I269" i="2"/>
  <c r="F269" i="2" s="1"/>
  <c r="K269" i="2"/>
  <c r="H269" i="2" s="1"/>
  <c r="N270" i="2"/>
  <c r="E271" i="2" l="1"/>
  <c r="B271" i="3"/>
  <c r="E269" i="4"/>
  <c r="F268" i="4"/>
  <c r="H268" i="4"/>
  <c r="J268" i="4"/>
  <c r="D270" i="4"/>
  <c r="J270" i="2"/>
  <c r="G270" i="2" s="1"/>
  <c r="M271" i="2"/>
  <c r="A271" i="4"/>
  <c r="C270" i="3"/>
  <c r="E270" i="3"/>
  <c r="S270" i="3"/>
  <c r="Y270" i="3" s="1"/>
  <c r="Z270" i="3" s="1"/>
  <c r="AA270" i="3" s="1"/>
  <c r="G270" i="3"/>
  <c r="T270" i="3"/>
  <c r="H270" i="3"/>
  <c r="V270" i="3"/>
  <c r="J270" i="3"/>
  <c r="M270" i="3"/>
  <c r="P270" i="3"/>
  <c r="N270" i="3"/>
  <c r="G270" i="4"/>
  <c r="L270" i="4" s="1"/>
  <c r="I270" i="4"/>
  <c r="M270" i="4" s="1"/>
  <c r="K270" i="4"/>
  <c r="N270" i="4" s="1"/>
  <c r="C270" i="4"/>
  <c r="AB269" i="3"/>
  <c r="F269" i="3"/>
  <c r="D270" i="3"/>
  <c r="D272" i="2"/>
  <c r="I268" i="3"/>
  <c r="U268" i="3"/>
  <c r="O268" i="3"/>
  <c r="N271" i="2"/>
  <c r="K270" i="2"/>
  <c r="H270" i="2" s="1"/>
  <c r="C272" i="2"/>
  <c r="L271" i="2"/>
  <c r="I270" i="2"/>
  <c r="F270" i="2" s="1"/>
  <c r="E272" i="2" l="1"/>
  <c r="B272" i="3"/>
  <c r="H269" i="4"/>
  <c r="F269" i="4"/>
  <c r="E270" i="4"/>
  <c r="J269" i="4"/>
  <c r="D271" i="4"/>
  <c r="K271" i="2"/>
  <c r="H271" i="2" s="1"/>
  <c r="N272" i="2"/>
  <c r="A272" i="4"/>
  <c r="N271" i="3"/>
  <c r="C271" i="3"/>
  <c r="P271" i="3"/>
  <c r="E271" i="3"/>
  <c r="G271" i="3"/>
  <c r="S271" i="3"/>
  <c r="Y271" i="3" s="1"/>
  <c r="Z271" i="3" s="1"/>
  <c r="AA271" i="3" s="1"/>
  <c r="H271" i="3"/>
  <c r="T271" i="3"/>
  <c r="J271" i="3"/>
  <c r="V271" i="3"/>
  <c r="M271" i="3"/>
  <c r="K271" i="4"/>
  <c r="N271" i="4" s="1"/>
  <c r="G271" i="4"/>
  <c r="L271" i="4" s="1"/>
  <c r="I271" i="4"/>
  <c r="M271" i="4" s="1"/>
  <c r="D273" i="2"/>
  <c r="M272" i="2"/>
  <c r="J271" i="2"/>
  <c r="G271" i="2" s="1"/>
  <c r="L272" i="2"/>
  <c r="I271" i="2"/>
  <c r="F271" i="2" s="1"/>
  <c r="F270" i="3"/>
  <c r="D271" i="3"/>
  <c r="C271" i="4"/>
  <c r="AB270" i="3"/>
  <c r="C273" i="2"/>
  <c r="O269" i="3"/>
  <c r="I269" i="3"/>
  <c r="U269" i="3"/>
  <c r="E273" i="2" l="1"/>
  <c r="B273" i="3"/>
  <c r="F270" i="4"/>
  <c r="H270" i="4"/>
  <c r="J270" i="4"/>
  <c r="E271" i="4"/>
  <c r="D272" i="4"/>
  <c r="A273" i="4"/>
  <c r="M272" i="3"/>
  <c r="N272" i="3"/>
  <c r="C272" i="3"/>
  <c r="P272" i="3"/>
  <c r="E272" i="3"/>
  <c r="G272" i="3"/>
  <c r="S272" i="3"/>
  <c r="Y272" i="3" s="1"/>
  <c r="Z272" i="3" s="1"/>
  <c r="AA272" i="3" s="1"/>
  <c r="H272" i="3"/>
  <c r="T272" i="3"/>
  <c r="J272" i="3"/>
  <c r="V272" i="3"/>
  <c r="F271" i="3"/>
  <c r="D272" i="3"/>
  <c r="O270" i="3"/>
  <c r="U270" i="3"/>
  <c r="I270" i="3"/>
  <c r="L273" i="2"/>
  <c r="I272" i="2"/>
  <c r="F272" i="2" s="1"/>
  <c r="C272" i="4"/>
  <c r="AB271" i="3"/>
  <c r="I272" i="4"/>
  <c r="M272" i="4" s="1"/>
  <c r="K272" i="4"/>
  <c r="N272" i="4" s="1"/>
  <c r="G272" i="4"/>
  <c r="L272" i="4" s="1"/>
  <c r="N273" i="2"/>
  <c r="K272" i="2"/>
  <c r="H272" i="2" s="1"/>
  <c r="M273" i="2"/>
  <c r="J272" i="2"/>
  <c r="G272" i="2" s="1"/>
  <c r="C274" i="2"/>
  <c r="D274" i="2"/>
  <c r="E274" i="2" l="1"/>
  <c r="B274" i="3"/>
  <c r="H271" i="4"/>
  <c r="E272" i="4"/>
  <c r="F271" i="4"/>
  <c r="J271" i="4"/>
  <c r="D273" i="4"/>
  <c r="C275" i="2"/>
  <c r="K273" i="2"/>
  <c r="H273" i="2" s="1"/>
  <c r="N274" i="2"/>
  <c r="J273" i="2"/>
  <c r="G273" i="2" s="1"/>
  <c r="M274" i="2"/>
  <c r="L274" i="2"/>
  <c r="I273" i="2"/>
  <c r="F273" i="2" s="1"/>
  <c r="A274" i="4"/>
  <c r="H273" i="3"/>
  <c r="T273" i="3"/>
  <c r="J273" i="3"/>
  <c r="V273" i="3"/>
  <c r="M273" i="3"/>
  <c r="N273" i="3"/>
  <c r="C273" i="3"/>
  <c r="P273" i="3"/>
  <c r="E273" i="3"/>
  <c r="G273" i="3"/>
  <c r="S273" i="3"/>
  <c r="Y273" i="3" s="1"/>
  <c r="Z273" i="3" s="1"/>
  <c r="AA273" i="3" s="1"/>
  <c r="F272" i="3"/>
  <c r="D273" i="3"/>
  <c r="O271" i="3"/>
  <c r="I271" i="3"/>
  <c r="U271" i="3"/>
  <c r="C273" i="4"/>
  <c r="AB272" i="3"/>
  <c r="G273" i="4"/>
  <c r="L273" i="4" s="1"/>
  <c r="I273" i="4"/>
  <c r="M273" i="4" s="1"/>
  <c r="K273" i="4"/>
  <c r="N273" i="4" s="1"/>
  <c r="D275" i="2"/>
  <c r="E275" i="2" l="1"/>
  <c r="B275" i="3"/>
  <c r="H272" i="4"/>
  <c r="E273" i="4"/>
  <c r="J272" i="4"/>
  <c r="F272" i="4"/>
  <c r="D274" i="4"/>
  <c r="G274" i="4"/>
  <c r="L274" i="4" s="1"/>
  <c r="I274" i="4"/>
  <c r="M274" i="4" s="1"/>
  <c r="K274" i="4"/>
  <c r="N274" i="4" s="1"/>
  <c r="A275" i="4"/>
  <c r="E274" i="3"/>
  <c r="G274" i="3"/>
  <c r="S274" i="3"/>
  <c r="Y274" i="3" s="1"/>
  <c r="Z274" i="3" s="1"/>
  <c r="AA274" i="3" s="1"/>
  <c r="H274" i="3"/>
  <c r="T274" i="3"/>
  <c r="J274" i="3"/>
  <c r="V274" i="3"/>
  <c r="M274" i="3"/>
  <c r="N274" i="3"/>
  <c r="P274" i="3"/>
  <c r="C274" i="3"/>
  <c r="L275" i="2"/>
  <c r="I274" i="2"/>
  <c r="F274" i="2" s="1"/>
  <c r="M275" i="2"/>
  <c r="J274" i="2"/>
  <c r="G274" i="2" s="1"/>
  <c r="N275" i="2"/>
  <c r="K274" i="2"/>
  <c r="H274" i="2" s="1"/>
  <c r="C274" i="4"/>
  <c r="AB273" i="3"/>
  <c r="C276" i="2"/>
  <c r="D276" i="2"/>
  <c r="D274" i="3"/>
  <c r="F273" i="3"/>
  <c r="O272" i="3"/>
  <c r="I272" i="3"/>
  <c r="U272" i="3"/>
  <c r="E276" i="2" l="1"/>
  <c r="B276" i="3"/>
  <c r="E274" i="4"/>
  <c r="J273" i="4"/>
  <c r="F273" i="4"/>
  <c r="H273" i="4"/>
  <c r="D275" i="4"/>
  <c r="D277" i="2"/>
  <c r="A276" i="4"/>
  <c r="N275" i="3"/>
  <c r="C275" i="3"/>
  <c r="P275" i="3"/>
  <c r="E275" i="3"/>
  <c r="G275" i="3"/>
  <c r="S275" i="3"/>
  <c r="Y275" i="3" s="1"/>
  <c r="Z275" i="3" s="1"/>
  <c r="AA275" i="3" s="1"/>
  <c r="H275" i="3"/>
  <c r="T275" i="3"/>
  <c r="J275" i="3"/>
  <c r="V275" i="3"/>
  <c r="M275" i="3"/>
  <c r="F274" i="3"/>
  <c r="D275" i="3"/>
  <c r="L276" i="2"/>
  <c r="I275" i="2"/>
  <c r="F275" i="2" s="1"/>
  <c r="J275" i="2"/>
  <c r="G275" i="2" s="1"/>
  <c r="M276" i="2"/>
  <c r="G275" i="4"/>
  <c r="L275" i="4" s="1"/>
  <c r="I275" i="4"/>
  <c r="M275" i="4" s="1"/>
  <c r="K275" i="4"/>
  <c r="N275" i="4" s="1"/>
  <c r="C277" i="2"/>
  <c r="C275" i="4"/>
  <c r="AB274" i="3"/>
  <c r="N276" i="2"/>
  <c r="K275" i="2"/>
  <c r="H275" i="2" s="1"/>
  <c r="I273" i="3"/>
  <c r="U273" i="3"/>
  <c r="O273" i="3"/>
  <c r="E277" i="2" l="1"/>
  <c r="B277" i="3"/>
  <c r="E275" i="4"/>
  <c r="F274" i="4"/>
  <c r="H274" i="4"/>
  <c r="J274" i="4"/>
  <c r="D276" i="4"/>
  <c r="A277" i="4"/>
  <c r="M276" i="3"/>
  <c r="N276" i="3"/>
  <c r="C276" i="3"/>
  <c r="P276" i="3"/>
  <c r="E276" i="3"/>
  <c r="G276" i="3"/>
  <c r="S276" i="3"/>
  <c r="Y276" i="3" s="1"/>
  <c r="Z276" i="3" s="1"/>
  <c r="AA276" i="3" s="1"/>
  <c r="H276" i="3"/>
  <c r="T276" i="3"/>
  <c r="J276" i="3"/>
  <c r="V276" i="3"/>
  <c r="K276" i="2"/>
  <c r="H276" i="2" s="1"/>
  <c r="N277" i="2"/>
  <c r="M277" i="2"/>
  <c r="J276" i="2"/>
  <c r="G276" i="2" s="1"/>
  <c r="I276" i="2"/>
  <c r="F276" i="2" s="1"/>
  <c r="L277" i="2"/>
  <c r="F275" i="3"/>
  <c r="D276" i="3"/>
  <c r="C278" i="2"/>
  <c r="I274" i="3"/>
  <c r="U274" i="3"/>
  <c r="O274" i="3"/>
  <c r="C276" i="4"/>
  <c r="AB275" i="3"/>
  <c r="G276" i="4"/>
  <c r="L276" i="4" s="1"/>
  <c r="I276" i="4"/>
  <c r="M276" i="4" s="1"/>
  <c r="K276" i="4"/>
  <c r="N276" i="4" s="1"/>
  <c r="D278" i="2"/>
  <c r="E278" i="2" l="1"/>
  <c r="B278" i="3"/>
  <c r="E276" i="4"/>
  <c r="F275" i="4"/>
  <c r="H275" i="4"/>
  <c r="J275" i="4"/>
  <c r="D277" i="4"/>
  <c r="F276" i="3"/>
  <c r="D277" i="3"/>
  <c r="O275" i="3"/>
  <c r="I275" i="3"/>
  <c r="U275" i="3"/>
  <c r="L278" i="2"/>
  <c r="I277" i="2"/>
  <c r="F277" i="2" s="1"/>
  <c r="A278" i="4"/>
  <c r="H277" i="3"/>
  <c r="T277" i="3"/>
  <c r="J277" i="3"/>
  <c r="V277" i="3"/>
  <c r="M277" i="3"/>
  <c r="N277" i="3"/>
  <c r="C277" i="3"/>
  <c r="P277" i="3"/>
  <c r="E277" i="3"/>
  <c r="G277" i="3"/>
  <c r="S277" i="3"/>
  <c r="Y277" i="3" s="1"/>
  <c r="Z277" i="3" s="1"/>
  <c r="AA277" i="3" s="1"/>
  <c r="J277" i="2"/>
  <c r="G277" i="2" s="1"/>
  <c r="M278" i="2"/>
  <c r="N278" i="2"/>
  <c r="K277" i="2"/>
  <c r="H277" i="2" s="1"/>
  <c r="C277" i="4"/>
  <c r="AB276" i="3"/>
  <c r="K277" i="4"/>
  <c r="N277" i="4" s="1"/>
  <c r="G277" i="4"/>
  <c r="L277" i="4" s="1"/>
  <c r="I277" i="4"/>
  <c r="M277" i="4" s="1"/>
  <c r="D279" i="2"/>
  <c r="C279" i="2"/>
  <c r="E279" i="2" l="1"/>
  <c r="B279" i="3"/>
  <c r="H276" i="4"/>
  <c r="E277" i="4"/>
  <c r="J276" i="4"/>
  <c r="F276" i="4"/>
  <c r="D278" i="4"/>
  <c r="I278" i="4"/>
  <c r="M278" i="4" s="1"/>
  <c r="K278" i="4"/>
  <c r="N278" i="4" s="1"/>
  <c r="G278" i="4"/>
  <c r="L278" i="4" s="1"/>
  <c r="A279" i="4"/>
  <c r="E278" i="3"/>
  <c r="G278" i="3"/>
  <c r="S278" i="3"/>
  <c r="Y278" i="3" s="1"/>
  <c r="Z278" i="3" s="1"/>
  <c r="AA278" i="3" s="1"/>
  <c r="H278" i="3"/>
  <c r="T278" i="3"/>
  <c r="J278" i="3"/>
  <c r="V278" i="3"/>
  <c r="M278" i="3"/>
  <c r="N278" i="3"/>
  <c r="P278" i="3"/>
  <c r="C278" i="3"/>
  <c r="L279" i="2"/>
  <c r="I278" i="2"/>
  <c r="F278" i="2" s="1"/>
  <c r="D278" i="3"/>
  <c r="F277" i="3"/>
  <c r="C278" i="4"/>
  <c r="AB277" i="3"/>
  <c r="O276" i="3"/>
  <c r="I276" i="3"/>
  <c r="U276" i="3"/>
  <c r="J278" i="2"/>
  <c r="G278" i="2" s="1"/>
  <c r="M279" i="2"/>
  <c r="C280" i="2"/>
  <c r="D280" i="2"/>
  <c r="N279" i="2"/>
  <c r="K278" i="2"/>
  <c r="H278" i="2" s="1"/>
  <c r="E280" i="2" l="1"/>
  <c r="B280" i="3"/>
  <c r="J277" i="4"/>
  <c r="F277" i="4"/>
  <c r="H277" i="4"/>
  <c r="E278" i="4"/>
  <c r="D279" i="4"/>
  <c r="A280" i="4"/>
  <c r="N279" i="3"/>
  <c r="C279" i="3"/>
  <c r="P279" i="3"/>
  <c r="E279" i="3"/>
  <c r="G279" i="3"/>
  <c r="S279" i="3"/>
  <c r="Y279" i="3" s="1"/>
  <c r="Z279" i="3" s="1"/>
  <c r="AA279" i="3" s="1"/>
  <c r="H279" i="3"/>
  <c r="T279" i="3"/>
  <c r="J279" i="3"/>
  <c r="V279" i="3"/>
  <c r="M279" i="3"/>
  <c r="F278" i="3"/>
  <c r="D279" i="3"/>
  <c r="I279" i="2"/>
  <c r="F279" i="2" s="1"/>
  <c r="L280" i="2"/>
  <c r="C281" i="2"/>
  <c r="G279" i="4"/>
  <c r="L279" i="4" s="1"/>
  <c r="I279" i="4"/>
  <c r="M279" i="4" s="1"/>
  <c r="K279" i="4"/>
  <c r="N279" i="4" s="1"/>
  <c r="J279" i="2"/>
  <c r="G279" i="2" s="1"/>
  <c r="M280" i="2"/>
  <c r="C279" i="4"/>
  <c r="AB278" i="3"/>
  <c r="K279" i="2"/>
  <c r="H279" i="2" s="1"/>
  <c r="N280" i="2"/>
  <c r="D281" i="2"/>
  <c r="I277" i="3"/>
  <c r="U277" i="3"/>
  <c r="O277" i="3"/>
  <c r="E281" i="2" l="1"/>
  <c r="B281" i="3"/>
  <c r="H278" i="4"/>
  <c r="E279" i="4"/>
  <c r="J278" i="4"/>
  <c r="F278" i="4"/>
  <c r="D280" i="4"/>
  <c r="C282" i="2"/>
  <c r="N281" i="2"/>
  <c r="K280" i="2"/>
  <c r="H280" i="2" s="1"/>
  <c r="A281" i="4"/>
  <c r="M280" i="3"/>
  <c r="N280" i="3"/>
  <c r="C280" i="3"/>
  <c r="P280" i="3"/>
  <c r="E280" i="3"/>
  <c r="G280" i="3"/>
  <c r="S280" i="3"/>
  <c r="Y280" i="3" s="1"/>
  <c r="Z280" i="3" s="1"/>
  <c r="AA280" i="3" s="1"/>
  <c r="H280" i="3"/>
  <c r="T280" i="3"/>
  <c r="J280" i="3"/>
  <c r="V280" i="3"/>
  <c r="L281" i="2"/>
  <c r="I280" i="2"/>
  <c r="F280" i="2" s="1"/>
  <c r="J280" i="2"/>
  <c r="G280" i="2" s="1"/>
  <c r="M281" i="2"/>
  <c r="F279" i="3"/>
  <c r="D280" i="3"/>
  <c r="I278" i="3"/>
  <c r="U278" i="3"/>
  <c r="O278" i="3"/>
  <c r="C280" i="4"/>
  <c r="AB279" i="3"/>
  <c r="G280" i="4"/>
  <c r="L280" i="4" s="1"/>
  <c r="I280" i="4"/>
  <c r="M280" i="4" s="1"/>
  <c r="K280" i="4"/>
  <c r="N280" i="4" s="1"/>
  <c r="D282" i="2"/>
  <c r="E282" i="2" l="1"/>
  <c r="B282" i="3"/>
  <c r="H279" i="4"/>
  <c r="F279" i="4"/>
  <c r="E280" i="4"/>
  <c r="J279" i="4"/>
  <c r="D281" i="4"/>
  <c r="L282" i="2"/>
  <c r="I281" i="2"/>
  <c r="F281" i="2" s="1"/>
  <c r="C281" i="4"/>
  <c r="AB280" i="3"/>
  <c r="G281" i="4"/>
  <c r="L281" i="4" s="1"/>
  <c r="I281" i="4"/>
  <c r="M281" i="4" s="1"/>
  <c r="K281" i="4"/>
  <c r="N281" i="4" s="1"/>
  <c r="N282" i="2"/>
  <c r="K281" i="2"/>
  <c r="H281" i="2" s="1"/>
  <c r="J281" i="2"/>
  <c r="G281" i="2" s="1"/>
  <c r="M282" i="2"/>
  <c r="D283" i="2"/>
  <c r="C283" i="2"/>
  <c r="F280" i="3"/>
  <c r="D281" i="3"/>
  <c r="A282" i="4"/>
  <c r="H281" i="3"/>
  <c r="T281" i="3"/>
  <c r="J281" i="3"/>
  <c r="V281" i="3"/>
  <c r="M281" i="3"/>
  <c r="N281" i="3"/>
  <c r="C281" i="3"/>
  <c r="P281" i="3"/>
  <c r="E281" i="3"/>
  <c r="G281" i="3"/>
  <c r="S281" i="3"/>
  <c r="Y281" i="3" s="1"/>
  <c r="Z281" i="3" s="1"/>
  <c r="AA281" i="3" s="1"/>
  <c r="O279" i="3"/>
  <c r="I279" i="3"/>
  <c r="U279" i="3"/>
  <c r="E283" i="2" l="1"/>
  <c r="B283" i="3"/>
  <c r="J280" i="4"/>
  <c r="F280" i="4"/>
  <c r="H280" i="4"/>
  <c r="E281" i="4"/>
  <c r="D282" i="4"/>
  <c r="A283" i="4"/>
  <c r="E282" i="3"/>
  <c r="G282" i="3"/>
  <c r="S282" i="3"/>
  <c r="Y282" i="3" s="1"/>
  <c r="Z282" i="3" s="1"/>
  <c r="AA282" i="3" s="1"/>
  <c r="H282" i="3"/>
  <c r="T282" i="3"/>
  <c r="J282" i="3"/>
  <c r="V282" i="3"/>
  <c r="M282" i="3"/>
  <c r="N282" i="3"/>
  <c r="P282" i="3"/>
  <c r="C282" i="3"/>
  <c r="O280" i="3"/>
  <c r="U280" i="3"/>
  <c r="I280" i="3"/>
  <c r="C284" i="2"/>
  <c r="D284" i="2"/>
  <c r="C282" i="4"/>
  <c r="AB281" i="3"/>
  <c r="D282" i="3"/>
  <c r="F281" i="3"/>
  <c r="J282" i="2"/>
  <c r="G282" i="2" s="1"/>
  <c r="M283" i="2"/>
  <c r="L283" i="2"/>
  <c r="I282" i="2"/>
  <c r="F282" i="2" s="1"/>
  <c r="G282" i="4"/>
  <c r="L282" i="4" s="1"/>
  <c r="I282" i="4"/>
  <c r="M282" i="4" s="1"/>
  <c r="K282" i="4"/>
  <c r="N282" i="4" s="1"/>
  <c r="K282" i="2"/>
  <c r="H282" i="2" s="1"/>
  <c r="N283" i="2"/>
  <c r="E284" i="2" l="1"/>
  <c r="B284" i="3"/>
  <c r="J281" i="4"/>
  <c r="H281" i="4"/>
  <c r="F281" i="4"/>
  <c r="E282" i="4"/>
  <c r="D283" i="4"/>
  <c r="D285" i="2"/>
  <c r="C285" i="2"/>
  <c r="A284" i="4"/>
  <c r="N283" i="3"/>
  <c r="C283" i="3"/>
  <c r="P283" i="3"/>
  <c r="E283" i="3"/>
  <c r="G283" i="3"/>
  <c r="S283" i="3"/>
  <c r="Y283" i="3" s="1"/>
  <c r="Z283" i="3" s="1"/>
  <c r="AA283" i="3" s="1"/>
  <c r="H283" i="3"/>
  <c r="T283" i="3"/>
  <c r="J283" i="3"/>
  <c r="V283" i="3"/>
  <c r="M283" i="3"/>
  <c r="J283" i="2"/>
  <c r="G283" i="2" s="1"/>
  <c r="M284" i="2"/>
  <c r="L284" i="2"/>
  <c r="I283" i="2"/>
  <c r="F283" i="2" s="1"/>
  <c r="N284" i="2"/>
  <c r="K283" i="2"/>
  <c r="H283" i="2" s="1"/>
  <c r="I281" i="3"/>
  <c r="U281" i="3"/>
  <c r="O281" i="3"/>
  <c r="F282" i="3"/>
  <c r="D283" i="3"/>
  <c r="K283" i="4"/>
  <c r="N283" i="4" s="1"/>
  <c r="G283" i="4"/>
  <c r="L283" i="4" s="1"/>
  <c r="I283" i="4"/>
  <c r="M283" i="4" s="1"/>
  <c r="C283" i="4"/>
  <c r="AB282" i="3"/>
  <c r="E285" i="2" l="1"/>
  <c r="B285" i="3"/>
  <c r="H282" i="4"/>
  <c r="J282" i="4"/>
  <c r="F282" i="4"/>
  <c r="E283" i="4"/>
  <c r="D284" i="4"/>
  <c r="J284" i="2"/>
  <c r="G284" i="2" s="1"/>
  <c r="M285" i="2"/>
  <c r="L285" i="2"/>
  <c r="I284" i="2"/>
  <c r="F284" i="2" s="1"/>
  <c r="C284" i="4"/>
  <c r="AB283" i="3"/>
  <c r="I284" i="4"/>
  <c r="M284" i="4" s="1"/>
  <c r="K284" i="4"/>
  <c r="N284" i="4" s="1"/>
  <c r="G284" i="4"/>
  <c r="L284" i="4" s="1"/>
  <c r="F283" i="3"/>
  <c r="D284" i="3"/>
  <c r="C286" i="2"/>
  <c r="D286" i="2"/>
  <c r="I282" i="3"/>
  <c r="U282" i="3"/>
  <c r="O282" i="3"/>
  <c r="K284" i="2"/>
  <c r="H284" i="2" s="1"/>
  <c r="N285" i="2"/>
  <c r="A285" i="4"/>
  <c r="M284" i="3"/>
  <c r="N284" i="3"/>
  <c r="C284" i="3"/>
  <c r="P284" i="3"/>
  <c r="E284" i="3"/>
  <c r="G284" i="3"/>
  <c r="S284" i="3"/>
  <c r="Y284" i="3" s="1"/>
  <c r="Z284" i="3" s="1"/>
  <c r="AA284" i="3" s="1"/>
  <c r="H284" i="3"/>
  <c r="T284" i="3"/>
  <c r="J284" i="3"/>
  <c r="V284" i="3"/>
  <c r="E286" i="2" l="1"/>
  <c r="B286" i="3"/>
  <c r="F283" i="4"/>
  <c r="H283" i="4"/>
  <c r="E284" i="4"/>
  <c r="J283" i="4"/>
  <c r="D285" i="4"/>
  <c r="A286" i="4"/>
  <c r="H285" i="3"/>
  <c r="T285" i="3"/>
  <c r="J285" i="3"/>
  <c r="V285" i="3"/>
  <c r="M285" i="3"/>
  <c r="N285" i="3"/>
  <c r="C285" i="3"/>
  <c r="P285" i="3"/>
  <c r="E285" i="3"/>
  <c r="G285" i="3"/>
  <c r="S285" i="3"/>
  <c r="Y285" i="3" s="1"/>
  <c r="Z285" i="3" s="1"/>
  <c r="AA285" i="3" s="1"/>
  <c r="D287" i="2"/>
  <c r="C285" i="4"/>
  <c r="AB284" i="3"/>
  <c r="C287" i="2"/>
  <c r="I285" i="2"/>
  <c r="F285" i="2" s="1"/>
  <c r="L286" i="2"/>
  <c r="G285" i="4"/>
  <c r="L285" i="4" s="1"/>
  <c r="I285" i="4"/>
  <c r="M285" i="4" s="1"/>
  <c r="K285" i="4"/>
  <c r="N285" i="4" s="1"/>
  <c r="F284" i="3"/>
  <c r="D285" i="3"/>
  <c r="M286" i="2"/>
  <c r="J285" i="2"/>
  <c r="G285" i="2" s="1"/>
  <c r="N286" i="2"/>
  <c r="K285" i="2"/>
  <c r="H285" i="2" s="1"/>
  <c r="O283" i="3"/>
  <c r="I283" i="3"/>
  <c r="U283" i="3"/>
  <c r="E287" i="2" l="1"/>
  <c r="B287" i="3"/>
  <c r="J284" i="4"/>
  <c r="H284" i="4"/>
  <c r="E285" i="4"/>
  <c r="F284" i="4"/>
  <c r="D286" i="4"/>
  <c r="N287" i="2"/>
  <c r="K286" i="2"/>
  <c r="H286" i="2" s="1"/>
  <c r="J286" i="2"/>
  <c r="G286" i="2" s="1"/>
  <c r="M287" i="2"/>
  <c r="D286" i="3"/>
  <c r="F285" i="3"/>
  <c r="C288" i="2"/>
  <c r="O284" i="3"/>
  <c r="I284" i="3"/>
  <c r="U284" i="3"/>
  <c r="C286" i="4"/>
  <c r="AB285" i="3"/>
  <c r="D288" i="2"/>
  <c r="G286" i="4"/>
  <c r="L286" i="4" s="1"/>
  <c r="I286" i="4"/>
  <c r="M286" i="4" s="1"/>
  <c r="K286" i="4"/>
  <c r="N286" i="4" s="1"/>
  <c r="L287" i="2"/>
  <c r="I286" i="2"/>
  <c r="F286" i="2" s="1"/>
  <c r="A287" i="4"/>
  <c r="E286" i="3"/>
  <c r="G286" i="3"/>
  <c r="S286" i="3"/>
  <c r="Y286" i="3" s="1"/>
  <c r="Z286" i="3" s="1"/>
  <c r="AA286" i="3" s="1"/>
  <c r="H286" i="3"/>
  <c r="T286" i="3"/>
  <c r="J286" i="3"/>
  <c r="V286" i="3"/>
  <c r="M286" i="3"/>
  <c r="N286" i="3"/>
  <c r="P286" i="3"/>
  <c r="C286" i="3"/>
  <c r="E288" i="2" l="1"/>
  <c r="B288" i="3"/>
  <c r="E286" i="4"/>
  <c r="F285" i="4"/>
  <c r="J285" i="4"/>
  <c r="H285" i="4"/>
  <c r="D287" i="4"/>
  <c r="C289" i="2"/>
  <c r="I285" i="3"/>
  <c r="U285" i="3"/>
  <c r="O285" i="3"/>
  <c r="F286" i="3"/>
  <c r="D287" i="3"/>
  <c r="A288" i="4"/>
  <c r="N287" i="3"/>
  <c r="C287" i="3"/>
  <c r="P287" i="3"/>
  <c r="E287" i="3"/>
  <c r="G287" i="3"/>
  <c r="S287" i="3"/>
  <c r="Y287" i="3" s="1"/>
  <c r="Z287" i="3" s="1"/>
  <c r="AA287" i="3" s="1"/>
  <c r="H287" i="3"/>
  <c r="T287" i="3"/>
  <c r="J287" i="3"/>
  <c r="V287" i="3"/>
  <c r="M287" i="3"/>
  <c r="D289" i="2"/>
  <c r="J287" i="2"/>
  <c r="G287" i="2" s="1"/>
  <c r="M288" i="2"/>
  <c r="G287" i="4"/>
  <c r="L287" i="4" s="1"/>
  <c r="I287" i="4"/>
  <c r="M287" i="4" s="1"/>
  <c r="K287" i="4"/>
  <c r="N287" i="4" s="1"/>
  <c r="K287" i="2"/>
  <c r="H287" i="2" s="1"/>
  <c r="N288" i="2"/>
  <c r="I287" i="2"/>
  <c r="F287" i="2" s="1"/>
  <c r="L288" i="2"/>
  <c r="C287" i="4"/>
  <c r="AB286" i="3"/>
  <c r="E289" i="2" l="1"/>
  <c r="B289" i="3"/>
  <c r="J286" i="4"/>
  <c r="F286" i="4"/>
  <c r="E287" i="4"/>
  <c r="H286" i="4"/>
  <c r="D288" i="4"/>
  <c r="C288" i="4"/>
  <c r="AB287" i="3"/>
  <c r="N289" i="2"/>
  <c r="K288" i="2"/>
  <c r="H288" i="2" s="1"/>
  <c r="G288" i="4"/>
  <c r="L288" i="4" s="1"/>
  <c r="I288" i="4"/>
  <c r="M288" i="4" s="1"/>
  <c r="K288" i="4"/>
  <c r="N288" i="4" s="1"/>
  <c r="I286" i="3"/>
  <c r="U286" i="3"/>
  <c r="O286" i="3"/>
  <c r="F287" i="3"/>
  <c r="D288" i="3"/>
  <c r="C290" i="2"/>
  <c r="J288" i="2"/>
  <c r="G288" i="2" s="1"/>
  <c r="M289" i="2"/>
  <c r="A289" i="4"/>
  <c r="M288" i="3"/>
  <c r="N288" i="3"/>
  <c r="C288" i="3"/>
  <c r="P288" i="3"/>
  <c r="E288" i="3"/>
  <c r="G288" i="3"/>
  <c r="S288" i="3"/>
  <c r="Y288" i="3" s="1"/>
  <c r="Z288" i="3" s="1"/>
  <c r="AA288" i="3" s="1"/>
  <c r="H288" i="3"/>
  <c r="T288" i="3"/>
  <c r="J288" i="3"/>
  <c r="V288" i="3"/>
  <c r="L289" i="2"/>
  <c r="I288" i="2"/>
  <c r="F288" i="2" s="1"/>
  <c r="D290" i="2"/>
  <c r="E290" i="2" l="1"/>
  <c r="B290" i="3"/>
  <c r="E288" i="4"/>
  <c r="H287" i="4"/>
  <c r="J287" i="4"/>
  <c r="F287" i="4"/>
  <c r="D289" i="4"/>
  <c r="L290" i="2"/>
  <c r="I289" i="2"/>
  <c r="F289" i="2" s="1"/>
  <c r="C289" i="4"/>
  <c r="AB288" i="3"/>
  <c r="K289" i="4"/>
  <c r="N289" i="4" s="1"/>
  <c r="G289" i="4"/>
  <c r="L289" i="4" s="1"/>
  <c r="I289" i="4"/>
  <c r="M289" i="4" s="1"/>
  <c r="C291" i="2"/>
  <c r="J289" i="2"/>
  <c r="G289" i="2" s="1"/>
  <c r="M290" i="2"/>
  <c r="A290" i="4"/>
  <c r="H289" i="3"/>
  <c r="T289" i="3"/>
  <c r="J289" i="3"/>
  <c r="V289" i="3"/>
  <c r="M289" i="3"/>
  <c r="N289" i="3"/>
  <c r="C289" i="3"/>
  <c r="P289" i="3"/>
  <c r="E289" i="3"/>
  <c r="G289" i="3"/>
  <c r="S289" i="3"/>
  <c r="Y289" i="3" s="1"/>
  <c r="Z289" i="3" s="1"/>
  <c r="AA289" i="3" s="1"/>
  <c r="F288" i="3"/>
  <c r="D289" i="3"/>
  <c r="K289" i="2"/>
  <c r="H289" i="2" s="1"/>
  <c r="N290" i="2"/>
  <c r="O287" i="3"/>
  <c r="I287" i="3"/>
  <c r="U287" i="3"/>
  <c r="D291" i="2"/>
  <c r="E291" i="2" l="1"/>
  <c r="B291" i="3"/>
  <c r="H288" i="4"/>
  <c r="J288" i="4"/>
  <c r="F288" i="4"/>
  <c r="E289" i="4"/>
  <c r="D290" i="4"/>
  <c r="D290" i="3"/>
  <c r="F289" i="3"/>
  <c r="O288" i="3"/>
  <c r="I288" i="3"/>
  <c r="U288" i="3"/>
  <c r="I290" i="4"/>
  <c r="M290" i="4" s="1"/>
  <c r="K290" i="4"/>
  <c r="N290" i="4" s="1"/>
  <c r="G290" i="4"/>
  <c r="L290" i="4" s="1"/>
  <c r="M291" i="2"/>
  <c r="J290" i="2"/>
  <c r="G290" i="2" s="1"/>
  <c r="C290" i="4"/>
  <c r="AB289" i="3"/>
  <c r="D292" i="2"/>
  <c r="A291" i="4"/>
  <c r="E290" i="3"/>
  <c r="G290" i="3"/>
  <c r="S290" i="3"/>
  <c r="Y290" i="3" s="1"/>
  <c r="Z290" i="3" s="1"/>
  <c r="AA290" i="3" s="1"/>
  <c r="H290" i="3"/>
  <c r="T290" i="3"/>
  <c r="J290" i="3"/>
  <c r="V290" i="3"/>
  <c r="M290" i="3"/>
  <c r="N290" i="3"/>
  <c r="P290" i="3"/>
  <c r="C290" i="3"/>
  <c r="L291" i="2"/>
  <c r="I290" i="2"/>
  <c r="F290" i="2" s="1"/>
  <c r="K290" i="2"/>
  <c r="H290" i="2" s="1"/>
  <c r="N291" i="2"/>
  <c r="C292" i="2"/>
  <c r="E292" i="2" l="1"/>
  <c r="B292" i="3"/>
  <c r="H289" i="4"/>
  <c r="E290" i="4"/>
  <c r="J289" i="4"/>
  <c r="F289" i="4"/>
  <c r="D291" i="4"/>
  <c r="L292" i="2"/>
  <c r="I291" i="2"/>
  <c r="F291" i="2" s="1"/>
  <c r="G291" i="4"/>
  <c r="L291" i="4" s="1"/>
  <c r="I291" i="4"/>
  <c r="M291" i="4" s="1"/>
  <c r="K291" i="4"/>
  <c r="N291" i="4" s="1"/>
  <c r="D293" i="2"/>
  <c r="C291" i="4"/>
  <c r="AB290" i="3"/>
  <c r="I289" i="3"/>
  <c r="U289" i="3"/>
  <c r="O289" i="3"/>
  <c r="A292" i="4"/>
  <c r="N291" i="3"/>
  <c r="C291" i="3"/>
  <c r="P291" i="3"/>
  <c r="E291" i="3"/>
  <c r="G291" i="3"/>
  <c r="S291" i="3"/>
  <c r="Y291" i="3" s="1"/>
  <c r="Z291" i="3" s="1"/>
  <c r="AA291" i="3" s="1"/>
  <c r="H291" i="3"/>
  <c r="T291" i="3"/>
  <c r="J291" i="3"/>
  <c r="V291" i="3"/>
  <c r="M291" i="3"/>
  <c r="C293" i="2"/>
  <c r="F290" i="3"/>
  <c r="D291" i="3"/>
  <c r="M292" i="2"/>
  <c r="J291" i="2"/>
  <c r="G291" i="2" s="1"/>
  <c r="K291" i="2"/>
  <c r="H291" i="2" s="1"/>
  <c r="N292" i="2"/>
  <c r="E293" i="2" l="1"/>
  <c r="B293" i="3"/>
  <c r="H290" i="4"/>
  <c r="F290" i="4"/>
  <c r="E291" i="4"/>
  <c r="J290" i="4"/>
  <c r="D292" i="4"/>
  <c r="F291" i="3"/>
  <c r="D292" i="3"/>
  <c r="A293" i="4"/>
  <c r="M292" i="3"/>
  <c r="N292" i="3"/>
  <c r="C292" i="3"/>
  <c r="P292" i="3"/>
  <c r="E292" i="3"/>
  <c r="G292" i="3"/>
  <c r="S292" i="3"/>
  <c r="Y292" i="3" s="1"/>
  <c r="Z292" i="3" s="1"/>
  <c r="AA292" i="3" s="1"/>
  <c r="H292" i="3"/>
  <c r="T292" i="3"/>
  <c r="J292" i="3"/>
  <c r="V292" i="3"/>
  <c r="I290" i="3"/>
  <c r="U290" i="3"/>
  <c r="O290" i="3"/>
  <c r="C294" i="2"/>
  <c r="C292" i="4"/>
  <c r="AB291" i="3"/>
  <c r="G292" i="4"/>
  <c r="L292" i="4" s="1"/>
  <c r="I292" i="4"/>
  <c r="M292" i="4" s="1"/>
  <c r="K292" i="4"/>
  <c r="N292" i="4" s="1"/>
  <c r="L293" i="2"/>
  <c r="I292" i="2"/>
  <c r="F292" i="2" s="1"/>
  <c r="D294" i="2"/>
  <c r="K292" i="2"/>
  <c r="H292" i="2" s="1"/>
  <c r="N293" i="2"/>
  <c r="J292" i="2"/>
  <c r="G292" i="2" s="1"/>
  <c r="M293" i="2"/>
  <c r="E294" i="2" l="1"/>
  <c r="B294" i="3"/>
  <c r="E292" i="4"/>
  <c r="F291" i="4"/>
  <c r="H291" i="4"/>
  <c r="J291" i="4"/>
  <c r="D293" i="4"/>
  <c r="D295" i="2"/>
  <c r="A294" i="4"/>
  <c r="H293" i="3"/>
  <c r="T293" i="3"/>
  <c r="J293" i="3"/>
  <c r="V293" i="3"/>
  <c r="M293" i="3"/>
  <c r="N293" i="3"/>
  <c r="C293" i="3"/>
  <c r="P293" i="3"/>
  <c r="E293" i="3"/>
  <c r="G293" i="3"/>
  <c r="S293" i="3"/>
  <c r="Y293" i="3" s="1"/>
  <c r="Z293" i="3" s="1"/>
  <c r="AA293" i="3" s="1"/>
  <c r="L294" i="2"/>
  <c r="I293" i="2"/>
  <c r="F293" i="2" s="1"/>
  <c r="C293" i="4"/>
  <c r="AB292" i="3"/>
  <c r="G293" i="4"/>
  <c r="L293" i="4" s="1"/>
  <c r="I293" i="4"/>
  <c r="M293" i="4" s="1"/>
  <c r="K293" i="4"/>
  <c r="N293" i="4" s="1"/>
  <c r="M294" i="2"/>
  <c r="J293" i="2"/>
  <c r="G293" i="2" s="1"/>
  <c r="F292" i="3"/>
  <c r="D293" i="3"/>
  <c r="C295" i="2"/>
  <c r="O291" i="3"/>
  <c r="I291" i="3"/>
  <c r="U291" i="3"/>
  <c r="K293" i="2"/>
  <c r="H293" i="2" s="1"/>
  <c r="N294" i="2"/>
  <c r="E295" i="2" l="1"/>
  <c r="B295" i="3"/>
  <c r="H292" i="4"/>
  <c r="E293" i="4"/>
  <c r="J292" i="4"/>
  <c r="F292" i="4"/>
  <c r="D294" i="4"/>
  <c r="D294" i="3"/>
  <c r="F293" i="3"/>
  <c r="O292" i="3"/>
  <c r="I292" i="3"/>
  <c r="U292" i="3"/>
  <c r="L295" i="2"/>
  <c r="I294" i="2"/>
  <c r="F294" i="2" s="1"/>
  <c r="G294" i="4"/>
  <c r="L294" i="4" s="1"/>
  <c r="I294" i="4"/>
  <c r="M294" i="4" s="1"/>
  <c r="K294" i="4"/>
  <c r="N294" i="4" s="1"/>
  <c r="M295" i="2"/>
  <c r="J294" i="2"/>
  <c r="G294" i="2" s="1"/>
  <c r="C294" i="4"/>
  <c r="AB293" i="3"/>
  <c r="C296" i="2"/>
  <c r="K294" i="2"/>
  <c r="H294" i="2" s="1"/>
  <c r="N295" i="2"/>
  <c r="A295" i="4"/>
  <c r="E294" i="3"/>
  <c r="G294" i="3"/>
  <c r="S294" i="3"/>
  <c r="Y294" i="3" s="1"/>
  <c r="Z294" i="3" s="1"/>
  <c r="AA294" i="3" s="1"/>
  <c r="H294" i="3"/>
  <c r="T294" i="3"/>
  <c r="J294" i="3"/>
  <c r="V294" i="3"/>
  <c r="M294" i="3"/>
  <c r="N294" i="3"/>
  <c r="P294" i="3"/>
  <c r="C294" i="3"/>
  <c r="D296" i="2"/>
  <c r="E296" i="2" l="1"/>
  <c r="B296" i="3"/>
  <c r="E294" i="4"/>
  <c r="H293" i="4"/>
  <c r="J293" i="4"/>
  <c r="F293" i="4"/>
  <c r="D295" i="4"/>
  <c r="C295" i="4"/>
  <c r="AB294" i="3"/>
  <c r="C297" i="2"/>
  <c r="L296" i="2"/>
  <c r="I295" i="2"/>
  <c r="F295" i="2" s="1"/>
  <c r="J295" i="2"/>
  <c r="G295" i="2" s="1"/>
  <c r="M296" i="2"/>
  <c r="I293" i="3"/>
  <c r="U293" i="3"/>
  <c r="O293" i="3"/>
  <c r="A296" i="4"/>
  <c r="N295" i="3"/>
  <c r="C295" i="3"/>
  <c r="P295" i="3"/>
  <c r="E295" i="3"/>
  <c r="G295" i="3"/>
  <c r="S295" i="3"/>
  <c r="Y295" i="3" s="1"/>
  <c r="Z295" i="3" s="1"/>
  <c r="AA295" i="3" s="1"/>
  <c r="H295" i="3"/>
  <c r="T295" i="3"/>
  <c r="J295" i="3"/>
  <c r="V295" i="3"/>
  <c r="M295" i="3"/>
  <c r="F294" i="3"/>
  <c r="D295" i="3"/>
  <c r="D297" i="2"/>
  <c r="K295" i="2"/>
  <c r="H295" i="2" s="1"/>
  <c r="N296" i="2"/>
  <c r="K295" i="4"/>
  <c r="N295" i="4" s="1"/>
  <c r="G295" i="4"/>
  <c r="L295" i="4" s="1"/>
  <c r="I295" i="4"/>
  <c r="M295" i="4" s="1"/>
  <c r="E297" i="2" l="1"/>
  <c r="B297" i="3"/>
  <c r="E295" i="4"/>
  <c r="H294" i="4"/>
  <c r="J294" i="4"/>
  <c r="F294" i="4"/>
  <c r="D296" i="4"/>
  <c r="M297" i="2"/>
  <c r="J296" i="2"/>
  <c r="G296" i="2" s="1"/>
  <c r="D298" i="2"/>
  <c r="A297" i="4"/>
  <c r="M296" i="3"/>
  <c r="N296" i="3"/>
  <c r="C296" i="3"/>
  <c r="P296" i="3"/>
  <c r="E296" i="3"/>
  <c r="G296" i="3"/>
  <c r="S296" i="3"/>
  <c r="Y296" i="3" s="1"/>
  <c r="Z296" i="3" s="1"/>
  <c r="AA296" i="3" s="1"/>
  <c r="H296" i="3"/>
  <c r="T296" i="3"/>
  <c r="J296" i="3"/>
  <c r="V296" i="3"/>
  <c r="L297" i="2"/>
  <c r="I296" i="2"/>
  <c r="F296" i="2" s="1"/>
  <c r="K296" i="2"/>
  <c r="H296" i="2" s="1"/>
  <c r="N297" i="2"/>
  <c r="C298" i="2"/>
  <c r="F295" i="3"/>
  <c r="D296" i="3"/>
  <c r="I294" i="3"/>
  <c r="U294" i="3"/>
  <c r="O294" i="3"/>
  <c r="C296" i="4"/>
  <c r="AB295" i="3"/>
  <c r="I296" i="4"/>
  <c r="M296" i="4" s="1"/>
  <c r="K296" i="4"/>
  <c r="N296" i="4" s="1"/>
  <c r="G296" i="4"/>
  <c r="L296" i="4" s="1"/>
  <c r="E298" i="2" l="1"/>
  <c r="B298" i="3"/>
  <c r="J295" i="4"/>
  <c r="F295" i="4"/>
  <c r="H295" i="4"/>
  <c r="E296" i="4"/>
  <c r="D297" i="4"/>
  <c r="K297" i="2"/>
  <c r="H297" i="2" s="1"/>
  <c r="N298" i="2"/>
  <c r="L298" i="2"/>
  <c r="I297" i="2"/>
  <c r="F297" i="2" s="1"/>
  <c r="C297" i="4"/>
  <c r="AB296" i="3"/>
  <c r="G297" i="4"/>
  <c r="L297" i="4" s="1"/>
  <c r="I297" i="4"/>
  <c r="M297" i="4" s="1"/>
  <c r="K297" i="4"/>
  <c r="N297" i="4" s="1"/>
  <c r="D299" i="2"/>
  <c r="F296" i="3"/>
  <c r="D297" i="3"/>
  <c r="O295" i="3"/>
  <c r="I295" i="3"/>
  <c r="U295" i="3"/>
  <c r="M298" i="2"/>
  <c r="J297" i="2"/>
  <c r="G297" i="2" s="1"/>
  <c r="C299" i="2"/>
  <c r="A298" i="4"/>
  <c r="H297" i="3"/>
  <c r="T297" i="3"/>
  <c r="J297" i="3"/>
  <c r="V297" i="3"/>
  <c r="M297" i="3"/>
  <c r="N297" i="3"/>
  <c r="C297" i="3"/>
  <c r="P297" i="3"/>
  <c r="E297" i="3"/>
  <c r="G297" i="3"/>
  <c r="S297" i="3"/>
  <c r="Y297" i="3" s="1"/>
  <c r="Z297" i="3" s="1"/>
  <c r="AA297" i="3" s="1"/>
  <c r="E299" i="2" l="1"/>
  <c r="B299" i="3"/>
  <c r="F296" i="4"/>
  <c r="H296" i="4"/>
  <c r="E297" i="4"/>
  <c r="J296" i="4"/>
  <c r="D298" i="4"/>
  <c r="J298" i="2"/>
  <c r="G298" i="2" s="1"/>
  <c r="M299" i="2"/>
  <c r="D298" i="3"/>
  <c r="F297" i="3"/>
  <c r="O296" i="3"/>
  <c r="U296" i="3"/>
  <c r="I296" i="3"/>
  <c r="L299" i="2"/>
  <c r="I298" i="2"/>
  <c r="F298" i="2" s="1"/>
  <c r="C298" i="4"/>
  <c r="AB297" i="3"/>
  <c r="G298" i="4"/>
  <c r="L298" i="4" s="1"/>
  <c r="I298" i="4"/>
  <c r="M298" i="4" s="1"/>
  <c r="K298" i="4"/>
  <c r="N298" i="4" s="1"/>
  <c r="K298" i="2"/>
  <c r="H298" i="2" s="1"/>
  <c r="N299" i="2"/>
  <c r="D300" i="2"/>
  <c r="A299" i="4"/>
  <c r="E298" i="3"/>
  <c r="G298" i="3"/>
  <c r="S298" i="3"/>
  <c r="Y298" i="3" s="1"/>
  <c r="Z298" i="3" s="1"/>
  <c r="AA298" i="3" s="1"/>
  <c r="H298" i="3"/>
  <c r="T298" i="3"/>
  <c r="J298" i="3"/>
  <c r="V298" i="3"/>
  <c r="M298" i="3"/>
  <c r="N298" i="3"/>
  <c r="P298" i="3"/>
  <c r="C298" i="3"/>
  <c r="C300" i="2"/>
  <c r="E300" i="2" l="1"/>
  <c r="B300" i="3"/>
  <c r="E298" i="4"/>
  <c r="F297" i="4"/>
  <c r="J297" i="4"/>
  <c r="H297" i="4"/>
  <c r="D299" i="4"/>
  <c r="D301" i="2"/>
  <c r="C299" i="4"/>
  <c r="AB298" i="3"/>
  <c r="L300" i="2"/>
  <c r="I299" i="2"/>
  <c r="F299" i="2" s="1"/>
  <c r="K299" i="2"/>
  <c r="H299" i="2" s="1"/>
  <c r="N300" i="2"/>
  <c r="I297" i="3"/>
  <c r="U297" i="3"/>
  <c r="O297" i="3"/>
  <c r="F298" i="3"/>
  <c r="D299" i="3"/>
  <c r="M300" i="2"/>
  <c r="J299" i="2"/>
  <c r="G299" i="2" s="1"/>
  <c r="C301" i="2"/>
  <c r="A300" i="4"/>
  <c r="N299" i="3"/>
  <c r="C299" i="3"/>
  <c r="P299" i="3"/>
  <c r="E299" i="3"/>
  <c r="G299" i="3"/>
  <c r="S299" i="3"/>
  <c r="Y299" i="3" s="1"/>
  <c r="Z299" i="3" s="1"/>
  <c r="AA299" i="3" s="1"/>
  <c r="H299" i="3"/>
  <c r="T299" i="3"/>
  <c r="J299" i="3"/>
  <c r="V299" i="3"/>
  <c r="M299" i="3"/>
  <c r="G299" i="4"/>
  <c r="L299" i="4" s="1"/>
  <c r="I299" i="4"/>
  <c r="M299" i="4" s="1"/>
  <c r="K299" i="4"/>
  <c r="N299" i="4" s="1"/>
  <c r="E301" i="2" l="1"/>
  <c r="B301" i="3"/>
  <c r="J298" i="4"/>
  <c r="H298" i="4"/>
  <c r="F298" i="4"/>
  <c r="E299" i="4"/>
  <c r="D300" i="4"/>
  <c r="K300" i="2"/>
  <c r="H300" i="2" s="1"/>
  <c r="N301" i="2"/>
  <c r="C300" i="4"/>
  <c r="AB299" i="3"/>
  <c r="G300" i="4"/>
  <c r="L300" i="4" s="1"/>
  <c r="I300" i="4"/>
  <c r="M300" i="4" s="1"/>
  <c r="K300" i="4"/>
  <c r="N300" i="4" s="1"/>
  <c r="C302" i="2"/>
  <c r="L301" i="2"/>
  <c r="I300" i="2"/>
  <c r="F300" i="2" s="1"/>
  <c r="M301" i="2"/>
  <c r="J300" i="2"/>
  <c r="G300" i="2" s="1"/>
  <c r="F299" i="3"/>
  <c r="D300" i="3"/>
  <c r="D302" i="2"/>
  <c r="A301" i="4"/>
  <c r="M300" i="3"/>
  <c r="N300" i="3"/>
  <c r="C300" i="3"/>
  <c r="P300" i="3"/>
  <c r="E300" i="3"/>
  <c r="G300" i="3"/>
  <c r="S300" i="3"/>
  <c r="Y300" i="3" s="1"/>
  <c r="Z300" i="3" s="1"/>
  <c r="AA300" i="3" s="1"/>
  <c r="H300" i="3"/>
  <c r="T300" i="3"/>
  <c r="J300" i="3"/>
  <c r="V300" i="3"/>
  <c r="I298" i="3"/>
  <c r="U298" i="3"/>
  <c r="O298" i="3"/>
  <c r="E302" i="2" l="1"/>
  <c r="B302" i="3"/>
  <c r="J299" i="4"/>
  <c r="H299" i="4"/>
  <c r="F299" i="4"/>
  <c r="E300" i="4"/>
  <c r="D301" i="4"/>
  <c r="D303" i="2"/>
  <c r="O299" i="3"/>
  <c r="I299" i="3"/>
  <c r="U299" i="3"/>
  <c r="F300" i="3"/>
  <c r="D301" i="3"/>
  <c r="A302" i="4"/>
  <c r="H301" i="3"/>
  <c r="T301" i="3"/>
  <c r="J301" i="3"/>
  <c r="V301" i="3"/>
  <c r="M301" i="3"/>
  <c r="N301" i="3"/>
  <c r="C301" i="3"/>
  <c r="P301" i="3"/>
  <c r="E301" i="3"/>
  <c r="G301" i="3"/>
  <c r="S301" i="3"/>
  <c r="Y301" i="3" s="1"/>
  <c r="Z301" i="3" s="1"/>
  <c r="AA301" i="3" s="1"/>
  <c r="J301" i="2"/>
  <c r="G301" i="2" s="1"/>
  <c r="M302" i="2"/>
  <c r="L302" i="2"/>
  <c r="I301" i="2"/>
  <c r="F301" i="2" s="1"/>
  <c r="K301" i="2"/>
  <c r="H301" i="2" s="1"/>
  <c r="N302" i="2"/>
  <c r="C301" i="4"/>
  <c r="AB300" i="3"/>
  <c r="K301" i="4"/>
  <c r="N301" i="4" s="1"/>
  <c r="G301" i="4"/>
  <c r="L301" i="4" s="1"/>
  <c r="I301" i="4"/>
  <c r="M301" i="4" s="1"/>
  <c r="C303" i="2"/>
  <c r="E303" i="2" l="1"/>
  <c r="B303" i="3"/>
  <c r="E301" i="4"/>
  <c r="H300" i="4"/>
  <c r="J300" i="4"/>
  <c r="F300" i="4"/>
  <c r="D302" i="4"/>
  <c r="I302" i="4"/>
  <c r="M302" i="4" s="1"/>
  <c r="K302" i="4"/>
  <c r="N302" i="4" s="1"/>
  <c r="G302" i="4"/>
  <c r="L302" i="4" s="1"/>
  <c r="D302" i="3"/>
  <c r="F301" i="3"/>
  <c r="A303" i="4"/>
  <c r="E302" i="3"/>
  <c r="G302" i="3"/>
  <c r="S302" i="3"/>
  <c r="Y302" i="3" s="1"/>
  <c r="Z302" i="3" s="1"/>
  <c r="AA302" i="3" s="1"/>
  <c r="H302" i="3"/>
  <c r="T302" i="3"/>
  <c r="J302" i="3"/>
  <c r="V302" i="3"/>
  <c r="M302" i="3"/>
  <c r="N302" i="3"/>
  <c r="P302" i="3"/>
  <c r="C302" i="3"/>
  <c r="O300" i="3"/>
  <c r="I300" i="3"/>
  <c r="U300" i="3"/>
  <c r="K302" i="2"/>
  <c r="H302" i="2" s="1"/>
  <c r="N303" i="2"/>
  <c r="D304" i="2"/>
  <c r="C302" i="4"/>
  <c r="AB301" i="3"/>
  <c r="C304" i="2"/>
  <c r="L303" i="2"/>
  <c r="I302" i="2"/>
  <c r="F302" i="2" s="1"/>
  <c r="M303" i="2"/>
  <c r="J302" i="2"/>
  <c r="G302" i="2" s="1"/>
  <c r="E304" i="2" l="1"/>
  <c r="B304" i="3"/>
  <c r="E302" i="4"/>
  <c r="J301" i="4"/>
  <c r="F301" i="4"/>
  <c r="H301" i="4"/>
  <c r="D303" i="4"/>
  <c r="C305" i="2"/>
  <c r="G303" i="4"/>
  <c r="L303" i="4" s="1"/>
  <c r="I303" i="4"/>
  <c r="M303" i="4" s="1"/>
  <c r="K303" i="4"/>
  <c r="N303" i="4" s="1"/>
  <c r="I301" i="3"/>
  <c r="U301" i="3"/>
  <c r="O301" i="3"/>
  <c r="F302" i="3"/>
  <c r="D303" i="3"/>
  <c r="C303" i="4"/>
  <c r="AB302" i="3"/>
  <c r="D305" i="2"/>
  <c r="K303" i="2"/>
  <c r="H303" i="2" s="1"/>
  <c r="N304" i="2"/>
  <c r="M304" i="2"/>
  <c r="J303" i="2"/>
  <c r="G303" i="2" s="1"/>
  <c r="L304" i="2"/>
  <c r="I303" i="2"/>
  <c r="F303" i="2" s="1"/>
  <c r="A304" i="4"/>
  <c r="N303" i="3"/>
  <c r="C303" i="3"/>
  <c r="P303" i="3"/>
  <c r="E303" i="3"/>
  <c r="G303" i="3"/>
  <c r="S303" i="3"/>
  <c r="Y303" i="3" s="1"/>
  <c r="Z303" i="3" s="1"/>
  <c r="AA303" i="3" s="1"/>
  <c r="H303" i="3"/>
  <c r="T303" i="3"/>
  <c r="J303" i="3"/>
  <c r="V303" i="3"/>
  <c r="M303" i="3"/>
  <c r="E305" i="2" l="1"/>
  <c r="B305" i="3"/>
  <c r="E303" i="4"/>
  <c r="H302" i="4"/>
  <c r="J302" i="4"/>
  <c r="F302" i="4"/>
  <c r="D304" i="4"/>
  <c r="K304" i="2"/>
  <c r="H304" i="2" s="1"/>
  <c r="N305" i="2"/>
  <c r="J304" i="2"/>
  <c r="G304" i="2" s="1"/>
  <c r="M305" i="2"/>
  <c r="A305" i="4"/>
  <c r="M304" i="3"/>
  <c r="N304" i="3"/>
  <c r="C304" i="3"/>
  <c r="P304" i="3"/>
  <c r="E304" i="3"/>
  <c r="G304" i="3"/>
  <c r="S304" i="3"/>
  <c r="Y304" i="3" s="1"/>
  <c r="Z304" i="3" s="1"/>
  <c r="AA304" i="3" s="1"/>
  <c r="H304" i="3"/>
  <c r="T304" i="3"/>
  <c r="J304" i="3"/>
  <c r="V304" i="3"/>
  <c r="D306" i="2"/>
  <c r="C304" i="4"/>
  <c r="AB303" i="3"/>
  <c r="G304" i="4"/>
  <c r="L304" i="4" s="1"/>
  <c r="I304" i="4"/>
  <c r="M304" i="4" s="1"/>
  <c r="K304" i="4"/>
  <c r="N304" i="4" s="1"/>
  <c r="F303" i="3"/>
  <c r="D304" i="3"/>
  <c r="I302" i="3"/>
  <c r="U302" i="3"/>
  <c r="O302" i="3"/>
  <c r="C306" i="2"/>
  <c r="L305" i="2"/>
  <c r="I304" i="2"/>
  <c r="F304" i="2" s="1"/>
  <c r="E306" i="2" l="1"/>
  <c r="B306" i="3"/>
  <c r="F303" i="4"/>
  <c r="E304" i="4"/>
  <c r="J303" i="4"/>
  <c r="H303" i="4"/>
  <c r="D305" i="4"/>
  <c r="D307" i="2"/>
  <c r="F304" i="3"/>
  <c r="D305" i="3"/>
  <c r="C305" i="4"/>
  <c r="AB304" i="3"/>
  <c r="O303" i="3"/>
  <c r="I303" i="3"/>
  <c r="U303" i="3"/>
  <c r="G305" i="4"/>
  <c r="L305" i="4" s="1"/>
  <c r="I305" i="4"/>
  <c r="M305" i="4" s="1"/>
  <c r="K305" i="4"/>
  <c r="N305" i="4" s="1"/>
  <c r="M306" i="2"/>
  <c r="J305" i="2"/>
  <c r="G305" i="2" s="1"/>
  <c r="K305" i="2"/>
  <c r="H305" i="2" s="1"/>
  <c r="N306" i="2"/>
  <c r="L306" i="2"/>
  <c r="I305" i="2"/>
  <c r="F305" i="2" s="1"/>
  <c r="C307" i="2"/>
  <c r="A306" i="4"/>
  <c r="H305" i="3"/>
  <c r="T305" i="3"/>
  <c r="J305" i="3"/>
  <c r="V305" i="3"/>
  <c r="M305" i="3"/>
  <c r="N305" i="3"/>
  <c r="C305" i="3"/>
  <c r="P305" i="3"/>
  <c r="E305" i="3"/>
  <c r="G305" i="3"/>
  <c r="S305" i="3"/>
  <c r="Y305" i="3" s="1"/>
  <c r="Z305" i="3" s="1"/>
  <c r="AA305" i="3" s="1"/>
  <c r="E307" i="2" l="1"/>
  <c r="B307" i="3"/>
  <c r="H304" i="4"/>
  <c r="J304" i="4"/>
  <c r="F304" i="4"/>
  <c r="E305" i="4"/>
  <c r="D306" i="4"/>
  <c r="L307" i="2"/>
  <c r="I306" i="2"/>
  <c r="F306" i="2" s="1"/>
  <c r="C306" i="4"/>
  <c r="AB305" i="3"/>
  <c r="K306" i="2"/>
  <c r="H306" i="2" s="1"/>
  <c r="N307" i="2"/>
  <c r="M307" i="2"/>
  <c r="J306" i="2"/>
  <c r="G306" i="2" s="1"/>
  <c r="D306" i="3"/>
  <c r="F305" i="3"/>
  <c r="O304" i="3"/>
  <c r="I304" i="3"/>
  <c r="U304" i="3"/>
  <c r="G306" i="4"/>
  <c r="L306" i="4" s="1"/>
  <c r="I306" i="4"/>
  <c r="M306" i="4" s="1"/>
  <c r="K306" i="4"/>
  <c r="N306" i="4" s="1"/>
  <c r="D308" i="2"/>
  <c r="A307" i="4"/>
  <c r="E306" i="3"/>
  <c r="G306" i="3"/>
  <c r="S306" i="3"/>
  <c r="Y306" i="3" s="1"/>
  <c r="Z306" i="3" s="1"/>
  <c r="AA306" i="3" s="1"/>
  <c r="H306" i="3"/>
  <c r="T306" i="3"/>
  <c r="J306" i="3"/>
  <c r="V306" i="3"/>
  <c r="M306" i="3"/>
  <c r="N306" i="3"/>
  <c r="P306" i="3"/>
  <c r="C306" i="3"/>
  <c r="C308" i="2"/>
  <c r="E308" i="2" l="1"/>
  <c r="B308" i="3"/>
  <c r="F305" i="4"/>
  <c r="J305" i="4"/>
  <c r="H305" i="4"/>
  <c r="E306" i="4"/>
  <c r="D307" i="4"/>
  <c r="F306" i="3"/>
  <c r="D307" i="3"/>
  <c r="I305" i="3"/>
  <c r="U305" i="3"/>
  <c r="O305" i="3"/>
  <c r="C307" i="4"/>
  <c r="AB306" i="3"/>
  <c r="D309" i="2"/>
  <c r="J307" i="2"/>
  <c r="G307" i="2" s="1"/>
  <c r="M308" i="2"/>
  <c r="K307" i="2"/>
  <c r="H307" i="2" s="1"/>
  <c r="N308" i="2"/>
  <c r="A308" i="4"/>
  <c r="N307" i="3"/>
  <c r="C307" i="3"/>
  <c r="P307" i="3"/>
  <c r="E307" i="3"/>
  <c r="G307" i="3"/>
  <c r="S307" i="3"/>
  <c r="Y307" i="3" s="1"/>
  <c r="Z307" i="3" s="1"/>
  <c r="AA307" i="3" s="1"/>
  <c r="H307" i="3"/>
  <c r="T307" i="3"/>
  <c r="J307" i="3"/>
  <c r="V307" i="3"/>
  <c r="M307" i="3"/>
  <c r="L308" i="2"/>
  <c r="I307" i="2"/>
  <c r="F307" i="2" s="1"/>
  <c r="C309" i="2"/>
  <c r="K307" i="4"/>
  <c r="N307" i="4" s="1"/>
  <c r="G307" i="4"/>
  <c r="L307" i="4" s="1"/>
  <c r="I307" i="4"/>
  <c r="M307" i="4" s="1"/>
  <c r="E309" i="2" l="1"/>
  <c r="B309" i="3"/>
  <c r="F306" i="4"/>
  <c r="E307" i="4"/>
  <c r="H306" i="4"/>
  <c r="J306" i="4"/>
  <c r="D308" i="4"/>
  <c r="A309" i="4"/>
  <c r="M308" i="3"/>
  <c r="N308" i="3"/>
  <c r="C308" i="3"/>
  <c r="P308" i="3"/>
  <c r="E308" i="3"/>
  <c r="G308" i="3"/>
  <c r="S308" i="3"/>
  <c r="Y308" i="3" s="1"/>
  <c r="Z308" i="3" s="1"/>
  <c r="AA308" i="3" s="1"/>
  <c r="H308" i="3"/>
  <c r="T308" i="3"/>
  <c r="J308" i="3"/>
  <c r="V308" i="3"/>
  <c r="C310" i="2"/>
  <c r="D310" i="2"/>
  <c r="L309" i="2"/>
  <c r="I308" i="2"/>
  <c r="F308" i="2" s="1"/>
  <c r="C308" i="4"/>
  <c r="AB307" i="3"/>
  <c r="I308" i="4"/>
  <c r="M308" i="4" s="1"/>
  <c r="K308" i="4"/>
  <c r="N308" i="4" s="1"/>
  <c r="G308" i="4"/>
  <c r="L308" i="4" s="1"/>
  <c r="K308" i="2"/>
  <c r="H308" i="2" s="1"/>
  <c r="N309" i="2"/>
  <c r="F307" i="3"/>
  <c r="D308" i="3"/>
  <c r="I306" i="3"/>
  <c r="U306" i="3"/>
  <c r="O306" i="3"/>
  <c r="M309" i="2"/>
  <c r="J308" i="2"/>
  <c r="G308" i="2" s="1"/>
  <c r="E310" i="2" l="1"/>
  <c r="B310" i="3"/>
  <c r="F307" i="4"/>
  <c r="E308" i="4"/>
  <c r="H307" i="4"/>
  <c r="J307" i="4"/>
  <c r="D309" i="4"/>
  <c r="F308" i="3"/>
  <c r="D309" i="3"/>
  <c r="O307" i="3"/>
  <c r="I307" i="3"/>
  <c r="U307" i="3"/>
  <c r="L310" i="2"/>
  <c r="I309" i="2"/>
  <c r="F309" i="2" s="1"/>
  <c r="K309" i="2"/>
  <c r="H309" i="2" s="1"/>
  <c r="N310" i="2"/>
  <c r="A310" i="4"/>
  <c r="H309" i="3"/>
  <c r="T309" i="3"/>
  <c r="J309" i="3"/>
  <c r="V309" i="3"/>
  <c r="M309" i="3"/>
  <c r="N309" i="3"/>
  <c r="C309" i="3"/>
  <c r="P309" i="3"/>
  <c r="E309" i="3"/>
  <c r="G309" i="3"/>
  <c r="S309" i="3"/>
  <c r="Y309" i="3" s="1"/>
  <c r="Z309" i="3" s="1"/>
  <c r="AA309" i="3" s="1"/>
  <c r="D311" i="2"/>
  <c r="C311" i="2"/>
  <c r="C309" i="4"/>
  <c r="AB308" i="3"/>
  <c r="M310" i="2"/>
  <c r="J309" i="2"/>
  <c r="G309" i="2" s="1"/>
  <c r="G309" i="4"/>
  <c r="L309" i="4" s="1"/>
  <c r="I309" i="4"/>
  <c r="M309" i="4" s="1"/>
  <c r="K309" i="4"/>
  <c r="N309" i="4" s="1"/>
  <c r="E311" i="2" l="1"/>
  <c r="B311" i="3"/>
  <c r="H308" i="4"/>
  <c r="E309" i="4"/>
  <c r="J308" i="4"/>
  <c r="F308" i="4"/>
  <c r="D310" i="4"/>
  <c r="K310" i="2"/>
  <c r="H310" i="2" s="1"/>
  <c r="N311" i="2"/>
  <c r="A311" i="4"/>
  <c r="E310" i="3"/>
  <c r="G310" i="3"/>
  <c r="S310" i="3"/>
  <c r="Y310" i="3" s="1"/>
  <c r="Z310" i="3" s="1"/>
  <c r="AA310" i="3" s="1"/>
  <c r="H310" i="3"/>
  <c r="T310" i="3"/>
  <c r="J310" i="3"/>
  <c r="V310" i="3"/>
  <c r="M310" i="3"/>
  <c r="N310" i="3"/>
  <c r="P310" i="3"/>
  <c r="C310" i="3"/>
  <c r="G310" i="4"/>
  <c r="L310" i="4" s="1"/>
  <c r="I310" i="4"/>
  <c r="M310" i="4" s="1"/>
  <c r="K310" i="4"/>
  <c r="N310" i="4" s="1"/>
  <c r="J310" i="2"/>
  <c r="G310" i="2" s="1"/>
  <c r="M311" i="2"/>
  <c r="L311" i="2"/>
  <c r="I310" i="2"/>
  <c r="F310" i="2" s="1"/>
  <c r="C310" i="4"/>
  <c r="AB309" i="3"/>
  <c r="C312" i="2"/>
  <c r="D310" i="3"/>
  <c r="F309" i="3"/>
  <c r="O308" i="3"/>
  <c r="I308" i="3"/>
  <c r="U308" i="3"/>
  <c r="D312" i="2"/>
  <c r="E312" i="2" l="1"/>
  <c r="B312" i="3"/>
  <c r="J309" i="4"/>
  <c r="F309" i="4"/>
  <c r="H309" i="4"/>
  <c r="E310" i="4"/>
  <c r="D311" i="4"/>
  <c r="I309" i="3"/>
  <c r="U309" i="3"/>
  <c r="O309" i="3"/>
  <c r="A312" i="4"/>
  <c r="N311" i="3"/>
  <c r="C311" i="3"/>
  <c r="P311" i="3"/>
  <c r="E311" i="3"/>
  <c r="G311" i="3"/>
  <c r="S311" i="3"/>
  <c r="Y311" i="3" s="1"/>
  <c r="Z311" i="3" s="1"/>
  <c r="AA311" i="3" s="1"/>
  <c r="H311" i="3"/>
  <c r="T311" i="3"/>
  <c r="J311" i="3"/>
  <c r="V311" i="3"/>
  <c r="M311" i="3"/>
  <c r="F310" i="3"/>
  <c r="D311" i="3"/>
  <c r="G311" i="4"/>
  <c r="L311" i="4" s="1"/>
  <c r="I311" i="4"/>
  <c r="M311" i="4" s="1"/>
  <c r="K311" i="4"/>
  <c r="N311" i="4" s="1"/>
  <c r="K311" i="2"/>
  <c r="H311" i="2" s="1"/>
  <c r="N312" i="2"/>
  <c r="D313" i="2"/>
  <c r="C313" i="2"/>
  <c r="L312" i="2"/>
  <c r="I311" i="2"/>
  <c r="F311" i="2" s="1"/>
  <c r="C311" i="4"/>
  <c r="AB310" i="3"/>
  <c r="M312" i="2"/>
  <c r="J311" i="2"/>
  <c r="G311" i="2" s="1"/>
  <c r="E313" i="2" l="1"/>
  <c r="B313" i="3"/>
  <c r="J310" i="4"/>
  <c r="F310" i="4"/>
  <c r="H310" i="4"/>
  <c r="E311" i="4"/>
  <c r="D312" i="4"/>
  <c r="I312" i="2"/>
  <c r="F312" i="2" s="1"/>
  <c r="L313" i="2"/>
  <c r="F311" i="3"/>
  <c r="D312" i="3"/>
  <c r="C314" i="2"/>
  <c r="I310" i="3"/>
  <c r="U310" i="3"/>
  <c r="O310" i="3"/>
  <c r="A313" i="4"/>
  <c r="M312" i="3"/>
  <c r="N312" i="3"/>
  <c r="C312" i="3"/>
  <c r="P312" i="3"/>
  <c r="E312" i="3"/>
  <c r="G312" i="3"/>
  <c r="S312" i="3"/>
  <c r="Y312" i="3" s="1"/>
  <c r="Z312" i="3" s="1"/>
  <c r="AA312" i="3" s="1"/>
  <c r="H312" i="3"/>
  <c r="T312" i="3"/>
  <c r="J312" i="3"/>
  <c r="V312" i="3"/>
  <c r="C312" i="4"/>
  <c r="AB311" i="3"/>
  <c r="G312" i="4"/>
  <c r="L312" i="4" s="1"/>
  <c r="I312" i="4"/>
  <c r="M312" i="4" s="1"/>
  <c r="K312" i="4"/>
  <c r="N312" i="4" s="1"/>
  <c r="D314" i="2"/>
  <c r="K312" i="2"/>
  <c r="H312" i="2" s="1"/>
  <c r="N313" i="2"/>
  <c r="M313" i="2"/>
  <c r="J312" i="2"/>
  <c r="G312" i="2" s="1"/>
  <c r="E314" i="2" l="1"/>
  <c r="B314" i="3"/>
  <c r="E312" i="4"/>
  <c r="H311" i="4"/>
  <c r="F311" i="4"/>
  <c r="J311" i="4"/>
  <c r="D313" i="4"/>
  <c r="C315" i="2"/>
  <c r="D315" i="2"/>
  <c r="A314" i="4"/>
  <c r="H313" i="3"/>
  <c r="T313" i="3"/>
  <c r="J313" i="3"/>
  <c r="V313" i="3"/>
  <c r="M313" i="3"/>
  <c r="N313" i="3"/>
  <c r="C313" i="3"/>
  <c r="P313" i="3"/>
  <c r="E313" i="3"/>
  <c r="G313" i="3"/>
  <c r="S313" i="3"/>
  <c r="Y313" i="3" s="1"/>
  <c r="Z313" i="3" s="1"/>
  <c r="AA313" i="3" s="1"/>
  <c r="F312" i="3"/>
  <c r="D313" i="3"/>
  <c r="O311" i="3"/>
  <c r="I311" i="3"/>
  <c r="U311" i="3"/>
  <c r="L314" i="2"/>
  <c r="I313" i="2"/>
  <c r="F313" i="2" s="1"/>
  <c r="J313" i="2"/>
  <c r="G313" i="2" s="1"/>
  <c r="M314" i="2"/>
  <c r="K313" i="2"/>
  <c r="H313" i="2" s="1"/>
  <c r="N314" i="2"/>
  <c r="C313" i="4"/>
  <c r="AB312" i="3"/>
  <c r="K313" i="4"/>
  <c r="N313" i="4" s="1"/>
  <c r="I313" i="4"/>
  <c r="M313" i="4" s="1"/>
  <c r="G313" i="4"/>
  <c r="L313" i="4" s="1"/>
  <c r="E315" i="2" l="1"/>
  <c r="B315" i="3"/>
  <c r="J312" i="4"/>
  <c r="H312" i="4"/>
  <c r="F312" i="4"/>
  <c r="E313" i="4"/>
  <c r="D314" i="4"/>
  <c r="D314" i="3"/>
  <c r="F313" i="3"/>
  <c r="O312" i="3"/>
  <c r="U312" i="3"/>
  <c r="I312" i="3"/>
  <c r="I314" i="4"/>
  <c r="M314" i="4" s="1"/>
  <c r="K314" i="4"/>
  <c r="N314" i="4" s="1"/>
  <c r="G314" i="4"/>
  <c r="L314" i="4" s="1"/>
  <c r="K314" i="2"/>
  <c r="H314" i="2" s="1"/>
  <c r="N315" i="2"/>
  <c r="D316" i="2"/>
  <c r="A315" i="4"/>
  <c r="E314" i="3"/>
  <c r="G314" i="3"/>
  <c r="S314" i="3"/>
  <c r="Y314" i="3" s="1"/>
  <c r="Z314" i="3" s="1"/>
  <c r="AA314" i="3" s="1"/>
  <c r="H314" i="3"/>
  <c r="T314" i="3"/>
  <c r="J314" i="3"/>
  <c r="V314" i="3"/>
  <c r="M314" i="3"/>
  <c r="N314" i="3"/>
  <c r="P314" i="3"/>
  <c r="C314" i="3"/>
  <c r="M315" i="2"/>
  <c r="J314" i="2"/>
  <c r="G314" i="2" s="1"/>
  <c r="C316" i="2"/>
  <c r="L315" i="2"/>
  <c r="I314" i="2"/>
  <c r="F314" i="2" s="1"/>
  <c r="C314" i="4"/>
  <c r="AB313" i="3"/>
  <c r="E316" i="2" l="1"/>
  <c r="B316" i="3"/>
  <c r="H313" i="4"/>
  <c r="E314" i="4"/>
  <c r="F313" i="4"/>
  <c r="J313" i="4"/>
  <c r="D315" i="4"/>
  <c r="A316" i="4"/>
  <c r="N315" i="3"/>
  <c r="C315" i="3"/>
  <c r="P315" i="3"/>
  <c r="E315" i="3"/>
  <c r="G315" i="3"/>
  <c r="S315" i="3"/>
  <c r="Y315" i="3" s="1"/>
  <c r="Z315" i="3" s="1"/>
  <c r="AA315" i="3" s="1"/>
  <c r="H315" i="3"/>
  <c r="T315" i="3"/>
  <c r="J315" i="3"/>
  <c r="V315" i="3"/>
  <c r="M315" i="3"/>
  <c r="M316" i="2"/>
  <c r="J315" i="2"/>
  <c r="G315" i="2" s="1"/>
  <c r="G315" i="4"/>
  <c r="L315" i="4" s="1"/>
  <c r="I315" i="4"/>
  <c r="M315" i="4" s="1"/>
  <c r="K315" i="4"/>
  <c r="N315" i="4" s="1"/>
  <c r="C315" i="4"/>
  <c r="AB314" i="3"/>
  <c r="D317" i="2"/>
  <c r="I313" i="3"/>
  <c r="U313" i="3"/>
  <c r="O313" i="3"/>
  <c r="C317" i="2"/>
  <c r="K315" i="2"/>
  <c r="H315" i="2" s="1"/>
  <c r="N316" i="2"/>
  <c r="F314" i="3"/>
  <c r="D315" i="3"/>
  <c r="I315" i="2"/>
  <c r="F315" i="2" s="1"/>
  <c r="L316" i="2"/>
  <c r="E317" i="2" l="1"/>
  <c r="B317" i="3"/>
  <c r="J314" i="4"/>
  <c r="H314" i="4"/>
  <c r="F314" i="4"/>
  <c r="E315" i="4"/>
  <c r="D316" i="4"/>
  <c r="K316" i="2"/>
  <c r="H316" i="2" s="1"/>
  <c r="N317" i="2"/>
  <c r="C318" i="2"/>
  <c r="A317" i="4"/>
  <c r="M316" i="3"/>
  <c r="N316" i="3"/>
  <c r="C316" i="3"/>
  <c r="P316" i="3"/>
  <c r="E316" i="3"/>
  <c r="G316" i="3"/>
  <c r="S316" i="3"/>
  <c r="Y316" i="3" s="1"/>
  <c r="Z316" i="3" s="1"/>
  <c r="AA316" i="3" s="1"/>
  <c r="H316" i="3"/>
  <c r="T316" i="3"/>
  <c r="J316" i="3"/>
  <c r="V316" i="3"/>
  <c r="L317" i="2"/>
  <c r="I316" i="2"/>
  <c r="F316" i="2" s="1"/>
  <c r="J316" i="2"/>
  <c r="G316" i="2" s="1"/>
  <c r="M317" i="2"/>
  <c r="C316" i="4"/>
  <c r="AB315" i="3"/>
  <c r="G316" i="4"/>
  <c r="L316" i="4" s="1"/>
  <c r="I316" i="4"/>
  <c r="M316" i="4" s="1"/>
  <c r="K316" i="4"/>
  <c r="N316" i="4" s="1"/>
  <c r="F315" i="3"/>
  <c r="D316" i="3"/>
  <c r="D318" i="2"/>
  <c r="I314" i="3"/>
  <c r="U314" i="3"/>
  <c r="O314" i="3"/>
  <c r="E318" i="2" l="1"/>
  <c r="B318" i="3"/>
  <c r="E316" i="4"/>
  <c r="H315" i="4"/>
  <c r="J315" i="4"/>
  <c r="F315" i="4"/>
  <c r="D317" i="4"/>
  <c r="M318" i="2"/>
  <c r="J317" i="2"/>
  <c r="G317" i="2" s="1"/>
  <c r="F316" i="3"/>
  <c r="D317" i="3"/>
  <c r="O315" i="3"/>
  <c r="I315" i="3"/>
  <c r="U315" i="3"/>
  <c r="L318" i="2"/>
  <c r="I317" i="2"/>
  <c r="F317" i="2" s="1"/>
  <c r="C317" i="4"/>
  <c r="AB316" i="3"/>
  <c r="G317" i="4"/>
  <c r="L317" i="4" s="1"/>
  <c r="I317" i="4"/>
  <c r="M317" i="4" s="1"/>
  <c r="K317" i="4"/>
  <c r="N317" i="4" s="1"/>
  <c r="C319" i="2"/>
  <c r="N318" i="2"/>
  <c r="K317" i="2"/>
  <c r="H317" i="2" s="1"/>
  <c r="A318" i="4"/>
  <c r="H317" i="3"/>
  <c r="T317" i="3"/>
  <c r="J317" i="3"/>
  <c r="V317" i="3"/>
  <c r="M317" i="3"/>
  <c r="N317" i="3"/>
  <c r="C317" i="3"/>
  <c r="P317" i="3"/>
  <c r="E317" i="3"/>
  <c r="G317" i="3"/>
  <c r="S317" i="3"/>
  <c r="Y317" i="3" s="1"/>
  <c r="Z317" i="3" s="1"/>
  <c r="AA317" i="3" s="1"/>
  <c r="D319" i="2"/>
  <c r="E319" i="2" l="1"/>
  <c r="B319" i="3"/>
  <c r="E317" i="4"/>
  <c r="H316" i="4"/>
  <c r="J316" i="4"/>
  <c r="F316" i="4"/>
  <c r="D318" i="4"/>
  <c r="A319" i="4"/>
  <c r="E318" i="3"/>
  <c r="G318" i="3"/>
  <c r="S318" i="3"/>
  <c r="Y318" i="3" s="1"/>
  <c r="Z318" i="3" s="1"/>
  <c r="AA318" i="3" s="1"/>
  <c r="H318" i="3"/>
  <c r="T318" i="3"/>
  <c r="J318" i="3"/>
  <c r="V318" i="3"/>
  <c r="M318" i="3"/>
  <c r="N318" i="3"/>
  <c r="P318" i="3"/>
  <c r="C318" i="3"/>
  <c r="K318" i="2"/>
  <c r="H318" i="2" s="1"/>
  <c r="N319" i="2"/>
  <c r="I318" i="2"/>
  <c r="F318" i="2" s="1"/>
  <c r="L319" i="2"/>
  <c r="C320" i="2"/>
  <c r="C318" i="4"/>
  <c r="AB317" i="3"/>
  <c r="D318" i="3"/>
  <c r="F317" i="3"/>
  <c r="O316" i="3"/>
  <c r="I316" i="3"/>
  <c r="U316" i="3"/>
  <c r="M319" i="2"/>
  <c r="J318" i="2"/>
  <c r="G318" i="2" s="1"/>
  <c r="D320" i="2"/>
  <c r="K318" i="4"/>
  <c r="N318" i="4" s="1"/>
  <c r="I318" i="4"/>
  <c r="M318" i="4" s="1"/>
  <c r="G318" i="4"/>
  <c r="L318" i="4" s="1"/>
  <c r="E320" i="2" l="1"/>
  <c r="B320" i="3"/>
  <c r="F317" i="4"/>
  <c r="E318" i="4"/>
  <c r="J317" i="4"/>
  <c r="H317" i="4"/>
  <c r="D319" i="4"/>
  <c r="C319" i="4"/>
  <c r="AB318" i="3"/>
  <c r="D321" i="2"/>
  <c r="C321" i="2"/>
  <c r="L320" i="2"/>
  <c r="I319" i="2"/>
  <c r="F319" i="2" s="1"/>
  <c r="J319" i="2"/>
  <c r="G319" i="2" s="1"/>
  <c r="M320" i="2"/>
  <c r="K319" i="2"/>
  <c r="H319" i="2" s="1"/>
  <c r="N320" i="2"/>
  <c r="A320" i="4"/>
  <c r="N319" i="3"/>
  <c r="C319" i="3"/>
  <c r="P319" i="3"/>
  <c r="E319" i="3"/>
  <c r="G319" i="3"/>
  <c r="S319" i="3"/>
  <c r="Y319" i="3" s="1"/>
  <c r="Z319" i="3" s="1"/>
  <c r="AA319" i="3" s="1"/>
  <c r="H319" i="3"/>
  <c r="T319" i="3"/>
  <c r="J319" i="3"/>
  <c r="V319" i="3"/>
  <c r="M319" i="3"/>
  <c r="K319" i="4"/>
  <c r="N319" i="4" s="1"/>
  <c r="G319" i="4"/>
  <c r="L319" i="4" s="1"/>
  <c r="I319" i="4"/>
  <c r="M319" i="4" s="1"/>
  <c r="I317" i="3"/>
  <c r="U317" i="3"/>
  <c r="O317" i="3"/>
  <c r="F318" i="3"/>
  <c r="D319" i="3"/>
  <c r="E321" i="2" l="1"/>
  <c r="B321" i="3"/>
  <c r="E319" i="4"/>
  <c r="F318" i="4"/>
  <c r="H318" i="4"/>
  <c r="J318" i="4"/>
  <c r="D320" i="4"/>
  <c r="A321" i="4"/>
  <c r="M320" i="3"/>
  <c r="N320" i="3"/>
  <c r="C320" i="3"/>
  <c r="P320" i="3"/>
  <c r="E320" i="3"/>
  <c r="G320" i="3"/>
  <c r="S320" i="3"/>
  <c r="Y320" i="3" s="1"/>
  <c r="Z320" i="3" s="1"/>
  <c r="AA320" i="3" s="1"/>
  <c r="H320" i="3"/>
  <c r="T320" i="3"/>
  <c r="J320" i="3"/>
  <c r="V320" i="3"/>
  <c r="C322" i="2"/>
  <c r="L321" i="2"/>
  <c r="I320" i="2"/>
  <c r="F320" i="2" s="1"/>
  <c r="D322" i="2"/>
  <c r="C320" i="4"/>
  <c r="AB319" i="3"/>
  <c r="I320" i="4"/>
  <c r="M320" i="4" s="1"/>
  <c r="G320" i="4"/>
  <c r="L320" i="4" s="1"/>
  <c r="K320" i="4"/>
  <c r="N320" i="4" s="1"/>
  <c r="F319" i="3"/>
  <c r="D320" i="3"/>
  <c r="N321" i="2"/>
  <c r="K320" i="2"/>
  <c r="H320" i="2" s="1"/>
  <c r="I318" i="3"/>
  <c r="U318" i="3"/>
  <c r="O318" i="3"/>
  <c r="M321" i="2"/>
  <c r="J320" i="2"/>
  <c r="G320" i="2" s="1"/>
  <c r="E322" i="2" l="1"/>
  <c r="B322" i="3"/>
  <c r="F319" i="4"/>
  <c r="E320" i="4"/>
  <c r="H319" i="4"/>
  <c r="J319" i="4"/>
  <c r="D321" i="4"/>
  <c r="K321" i="2"/>
  <c r="H321" i="2" s="1"/>
  <c r="N322" i="2"/>
  <c r="F320" i="3"/>
  <c r="D321" i="3"/>
  <c r="D323" i="2"/>
  <c r="A322" i="4"/>
  <c r="H321" i="3"/>
  <c r="T321" i="3"/>
  <c r="J321" i="3"/>
  <c r="V321" i="3"/>
  <c r="M321" i="3"/>
  <c r="N321" i="3"/>
  <c r="C321" i="3"/>
  <c r="P321" i="3"/>
  <c r="E321" i="3"/>
  <c r="G321" i="3"/>
  <c r="S321" i="3"/>
  <c r="Y321" i="3" s="1"/>
  <c r="Z321" i="3" s="1"/>
  <c r="AA321" i="3" s="1"/>
  <c r="O319" i="3"/>
  <c r="I319" i="3"/>
  <c r="U319" i="3"/>
  <c r="I321" i="2"/>
  <c r="F321" i="2" s="1"/>
  <c r="L322" i="2"/>
  <c r="C323" i="2"/>
  <c r="C321" i="4"/>
  <c r="AB320" i="3"/>
  <c r="M322" i="2"/>
  <c r="J321" i="2"/>
  <c r="G321" i="2" s="1"/>
  <c r="G321" i="4"/>
  <c r="L321" i="4" s="1"/>
  <c r="I321" i="4"/>
  <c r="M321" i="4" s="1"/>
  <c r="K321" i="4"/>
  <c r="N321" i="4" s="1"/>
  <c r="E323" i="2" l="1"/>
  <c r="B323" i="3"/>
  <c r="E321" i="4"/>
  <c r="J320" i="4"/>
  <c r="H320" i="4"/>
  <c r="F320" i="4"/>
  <c r="D322" i="4"/>
  <c r="I322" i="4"/>
  <c r="M322" i="4" s="1"/>
  <c r="K322" i="4"/>
  <c r="N322" i="4" s="1"/>
  <c r="G322" i="4"/>
  <c r="L322" i="4" s="1"/>
  <c r="J322" i="2"/>
  <c r="G322" i="2" s="1"/>
  <c r="M323" i="2"/>
  <c r="A323" i="4"/>
  <c r="E322" i="3"/>
  <c r="G322" i="3"/>
  <c r="S322" i="3"/>
  <c r="Y322" i="3" s="1"/>
  <c r="Z322" i="3" s="1"/>
  <c r="AA322" i="3" s="1"/>
  <c r="H322" i="3"/>
  <c r="J322" i="3"/>
  <c r="V322" i="3"/>
  <c r="M322" i="3"/>
  <c r="N322" i="3"/>
  <c r="P322" i="3"/>
  <c r="C322" i="3"/>
  <c r="T322" i="3"/>
  <c r="D324" i="2"/>
  <c r="D322" i="3"/>
  <c r="F321" i="3"/>
  <c r="O320" i="3"/>
  <c r="I320" i="3"/>
  <c r="U320" i="3"/>
  <c r="C324" i="2"/>
  <c r="N323" i="2"/>
  <c r="K322" i="2"/>
  <c r="H322" i="2" s="1"/>
  <c r="L323" i="2"/>
  <c r="I322" i="2"/>
  <c r="F322" i="2" s="1"/>
  <c r="C322" i="4"/>
  <c r="AB321" i="3"/>
  <c r="E324" i="2" l="1"/>
  <c r="B324" i="3"/>
  <c r="J321" i="4"/>
  <c r="F321" i="4"/>
  <c r="H321" i="4"/>
  <c r="E322" i="4"/>
  <c r="D323" i="4"/>
  <c r="N324" i="2"/>
  <c r="K323" i="2"/>
  <c r="H323" i="2" s="1"/>
  <c r="I323" i="4"/>
  <c r="M323" i="4" s="1"/>
  <c r="K323" i="4"/>
  <c r="N323" i="4" s="1"/>
  <c r="G323" i="4"/>
  <c r="L323" i="4" s="1"/>
  <c r="M324" i="2"/>
  <c r="J323" i="2"/>
  <c r="G323" i="2" s="1"/>
  <c r="C325" i="2"/>
  <c r="C323" i="4"/>
  <c r="AB322" i="3"/>
  <c r="I321" i="3"/>
  <c r="U321" i="3"/>
  <c r="O321" i="3"/>
  <c r="F322" i="3"/>
  <c r="D323" i="3"/>
  <c r="D325" i="2"/>
  <c r="L324" i="2"/>
  <c r="I323" i="2"/>
  <c r="F323" i="2" s="1"/>
  <c r="A324" i="4"/>
  <c r="N323" i="3"/>
  <c r="C323" i="3"/>
  <c r="P323" i="3"/>
  <c r="G323" i="3"/>
  <c r="S323" i="3"/>
  <c r="Y323" i="3" s="1"/>
  <c r="Z323" i="3" s="1"/>
  <c r="AA323" i="3" s="1"/>
  <c r="H323" i="3"/>
  <c r="T323" i="3"/>
  <c r="J323" i="3"/>
  <c r="V323" i="3"/>
  <c r="M323" i="3"/>
  <c r="E323" i="3"/>
  <c r="E325" i="2" l="1"/>
  <c r="B325" i="3"/>
  <c r="F322" i="4"/>
  <c r="H322" i="4"/>
  <c r="J322" i="4"/>
  <c r="E323" i="4"/>
  <c r="D324" i="4"/>
  <c r="D326" i="2"/>
  <c r="M325" i="2"/>
  <c r="J324" i="2"/>
  <c r="G324" i="2" s="1"/>
  <c r="F323" i="3"/>
  <c r="D324" i="3"/>
  <c r="I322" i="3"/>
  <c r="U322" i="3"/>
  <c r="O322" i="3"/>
  <c r="I324" i="4"/>
  <c r="M324" i="4" s="1"/>
  <c r="K324" i="4"/>
  <c r="N324" i="4" s="1"/>
  <c r="G324" i="4"/>
  <c r="L324" i="4" s="1"/>
  <c r="A325" i="4"/>
  <c r="M324" i="3"/>
  <c r="C324" i="3"/>
  <c r="P324" i="3"/>
  <c r="E324" i="3"/>
  <c r="G324" i="3"/>
  <c r="S324" i="3"/>
  <c r="Y324" i="3" s="1"/>
  <c r="Z324" i="3" s="1"/>
  <c r="AA324" i="3" s="1"/>
  <c r="H324" i="3"/>
  <c r="T324" i="3"/>
  <c r="J324" i="3"/>
  <c r="V324" i="3"/>
  <c r="N324" i="3"/>
  <c r="K324" i="2"/>
  <c r="H324" i="2" s="1"/>
  <c r="N325" i="2"/>
  <c r="C324" i="4"/>
  <c r="AB323" i="3"/>
  <c r="I324" i="2"/>
  <c r="F324" i="2" s="1"/>
  <c r="L325" i="2"/>
  <c r="C326" i="2"/>
  <c r="E326" i="2" l="1"/>
  <c r="B326" i="3"/>
  <c r="E324" i="4"/>
  <c r="H323" i="4"/>
  <c r="J323" i="4"/>
  <c r="F323" i="4"/>
  <c r="D325" i="4"/>
  <c r="A326" i="4"/>
  <c r="H325" i="3"/>
  <c r="T325" i="3"/>
  <c r="J325" i="3"/>
  <c r="V325" i="3"/>
  <c r="M325" i="3"/>
  <c r="N325" i="3"/>
  <c r="C325" i="3"/>
  <c r="P325" i="3"/>
  <c r="E325" i="3"/>
  <c r="G325" i="3"/>
  <c r="S325" i="3"/>
  <c r="Y325" i="3" s="1"/>
  <c r="Z325" i="3" s="1"/>
  <c r="AA325" i="3" s="1"/>
  <c r="N326" i="2"/>
  <c r="K325" i="2"/>
  <c r="H325" i="2" s="1"/>
  <c r="F324" i="3"/>
  <c r="D325" i="3"/>
  <c r="C325" i="4"/>
  <c r="AB324" i="3"/>
  <c r="O323" i="3"/>
  <c r="I323" i="3"/>
  <c r="U323" i="3"/>
  <c r="I325" i="4"/>
  <c r="M325" i="4" s="1"/>
  <c r="K325" i="4"/>
  <c r="N325" i="4" s="1"/>
  <c r="G325" i="4"/>
  <c r="L325" i="4" s="1"/>
  <c r="J325" i="2"/>
  <c r="G325" i="2" s="1"/>
  <c r="M326" i="2"/>
  <c r="D327" i="2"/>
  <c r="C327" i="2"/>
  <c r="L326" i="2"/>
  <c r="I325" i="2"/>
  <c r="F325" i="2" s="1"/>
  <c r="E327" i="2" l="1"/>
  <c r="B327" i="3"/>
  <c r="J324" i="4"/>
  <c r="H324" i="4"/>
  <c r="F324" i="4"/>
  <c r="E325" i="4"/>
  <c r="D326" i="4"/>
  <c r="D328" i="2"/>
  <c r="M327" i="2"/>
  <c r="J326" i="2"/>
  <c r="G326" i="2" s="1"/>
  <c r="C326" i="4"/>
  <c r="AB325" i="3"/>
  <c r="D326" i="3"/>
  <c r="F325" i="3"/>
  <c r="O324" i="3"/>
  <c r="I324" i="3"/>
  <c r="U324" i="3"/>
  <c r="N327" i="2"/>
  <c r="K326" i="2"/>
  <c r="H326" i="2" s="1"/>
  <c r="L327" i="2"/>
  <c r="I326" i="2"/>
  <c r="F326" i="2" s="1"/>
  <c r="G326" i="4"/>
  <c r="L326" i="4" s="1"/>
  <c r="I326" i="4"/>
  <c r="M326" i="4" s="1"/>
  <c r="K326" i="4"/>
  <c r="N326" i="4" s="1"/>
  <c r="C328" i="2"/>
  <c r="A327" i="4"/>
  <c r="E326" i="3"/>
  <c r="G326" i="3"/>
  <c r="S326" i="3"/>
  <c r="Y326" i="3" s="1"/>
  <c r="Z326" i="3" s="1"/>
  <c r="AA326" i="3" s="1"/>
  <c r="J326" i="3"/>
  <c r="V326" i="3"/>
  <c r="M326" i="3"/>
  <c r="N326" i="3"/>
  <c r="P326" i="3"/>
  <c r="C326" i="3"/>
  <c r="H326" i="3"/>
  <c r="T326" i="3"/>
  <c r="E328" i="2" l="1"/>
  <c r="B328" i="3"/>
  <c r="J325" i="4"/>
  <c r="F325" i="4"/>
  <c r="H325" i="4"/>
  <c r="E326" i="4"/>
  <c r="D327" i="4"/>
  <c r="C327" i="4"/>
  <c r="AB326" i="3"/>
  <c r="I325" i="3"/>
  <c r="U325" i="3"/>
  <c r="O325" i="3"/>
  <c r="F326" i="3"/>
  <c r="D327" i="3"/>
  <c r="A328" i="4"/>
  <c r="N327" i="3"/>
  <c r="C327" i="3"/>
  <c r="P327" i="3"/>
  <c r="H327" i="3"/>
  <c r="T327" i="3"/>
  <c r="J327" i="3"/>
  <c r="V327" i="3"/>
  <c r="M327" i="3"/>
  <c r="E327" i="3"/>
  <c r="G327" i="3"/>
  <c r="S327" i="3"/>
  <c r="Y327" i="3" s="1"/>
  <c r="Z327" i="3" s="1"/>
  <c r="AA327" i="3" s="1"/>
  <c r="M328" i="2"/>
  <c r="J327" i="2"/>
  <c r="G327" i="2" s="1"/>
  <c r="I327" i="2"/>
  <c r="F327" i="2" s="1"/>
  <c r="L328" i="2"/>
  <c r="G327" i="4"/>
  <c r="L327" i="4" s="1"/>
  <c r="I327" i="4"/>
  <c r="M327" i="4" s="1"/>
  <c r="K327" i="4"/>
  <c r="N327" i="4" s="1"/>
  <c r="K327" i="2"/>
  <c r="H327" i="2" s="1"/>
  <c r="N328" i="2"/>
  <c r="D329" i="2"/>
  <c r="C329" i="2"/>
  <c r="E329" i="2" l="1"/>
  <c r="B329" i="3"/>
  <c r="E327" i="4"/>
  <c r="F326" i="4"/>
  <c r="H326" i="4"/>
  <c r="J326" i="4"/>
  <c r="D328" i="4"/>
  <c r="D330" i="2"/>
  <c r="J328" i="2"/>
  <c r="G328" i="2" s="1"/>
  <c r="M329" i="2"/>
  <c r="N329" i="2"/>
  <c r="K328" i="2"/>
  <c r="H328" i="2" s="1"/>
  <c r="G328" i="4"/>
  <c r="L328" i="4" s="1"/>
  <c r="I328" i="4"/>
  <c r="M328" i="4" s="1"/>
  <c r="K328" i="4"/>
  <c r="N328" i="4" s="1"/>
  <c r="F327" i="3"/>
  <c r="D328" i="3"/>
  <c r="I326" i="3"/>
  <c r="U326" i="3"/>
  <c r="O326" i="3"/>
  <c r="A329" i="4"/>
  <c r="M328" i="3"/>
  <c r="C328" i="3"/>
  <c r="E328" i="3"/>
  <c r="G328" i="3"/>
  <c r="S328" i="3"/>
  <c r="Y328" i="3" s="1"/>
  <c r="Z328" i="3" s="1"/>
  <c r="AA328" i="3" s="1"/>
  <c r="H328" i="3"/>
  <c r="T328" i="3"/>
  <c r="J328" i="3"/>
  <c r="V328" i="3"/>
  <c r="N328" i="3"/>
  <c r="P328" i="3"/>
  <c r="C328" i="4"/>
  <c r="AB327" i="3"/>
  <c r="C330" i="2"/>
  <c r="L329" i="2"/>
  <c r="I328" i="2"/>
  <c r="F328" i="2" s="1"/>
  <c r="E330" i="2" l="1"/>
  <c r="B330" i="3"/>
  <c r="H327" i="4"/>
  <c r="J327" i="4"/>
  <c r="F327" i="4"/>
  <c r="E328" i="4"/>
  <c r="D329" i="4"/>
  <c r="C329" i="4"/>
  <c r="AB328" i="3"/>
  <c r="G329" i="4"/>
  <c r="L329" i="4" s="1"/>
  <c r="I329" i="4"/>
  <c r="M329" i="4" s="1"/>
  <c r="K329" i="4"/>
  <c r="N329" i="4" s="1"/>
  <c r="N330" i="2"/>
  <c r="K329" i="2"/>
  <c r="H329" i="2" s="1"/>
  <c r="M330" i="2"/>
  <c r="J329" i="2"/>
  <c r="G329" i="2" s="1"/>
  <c r="D329" i="3"/>
  <c r="F328" i="3"/>
  <c r="D331" i="2"/>
  <c r="O327" i="3"/>
  <c r="I327" i="3"/>
  <c r="U327" i="3"/>
  <c r="L330" i="2"/>
  <c r="I329" i="2"/>
  <c r="F329" i="2" s="1"/>
  <c r="C331" i="2"/>
  <c r="A330" i="4"/>
  <c r="H329" i="3"/>
  <c r="T329" i="3"/>
  <c r="J329" i="3"/>
  <c r="V329" i="3"/>
  <c r="N329" i="3"/>
  <c r="P329" i="3"/>
  <c r="G329" i="3"/>
  <c r="S329" i="3"/>
  <c r="Y329" i="3" s="1"/>
  <c r="Z329" i="3" s="1"/>
  <c r="AA329" i="3" s="1"/>
  <c r="C329" i="3"/>
  <c r="E329" i="3"/>
  <c r="M329" i="3"/>
  <c r="E331" i="2" l="1"/>
  <c r="B331" i="3"/>
  <c r="E329" i="4"/>
  <c r="F328" i="4"/>
  <c r="H328" i="4"/>
  <c r="J328" i="4"/>
  <c r="D330" i="4"/>
  <c r="I330" i="2"/>
  <c r="F330" i="2" s="1"/>
  <c r="L331" i="2"/>
  <c r="K330" i="2"/>
  <c r="H330" i="2" s="1"/>
  <c r="N331" i="2"/>
  <c r="C330" i="4"/>
  <c r="AB329" i="3"/>
  <c r="K330" i="4"/>
  <c r="N330" i="4" s="1"/>
  <c r="G330" i="4"/>
  <c r="L330" i="4" s="1"/>
  <c r="I330" i="4"/>
  <c r="M330" i="4" s="1"/>
  <c r="D332" i="2"/>
  <c r="O328" i="3"/>
  <c r="I328" i="3"/>
  <c r="U328" i="3"/>
  <c r="D330" i="3"/>
  <c r="F329" i="3"/>
  <c r="A331" i="4"/>
  <c r="E330" i="3"/>
  <c r="G330" i="3"/>
  <c r="S330" i="3"/>
  <c r="Y330" i="3" s="1"/>
  <c r="Z330" i="3" s="1"/>
  <c r="AA330" i="3" s="1"/>
  <c r="P330" i="3"/>
  <c r="T330" i="3"/>
  <c r="C330" i="3"/>
  <c r="V330" i="3"/>
  <c r="H330" i="3"/>
  <c r="J330" i="3"/>
  <c r="M330" i="3"/>
  <c r="N330" i="3"/>
  <c r="C332" i="2"/>
  <c r="M331" i="2"/>
  <c r="J330" i="2"/>
  <c r="G330" i="2" s="1"/>
  <c r="E332" i="2" l="1"/>
  <c r="B332" i="3"/>
  <c r="J329" i="4"/>
  <c r="F329" i="4"/>
  <c r="H329" i="4"/>
  <c r="E330" i="4"/>
  <c r="D331" i="4"/>
  <c r="I331" i="4"/>
  <c r="M331" i="4" s="1"/>
  <c r="K331" i="4"/>
  <c r="N331" i="4" s="1"/>
  <c r="G331" i="4"/>
  <c r="L331" i="4" s="1"/>
  <c r="C331" i="4"/>
  <c r="AB330" i="3"/>
  <c r="I329" i="3"/>
  <c r="O329" i="3"/>
  <c r="U329" i="3"/>
  <c r="D331" i="3"/>
  <c r="F330" i="3"/>
  <c r="N332" i="2"/>
  <c r="K331" i="2"/>
  <c r="H331" i="2" s="1"/>
  <c r="C333" i="2"/>
  <c r="E333" i="2" s="1"/>
  <c r="L332" i="2"/>
  <c r="I331" i="2"/>
  <c r="F331" i="2" s="1"/>
  <c r="J331" i="2"/>
  <c r="G331" i="2" s="1"/>
  <c r="M332" i="2"/>
  <c r="D333" i="2"/>
  <c r="A332" i="4"/>
  <c r="N331" i="3"/>
  <c r="P331" i="3"/>
  <c r="H331" i="3"/>
  <c r="T331" i="3"/>
  <c r="M331" i="3"/>
  <c r="J331" i="3"/>
  <c r="S331" i="3"/>
  <c r="Y331" i="3" s="1"/>
  <c r="Z331" i="3" s="1"/>
  <c r="AA331" i="3" s="1"/>
  <c r="V331" i="3"/>
  <c r="C331" i="3"/>
  <c r="E331" i="3"/>
  <c r="G331" i="3"/>
  <c r="B333" i="3" l="1"/>
  <c r="J330" i="4"/>
  <c r="H330" i="4"/>
  <c r="F330" i="4"/>
  <c r="E331" i="4"/>
  <c r="D332" i="4"/>
  <c r="C332" i="4"/>
  <c r="AB331" i="3"/>
  <c r="L333" i="2"/>
  <c r="I332" i="2"/>
  <c r="F332" i="2" s="1"/>
  <c r="C334" i="2"/>
  <c r="M333" i="2"/>
  <c r="J332" i="2"/>
  <c r="G332" i="2" s="1"/>
  <c r="G332" i="4"/>
  <c r="L332" i="4" s="1"/>
  <c r="I332" i="4"/>
  <c r="M332" i="4" s="1"/>
  <c r="K332" i="4"/>
  <c r="N332" i="4" s="1"/>
  <c r="K332" i="2"/>
  <c r="H332" i="2" s="1"/>
  <c r="N333" i="2"/>
  <c r="I330" i="3"/>
  <c r="U330" i="3"/>
  <c r="O330" i="3"/>
  <c r="D334" i="2"/>
  <c r="F331" i="3"/>
  <c r="D332" i="3"/>
  <c r="A333" i="4"/>
  <c r="M332" i="3"/>
  <c r="C332" i="3"/>
  <c r="E332" i="3"/>
  <c r="S332" i="3"/>
  <c r="Y332" i="3" s="1"/>
  <c r="Z332" i="3" s="1"/>
  <c r="AA332" i="3" s="1"/>
  <c r="T332" i="3"/>
  <c r="G332" i="3"/>
  <c r="H332" i="3"/>
  <c r="V332" i="3"/>
  <c r="J332" i="3"/>
  <c r="N332" i="3"/>
  <c r="P332" i="3"/>
  <c r="E334" i="2" l="1"/>
  <c r="B334" i="3"/>
  <c r="J331" i="4"/>
  <c r="E332" i="4"/>
  <c r="F331" i="4"/>
  <c r="H331" i="4"/>
  <c r="D333" i="4"/>
  <c r="D335" i="2"/>
  <c r="M334" i="2"/>
  <c r="J333" i="2"/>
  <c r="G333" i="2" s="1"/>
  <c r="K333" i="2"/>
  <c r="H333" i="2" s="1"/>
  <c r="N334" i="2"/>
  <c r="C335" i="2"/>
  <c r="C333" i="4"/>
  <c r="AB332" i="3"/>
  <c r="I333" i="2"/>
  <c r="F333" i="2" s="1"/>
  <c r="L334" i="2"/>
  <c r="G333" i="4"/>
  <c r="L333" i="4" s="1"/>
  <c r="I333" i="4"/>
  <c r="M333" i="4" s="1"/>
  <c r="K333" i="4"/>
  <c r="N333" i="4" s="1"/>
  <c r="A334" i="4"/>
  <c r="H333" i="3"/>
  <c r="T333" i="3"/>
  <c r="S333" i="3"/>
  <c r="Y333" i="3" s="1"/>
  <c r="Z333" i="3" s="1"/>
  <c r="AA333" i="3" s="1"/>
  <c r="G333" i="3"/>
  <c r="V333" i="3"/>
  <c r="J333" i="3"/>
  <c r="M333" i="3"/>
  <c r="N333" i="3"/>
  <c r="C333" i="3"/>
  <c r="P333" i="3"/>
  <c r="E333" i="3"/>
  <c r="F332" i="3"/>
  <c r="D333" i="3"/>
  <c r="O331" i="3"/>
  <c r="U331" i="3"/>
  <c r="I331" i="3"/>
  <c r="E335" i="2" l="1"/>
  <c r="B335" i="3"/>
  <c r="F332" i="4"/>
  <c r="E333" i="4"/>
  <c r="J332" i="4"/>
  <c r="H332" i="4"/>
  <c r="D334" i="4"/>
  <c r="G334" i="4"/>
  <c r="L334" i="4" s="1"/>
  <c r="I334" i="4"/>
  <c r="M334" i="4" s="1"/>
  <c r="K334" i="4"/>
  <c r="N334" i="4" s="1"/>
  <c r="O332" i="3"/>
  <c r="U332" i="3"/>
  <c r="I332" i="3"/>
  <c r="A335" i="4"/>
  <c r="E334" i="3"/>
  <c r="G334" i="3"/>
  <c r="S334" i="3"/>
  <c r="Y334" i="3" s="1"/>
  <c r="Z334" i="3" s="1"/>
  <c r="AA334" i="3" s="1"/>
  <c r="H334" i="3"/>
  <c r="T334" i="3"/>
  <c r="J334" i="3"/>
  <c r="V334" i="3"/>
  <c r="M334" i="3"/>
  <c r="N334" i="3"/>
  <c r="C334" i="3"/>
  <c r="P334" i="3"/>
  <c r="C336" i="2"/>
  <c r="N335" i="2"/>
  <c r="K334" i="2"/>
  <c r="H334" i="2" s="1"/>
  <c r="C334" i="4"/>
  <c r="AB333" i="3"/>
  <c r="J334" i="2"/>
  <c r="G334" i="2" s="1"/>
  <c r="M335" i="2"/>
  <c r="L335" i="2"/>
  <c r="I334" i="2"/>
  <c r="F334" i="2" s="1"/>
  <c r="D336" i="2"/>
  <c r="F333" i="3"/>
  <c r="D334" i="3"/>
  <c r="E336" i="2" l="1"/>
  <c r="B336" i="3"/>
  <c r="F333" i="4"/>
  <c r="E334" i="4"/>
  <c r="J333" i="4"/>
  <c r="H333" i="4"/>
  <c r="D335" i="4"/>
  <c r="G335" i="4"/>
  <c r="L335" i="4" s="1"/>
  <c r="I335" i="4"/>
  <c r="M335" i="4" s="1"/>
  <c r="K335" i="4"/>
  <c r="N335" i="4" s="1"/>
  <c r="C335" i="4"/>
  <c r="AB334" i="3"/>
  <c r="M336" i="2"/>
  <c r="J335" i="2"/>
  <c r="G335" i="2" s="1"/>
  <c r="U333" i="3"/>
  <c r="I333" i="3"/>
  <c r="O333" i="3"/>
  <c r="A336" i="4"/>
  <c r="N335" i="3"/>
  <c r="E335" i="3"/>
  <c r="S335" i="3"/>
  <c r="Y335" i="3" s="1"/>
  <c r="Z335" i="3" s="1"/>
  <c r="AA335" i="3" s="1"/>
  <c r="G335" i="3"/>
  <c r="T335" i="3"/>
  <c r="H335" i="3"/>
  <c r="V335" i="3"/>
  <c r="J335" i="3"/>
  <c r="M335" i="3"/>
  <c r="C335" i="3"/>
  <c r="P335" i="3"/>
  <c r="L336" i="2"/>
  <c r="I335" i="2"/>
  <c r="F335" i="2" s="1"/>
  <c r="F334" i="3"/>
  <c r="D335" i="3"/>
  <c r="K335" i="2"/>
  <c r="H335" i="2" s="1"/>
  <c r="N336" i="2"/>
  <c r="D337" i="2"/>
  <c r="C337" i="2"/>
  <c r="E337" i="2" l="1"/>
  <c r="B337" i="3"/>
  <c r="H334" i="4"/>
  <c r="F334" i="4"/>
  <c r="E335" i="4"/>
  <c r="J334" i="4"/>
  <c r="D336" i="4"/>
  <c r="D338" i="2"/>
  <c r="M337" i="2"/>
  <c r="J336" i="2"/>
  <c r="G336" i="2" s="1"/>
  <c r="K336" i="2"/>
  <c r="H336" i="2" s="1"/>
  <c r="N337" i="2"/>
  <c r="D336" i="3"/>
  <c r="F335" i="3"/>
  <c r="I334" i="3"/>
  <c r="U334" i="3"/>
  <c r="O334" i="3"/>
  <c r="I336" i="2"/>
  <c r="F336" i="2" s="1"/>
  <c r="L337" i="2"/>
  <c r="A337" i="4"/>
  <c r="C336" i="3"/>
  <c r="P336" i="3"/>
  <c r="E336" i="3"/>
  <c r="G336" i="3"/>
  <c r="S336" i="3"/>
  <c r="Y336" i="3" s="1"/>
  <c r="Z336" i="3" s="1"/>
  <c r="AA336" i="3" s="1"/>
  <c r="H336" i="3"/>
  <c r="T336" i="3"/>
  <c r="J336" i="3"/>
  <c r="V336" i="3"/>
  <c r="M336" i="3"/>
  <c r="N336" i="3"/>
  <c r="K336" i="4"/>
  <c r="N336" i="4" s="1"/>
  <c r="G336" i="4"/>
  <c r="L336" i="4" s="1"/>
  <c r="I336" i="4"/>
  <c r="M336" i="4" s="1"/>
  <c r="C338" i="2"/>
  <c r="C336" i="4"/>
  <c r="AB335" i="3"/>
  <c r="E338" i="2" l="1"/>
  <c r="B338" i="3"/>
  <c r="H335" i="4"/>
  <c r="F335" i="4"/>
  <c r="J335" i="4"/>
  <c r="E336" i="4"/>
  <c r="D337" i="4"/>
  <c r="U335" i="3"/>
  <c r="I335" i="3"/>
  <c r="O335" i="3"/>
  <c r="F336" i="3"/>
  <c r="D337" i="3"/>
  <c r="A338" i="4"/>
  <c r="H337" i="3"/>
  <c r="T337" i="3"/>
  <c r="M337" i="3"/>
  <c r="N337" i="3"/>
  <c r="C337" i="3"/>
  <c r="P337" i="3"/>
  <c r="E337" i="3"/>
  <c r="S337" i="3"/>
  <c r="Y337" i="3" s="1"/>
  <c r="Z337" i="3" s="1"/>
  <c r="AA337" i="3" s="1"/>
  <c r="G337" i="3"/>
  <c r="V337" i="3"/>
  <c r="J337" i="3"/>
  <c r="N338" i="2"/>
  <c r="K337" i="2"/>
  <c r="H337" i="2" s="1"/>
  <c r="C339" i="2"/>
  <c r="J337" i="2"/>
  <c r="G337" i="2" s="1"/>
  <c r="M338" i="2"/>
  <c r="I337" i="4"/>
  <c r="M337" i="4" s="1"/>
  <c r="K337" i="4"/>
  <c r="N337" i="4" s="1"/>
  <c r="G337" i="4"/>
  <c r="L337" i="4" s="1"/>
  <c r="C337" i="4"/>
  <c r="AB336" i="3"/>
  <c r="L338" i="2"/>
  <c r="I337" i="2"/>
  <c r="F337" i="2" s="1"/>
  <c r="D339" i="2"/>
  <c r="E339" i="2" l="1"/>
  <c r="B339" i="3"/>
  <c r="F336" i="4"/>
  <c r="E337" i="4"/>
  <c r="H336" i="4"/>
  <c r="J336" i="4"/>
  <c r="D338" i="4"/>
  <c r="C340" i="2"/>
  <c r="C338" i="4"/>
  <c r="AB337" i="3"/>
  <c r="K338" i="2"/>
  <c r="H338" i="2" s="1"/>
  <c r="N339" i="2"/>
  <c r="G338" i="4"/>
  <c r="L338" i="4" s="1"/>
  <c r="I338" i="4"/>
  <c r="M338" i="4" s="1"/>
  <c r="K338" i="4"/>
  <c r="N338" i="4" s="1"/>
  <c r="D338" i="3"/>
  <c r="F337" i="3"/>
  <c r="O336" i="3"/>
  <c r="I336" i="3"/>
  <c r="U336" i="3"/>
  <c r="L339" i="2"/>
  <c r="I338" i="2"/>
  <c r="F338" i="2" s="1"/>
  <c r="D340" i="2"/>
  <c r="M339" i="2"/>
  <c r="J338" i="2"/>
  <c r="G338" i="2" s="1"/>
  <c r="A339" i="4"/>
  <c r="E338" i="3"/>
  <c r="M338" i="3"/>
  <c r="N338" i="3"/>
  <c r="C338" i="3"/>
  <c r="P338" i="3"/>
  <c r="G338" i="3"/>
  <c r="S338" i="3"/>
  <c r="Y338" i="3" s="1"/>
  <c r="Z338" i="3" s="1"/>
  <c r="AA338" i="3" s="1"/>
  <c r="H338" i="3"/>
  <c r="T338" i="3"/>
  <c r="J338" i="3"/>
  <c r="V338" i="3"/>
  <c r="E340" i="2" l="1"/>
  <c r="B340" i="3"/>
  <c r="E338" i="4"/>
  <c r="J337" i="4"/>
  <c r="F337" i="4"/>
  <c r="H337" i="4"/>
  <c r="D339" i="4"/>
  <c r="D341" i="2"/>
  <c r="I339" i="2"/>
  <c r="F339" i="2" s="1"/>
  <c r="L340" i="2"/>
  <c r="K339" i="2"/>
  <c r="H339" i="2" s="1"/>
  <c r="N340" i="2"/>
  <c r="C339" i="4"/>
  <c r="AB338" i="3"/>
  <c r="A340" i="4"/>
  <c r="N339" i="3"/>
  <c r="J339" i="3"/>
  <c r="M339" i="3"/>
  <c r="C339" i="3"/>
  <c r="P339" i="3"/>
  <c r="E339" i="3"/>
  <c r="S339" i="3"/>
  <c r="Y339" i="3" s="1"/>
  <c r="Z339" i="3" s="1"/>
  <c r="AA339" i="3" s="1"/>
  <c r="G339" i="3"/>
  <c r="T339" i="3"/>
  <c r="H339" i="3"/>
  <c r="V339" i="3"/>
  <c r="O337" i="3"/>
  <c r="U337" i="3"/>
  <c r="I337" i="3"/>
  <c r="G339" i="4"/>
  <c r="L339" i="4" s="1"/>
  <c r="I339" i="4"/>
  <c r="M339" i="4" s="1"/>
  <c r="K339" i="4"/>
  <c r="N339" i="4" s="1"/>
  <c r="F338" i="3"/>
  <c r="D339" i="3"/>
  <c r="C341" i="2"/>
  <c r="M340" i="2"/>
  <c r="J339" i="2"/>
  <c r="G339" i="2" s="1"/>
  <c r="E341" i="2" l="1"/>
  <c r="B341" i="3"/>
  <c r="F338" i="4"/>
  <c r="E339" i="4"/>
  <c r="J338" i="4"/>
  <c r="H338" i="4"/>
  <c r="D340" i="4"/>
  <c r="F339" i="3"/>
  <c r="D340" i="3"/>
  <c r="G340" i="4"/>
  <c r="L340" i="4" s="1"/>
  <c r="I340" i="4"/>
  <c r="M340" i="4" s="1"/>
  <c r="K340" i="4"/>
  <c r="N340" i="4" s="1"/>
  <c r="O338" i="3"/>
  <c r="I338" i="3"/>
  <c r="U338" i="3"/>
  <c r="N341" i="2"/>
  <c r="K340" i="2"/>
  <c r="H340" i="2" s="1"/>
  <c r="L341" i="2"/>
  <c r="I340" i="2"/>
  <c r="F340" i="2" s="1"/>
  <c r="A341" i="4"/>
  <c r="H340" i="3"/>
  <c r="T340" i="3"/>
  <c r="J340" i="3"/>
  <c r="V340" i="3"/>
  <c r="M340" i="3"/>
  <c r="N340" i="3"/>
  <c r="C340" i="3"/>
  <c r="P340" i="3"/>
  <c r="E340" i="3"/>
  <c r="G340" i="3"/>
  <c r="S340" i="3"/>
  <c r="Y340" i="3" s="1"/>
  <c r="Z340" i="3" s="1"/>
  <c r="AA340" i="3" s="1"/>
  <c r="J340" i="2"/>
  <c r="G340" i="2" s="1"/>
  <c r="M341" i="2"/>
  <c r="C340" i="4"/>
  <c r="AB339" i="3"/>
  <c r="D342" i="2"/>
  <c r="C342" i="2"/>
  <c r="E342" i="2" l="1"/>
  <c r="B342" i="3"/>
  <c r="E340" i="4"/>
  <c r="F339" i="4"/>
  <c r="J339" i="4"/>
  <c r="H339" i="4"/>
  <c r="D341" i="4"/>
  <c r="C341" i="4"/>
  <c r="AB340" i="3"/>
  <c r="G341" i="4"/>
  <c r="L341" i="4" s="1"/>
  <c r="I341" i="4"/>
  <c r="M341" i="4" s="1"/>
  <c r="K341" i="4"/>
  <c r="N341" i="4" s="1"/>
  <c r="M342" i="2"/>
  <c r="J341" i="2"/>
  <c r="G341" i="2" s="1"/>
  <c r="A342" i="4"/>
  <c r="E341" i="3"/>
  <c r="G341" i="3"/>
  <c r="S341" i="3"/>
  <c r="Y341" i="3" s="1"/>
  <c r="Z341" i="3" s="1"/>
  <c r="AA341" i="3" s="1"/>
  <c r="H341" i="3"/>
  <c r="T341" i="3"/>
  <c r="J341" i="3"/>
  <c r="V341" i="3"/>
  <c r="M341" i="3"/>
  <c r="N341" i="3"/>
  <c r="C341" i="3"/>
  <c r="P341" i="3"/>
  <c r="L342" i="2"/>
  <c r="I341" i="2"/>
  <c r="F341" i="2" s="1"/>
  <c r="F340" i="3"/>
  <c r="D341" i="3"/>
  <c r="O339" i="3"/>
  <c r="U339" i="3"/>
  <c r="I339" i="3"/>
  <c r="C343" i="2"/>
  <c r="K341" i="2"/>
  <c r="H341" i="2" s="1"/>
  <c r="N342" i="2"/>
  <c r="D343" i="2"/>
  <c r="E343" i="2" l="1"/>
  <c r="B343" i="3"/>
  <c r="E341" i="4"/>
  <c r="F340" i="4"/>
  <c r="J340" i="4"/>
  <c r="H340" i="4"/>
  <c r="D342" i="4"/>
  <c r="M343" i="2"/>
  <c r="J342" i="2"/>
  <c r="G342" i="2" s="1"/>
  <c r="C342" i="4"/>
  <c r="AB341" i="3"/>
  <c r="C344" i="2"/>
  <c r="A343" i="4"/>
  <c r="N342" i="3"/>
  <c r="C342" i="3"/>
  <c r="P342" i="3"/>
  <c r="E342" i="3"/>
  <c r="G342" i="3"/>
  <c r="S342" i="3"/>
  <c r="Y342" i="3" s="1"/>
  <c r="Z342" i="3" s="1"/>
  <c r="AA342" i="3" s="1"/>
  <c r="H342" i="3"/>
  <c r="T342" i="3"/>
  <c r="J342" i="3"/>
  <c r="V342" i="3"/>
  <c r="M342" i="3"/>
  <c r="I340" i="3"/>
  <c r="U340" i="3"/>
  <c r="O340" i="3"/>
  <c r="D344" i="2"/>
  <c r="I342" i="2"/>
  <c r="F342" i="2" s="1"/>
  <c r="L343" i="2"/>
  <c r="F341" i="3"/>
  <c r="D342" i="3"/>
  <c r="K342" i="2"/>
  <c r="H342" i="2" s="1"/>
  <c r="N343" i="2"/>
  <c r="K342" i="4"/>
  <c r="N342" i="4" s="1"/>
  <c r="G342" i="4"/>
  <c r="L342" i="4" s="1"/>
  <c r="I342" i="4"/>
  <c r="M342" i="4" s="1"/>
  <c r="E344" i="2" l="1"/>
  <c r="B344" i="3"/>
  <c r="H341" i="4"/>
  <c r="J341" i="4"/>
  <c r="F341" i="4"/>
  <c r="E342" i="4"/>
  <c r="D343" i="4"/>
  <c r="N344" i="2"/>
  <c r="K343" i="2"/>
  <c r="H343" i="2" s="1"/>
  <c r="C343" i="4"/>
  <c r="AB342" i="3"/>
  <c r="I343" i="4"/>
  <c r="M343" i="4" s="1"/>
  <c r="K343" i="4"/>
  <c r="N343" i="4" s="1"/>
  <c r="G343" i="4"/>
  <c r="L343" i="4" s="1"/>
  <c r="F342" i="3"/>
  <c r="D343" i="3"/>
  <c r="C345" i="2"/>
  <c r="I341" i="3"/>
  <c r="U341" i="3"/>
  <c r="O341" i="3"/>
  <c r="L344" i="2"/>
  <c r="I343" i="2"/>
  <c r="F343" i="2" s="1"/>
  <c r="A344" i="4"/>
  <c r="M343" i="3"/>
  <c r="N343" i="3"/>
  <c r="C343" i="3"/>
  <c r="P343" i="3"/>
  <c r="E343" i="3"/>
  <c r="G343" i="3"/>
  <c r="S343" i="3"/>
  <c r="Y343" i="3" s="1"/>
  <c r="Z343" i="3" s="1"/>
  <c r="AA343" i="3" s="1"/>
  <c r="H343" i="3"/>
  <c r="T343" i="3"/>
  <c r="J343" i="3"/>
  <c r="V343" i="3"/>
  <c r="J343" i="2"/>
  <c r="G343" i="2" s="1"/>
  <c r="M344" i="2"/>
  <c r="D345" i="2"/>
  <c r="E345" i="2" l="1"/>
  <c r="B345" i="3"/>
  <c r="H342" i="4"/>
  <c r="J342" i="4"/>
  <c r="F342" i="4"/>
  <c r="E343" i="4"/>
  <c r="D344" i="4"/>
  <c r="C344" i="4"/>
  <c r="AB343" i="3"/>
  <c r="L345" i="2"/>
  <c r="I344" i="2"/>
  <c r="F344" i="2" s="1"/>
  <c r="G344" i="4"/>
  <c r="L344" i="4" s="1"/>
  <c r="I344" i="4"/>
  <c r="M344" i="4" s="1"/>
  <c r="K344" i="4"/>
  <c r="N344" i="4" s="1"/>
  <c r="A345" i="4"/>
  <c r="H344" i="3"/>
  <c r="T344" i="3"/>
  <c r="J344" i="3"/>
  <c r="V344" i="3"/>
  <c r="M344" i="3"/>
  <c r="N344" i="3"/>
  <c r="C344" i="3"/>
  <c r="P344" i="3"/>
  <c r="E344" i="3"/>
  <c r="G344" i="3"/>
  <c r="S344" i="3"/>
  <c r="Y344" i="3" s="1"/>
  <c r="Z344" i="3" s="1"/>
  <c r="AA344" i="3" s="1"/>
  <c r="D346" i="2"/>
  <c r="C346" i="2"/>
  <c r="K344" i="2"/>
  <c r="H344" i="2" s="1"/>
  <c r="N345" i="2"/>
  <c r="F343" i="3"/>
  <c r="D344" i="3"/>
  <c r="M345" i="2"/>
  <c r="J344" i="2"/>
  <c r="G344" i="2" s="1"/>
  <c r="O342" i="3"/>
  <c r="I342" i="3"/>
  <c r="U342" i="3"/>
  <c r="E346" i="2" l="1"/>
  <c r="B346" i="3"/>
  <c r="F343" i="4"/>
  <c r="E344" i="4"/>
  <c r="J343" i="4"/>
  <c r="H343" i="4"/>
  <c r="D345" i="4"/>
  <c r="O343" i="3"/>
  <c r="I343" i="3"/>
  <c r="U343" i="3"/>
  <c r="M346" i="2"/>
  <c r="J345" i="2"/>
  <c r="G345" i="2" s="1"/>
  <c r="K345" i="2"/>
  <c r="H345" i="2" s="1"/>
  <c r="N346" i="2"/>
  <c r="F344" i="3"/>
  <c r="D345" i="3"/>
  <c r="A346" i="4"/>
  <c r="E345" i="3"/>
  <c r="G345" i="3"/>
  <c r="S345" i="3"/>
  <c r="Y345" i="3" s="1"/>
  <c r="Z345" i="3" s="1"/>
  <c r="AA345" i="3" s="1"/>
  <c r="H345" i="3"/>
  <c r="T345" i="3"/>
  <c r="J345" i="3"/>
  <c r="V345" i="3"/>
  <c r="M345" i="3"/>
  <c r="N345" i="3"/>
  <c r="C345" i="3"/>
  <c r="P345" i="3"/>
  <c r="C345" i="4"/>
  <c r="AB344" i="3"/>
  <c r="C347" i="2"/>
  <c r="I345" i="2"/>
  <c r="F345" i="2" s="1"/>
  <c r="L346" i="2"/>
  <c r="D347" i="2"/>
  <c r="G345" i="4"/>
  <c r="L345" i="4" s="1"/>
  <c r="I345" i="4"/>
  <c r="M345" i="4" s="1"/>
  <c r="K345" i="4"/>
  <c r="N345" i="4" s="1"/>
  <c r="E347" i="2" l="1"/>
  <c r="B347" i="3"/>
  <c r="H344" i="4"/>
  <c r="J344" i="4"/>
  <c r="F344" i="4"/>
  <c r="E345" i="4"/>
  <c r="D346" i="4"/>
  <c r="I344" i="3"/>
  <c r="U344" i="3"/>
  <c r="O344" i="3"/>
  <c r="G346" i="4"/>
  <c r="L346" i="4" s="1"/>
  <c r="I346" i="4"/>
  <c r="M346" i="4" s="1"/>
  <c r="K346" i="4"/>
  <c r="N346" i="4" s="1"/>
  <c r="F345" i="3"/>
  <c r="D346" i="3"/>
  <c r="C346" i="4"/>
  <c r="AB345" i="3"/>
  <c r="N347" i="2"/>
  <c r="K346" i="2"/>
  <c r="H346" i="2" s="1"/>
  <c r="D348" i="2"/>
  <c r="L347" i="2"/>
  <c r="I346" i="2"/>
  <c r="F346" i="2" s="1"/>
  <c r="J346" i="2"/>
  <c r="G346" i="2" s="1"/>
  <c r="M347" i="2"/>
  <c r="C348" i="2"/>
  <c r="A347" i="4"/>
  <c r="N346" i="3"/>
  <c r="C346" i="3"/>
  <c r="P346" i="3"/>
  <c r="E346" i="3"/>
  <c r="G346" i="3"/>
  <c r="S346" i="3"/>
  <c r="Y346" i="3" s="1"/>
  <c r="Z346" i="3" s="1"/>
  <c r="AA346" i="3" s="1"/>
  <c r="H346" i="3"/>
  <c r="T346" i="3"/>
  <c r="J346" i="3"/>
  <c r="V346" i="3"/>
  <c r="M346" i="3"/>
  <c r="E348" i="2" l="1"/>
  <c r="B348" i="3"/>
  <c r="J345" i="4"/>
  <c r="F345" i="4"/>
  <c r="H345" i="4"/>
  <c r="E346" i="4"/>
  <c r="D347" i="4"/>
  <c r="M348" i="2"/>
  <c r="J347" i="2"/>
  <c r="G347" i="2" s="1"/>
  <c r="I345" i="3"/>
  <c r="U345" i="3"/>
  <c r="O345" i="3"/>
  <c r="A348" i="4"/>
  <c r="M347" i="3"/>
  <c r="N347" i="3"/>
  <c r="C347" i="3"/>
  <c r="P347" i="3"/>
  <c r="E347" i="3"/>
  <c r="G347" i="3"/>
  <c r="S347" i="3"/>
  <c r="Y347" i="3" s="1"/>
  <c r="Z347" i="3" s="1"/>
  <c r="AA347" i="3" s="1"/>
  <c r="H347" i="3"/>
  <c r="T347" i="3"/>
  <c r="J347" i="3"/>
  <c r="V347" i="3"/>
  <c r="L348" i="2"/>
  <c r="I347" i="2"/>
  <c r="F347" i="2" s="1"/>
  <c r="D349" i="2"/>
  <c r="C347" i="4"/>
  <c r="AB346" i="3"/>
  <c r="G347" i="4"/>
  <c r="L347" i="4" s="1"/>
  <c r="I347" i="4"/>
  <c r="M347" i="4" s="1"/>
  <c r="K347" i="4"/>
  <c r="N347" i="4" s="1"/>
  <c r="K347" i="2"/>
  <c r="H347" i="2" s="1"/>
  <c r="N348" i="2"/>
  <c r="C349" i="2"/>
  <c r="F346" i="3"/>
  <c r="D347" i="3"/>
  <c r="E349" i="2" l="1"/>
  <c r="B349" i="3"/>
  <c r="E347" i="4"/>
  <c r="F346" i="4"/>
  <c r="H346" i="4"/>
  <c r="J346" i="4"/>
  <c r="D348" i="4"/>
  <c r="K348" i="2"/>
  <c r="H348" i="2" s="1"/>
  <c r="N349" i="2"/>
  <c r="D350" i="2"/>
  <c r="C350" i="2"/>
  <c r="I348" i="2"/>
  <c r="F348" i="2" s="1"/>
  <c r="L349" i="2"/>
  <c r="C348" i="4"/>
  <c r="AB347" i="3"/>
  <c r="K348" i="4"/>
  <c r="N348" i="4" s="1"/>
  <c r="G348" i="4"/>
  <c r="L348" i="4" s="1"/>
  <c r="I348" i="4"/>
  <c r="M348" i="4" s="1"/>
  <c r="O346" i="3"/>
  <c r="I346" i="3"/>
  <c r="U346" i="3"/>
  <c r="M349" i="2"/>
  <c r="J348" i="2"/>
  <c r="G348" i="2" s="1"/>
  <c r="A349" i="4"/>
  <c r="H348" i="3"/>
  <c r="T348" i="3"/>
  <c r="J348" i="3"/>
  <c r="V348" i="3"/>
  <c r="M348" i="3"/>
  <c r="N348" i="3"/>
  <c r="C348" i="3"/>
  <c r="P348" i="3"/>
  <c r="E348" i="3"/>
  <c r="S348" i="3"/>
  <c r="Y348" i="3" s="1"/>
  <c r="Z348" i="3" s="1"/>
  <c r="AA348" i="3" s="1"/>
  <c r="G348" i="3"/>
  <c r="F347" i="3"/>
  <c r="D348" i="3"/>
  <c r="E350" i="2" l="1"/>
  <c r="B350" i="3"/>
  <c r="F347" i="4"/>
  <c r="J347" i="4"/>
  <c r="H347" i="4"/>
  <c r="E348" i="4"/>
  <c r="D349" i="4"/>
  <c r="A350" i="4"/>
  <c r="E349" i="3"/>
  <c r="G349" i="3"/>
  <c r="S349" i="3"/>
  <c r="Y349" i="3" s="1"/>
  <c r="Z349" i="3" s="1"/>
  <c r="AA349" i="3" s="1"/>
  <c r="H349" i="3"/>
  <c r="T349" i="3"/>
  <c r="J349" i="3"/>
  <c r="V349" i="3"/>
  <c r="M349" i="3"/>
  <c r="N349" i="3"/>
  <c r="C349" i="3"/>
  <c r="P349" i="3"/>
  <c r="J349" i="2"/>
  <c r="G349" i="2" s="1"/>
  <c r="M350" i="2"/>
  <c r="L350" i="2"/>
  <c r="I349" i="2"/>
  <c r="F349" i="2" s="1"/>
  <c r="C351" i="2"/>
  <c r="C349" i="4"/>
  <c r="AB348" i="3"/>
  <c r="D351" i="2"/>
  <c r="F348" i="3"/>
  <c r="D349" i="3"/>
  <c r="N350" i="2"/>
  <c r="K349" i="2"/>
  <c r="H349" i="2" s="1"/>
  <c r="O347" i="3"/>
  <c r="I347" i="3"/>
  <c r="U347" i="3"/>
  <c r="I349" i="4"/>
  <c r="M349" i="4" s="1"/>
  <c r="K349" i="4"/>
  <c r="N349" i="4" s="1"/>
  <c r="G349" i="4"/>
  <c r="L349" i="4" s="1"/>
  <c r="E351" i="2" l="1"/>
  <c r="B351" i="3"/>
  <c r="J348" i="4"/>
  <c r="F348" i="4"/>
  <c r="H348" i="4"/>
  <c r="E349" i="4"/>
  <c r="D350" i="4"/>
  <c r="C350" i="4"/>
  <c r="AB349" i="3"/>
  <c r="C352" i="2"/>
  <c r="K350" i="2"/>
  <c r="H350" i="2" s="1"/>
  <c r="N351" i="2"/>
  <c r="L351" i="2"/>
  <c r="I350" i="2"/>
  <c r="F350" i="2" s="1"/>
  <c r="F349" i="3"/>
  <c r="D350" i="3"/>
  <c r="M351" i="2"/>
  <c r="J350" i="2"/>
  <c r="G350" i="2" s="1"/>
  <c r="A351" i="4"/>
  <c r="N350" i="3"/>
  <c r="C350" i="3"/>
  <c r="P350" i="3"/>
  <c r="E350" i="3"/>
  <c r="G350" i="3"/>
  <c r="S350" i="3"/>
  <c r="Y350" i="3" s="1"/>
  <c r="Z350" i="3" s="1"/>
  <c r="AA350" i="3" s="1"/>
  <c r="H350" i="3"/>
  <c r="T350" i="3"/>
  <c r="J350" i="3"/>
  <c r="V350" i="3"/>
  <c r="M350" i="3"/>
  <c r="I348" i="3"/>
  <c r="U348" i="3"/>
  <c r="O348" i="3"/>
  <c r="D352" i="2"/>
  <c r="G350" i="4"/>
  <c r="L350" i="4" s="1"/>
  <c r="I350" i="4"/>
  <c r="M350" i="4" s="1"/>
  <c r="K350" i="4"/>
  <c r="N350" i="4" s="1"/>
  <c r="E352" i="2" l="1"/>
  <c r="B352" i="3"/>
  <c r="H349" i="4"/>
  <c r="E350" i="4"/>
  <c r="F349" i="4"/>
  <c r="J349" i="4"/>
  <c r="D351" i="4"/>
  <c r="I349" i="3"/>
  <c r="U349" i="3"/>
  <c r="O349" i="3"/>
  <c r="I351" i="2"/>
  <c r="F351" i="2" s="1"/>
  <c r="L352" i="2"/>
  <c r="A352" i="4"/>
  <c r="M351" i="3"/>
  <c r="N351" i="3"/>
  <c r="C351" i="3"/>
  <c r="P351" i="3"/>
  <c r="E351" i="3"/>
  <c r="G351" i="3"/>
  <c r="S351" i="3"/>
  <c r="Y351" i="3" s="1"/>
  <c r="Z351" i="3" s="1"/>
  <c r="AA351" i="3" s="1"/>
  <c r="H351" i="3"/>
  <c r="T351" i="3"/>
  <c r="J351" i="3"/>
  <c r="V351" i="3"/>
  <c r="K351" i="2"/>
  <c r="H351" i="2" s="1"/>
  <c r="N352" i="2"/>
  <c r="D353" i="2"/>
  <c r="C353" i="2"/>
  <c r="E353" i="2" s="1"/>
  <c r="C351" i="4"/>
  <c r="AB350" i="3"/>
  <c r="G351" i="4"/>
  <c r="L351" i="4" s="1"/>
  <c r="I351" i="4"/>
  <c r="M351" i="4" s="1"/>
  <c r="K351" i="4"/>
  <c r="N351" i="4" s="1"/>
  <c r="M352" i="2"/>
  <c r="J351" i="2"/>
  <c r="G351" i="2" s="1"/>
  <c r="F350" i="3"/>
  <c r="D351" i="3"/>
  <c r="B353" i="3" l="1"/>
  <c r="J350" i="4"/>
  <c r="F350" i="4"/>
  <c r="H350" i="4"/>
  <c r="E351" i="4"/>
  <c r="D352" i="4"/>
  <c r="D354" i="2"/>
  <c r="N353" i="2"/>
  <c r="K352" i="2"/>
  <c r="H352" i="2" s="1"/>
  <c r="C352" i="4"/>
  <c r="AB351" i="3"/>
  <c r="G352" i="4"/>
  <c r="L352" i="4" s="1"/>
  <c r="I352" i="4"/>
  <c r="M352" i="4" s="1"/>
  <c r="K352" i="4"/>
  <c r="N352" i="4" s="1"/>
  <c r="L353" i="2"/>
  <c r="I352" i="2"/>
  <c r="F352" i="2" s="1"/>
  <c r="F351" i="3"/>
  <c r="D352" i="3"/>
  <c r="C354" i="2"/>
  <c r="A353" i="4"/>
  <c r="H352" i="3"/>
  <c r="T352" i="3"/>
  <c r="J352" i="3"/>
  <c r="V352" i="3"/>
  <c r="M352" i="3"/>
  <c r="N352" i="3"/>
  <c r="C352" i="3"/>
  <c r="P352" i="3"/>
  <c r="E352" i="3"/>
  <c r="G352" i="3"/>
  <c r="S352" i="3"/>
  <c r="Y352" i="3" s="1"/>
  <c r="Z352" i="3" s="1"/>
  <c r="AA352" i="3" s="1"/>
  <c r="O350" i="3"/>
  <c r="I350" i="3"/>
  <c r="U350" i="3"/>
  <c r="J352" i="2"/>
  <c r="G352" i="2" s="1"/>
  <c r="M353" i="2"/>
  <c r="E354" i="2" l="1"/>
  <c r="B354" i="3"/>
  <c r="F351" i="4"/>
  <c r="H351" i="4"/>
  <c r="E352" i="4"/>
  <c r="J351" i="4"/>
  <c r="D353" i="4"/>
  <c r="A354" i="4"/>
  <c r="E353" i="3"/>
  <c r="G353" i="3"/>
  <c r="S353" i="3"/>
  <c r="Y353" i="3" s="1"/>
  <c r="Z353" i="3" s="1"/>
  <c r="AA353" i="3" s="1"/>
  <c r="H353" i="3"/>
  <c r="T353" i="3"/>
  <c r="J353" i="3"/>
  <c r="V353" i="3"/>
  <c r="M353" i="3"/>
  <c r="N353" i="3"/>
  <c r="C353" i="3"/>
  <c r="P353" i="3"/>
  <c r="C355" i="2"/>
  <c r="G353" i="4"/>
  <c r="L353" i="4" s="1"/>
  <c r="I353" i="4"/>
  <c r="M353" i="4" s="1"/>
  <c r="K353" i="4"/>
  <c r="N353" i="4" s="1"/>
  <c r="F352" i="3"/>
  <c r="D353" i="3"/>
  <c r="O351" i="3"/>
  <c r="I351" i="3"/>
  <c r="U351" i="3"/>
  <c r="N354" i="2"/>
  <c r="K353" i="2"/>
  <c r="H353" i="2" s="1"/>
  <c r="D355" i="2"/>
  <c r="M354" i="2"/>
  <c r="J353" i="2"/>
  <c r="G353" i="2" s="1"/>
  <c r="C353" i="4"/>
  <c r="AB352" i="3"/>
  <c r="L354" i="2"/>
  <c r="I353" i="2"/>
  <c r="F353" i="2" s="1"/>
  <c r="E355" i="2" l="1"/>
  <c r="B355" i="3"/>
  <c r="H352" i="4"/>
  <c r="J352" i="4"/>
  <c r="F352" i="4"/>
  <c r="E353" i="4"/>
  <c r="D354" i="4"/>
  <c r="M355" i="2"/>
  <c r="J354" i="2"/>
  <c r="G354" i="2" s="1"/>
  <c r="C354" i="4"/>
  <c r="AB353" i="3"/>
  <c r="D356" i="2"/>
  <c r="N355" i="2"/>
  <c r="K354" i="2"/>
  <c r="H354" i="2" s="1"/>
  <c r="A355" i="4"/>
  <c r="N354" i="3"/>
  <c r="C354" i="3"/>
  <c r="P354" i="3"/>
  <c r="E354" i="3"/>
  <c r="G354" i="3"/>
  <c r="S354" i="3"/>
  <c r="Y354" i="3" s="1"/>
  <c r="Z354" i="3" s="1"/>
  <c r="AA354" i="3" s="1"/>
  <c r="H354" i="3"/>
  <c r="T354" i="3"/>
  <c r="J354" i="3"/>
  <c r="V354" i="3"/>
  <c r="M354" i="3"/>
  <c r="C356" i="2"/>
  <c r="K354" i="4"/>
  <c r="N354" i="4" s="1"/>
  <c r="G354" i="4"/>
  <c r="L354" i="4" s="1"/>
  <c r="I354" i="4"/>
  <c r="M354" i="4" s="1"/>
  <c r="I354" i="2"/>
  <c r="F354" i="2" s="1"/>
  <c r="L355" i="2"/>
  <c r="F353" i="3"/>
  <c r="D354" i="3"/>
  <c r="I352" i="3"/>
  <c r="U352" i="3"/>
  <c r="O352" i="3"/>
  <c r="E356" i="2" l="1"/>
  <c r="B356" i="3"/>
  <c r="H353" i="4"/>
  <c r="J353" i="4"/>
  <c r="F353" i="4"/>
  <c r="E354" i="4"/>
  <c r="D355" i="4"/>
  <c r="C355" i="4"/>
  <c r="AB354" i="3"/>
  <c r="L356" i="2"/>
  <c r="I355" i="2"/>
  <c r="F355" i="2" s="1"/>
  <c r="I353" i="3"/>
  <c r="U353" i="3"/>
  <c r="O353" i="3"/>
  <c r="I355" i="4"/>
  <c r="M355" i="4" s="1"/>
  <c r="K355" i="4"/>
  <c r="N355" i="4" s="1"/>
  <c r="G355" i="4"/>
  <c r="L355" i="4" s="1"/>
  <c r="N356" i="2"/>
  <c r="K355" i="2"/>
  <c r="H355" i="2" s="1"/>
  <c r="D357" i="2"/>
  <c r="A356" i="4"/>
  <c r="M355" i="3"/>
  <c r="N355" i="3"/>
  <c r="C355" i="3"/>
  <c r="P355" i="3"/>
  <c r="E355" i="3"/>
  <c r="G355" i="3"/>
  <c r="S355" i="3"/>
  <c r="Y355" i="3" s="1"/>
  <c r="Z355" i="3" s="1"/>
  <c r="AA355" i="3" s="1"/>
  <c r="H355" i="3"/>
  <c r="T355" i="3"/>
  <c r="V355" i="3"/>
  <c r="J355" i="3"/>
  <c r="J355" i="2"/>
  <c r="G355" i="2" s="1"/>
  <c r="M356" i="2"/>
  <c r="F354" i="3"/>
  <c r="D355" i="3"/>
  <c r="C357" i="2"/>
  <c r="E357" i="2" l="1"/>
  <c r="B357" i="3"/>
  <c r="E355" i="4"/>
  <c r="H354" i="4"/>
  <c r="F354" i="4"/>
  <c r="J354" i="4"/>
  <c r="D356" i="4"/>
  <c r="O354" i="3"/>
  <c r="I354" i="3"/>
  <c r="U354" i="3"/>
  <c r="C356" i="4"/>
  <c r="AB355" i="3"/>
  <c r="G356" i="4"/>
  <c r="L356" i="4" s="1"/>
  <c r="I356" i="4"/>
  <c r="M356" i="4" s="1"/>
  <c r="K356" i="4"/>
  <c r="N356" i="4" s="1"/>
  <c r="D358" i="2"/>
  <c r="L357" i="2"/>
  <c r="I356" i="2"/>
  <c r="F356" i="2" s="1"/>
  <c r="M357" i="2"/>
  <c r="J356" i="2"/>
  <c r="G356" i="2" s="1"/>
  <c r="K356" i="2"/>
  <c r="H356" i="2" s="1"/>
  <c r="N357" i="2"/>
  <c r="A357" i="4"/>
  <c r="H356" i="3"/>
  <c r="T356" i="3"/>
  <c r="J356" i="3"/>
  <c r="V356" i="3"/>
  <c r="M356" i="3"/>
  <c r="N356" i="3"/>
  <c r="C356" i="3"/>
  <c r="P356" i="3"/>
  <c r="E356" i="3"/>
  <c r="G356" i="3"/>
  <c r="S356" i="3"/>
  <c r="Y356" i="3" s="1"/>
  <c r="Z356" i="3" s="1"/>
  <c r="AA356" i="3" s="1"/>
  <c r="C358" i="2"/>
  <c r="F355" i="3"/>
  <c r="D356" i="3"/>
  <c r="E358" i="2" l="1"/>
  <c r="B358" i="3"/>
  <c r="J355" i="4"/>
  <c r="F355" i="4"/>
  <c r="H355" i="4"/>
  <c r="E356" i="4"/>
  <c r="D357" i="4"/>
  <c r="G357" i="4"/>
  <c r="L357" i="4" s="1"/>
  <c r="I357" i="4"/>
  <c r="M357" i="4" s="1"/>
  <c r="K357" i="4"/>
  <c r="N357" i="4" s="1"/>
  <c r="C359" i="2"/>
  <c r="K357" i="2"/>
  <c r="H357" i="2" s="1"/>
  <c r="N358" i="2"/>
  <c r="A358" i="4"/>
  <c r="E357" i="3"/>
  <c r="G357" i="3"/>
  <c r="S357" i="3"/>
  <c r="Y357" i="3" s="1"/>
  <c r="Z357" i="3" s="1"/>
  <c r="AA357" i="3" s="1"/>
  <c r="H357" i="3"/>
  <c r="T357" i="3"/>
  <c r="J357" i="3"/>
  <c r="V357" i="3"/>
  <c r="M357" i="3"/>
  <c r="N357" i="3"/>
  <c r="C357" i="3"/>
  <c r="P357" i="3"/>
  <c r="M358" i="2"/>
  <c r="J357" i="2"/>
  <c r="G357" i="2" s="1"/>
  <c r="I357" i="2"/>
  <c r="F357" i="2" s="1"/>
  <c r="L358" i="2"/>
  <c r="C357" i="4"/>
  <c r="AB356" i="3"/>
  <c r="F356" i="3"/>
  <c r="D357" i="3"/>
  <c r="O355" i="3"/>
  <c r="I355" i="3"/>
  <c r="U355" i="3"/>
  <c r="D359" i="2"/>
  <c r="E359" i="2" l="1"/>
  <c r="B359" i="3"/>
  <c r="E357" i="4"/>
  <c r="H356" i="4"/>
  <c r="J356" i="4"/>
  <c r="F356" i="4"/>
  <c r="D358" i="4"/>
  <c r="C358" i="4"/>
  <c r="AB357" i="3"/>
  <c r="F357" i="3"/>
  <c r="D358" i="3"/>
  <c r="I356" i="3"/>
  <c r="U356" i="3"/>
  <c r="O356" i="3"/>
  <c r="C360" i="2"/>
  <c r="L359" i="2"/>
  <c r="I358" i="2"/>
  <c r="F358" i="2" s="1"/>
  <c r="A359" i="4"/>
  <c r="N358" i="3"/>
  <c r="C358" i="3"/>
  <c r="P358" i="3"/>
  <c r="E358" i="3"/>
  <c r="G358" i="3"/>
  <c r="S358" i="3"/>
  <c r="Y358" i="3" s="1"/>
  <c r="Z358" i="3" s="1"/>
  <c r="AA358" i="3" s="1"/>
  <c r="H358" i="3"/>
  <c r="T358" i="3"/>
  <c r="J358" i="3"/>
  <c r="V358" i="3"/>
  <c r="M358" i="3"/>
  <c r="J358" i="2"/>
  <c r="G358" i="2" s="1"/>
  <c r="M359" i="2"/>
  <c r="D360" i="2"/>
  <c r="G358" i="4"/>
  <c r="L358" i="4" s="1"/>
  <c r="I358" i="4"/>
  <c r="M358" i="4" s="1"/>
  <c r="K358" i="4"/>
  <c r="N358" i="4" s="1"/>
  <c r="N359" i="2"/>
  <c r="K358" i="2"/>
  <c r="H358" i="2" s="1"/>
  <c r="E360" i="2" l="1"/>
  <c r="B360" i="3"/>
  <c r="E358" i="4"/>
  <c r="H357" i="4"/>
  <c r="F357" i="4"/>
  <c r="J357" i="4"/>
  <c r="D359" i="4"/>
  <c r="C361" i="2"/>
  <c r="A360" i="4"/>
  <c r="M359" i="3"/>
  <c r="N359" i="3"/>
  <c r="C359" i="3"/>
  <c r="P359" i="3"/>
  <c r="E359" i="3"/>
  <c r="G359" i="3"/>
  <c r="S359" i="3"/>
  <c r="Y359" i="3" s="1"/>
  <c r="Z359" i="3" s="1"/>
  <c r="AA359" i="3" s="1"/>
  <c r="H359" i="3"/>
  <c r="T359" i="3"/>
  <c r="J359" i="3"/>
  <c r="V359" i="3"/>
  <c r="F358" i="3"/>
  <c r="D359" i="3"/>
  <c r="D361" i="2"/>
  <c r="M360" i="2"/>
  <c r="J359" i="2"/>
  <c r="G359" i="2" s="1"/>
  <c r="I357" i="3"/>
  <c r="U357" i="3"/>
  <c r="O357" i="3"/>
  <c r="K359" i="2"/>
  <c r="H359" i="2" s="1"/>
  <c r="N360" i="2"/>
  <c r="C359" i="4"/>
  <c r="AB358" i="3"/>
  <c r="G359" i="4"/>
  <c r="L359" i="4" s="1"/>
  <c r="I359" i="4"/>
  <c r="M359" i="4" s="1"/>
  <c r="K359" i="4"/>
  <c r="N359" i="4" s="1"/>
  <c r="L360" i="2"/>
  <c r="I359" i="2"/>
  <c r="F359" i="2" s="1"/>
  <c r="E361" i="2" l="1"/>
  <c r="B361" i="3"/>
  <c r="E359" i="4"/>
  <c r="F358" i="4"/>
  <c r="H358" i="4"/>
  <c r="J358" i="4"/>
  <c r="D360" i="4"/>
  <c r="D362" i="2"/>
  <c r="F359" i="3"/>
  <c r="D360" i="3"/>
  <c r="O358" i="3"/>
  <c r="I358" i="3"/>
  <c r="U358" i="3"/>
  <c r="C360" i="4"/>
  <c r="AB359" i="3"/>
  <c r="M361" i="2"/>
  <c r="J360" i="2"/>
  <c r="G360" i="2" s="1"/>
  <c r="N361" i="2"/>
  <c r="K360" i="2"/>
  <c r="H360" i="2" s="1"/>
  <c r="K360" i="4"/>
  <c r="N360" i="4" s="1"/>
  <c r="G360" i="4"/>
  <c r="L360" i="4" s="1"/>
  <c r="I360" i="4"/>
  <c r="M360" i="4" s="1"/>
  <c r="A361" i="4"/>
  <c r="H360" i="3"/>
  <c r="T360" i="3"/>
  <c r="J360" i="3"/>
  <c r="V360" i="3"/>
  <c r="M360" i="3"/>
  <c r="N360" i="3"/>
  <c r="C360" i="3"/>
  <c r="P360" i="3"/>
  <c r="E360" i="3"/>
  <c r="G360" i="3"/>
  <c r="S360" i="3"/>
  <c r="Y360" i="3" s="1"/>
  <c r="Z360" i="3" s="1"/>
  <c r="AA360" i="3" s="1"/>
  <c r="I360" i="2"/>
  <c r="F360" i="2" s="1"/>
  <c r="L361" i="2"/>
  <c r="C362" i="2"/>
  <c r="E362" i="2" l="1"/>
  <c r="B362" i="3"/>
  <c r="E360" i="4"/>
  <c r="J359" i="4"/>
  <c r="F359" i="4"/>
  <c r="H359" i="4"/>
  <c r="D361" i="4"/>
  <c r="I361" i="4"/>
  <c r="M361" i="4" s="1"/>
  <c r="K361" i="4"/>
  <c r="N361" i="4" s="1"/>
  <c r="G361" i="4"/>
  <c r="L361" i="4" s="1"/>
  <c r="F360" i="3"/>
  <c r="D361" i="3"/>
  <c r="O359" i="3"/>
  <c r="I359" i="3"/>
  <c r="U359" i="3"/>
  <c r="A362" i="4"/>
  <c r="E361" i="3"/>
  <c r="G361" i="3"/>
  <c r="S361" i="3"/>
  <c r="Y361" i="3" s="1"/>
  <c r="Z361" i="3" s="1"/>
  <c r="AA361" i="3" s="1"/>
  <c r="H361" i="3"/>
  <c r="T361" i="3"/>
  <c r="J361" i="3"/>
  <c r="V361" i="3"/>
  <c r="M361" i="3"/>
  <c r="N361" i="3"/>
  <c r="C361" i="3"/>
  <c r="P361" i="3"/>
  <c r="C363" i="2"/>
  <c r="C361" i="4"/>
  <c r="AB360" i="3"/>
  <c r="N362" i="2"/>
  <c r="K361" i="2"/>
  <c r="H361" i="2" s="1"/>
  <c r="D363" i="2"/>
  <c r="L362" i="2"/>
  <c r="I361" i="2"/>
  <c r="F361" i="2" s="1"/>
  <c r="M362" i="2"/>
  <c r="J361" i="2"/>
  <c r="G361" i="2" s="1"/>
  <c r="E363" i="2" l="1"/>
  <c r="B363" i="3"/>
  <c r="E361" i="4"/>
  <c r="J360" i="4"/>
  <c r="F360" i="4"/>
  <c r="H360" i="4"/>
  <c r="D362" i="4"/>
  <c r="F361" i="3"/>
  <c r="D362" i="3"/>
  <c r="I360" i="3"/>
  <c r="U360" i="3"/>
  <c r="O360" i="3"/>
  <c r="D364" i="2"/>
  <c r="K362" i="2"/>
  <c r="H362" i="2" s="1"/>
  <c r="N363" i="2"/>
  <c r="A363" i="4"/>
  <c r="N362" i="3"/>
  <c r="C362" i="3"/>
  <c r="P362" i="3"/>
  <c r="E362" i="3"/>
  <c r="G362" i="3"/>
  <c r="S362" i="3"/>
  <c r="Y362" i="3" s="1"/>
  <c r="Z362" i="3" s="1"/>
  <c r="AA362" i="3" s="1"/>
  <c r="H362" i="3"/>
  <c r="T362" i="3"/>
  <c r="J362" i="3"/>
  <c r="V362" i="3"/>
  <c r="M362" i="3"/>
  <c r="M363" i="2"/>
  <c r="J362" i="2"/>
  <c r="G362" i="2" s="1"/>
  <c r="C364" i="2"/>
  <c r="E364" i="2" s="1"/>
  <c r="G362" i="4"/>
  <c r="L362" i="4" s="1"/>
  <c r="I362" i="4"/>
  <c r="M362" i="4" s="1"/>
  <c r="K362" i="4"/>
  <c r="N362" i="4" s="1"/>
  <c r="C362" i="4"/>
  <c r="AB361" i="3"/>
  <c r="I362" i="2"/>
  <c r="F362" i="2" s="1"/>
  <c r="L363" i="2"/>
  <c r="B364" i="3" l="1"/>
  <c r="F361" i="4"/>
  <c r="E362" i="4"/>
  <c r="H361" i="4"/>
  <c r="J361" i="4"/>
  <c r="D363" i="4"/>
  <c r="K363" i="2"/>
  <c r="H363" i="2" s="1"/>
  <c r="N364" i="2"/>
  <c r="D365" i="2"/>
  <c r="C365" i="2"/>
  <c r="A364" i="4"/>
  <c r="M363" i="3"/>
  <c r="N363" i="3"/>
  <c r="C363" i="3"/>
  <c r="P363" i="3"/>
  <c r="E363" i="3"/>
  <c r="G363" i="3"/>
  <c r="S363" i="3"/>
  <c r="Y363" i="3" s="1"/>
  <c r="Z363" i="3" s="1"/>
  <c r="AA363" i="3" s="1"/>
  <c r="H363" i="3"/>
  <c r="T363" i="3"/>
  <c r="J363" i="3"/>
  <c r="V363" i="3"/>
  <c r="F362" i="3"/>
  <c r="D363" i="3"/>
  <c r="I363" i="2"/>
  <c r="F363" i="2" s="1"/>
  <c r="L364" i="2"/>
  <c r="I361" i="3"/>
  <c r="U361" i="3"/>
  <c r="O361" i="3"/>
  <c r="M364" i="2"/>
  <c r="J363" i="2"/>
  <c r="G363" i="2" s="1"/>
  <c r="C363" i="4"/>
  <c r="AB362" i="3"/>
  <c r="G363" i="4"/>
  <c r="L363" i="4" s="1"/>
  <c r="I363" i="4"/>
  <c r="M363" i="4" s="1"/>
  <c r="K363" i="4"/>
  <c r="N363" i="4" s="1"/>
  <c r="E365" i="2" l="1"/>
  <c r="B365" i="3"/>
  <c r="E363" i="4"/>
  <c r="H362" i="4"/>
  <c r="J362" i="4"/>
  <c r="F362" i="4"/>
  <c r="D364" i="4"/>
  <c r="G364" i="4"/>
  <c r="L364" i="4" s="1"/>
  <c r="I364" i="4"/>
  <c r="M364" i="4" s="1"/>
  <c r="K364" i="4"/>
  <c r="N364" i="4" s="1"/>
  <c r="C366" i="2"/>
  <c r="O362" i="3"/>
  <c r="I362" i="3"/>
  <c r="U362" i="3"/>
  <c r="M365" i="2"/>
  <c r="J364" i="2"/>
  <c r="G364" i="2" s="1"/>
  <c r="A365" i="4"/>
  <c r="H364" i="3"/>
  <c r="T364" i="3"/>
  <c r="J364" i="3"/>
  <c r="V364" i="3"/>
  <c r="M364" i="3"/>
  <c r="N364" i="3"/>
  <c r="C364" i="3"/>
  <c r="P364" i="3"/>
  <c r="E364" i="3"/>
  <c r="S364" i="3"/>
  <c r="Y364" i="3" s="1"/>
  <c r="Z364" i="3" s="1"/>
  <c r="AA364" i="3" s="1"/>
  <c r="G364" i="3"/>
  <c r="D366" i="2"/>
  <c r="N365" i="2"/>
  <c r="K364" i="2"/>
  <c r="H364" i="2" s="1"/>
  <c r="L365" i="2"/>
  <c r="I364" i="2"/>
  <c r="F364" i="2" s="1"/>
  <c r="C364" i="4"/>
  <c r="AB363" i="3"/>
  <c r="F363" i="3"/>
  <c r="D364" i="3"/>
  <c r="E366" i="2" l="1"/>
  <c r="B366" i="3"/>
  <c r="F363" i="4"/>
  <c r="E364" i="4"/>
  <c r="H363" i="4"/>
  <c r="J363" i="4"/>
  <c r="D365" i="4"/>
  <c r="I365" i="2"/>
  <c r="F365" i="2" s="1"/>
  <c r="L366" i="2"/>
  <c r="C365" i="4"/>
  <c r="AB364" i="3"/>
  <c r="N366" i="2"/>
  <c r="K365" i="2"/>
  <c r="H365" i="2" s="1"/>
  <c r="C367" i="2"/>
  <c r="D367" i="2"/>
  <c r="G365" i="4"/>
  <c r="L365" i="4" s="1"/>
  <c r="I365" i="4"/>
  <c r="M365" i="4" s="1"/>
  <c r="K365" i="4"/>
  <c r="N365" i="4" s="1"/>
  <c r="O363" i="3"/>
  <c r="I363" i="3"/>
  <c r="U363" i="3"/>
  <c r="A366" i="4"/>
  <c r="E365" i="3"/>
  <c r="G365" i="3"/>
  <c r="S365" i="3"/>
  <c r="Y365" i="3" s="1"/>
  <c r="Z365" i="3" s="1"/>
  <c r="AA365" i="3" s="1"/>
  <c r="H365" i="3"/>
  <c r="T365" i="3"/>
  <c r="J365" i="3"/>
  <c r="V365" i="3"/>
  <c r="M365" i="3"/>
  <c r="N365" i="3"/>
  <c r="C365" i="3"/>
  <c r="P365" i="3"/>
  <c r="M366" i="2"/>
  <c r="J365" i="2"/>
  <c r="G365" i="2" s="1"/>
  <c r="F364" i="3"/>
  <c r="D365" i="3"/>
  <c r="E367" i="2" l="1"/>
  <c r="B367" i="3"/>
  <c r="J364" i="4"/>
  <c r="F364" i="4"/>
  <c r="H364" i="4"/>
  <c r="E365" i="4"/>
  <c r="D366" i="4"/>
  <c r="K366" i="4"/>
  <c r="N366" i="4" s="1"/>
  <c r="G366" i="4"/>
  <c r="L366" i="4" s="1"/>
  <c r="I366" i="4"/>
  <c r="M366" i="4" s="1"/>
  <c r="D368" i="2"/>
  <c r="C366" i="4"/>
  <c r="AB365" i="3"/>
  <c r="C368" i="2"/>
  <c r="K366" i="2"/>
  <c r="H366" i="2" s="1"/>
  <c r="N367" i="2"/>
  <c r="I366" i="2"/>
  <c r="F366" i="2" s="1"/>
  <c r="L367" i="2"/>
  <c r="A367" i="4"/>
  <c r="N366" i="3"/>
  <c r="C366" i="3"/>
  <c r="P366" i="3"/>
  <c r="E366" i="3"/>
  <c r="G366" i="3"/>
  <c r="S366" i="3"/>
  <c r="Y366" i="3" s="1"/>
  <c r="Z366" i="3" s="1"/>
  <c r="AA366" i="3" s="1"/>
  <c r="H366" i="3"/>
  <c r="T366" i="3"/>
  <c r="J366" i="3"/>
  <c r="V366" i="3"/>
  <c r="M366" i="3"/>
  <c r="F365" i="3"/>
  <c r="D366" i="3"/>
  <c r="I364" i="3"/>
  <c r="U364" i="3"/>
  <c r="O364" i="3"/>
  <c r="M367" i="2"/>
  <c r="J366" i="2"/>
  <c r="G366" i="2" s="1"/>
  <c r="E368" i="2" l="1"/>
  <c r="B368" i="3"/>
  <c r="E366" i="4"/>
  <c r="J365" i="4"/>
  <c r="F365" i="4"/>
  <c r="H365" i="4"/>
  <c r="D367" i="4"/>
  <c r="F366" i="3"/>
  <c r="D367" i="3"/>
  <c r="I365" i="3"/>
  <c r="U365" i="3"/>
  <c r="O365" i="3"/>
  <c r="C367" i="4"/>
  <c r="AB366" i="3"/>
  <c r="I367" i="4"/>
  <c r="M367" i="4" s="1"/>
  <c r="K367" i="4"/>
  <c r="N367" i="4" s="1"/>
  <c r="G367" i="4"/>
  <c r="L367" i="4" s="1"/>
  <c r="D369" i="2"/>
  <c r="I367" i="2"/>
  <c r="F367" i="2" s="1"/>
  <c r="L368" i="2"/>
  <c r="N368" i="2"/>
  <c r="K367" i="2"/>
  <c r="H367" i="2" s="1"/>
  <c r="C369" i="2"/>
  <c r="J367" i="2"/>
  <c r="G367" i="2" s="1"/>
  <c r="M368" i="2"/>
  <c r="A368" i="4"/>
  <c r="M367" i="3"/>
  <c r="N367" i="3"/>
  <c r="C367" i="3"/>
  <c r="P367" i="3"/>
  <c r="E367" i="3"/>
  <c r="G367" i="3"/>
  <c r="S367" i="3"/>
  <c r="Y367" i="3" s="1"/>
  <c r="Z367" i="3" s="1"/>
  <c r="AA367" i="3" s="1"/>
  <c r="H367" i="3"/>
  <c r="T367" i="3"/>
  <c r="J367" i="3"/>
  <c r="V367" i="3"/>
  <c r="E369" i="2" l="1"/>
  <c r="B369" i="3"/>
  <c r="F366" i="4"/>
  <c r="H366" i="4"/>
  <c r="E367" i="4"/>
  <c r="J366" i="4"/>
  <c r="D368" i="4"/>
  <c r="A369" i="4"/>
  <c r="H368" i="3"/>
  <c r="T368" i="3"/>
  <c r="J368" i="3"/>
  <c r="V368" i="3"/>
  <c r="M368" i="3"/>
  <c r="N368" i="3"/>
  <c r="C368" i="3"/>
  <c r="P368" i="3"/>
  <c r="E368" i="3"/>
  <c r="G368" i="3"/>
  <c r="S368" i="3"/>
  <c r="Y368" i="3" s="1"/>
  <c r="Z368" i="3" s="1"/>
  <c r="AA368" i="3" s="1"/>
  <c r="N369" i="2"/>
  <c r="K368" i="2"/>
  <c r="H368" i="2" s="1"/>
  <c r="I368" i="2"/>
  <c r="F368" i="2" s="1"/>
  <c r="L369" i="2"/>
  <c r="D370" i="2"/>
  <c r="C368" i="4"/>
  <c r="AB367" i="3"/>
  <c r="G368" i="4"/>
  <c r="L368" i="4" s="1"/>
  <c r="I368" i="4"/>
  <c r="M368" i="4" s="1"/>
  <c r="K368" i="4"/>
  <c r="N368" i="4" s="1"/>
  <c r="F367" i="3"/>
  <c r="D368" i="3"/>
  <c r="M369" i="2"/>
  <c r="J368" i="2"/>
  <c r="G368" i="2" s="1"/>
  <c r="O366" i="3"/>
  <c r="I366" i="3"/>
  <c r="U366" i="3"/>
  <c r="C370" i="2"/>
  <c r="E370" i="2" l="1"/>
  <c r="B370" i="3"/>
  <c r="J367" i="4"/>
  <c r="F367" i="4"/>
  <c r="H367" i="4"/>
  <c r="E368" i="4"/>
  <c r="D369" i="4"/>
  <c r="J369" i="2"/>
  <c r="G369" i="2" s="1"/>
  <c r="M370" i="2"/>
  <c r="F368" i="3"/>
  <c r="D369" i="3"/>
  <c r="D371" i="2"/>
  <c r="C369" i="4"/>
  <c r="AB368" i="3"/>
  <c r="O367" i="3"/>
  <c r="I367" i="3"/>
  <c r="U367" i="3"/>
  <c r="I369" i="2"/>
  <c r="F369" i="2" s="1"/>
  <c r="L370" i="2"/>
  <c r="N370" i="2"/>
  <c r="K369" i="2"/>
  <c r="H369" i="2" s="1"/>
  <c r="G369" i="4"/>
  <c r="L369" i="4" s="1"/>
  <c r="I369" i="4"/>
  <c r="M369" i="4" s="1"/>
  <c r="K369" i="4"/>
  <c r="N369" i="4" s="1"/>
  <c r="C371" i="2"/>
  <c r="A370" i="4"/>
  <c r="E369" i="3"/>
  <c r="G369" i="3"/>
  <c r="S369" i="3"/>
  <c r="Y369" i="3" s="1"/>
  <c r="Z369" i="3" s="1"/>
  <c r="AA369" i="3" s="1"/>
  <c r="H369" i="3"/>
  <c r="T369" i="3"/>
  <c r="J369" i="3"/>
  <c r="V369" i="3"/>
  <c r="M369" i="3"/>
  <c r="N369" i="3"/>
  <c r="C369" i="3"/>
  <c r="P369" i="3"/>
  <c r="E371" i="2" l="1"/>
  <c r="B371" i="3"/>
  <c r="E369" i="4"/>
  <c r="J368" i="4"/>
  <c r="F368" i="4"/>
  <c r="H368" i="4"/>
  <c r="D370" i="4"/>
  <c r="D372" i="2"/>
  <c r="A371" i="4"/>
  <c r="N370" i="3"/>
  <c r="C370" i="3"/>
  <c r="P370" i="3"/>
  <c r="E370" i="3"/>
  <c r="G370" i="3"/>
  <c r="S370" i="3"/>
  <c r="Y370" i="3" s="1"/>
  <c r="Z370" i="3" s="1"/>
  <c r="AA370" i="3" s="1"/>
  <c r="H370" i="3"/>
  <c r="T370" i="3"/>
  <c r="J370" i="3"/>
  <c r="V370" i="3"/>
  <c r="M370" i="3"/>
  <c r="F369" i="3"/>
  <c r="D370" i="3"/>
  <c r="N371" i="2"/>
  <c r="K370" i="2"/>
  <c r="H370" i="2" s="1"/>
  <c r="I368" i="3"/>
  <c r="U368" i="3"/>
  <c r="O368" i="3"/>
  <c r="G370" i="4"/>
  <c r="L370" i="4" s="1"/>
  <c r="I370" i="4"/>
  <c r="M370" i="4" s="1"/>
  <c r="K370" i="4"/>
  <c r="N370" i="4" s="1"/>
  <c r="L371" i="2"/>
  <c r="I370" i="2"/>
  <c r="F370" i="2" s="1"/>
  <c r="M371" i="2"/>
  <c r="J370" i="2"/>
  <c r="G370" i="2" s="1"/>
  <c r="C372" i="2"/>
  <c r="C370" i="4"/>
  <c r="AB369" i="3"/>
  <c r="E372" i="2" l="1"/>
  <c r="B372" i="3"/>
  <c r="H369" i="4"/>
  <c r="J369" i="4"/>
  <c r="E370" i="4"/>
  <c r="F369" i="4"/>
  <c r="D371" i="4"/>
  <c r="A372" i="4"/>
  <c r="M371" i="3"/>
  <c r="N371" i="3"/>
  <c r="C371" i="3"/>
  <c r="P371" i="3"/>
  <c r="E371" i="3"/>
  <c r="G371" i="3"/>
  <c r="S371" i="3"/>
  <c r="Y371" i="3" s="1"/>
  <c r="Z371" i="3" s="1"/>
  <c r="AA371" i="3" s="1"/>
  <c r="H371" i="3"/>
  <c r="T371" i="3"/>
  <c r="V371" i="3"/>
  <c r="J371" i="3"/>
  <c r="M372" i="2"/>
  <c r="J371" i="2"/>
  <c r="G371" i="2" s="1"/>
  <c r="N372" i="2"/>
  <c r="K371" i="2"/>
  <c r="H371" i="2" s="1"/>
  <c r="I371" i="2"/>
  <c r="F371" i="2" s="1"/>
  <c r="L372" i="2"/>
  <c r="F370" i="3"/>
  <c r="D371" i="3"/>
  <c r="I369" i="3"/>
  <c r="U369" i="3"/>
  <c r="O369" i="3"/>
  <c r="C371" i="4"/>
  <c r="AB370" i="3"/>
  <c r="I371" i="4"/>
  <c r="M371" i="4" s="1"/>
  <c r="K371" i="4"/>
  <c r="N371" i="4" s="1"/>
  <c r="G371" i="4"/>
  <c r="L371" i="4" s="1"/>
  <c r="D373" i="2"/>
  <c r="C373" i="2"/>
  <c r="E373" i="2" l="1"/>
  <c r="B373" i="3"/>
  <c r="E371" i="4"/>
  <c r="J370" i="4"/>
  <c r="F370" i="4"/>
  <c r="H370" i="4"/>
  <c r="D372" i="4"/>
  <c r="D374" i="2"/>
  <c r="F371" i="3"/>
  <c r="D372" i="3"/>
  <c r="O370" i="3"/>
  <c r="I370" i="3"/>
  <c r="U370" i="3"/>
  <c r="L373" i="2"/>
  <c r="I372" i="2"/>
  <c r="F372" i="2" s="1"/>
  <c r="A373" i="4"/>
  <c r="H372" i="3"/>
  <c r="T372" i="3"/>
  <c r="J372" i="3"/>
  <c r="V372" i="3"/>
  <c r="M372" i="3"/>
  <c r="N372" i="3"/>
  <c r="C372" i="3"/>
  <c r="P372" i="3"/>
  <c r="E372" i="3"/>
  <c r="G372" i="3"/>
  <c r="S372" i="3"/>
  <c r="Y372" i="3" s="1"/>
  <c r="Z372" i="3" s="1"/>
  <c r="AA372" i="3" s="1"/>
  <c r="N373" i="2"/>
  <c r="K372" i="2"/>
  <c r="H372" i="2" s="1"/>
  <c r="M373" i="2"/>
  <c r="J372" i="2"/>
  <c r="G372" i="2" s="1"/>
  <c r="C372" i="4"/>
  <c r="AB371" i="3"/>
  <c r="K372" i="4"/>
  <c r="N372" i="4" s="1"/>
  <c r="G372" i="4"/>
  <c r="L372" i="4" s="1"/>
  <c r="I372" i="4"/>
  <c r="M372" i="4" s="1"/>
  <c r="C374" i="2"/>
  <c r="E374" i="2" l="1"/>
  <c r="B374" i="3"/>
  <c r="E372" i="4"/>
  <c r="J371" i="4"/>
  <c r="F371" i="4"/>
  <c r="H371" i="4"/>
  <c r="D373" i="4"/>
  <c r="A374" i="4"/>
  <c r="E373" i="3"/>
  <c r="G373" i="3"/>
  <c r="S373" i="3"/>
  <c r="Y373" i="3" s="1"/>
  <c r="Z373" i="3" s="1"/>
  <c r="AA373" i="3" s="1"/>
  <c r="H373" i="3"/>
  <c r="T373" i="3"/>
  <c r="J373" i="3"/>
  <c r="V373" i="3"/>
  <c r="M373" i="3"/>
  <c r="N373" i="3"/>
  <c r="C373" i="3"/>
  <c r="P373" i="3"/>
  <c r="L374" i="2"/>
  <c r="I373" i="2"/>
  <c r="F373" i="2" s="1"/>
  <c r="F372" i="3"/>
  <c r="D373" i="3"/>
  <c r="C373" i="4"/>
  <c r="AB372" i="3"/>
  <c r="O371" i="3"/>
  <c r="I371" i="3"/>
  <c r="U371" i="3"/>
  <c r="D375" i="2"/>
  <c r="C375" i="2"/>
  <c r="M374" i="2"/>
  <c r="J373" i="2"/>
  <c r="G373" i="2" s="1"/>
  <c r="N374" i="2"/>
  <c r="K373" i="2"/>
  <c r="H373" i="2" s="1"/>
  <c r="I373" i="4"/>
  <c r="M373" i="4" s="1"/>
  <c r="K373" i="4"/>
  <c r="N373" i="4" s="1"/>
  <c r="G373" i="4"/>
  <c r="L373" i="4" s="1"/>
  <c r="E375" i="2" l="1"/>
  <c r="B375" i="3"/>
  <c r="J372" i="4"/>
  <c r="H372" i="4"/>
  <c r="F372" i="4"/>
  <c r="E373" i="4"/>
  <c r="D374" i="4"/>
  <c r="N375" i="2"/>
  <c r="K374" i="2"/>
  <c r="H374" i="2" s="1"/>
  <c r="I372" i="3"/>
  <c r="U372" i="3"/>
  <c r="O372" i="3"/>
  <c r="A375" i="4"/>
  <c r="N374" i="3"/>
  <c r="C374" i="3"/>
  <c r="P374" i="3"/>
  <c r="E374" i="3"/>
  <c r="G374" i="3"/>
  <c r="S374" i="3"/>
  <c r="Y374" i="3" s="1"/>
  <c r="Z374" i="3" s="1"/>
  <c r="AA374" i="3" s="1"/>
  <c r="H374" i="3"/>
  <c r="T374" i="3"/>
  <c r="J374" i="3"/>
  <c r="V374" i="3"/>
  <c r="M374" i="3"/>
  <c r="C376" i="2"/>
  <c r="L375" i="2"/>
  <c r="I374" i="2"/>
  <c r="F374" i="2" s="1"/>
  <c r="G374" i="4"/>
  <c r="L374" i="4" s="1"/>
  <c r="I374" i="4"/>
  <c r="M374" i="4" s="1"/>
  <c r="K374" i="4"/>
  <c r="N374" i="4" s="1"/>
  <c r="M375" i="2"/>
  <c r="J374" i="2"/>
  <c r="G374" i="2" s="1"/>
  <c r="F373" i="3"/>
  <c r="D374" i="3"/>
  <c r="D376" i="2"/>
  <c r="C374" i="4"/>
  <c r="AB373" i="3"/>
  <c r="E376" i="2" l="1"/>
  <c r="B376" i="3"/>
  <c r="E374" i="4"/>
  <c r="F373" i="4"/>
  <c r="H373" i="4"/>
  <c r="J373" i="4"/>
  <c r="D375" i="4"/>
  <c r="L376" i="2"/>
  <c r="I375" i="2"/>
  <c r="F375" i="2" s="1"/>
  <c r="D377" i="2"/>
  <c r="F374" i="3"/>
  <c r="D375" i="3"/>
  <c r="I373" i="3"/>
  <c r="U373" i="3"/>
  <c r="O373" i="3"/>
  <c r="C377" i="2"/>
  <c r="E377" i="2" s="1"/>
  <c r="M376" i="2"/>
  <c r="J375" i="2"/>
  <c r="G375" i="2" s="1"/>
  <c r="C375" i="4"/>
  <c r="AB374" i="3"/>
  <c r="G375" i="4"/>
  <c r="L375" i="4" s="1"/>
  <c r="I375" i="4"/>
  <c r="M375" i="4" s="1"/>
  <c r="K375" i="4"/>
  <c r="N375" i="4" s="1"/>
  <c r="N376" i="2"/>
  <c r="K375" i="2"/>
  <c r="H375" i="2" s="1"/>
  <c r="A376" i="4"/>
  <c r="M375" i="3"/>
  <c r="N375" i="3"/>
  <c r="C375" i="3"/>
  <c r="P375" i="3"/>
  <c r="E375" i="3"/>
  <c r="G375" i="3"/>
  <c r="S375" i="3"/>
  <c r="Y375" i="3" s="1"/>
  <c r="Z375" i="3" s="1"/>
  <c r="AA375" i="3" s="1"/>
  <c r="H375" i="3"/>
  <c r="T375" i="3"/>
  <c r="J375" i="3"/>
  <c r="V375" i="3"/>
  <c r="B377" i="3" l="1"/>
  <c r="E375" i="4"/>
  <c r="H374" i="4"/>
  <c r="J374" i="4"/>
  <c r="F374" i="4"/>
  <c r="D376" i="4"/>
  <c r="F375" i="3"/>
  <c r="D376" i="3"/>
  <c r="O374" i="3"/>
  <c r="I374" i="3"/>
  <c r="U374" i="3"/>
  <c r="D378" i="2"/>
  <c r="A377" i="4"/>
  <c r="H376" i="3"/>
  <c r="T376" i="3"/>
  <c r="J376" i="3"/>
  <c r="V376" i="3"/>
  <c r="M376" i="3"/>
  <c r="N376" i="3"/>
  <c r="C376" i="3"/>
  <c r="P376" i="3"/>
  <c r="E376" i="3"/>
  <c r="G376" i="3"/>
  <c r="S376" i="3"/>
  <c r="Y376" i="3" s="1"/>
  <c r="Z376" i="3" s="1"/>
  <c r="AA376" i="3" s="1"/>
  <c r="C376" i="4"/>
  <c r="AB375" i="3"/>
  <c r="G376" i="4"/>
  <c r="L376" i="4" s="1"/>
  <c r="K376" i="4"/>
  <c r="N376" i="4" s="1"/>
  <c r="I376" i="4"/>
  <c r="M376" i="4" s="1"/>
  <c r="M377" i="2"/>
  <c r="J376" i="2"/>
  <c r="G376" i="2" s="1"/>
  <c r="C378" i="2"/>
  <c r="L377" i="2"/>
  <c r="I376" i="2"/>
  <c r="F376" i="2" s="1"/>
  <c r="N377" i="2"/>
  <c r="K376" i="2"/>
  <c r="H376" i="2" s="1"/>
  <c r="E378" i="2" l="1"/>
  <c r="B378" i="3"/>
  <c r="H375" i="4"/>
  <c r="E376" i="4"/>
  <c r="J375" i="4"/>
  <c r="F375" i="4"/>
  <c r="D377" i="4"/>
  <c r="C379" i="2"/>
  <c r="A378" i="4"/>
  <c r="E377" i="3"/>
  <c r="G377" i="3"/>
  <c r="S377" i="3"/>
  <c r="Y377" i="3" s="1"/>
  <c r="Z377" i="3" s="1"/>
  <c r="AA377" i="3" s="1"/>
  <c r="H377" i="3"/>
  <c r="T377" i="3"/>
  <c r="J377" i="3"/>
  <c r="V377" i="3"/>
  <c r="M377" i="3"/>
  <c r="N377" i="3"/>
  <c r="C377" i="3"/>
  <c r="P377" i="3"/>
  <c r="D379" i="2"/>
  <c r="G377" i="4"/>
  <c r="L377" i="4" s="1"/>
  <c r="I377" i="4"/>
  <c r="M377" i="4" s="1"/>
  <c r="K377" i="4"/>
  <c r="N377" i="4" s="1"/>
  <c r="M378" i="2"/>
  <c r="J377" i="2"/>
  <c r="G377" i="2" s="1"/>
  <c r="C377" i="4"/>
  <c r="AB376" i="3"/>
  <c r="F376" i="3"/>
  <c r="D377" i="3"/>
  <c r="N378" i="2"/>
  <c r="K377" i="2"/>
  <c r="H377" i="2" s="1"/>
  <c r="O375" i="3"/>
  <c r="I375" i="3"/>
  <c r="U375" i="3"/>
  <c r="L378" i="2"/>
  <c r="I377" i="2"/>
  <c r="F377" i="2" s="1"/>
  <c r="E379" i="2" l="1"/>
  <c r="B379" i="3"/>
  <c r="E377" i="4"/>
  <c r="J376" i="4"/>
  <c r="H376" i="4"/>
  <c r="F376" i="4"/>
  <c r="D378" i="4"/>
  <c r="N379" i="2"/>
  <c r="K378" i="2"/>
  <c r="H378" i="2" s="1"/>
  <c r="F377" i="3"/>
  <c r="D378" i="3"/>
  <c r="I376" i="3"/>
  <c r="U376" i="3"/>
  <c r="O376" i="3"/>
  <c r="A379" i="4"/>
  <c r="N378" i="3"/>
  <c r="C378" i="3"/>
  <c r="P378" i="3"/>
  <c r="E378" i="3"/>
  <c r="G378" i="3"/>
  <c r="S378" i="3"/>
  <c r="Y378" i="3" s="1"/>
  <c r="Z378" i="3" s="1"/>
  <c r="AA378" i="3" s="1"/>
  <c r="H378" i="3"/>
  <c r="T378" i="3"/>
  <c r="J378" i="3"/>
  <c r="V378" i="3"/>
  <c r="M378" i="3"/>
  <c r="D380" i="2"/>
  <c r="K378" i="4"/>
  <c r="N378" i="4" s="1"/>
  <c r="G378" i="4"/>
  <c r="L378" i="4" s="1"/>
  <c r="I378" i="4"/>
  <c r="M378" i="4" s="1"/>
  <c r="M379" i="2"/>
  <c r="J378" i="2"/>
  <c r="G378" i="2" s="1"/>
  <c r="L379" i="2"/>
  <c r="I378" i="2"/>
  <c r="F378" i="2" s="1"/>
  <c r="C378" i="4"/>
  <c r="AB377" i="3"/>
  <c r="C380" i="2"/>
  <c r="E380" i="2" l="1"/>
  <c r="B380" i="3"/>
  <c r="H377" i="4"/>
  <c r="E378" i="4"/>
  <c r="F377" i="4"/>
  <c r="J377" i="4"/>
  <c r="D379" i="4"/>
  <c r="L380" i="2"/>
  <c r="I379" i="2"/>
  <c r="F379" i="2" s="1"/>
  <c r="C379" i="4"/>
  <c r="AB378" i="3"/>
  <c r="I379" i="4"/>
  <c r="M379" i="4" s="1"/>
  <c r="K379" i="4"/>
  <c r="N379" i="4" s="1"/>
  <c r="G379" i="4"/>
  <c r="L379" i="4" s="1"/>
  <c r="M380" i="2"/>
  <c r="J379" i="2"/>
  <c r="G379" i="2" s="1"/>
  <c r="F378" i="3"/>
  <c r="D379" i="3"/>
  <c r="I377" i="3"/>
  <c r="U377" i="3"/>
  <c r="O377" i="3"/>
  <c r="C381" i="2"/>
  <c r="A380" i="4"/>
  <c r="M379" i="3"/>
  <c r="N379" i="3"/>
  <c r="C379" i="3"/>
  <c r="P379" i="3"/>
  <c r="E379" i="3"/>
  <c r="G379" i="3"/>
  <c r="S379" i="3"/>
  <c r="Y379" i="3" s="1"/>
  <c r="Z379" i="3" s="1"/>
  <c r="AA379" i="3" s="1"/>
  <c r="H379" i="3"/>
  <c r="T379" i="3"/>
  <c r="J379" i="3"/>
  <c r="V379" i="3"/>
  <c r="N380" i="2"/>
  <c r="K379" i="2"/>
  <c r="H379" i="2" s="1"/>
  <c r="D381" i="2"/>
  <c r="E381" i="2" l="1"/>
  <c r="B381" i="3"/>
  <c r="H378" i="4"/>
  <c r="J378" i="4"/>
  <c r="F378" i="4"/>
  <c r="E379" i="4"/>
  <c r="D380" i="4"/>
  <c r="N381" i="2"/>
  <c r="K380" i="2"/>
  <c r="H380" i="2" s="1"/>
  <c r="C380" i="4"/>
  <c r="AB379" i="3"/>
  <c r="G380" i="4"/>
  <c r="L380" i="4" s="1"/>
  <c r="I380" i="4"/>
  <c r="M380" i="4" s="1"/>
  <c r="K380" i="4"/>
  <c r="N380" i="4" s="1"/>
  <c r="C382" i="2"/>
  <c r="A381" i="4"/>
  <c r="H380" i="3"/>
  <c r="T380" i="3"/>
  <c r="J380" i="3"/>
  <c r="V380" i="3"/>
  <c r="M380" i="3"/>
  <c r="N380" i="3"/>
  <c r="C380" i="3"/>
  <c r="P380" i="3"/>
  <c r="E380" i="3"/>
  <c r="S380" i="3"/>
  <c r="Y380" i="3" s="1"/>
  <c r="Z380" i="3" s="1"/>
  <c r="AA380" i="3" s="1"/>
  <c r="G380" i="3"/>
  <c r="F379" i="3"/>
  <c r="D380" i="3"/>
  <c r="O378" i="3"/>
  <c r="I378" i="3"/>
  <c r="U378" i="3"/>
  <c r="L381" i="2"/>
  <c r="I380" i="2"/>
  <c r="F380" i="2" s="1"/>
  <c r="D382" i="2"/>
  <c r="M381" i="2"/>
  <c r="J380" i="2"/>
  <c r="G380" i="2" s="1"/>
  <c r="E382" i="2" l="1"/>
  <c r="B382" i="3"/>
  <c r="J379" i="4"/>
  <c r="F379" i="4"/>
  <c r="H379" i="4"/>
  <c r="E380" i="4"/>
  <c r="D381" i="4"/>
  <c r="L382" i="2"/>
  <c r="I381" i="2"/>
  <c r="F381" i="2" s="1"/>
  <c r="C381" i="4"/>
  <c r="AB380" i="3"/>
  <c r="D383" i="2"/>
  <c r="F380" i="3"/>
  <c r="D381" i="3"/>
  <c r="O379" i="3"/>
  <c r="I379" i="3"/>
  <c r="U379" i="3"/>
  <c r="G381" i="4"/>
  <c r="L381" i="4" s="1"/>
  <c r="I381" i="4"/>
  <c r="M381" i="4" s="1"/>
  <c r="K381" i="4"/>
  <c r="N381" i="4" s="1"/>
  <c r="M382" i="2"/>
  <c r="J381" i="2"/>
  <c r="G381" i="2" s="1"/>
  <c r="N382" i="2"/>
  <c r="K381" i="2"/>
  <c r="H381" i="2" s="1"/>
  <c r="A382" i="4"/>
  <c r="E381" i="3"/>
  <c r="G381" i="3"/>
  <c r="S381" i="3"/>
  <c r="Y381" i="3" s="1"/>
  <c r="Z381" i="3" s="1"/>
  <c r="AA381" i="3" s="1"/>
  <c r="H381" i="3"/>
  <c r="T381" i="3"/>
  <c r="J381" i="3"/>
  <c r="V381" i="3"/>
  <c r="M381" i="3"/>
  <c r="N381" i="3"/>
  <c r="C381" i="3"/>
  <c r="P381" i="3"/>
  <c r="C383" i="2"/>
  <c r="E383" i="2" l="1"/>
  <c r="B383" i="3"/>
  <c r="J380" i="4"/>
  <c r="F380" i="4"/>
  <c r="H380" i="4"/>
  <c r="E381" i="4"/>
  <c r="D382" i="4"/>
  <c r="N383" i="2"/>
  <c r="K382" i="2"/>
  <c r="H382" i="2" s="1"/>
  <c r="F381" i="3"/>
  <c r="D382" i="3"/>
  <c r="C382" i="4"/>
  <c r="AB381" i="3"/>
  <c r="I380" i="3"/>
  <c r="U380" i="3"/>
  <c r="O380" i="3"/>
  <c r="M383" i="2"/>
  <c r="J382" i="2"/>
  <c r="G382" i="2" s="1"/>
  <c r="D384" i="2"/>
  <c r="C384" i="2"/>
  <c r="A383" i="4"/>
  <c r="N382" i="3"/>
  <c r="C382" i="3"/>
  <c r="P382" i="3"/>
  <c r="E382" i="3"/>
  <c r="G382" i="3"/>
  <c r="S382" i="3"/>
  <c r="Y382" i="3" s="1"/>
  <c r="Z382" i="3" s="1"/>
  <c r="AA382" i="3" s="1"/>
  <c r="H382" i="3"/>
  <c r="T382" i="3"/>
  <c r="J382" i="3"/>
  <c r="V382" i="3"/>
  <c r="M382" i="3"/>
  <c r="L383" i="2"/>
  <c r="I382" i="2"/>
  <c r="F382" i="2" s="1"/>
  <c r="K382" i="4"/>
  <c r="N382" i="4" s="1"/>
  <c r="G382" i="4"/>
  <c r="L382" i="4" s="1"/>
  <c r="I382" i="4"/>
  <c r="M382" i="4" s="1"/>
  <c r="E384" i="2" l="1"/>
  <c r="B384" i="3"/>
  <c r="H381" i="4"/>
  <c r="E382" i="4"/>
  <c r="J381" i="4"/>
  <c r="F381" i="4"/>
  <c r="D383" i="4"/>
  <c r="L384" i="2"/>
  <c r="I383" i="2"/>
  <c r="F383" i="2" s="1"/>
  <c r="C383" i="4"/>
  <c r="AB382" i="3"/>
  <c r="I383" i="4"/>
  <c r="M383" i="4" s="1"/>
  <c r="K383" i="4"/>
  <c r="N383" i="4" s="1"/>
  <c r="G383" i="4"/>
  <c r="L383" i="4" s="1"/>
  <c r="M384" i="2"/>
  <c r="J383" i="2"/>
  <c r="G383" i="2" s="1"/>
  <c r="F382" i="3"/>
  <c r="D383" i="3"/>
  <c r="C385" i="2"/>
  <c r="I381" i="3"/>
  <c r="U381" i="3"/>
  <c r="O381" i="3"/>
  <c r="D385" i="2"/>
  <c r="N384" i="2"/>
  <c r="K383" i="2"/>
  <c r="H383" i="2" s="1"/>
  <c r="A384" i="4"/>
  <c r="M383" i="3"/>
  <c r="N383" i="3"/>
  <c r="C383" i="3"/>
  <c r="P383" i="3"/>
  <c r="E383" i="3"/>
  <c r="G383" i="3"/>
  <c r="S383" i="3"/>
  <c r="Y383" i="3" s="1"/>
  <c r="Z383" i="3" s="1"/>
  <c r="AA383" i="3" s="1"/>
  <c r="H383" i="3"/>
  <c r="T383" i="3"/>
  <c r="J383" i="3"/>
  <c r="V383" i="3"/>
  <c r="E385" i="2" l="1"/>
  <c r="B385" i="3"/>
  <c r="H382" i="4"/>
  <c r="J382" i="4"/>
  <c r="F382" i="4"/>
  <c r="E383" i="4"/>
  <c r="D384" i="4"/>
  <c r="D386" i="2"/>
  <c r="C384" i="4"/>
  <c r="AB383" i="3"/>
  <c r="C386" i="2"/>
  <c r="G384" i="4"/>
  <c r="L384" i="4" s="1"/>
  <c r="I384" i="4"/>
  <c r="M384" i="4" s="1"/>
  <c r="K384" i="4"/>
  <c r="N384" i="4" s="1"/>
  <c r="F383" i="3"/>
  <c r="D384" i="3"/>
  <c r="O382" i="3"/>
  <c r="I382" i="3"/>
  <c r="U382" i="3"/>
  <c r="L385" i="2"/>
  <c r="I384" i="2"/>
  <c r="F384" i="2" s="1"/>
  <c r="N385" i="2"/>
  <c r="K384" i="2"/>
  <c r="H384" i="2" s="1"/>
  <c r="A385" i="4"/>
  <c r="H384" i="3"/>
  <c r="T384" i="3"/>
  <c r="J384" i="3"/>
  <c r="V384" i="3"/>
  <c r="M384" i="3"/>
  <c r="N384" i="3"/>
  <c r="C384" i="3"/>
  <c r="P384" i="3"/>
  <c r="E384" i="3"/>
  <c r="G384" i="3"/>
  <c r="S384" i="3"/>
  <c r="Y384" i="3" s="1"/>
  <c r="Z384" i="3" s="1"/>
  <c r="AA384" i="3" s="1"/>
  <c r="M385" i="2"/>
  <c r="J384" i="2"/>
  <c r="G384" i="2" s="1"/>
  <c r="E386" i="2" l="1"/>
  <c r="B386" i="3"/>
  <c r="J383" i="4"/>
  <c r="F383" i="4"/>
  <c r="H383" i="4"/>
  <c r="E384" i="4"/>
  <c r="D385" i="4"/>
  <c r="N386" i="2"/>
  <c r="K385" i="2"/>
  <c r="H385" i="2" s="1"/>
  <c r="L386" i="2"/>
  <c r="I385" i="2"/>
  <c r="F385" i="2" s="1"/>
  <c r="C387" i="2"/>
  <c r="C385" i="4"/>
  <c r="AB384" i="3"/>
  <c r="F384" i="3"/>
  <c r="D385" i="3"/>
  <c r="A386" i="4"/>
  <c r="E385" i="3"/>
  <c r="G385" i="3"/>
  <c r="S385" i="3"/>
  <c r="Y385" i="3" s="1"/>
  <c r="Z385" i="3" s="1"/>
  <c r="AA385" i="3" s="1"/>
  <c r="H385" i="3"/>
  <c r="T385" i="3"/>
  <c r="J385" i="3"/>
  <c r="V385" i="3"/>
  <c r="M385" i="3"/>
  <c r="N385" i="3"/>
  <c r="C385" i="3"/>
  <c r="P385" i="3"/>
  <c r="O383" i="3"/>
  <c r="I383" i="3"/>
  <c r="U383" i="3"/>
  <c r="D387" i="2"/>
  <c r="M386" i="2"/>
  <c r="J385" i="2"/>
  <c r="G385" i="2" s="1"/>
  <c r="G385" i="4"/>
  <c r="L385" i="4" s="1"/>
  <c r="I385" i="4"/>
  <c r="M385" i="4" s="1"/>
  <c r="K385" i="4"/>
  <c r="N385" i="4" s="1"/>
  <c r="E387" i="2" l="1"/>
  <c r="B387" i="3"/>
  <c r="F384" i="4"/>
  <c r="E385" i="4"/>
  <c r="J384" i="4"/>
  <c r="H384" i="4"/>
  <c r="D386" i="4"/>
  <c r="C386" i="4"/>
  <c r="AB385" i="3"/>
  <c r="I384" i="3"/>
  <c r="U384" i="3"/>
  <c r="O384" i="3"/>
  <c r="M387" i="2"/>
  <c r="J386" i="2"/>
  <c r="G386" i="2" s="1"/>
  <c r="D388" i="2"/>
  <c r="C388" i="2"/>
  <c r="L387" i="2"/>
  <c r="I386" i="2"/>
  <c r="F386" i="2" s="1"/>
  <c r="A387" i="4"/>
  <c r="N386" i="3"/>
  <c r="C386" i="3"/>
  <c r="P386" i="3"/>
  <c r="E386" i="3"/>
  <c r="G386" i="3"/>
  <c r="S386" i="3"/>
  <c r="Y386" i="3" s="1"/>
  <c r="Z386" i="3" s="1"/>
  <c r="AA386" i="3" s="1"/>
  <c r="H386" i="3"/>
  <c r="T386" i="3"/>
  <c r="J386" i="3"/>
  <c r="V386" i="3"/>
  <c r="M386" i="3"/>
  <c r="N387" i="2"/>
  <c r="K386" i="2"/>
  <c r="H386" i="2" s="1"/>
  <c r="G386" i="4"/>
  <c r="L386" i="4" s="1"/>
  <c r="I386" i="4"/>
  <c r="M386" i="4" s="1"/>
  <c r="K386" i="4"/>
  <c r="N386" i="4" s="1"/>
  <c r="F385" i="3"/>
  <c r="D386" i="3"/>
  <c r="E388" i="2" l="1"/>
  <c r="B388" i="3"/>
  <c r="E386" i="4"/>
  <c r="F385" i="4"/>
  <c r="H385" i="4"/>
  <c r="J385" i="4"/>
  <c r="D387" i="4"/>
  <c r="A388" i="4"/>
  <c r="M387" i="3"/>
  <c r="N387" i="3"/>
  <c r="C387" i="3"/>
  <c r="P387" i="3"/>
  <c r="E387" i="3"/>
  <c r="G387" i="3"/>
  <c r="S387" i="3"/>
  <c r="Y387" i="3" s="1"/>
  <c r="Z387" i="3" s="1"/>
  <c r="AA387" i="3" s="1"/>
  <c r="H387" i="3"/>
  <c r="T387" i="3"/>
  <c r="V387" i="3"/>
  <c r="J387" i="3"/>
  <c r="D389" i="2"/>
  <c r="M388" i="2"/>
  <c r="J387" i="2"/>
  <c r="G387" i="2" s="1"/>
  <c r="N388" i="2"/>
  <c r="K387" i="2"/>
  <c r="H387" i="2" s="1"/>
  <c r="C387" i="4"/>
  <c r="AB386" i="3"/>
  <c r="G387" i="4"/>
  <c r="L387" i="4" s="1"/>
  <c r="I387" i="4"/>
  <c r="M387" i="4" s="1"/>
  <c r="K387" i="4"/>
  <c r="N387" i="4" s="1"/>
  <c r="F386" i="3"/>
  <c r="D387" i="3"/>
  <c r="L388" i="2"/>
  <c r="I387" i="2"/>
  <c r="F387" i="2" s="1"/>
  <c r="I385" i="3"/>
  <c r="U385" i="3"/>
  <c r="O385" i="3"/>
  <c r="C389" i="2"/>
  <c r="E389" i="2" l="1"/>
  <c r="B389" i="3"/>
  <c r="E387" i="4"/>
  <c r="H386" i="4"/>
  <c r="J386" i="4"/>
  <c r="F386" i="4"/>
  <c r="D388" i="4"/>
  <c r="L389" i="2"/>
  <c r="I388" i="2"/>
  <c r="F388" i="2" s="1"/>
  <c r="N389" i="2"/>
  <c r="K388" i="2"/>
  <c r="H388" i="2" s="1"/>
  <c r="A389" i="4"/>
  <c r="H388" i="3"/>
  <c r="T388" i="3"/>
  <c r="J388" i="3"/>
  <c r="V388" i="3"/>
  <c r="M388" i="3"/>
  <c r="N388" i="3"/>
  <c r="C388" i="3"/>
  <c r="P388" i="3"/>
  <c r="E388" i="3"/>
  <c r="G388" i="3"/>
  <c r="S388" i="3"/>
  <c r="Y388" i="3" s="1"/>
  <c r="Z388" i="3" s="1"/>
  <c r="AA388" i="3" s="1"/>
  <c r="F387" i="3"/>
  <c r="D388" i="3"/>
  <c r="O386" i="3"/>
  <c r="I386" i="3"/>
  <c r="U386" i="3"/>
  <c r="M389" i="2"/>
  <c r="J388" i="2"/>
  <c r="G388" i="2" s="1"/>
  <c r="D390" i="2"/>
  <c r="C390" i="2"/>
  <c r="C388" i="4"/>
  <c r="AB387" i="3"/>
  <c r="K388" i="4"/>
  <c r="N388" i="4" s="1"/>
  <c r="G388" i="4"/>
  <c r="L388" i="4" s="1"/>
  <c r="I388" i="4"/>
  <c r="M388" i="4" s="1"/>
  <c r="E390" i="2" l="1"/>
  <c r="B390" i="3"/>
  <c r="H387" i="4"/>
  <c r="J387" i="4"/>
  <c r="F387" i="4"/>
  <c r="E388" i="4"/>
  <c r="D389" i="4"/>
  <c r="C389" i="4"/>
  <c r="AB388" i="3"/>
  <c r="F388" i="3"/>
  <c r="D389" i="3"/>
  <c r="O387" i="3"/>
  <c r="I387" i="3"/>
  <c r="U387" i="3"/>
  <c r="I389" i="4"/>
  <c r="M389" i="4" s="1"/>
  <c r="K389" i="4"/>
  <c r="N389" i="4" s="1"/>
  <c r="G389" i="4"/>
  <c r="L389" i="4" s="1"/>
  <c r="C391" i="2"/>
  <c r="A390" i="4"/>
  <c r="E389" i="3"/>
  <c r="G389" i="3"/>
  <c r="S389" i="3"/>
  <c r="Y389" i="3" s="1"/>
  <c r="Z389" i="3" s="1"/>
  <c r="AA389" i="3" s="1"/>
  <c r="H389" i="3"/>
  <c r="J389" i="3"/>
  <c r="V389" i="3"/>
  <c r="M389" i="3"/>
  <c r="N389" i="3"/>
  <c r="C389" i="3"/>
  <c r="T389" i="3"/>
  <c r="P389" i="3"/>
  <c r="N390" i="2"/>
  <c r="K389" i="2"/>
  <c r="H389" i="2" s="1"/>
  <c r="D391" i="2"/>
  <c r="L390" i="2"/>
  <c r="I389" i="2"/>
  <c r="F389" i="2" s="1"/>
  <c r="M390" i="2"/>
  <c r="J389" i="2"/>
  <c r="G389" i="2" s="1"/>
  <c r="E391" i="2" l="1"/>
  <c r="B391" i="3"/>
  <c r="E389" i="4"/>
  <c r="J388" i="4"/>
  <c r="F388" i="4"/>
  <c r="H388" i="4"/>
  <c r="D390" i="4"/>
  <c r="A391" i="4"/>
  <c r="N390" i="3"/>
  <c r="C390" i="3"/>
  <c r="P390" i="3"/>
  <c r="G390" i="3"/>
  <c r="S390" i="3"/>
  <c r="Y390" i="3" s="1"/>
  <c r="Z390" i="3" s="1"/>
  <c r="AA390" i="3" s="1"/>
  <c r="H390" i="3"/>
  <c r="T390" i="3"/>
  <c r="J390" i="3"/>
  <c r="V390" i="3"/>
  <c r="E390" i="3"/>
  <c r="M390" i="3"/>
  <c r="D392" i="2"/>
  <c r="N391" i="2"/>
  <c r="K390" i="2"/>
  <c r="H390" i="2" s="1"/>
  <c r="F389" i="3"/>
  <c r="D390" i="3"/>
  <c r="G390" i="4"/>
  <c r="L390" i="4" s="1"/>
  <c r="I390" i="4"/>
  <c r="M390" i="4" s="1"/>
  <c r="K390" i="4"/>
  <c r="N390" i="4" s="1"/>
  <c r="I388" i="3"/>
  <c r="U388" i="3"/>
  <c r="O388" i="3"/>
  <c r="C392" i="2"/>
  <c r="C390" i="4"/>
  <c r="AB389" i="3"/>
  <c r="M391" i="2"/>
  <c r="J390" i="2"/>
  <c r="G390" i="2" s="1"/>
  <c r="L391" i="2"/>
  <c r="I390" i="2"/>
  <c r="F390" i="2" s="1"/>
  <c r="E392" i="2" l="1"/>
  <c r="B392" i="3"/>
  <c r="E390" i="4"/>
  <c r="H389" i="4"/>
  <c r="J389" i="4"/>
  <c r="F389" i="4"/>
  <c r="D391" i="4"/>
  <c r="C393" i="2"/>
  <c r="F390" i="3"/>
  <c r="D391" i="3"/>
  <c r="I389" i="3"/>
  <c r="U389" i="3"/>
  <c r="O389" i="3"/>
  <c r="N392" i="2"/>
  <c r="K391" i="2"/>
  <c r="H391" i="2" s="1"/>
  <c r="D393" i="2"/>
  <c r="L392" i="2"/>
  <c r="I391" i="2"/>
  <c r="F391" i="2" s="1"/>
  <c r="A392" i="4"/>
  <c r="M391" i="3"/>
  <c r="C391" i="3"/>
  <c r="P391" i="3"/>
  <c r="E391" i="3"/>
  <c r="G391" i="3"/>
  <c r="S391" i="3"/>
  <c r="Y391" i="3" s="1"/>
  <c r="Z391" i="3" s="1"/>
  <c r="AA391" i="3" s="1"/>
  <c r="H391" i="3"/>
  <c r="T391" i="3"/>
  <c r="N391" i="3"/>
  <c r="V391" i="3"/>
  <c r="J391" i="3"/>
  <c r="G391" i="4"/>
  <c r="L391" i="4" s="1"/>
  <c r="I391" i="4"/>
  <c r="M391" i="4" s="1"/>
  <c r="K391" i="4"/>
  <c r="N391" i="4" s="1"/>
  <c r="C391" i="4"/>
  <c r="AB390" i="3"/>
  <c r="M392" i="2"/>
  <c r="J391" i="2"/>
  <c r="G391" i="2" s="1"/>
  <c r="E393" i="2" l="1"/>
  <c r="B393" i="3"/>
  <c r="H390" i="4"/>
  <c r="E391" i="4"/>
  <c r="J390" i="4"/>
  <c r="F390" i="4"/>
  <c r="D392" i="4"/>
  <c r="A393" i="4"/>
  <c r="H392" i="3"/>
  <c r="T392" i="3"/>
  <c r="J392" i="3"/>
  <c r="V392" i="3"/>
  <c r="M392" i="3"/>
  <c r="N392" i="3"/>
  <c r="C392" i="3"/>
  <c r="P392" i="3"/>
  <c r="E392" i="3"/>
  <c r="G392" i="3"/>
  <c r="S392" i="3"/>
  <c r="Y392" i="3" s="1"/>
  <c r="Z392" i="3" s="1"/>
  <c r="AA392" i="3" s="1"/>
  <c r="N393" i="2"/>
  <c r="K392" i="2"/>
  <c r="H392" i="2" s="1"/>
  <c r="C392" i="4"/>
  <c r="AB391" i="3"/>
  <c r="F391" i="3"/>
  <c r="D392" i="3"/>
  <c r="G392" i="4"/>
  <c r="L392" i="4" s="1"/>
  <c r="I392" i="4"/>
  <c r="M392" i="4" s="1"/>
  <c r="K392" i="4"/>
  <c r="N392" i="4" s="1"/>
  <c r="O390" i="3"/>
  <c r="I390" i="3"/>
  <c r="U390" i="3"/>
  <c r="L393" i="2"/>
  <c r="I392" i="2"/>
  <c r="F392" i="2" s="1"/>
  <c r="M393" i="2"/>
  <c r="J392" i="2"/>
  <c r="G392" i="2" s="1"/>
  <c r="C394" i="2"/>
  <c r="D394" i="2"/>
  <c r="E394" i="2" l="1"/>
  <c r="B394" i="3"/>
  <c r="H391" i="4"/>
  <c r="E392" i="4"/>
  <c r="J391" i="4"/>
  <c r="F391" i="4"/>
  <c r="D393" i="4"/>
  <c r="C395" i="2"/>
  <c r="M394" i="2"/>
  <c r="J393" i="2"/>
  <c r="G393" i="2" s="1"/>
  <c r="F392" i="3"/>
  <c r="D393" i="3"/>
  <c r="O391" i="3"/>
  <c r="I391" i="3"/>
  <c r="U391" i="3"/>
  <c r="C393" i="4"/>
  <c r="AB392" i="3"/>
  <c r="L394" i="2"/>
  <c r="I393" i="2"/>
  <c r="F393" i="2" s="1"/>
  <c r="N394" i="2"/>
  <c r="K393" i="2"/>
  <c r="H393" i="2" s="1"/>
  <c r="G393" i="4"/>
  <c r="L393" i="4" s="1"/>
  <c r="I393" i="4"/>
  <c r="M393" i="4" s="1"/>
  <c r="K393" i="4"/>
  <c r="N393" i="4" s="1"/>
  <c r="D395" i="2"/>
  <c r="A394" i="4"/>
  <c r="E393" i="3"/>
  <c r="G393" i="3"/>
  <c r="S393" i="3"/>
  <c r="Y393" i="3" s="1"/>
  <c r="Z393" i="3" s="1"/>
  <c r="AA393" i="3" s="1"/>
  <c r="J393" i="3"/>
  <c r="M393" i="3"/>
  <c r="N393" i="3"/>
  <c r="C393" i="3"/>
  <c r="P393" i="3"/>
  <c r="T393" i="3"/>
  <c r="V393" i="3"/>
  <c r="H393" i="3"/>
  <c r="E395" i="2" l="1"/>
  <c r="B395" i="3"/>
  <c r="E393" i="4"/>
  <c r="J392" i="4"/>
  <c r="F392" i="4"/>
  <c r="H392" i="4"/>
  <c r="D394" i="4"/>
  <c r="F393" i="3"/>
  <c r="D394" i="3"/>
  <c r="I392" i="3"/>
  <c r="U392" i="3"/>
  <c r="O392" i="3"/>
  <c r="A395" i="4"/>
  <c r="N394" i="3"/>
  <c r="C394" i="3"/>
  <c r="P394" i="3"/>
  <c r="H394" i="3"/>
  <c r="T394" i="3"/>
  <c r="J394" i="3"/>
  <c r="M394" i="3"/>
  <c r="S394" i="3"/>
  <c r="Y394" i="3" s="1"/>
  <c r="Z394" i="3" s="1"/>
  <c r="AA394" i="3" s="1"/>
  <c r="V394" i="3"/>
  <c r="E394" i="3"/>
  <c r="G394" i="3"/>
  <c r="M395" i="2"/>
  <c r="J394" i="2"/>
  <c r="G394" i="2" s="1"/>
  <c r="C394" i="4"/>
  <c r="AB393" i="3"/>
  <c r="N395" i="2"/>
  <c r="K394" i="2"/>
  <c r="H394" i="2" s="1"/>
  <c r="C396" i="2"/>
  <c r="E396" i="2" s="1"/>
  <c r="K394" i="4"/>
  <c r="N394" i="4" s="1"/>
  <c r="G394" i="4"/>
  <c r="L394" i="4" s="1"/>
  <c r="I394" i="4"/>
  <c r="M394" i="4" s="1"/>
  <c r="D396" i="2"/>
  <c r="L395" i="2"/>
  <c r="I394" i="2"/>
  <c r="F394" i="2" s="1"/>
  <c r="B396" i="3" l="1"/>
  <c r="F393" i="4"/>
  <c r="E394" i="4"/>
  <c r="H393" i="4"/>
  <c r="J393" i="4"/>
  <c r="D395" i="4"/>
  <c r="I395" i="4"/>
  <c r="M395" i="4" s="1"/>
  <c r="K395" i="4"/>
  <c r="N395" i="4" s="1"/>
  <c r="G395" i="4"/>
  <c r="L395" i="4" s="1"/>
  <c r="M396" i="2"/>
  <c r="J395" i="2"/>
  <c r="G395" i="2" s="1"/>
  <c r="A396" i="4"/>
  <c r="M395" i="3"/>
  <c r="C395" i="3"/>
  <c r="E395" i="3"/>
  <c r="H395" i="3"/>
  <c r="T395" i="3"/>
  <c r="G395" i="3"/>
  <c r="J395" i="3"/>
  <c r="N395" i="3"/>
  <c r="P395" i="3"/>
  <c r="S395" i="3"/>
  <c r="Y395" i="3" s="1"/>
  <c r="Z395" i="3" s="1"/>
  <c r="AA395" i="3" s="1"/>
  <c r="V395" i="3"/>
  <c r="F394" i="3"/>
  <c r="D395" i="3"/>
  <c r="L396" i="2"/>
  <c r="I395" i="2"/>
  <c r="F395" i="2" s="1"/>
  <c r="C397" i="2"/>
  <c r="C395" i="4"/>
  <c r="AB394" i="3"/>
  <c r="I393" i="3"/>
  <c r="U393" i="3"/>
  <c r="O393" i="3"/>
  <c r="D397" i="2"/>
  <c r="N396" i="2"/>
  <c r="K395" i="2"/>
  <c r="H395" i="2" s="1"/>
  <c r="E397" i="2" l="1"/>
  <c r="B397" i="3"/>
  <c r="F394" i="4"/>
  <c r="J394" i="4"/>
  <c r="H394" i="4"/>
  <c r="E395" i="4"/>
  <c r="D396" i="4"/>
  <c r="D398" i="2"/>
  <c r="O394" i="3"/>
  <c r="U394" i="3"/>
  <c r="I394" i="3"/>
  <c r="C396" i="4"/>
  <c r="AB395" i="3"/>
  <c r="M397" i="2"/>
  <c r="J396" i="2"/>
  <c r="G396" i="2" s="1"/>
  <c r="G396" i="4"/>
  <c r="L396" i="4" s="1"/>
  <c r="I396" i="4"/>
  <c r="M396" i="4" s="1"/>
  <c r="K396" i="4"/>
  <c r="N396" i="4" s="1"/>
  <c r="L397" i="2"/>
  <c r="I396" i="2"/>
  <c r="F396" i="2" s="1"/>
  <c r="C398" i="2"/>
  <c r="N397" i="2"/>
  <c r="K396" i="2"/>
  <c r="H396" i="2" s="1"/>
  <c r="A397" i="4"/>
  <c r="H396" i="3"/>
  <c r="J396" i="3"/>
  <c r="V396" i="3"/>
  <c r="N396" i="3"/>
  <c r="E396" i="3"/>
  <c r="C396" i="3"/>
  <c r="G396" i="3"/>
  <c r="M396" i="3"/>
  <c r="P396" i="3"/>
  <c r="S396" i="3"/>
  <c r="Y396" i="3" s="1"/>
  <c r="Z396" i="3" s="1"/>
  <c r="AA396" i="3" s="1"/>
  <c r="T396" i="3"/>
  <c r="D396" i="3"/>
  <c r="F395" i="3"/>
  <c r="E398" i="2" l="1"/>
  <c r="B398" i="3"/>
  <c r="H395" i="4"/>
  <c r="E396" i="4"/>
  <c r="F395" i="4"/>
  <c r="J395" i="4"/>
  <c r="D397" i="4"/>
  <c r="N398" i="2"/>
  <c r="K397" i="2"/>
  <c r="H397" i="2" s="1"/>
  <c r="A398" i="4"/>
  <c r="G397" i="3"/>
  <c r="S397" i="3"/>
  <c r="Y397" i="3" s="1"/>
  <c r="Z397" i="3" s="1"/>
  <c r="AA397" i="3" s="1"/>
  <c r="C397" i="3"/>
  <c r="T397" i="3"/>
  <c r="V397" i="3"/>
  <c r="E397" i="3"/>
  <c r="H397" i="3"/>
  <c r="J397" i="3"/>
  <c r="M397" i="3"/>
  <c r="P397" i="3"/>
  <c r="N397" i="3"/>
  <c r="C397" i="4"/>
  <c r="AB396" i="3"/>
  <c r="M398" i="2"/>
  <c r="J397" i="2"/>
  <c r="G397" i="2" s="1"/>
  <c r="C399" i="2"/>
  <c r="L398" i="2"/>
  <c r="I397" i="2"/>
  <c r="F397" i="2" s="1"/>
  <c r="D399" i="2"/>
  <c r="O395" i="3"/>
  <c r="I395" i="3"/>
  <c r="U395" i="3"/>
  <c r="F396" i="3"/>
  <c r="D397" i="3"/>
  <c r="G397" i="4"/>
  <c r="L397" i="4" s="1"/>
  <c r="I397" i="4"/>
  <c r="M397" i="4" s="1"/>
  <c r="K397" i="4"/>
  <c r="N397" i="4" s="1"/>
  <c r="E399" i="2" l="1"/>
  <c r="B399" i="3"/>
  <c r="E397" i="4"/>
  <c r="J396" i="4"/>
  <c r="H396" i="4"/>
  <c r="F396" i="4"/>
  <c r="D398" i="4"/>
  <c r="F397" i="3"/>
  <c r="D398" i="3"/>
  <c r="C400" i="2"/>
  <c r="I396" i="3"/>
  <c r="U396" i="3"/>
  <c r="O396" i="3"/>
  <c r="M399" i="2"/>
  <c r="J398" i="2"/>
  <c r="G398" i="2" s="1"/>
  <c r="G398" i="4"/>
  <c r="L398" i="4" s="1"/>
  <c r="I398" i="4"/>
  <c r="M398" i="4" s="1"/>
  <c r="K398" i="4"/>
  <c r="N398" i="4" s="1"/>
  <c r="D400" i="2"/>
  <c r="C398" i="4"/>
  <c r="AB397" i="3"/>
  <c r="N399" i="2"/>
  <c r="K398" i="2"/>
  <c r="H398" i="2" s="1"/>
  <c r="A399" i="4"/>
  <c r="C398" i="3"/>
  <c r="P398" i="3"/>
  <c r="J398" i="3"/>
  <c r="M398" i="3"/>
  <c r="N398" i="3"/>
  <c r="S398" i="3"/>
  <c r="Y398" i="3" s="1"/>
  <c r="Z398" i="3" s="1"/>
  <c r="AA398" i="3" s="1"/>
  <c r="T398" i="3"/>
  <c r="E398" i="3"/>
  <c r="H398" i="3"/>
  <c r="G398" i="3"/>
  <c r="V398" i="3"/>
  <c r="L399" i="2"/>
  <c r="I398" i="2"/>
  <c r="F398" i="2" s="1"/>
  <c r="E400" i="2" l="1"/>
  <c r="B400" i="3"/>
  <c r="E398" i="4"/>
  <c r="J397" i="4"/>
  <c r="H397" i="4"/>
  <c r="F397" i="4"/>
  <c r="D399" i="4"/>
  <c r="A400" i="4"/>
  <c r="M399" i="3"/>
  <c r="C399" i="3"/>
  <c r="N399" i="3"/>
  <c r="P399" i="3"/>
  <c r="S399" i="3"/>
  <c r="Y399" i="3" s="1"/>
  <c r="Z399" i="3" s="1"/>
  <c r="AA399" i="3" s="1"/>
  <c r="E399" i="3"/>
  <c r="T399" i="3"/>
  <c r="V399" i="3"/>
  <c r="G399" i="3"/>
  <c r="H399" i="3"/>
  <c r="J399" i="3"/>
  <c r="D401" i="2"/>
  <c r="C399" i="4"/>
  <c r="AB398" i="3"/>
  <c r="C401" i="2"/>
  <c r="F398" i="3"/>
  <c r="D399" i="3"/>
  <c r="L400" i="2"/>
  <c r="I399" i="2"/>
  <c r="F399" i="2" s="1"/>
  <c r="I397" i="3"/>
  <c r="U397" i="3"/>
  <c r="O397" i="3"/>
  <c r="N400" i="2"/>
  <c r="K399" i="2"/>
  <c r="H399" i="2" s="1"/>
  <c r="M400" i="2"/>
  <c r="J399" i="2"/>
  <c r="G399" i="2" s="1"/>
  <c r="G399" i="4"/>
  <c r="L399" i="4" s="1"/>
  <c r="I399" i="4"/>
  <c r="M399" i="4" s="1"/>
  <c r="K399" i="4"/>
  <c r="N399" i="4" s="1"/>
  <c r="E401" i="2" l="1"/>
  <c r="B401" i="3"/>
  <c r="H398" i="4"/>
  <c r="J398" i="4"/>
  <c r="F398" i="4"/>
  <c r="E399" i="4"/>
  <c r="D400" i="4"/>
  <c r="M401" i="2"/>
  <c r="J400" i="2"/>
  <c r="G400" i="2" s="1"/>
  <c r="N401" i="2"/>
  <c r="K400" i="2"/>
  <c r="H400" i="2" s="1"/>
  <c r="D402" i="2"/>
  <c r="I398" i="3"/>
  <c r="O398" i="3"/>
  <c r="U398" i="3"/>
  <c r="C400" i="4"/>
  <c r="AB399" i="3"/>
  <c r="A401" i="4"/>
  <c r="J400" i="3"/>
  <c r="V400" i="3"/>
  <c r="C400" i="3"/>
  <c r="E400" i="3"/>
  <c r="S400" i="3"/>
  <c r="Y400" i="3" s="1"/>
  <c r="Z400" i="3" s="1"/>
  <c r="AA400" i="3" s="1"/>
  <c r="G400" i="3"/>
  <c r="T400" i="3"/>
  <c r="H400" i="3"/>
  <c r="M400" i="3"/>
  <c r="N400" i="3"/>
  <c r="P400" i="3"/>
  <c r="K400" i="4"/>
  <c r="N400" i="4" s="1"/>
  <c r="G400" i="4"/>
  <c r="L400" i="4" s="1"/>
  <c r="I400" i="4"/>
  <c r="M400" i="4" s="1"/>
  <c r="L401" i="2"/>
  <c r="I400" i="2"/>
  <c r="F400" i="2" s="1"/>
  <c r="C402" i="2"/>
  <c r="D400" i="3"/>
  <c r="F399" i="3"/>
  <c r="E402" i="2" l="1"/>
  <c r="B402" i="3"/>
  <c r="E400" i="4"/>
  <c r="J399" i="4"/>
  <c r="H399" i="4"/>
  <c r="F399" i="4"/>
  <c r="D401" i="4"/>
  <c r="C403" i="2"/>
  <c r="C401" i="4"/>
  <c r="AB400" i="3"/>
  <c r="L402" i="2"/>
  <c r="I401" i="2"/>
  <c r="F401" i="2" s="1"/>
  <c r="D403" i="2"/>
  <c r="N402" i="2"/>
  <c r="K401" i="2"/>
  <c r="H401" i="2" s="1"/>
  <c r="F400" i="3"/>
  <c r="D401" i="3"/>
  <c r="A402" i="4"/>
  <c r="G401" i="3"/>
  <c r="S401" i="3"/>
  <c r="Y401" i="3" s="1"/>
  <c r="Z401" i="3" s="1"/>
  <c r="AA401" i="3" s="1"/>
  <c r="C401" i="3"/>
  <c r="P401" i="3"/>
  <c r="E401" i="3"/>
  <c r="T401" i="3"/>
  <c r="H401" i="3"/>
  <c r="V401" i="3"/>
  <c r="J401" i="3"/>
  <c r="M401" i="3"/>
  <c r="N401" i="3"/>
  <c r="I401" i="4"/>
  <c r="M401" i="4" s="1"/>
  <c r="K401" i="4"/>
  <c r="N401" i="4" s="1"/>
  <c r="G401" i="4"/>
  <c r="L401" i="4" s="1"/>
  <c r="M402" i="2"/>
  <c r="J401" i="2"/>
  <c r="G401" i="2" s="1"/>
  <c r="O399" i="3"/>
  <c r="I399" i="3"/>
  <c r="U399" i="3"/>
  <c r="E403" i="2" l="1"/>
  <c r="B403" i="3"/>
  <c r="E401" i="4"/>
  <c r="J400" i="4"/>
  <c r="F400" i="4"/>
  <c r="H400" i="4"/>
  <c r="D402" i="4"/>
  <c r="M403" i="2"/>
  <c r="J402" i="2"/>
  <c r="G402" i="2" s="1"/>
  <c r="A403" i="4"/>
  <c r="P402" i="3"/>
  <c r="C402" i="3"/>
  <c r="E402" i="3"/>
  <c r="S402" i="3"/>
  <c r="Y402" i="3" s="1"/>
  <c r="Z402" i="3" s="1"/>
  <c r="AA402" i="3" s="1"/>
  <c r="G402" i="3"/>
  <c r="T402" i="3"/>
  <c r="H402" i="3"/>
  <c r="V402" i="3"/>
  <c r="J402" i="3"/>
  <c r="N402" i="3"/>
  <c r="M402" i="3"/>
  <c r="L403" i="2"/>
  <c r="I402" i="2"/>
  <c r="F402" i="2" s="1"/>
  <c r="D404" i="2"/>
  <c r="G402" i="4"/>
  <c r="L402" i="4" s="1"/>
  <c r="I402" i="4"/>
  <c r="M402" i="4" s="1"/>
  <c r="K402" i="4"/>
  <c r="N402" i="4" s="1"/>
  <c r="C402" i="4"/>
  <c r="AB401" i="3"/>
  <c r="D402" i="3"/>
  <c r="F401" i="3"/>
  <c r="U400" i="3"/>
  <c r="I400" i="3"/>
  <c r="O400" i="3"/>
  <c r="C404" i="2"/>
  <c r="N403" i="2"/>
  <c r="K402" i="2"/>
  <c r="H402" i="2" s="1"/>
  <c r="E404" i="2" l="1"/>
  <c r="B404" i="3"/>
  <c r="F401" i="4"/>
  <c r="J401" i="4"/>
  <c r="E402" i="4"/>
  <c r="H401" i="4"/>
  <c r="D403" i="4"/>
  <c r="D405" i="2"/>
  <c r="U401" i="3"/>
  <c r="I401" i="3"/>
  <c r="O401" i="3"/>
  <c r="A404" i="4"/>
  <c r="M403" i="3"/>
  <c r="N403" i="3"/>
  <c r="C403" i="3"/>
  <c r="P403" i="3"/>
  <c r="E403" i="3"/>
  <c r="G403" i="3"/>
  <c r="S403" i="3"/>
  <c r="Y403" i="3" s="1"/>
  <c r="Z403" i="3" s="1"/>
  <c r="AA403" i="3" s="1"/>
  <c r="H403" i="3"/>
  <c r="T403" i="3"/>
  <c r="J403" i="3"/>
  <c r="V403" i="3"/>
  <c r="F402" i="3"/>
  <c r="D403" i="3"/>
  <c r="L404" i="2"/>
  <c r="I403" i="2"/>
  <c r="F403" i="2" s="1"/>
  <c r="C403" i="4"/>
  <c r="AB402" i="3"/>
  <c r="G403" i="4"/>
  <c r="L403" i="4" s="1"/>
  <c r="I403" i="4"/>
  <c r="M403" i="4" s="1"/>
  <c r="K403" i="4"/>
  <c r="N403" i="4" s="1"/>
  <c r="N404" i="2"/>
  <c r="K403" i="2"/>
  <c r="H403" i="2" s="1"/>
  <c r="M404" i="2"/>
  <c r="J403" i="2"/>
  <c r="G403" i="2" s="1"/>
  <c r="C405" i="2"/>
  <c r="E405" i="2" l="1"/>
  <c r="B405" i="3"/>
  <c r="J402" i="4"/>
  <c r="E403" i="4"/>
  <c r="H402" i="4"/>
  <c r="F402" i="4"/>
  <c r="D404" i="4"/>
  <c r="M405" i="2"/>
  <c r="J404" i="2"/>
  <c r="G404" i="2" s="1"/>
  <c r="L405" i="2"/>
  <c r="I404" i="2"/>
  <c r="F404" i="2" s="1"/>
  <c r="F403" i="3"/>
  <c r="D404" i="3"/>
  <c r="N405" i="2"/>
  <c r="K404" i="2"/>
  <c r="H404" i="2" s="1"/>
  <c r="O402" i="3"/>
  <c r="U402" i="3"/>
  <c r="I402" i="3"/>
  <c r="C404" i="4"/>
  <c r="AB403" i="3"/>
  <c r="G404" i="4"/>
  <c r="L404" i="4" s="1"/>
  <c r="I404" i="4"/>
  <c r="M404" i="4" s="1"/>
  <c r="K404" i="4"/>
  <c r="N404" i="4" s="1"/>
  <c r="D406" i="2"/>
  <c r="A405" i="4"/>
  <c r="J404" i="3"/>
  <c r="V404" i="3"/>
  <c r="M404" i="3"/>
  <c r="N404" i="3"/>
  <c r="C404" i="3"/>
  <c r="P404" i="3"/>
  <c r="E404" i="3"/>
  <c r="G404" i="3"/>
  <c r="S404" i="3"/>
  <c r="Y404" i="3" s="1"/>
  <c r="Z404" i="3" s="1"/>
  <c r="AA404" i="3" s="1"/>
  <c r="T404" i="3"/>
  <c r="H404" i="3"/>
  <c r="C406" i="2"/>
  <c r="E406" i="2" l="1"/>
  <c r="B406" i="3"/>
  <c r="E404" i="4"/>
  <c r="J403" i="4"/>
  <c r="H403" i="4"/>
  <c r="F403" i="4"/>
  <c r="D405" i="4"/>
  <c r="D407" i="2"/>
  <c r="A406" i="4"/>
  <c r="G405" i="3"/>
  <c r="S405" i="3"/>
  <c r="Y405" i="3" s="1"/>
  <c r="Z405" i="3" s="1"/>
  <c r="AA405" i="3" s="1"/>
  <c r="H405" i="3"/>
  <c r="T405" i="3"/>
  <c r="J405" i="3"/>
  <c r="V405" i="3"/>
  <c r="M405" i="3"/>
  <c r="N405" i="3"/>
  <c r="C405" i="3"/>
  <c r="P405" i="3"/>
  <c r="E405" i="3"/>
  <c r="N406" i="2"/>
  <c r="K405" i="2"/>
  <c r="H405" i="2" s="1"/>
  <c r="F404" i="3"/>
  <c r="D405" i="3"/>
  <c r="O403" i="3"/>
  <c r="I403" i="3"/>
  <c r="U403" i="3"/>
  <c r="L406" i="2"/>
  <c r="I405" i="2"/>
  <c r="F405" i="2" s="1"/>
  <c r="C405" i="4"/>
  <c r="AB404" i="3"/>
  <c r="M406" i="2"/>
  <c r="J405" i="2"/>
  <c r="G405" i="2" s="1"/>
  <c r="C407" i="2"/>
  <c r="G405" i="4"/>
  <c r="L405" i="4" s="1"/>
  <c r="I405" i="4"/>
  <c r="M405" i="4" s="1"/>
  <c r="K405" i="4"/>
  <c r="N405" i="4" s="1"/>
  <c r="E407" i="2" l="1"/>
  <c r="B407" i="3"/>
  <c r="H404" i="4"/>
  <c r="E405" i="4"/>
  <c r="J404" i="4"/>
  <c r="F404" i="4"/>
  <c r="D406" i="4"/>
  <c r="C408" i="2"/>
  <c r="D406" i="3"/>
  <c r="F405" i="3"/>
  <c r="O404" i="3"/>
  <c r="I404" i="3"/>
  <c r="U404" i="3"/>
  <c r="N407" i="2"/>
  <c r="K406" i="2"/>
  <c r="H406" i="2" s="1"/>
  <c r="M407" i="2"/>
  <c r="J406" i="2"/>
  <c r="G406" i="2" s="1"/>
  <c r="A407" i="4"/>
  <c r="P406" i="3"/>
  <c r="E406" i="3"/>
  <c r="G406" i="3"/>
  <c r="S406" i="3"/>
  <c r="Y406" i="3" s="1"/>
  <c r="Z406" i="3" s="1"/>
  <c r="AA406" i="3" s="1"/>
  <c r="H406" i="3"/>
  <c r="T406" i="3"/>
  <c r="J406" i="3"/>
  <c r="V406" i="3"/>
  <c r="M406" i="3"/>
  <c r="C406" i="3"/>
  <c r="N406" i="3"/>
  <c r="K406" i="4"/>
  <c r="N406" i="4" s="1"/>
  <c r="G406" i="4"/>
  <c r="L406" i="4" s="1"/>
  <c r="I406" i="4"/>
  <c r="M406" i="4" s="1"/>
  <c r="D408" i="2"/>
  <c r="L407" i="2"/>
  <c r="I406" i="2"/>
  <c r="F406" i="2" s="1"/>
  <c r="C406" i="4"/>
  <c r="AB405" i="3"/>
  <c r="E408" i="2" l="1"/>
  <c r="B408" i="3"/>
  <c r="J405" i="4"/>
  <c r="F405" i="4"/>
  <c r="E406" i="4"/>
  <c r="H405" i="4"/>
  <c r="D407" i="4"/>
  <c r="D409" i="2"/>
  <c r="N408" i="2"/>
  <c r="K407" i="2"/>
  <c r="H407" i="2" s="1"/>
  <c r="I405" i="3"/>
  <c r="U405" i="3"/>
  <c r="O405" i="3"/>
  <c r="A408" i="4"/>
  <c r="M407" i="3"/>
  <c r="N407" i="3"/>
  <c r="C407" i="3"/>
  <c r="P407" i="3"/>
  <c r="E407" i="3"/>
  <c r="G407" i="3"/>
  <c r="S407" i="3"/>
  <c r="Y407" i="3" s="1"/>
  <c r="Z407" i="3" s="1"/>
  <c r="AA407" i="3" s="1"/>
  <c r="H407" i="3"/>
  <c r="T407" i="3"/>
  <c r="J407" i="3"/>
  <c r="V407" i="3"/>
  <c r="F406" i="3"/>
  <c r="D407" i="3"/>
  <c r="I407" i="4"/>
  <c r="M407" i="4" s="1"/>
  <c r="K407" i="4"/>
  <c r="N407" i="4" s="1"/>
  <c r="G407" i="4"/>
  <c r="L407" i="4" s="1"/>
  <c r="C409" i="2"/>
  <c r="L408" i="2"/>
  <c r="I407" i="2"/>
  <c r="F407" i="2" s="1"/>
  <c r="C407" i="4"/>
  <c r="AB406" i="3"/>
  <c r="M408" i="2"/>
  <c r="J407" i="2"/>
  <c r="G407" i="2" s="1"/>
  <c r="E409" i="2" l="1"/>
  <c r="B409" i="3"/>
  <c r="H406" i="4"/>
  <c r="J406" i="4"/>
  <c r="F406" i="4"/>
  <c r="E407" i="4"/>
  <c r="D408" i="4"/>
  <c r="I406" i="3"/>
  <c r="U406" i="3"/>
  <c r="O406" i="3"/>
  <c r="C408" i="4"/>
  <c r="AB407" i="3"/>
  <c r="L409" i="2"/>
  <c r="I408" i="2"/>
  <c r="F408" i="2" s="1"/>
  <c r="G408" i="4"/>
  <c r="L408" i="4" s="1"/>
  <c r="I408" i="4"/>
  <c r="M408" i="4" s="1"/>
  <c r="K408" i="4"/>
  <c r="N408" i="4" s="1"/>
  <c r="C410" i="2"/>
  <c r="N409" i="2"/>
  <c r="K408" i="2"/>
  <c r="H408" i="2" s="1"/>
  <c r="A409" i="4"/>
  <c r="J408" i="3"/>
  <c r="V408" i="3"/>
  <c r="M408" i="3"/>
  <c r="N408" i="3"/>
  <c r="C408" i="3"/>
  <c r="P408" i="3"/>
  <c r="E408" i="3"/>
  <c r="G408" i="3"/>
  <c r="S408" i="3"/>
  <c r="Y408" i="3" s="1"/>
  <c r="Z408" i="3" s="1"/>
  <c r="AA408" i="3" s="1"/>
  <c r="H408" i="3"/>
  <c r="T408" i="3"/>
  <c r="D410" i="2"/>
  <c r="M409" i="2"/>
  <c r="J408" i="2"/>
  <c r="G408" i="2" s="1"/>
  <c r="F407" i="3"/>
  <c r="D408" i="3"/>
  <c r="E410" i="2" l="1"/>
  <c r="B410" i="3"/>
  <c r="H407" i="4"/>
  <c r="J407" i="4"/>
  <c r="F407" i="4"/>
  <c r="E408" i="4"/>
  <c r="D409" i="4"/>
  <c r="D411" i="2"/>
  <c r="G409" i="4"/>
  <c r="L409" i="4" s="1"/>
  <c r="I409" i="4"/>
  <c r="M409" i="4" s="1"/>
  <c r="K409" i="4"/>
  <c r="N409" i="4" s="1"/>
  <c r="L410" i="2"/>
  <c r="I409" i="2"/>
  <c r="F409" i="2" s="1"/>
  <c r="N410" i="2"/>
  <c r="K409" i="2"/>
  <c r="H409" i="2" s="1"/>
  <c r="C409" i="4"/>
  <c r="AB408" i="3"/>
  <c r="C411" i="2"/>
  <c r="A410" i="4"/>
  <c r="G409" i="3"/>
  <c r="S409" i="3"/>
  <c r="Y409" i="3" s="1"/>
  <c r="Z409" i="3" s="1"/>
  <c r="AA409" i="3" s="1"/>
  <c r="H409" i="3"/>
  <c r="T409" i="3"/>
  <c r="J409" i="3"/>
  <c r="V409" i="3"/>
  <c r="M409" i="3"/>
  <c r="N409" i="3"/>
  <c r="C409" i="3"/>
  <c r="P409" i="3"/>
  <c r="E409" i="3"/>
  <c r="F408" i="3"/>
  <c r="D409" i="3"/>
  <c r="O407" i="3"/>
  <c r="I407" i="3"/>
  <c r="U407" i="3"/>
  <c r="M410" i="2"/>
  <c r="J409" i="2"/>
  <c r="G409" i="2" s="1"/>
  <c r="E411" i="2" l="1"/>
  <c r="B411" i="3"/>
  <c r="J408" i="4"/>
  <c r="F408" i="4"/>
  <c r="H408" i="4"/>
  <c r="E409" i="4"/>
  <c r="D410" i="4"/>
  <c r="L411" i="2"/>
  <c r="I410" i="2"/>
  <c r="F410" i="2" s="1"/>
  <c r="D410" i="3"/>
  <c r="F409" i="3"/>
  <c r="O408" i="3"/>
  <c r="I408" i="3"/>
  <c r="U408" i="3"/>
  <c r="G410" i="4"/>
  <c r="L410" i="4" s="1"/>
  <c r="I410" i="4"/>
  <c r="M410" i="4" s="1"/>
  <c r="K410" i="4"/>
  <c r="N410" i="4" s="1"/>
  <c r="A411" i="4"/>
  <c r="P410" i="3"/>
  <c r="E410" i="3"/>
  <c r="G410" i="3"/>
  <c r="S410" i="3"/>
  <c r="Y410" i="3" s="1"/>
  <c r="Z410" i="3" s="1"/>
  <c r="AA410" i="3" s="1"/>
  <c r="H410" i="3"/>
  <c r="T410" i="3"/>
  <c r="J410" i="3"/>
  <c r="V410" i="3"/>
  <c r="M410" i="3"/>
  <c r="C410" i="3"/>
  <c r="N410" i="3"/>
  <c r="C412" i="2"/>
  <c r="C410" i="4"/>
  <c r="AB409" i="3"/>
  <c r="D412" i="2"/>
  <c r="M411" i="2"/>
  <c r="J410" i="2"/>
  <c r="G410" i="2" s="1"/>
  <c r="N411" i="2"/>
  <c r="K410" i="2"/>
  <c r="H410" i="2" s="1"/>
  <c r="E412" i="2" l="1"/>
  <c r="B412" i="3"/>
  <c r="F409" i="4"/>
  <c r="H409" i="4"/>
  <c r="E410" i="4"/>
  <c r="J409" i="4"/>
  <c r="D411" i="4"/>
  <c r="D413" i="2"/>
  <c r="A412" i="4"/>
  <c r="M411" i="3"/>
  <c r="N411" i="3"/>
  <c r="C411" i="3"/>
  <c r="P411" i="3"/>
  <c r="E411" i="3"/>
  <c r="G411" i="3"/>
  <c r="S411" i="3"/>
  <c r="Y411" i="3" s="1"/>
  <c r="Z411" i="3" s="1"/>
  <c r="AA411" i="3" s="1"/>
  <c r="H411" i="3"/>
  <c r="T411" i="3"/>
  <c r="J411" i="3"/>
  <c r="V411" i="3"/>
  <c r="I409" i="3"/>
  <c r="U409" i="3"/>
  <c r="O409" i="3"/>
  <c r="C413" i="2"/>
  <c r="F410" i="3"/>
  <c r="D411" i="3"/>
  <c r="G411" i="4"/>
  <c r="L411" i="4" s="1"/>
  <c r="I411" i="4"/>
  <c r="M411" i="4" s="1"/>
  <c r="K411" i="4"/>
  <c r="N411" i="4" s="1"/>
  <c r="N412" i="2"/>
  <c r="K411" i="2"/>
  <c r="H411" i="2" s="1"/>
  <c r="L412" i="2"/>
  <c r="I411" i="2"/>
  <c r="F411" i="2" s="1"/>
  <c r="C411" i="4"/>
  <c r="AB410" i="3"/>
  <c r="M412" i="2"/>
  <c r="J411" i="2"/>
  <c r="G411" i="2" s="1"/>
  <c r="E413" i="2" l="1"/>
  <c r="B413" i="3"/>
  <c r="H410" i="4"/>
  <c r="J410" i="4"/>
  <c r="F410" i="4"/>
  <c r="E411" i="4"/>
  <c r="D412" i="4"/>
  <c r="L413" i="2"/>
  <c r="I412" i="2"/>
  <c r="F412" i="2" s="1"/>
  <c r="C414" i="2"/>
  <c r="A413" i="4"/>
  <c r="J412" i="3"/>
  <c r="V412" i="3"/>
  <c r="M412" i="3"/>
  <c r="N412" i="3"/>
  <c r="C412" i="3"/>
  <c r="P412" i="3"/>
  <c r="E412" i="3"/>
  <c r="G412" i="3"/>
  <c r="S412" i="3"/>
  <c r="Y412" i="3" s="1"/>
  <c r="Z412" i="3" s="1"/>
  <c r="AA412" i="3" s="1"/>
  <c r="T412" i="3"/>
  <c r="H412" i="3"/>
  <c r="K412" i="2"/>
  <c r="H412" i="2" s="1"/>
  <c r="N413" i="2"/>
  <c r="C412" i="4"/>
  <c r="AB411" i="3"/>
  <c r="K412" i="4"/>
  <c r="N412" i="4" s="1"/>
  <c r="G412" i="4"/>
  <c r="L412" i="4" s="1"/>
  <c r="I412" i="4"/>
  <c r="M412" i="4" s="1"/>
  <c r="D414" i="2"/>
  <c r="M413" i="2"/>
  <c r="J412" i="2"/>
  <c r="G412" i="2" s="1"/>
  <c r="F411" i="3"/>
  <c r="D412" i="3"/>
  <c r="I410" i="3"/>
  <c r="U410" i="3"/>
  <c r="O410" i="3"/>
  <c r="E414" i="2" l="1"/>
  <c r="B414" i="3"/>
  <c r="F411" i="4"/>
  <c r="E412" i="4"/>
  <c r="H411" i="4"/>
  <c r="J411" i="4"/>
  <c r="D413" i="4"/>
  <c r="C413" i="4"/>
  <c r="AB412" i="3"/>
  <c r="M414" i="2"/>
  <c r="J413" i="2"/>
  <c r="G413" i="2" s="1"/>
  <c r="N414" i="2"/>
  <c r="K413" i="2"/>
  <c r="H413" i="2" s="1"/>
  <c r="O411" i="3"/>
  <c r="I411" i="3"/>
  <c r="U411" i="3"/>
  <c r="I413" i="4"/>
  <c r="M413" i="4" s="1"/>
  <c r="K413" i="4"/>
  <c r="N413" i="4" s="1"/>
  <c r="G413" i="4"/>
  <c r="L413" i="4" s="1"/>
  <c r="D415" i="2"/>
  <c r="C415" i="2"/>
  <c r="A414" i="4"/>
  <c r="G413" i="3"/>
  <c r="S413" i="3"/>
  <c r="Y413" i="3" s="1"/>
  <c r="Z413" i="3" s="1"/>
  <c r="AA413" i="3" s="1"/>
  <c r="H413" i="3"/>
  <c r="T413" i="3"/>
  <c r="J413" i="3"/>
  <c r="V413" i="3"/>
  <c r="M413" i="3"/>
  <c r="N413" i="3"/>
  <c r="C413" i="3"/>
  <c r="P413" i="3"/>
  <c r="E413" i="3"/>
  <c r="L414" i="2"/>
  <c r="I413" i="2"/>
  <c r="F413" i="2" s="1"/>
  <c r="F412" i="3"/>
  <c r="D413" i="3"/>
  <c r="E415" i="2" l="1"/>
  <c r="B415" i="3"/>
  <c r="E413" i="4"/>
  <c r="H412" i="4"/>
  <c r="J412" i="4"/>
  <c r="F412" i="4"/>
  <c r="D414" i="4"/>
  <c r="A415" i="4"/>
  <c r="P414" i="3"/>
  <c r="E414" i="3"/>
  <c r="G414" i="3"/>
  <c r="S414" i="3"/>
  <c r="Y414" i="3" s="1"/>
  <c r="Z414" i="3" s="1"/>
  <c r="AA414" i="3" s="1"/>
  <c r="H414" i="3"/>
  <c r="T414" i="3"/>
  <c r="J414" i="3"/>
  <c r="V414" i="3"/>
  <c r="M414" i="3"/>
  <c r="C414" i="3"/>
  <c r="N414" i="3"/>
  <c r="G414" i="4"/>
  <c r="L414" i="4" s="1"/>
  <c r="I414" i="4"/>
  <c r="M414" i="4" s="1"/>
  <c r="K414" i="4"/>
  <c r="N414" i="4" s="1"/>
  <c r="C416" i="2"/>
  <c r="C414" i="4"/>
  <c r="AB413" i="3"/>
  <c r="N415" i="2"/>
  <c r="K414" i="2"/>
  <c r="H414" i="2" s="1"/>
  <c r="D416" i="2"/>
  <c r="M415" i="2"/>
  <c r="J414" i="2"/>
  <c r="G414" i="2" s="1"/>
  <c r="D414" i="3"/>
  <c r="F413" i="3"/>
  <c r="O412" i="3"/>
  <c r="I412" i="3"/>
  <c r="U412" i="3"/>
  <c r="L415" i="2"/>
  <c r="I414" i="2"/>
  <c r="F414" i="2" s="1"/>
  <c r="E416" i="2" l="1"/>
  <c r="B416" i="3"/>
  <c r="H413" i="4"/>
  <c r="E414" i="4"/>
  <c r="J413" i="4"/>
  <c r="F413" i="4"/>
  <c r="D415" i="4"/>
  <c r="I413" i="3"/>
  <c r="U413" i="3"/>
  <c r="O413" i="3"/>
  <c r="F414" i="3"/>
  <c r="D415" i="3"/>
  <c r="M416" i="2"/>
  <c r="J415" i="2"/>
  <c r="G415" i="2" s="1"/>
  <c r="D417" i="2"/>
  <c r="A416" i="4"/>
  <c r="M415" i="3"/>
  <c r="N415" i="3"/>
  <c r="C415" i="3"/>
  <c r="P415" i="3"/>
  <c r="E415" i="3"/>
  <c r="G415" i="3"/>
  <c r="S415" i="3"/>
  <c r="Y415" i="3" s="1"/>
  <c r="Z415" i="3" s="1"/>
  <c r="AA415" i="3" s="1"/>
  <c r="H415" i="3"/>
  <c r="T415" i="3"/>
  <c r="J415" i="3"/>
  <c r="V415" i="3"/>
  <c r="C417" i="2"/>
  <c r="L416" i="2"/>
  <c r="I415" i="2"/>
  <c r="F415" i="2" s="1"/>
  <c r="K415" i="2"/>
  <c r="H415" i="2" s="1"/>
  <c r="N416" i="2"/>
  <c r="G415" i="4"/>
  <c r="L415" i="4" s="1"/>
  <c r="I415" i="4"/>
  <c r="M415" i="4" s="1"/>
  <c r="K415" i="4"/>
  <c r="N415" i="4" s="1"/>
  <c r="C415" i="4"/>
  <c r="AB414" i="3"/>
  <c r="E417" i="2" l="1"/>
  <c r="B417" i="3"/>
  <c r="J414" i="4"/>
  <c r="H414" i="4"/>
  <c r="F414" i="4"/>
  <c r="E415" i="4"/>
  <c r="D416" i="4"/>
  <c r="D418" i="2"/>
  <c r="M417" i="2"/>
  <c r="J416" i="2"/>
  <c r="G416" i="2" s="1"/>
  <c r="N417" i="2"/>
  <c r="K416" i="2"/>
  <c r="H416" i="2" s="1"/>
  <c r="A417" i="4"/>
  <c r="J416" i="3"/>
  <c r="V416" i="3"/>
  <c r="M416" i="3"/>
  <c r="N416" i="3"/>
  <c r="C416" i="3"/>
  <c r="P416" i="3"/>
  <c r="E416" i="3"/>
  <c r="G416" i="3"/>
  <c r="S416" i="3"/>
  <c r="Y416" i="3" s="1"/>
  <c r="Z416" i="3" s="1"/>
  <c r="AA416" i="3" s="1"/>
  <c r="H416" i="3"/>
  <c r="T416" i="3"/>
  <c r="F415" i="3"/>
  <c r="D416" i="3"/>
  <c r="I414" i="3"/>
  <c r="U414" i="3"/>
  <c r="O414" i="3"/>
  <c r="L417" i="2"/>
  <c r="I416" i="2"/>
  <c r="F416" i="2" s="1"/>
  <c r="C418" i="2"/>
  <c r="C416" i="4"/>
  <c r="AB415" i="3"/>
  <c r="G416" i="4"/>
  <c r="L416" i="4" s="1"/>
  <c r="I416" i="4"/>
  <c r="M416" i="4" s="1"/>
  <c r="K416" i="4"/>
  <c r="N416" i="4" s="1"/>
  <c r="E418" i="2" l="1"/>
  <c r="B418" i="3"/>
  <c r="H415" i="4"/>
  <c r="E416" i="4"/>
  <c r="J415" i="4"/>
  <c r="F415" i="4"/>
  <c r="D417" i="4"/>
  <c r="O415" i="3"/>
  <c r="I415" i="3"/>
  <c r="U415" i="3"/>
  <c r="G417" i="4"/>
  <c r="L417" i="4" s="1"/>
  <c r="I417" i="4"/>
  <c r="M417" i="4" s="1"/>
  <c r="K417" i="4"/>
  <c r="N417" i="4" s="1"/>
  <c r="N418" i="2"/>
  <c r="K417" i="2"/>
  <c r="H417" i="2" s="1"/>
  <c r="F416" i="3"/>
  <c r="D417" i="3"/>
  <c r="C419" i="2"/>
  <c r="A418" i="4"/>
  <c r="G417" i="3"/>
  <c r="S417" i="3"/>
  <c r="Y417" i="3" s="1"/>
  <c r="Z417" i="3" s="1"/>
  <c r="AA417" i="3" s="1"/>
  <c r="H417" i="3"/>
  <c r="T417" i="3"/>
  <c r="J417" i="3"/>
  <c r="V417" i="3"/>
  <c r="M417" i="3"/>
  <c r="N417" i="3"/>
  <c r="C417" i="3"/>
  <c r="P417" i="3"/>
  <c r="E417" i="3"/>
  <c r="M418" i="2"/>
  <c r="J417" i="2"/>
  <c r="G417" i="2" s="1"/>
  <c r="L418" i="2"/>
  <c r="I417" i="2"/>
  <c r="F417" i="2" s="1"/>
  <c r="D419" i="2"/>
  <c r="C417" i="4"/>
  <c r="AB416" i="3"/>
  <c r="E419" i="2" l="1"/>
  <c r="B419" i="3"/>
  <c r="E417" i="4"/>
  <c r="J416" i="4"/>
  <c r="F416" i="4"/>
  <c r="H416" i="4"/>
  <c r="D418" i="4"/>
  <c r="K418" i="2"/>
  <c r="H418" i="2" s="1"/>
  <c r="N419" i="2"/>
  <c r="L419" i="2"/>
  <c r="I418" i="2"/>
  <c r="F418" i="2" s="1"/>
  <c r="M419" i="2"/>
  <c r="J418" i="2"/>
  <c r="G418" i="2" s="1"/>
  <c r="K418" i="4"/>
  <c r="N418" i="4" s="1"/>
  <c r="G418" i="4"/>
  <c r="L418" i="4" s="1"/>
  <c r="I418" i="4"/>
  <c r="M418" i="4" s="1"/>
  <c r="A419" i="4"/>
  <c r="P418" i="3"/>
  <c r="E418" i="3"/>
  <c r="G418" i="3"/>
  <c r="S418" i="3"/>
  <c r="Y418" i="3" s="1"/>
  <c r="Z418" i="3" s="1"/>
  <c r="AA418" i="3" s="1"/>
  <c r="H418" i="3"/>
  <c r="T418" i="3"/>
  <c r="J418" i="3"/>
  <c r="V418" i="3"/>
  <c r="M418" i="3"/>
  <c r="C418" i="3"/>
  <c r="N418" i="3"/>
  <c r="C420" i="2"/>
  <c r="D418" i="3"/>
  <c r="F417" i="3"/>
  <c r="D420" i="2"/>
  <c r="C418" i="4"/>
  <c r="AB417" i="3"/>
  <c r="O416" i="3"/>
  <c r="I416" i="3"/>
  <c r="U416" i="3"/>
  <c r="E420" i="2" l="1"/>
  <c r="B420" i="3"/>
  <c r="F417" i="4"/>
  <c r="J417" i="4"/>
  <c r="H417" i="4"/>
  <c r="E418" i="4"/>
  <c r="D419" i="4"/>
  <c r="D421" i="2"/>
  <c r="M420" i="2"/>
  <c r="J419" i="2"/>
  <c r="G419" i="2" s="1"/>
  <c r="F418" i="3"/>
  <c r="D419" i="3"/>
  <c r="A420" i="4"/>
  <c r="M419" i="3"/>
  <c r="N419" i="3"/>
  <c r="C419" i="3"/>
  <c r="P419" i="3"/>
  <c r="E419" i="3"/>
  <c r="G419" i="3"/>
  <c r="S419" i="3"/>
  <c r="Y419" i="3" s="1"/>
  <c r="Z419" i="3" s="1"/>
  <c r="AA419" i="3" s="1"/>
  <c r="H419" i="3"/>
  <c r="T419" i="3"/>
  <c r="J419" i="3"/>
  <c r="V419" i="3"/>
  <c r="I417" i="3"/>
  <c r="U417" i="3"/>
  <c r="O417" i="3"/>
  <c r="L420" i="2"/>
  <c r="I419" i="2"/>
  <c r="F419" i="2" s="1"/>
  <c r="C421" i="2"/>
  <c r="N420" i="2"/>
  <c r="K419" i="2"/>
  <c r="H419" i="2" s="1"/>
  <c r="I419" i="4"/>
  <c r="M419" i="4" s="1"/>
  <c r="K419" i="4"/>
  <c r="N419" i="4" s="1"/>
  <c r="G419" i="4"/>
  <c r="L419" i="4" s="1"/>
  <c r="C419" i="4"/>
  <c r="AB418" i="3"/>
  <c r="E421" i="2" l="1"/>
  <c r="B421" i="3"/>
  <c r="H418" i="4"/>
  <c r="J418" i="4"/>
  <c r="E419" i="4"/>
  <c r="F418" i="4"/>
  <c r="D420" i="4"/>
  <c r="G420" i="4"/>
  <c r="L420" i="4" s="1"/>
  <c r="I420" i="4"/>
  <c r="M420" i="4" s="1"/>
  <c r="K420" i="4"/>
  <c r="N420" i="4" s="1"/>
  <c r="F419" i="3"/>
  <c r="D420" i="3"/>
  <c r="I418" i="3"/>
  <c r="U418" i="3"/>
  <c r="O418" i="3"/>
  <c r="C420" i="4"/>
  <c r="AB419" i="3"/>
  <c r="N421" i="2"/>
  <c r="K420" i="2"/>
  <c r="H420" i="2" s="1"/>
  <c r="M421" i="2"/>
  <c r="J420" i="2"/>
  <c r="G420" i="2" s="1"/>
  <c r="C422" i="2"/>
  <c r="A421" i="4"/>
  <c r="J420" i="3"/>
  <c r="V420" i="3"/>
  <c r="M420" i="3"/>
  <c r="N420" i="3"/>
  <c r="C420" i="3"/>
  <c r="P420" i="3"/>
  <c r="E420" i="3"/>
  <c r="G420" i="3"/>
  <c r="S420" i="3"/>
  <c r="Y420" i="3" s="1"/>
  <c r="Z420" i="3" s="1"/>
  <c r="AA420" i="3" s="1"/>
  <c r="T420" i="3"/>
  <c r="H420" i="3"/>
  <c r="D422" i="2"/>
  <c r="L421" i="2"/>
  <c r="I420" i="2"/>
  <c r="F420" i="2" s="1"/>
  <c r="E422" i="2" l="1"/>
  <c r="B422" i="3"/>
  <c r="E420" i="4"/>
  <c r="H419" i="4"/>
  <c r="J419" i="4"/>
  <c r="F419" i="4"/>
  <c r="D421" i="4"/>
  <c r="G421" i="4"/>
  <c r="L421" i="4" s="1"/>
  <c r="I421" i="4"/>
  <c r="M421" i="4" s="1"/>
  <c r="K421" i="4"/>
  <c r="N421" i="4" s="1"/>
  <c r="C423" i="2"/>
  <c r="F420" i="3"/>
  <c r="D421" i="3"/>
  <c r="O419" i="3"/>
  <c r="I419" i="3"/>
  <c r="U419" i="3"/>
  <c r="A422" i="4"/>
  <c r="G421" i="3"/>
  <c r="S421" i="3"/>
  <c r="Y421" i="3" s="1"/>
  <c r="Z421" i="3" s="1"/>
  <c r="AA421" i="3" s="1"/>
  <c r="H421" i="3"/>
  <c r="T421" i="3"/>
  <c r="J421" i="3"/>
  <c r="V421" i="3"/>
  <c r="M421" i="3"/>
  <c r="N421" i="3"/>
  <c r="C421" i="3"/>
  <c r="P421" i="3"/>
  <c r="E421" i="3"/>
  <c r="M422" i="2"/>
  <c r="J421" i="2"/>
  <c r="G421" i="2" s="1"/>
  <c r="K421" i="2"/>
  <c r="H421" i="2" s="1"/>
  <c r="N422" i="2"/>
  <c r="D423" i="2"/>
  <c r="C421" i="4"/>
  <c r="AB420" i="3"/>
  <c r="L422" i="2"/>
  <c r="I421" i="2"/>
  <c r="F421" i="2" s="1"/>
  <c r="E423" i="2" l="1"/>
  <c r="B423" i="3"/>
  <c r="J420" i="4"/>
  <c r="F420" i="4"/>
  <c r="H420" i="4"/>
  <c r="E421" i="4"/>
  <c r="D422" i="4"/>
  <c r="D424" i="2"/>
  <c r="O420" i="3"/>
  <c r="I420" i="3"/>
  <c r="U420" i="3"/>
  <c r="C422" i="4"/>
  <c r="AB421" i="3"/>
  <c r="N423" i="2"/>
  <c r="K422" i="2"/>
  <c r="H422" i="2" s="1"/>
  <c r="C424" i="2"/>
  <c r="M423" i="2"/>
  <c r="J422" i="2"/>
  <c r="G422" i="2" s="1"/>
  <c r="A423" i="4"/>
  <c r="P422" i="3"/>
  <c r="E422" i="3"/>
  <c r="G422" i="3"/>
  <c r="S422" i="3"/>
  <c r="Y422" i="3" s="1"/>
  <c r="Z422" i="3" s="1"/>
  <c r="AA422" i="3" s="1"/>
  <c r="H422" i="3"/>
  <c r="T422" i="3"/>
  <c r="J422" i="3"/>
  <c r="V422" i="3"/>
  <c r="M422" i="3"/>
  <c r="C422" i="3"/>
  <c r="N422" i="3"/>
  <c r="G422" i="4"/>
  <c r="L422" i="4" s="1"/>
  <c r="I422" i="4"/>
  <c r="M422" i="4" s="1"/>
  <c r="K422" i="4"/>
  <c r="N422" i="4" s="1"/>
  <c r="L423" i="2"/>
  <c r="I422" i="2"/>
  <c r="F422" i="2" s="1"/>
  <c r="D422" i="3"/>
  <c r="F421" i="3"/>
  <c r="E424" i="2" l="1"/>
  <c r="B424" i="3"/>
  <c r="H421" i="4"/>
  <c r="J421" i="4"/>
  <c r="E422" i="4"/>
  <c r="F421" i="4"/>
  <c r="D423" i="4"/>
  <c r="N424" i="2"/>
  <c r="K423" i="2"/>
  <c r="H423" i="2" s="1"/>
  <c r="A424" i="4"/>
  <c r="M423" i="3"/>
  <c r="N423" i="3"/>
  <c r="C423" i="3"/>
  <c r="P423" i="3"/>
  <c r="E423" i="3"/>
  <c r="G423" i="3"/>
  <c r="S423" i="3"/>
  <c r="Y423" i="3" s="1"/>
  <c r="Z423" i="3" s="1"/>
  <c r="AA423" i="3" s="1"/>
  <c r="H423" i="3"/>
  <c r="T423" i="3"/>
  <c r="J423" i="3"/>
  <c r="V423" i="3"/>
  <c r="G423" i="4"/>
  <c r="L423" i="4" s="1"/>
  <c r="I423" i="4"/>
  <c r="M423" i="4" s="1"/>
  <c r="K423" i="4"/>
  <c r="N423" i="4" s="1"/>
  <c r="I421" i="3"/>
  <c r="U421" i="3"/>
  <c r="O421" i="3"/>
  <c r="C423" i="4"/>
  <c r="AB422" i="3"/>
  <c r="M424" i="2"/>
  <c r="J423" i="2"/>
  <c r="G423" i="2" s="1"/>
  <c r="F422" i="3"/>
  <c r="D423" i="3"/>
  <c r="D425" i="2"/>
  <c r="L424" i="2"/>
  <c r="I423" i="2"/>
  <c r="F423" i="2" s="1"/>
  <c r="C425" i="2"/>
  <c r="E425" i="2" s="1"/>
  <c r="B425" i="3" l="1"/>
  <c r="J422" i="4"/>
  <c r="E423" i="4"/>
  <c r="H422" i="4"/>
  <c r="F422" i="4"/>
  <c r="D424" i="4"/>
  <c r="D426" i="2"/>
  <c r="A425" i="4"/>
  <c r="J424" i="3"/>
  <c r="V424" i="3"/>
  <c r="M424" i="3"/>
  <c r="N424" i="3"/>
  <c r="C424" i="3"/>
  <c r="P424" i="3"/>
  <c r="E424" i="3"/>
  <c r="G424" i="3"/>
  <c r="S424" i="3"/>
  <c r="Y424" i="3" s="1"/>
  <c r="Z424" i="3" s="1"/>
  <c r="AA424" i="3" s="1"/>
  <c r="H424" i="3"/>
  <c r="T424" i="3"/>
  <c r="F423" i="3"/>
  <c r="D424" i="3"/>
  <c r="I422" i="3"/>
  <c r="U422" i="3"/>
  <c r="O422" i="3"/>
  <c r="C424" i="4"/>
  <c r="AB423" i="3"/>
  <c r="M425" i="2"/>
  <c r="J424" i="2"/>
  <c r="G424" i="2" s="1"/>
  <c r="K424" i="4"/>
  <c r="N424" i="4" s="1"/>
  <c r="G424" i="4"/>
  <c r="L424" i="4" s="1"/>
  <c r="I424" i="4"/>
  <c r="M424" i="4" s="1"/>
  <c r="C426" i="2"/>
  <c r="E426" i="2" s="1"/>
  <c r="K424" i="2"/>
  <c r="H424" i="2" s="1"/>
  <c r="N425" i="2"/>
  <c r="L425" i="2"/>
  <c r="I424" i="2"/>
  <c r="F424" i="2" s="1"/>
  <c r="B426" i="3" l="1"/>
  <c r="F423" i="4"/>
  <c r="E424" i="4"/>
  <c r="H423" i="4"/>
  <c r="J423" i="4"/>
  <c r="D425" i="4"/>
  <c r="C427" i="2"/>
  <c r="C425" i="4"/>
  <c r="AB424" i="3"/>
  <c r="F424" i="3"/>
  <c r="D425" i="3"/>
  <c r="O423" i="3"/>
  <c r="I423" i="3"/>
  <c r="U423" i="3"/>
  <c r="I425" i="4"/>
  <c r="M425" i="4" s="1"/>
  <c r="K425" i="4"/>
  <c r="N425" i="4" s="1"/>
  <c r="G425" i="4"/>
  <c r="L425" i="4" s="1"/>
  <c r="D427" i="2"/>
  <c r="L426" i="2"/>
  <c r="I425" i="2"/>
  <c r="F425" i="2" s="1"/>
  <c r="N426" i="2"/>
  <c r="K425" i="2"/>
  <c r="H425" i="2" s="1"/>
  <c r="M426" i="2"/>
  <c r="J425" i="2"/>
  <c r="G425" i="2" s="1"/>
  <c r="A426" i="4"/>
  <c r="G425" i="3"/>
  <c r="S425" i="3"/>
  <c r="Y425" i="3" s="1"/>
  <c r="Z425" i="3" s="1"/>
  <c r="AA425" i="3" s="1"/>
  <c r="H425" i="3"/>
  <c r="T425" i="3"/>
  <c r="J425" i="3"/>
  <c r="V425" i="3"/>
  <c r="M425" i="3"/>
  <c r="N425" i="3"/>
  <c r="C425" i="3"/>
  <c r="P425" i="3"/>
  <c r="E425" i="3"/>
  <c r="E427" i="2" l="1"/>
  <c r="B427" i="3"/>
  <c r="E425" i="4"/>
  <c r="J424" i="4"/>
  <c r="F424" i="4"/>
  <c r="H424" i="4"/>
  <c r="D426" i="4"/>
  <c r="C426" i="4"/>
  <c r="AB425" i="3"/>
  <c r="L427" i="2"/>
  <c r="I426" i="2"/>
  <c r="F426" i="2" s="1"/>
  <c r="N427" i="2"/>
  <c r="K426" i="2"/>
  <c r="H426" i="2" s="1"/>
  <c r="D426" i="3"/>
  <c r="F425" i="3"/>
  <c r="O424" i="3"/>
  <c r="I424" i="3"/>
  <c r="U424" i="3"/>
  <c r="D428" i="2"/>
  <c r="G426" i="4"/>
  <c r="L426" i="4" s="1"/>
  <c r="I426" i="4"/>
  <c r="M426" i="4" s="1"/>
  <c r="K426" i="4"/>
  <c r="N426" i="4" s="1"/>
  <c r="A427" i="4"/>
  <c r="P426" i="3"/>
  <c r="E426" i="3"/>
  <c r="G426" i="3"/>
  <c r="S426" i="3"/>
  <c r="Y426" i="3" s="1"/>
  <c r="Z426" i="3" s="1"/>
  <c r="AA426" i="3" s="1"/>
  <c r="H426" i="3"/>
  <c r="T426" i="3"/>
  <c r="J426" i="3"/>
  <c r="V426" i="3"/>
  <c r="M426" i="3"/>
  <c r="C426" i="3"/>
  <c r="N426" i="3"/>
  <c r="C428" i="2"/>
  <c r="M427" i="2"/>
  <c r="J426" i="2"/>
  <c r="G426" i="2" s="1"/>
  <c r="E428" i="2" l="1"/>
  <c r="B428" i="3"/>
  <c r="E426" i="4"/>
  <c r="J425" i="4"/>
  <c r="F425" i="4"/>
  <c r="H425" i="4"/>
  <c r="D427" i="4"/>
  <c r="G427" i="4"/>
  <c r="L427" i="4" s="1"/>
  <c r="I427" i="4"/>
  <c r="M427" i="4" s="1"/>
  <c r="K427" i="4"/>
  <c r="N427" i="4" s="1"/>
  <c r="I425" i="3"/>
  <c r="U425" i="3"/>
  <c r="O425" i="3"/>
  <c r="C427" i="4"/>
  <c r="AB426" i="3"/>
  <c r="F426" i="3"/>
  <c r="D427" i="3"/>
  <c r="N428" i="2"/>
  <c r="K427" i="2"/>
  <c r="H427" i="2" s="1"/>
  <c r="L428" i="2"/>
  <c r="I427" i="2"/>
  <c r="F427" i="2" s="1"/>
  <c r="D429" i="2"/>
  <c r="M428" i="2"/>
  <c r="J427" i="2"/>
  <c r="G427" i="2" s="1"/>
  <c r="C429" i="2"/>
  <c r="A428" i="4"/>
  <c r="M427" i="3"/>
  <c r="N427" i="3"/>
  <c r="C427" i="3"/>
  <c r="P427" i="3"/>
  <c r="E427" i="3"/>
  <c r="G427" i="3"/>
  <c r="S427" i="3"/>
  <c r="Y427" i="3" s="1"/>
  <c r="Z427" i="3" s="1"/>
  <c r="AA427" i="3" s="1"/>
  <c r="H427" i="3"/>
  <c r="T427" i="3"/>
  <c r="J427" i="3"/>
  <c r="V427" i="3"/>
  <c r="E429" i="2" l="1"/>
  <c r="B429" i="3"/>
  <c r="E427" i="4"/>
  <c r="J426" i="4"/>
  <c r="H426" i="4"/>
  <c r="F426" i="4"/>
  <c r="D428" i="4"/>
  <c r="M429" i="2"/>
  <c r="J428" i="2"/>
  <c r="G428" i="2" s="1"/>
  <c r="A429" i="4"/>
  <c r="J428" i="3"/>
  <c r="V428" i="3"/>
  <c r="M428" i="3"/>
  <c r="N428" i="3"/>
  <c r="C428" i="3"/>
  <c r="P428" i="3"/>
  <c r="E428" i="3"/>
  <c r="G428" i="3"/>
  <c r="S428" i="3"/>
  <c r="Y428" i="3" s="1"/>
  <c r="Z428" i="3" s="1"/>
  <c r="AA428" i="3" s="1"/>
  <c r="T428" i="3"/>
  <c r="H428" i="3"/>
  <c r="D430" i="2"/>
  <c r="L429" i="2"/>
  <c r="I428" i="2"/>
  <c r="F428" i="2" s="1"/>
  <c r="C428" i="4"/>
  <c r="AB427" i="3"/>
  <c r="G428" i="4"/>
  <c r="L428" i="4" s="1"/>
  <c r="I428" i="4"/>
  <c r="M428" i="4" s="1"/>
  <c r="K428" i="4"/>
  <c r="N428" i="4" s="1"/>
  <c r="N429" i="2"/>
  <c r="K428" i="2"/>
  <c r="H428" i="2" s="1"/>
  <c r="F427" i="3"/>
  <c r="D428" i="3"/>
  <c r="I426" i="3"/>
  <c r="U426" i="3"/>
  <c r="O426" i="3"/>
  <c r="C430" i="2"/>
  <c r="E430" i="2" l="1"/>
  <c r="B430" i="3"/>
  <c r="H427" i="4"/>
  <c r="J427" i="4"/>
  <c r="F427" i="4"/>
  <c r="E428" i="4"/>
  <c r="D429" i="4"/>
  <c r="F428" i="3"/>
  <c r="D429" i="3"/>
  <c r="O427" i="3"/>
  <c r="I427" i="3"/>
  <c r="U427" i="3"/>
  <c r="L430" i="2"/>
  <c r="I429" i="2"/>
  <c r="F429" i="2" s="1"/>
  <c r="C429" i="4"/>
  <c r="AB428" i="3"/>
  <c r="N430" i="2"/>
  <c r="K429" i="2"/>
  <c r="H429" i="2" s="1"/>
  <c r="D431" i="2"/>
  <c r="G429" i="4"/>
  <c r="L429" i="4" s="1"/>
  <c r="I429" i="4"/>
  <c r="M429" i="4" s="1"/>
  <c r="K429" i="4"/>
  <c r="N429" i="4" s="1"/>
  <c r="M430" i="2"/>
  <c r="J429" i="2"/>
  <c r="G429" i="2" s="1"/>
  <c r="C431" i="2"/>
  <c r="A430" i="4"/>
  <c r="G429" i="3"/>
  <c r="S429" i="3"/>
  <c r="Y429" i="3" s="1"/>
  <c r="Z429" i="3" s="1"/>
  <c r="AA429" i="3" s="1"/>
  <c r="H429" i="3"/>
  <c r="T429" i="3"/>
  <c r="J429" i="3"/>
  <c r="V429" i="3"/>
  <c r="M429" i="3"/>
  <c r="N429" i="3"/>
  <c r="C429" i="3"/>
  <c r="P429" i="3"/>
  <c r="E429" i="3"/>
  <c r="E431" i="2" l="1"/>
  <c r="B431" i="3"/>
  <c r="H428" i="4"/>
  <c r="E429" i="4"/>
  <c r="J428" i="4"/>
  <c r="F428" i="4"/>
  <c r="D430" i="4"/>
  <c r="K430" i="2"/>
  <c r="H430" i="2" s="1"/>
  <c r="N431" i="2"/>
  <c r="L431" i="2"/>
  <c r="I430" i="2"/>
  <c r="F430" i="2" s="1"/>
  <c r="C430" i="4"/>
  <c r="AB429" i="3"/>
  <c r="M431" i="2"/>
  <c r="J430" i="2"/>
  <c r="G430" i="2" s="1"/>
  <c r="A431" i="4"/>
  <c r="P430" i="3"/>
  <c r="E430" i="3"/>
  <c r="G430" i="3"/>
  <c r="S430" i="3"/>
  <c r="Y430" i="3" s="1"/>
  <c r="Z430" i="3" s="1"/>
  <c r="AA430" i="3" s="1"/>
  <c r="H430" i="3"/>
  <c r="T430" i="3"/>
  <c r="J430" i="3"/>
  <c r="V430" i="3"/>
  <c r="M430" i="3"/>
  <c r="C430" i="3"/>
  <c r="N430" i="3"/>
  <c r="K430" i="4"/>
  <c r="N430" i="4" s="1"/>
  <c r="I430" i="4"/>
  <c r="M430" i="4" s="1"/>
  <c r="G430" i="4"/>
  <c r="L430" i="4" s="1"/>
  <c r="D432" i="2"/>
  <c r="D430" i="3"/>
  <c r="F429" i="3"/>
  <c r="C432" i="2"/>
  <c r="O428" i="3"/>
  <c r="I428" i="3"/>
  <c r="U428" i="3"/>
  <c r="E432" i="2" l="1"/>
  <c r="B432" i="3"/>
  <c r="J429" i="4"/>
  <c r="F429" i="4"/>
  <c r="E430" i="4"/>
  <c r="H429" i="4"/>
  <c r="D431" i="4"/>
  <c r="I431" i="4"/>
  <c r="M431" i="4" s="1"/>
  <c r="K431" i="4"/>
  <c r="N431" i="4" s="1"/>
  <c r="G431" i="4"/>
  <c r="L431" i="4" s="1"/>
  <c r="C433" i="2"/>
  <c r="I429" i="3"/>
  <c r="U429" i="3"/>
  <c r="O429" i="3"/>
  <c r="D433" i="2"/>
  <c r="C431" i="4"/>
  <c r="AB430" i="3"/>
  <c r="M432" i="2"/>
  <c r="J431" i="2"/>
  <c r="G431" i="2" s="1"/>
  <c r="F430" i="3"/>
  <c r="D431" i="3"/>
  <c r="L432" i="2"/>
  <c r="I431" i="2"/>
  <c r="F431" i="2" s="1"/>
  <c r="N432" i="2"/>
  <c r="K431" i="2"/>
  <c r="H431" i="2" s="1"/>
  <c r="A432" i="4"/>
  <c r="M431" i="3"/>
  <c r="N431" i="3"/>
  <c r="C431" i="3"/>
  <c r="P431" i="3"/>
  <c r="E431" i="3"/>
  <c r="G431" i="3"/>
  <c r="S431" i="3"/>
  <c r="Y431" i="3" s="1"/>
  <c r="Z431" i="3" s="1"/>
  <c r="AA431" i="3" s="1"/>
  <c r="H431" i="3"/>
  <c r="T431" i="3"/>
  <c r="J431" i="3"/>
  <c r="V431" i="3"/>
  <c r="E433" i="2" l="1"/>
  <c r="B433" i="3"/>
  <c r="E431" i="4"/>
  <c r="J430" i="4"/>
  <c r="F430" i="4"/>
  <c r="H430" i="4"/>
  <c r="D432" i="4"/>
  <c r="F431" i="3"/>
  <c r="D432" i="3"/>
  <c r="L433" i="2"/>
  <c r="I432" i="2"/>
  <c r="F432" i="2" s="1"/>
  <c r="C434" i="2"/>
  <c r="M433" i="2"/>
  <c r="J432" i="2"/>
  <c r="G432" i="2" s="1"/>
  <c r="A433" i="4"/>
  <c r="J432" i="3"/>
  <c r="V432" i="3"/>
  <c r="M432" i="3"/>
  <c r="N432" i="3"/>
  <c r="C432" i="3"/>
  <c r="P432" i="3"/>
  <c r="E432" i="3"/>
  <c r="G432" i="3"/>
  <c r="S432" i="3"/>
  <c r="Y432" i="3" s="1"/>
  <c r="Z432" i="3" s="1"/>
  <c r="AA432" i="3" s="1"/>
  <c r="H432" i="3"/>
  <c r="T432" i="3"/>
  <c r="C432" i="4"/>
  <c r="AB431" i="3"/>
  <c r="I430" i="3"/>
  <c r="U430" i="3"/>
  <c r="O430" i="3"/>
  <c r="G432" i="4"/>
  <c r="L432" i="4" s="1"/>
  <c r="I432" i="4"/>
  <c r="M432" i="4" s="1"/>
  <c r="K432" i="4"/>
  <c r="N432" i="4" s="1"/>
  <c r="D434" i="2"/>
  <c r="N433" i="2"/>
  <c r="K432" i="2"/>
  <c r="H432" i="2" s="1"/>
  <c r="E434" i="2" l="1"/>
  <c r="B434" i="3"/>
  <c r="H431" i="4"/>
  <c r="J431" i="4"/>
  <c r="F431" i="4"/>
  <c r="E432" i="4"/>
  <c r="D433" i="4"/>
  <c r="G433" i="4"/>
  <c r="L433" i="4" s="1"/>
  <c r="I433" i="4"/>
  <c r="M433" i="4" s="1"/>
  <c r="K433" i="4"/>
  <c r="N433" i="4" s="1"/>
  <c r="M434" i="2"/>
  <c r="J433" i="2"/>
  <c r="G433" i="2" s="1"/>
  <c r="C435" i="2"/>
  <c r="A434" i="4"/>
  <c r="G433" i="3"/>
  <c r="S433" i="3"/>
  <c r="Y433" i="3" s="1"/>
  <c r="Z433" i="3" s="1"/>
  <c r="AA433" i="3" s="1"/>
  <c r="H433" i="3"/>
  <c r="T433" i="3"/>
  <c r="J433" i="3"/>
  <c r="V433" i="3"/>
  <c r="M433" i="3"/>
  <c r="N433" i="3"/>
  <c r="C433" i="3"/>
  <c r="P433" i="3"/>
  <c r="E433" i="3"/>
  <c r="L434" i="2"/>
  <c r="I433" i="2"/>
  <c r="F433" i="2" s="1"/>
  <c r="F432" i="3"/>
  <c r="D433" i="3"/>
  <c r="C433" i="4"/>
  <c r="AB432" i="3"/>
  <c r="O431" i="3"/>
  <c r="I431" i="3"/>
  <c r="U431" i="3"/>
  <c r="D435" i="2"/>
  <c r="N434" i="2"/>
  <c r="K433" i="2"/>
  <c r="H433" i="2" s="1"/>
  <c r="E435" i="2" l="1"/>
  <c r="B435" i="3"/>
  <c r="H432" i="4"/>
  <c r="E433" i="4"/>
  <c r="J432" i="4"/>
  <c r="F432" i="4"/>
  <c r="D434" i="4"/>
  <c r="C434" i="4"/>
  <c r="AB433" i="3"/>
  <c r="M435" i="2"/>
  <c r="J434" i="2"/>
  <c r="G434" i="2" s="1"/>
  <c r="O432" i="3"/>
  <c r="I432" i="3"/>
  <c r="U432" i="3"/>
  <c r="C436" i="2"/>
  <c r="N435" i="2"/>
  <c r="K434" i="2"/>
  <c r="H434" i="2" s="1"/>
  <c r="L435" i="2"/>
  <c r="I434" i="2"/>
  <c r="F434" i="2" s="1"/>
  <c r="G434" i="4"/>
  <c r="L434" i="4" s="1"/>
  <c r="K434" i="4"/>
  <c r="N434" i="4" s="1"/>
  <c r="I434" i="4"/>
  <c r="M434" i="4" s="1"/>
  <c r="D434" i="3"/>
  <c r="F433" i="3"/>
  <c r="D436" i="2"/>
  <c r="A435" i="4"/>
  <c r="P434" i="3"/>
  <c r="E434" i="3"/>
  <c r="G434" i="3"/>
  <c r="S434" i="3"/>
  <c r="Y434" i="3" s="1"/>
  <c r="Z434" i="3" s="1"/>
  <c r="AA434" i="3" s="1"/>
  <c r="H434" i="3"/>
  <c r="T434" i="3"/>
  <c r="J434" i="3"/>
  <c r="V434" i="3"/>
  <c r="M434" i="3"/>
  <c r="C434" i="3"/>
  <c r="N434" i="3"/>
  <c r="E436" i="2" l="1"/>
  <c r="B436" i="3"/>
  <c r="E434" i="4"/>
  <c r="J433" i="4"/>
  <c r="F433" i="4"/>
  <c r="H433" i="4"/>
  <c r="D435" i="4"/>
  <c r="C437" i="2"/>
  <c r="I433" i="3"/>
  <c r="U433" i="3"/>
  <c r="O433" i="3"/>
  <c r="A436" i="4"/>
  <c r="M435" i="3"/>
  <c r="N435" i="3"/>
  <c r="C435" i="3"/>
  <c r="P435" i="3"/>
  <c r="E435" i="3"/>
  <c r="G435" i="3"/>
  <c r="S435" i="3"/>
  <c r="Y435" i="3" s="1"/>
  <c r="Z435" i="3" s="1"/>
  <c r="AA435" i="3" s="1"/>
  <c r="H435" i="3"/>
  <c r="T435" i="3"/>
  <c r="J435" i="3"/>
  <c r="V435" i="3"/>
  <c r="M436" i="2"/>
  <c r="J435" i="2"/>
  <c r="G435" i="2" s="1"/>
  <c r="G435" i="4"/>
  <c r="L435" i="4" s="1"/>
  <c r="I435" i="4"/>
  <c r="M435" i="4" s="1"/>
  <c r="K435" i="4"/>
  <c r="N435" i="4" s="1"/>
  <c r="L436" i="2"/>
  <c r="I435" i="2"/>
  <c r="F435" i="2" s="1"/>
  <c r="F434" i="3"/>
  <c r="D435" i="3"/>
  <c r="C435" i="4"/>
  <c r="AB434" i="3"/>
  <c r="D437" i="2"/>
  <c r="N436" i="2"/>
  <c r="K435" i="2"/>
  <c r="H435" i="2" s="1"/>
  <c r="E437" i="2" l="1"/>
  <c r="B437" i="3"/>
  <c r="J434" i="4"/>
  <c r="F434" i="4"/>
  <c r="E435" i="4"/>
  <c r="H434" i="4"/>
  <c r="D436" i="4"/>
  <c r="M437" i="2"/>
  <c r="J436" i="2"/>
  <c r="G436" i="2" s="1"/>
  <c r="C436" i="4"/>
  <c r="AB435" i="3"/>
  <c r="F435" i="3"/>
  <c r="D436" i="3"/>
  <c r="K436" i="4"/>
  <c r="N436" i="4" s="1"/>
  <c r="G436" i="4"/>
  <c r="L436" i="4" s="1"/>
  <c r="I436" i="4"/>
  <c r="M436" i="4" s="1"/>
  <c r="I434" i="3"/>
  <c r="U434" i="3"/>
  <c r="O434" i="3"/>
  <c r="C438" i="2"/>
  <c r="N437" i="2"/>
  <c r="K436" i="2"/>
  <c r="H436" i="2" s="1"/>
  <c r="A437" i="4"/>
  <c r="J436" i="3"/>
  <c r="V436" i="3"/>
  <c r="M436" i="3"/>
  <c r="N436" i="3"/>
  <c r="C436" i="3"/>
  <c r="P436" i="3"/>
  <c r="E436" i="3"/>
  <c r="G436" i="3"/>
  <c r="S436" i="3"/>
  <c r="Y436" i="3" s="1"/>
  <c r="Z436" i="3" s="1"/>
  <c r="AA436" i="3" s="1"/>
  <c r="T436" i="3"/>
  <c r="H436" i="3"/>
  <c r="L437" i="2"/>
  <c r="I436" i="2"/>
  <c r="F436" i="2" s="1"/>
  <c r="D438" i="2"/>
  <c r="E438" i="2" l="1"/>
  <c r="B438" i="3"/>
  <c r="F435" i="4"/>
  <c r="H435" i="4"/>
  <c r="J435" i="4"/>
  <c r="E436" i="4"/>
  <c r="D437" i="4"/>
  <c r="N438" i="2"/>
  <c r="K437" i="2"/>
  <c r="H437" i="2" s="1"/>
  <c r="F436" i="3"/>
  <c r="D437" i="3"/>
  <c r="A438" i="4"/>
  <c r="G437" i="3"/>
  <c r="S437" i="3"/>
  <c r="Y437" i="3" s="1"/>
  <c r="Z437" i="3" s="1"/>
  <c r="AA437" i="3" s="1"/>
  <c r="H437" i="3"/>
  <c r="T437" i="3"/>
  <c r="J437" i="3"/>
  <c r="V437" i="3"/>
  <c r="M437" i="3"/>
  <c r="N437" i="3"/>
  <c r="C437" i="3"/>
  <c r="P437" i="3"/>
  <c r="E437" i="3"/>
  <c r="O435" i="3"/>
  <c r="I435" i="3"/>
  <c r="U435" i="3"/>
  <c r="C439" i="2"/>
  <c r="L438" i="2"/>
  <c r="I437" i="2"/>
  <c r="F437" i="2" s="1"/>
  <c r="I437" i="4"/>
  <c r="M437" i="4" s="1"/>
  <c r="K437" i="4"/>
  <c r="N437" i="4" s="1"/>
  <c r="G437" i="4"/>
  <c r="L437" i="4" s="1"/>
  <c r="M438" i="2"/>
  <c r="J437" i="2"/>
  <c r="G437" i="2" s="1"/>
  <c r="D439" i="2"/>
  <c r="C437" i="4"/>
  <c r="AB436" i="3"/>
  <c r="E439" i="2" l="1"/>
  <c r="B439" i="3"/>
  <c r="J436" i="4"/>
  <c r="E437" i="4"/>
  <c r="F436" i="4"/>
  <c r="H436" i="4"/>
  <c r="D438" i="4"/>
  <c r="C440" i="2"/>
  <c r="D440" i="2"/>
  <c r="A439" i="4"/>
  <c r="P438" i="3"/>
  <c r="E438" i="3"/>
  <c r="G438" i="3"/>
  <c r="S438" i="3"/>
  <c r="Y438" i="3" s="1"/>
  <c r="Z438" i="3" s="1"/>
  <c r="AA438" i="3" s="1"/>
  <c r="H438" i="3"/>
  <c r="T438" i="3"/>
  <c r="J438" i="3"/>
  <c r="V438" i="3"/>
  <c r="M438" i="3"/>
  <c r="C438" i="3"/>
  <c r="N438" i="3"/>
  <c r="G438" i="4"/>
  <c r="L438" i="4" s="1"/>
  <c r="I438" i="4"/>
  <c r="M438" i="4" s="1"/>
  <c r="K438" i="4"/>
  <c r="N438" i="4" s="1"/>
  <c r="D438" i="3"/>
  <c r="F437" i="3"/>
  <c r="O436" i="3"/>
  <c r="I436" i="3"/>
  <c r="U436" i="3"/>
  <c r="M439" i="2"/>
  <c r="J438" i="2"/>
  <c r="G438" i="2" s="1"/>
  <c r="N439" i="2"/>
  <c r="K438" i="2"/>
  <c r="H438" i="2" s="1"/>
  <c r="L439" i="2"/>
  <c r="I438" i="2"/>
  <c r="F438" i="2" s="1"/>
  <c r="C438" i="4"/>
  <c r="AB437" i="3"/>
  <c r="E440" i="2" l="1"/>
  <c r="B440" i="3"/>
  <c r="J437" i="4"/>
  <c r="F437" i="4"/>
  <c r="H437" i="4"/>
  <c r="E438" i="4"/>
  <c r="D439" i="4"/>
  <c r="A440" i="4"/>
  <c r="M439" i="3"/>
  <c r="N439" i="3"/>
  <c r="C439" i="3"/>
  <c r="P439" i="3"/>
  <c r="E439" i="3"/>
  <c r="G439" i="3"/>
  <c r="S439" i="3"/>
  <c r="Y439" i="3" s="1"/>
  <c r="Z439" i="3" s="1"/>
  <c r="AA439" i="3" s="1"/>
  <c r="H439" i="3"/>
  <c r="T439" i="3"/>
  <c r="J439" i="3"/>
  <c r="V439" i="3"/>
  <c r="M440" i="2"/>
  <c r="J439" i="2"/>
  <c r="G439" i="2" s="1"/>
  <c r="G439" i="4"/>
  <c r="L439" i="4" s="1"/>
  <c r="I439" i="4"/>
  <c r="M439" i="4" s="1"/>
  <c r="K439" i="4"/>
  <c r="N439" i="4" s="1"/>
  <c r="D441" i="2"/>
  <c r="C439" i="4"/>
  <c r="AB438" i="3"/>
  <c r="N440" i="2"/>
  <c r="K439" i="2"/>
  <c r="H439" i="2" s="1"/>
  <c r="I437" i="3"/>
  <c r="U437" i="3"/>
  <c r="O437" i="3"/>
  <c r="C441" i="2"/>
  <c r="F438" i="3"/>
  <c r="D439" i="3"/>
  <c r="L440" i="2"/>
  <c r="I439" i="2"/>
  <c r="F439" i="2" s="1"/>
  <c r="E441" i="2" l="1"/>
  <c r="B441" i="3"/>
  <c r="H438" i="4"/>
  <c r="J438" i="4"/>
  <c r="F438" i="4"/>
  <c r="E439" i="4"/>
  <c r="D440" i="4"/>
  <c r="A441" i="4"/>
  <c r="J440" i="3"/>
  <c r="V440" i="3"/>
  <c r="M440" i="3"/>
  <c r="N440" i="3"/>
  <c r="C440" i="3"/>
  <c r="P440" i="3"/>
  <c r="E440" i="3"/>
  <c r="G440" i="3"/>
  <c r="S440" i="3"/>
  <c r="Y440" i="3" s="1"/>
  <c r="Z440" i="3" s="1"/>
  <c r="AA440" i="3" s="1"/>
  <c r="H440" i="3"/>
  <c r="T440" i="3"/>
  <c r="C442" i="2"/>
  <c r="N441" i="2"/>
  <c r="K440" i="2"/>
  <c r="H440" i="2" s="1"/>
  <c r="M441" i="2"/>
  <c r="J440" i="2"/>
  <c r="G440" i="2" s="1"/>
  <c r="C440" i="4"/>
  <c r="AB439" i="3"/>
  <c r="L441" i="2"/>
  <c r="I440" i="2"/>
  <c r="F440" i="2" s="1"/>
  <c r="G440" i="4"/>
  <c r="L440" i="4" s="1"/>
  <c r="I440" i="4"/>
  <c r="M440" i="4" s="1"/>
  <c r="K440" i="4"/>
  <c r="N440" i="4" s="1"/>
  <c r="F439" i="3"/>
  <c r="D440" i="3"/>
  <c r="I438" i="3"/>
  <c r="U438" i="3"/>
  <c r="O438" i="3"/>
  <c r="D442" i="2"/>
  <c r="E442" i="2" l="1"/>
  <c r="B442" i="3"/>
  <c r="F439" i="4"/>
  <c r="E440" i="4"/>
  <c r="H439" i="4"/>
  <c r="J439" i="4"/>
  <c r="D441" i="4"/>
  <c r="A442" i="4"/>
  <c r="G441" i="3"/>
  <c r="S441" i="3"/>
  <c r="Y441" i="3" s="1"/>
  <c r="Z441" i="3" s="1"/>
  <c r="AA441" i="3" s="1"/>
  <c r="H441" i="3"/>
  <c r="T441" i="3"/>
  <c r="J441" i="3"/>
  <c r="V441" i="3"/>
  <c r="M441" i="3"/>
  <c r="N441" i="3"/>
  <c r="C441" i="3"/>
  <c r="P441" i="3"/>
  <c r="E441" i="3"/>
  <c r="F440" i="3"/>
  <c r="D441" i="3"/>
  <c r="O439" i="3"/>
  <c r="I439" i="3"/>
  <c r="U439" i="3"/>
  <c r="M442" i="2"/>
  <c r="J441" i="2"/>
  <c r="G441" i="2" s="1"/>
  <c r="N442" i="2"/>
  <c r="K441" i="2"/>
  <c r="H441" i="2" s="1"/>
  <c r="C441" i="4"/>
  <c r="AB440" i="3"/>
  <c r="C443" i="2"/>
  <c r="I441" i="4"/>
  <c r="M441" i="4" s="1"/>
  <c r="K441" i="4"/>
  <c r="N441" i="4" s="1"/>
  <c r="G441" i="4"/>
  <c r="L441" i="4" s="1"/>
  <c r="D443" i="2"/>
  <c r="L442" i="2"/>
  <c r="I441" i="2"/>
  <c r="F441" i="2" s="1"/>
  <c r="E443" i="2" l="1"/>
  <c r="B443" i="3"/>
  <c r="H440" i="4"/>
  <c r="E441" i="4"/>
  <c r="J440" i="4"/>
  <c r="F440" i="4"/>
  <c r="D442" i="4"/>
  <c r="C442" i="4"/>
  <c r="AB441" i="3"/>
  <c r="M443" i="2"/>
  <c r="J442" i="2"/>
  <c r="G442" i="2" s="1"/>
  <c r="K442" i="2"/>
  <c r="H442" i="2" s="1"/>
  <c r="N443" i="2"/>
  <c r="C444" i="2"/>
  <c r="O440" i="3"/>
  <c r="I440" i="3"/>
  <c r="U440" i="3"/>
  <c r="L443" i="2"/>
  <c r="I442" i="2"/>
  <c r="F442" i="2" s="1"/>
  <c r="K442" i="4"/>
  <c r="N442" i="4" s="1"/>
  <c r="G442" i="4"/>
  <c r="L442" i="4" s="1"/>
  <c r="I442" i="4"/>
  <c r="M442" i="4" s="1"/>
  <c r="D442" i="3"/>
  <c r="F441" i="3"/>
  <c r="D444" i="2"/>
  <c r="A443" i="4"/>
  <c r="P442" i="3"/>
  <c r="E442" i="3"/>
  <c r="G442" i="3"/>
  <c r="S442" i="3"/>
  <c r="Y442" i="3" s="1"/>
  <c r="Z442" i="3" s="1"/>
  <c r="AA442" i="3" s="1"/>
  <c r="H442" i="3"/>
  <c r="T442" i="3"/>
  <c r="J442" i="3"/>
  <c r="V442" i="3"/>
  <c r="M442" i="3"/>
  <c r="C442" i="3"/>
  <c r="N442" i="3"/>
  <c r="E444" i="2" l="1"/>
  <c r="B444" i="3"/>
  <c r="E442" i="4"/>
  <c r="J441" i="4"/>
  <c r="F441" i="4"/>
  <c r="H441" i="4"/>
  <c r="D443" i="4"/>
  <c r="F442" i="3"/>
  <c r="D443" i="3"/>
  <c r="C445" i="2"/>
  <c r="N444" i="2"/>
  <c r="K443" i="2"/>
  <c r="H443" i="2" s="1"/>
  <c r="A444" i="4"/>
  <c r="M443" i="3"/>
  <c r="N443" i="3"/>
  <c r="C443" i="3"/>
  <c r="P443" i="3"/>
  <c r="E443" i="3"/>
  <c r="G443" i="3"/>
  <c r="S443" i="3"/>
  <c r="Y443" i="3" s="1"/>
  <c r="Z443" i="3" s="1"/>
  <c r="AA443" i="3" s="1"/>
  <c r="H443" i="3"/>
  <c r="T443" i="3"/>
  <c r="J443" i="3"/>
  <c r="V443" i="3"/>
  <c r="I441" i="3"/>
  <c r="U441" i="3"/>
  <c r="O441" i="3"/>
  <c r="M444" i="2"/>
  <c r="J443" i="2"/>
  <c r="G443" i="2" s="1"/>
  <c r="I443" i="4"/>
  <c r="M443" i="4" s="1"/>
  <c r="G443" i="4"/>
  <c r="L443" i="4" s="1"/>
  <c r="K443" i="4"/>
  <c r="N443" i="4" s="1"/>
  <c r="L444" i="2"/>
  <c r="I443" i="2"/>
  <c r="F443" i="2" s="1"/>
  <c r="C443" i="4"/>
  <c r="AB442" i="3"/>
  <c r="D445" i="2"/>
  <c r="E445" i="2" l="1"/>
  <c r="B445" i="3"/>
  <c r="J442" i="4"/>
  <c r="E443" i="4"/>
  <c r="F442" i="4"/>
  <c r="H442" i="4"/>
  <c r="D444" i="4"/>
  <c r="C444" i="4"/>
  <c r="AB443" i="3"/>
  <c r="L445" i="2"/>
  <c r="I444" i="2"/>
  <c r="F444" i="2" s="1"/>
  <c r="G444" i="4"/>
  <c r="L444" i="4" s="1"/>
  <c r="I444" i="4"/>
  <c r="M444" i="4" s="1"/>
  <c r="K444" i="4"/>
  <c r="N444" i="4" s="1"/>
  <c r="N445" i="2"/>
  <c r="K444" i="2"/>
  <c r="H444" i="2" s="1"/>
  <c r="C446" i="2"/>
  <c r="A445" i="4"/>
  <c r="J444" i="3"/>
  <c r="V444" i="3"/>
  <c r="M444" i="3"/>
  <c r="N444" i="3"/>
  <c r="C444" i="3"/>
  <c r="P444" i="3"/>
  <c r="E444" i="3"/>
  <c r="G444" i="3"/>
  <c r="S444" i="3"/>
  <c r="Y444" i="3" s="1"/>
  <c r="Z444" i="3" s="1"/>
  <c r="AA444" i="3" s="1"/>
  <c r="T444" i="3"/>
  <c r="H444" i="3"/>
  <c r="F443" i="3"/>
  <c r="D444" i="3"/>
  <c r="I442" i="3"/>
  <c r="U442" i="3"/>
  <c r="O442" i="3"/>
  <c r="D446" i="2"/>
  <c r="M445" i="2"/>
  <c r="J444" i="2"/>
  <c r="G444" i="2" s="1"/>
  <c r="E446" i="2" l="1"/>
  <c r="B446" i="3"/>
  <c r="H443" i="4"/>
  <c r="J443" i="4"/>
  <c r="E444" i="4"/>
  <c r="F443" i="4"/>
  <c r="D445" i="4"/>
  <c r="C445" i="4"/>
  <c r="AB444" i="3"/>
  <c r="G445" i="4"/>
  <c r="L445" i="4" s="1"/>
  <c r="I445" i="4"/>
  <c r="M445" i="4" s="1"/>
  <c r="K445" i="4"/>
  <c r="N445" i="4" s="1"/>
  <c r="C447" i="2"/>
  <c r="L446" i="2"/>
  <c r="I445" i="2"/>
  <c r="F445" i="2" s="1"/>
  <c r="F444" i="3"/>
  <c r="D445" i="3"/>
  <c r="M446" i="2"/>
  <c r="J445" i="2"/>
  <c r="G445" i="2" s="1"/>
  <c r="D447" i="2"/>
  <c r="A446" i="4"/>
  <c r="G445" i="3"/>
  <c r="S445" i="3"/>
  <c r="Y445" i="3" s="1"/>
  <c r="Z445" i="3" s="1"/>
  <c r="AA445" i="3" s="1"/>
  <c r="H445" i="3"/>
  <c r="T445" i="3"/>
  <c r="J445" i="3"/>
  <c r="V445" i="3"/>
  <c r="M445" i="3"/>
  <c r="N445" i="3"/>
  <c r="C445" i="3"/>
  <c r="P445" i="3"/>
  <c r="E445" i="3"/>
  <c r="O443" i="3"/>
  <c r="I443" i="3"/>
  <c r="U443" i="3"/>
  <c r="N446" i="2"/>
  <c r="K445" i="2"/>
  <c r="H445" i="2" s="1"/>
  <c r="E447" i="2" l="1"/>
  <c r="B447" i="3"/>
  <c r="H444" i="4"/>
  <c r="E445" i="4"/>
  <c r="J444" i="4"/>
  <c r="F444" i="4"/>
  <c r="D446" i="4"/>
  <c r="A447" i="4"/>
  <c r="P446" i="3"/>
  <c r="E446" i="3"/>
  <c r="G446" i="3"/>
  <c r="S446" i="3"/>
  <c r="Y446" i="3" s="1"/>
  <c r="Z446" i="3" s="1"/>
  <c r="AA446" i="3" s="1"/>
  <c r="H446" i="3"/>
  <c r="T446" i="3"/>
  <c r="J446" i="3"/>
  <c r="V446" i="3"/>
  <c r="M446" i="3"/>
  <c r="C446" i="3"/>
  <c r="N446" i="3"/>
  <c r="G446" i="4"/>
  <c r="L446" i="4" s="1"/>
  <c r="I446" i="4"/>
  <c r="M446" i="4" s="1"/>
  <c r="K446" i="4"/>
  <c r="N446" i="4" s="1"/>
  <c r="C448" i="2"/>
  <c r="D448" i="2"/>
  <c r="C446" i="4"/>
  <c r="AB445" i="3"/>
  <c r="M447" i="2"/>
  <c r="J446" i="2"/>
  <c r="G446" i="2" s="1"/>
  <c r="D446" i="3"/>
  <c r="F445" i="3"/>
  <c r="O444" i="3"/>
  <c r="I444" i="3"/>
  <c r="U444" i="3"/>
  <c r="N447" i="2"/>
  <c r="K446" i="2"/>
  <c r="H446" i="2" s="1"/>
  <c r="L447" i="2"/>
  <c r="I446" i="2"/>
  <c r="F446" i="2" s="1"/>
  <c r="E448" i="2" l="1"/>
  <c r="B448" i="3"/>
  <c r="J445" i="4"/>
  <c r="F445" i="4"/>
  <c r="E446" i="4"/>
  <c r="H445" i="4"/>
  <c r="D447" i="4"/>
  <c r="C449" i="2"/>
  <c r="M448" i="2"/>
  <c r="J447" i="2"/>
  <c r="G447" i="2" s="1"/>
  <c r="A448" i="4"/>
  <c r="M447" i="3"/>
  <c r="N447" i="3"/>
  <c r="C447" i="3"/>
  <c r="P447" i="3"/>
  <c r="E447" i="3"/>
  <c r="G447" i="3"/>
  <c r="S447" i="3"/>
  <c r="Y447" i="3" s="1"/>
  <c r="Z447" i="3" s="1"/>
  <c r="AA447" i="3" s="1"/>
  <c r="H447" i="3"/>
  <c r="T447" i="3"/>
  <c r="J447" i="3"/>
  <c r="V447" i="3"/>
  <c r="I445" i="3"/>
  <c r="U445" i="3"/>
  <c r="O445" i="3"/>
  <c r="G447" i="4"/>
  <c r="L447" i="4" s="1"/>
  <c r="I447" i="4"/>
  <c r="M447" i="4" s="1"/>
  <c r="K447" i="4"/>
  <c r="N447" i="4" s="1"/>
  <c r="F446" i="3"/>
  <c r="D447" i="3"/>
  <c r="L448" i="2"/>
  <c r="I447" i="2"/>
  <c r="F447" i="2" s="1"/>
  <c r="N448" i="2"/>
  <c r="K447" i="2"/>
  <c r="H447" i="2" s="1"/>
  <c r="D449" i="2"/>
  <c r="C447" i="4"/>
  <c r="AB446" i="3"/>
  <c r="E449" i="2" l="1"/>
  <c r="B449" i="3"/>
  <c r="E447" i="4"/>
  <c r="H446" i="4"/>
  <c r="J446" i="4"/>
  <c r="F446" i="4"/>
  <c r="D448" i="4"/>
  <c r="C448" i="4"/>
  <c r="AB447" i="3"/>
  <c r="L449" i="2"/>
  <c r="I448" i="2"/>
  <c r="F448" i="2" s="1"/>
  <c r="K448" i="4"/>
  <c r="N448" i="4" s="1"/>
  <c r="G448" i="4"/>
  <c r="L448" i="4" s="1"/>
  <c r="I448" i="4"/>
  <c r="M448" i="4" s="1"/>
  <c r="F447" i="3"/>
  <c r="D448" i="3"/>
  <c r="N449" i="2"/>
  <c r="K448" i="2"/>
  <c r="H448" i="2" s="1"/>
  <c r="I446" i="3"/>
  <c r="U446" i="3"/>
  <c r="O446" i="3"/>
  <c r="M449" i="2"/>
  <c r="J448" i="2"/>
  <c r="G448" i="2" s="1"/>
  <c r="C450" i="2"/>
  <c r="D450" i="2"/>
  <c r="A449" i="4"/>
  <c r="J448" i="3"/>
  <c r="V448" i="3"/>
  <c r="M448" i="3"/>
  <c r="N448" i="3"/>
  <c r="C448" i="3"/>
  <c r="P448" i="3"/>
  <c r="E448" i="3"/>
  <c r="G448" i="3"/>
  <c r="S448" i="3"/>
  <c r="Y448" i="3" s="1"/>
  <c r="Z448" i="3" s="1"/>
  <c r="AA448" i="3" s="1"/>
  <c r="H448" i="3"/>
  <c r="T448" i="3"/>
  <c r="E450" i="2" l="1"/>
  <c r="B450" i="3"/>
  <c r="H447" i="4"/>
  <c r="E448" i="4"/>
  <c r="J447" i="4"/>
  <c r="F447" i="4"/>
  <c r="D449" i="4"/>
  <c r="C451" i="2"/>
  <c r="M450" i="2"/>
  <c r="J449" i="2"/>
  <c r="G449" i="2" s="1"/>
  <c r="A450" i="4"/>
  <c r="G449" i="3"/>
  <c r="S449" i="3"/>
  <c r="Y449" i="3" s="1"/>
  <c r="Z449" i="3" s="1"/>
  <c r="AA449" i="3" s="1"/>
  <c r="H449" i="3"/>
  <c r="T449" i="3"/>
  <c r="J449" i="3"/>
  <c r="V449" i="3"/>
  <c r="M449" i="3"/>
  <c r="N449" i="3"/>
  <c r="C449" i="3"/>
  <c r="P449" i="3"/>
  <c r="E449" i="3"/>
  <c r="L450" i="2"/>
  <c r="I449" i="2"/>
  <c r="F449" i="2" s="1"/>
  <c r="C449" i="4"/>
  <c r="AB448" i="3"/>
  <c r="I449" i="4"/>
  <c r="M449" i="4" s="1"/>
  <c r="K449" i="4"/>
  <c r="N449" i="4" s="1"/>
  <c r="G449" i="4"/>
  <c r="L449" i="4" s="1"/>
  <c r="N450" i="2"/>
  <c r="K449" i="2"/>
  <c r="H449" i="2" s="1"/>
  <c r="D451" i="2"/>
  <c r="F448" i="3"/>
  <c r="D449" i="3"/>
  <c r="O447" i="3"/>
  <c r="I447" i="3"/>
  <c r="U447" i="3"/>
  <c r="E451" i="2" l="1"/>
  <c r="B451" i="3"/>
  <c r="J448" i="4"/>
  <c r="E449" i="4"/>
  <c r="F448" i="4"/>
  <c r="H448" i="4"/>
  <c r="D450" i="4"/>
  <c r="G450" i="4"/>
  <c r="L450" i="4" s="1"/>
  <c r="I450" i="4"/>
  <c r="M450" i="4" s="1"/>
  <c r="K450" i="4"/>
  <c r="N450" i="4" s="1"/>
  <c r="O448" i="3"/>
  <c r="I448" i="3"/>
  <c r="U448" i="3"/>
  <c r="D452" i="2"/>
  <c r="L451" i="2"/>
  <c r="I450" i="2"/>
  <c r="F450" i="2" s="1"/>
  <c r="N451" i="2"/>
  <c r="K450" i="2"/>
  <c r="H450" i="2" s="1"/>
  <c r="A451" i="4"/>
  <c r="P450" i="3"/>
  <c r="E450" i="3"/>
  <c r="G450" i="3"/>
  <c r="S450" i="3"/>
  <c r="Y450" i="3" s="1"/>
  <c r="Z450" i="3" s="1"/>
  <c r="AA450" i="3" s="1"/>
  <c r="H450" i="3"/>
  <c r="T450" i="3"/>
  <c r="J450" i="3"/>
  <c r="V450" i="3"/>
  <c r="M450" i="3"/>
  <c r="C450" i="3"/>
  <c r="N450" i="3"/>
  <c r="M451" i="2"/>
  <c r="J450" i="2"/>
  <c r="G450" i="2" s="1"/>
  <c r="C450" i="4"/>
  <c r="AB449" i="3"/>
  <c r="C452" i="2"/>
  <c r="D450" i="3"/>
  <c r="F449" i="3"/>
  <c r="E452" i="2" l="1"/>
  <c r="B452" i="3"/>
  <c r="J449" i="4"/>
  <c r="F449" i="4"/>
  <c r="E450" i="4"/>
  <c r="H449" i="4"/>
  <c r="D451" i="4"/>
  <c r="A452" i="4"/>
  <c r="M451" i="3"/>
  <c r="C451" i="3"/>
  <c r="P451" i="3"/>
  <c r="E451" i="3"/>
  <c r="G451" i="3"/>
  <c r="S451" i="3"/>
  <c r="Y451" i="3" s="1"/>
  <c r="Z451" i="3" s="1"/>
  <c r="AA451" i="3" s="1"/>
  <c r="J451" i="3"/>
  <c r="V451" i="3"/>
  <c r="T451" i="3"/>
  <c r="H451" i="3"/>
  <c r="N451" i="3"/>
  <c r="G451" i="4"/>
  <c r="L451" i="4" s="1"/>
  <c r="I451" i="4"/>
  <c r="M451" i="4" s="1"/>
  <c r="K451" i="4"/>
  <c r="N451" i="4" s="1"/>
  <c r="M452" i="2"/>
  <c r="J451" i="2"/>
  <c r="G451" i="2" s="1"/>
  <c r="C451" i="4"/>
  <c r="AB450" i="3"/>
  <c r="N452" i="2"/>
  <c r="K451" i="2"/>
  <c r="H451" i="2" s="1"/>
  <c r="L452" i="2"/>
  <c r="I451" i="2"/>
  <c r="F451" i="2" s="1"/>
  <c r="F450" i="3"/>
  <c r="D451" i="3"/>
  <c r="C453" i="2"/>
  <c r="D453" i="2"/>
  <c r="I449" i="3"/>
  <c r="U449" i="3"/>
  <c r="O449" i="3"/>
  <c r="E453" i="2" l="1"/>
  <c r="B453" i="3"/>
  <c r="H450" i="4"/>
  <c r="J450" i="4"/>
  <c r="E451" i="4"/>
  <c r="F450" i="4"/>
  <c r="D452" i="4"/>
  <c r="M453" i="2"/>
  <c r="J452" i="2"/>
  <c r="G452" i="2" s="1"/>
  <c r="C454" i="2"/>
  <c r="A453" i="4"/>
  <c r="J452" i="3"/>
  <c r="V452" i="3"/>
  <c r="M452" i="3"/>
  <c r="N452" i="3"/>
  <c r="C452" i="3"/>
  <c r="P452" i="3"/>
  <c r="G452" i="3"/>
  <c r="S452" i="3"/>
  <c r="Y452" i="3" s="1"/>
  <c r="Z452" i="3" s="1"/>
  <c r="AA452" i="3" s="1"/>
  <c r="E452" i="3"/>
  <c r="H452" i="3"/>
  <c r="T452" i="3"/>
  <c r="F451" i="3"/>
  <c r="D452" i="3"/>
  <c r="I450" i="3"/>
  <c r="U450" i="3"/>
  <c r="O450" i="3"/>
  <c r="L453" i="2"/>
  <c r="I452" i="2"/>
  <c r="F452" i="2" s="1"/>
  <c r="C452" i="4"/>
  <c r="AB451" i="3"/>
  <c r="D454" i="2"/>
  <c r="G452" i="4"/>
  <c r="L452" i="4" s="1"/>
  <c r="I452" i="4"/>
  <c r="M452" i="4" s="1"/>
  <c r="K452" i="4"/>
  <c r="N452" i="4" s="1"/>
  <c r="N453" i="2"/>
  <c r="K452" i="2"/>
  <c r="H452" i="2" s="1"/>
  <c r="E454" i="2" l="1"/>
  <c r="B454" i="3"/>
  <c r="J451" i="4"/>
  <c r="F451" i="4"/>
  <c r="E452" i="4"/>
  <c r="H451" i="4"/>
  <c r="D453" i="4"/>
  <c r="C453" i="4"/>
  <c r="AB452" i="3"/>
  <c r="F452" i="3"/>
  <c r="D453" i="3"/>
  <c r="O451" i="3"/>
  <c r="I451" i="3"/>
  <c r="U451" i="3"/>
  <c r="A454" i="4"/>
  <c r="G453" i="3"/>
  <c r="S453" i="3"/>
  <c r="Y453" i="3" s="1"/>
  <c r="Z453" i="3" s="1"/>
  <c r="AA453" i="3" s="1"/>
  <c r="M453" i="3"/>
  <c r="C453" i="3"/>
  <c r="P453" i="3"/>
  <c r="H453" i="3"/>
  <c r="J453" i="3"/>
  <c r="N453" i="3"/>
  <c r="T453" i="3"/>
  <c r="V453" i="3"/>
  <c r="E453" i="3"/>
  <c r="G453" i="4"/>
  <c r="L453" i="4" s="1"/>
  <c r="I453" i="4"/>
  <c r="M453" i="4" s="1"/>
  <c r="K453" i="4"/>
  <c r="N453" i="4" s="1"/>
  <c r="D455" i="2"/>
  <c r="C455" i="2"/>
  <c r="N454" i="2"/>
  <c r="K453" i="2"/>
  <c r="H453" i="2" s="1"/>
  <c r="M454" i="2"/>
  <c r="J453" i="2"/>
  <c r="G453" i="2" s="1"/>
  <c r="L454" i="2"/>
  <c r="I453" i="2"/>
  <c r="F453" i="2" s="1"/>
  <c r="E455" i="2" l="1"/>
  <c r="B455" i="3"/>
  <c r="E453" i="4"/>
  <c r="F452" i="4"/>
  <c r="H452" i="4"/>
  <c r="J452" i="4"/>
  <c r="D454" i="4"/>
  <c r="K454" i="2"/>
  <c r="H454" i="2" s="1"/>
  <c r="N455" i="2"/>
  <c r="C456" i="2"/>
  <c r="K454" i="4"/>
  <c r="N454" i="4" s="1"/>
  <c r="G454" i="4"/>
  <c r="L454" i="4" s="1"/>
  <c r="I454" i="4"/>
  <c r="M454" i="4" s="1"/>
  <c r="A455" i="4"/>
  <c r="P454" i="3"/>
  <c r="H454" i="3"/>
  <c r="T454" i="3"/>
  <c r="J454" i="3"/>
  <c r="V454" i="3"/>
  <c r="M454" i="3"/>
  <c r="C454" i="3"/>
  <c r="N454" i="3"/>
  <c r="S454" i="3"/>
  <c r="Y454" i="3" s="1"/>
  <c r="Z454" i="3" s="1"/>
  <c r="AA454" i="3" s="1"/>
  <c r="E454" i="3"/>
  <c r="G454" i="3"/>
  <c r="D456" i="2"/>
  <c r="D454" i="3"/>
  <c r="F453" i="3"/>
  <c r="O452" i="3"/>
  <c r="I452" i="3"/>
  <c r="U452" i="3"/>
  <c r="L455" i="2"/>
  <c r="I454" i="2"/>
  <c r="F454" i="2" s="1"/>
  <c r="M455" i="2"/>
  <c r="J454" i="2"/>
  <c r="G454" i="2" s="1"/>
  <c r="C454" i="4"/>
  <c r="AB453" i="3"/>
  <c r="E456" i="2" l="1"/>
  <c r="B456" i="3"/>
  <c r="J453" i="4"/>
  <c r="H453" i="4"/>
  <c r="F453" i="4"/>
  <c r="E454" i="4"/>
  <c r="D455" i="4"/>
  <c r="C455" i="4"/>
  <c r="AB454" i="3"/>
  <c r="A456" i="4"/>
  <c r="M455" i="3"/>
  <c r="C455" i="3"/>
  <c r="E455" i="3"/>
  <c r="G455" i="3"/>
  <c r="S455" i="3"/>
  <c r="Y455" i="3" s="1"/>
  <c r="Z455" i="3" s="1"/>
  <c r="AA455" i="3" s="1"/>
  <c r="J455" i="3"/>
  <c r="V455" i="3"/>
  <c r="T455" i="3"/>
  <c r="H455" i="3"/>
  <c r="N455" i="3"/>
  <c r="P455" i="3"/>
  <c r="I453" i="3"/>
  <c r="U453" i="3"/>
  <c r="O453" i="3"/>
  <c r="F454" i="3"/>
  <c r="D455" i="3"/>
  <c r="C457" i="2"/>
  <c r="D457" i="2"/>
  <c r="N456" i="2"/>
  <c r="K455" i="2"/>
  <c r="H455" i="2" s="1"/>
  <c r="L456" i="2"/>
  <c r="I455" i="2"/>
  <c r="F455" i="2" s="1"/>
  <c r="I455" i="4"/>
  <c r="M455" i="4" s="1"/>
  <c r="K455" i="4"/>
  <c r="N455" i="4" s="1"/>
  <c r="G455" i="4"/>
  <c r="L455" i="4" s="1"/>
  <c r="M456" i="2"/>
  <c r="J455" i="2"/>
  <c r="G455" i="2" s="1"/>
  <c r="E457" i="2" l="1"/>
  <c r="B457" i="3"/>
  <c r="E455" i="4"/>
  <c r="F454" i="4"/>
  <c r="H454" i="4"/>
  <c r="J454" i="4"/>
  <c r="D456" i="4"/>
  <c r="C458" i="2"/>
  <c r="F455" i="3"/>
  <c r="D456" i="3"/>
  <c r="I454" i="3"/>
  <c r="U454" i="3"/>
  <c r="O454" i="3"/>
  <c r="A457" i="4"/>
  <c r="J456" i="3"/>
  <c r="V456" i="3"/>
  <c r="N456" i="3"/>
  <c r="C456" i="3"/>
  <c r="P456" i="3"/>
  <c r="G456" i="3"/>
  <c r="S456" i="3"/>
  <c r="Y456" i="3" s="1"/>
  <c r="Z456" i="3" s="1"/>
  <c r="AA456" i="3" s="1"/>
  <c r="E456" i="3"/>
  <c r="H456" i="3"/>
  <c r="M456" i="3"/>
  <c r="T456" i="3"/>
  <c r="L457" i="2"/>
  <c r="I456" i="2"/>
  <c r="F456" i="2" s="1"/>
  <c r="C456" i="4"/>
  <c r="AB455" i="3"/>
  <c r="N457" i="2"/>
  <c r="K456" i="2"/>
  <c r="H456" i="2" s="1"/>
  <c r="G456" i="4"/>
  <c r="L456" i="4" s="1"/>
  <c r="I456" i="4"/>
  <c r="M456" i="4" s="1"/>
  <c r="K456" i="4"/>
  <c r="N456" i="4" s="1"/>
  <c r="M457" i="2"/>
  <c r="J456" i="2"/>
  <c r="G456" i="2" s="1"/>
  <c r="D458" i="2"/>
  <c r="E458" i="2" l="1"/>
  <c r="B458" i="3"/>
  <c r="E456" i="4"/>
  <c r="J455" i="4"/>
  <c r="H455" i="4"/>
  <c r="F455" i="4"/>
  <c r="D457" i="4"/>
  <c r="G457" i="4"/>
  <c r="L457" i="4" s="1"/>
  <c r="I457" i="4"/>
  <c r="M457" i="4" s="1"/>
  <c r="K457" i="4"/>
  <c r="N457" i="4" s="1"/>
  <c r="C457" i="4"/>
  <c r="AB456" i="3"/>
  <c r="A458" i="4"/>
  <c r="G457" i="3"/>
  <c r="S457" i="3"/>
  <c r="Y457" i="3" s="1"/>
  <c r="Z457" i="3" s="1"/>
  <c r="AA457" i="3" s="1"/>
  <c r="M457" i="3"/>
  <c r="C457" i="3"/>
  <c r="P457" i="3"/>
  <c r="E457" i="3"/>
  <c r="H457" i="3"/>
  <c r="J457" i="3"/>
  <c r="N457" i="3"/>
  <c r="T457" i="3"/>
  <c r="V457" i="3"/>
  <c r="F456" i="3"/>
  <c r="D457" i="3"/>
  <c r="L458" i="2"/>
  <c r="I457" i="2"/>
  <c r="F457" i="2" s="1"/>
  <c r="O455" i="3"/>
  <c r="I455" i="3"/>
  <c r="U455" i="3"/>
  <c r="C459" i="2"/>
  <c r="D459" i="2"/>
  <c r="N458" i="2"/>
  <c r="K457" i="2"/>
  <c r="H457" i="2" s="1"/>
  <c r="M458" i="2"/>
  <c r="J457" i="2"/>
  <c r="G457" i="2" s="1"/>
  <c r="E459" i="2" l="1"/>
  <c r="B459" i="3"/>
  <c r="J456" i="4"/>
  <c r="F456" i="4"/>
  <c r="E457" i="4"/>
  <c r="H456" i="4"/>
  <c r="D458" i="4"/>
  <c r="D460" i="2"/>
  <c r="G458" i="4"/>
  <c r="L458" i="4" s="1"/>
  <c r="I458" i="4"/>
  <c r="M458" i="4" s="1"/>
  <c r="K458" i="4"/>
  <c r="N458" i="4" s="1"/>
  <c r="O456" i="3"/>
  <c r="I456" i="3"/>
  <c r="U456" i="3"/>
  <c r="C460" i="2"/>
  <c r="A459" i="4"/>
  <c r="P458" i="3"/>
  <c r="J458" i="3"/>
  <c r="V458" i="3"/>
  <c r="M458" i="3"/>
  <c r="C458" i="3"/>
  <c r="E458" i="3"/>
  <c r="G458" i="3"/>
  <c r="H458" i="3"/>
  <c r="N458" i="3"/>
  <c r="S458" i="3"/>
  <c r="Y458" i="3" s="1"/>
  <c r="Z458" i="3" s="1"/>
  <c r="AA458" i="3" s="1"/>
  <c r="T458" i="3"/>
  <c r="M459" i="2"/>
  <c r="J458" i="2"/>
  <c r="G458" i="2" s="1"/>
  <c r="L459" i="2"/>
  <c r="I458" i="2"/>
  <c r="F458" i="2" s="1"/>
  <c r="C458" i="4"/>
  <c r="AB457" i="3"/>
  <c r="N459" i="2"/>
  <c r="K458" i="2"/>
  <c r="H458" i="2" s="1"/>
  <c r="D458" i="3"/>
  <c r="F457" i="3"/>
  <c r="E460" i="2" l="1"/>
  <c r="B460" i="3"/>
  <c r="E458" i="4"/>
  <c r="J457" i="4"/>
  <c r="F457" i="4"/>
  <c r="H457" i="4"/>
  <c r="D459" i="4"/>
  <c r="C459" i="4"/>
  <c r="AB458" i="3"/>
  <c r="L460" i="2"/>
  <c r="I459" i="2"/>
  <c r="F459" i="2" s="1"/>
  <c r="A460" i="4"/>
  <c r="M459" i="3"/>
  <c r="C459" i="3"/>
  <c r="G459" i="3"/>
  <c r="S459" i="3"/>
  <c r="Y459" i="3" s="1"/>
  <c r="Z459" i="3" s="1"/>
  <c r="AA459" i="3" s="1"/>
  <c r="J459" i="3"/>
  <c r="V459" i="3"/>
  <c r="E459" i="3"/>
  <c r="H459" i="3"/>
  <c r="N459" i="3"/>
  <c r="P459" i="3"/>
  <c r="T459" i="3"/>
  <c r="G459" i="4"/>
  <c r="L459" i="4" s="1"/>
  <c r="I459" i="4"/>
  <c r="M459" i="4" s="1"/>
  <c r="K459" i="4"/>
  <c r="N459" i="4" s="1"/>
  <c r="M460" i="2"/>
  <c r="J459" i="2"/>
  <c r="G459" i="2" s="1"/>
  <c r="I457" i="3"/>
  <c r="U457" i="3"/>
  <c r="O457" i="3"/>
  <c r="F458" i="3"/>
  <c r="D459" i="3"/>
  <c r="C461" i="2"/>
  <c r="D461" i="2"/>
  <c r="N460" i="2"/>
  <c r="K459" i="2"/>
  <c r="H459" i="2" s="1"/>
  <c r="E461" i="2" l="1"/>
  <c r="B461" i="3"/>
  <c r="E459" i="4"/>
  <c r="H458" i="4"/>
  <c r="F458" i="4"/>
  <c r="J458" i="4"/>
  <c r="D460" i="4"/>
  <c r="C462" i="2"/>
  <c r="C460" i="4"/>
  <c r="AB459" i="3"/>
  <c r="F459" i="3"/>
  <c r="D460" i="3"/>
  <c r="I458" i="3"/>
  <c r="U458" i="3"/>
  <c r="O458" i="3"/>
  <c r="A461" i="4"/>
  <c r="J460" i="3"/>
  <c r="V460" i="3"/>
  <c r="C460" i="3"/>
  <c r="P460" i="3"/>
  <c r="G460" i="3"/>
  <c r="S460" i="3"/>
  <c r="Y460" i="3" s="1"/>
  <c r="Z460" i="3" s="1"/>
  <c r="AA460" i="3" s="1"/>
  <c r="E460" i="3"/>
  <c r="H460" i="3"/>
  <c r="M460" i="3"/>
  <c r="N460" i="3"/>
  <c r="T460" i="3"/>
  <c r="K460" i="4"/>
  <c r="N460" i="4" s="1"/>
  <c r="G460" i="4"/>
  <c r="L460" i="4" s="1"/>
  <c r="I460" i="4"/>
  <c r="M460" i="4" s="1"/>
  <c r="L461" i="2"/>
  <c r="I460" i="2"/>
  <c r="F460" i="2" s="1"/>
  <c r="K460" i="2"/>
  <c r="H460" i="2" s="1"/>
  <c r="N461" i="2"/>
  <c r="D462" i="2"/>
  <c r="M461" i="2"/>
  <c r="J460" i="2"/>
  <c r="G460" i="2" s="1"/>
  <c r="E462" i="2" l="1"/>
  <c r="B462" i="3"/>
  <c r="E460" i="4"/>
  <c r="F459" i="4"/>
  <c r="H459" i="4"/>
  <c r="J459" i="4"/>
  <c r="D461" i="4"/>
  <c r="C461" i="4"/>
  <c r="AB460" i="3"/>
  <c r="F460" i="3"/>
  <c r="D461" i="3"/>
  <c r="L462" i="2"/>
  <c r="I461" i="2"/>
  <c r="F461" i="2" s="1"/>
  <c r="O459" i="3"/>
  <c r="I459" i="3"/>
  <c r="U459" i="3"/>
  <c r="N462" i="2"/>
  <c r="K461" i="2"/>
  <c r="H461" i="2" s="1"/>
  <c r="C463" i="2"/>
  <c r="M462" i="2"/>
  <c r="J461" i="2"/>
  <c r="G461" i="2" s="1"/>
  <c r="D463" i="2"/>
  <c r="A462" i="4"/>
  <c r="G461" i="3"/>
  <c r="S461" i="3"/>
  <c r="Y461" i="3" s="1"/>
  <c r="Z461" i="3" s="1"/>
  <c r="AA461" i="3" s="1"/>
  <c r="M461" i="3"/>
  <c r="C461" i="3"/>
  <c r="P461" i="3"/>
  <c r="H461" i="3"/>
  <c r="J461" i="3"/>
  <c r="N461" i="3"/>
  <c r="T461" i="3"/>
  <c r="V461" i="3"/>
  <c r="E461" i="3"/>
  <c r="I461" i="4"/>
  <c r="M461" i="4" s="1"/>
  <c r="K461" i="4"/>
  <c r="N461" i="4" s="1"/>
  <c r="G461" i="4"/>
  <c r="L461" i="4" s="1"/>
  <c r="E463" i="2" l="1"/>
  <c r="B463" i="3"/>
  <c r="E461" i="4"/>
  <c r="F460" i="4"/>
  <c r="J460" i="4"/>
  <c r="H460" i="4"/>
  <c r="D462" i="4"/>
  <c r="N463" i="2"/>
  <c r="K462" i="2"/>
  <c r="H462" i="2" s="1"/>
  <c r="G462" i="4"/>
  <c r="L462" i="4" s="1"/>
  <c r="I462" i="4"/>
  <c r="M462" i="4" s="1"/>
  <c r="K462" i="4"/>
  <c r="N462" i="4" s="1"/>
  <c r="D464" i="2"/>
  <c r="L463" i="2"/>
  <c r="I462" i="2"/>
  <c r="F462" i="2" s="1"/>
  <c r="D462" i="3"/>
  <c r="F461" i="3"/>
  <c r="A463" i="4"/>
  <c r="P462" i="3"/>
  <c r="J462" i="3"/>
  <c r="V462" i="3"/>
  <c r="M462" i="3"/>
  <c r="C462" i="3"/>
  <c r="H462" i="3"/>
  <c r="N462" i="3"/>
  <c r="S462" i="3"/>
  <c r="Y462" i="3" s="1"/>
  <c r="Z462" i="3" s="1"/>
  <c r="AA462" i="3" s="1"/>
  <c r="T462" i="3"/>
  <c r="E462" i="3"/>
  <c r="G462" i="3"/>
  <c r="M463" i="2"/>
  <c r="J462" i="2"/>
  <c r="G462" i="2" s="1"/>
  <c r="O460" i="3"/>
  <c r="I460" i="3"/>
  <c r="U460" i="3"/>
  <c r="C464" i="2"/>
  <c r="C462" i="4"/>
  <c r="AB461" i="3"/>
  <c r="E464" i="2" l="1"/>
  <c r="B464" i="3"/>
  <c r="H461" i="4"/>
  <c r="F461" i="4"/>
  <c r="E462" i="4"/>
  <c r="J461" i="4"/>
  <c r="D463" i="4"/>
  <c r="C463" i="4"/>
  <c r="AB462" i="3"/>
  <c r="G463" i="4"/>
  <c r="L463" i="4" s="1"/>
  <c r="I463" i="4"/>
  <c r="M463" i="4" s="1"/>
  <c r="K463" i="4"/>
  <c r="N463" i="4" s="1"/>
  <c r="A464" i="4"/>
  <c r="M463" i="3"/>
  <c r="C463" i="3"/>
  <c r="G463" i="3"/>
  <c r="S463" i="3"/>
  <c r="Y463" i="3" s="1"/>
  <c r="Z463" i="3" s="1"/>
  <c r="AA463" i="3" s="1"/>
  <c r="E463" i="3"/>
  <c r="H463" i="3"/>
  <c r="J463" i="3"/>
  <c r="N463" i="3"/>
  <c r="P463" i="3"/>
  <c r="T463" i="3"/>
  <c r="V463" i="3"/>
  <c r="I461" i="3"/>
  <c r="U461" i="3"/>
  <c r="O461" i="3"/>
  <c r="F462" i="3"/>
  <c r="D463" i="3"/>
  <c r="K463" i="2"/>
  <c r="H463" i="2" s="1"/>
  <c r="N464" i="2"/>
  <c r="C465" i="2"/>
  <c r="L464" i="2"/>
  <c r="I463" i="2"/>
  <c r="F463" i="2" s="1"/>
  <c r="M464" i="2"/>
  <c r="J463" i="2"/>
  <c r="G463" i="2" s="1"/>
  <c r="D465" i="2"/>
  <c r="E465" i="2" l="1"/>
  <c r="B465" i="3"/>
  <c r="E463" i="4"/>
  <c r="H462" i="4"/>
  <c r="J462" i="4"/>
  <c r="F462" i="4"/>
  <c r="D464" i="4"/>
  <c r="G464" i="4"/>
  <c r="L464" i="4" s="1"/>
  <c r="I464" i="4"/>
  <c r="M464" i="4" s="1"/>
  <c r="K464" i="4"/>
  <c r="N464" i="4" s="1"/>
  <c r="C466" i="2"/>
  <c r="A465" i="4"/>
  <c r="J464" i="3"/>
  <c r="V464" i="3"/>
  <c r="C464" i="3"/>
  <c r="P464" i="3"/>
  <c r="T464" i="3"/>
  <c r="E464" i="3"/>
  <c r="G464" i="3"/>
  <c r="H464" i="3"/>
  <c r="M464" i="3"/>
  <c r="N464" i="3"/>
  <c r="S464" i="3"/>
  <c r="Y464" i="3" s="1"/>
  <c r="Z464" i="3" s="1"/>
  <c r="AA464" i="3" s="1"/>
  <c r="L465" i="2"/>
  <c r="I464" i="2"/>
  <c r="F464" i="2" s="1"/>
  <c r="M465" i="2"/>
  <c r="J464" i="2"/>
  <c r="G464" i="2" s="1"/>
  <c r="N465" i="2"/>
  <c r="K464" i="2"/>
  <c r="H464" i="2" s="1"/>
  <c r="F463" i="3"/>
  <c r="D464" i="3"/>
  <c r="D466" i="2"/>
  <c r="I462" i="3"/>
  <c r="U462" i="3"/>
  <c r="O462" i="3"/>
  <c r="C464" i="4"/>
  <c r="AB463" i="3"/>
  <c r="E466" i="2" l="1"/>
  <c r="B466" i="3"/>
  <c r="F463" i="4"/>
  <c r="E464" i="4"/>
  <c r="H463" i="4"/>
  <c r="J463" i="4"/>
  <c r="D465" i="4"/>
  <c r="C465" i="4"/>
  <c r="AB464" i="3"/>
  <c r="G465" i="4"/>
  <c r="L465" i="4" s="1"/>
  <c r="I465" i="4"/>
  <c r="M465" i="4" s="1"/>
  <c r="K465" i="4"/>
  <c r="N465" i="4" s="1"/>
  <c r="D467" i="2"/>
  <c r="A466" i="4"/>
  <c r="G465" i="3"/>
  <c r="S465" i="3"/>
  <c r="Y465" i="3" s="1"/>
  <c r="Z465" i="3" s="1"/>
  <c r="AA465" i="3" s="1"/>
  <c r="M465" i="3"/>
  <c r="C465" i="3"/>
  <c r="N465" i="3"/>
  <c r="P465" i="3"/>
  <c r="T465" i="3"/>
  <c r="V465" i="3"/>
  <c r="E465" i="3"/>
  <c r="H465" i="3"/>
  <c r="J465" i="3"/>
  <c r="C467" i="2"/>
  <c r="F464" i="3"/>
  <c r="D465" i="3"/>
  <c r="O463" i="3"/>
  <c r="I463" i="3"/>
  <c r="U463" i="3"/>
  <c r="N466" i="2"/>
  <c r="K465" i="2"/>
  <c r="H465" i="2" s="1"/>
  <c r="M466" i="2"/>
  <c r="J465" i="2"/>
  <c r="G465" i="2" s="1"/>
  <c r="L466" i="2"/>
  <c r="I465" i="2"/>
  <c r="F465" i="2" s="1"/>
  <c r="E467" i="2" l="1"/>
  <c r="B467" i="3"/>
  <c r="E465" i="4"/>
  <c r="J464" i="4"/>
  <c r="F464" i="4"/>
  <c r="H464" i="4"/>
  <c r="D466" i="4"/>
  <c r="C468" i="2"/>
  <c r="D466" i="3"/>
  <c r="F465" i="3"/>
  <c r="C466" i="4"/>
  <c r="AB465" i="3"/>
  <c r="N467" i="2"/>
  <c r="K466" i="2"/>
  <c r="H466" i="2" s="1"/>
  <c r="L467" i="2"/>
  <c r="I466" i="2"/>
  <c r="F466" i="2" s="1"/>
  <c r="A467" i="4"/>
  <c r="P466" i="3"/>
  <c r="J466" i="3"/>
  <c r="V466" i="3"/>
  <c r="C466" i="3"/>
  <c r="S466" i="3"/>
  <c r="Y466" i="3" s="1"/>
  <c r="Z466" i="3" s="1"/>
  <c r="AA466" i="3" s="1"/>
  <c r="E466" i="3"/>
  <c r="T466" i="3"/>
  <c r="G466" i="3"/>
  <c r="H466" i="3"/>
  <c r="M466" i="3"/>
  <c r="N466" i="3"/>
  <c r="K466" i="4"/>
  <c r="N466" i="4" s="1"/>
  <c r="G466" i="4"/>
  <c r="L466" i="4" s="1"/>
  <c r="I466" i="4"/>
  <c r="M466" i="4" s="1"/>
  <c r="O464" i="3"/>
  <c r="U464" i="3"/>
  <c r="I464" i="3"/>
  <c r="M467" i="2"/>
  <c r="J466" i="2"/>
  <c r="G466" i="2" s="1"/>
  <c r="D468" i="2"/>
  <c r="E468" i="2" l="1"/>
  <c r="B468" i="3"/>
  <c r="F465" i="4"/>
  <c r="J465" i="4"/>
  <c r="H465" i="4"/>
  <c r="E466" i="4"/>
  <c r="D467" i="4"/>
  <c r="M468" i="2"/>
  <c r="J467" i="2"/>
  <c r="G467" i="2" s="1"/>
  <c r="C467" i="4"/>
  <c r="AB466" i="3"/>
  <c r="L468" i="2"/>
  <c r="I467" i="2"/>
  <c r="F467" i="2" s="1"/>
  <c r="I465" i="3"/>
  <c r="U465" i="3"/>
  <c r="O465" i="3"/>
  <c r="F466" i="3"/>
  <c r="D467" i="3"/>
  <c r="C469" i="2"/>
  <c r="D469" i="2"/>
  <c r="A468" i="4"/>
  <c r="M467" i="3"/>
  <c r="S467" i="3"/>
  <c r="Y467" i="3" s="1"/>
  <c r="Z467" i="3" s="1"/>
  <c r="AA467" i="3" s="1"/>
  <c r="G467" i="3"/>
  <c r="T467" i="3"/>
  <c r="H467" i="3"/>
  <c r="V467" i="3"/>
  <c r="J467" i="3"/>
  <c r="N467" i="3"/>
  <c r="C467" i="3"/>
  <c r="P467" i="3"/>
  <c r="E467" i="3"/>
  <c r="I467" i="4"/>
  <c r="M467" i="4" s="1"/>
  <c r="K467" i="4"/>
  <c r="N467" i="4" s="1"/>
  <c r="G467" i="4"/>
  <c r="L467" i="4" s="1"/>
  <c r="N468" i="2"/>
  <c r="K467" i="2"/>
  <c r="H467" i="2" s="1"/>
  <c r="E469" i="2" l="1"/>
  <c r="B469" i="3"/>
  <c r="E467" i="4"/>
  <c r="F466" i="4"/>
  <c r="H466" i="4"/>
  <c r="J466" i="4"/>
  <c r="D468" i="4"/>
  <c r="U466" i="3"/>
  <c r="I466" i="3"/>
  <c r="O466" i="3"/>
  <c r="C468" i="4"/>
  <c r="AB467" i="3"/>
  <c r="G468" i="4"/>
  <c r="L468" i="4" s="1"/>
  <c r="I468" i="4"/>
  <c r="M468" i="4" s="1"/>
  <c r="K468" i="4"/>
  <c r="N468" i="4" s="1"/>
  <c r="A469" i="4"/>
  <c r="J468" i="3"/>
  <c r="V468" i="3"/>
  <c r="E468" i="3"/>
  <c r="S468" i="3"/>
  <c r="Y468" i="3" s="1"/>
  <c r="Z468" i="3" s="1"/>
  <c r="AA468" i="3" s="1"/>
  <c r="G468" i="3"/>
  <c r="T468" i="3"/>
  <c r="H468" i="3"/>
  <c r="M468" i="3"/>
  <c r="N468" i="3"/>
  <c r="C468" i="3"/>
  <c r="P468" i="3"/>
  <c r="L469" i="2"/>
  <c r="I468" i="2"/>
  <c r="F468" i="2" s="1"/>
  <c r="D470" i="2"/>
  <c r="N469" i="2"/>
  <c r="K468" i="2"/>
  <c r="H468" i="2" s="1"/>
  <c r="M469" i="2"/>
  <c r="J468" i="2"/>
  <c r="G468" i="2" s="1"/>
  <c r="C470" i="2"/>
  <c r="F467" i="3"/>
  <c r="D468" i="3"/>
  <c r="E470" i="2" l="1"/>
  <c r="B470" i="3"/>
  <c r="H467" i="4"/>
  <c r="F467" i="4"/>
  <c r="J467" i="4"/>
  <c r="E468" i="4"/>
  <c r="D469" i="4"/>
  <c r="N470" i="2"/>
  <c r="K469" i="2"/>
  <c r="H469" i="2" s="1"/>
  <c r="D471" i="2"/>
  <c r="C469" i="4"/>
  <c r="AB468" i="3"/>
  <c r="D469" i="3"/>
  <c r="F468" i="3"/>
  <c r="U467" i="3"/>
  <c r="I467" i="3"/>
  <c r="O467" i="3"/>
  <c r="L470" i="2"/>
  <c r="I469" i="2"/>
  <c r="F469" i="2" s="1"/>
  <c r="C471" i="2"/>
  <c r="A470" i="4"/>
  <c r="G469" i="3"/>
  <c r="S469" i="3"/>
  <c r="Y469" i="3" s="1"/>
  <c r="Z469" i="3" s="1"/>
  <c r="AA469" i="3" s="1"/>
  <c r="E469" i="3"/>
  <c r="T469" i="3"/>
  <c r="H469" i="3"/>
  <c r="V469" i="3"/>
  <c r="J469" i="3"/>
  <c r="M469" i="3"/>
  <c r="N469" i="3"/>
  <c r="C469" i="3"/>
  <c r="P469" i="3"/>
  <c r="G469" i="4"/>
  <c r="L469" i="4" s="1"/>
  <c r="I469" i="4"/>
  <c r="M469" i="4" s="1"/>
  <c r="K469" i="4"/>
  <c r="N469" i="4" s="1"/>
  <c r="M470" i="2"/>
  <c r="J469" i="2"/>
  <c r="G469" i="2" s="1"/>
  <c r="E471" i="2" l="1"/>
  <c r="B471" i="3"/>
  <c r="H468" i="4"/>
  <c r="F468" i="4"/>
  <c r="E469" i="4"/>
  <c r="J468" i="4"/>
  <c r="D470" i="4"/>
  <c r="U468" i="3"/>
  <c r="I468" i="3"/>
  <c r="O468" i="3"/>
  <c r="D470" i="3"/>
  <c r="F469" i="3"/>
  <c r="A471" i="4"/>
  <c r="P470" i="3"/>
  <c r="C470" i="3"/>
  <c r="E470" i="3"/>
  <c r="S470" i="3"/>
  <c r="Y470" i="3" s="1"/>
  <c r="Z470" i="3" s="1"/>
  <c r="AA470" i="3" s="1"/>
  <c r="G470" i="3"/>
  <c r="T470" i="3"/>
  <c r="H470" i="3"/>
  <c r="V470" i="3"/>
  <c r="J470" i="3"/>
  <c r="M470" i="3"/>
  <c r="N470" i="3"/>
  <c r="G470" i="4"/>
  <c r="L470" i="4" s="1"/>
  <c r="I470" i="4"/>
  <c r="M470" i="4" s="1"/>
  <c r="K470" i="4"/>
  <c r="N470" i="4" s="1"/>
  <c r="D472" i="2"/>
  <c r="C472" i="2"/>
  <c r="C470" i="4"/>
  <c r="AB469" i="3"/>
  <c r="M471" i="2"/>
  <c r="J470" i="2"/>
  <c r="G470" i="2" s="1"/>
  <c r="L471" i="2"/>
  <c r="I470" i="2"/>
  <c r="F470" i="2" s="1"/>
  <c r="N471" i="2"/>
  <c r="K470" i="2"/>
  <c r="H470" i="2" s="1"/>
  <c r="E472" i="2" l="1"/>
  <c r="B472" i="3"/>
  <c r="F469" i="4"/>
  <c r="E470" i="4"/>
  <c r="H469" i="4"/>
  <c r="J469" i="4"/>
  <c r="D471" i="4"/>
  <c r="M472" i="2"/>
  <c r="J471" i="2"/>
  <c r="G471" i="2" s="1"/>
  <c r="A472" i="4"/>
  <c r="M471" i="3"/>
  <c r="C471" i="3"/>
  <c r="P471" i="3"/>
  <c r="E471" i="3"/>
  <c r="S471" i="3"/>
  <c r="Y471" i="3" s="1"/>
  <c r="Z471" i="3" s="1"/>
  <c r="AA471" i="3" s="1"/>
  <c r="G471" i="3"/>
  <c r="T471" i="3"/>
  <c r="H471" i="3"/>
  <c r="V471" i="3"/>
  <c r="J471" i="3"/>
  <c r="N471" i="3"/>
  <c r="G471" i="4"/>
  <c r="L471" i="4" s="1"/>
  <c r="I471" i="4"/>
  <c r="M471" i="4" s="1"/>
  <c r="K471" i="4"/>
  <c r="N471" i="4" s="1"/>
  <c r="U469" i="3"/>
  <c r="I469" i="3"/>
  <c r="O469" i="3"/>
  <c r="C473" i="2"/>
  <c r="C471" i="4"/>
  <c r="AB470" i="3"/>
  <c r="D471" i="3"/>
  <c r="F470" i="3"/>
  <c r="D473" i="2"/>
  <c r="N472" i="2"/>
  <c r="K471" i="2"/>
  <c r="H471" i="2" s="1"/>
  <c r="L472" i="2"/>
  <c r="I471" i="2"/>
  <c r="F471" i="2" s="1"/>
  <c r="E473" i="2" l="1"/>
  <c r="B473" i="3"/>
  <c r="H470" i="4"/>
  <c r="F470" i="4"/>
  <c r="E471" i="4"/>
  <c r="J470" i="4"/>
  <c r="D472" i="4"/>
  <c r="U470" i="3"/>
  <c r="I470" i="3"/>
  <c r="O470" i="3"/>
  <c r="A473" i="4"/>
  <c r="J472" i="3"/>
  <c r="V472" i="3"/>
  <c r="C472" i="3"/>
  <c r="P472" i="3"/>
  <c r="E472" i="3"/>
  <c r="S472" i="3"/>
  <c r="Y472" i="3" s="1"/>
  <c r="Z472" i="3" s="1"/>
  <c r="AA472" i="3" s="1"/>
  <c r="G472" i="3"/>
  <c r="T472" i="3"/>
  <c r="H472" i="3"/>
  <c r="M472" i="3"/>
  <c r="N472" i="3"/>
  <c r="D474" i="2"/>
  <c r="C472" i="4"/>
  <c r="AB471" i="3"/>
  <c r="D472" i="3"/>
  <c r="F471" i="3"/>
  <c r="C474" i="2"/>
  <c r="K472" i="4"/>
  <c r="N472" i="4" s="1"/>
  <c r="G472" i="4"/>
  <c r="L472" i="4" s="1"/>
  <c r="I472" i="4"/>
  <c r="M472" i="4" s="1"/>
  <c r="L473" i="2"/>
  <c r="I472" i="2"/>
  <c r="F472" i="2" s="1"/>
  <c r="M473" i="2"/>
  <c r="J472" i="2"/>
  <c r="G472" i="2" s="1"/>
  <c r="N473" i="2"/>
  <c r="K472" i="2"/>
  <c r="H472" i="2" s="1"/>
  <c r="E474" i="2" l="1"/>
  <c r="B474" i="3"/>
  <c r="H471" i="4"/>
  <c r="F471" i="4"/>
  <c r="J471" i="4"/>
  <c r="E472" i="4"/>
  <c r="D473" i="4"/>
  <c r="N474" i="2"/>
  <c r="K473" i="2"/>
  <c r="H473" i="2" s="1"/>
  <c r="D473" i="3"/>
  <c r="F472" i="3"/>
  <c r="L474" i="2"/>
  <c r="I473" i="2"/>
  <c r="F473" i="2" s="1"/>
  <c r="A474" i="4"/>
  <c r="G473" i="3"/>
  <c r="S473" i="3"/>
  <c r="Y473" i="3" s="1"/>
  <c r="Z473" i="3" s="1"/>
  <c r="AA473" i="3" s="1"/>
  <c r="N473" i="3"/>
  <c r="C473" i="3"/>
  <c r="P473" i="3"/>
  <c r="E473" i="3"/>
  <c r="T473" i="3"/>
  <c r="H473" i="3"/>
  <c r="V473" i="3"/>
  <c r="J473" i="3"/>
  <c r="M473" i="3"/>
  <c r="D475" i="2"/>
  <c r="I473" i="4"/>
  <c r="M473" i="4" s="1"/>
  <c r="K473" i="4"/>
  <c r="N473" i="4" s="1"/>
  <c r="G473" i="4"/>
  <c r="L473" i="4" s="1"/>
  <c r="C473" i="4"/>
  <c r="AB472" i="3"/>
  <c r="C475" i="2"/>
  <c r="M474" i="2"/>
  <c r="J473" i="2"/>
  <c r="G473" i="2" s="1"/>
  <c r="U471" i="3"/>
  <c r="I471" i="3"/>
  <c r="O471" i="3"/>
  <c r="E475" i="2" l="1"/>
  <c r="B475" i="3"/>
  <c r="J472" i="4"/>
  <c r="E473" i="4"/>
  <c r="H472" i="4"/>
  <c r="F472" i="4"/>
  <c r="D474" i="4"/>
  <c r="M475" i="2"/>
  <c r="J474" i="2"/>
  <c r="G474" i="2" s="1"/>
  <c r="D476" i="2"/>
  <c r="C476" i="2"/>
  <c r="C474" i="4"/>
  <c r="AB473" i="3"/>
  <c r="G474" i="4"/>
  <c r="L474" i="4" s="1"/>
  <c r="I474" i="4"/>
  <c r="M474" i="4" s="1"/>
  <c r="K474" i="4"/>
  <c r="N474" i="4" s="1"/>
  <c r="L475" i="2"/>
  <c r="I474" i="2"/>
  <c r="F474" i="2" s="1"/>
  <c r="O472" i="3"/>
  <c r="U472" i="3"/>
  <c r="I472" i="3"/>
  <c r="D474" i="3"/>
  <c r="F473" i="3"/>
  <c r="A475" i="4"/>
  <c r="M474" i="3"/>
  <c r="N474" i="3"/>
  <c r="C474" i="3"/>
  <c r="P474" i="3"/>
  <c r="E474" i="3"/>
  <c r="G474" i="3"/>
  <c r="S474" i="3"/>
  <c r="Y474" i="3" s="1"/>
  <c r="Z474" i="3" s="1"/>
  <c r="AA474" i="3" s="1"/>
  <c r="H474" i="3"/>
  <c r="T474" i="3"/>
  <c r="J474" i="3"/>
  <c r="V474" i="3"/>
  <c r="N475" i="2"/>
  <c r="K474" i="2"/>
  <c r="H474" i="2" s="1"/>
  <c r="E476" i="2" l="1"/>
  <c r="B476" i="3"/>
  <c r="J473" i="4"/>
  <c r="H473" i="4"/>
  <c r="F473" i="4"/>
  <c r="E474" i="4"/>
  <c r="D475" i="4"/>
  <c r="F474" i="3"/>
  <c r="D475" i="3"/>
  <c r="C477" i="2"/>
  <c r="A476" i="4"/>
  <c r="J475" i="3"/>
  <c r="V475" i="3"/>
  <c r="M475" i="3"/>
  <c r="N475" i="3"/>
  <c r="C475" i="3"/>
  <c r="P475" i="3"/>
  <c r="E475" i="3"/>
  <c r="G475" i="3"/>
  <c r="S475" i="3"/>
  <c r="Y475" i="3" s="1"/>
  <c r="Z475" i="3" s="1"/>
  <c r="AA475" i="3" s="1"/>
  <c r="H475" i="3"/>
  <c r="T475" i="3"/>
  <c r="L476" i="2"/>
  <c r="I475" i="2"/>
  <c r="F475" i="2" s="1"/>
  <c r="D477" i="2"/>
  <c r="N476" i="2"/>
  <c r="K475" i="2"/>
  <c r="H475" i="2" s="1"/>
  <c r="C475" i="4"/>
  <c r="AB474" i="3"/>
  <c r="M476" i="2"/>
  <c r="J475" i="2"/>
  <c r="G475" i="2" s="1"/>
  <c r="G475" i="4"/>
  <c r="L475" i="4" s="1"/>
  <c r="I475" i="4"/>
  <c r="M475" i="4" s="1"/>
  <c r="K475" i="4"/>
  <c r="N475" i="4" s="1"/>
  <c r="O473" i="3"/>
  <c r="U473" i="3"/>
  <c r="I473" i="3"/>
  <c r="E477" i="2" l="1"/>
  <c r="B477" i="3"/>
  <c r="J474" i="4"/>
  <c r="H474" i="4"/>
  <c r="E475" i="4"/>
  <c r="F474" i="4"/>
  <c r="D476" i="4"/>
  <c r="D478" i="2"/>
  <c r="L477" i="2"/>
  <c r="I476" i="2"/>
  <c r="F476" i="2" s="1"/>
  <c r="G476" i="4"/>
  <c r="L476" i="4" s="1"/>
  <c r="I476" i="4"/>
  <c r="M476" i="4" s="1"/>
  <c r="K476" i="4"/>
  <c r="N476" i="4" s="1"/>
  <c r="C476" i="4"/>
  <c r="AB475" i="3"/>
  <c r="J476" i="2"/>
  <c r="G476" i="2" s="1"/>
  <c r="M477" i="2"/>
  <c r="C478" i="2"/>
  <c r="A477" i="4"/>
  <c r="G476" i="3"/>
  <c r="S476" i="3"/>
  <c r="Y476" i="3" s="1"/>
  <c r="Z476" i="3" s="1"/>
  <c r="AA476" i="3" s="1"/>
  <c r="H476" i="3"/>
  <c r="T476" i="3"/>
  <c r="J476" i="3"/>
  <c r="V476" i="3"/>
  <c r="M476" i="3"/>
  <c r="N476" i="3"/>
  <c r="C476" i="3"/>
  <c r="P476" i="3"/>
  <c r="E476" i="3"/>
  <c r="F475" i="3"/>
  <c r="D476" i="3"/>
  <c r="O474" i="3"/>
  <c r="I474" i="3"/>
  <c r="U474" i="3"/>
  <c r="N477" i="2"/>
  <c r="K476" i="2"/>
  <c r="H476" i="2" s="1"/>
  <c r="E478" i="2" l="1"/>
  <c r="B478" i="3"/>
  <c r="E476" i="4"/>
  <c r="F475" i="4"/>
  <c r="H475" i="4"/>
  <c r="J475" i="4"/>
  <c r="D477" i="4"/>
  <c r="D477" i="3"/>
  <c r="F476" i="3"/>
  <c r="O475" i="3"/>
  <c r="I475" i="3"/>
  <c r="U475" i="3"/>
  <c r="A478" i="4"/>
  <c r="P477" i="3"/>
  <c r="E477" i="3"/>
  <c r="G477" i="3"/>
  <c r="S477" i="3"/>
  <c r="Y477" i="3" s="1"/>
  <c r="Z477" i="3" s="1"/>
  <c r="AA477" i="3" s="1"/>
  <c r="H477" i="3"/>
  <c r="T477" i="3"/>
  <c r="J477" i="3"/>
  <c r="V477" i="3"/>
  <c r="M477" i="3"/>
  <c r="N477" i="3"/>
  <c r="C477" i="3"/>
  <c r="G477" i="4"/>
  <c r="L477" i="4" s="1"/>
  <c r="I477" i="4"/>
  <c r="M477" i="4" s="1"/>
  <c r="K477" i="4"/>
  <c r="N477" i="4" s="1"/>
  <c r="C479" i="2"/>
  <c r="L478" i="2"/>
  <c r="I477" i="2"/>
  <c r="F477" i="2" s="1"/>
  <c r="M478" i="2"/>
  <c r="J477" i="2"/>
  <c r="G477" i="2" s="1"/>
  <c r="D479" i="2"/>
  <c r="C477" i="4"/>
  <c r="AB476" i="3"/>
  <c r="N478" i="2"/>
  <c r="K477" i="2"/>
  <c r="H477" i="2" s="1"/>
  <c r="E479" i="2" l="1"/>
  <c r="B479" i="3"/>
  <c r="H476" i="4"/>
  <c r="E477" i="4"/>
  <c r="J476" i="4"/>
  <c r="F476" i="4"/>
  <c r="D478" i="4"/>
  <c r="A479" i="4"/>
  <c r="M478" i="3"/>
  <c r="N478" i="3"/>
  <c r="C478" i="3"/>
  <c r="P478" i="3"/>
  <c r="E478" i="3"/>
  <c r="G478" i="3"/>
  <c r="S478" i="3"/>
  <c r="Y478" i="3" s="1"/>
  <c r="Z478" i="3" s="1"/>
  <c r="AA478" i="3" s="1"/>
  <c r="H478" i="3"/>
  <c r="T478" i="3"/>
  <c r="J478" i="3"/>
  <c r="V478" i="3"/>
  <c r="M479" i="2"/>
  <c r="J478" i="2"/>
  <c r="G478" i="2" s="1"/>
  <c r="K478" i="4"/>
  <c r="N478" i="4" s="1"/>
  <c r="G478" i="4"/>
  <c r="L478" i="4" s="1"/>
  <c r="I478" i="4"/>
  <c r="M478" i="4" s="1"/>
  <c r="D480" i="2"/>
  <c r="C478" i="4"/>
  <c r="AB477" i="3"/>
  <c r="L479" i="2"/>
  <c r="I478" i="2"/>
  <c r="F478" i="2" s="1"/>
  <c r="I476" i="3"/>
  <c r="U476" i="3"/>
  <c r="O476" i="3"/>
  <c r="C480" i="2"/>
  <c r="N479" i="2"/>
  <c r="K478" i="2"/>
  <c r="H478" i="2" s="1"/>
  <c r="F477" i="3"/>
  <c r="D478" i="3"/>
  <c r="E480" i="2" l="1"/>
  <c r="B480" i="3"/>
  <c r="H477" i="4"/>
  <c r="J477" i="4"/>
  <c r="F477" i="4"/>
  <c r="E478" i="4"/>
  <c r="D479" i="4"/>
  <c r="A480" i="4"/>
  <c r="J479" i="3"/>
  <c r="V479" i="3"/>
  <c r="M479" i="3"/>
  <c r="N479" i="3"/>
  <c r="C479" i="3"/>
  <c r="P479" i="3"/>
  <c r="E479" i="3"/>
  <c r="G479" i="3"/>
  <c r="S479" i="3"/>
  <c r="Y479" i="3" s="1"/>
  <c r="Z479" i="3" s="1"/>
  <c r="AA479" i="3" s="1"/>
  <c r="H479" i="3"/>
  <c r="T479" i="3"/>
  <c r="L480" i="2"/>
  <c r="I479" i="2"/>
  <c r="F479" i="2" s="1"/>
  <c r="F478" i="3"/>
  <c r="D479" i="3"/>
  <c r="J479" i="2"/>
  <c r="G479" i="2" s="1"/>
  <c r="M480" i="2"/>
  <c r="C479" i="4"/>
  <c r="AB478" i="3"/>
  <c r="C481" i="2"/>
  <c r="I477" i="3"/>
  <c r="U477" i="3"/>
  <c r="O477" i="3"/>
  <c r="I479" i="4"/>
  <c r="M479" i="4" s="1"/>
  <c r="K479" i="4"/>
  <c r="N479" i="4" s="1"/>
  <c r="G479" i="4"/>
  <c r="L479" i="4" s="1"/>
  <c r="N480" i="2"/>
  <c r="K479" i="2"/>
  <c r="H479" i="2" s="1"/>
  <c r="D481" i="2"/>
  <c r="E481" i="2" l="1"/>
  <c r="B481" i="3"/>
  <c r="H478" i="4"/>
  <c r="J478" i="4"/>
  <c r="F478" i="4"/>
  <c r="E479" i="4"/>
  <c r="D480" i="4"/>
  <c r="N481" i="2"/>
  <c r="K480" i="2"/>
  <c r="H480" i="2" s="1"/>
  <c r="C482" i="2"/>
  <c r="A481" i="4"/>
  <c r="G480" i="3"/>
  <c r="S480" i="3"/>
  <c r="Y480" i="3" s="1"/>
  <c r="Z480" i="3" s="1"/>
  <c r="AA480" i="3" s="1"/>
  <c r="H480" i="3"/>
  <c r="T480" i="3"/>
  <c r="J480" i="3"/>
  <c r="V480" i="3"/>
  <c r="M480" i="3"/>
  <c r="N480" i="3"/>
  <c r="C480" i="3"/>
  <c r="P480" i="3"/>
  <c r="E480" i="3"/>
  <c r="M481" i="2"/>
  <c r="J480" i="2"/>
  <c r="G480" i="2" s="1"/>
  <c r="F479" i="3"/>
  <c r="D480" i="3"/>
  <c r="O478" i="3"/>
  <c r="I478" i="3"/>
  <c r="U478" i="3"/>
  <c r="C480" i="4"/>
  <c r="AB479" i="3"/>
  <c r="D482" i="2"/>
  <c r="L481" i="2"/>
  <c r="I480" i="2"/>
  <c r="F480" i="2" s="1"/>
  <c r="G480" i="4"/>
  <c r="L480" i="4" s="1"/>
  <c r="I480" i="4"/>
  <c r="M480" i="4" s="1"/>
  <c r="K480" i="4"/>
  <c r="N480" i="4" s="1"/>
  <c r="E482" i="2" l="1"/>
  <c r="B482" i="3"/>
  <c r="E480" i="4"/>
  <c r="H479" i="4"/>
  <c r="J479" i="4"/>
  <c r="F479" i="4"/>
  <c r="D481" i="4"/>
  <c r="D481" i="3"/>
  <c r="F480" i="3"/>
  <c r="O479" i="3"/>
  <c r="I479" i="3"/>
  <c r="U479" i="3"/>
  <c r="L482" i="2"/>
  <c r="I481" i="2"/>
  <c r="F481" i="2" s="1"/>
  <c r="M482" i="2"/>
  <c r="J481" i="2"/>
  <c r="G481" i="2" s="1"/>
  <c r="D483" i="2"/>
  <c r="A482" i="4"/>
  <c r="P481" i="3"/>
  <c r="E481" i="3"/>
  <c r="G481" i="3"/>
  <c r="S481" i="3"/>
  <c r="Y481" i="3" s="1"/>
  <c r="Z481" i="3" s="1"/>
  <c r="AA481" i="3" s="1"/>
  <c r="H481" i="3"/>
  <c r="T481" i="3"/>
  <c r="J481" i="3"/>
  <c r="V481" i="3"/>
  <c r="M481" i="3"/>
  <c r="N481" i="3"/>
  <c r="C481" i="3"/>
  <c r="G481" i="4"/>
  <c r="L481" i="4" s="1"/>
  <c r="I481" i="4"/>
  <c r="M481" i="4" s="1"/>
  <c r="K481" i="4"/>
  <c r="N481" i="4" s="1"/>
  <c r="C483" i="2"/>
  <c r="C481" i="4"/>
  <c r="AB480" i="3"/>
  <c r="N482" i="2"/>
  <c r="K481" i="2"/>
  <c r="H481" i="2" s="1"/>
  <c r="E483" i="2" l="1"/>
  <c r="B483" i="3"/>
  <c r="H480" i="4"/>
  <c r="E481" i="4"/>
  <c r="J480" i="4"/>
  <c r="F480" i="4"/>
  <c r="D482" i="4"/>
  <c r="C484" i="2"/>
  <c r="L483" i="2"/>
  <c r="I482" i="2"/>
  <c r="F482" i="2" s="1"/>
  <c r="J482" i="2"/>
  <c r="G482" i="2" s="1"/>
  <c r="M483" i="2"/>
  <c r="A483" i="4"/>
  <c r="M482" i="3"/>
  <c r="N482" i="3"/>
  <c r="C482" i="3"/>
  <c r="P482" i="3"/>
  <c r="E482" i="3"/>
  <c r="G482" i="3"/>
  <c r="S482" i="3"/>
  <c r="Y482" i="3" s="1"/>
  <c r="Z482" i="3" s="1"/>
  <c r="AA482" i="3" s="1"/>
  <c r="H482" i="3"/>
  <c r="T482" i="3"/>
  <c r="J482" i="3"/>
  <c r="V482" i="3"/>
  <c r="I480" i="3"/>
  <c r="U480" i="3"/>
  <c r="O480" i="3"/>
  <c r="N483" i="2"/>
  <c r="K482" i="2"/>
  <c r="H482" i="2" s="1"/>
  <c r="G482" i="4"/>
  <c r="L482" i="4" s="1"/>
  <c r="I482" i="4"/>
  <c r="M482" i="4" s="1"/>
  <c r="K482" i="4"/>
  <c r="N482" i="4" s="1"/>
  <c r="F481" i="3"/>
  <c r="D482" i="3"/>
  <c r="C482" i="4"/>
  <c r="AB481" i="3"/>
  <c r="D484" i="2"/>
  <c r="E484" i="2" l="1"/>
  <c r="B484" i="3"/>
  <c r="H481" i="4"/>
  <c r="J481" i="4"/>
  <c r="F481" i="4"/>
  <c r="E482" i="4"/>
  <c r="D483" i="4"/>
  <c r="C483" i="4"/>
  <c r="AB482" i="3"/>
  <c r="I481" i="3"/>
  <c r="U481" i="3"/>
  <c r="O481" i="3"/>
  <c r="G483" i="4"/>
  <c r="L483" i="4" s="1"/>
  <c r="I483" i="4"/>
  <c r="M483" i="4" s="1"/>
  <c r="K483" i="4"/>
  <c r="N483" i="4" s="1"/>
  <c r="M484" i="2"/>
  <c r="J483" i="2"/>
  <c r="G483" i="2" s="1"/>
  <c r="L484" i="2"/>
  <c r="I483" i="2"/>
  <c r="F483" i="2" s="1"/>
  <c r="D485" i="2"/>
  <c r="A484" i="4"/>
  <c r="J483" i="3"/>
  <c r="V483" i="3"/>
  <c r="M483" i="3"/>
  <c r="N483" i="3"/>
  <c r="C483" i="3"/>
  <c r="P483" i="3"/>
  <c r="E483" i="3"/>
  <c r="G483" i="3"/>
  <c r="S483" i="3"/>
  <c r="Y483" i="3" s="1"/>
  <c r="Z483" i="3" s="1"/>
  <c r="AA483" i="3" s="1"/>
  <c r="H483" i="3"/>
  <c r="T483" i="3"/>
  <c r="C485" i="2"/>
  <c r="F482" i="3"/>
  <c r="D483" i="3"/>
  <c r="N484" i="2"/>
  <c r="K483" i="2"/>
  <c r="H483" i="2" s="1"/>
  <c r="E485" i="2" l="1"/>
  <c r="B485" i="3"/>
  <c r="E483" i="4"/>
  <c r="J482" i="4"/>
  <c r="F482" i="4"/>
  <c r="H482" i="4"/>
  <c r="D484" i="4"/>
  <c r="C486" i="2"/>
  <c r="C484" i="4"/>
  <c r="AB483" i="3"/>
  <c r="K484" i="4"/>
  <c r="N484" i="4" s="1"/>
  <c r="G484" i="4"/>
  <c r="L484" i="4" s="1"/>
  <c r="I484" i="4"/>
  <c r="M484" i="4" s="1"/>
  <c r="D486" i="2"/>
  <c r="L485" i="2"/>
  <c r="I484" i="2"/>
  <c r="F484" i="2" s="1"/>
  <c r="A485" i="4"/>
  <c r="G484" i="3"/>
  <c r="S484" i="3"/>
  <c r="Y484" i="3" s="1"/>
  <c r="Z484" i="3" s="1"/>
  <c r="AA484" i="3" s="1"/>
  <c r="H484" i="3"/>
  <c r="T484" i="3"/>
  <c r="J484" i="3"/>
  <c r="V484" i="3"/>
  <c r="M484" i="3"/>
  <c r="N484" i="3"/>
  <c r="C484" i="3"/>
  <c r="P484" i="3"/>
  <c r="E484" i="3"/>
  <c r="N485" i="2"/>
  <c r="K484" i="2"/>
  <c r="H484" i="2" s="1"/>
  <c r="F483" i="3"/>
  <c r="D484" i="3"/>
  <c r="M485" i="2"/>
  <c r="J484" i="2"/>
  <c r="G484" i="2" s="1"/>
  <c r="O482" i="3"/>
  <c r="I482" i="3"/>
  <c r="U482" i="3"/>
  <c r="E486" i="2" l="1"/>
  <c r="B486" i="3"/>
  <c r="E484" i="4"/>
  <c r="J483" i="4"/>
  <c r="F483" i="4"/>
  <c r="H483" i="4"/>
  <c r="D485" i="4"/>
  <c r="O483" i="3"/>
  <c r="I483" i="3"/>
  <c r="U483" i="3"/>
  <c r="A486" i="4"/>
  <c r="P485" i="3"/>
  <c r="E485" i="3"/>
  <c r="G485" i="3"/>
  <c r="S485" i="3"/>
  <c r="Y485" i="3" s="1"/>
  <c r="Z485" i="3" s="1"/>
  <c r="AA485" i="3" s="1"/>
  <c r="H485" i="3"/>
  <c r="T485" i="3"/>
  <c r="J485" i="3"/>
  <c r="V485" i="3"/>
  <c r="M485" i="3"/>
  <c r="N485" i="3"/>
  <c r="C485" i="3"/>
  <c r="I485" i="4"/>
  <c r="M485" i="4" s="1"/>
  <c r="K485" i="4"/>
  <c r="N485" i="4" s="1"/>
  <c r="G485" i="4"/>
  <c r="L485" i="4" s="1"/>
  <c r="N486" i="2"/>
  <c r="K485" i="2"/>
  <c r="H485" i="2" s="1"/>
  <c r="L486" i="2"/>
  <c r="I485" i="2"/>
  <c r="F485" i="2" s="1"/>
  <c r="J485" i="2"/>
  <c r="G485" i="2" s="1"/>
  <c r="M486" i="2"/>
  <c r="D485" i="3"/>
  <c r="F484" i="3"/>
  <c r="D487" i="2"/>
  <c r="C487" i="2"/>
  <c r="C485" i="4"/>
  <c r="AB484" i="3"/>
  <c r="E487" i="2" l="1"/>
  <c r="B487" i="3"/>
  <c r="J484" i="4"/>
  <c r="F484" i="4"/>
  <c r="H484" i="4"/>
  <c r="E485" i="4"/>
  <c r="D486" i="4"/>
  <c r="A487" i="4"/>
  <c r="M486" i="3"/>
  <c r="N486" i="3"/>
  <c r="C486" i="3"/>
  <c r="P486" i="3"/>
  <c r="E486" i="3"/>
  <c r="G486" i="3"/>
  <c r="S486" i="3"/>
  <c r="Y486" i="3" s="1"/>
  <c r="Z486" i="3" s="1"/>
  <c r="AA486" i="3" s="1"/>
  <c r="H486" i="3"/>
  <c r="T486" i="3"/>
  <c r="J486" i="3"/>
  <c r="V486" i="3"/>
  <c r="C488" i="2"/>
  <c r="D488" i="2"/>
  <c r="D489" i="2" s="1"/>
  <c r="I484" i="3"/>
  <c r="U484" i="3"/>
  <c r="O484" i="3"/>
  <c r="F485" i="3"/>
  <c r="D486" i="3"/>
  <c r="M487" i="2"/>
  <c r="J486" i="2"/>
  <c r="G486" i="2" s="1"/>
  <c r="G486" i="4"/>
  <c r="L486" i="4" s="1"/>
  <c r="I486" i="4"/>
  <c r="M486" i="4" s="1"/>
  <c r="K486" i="4"/>
  <c r="N486" i="4" s="1"/>
  <c r="C486" i="4"/>
  <c r="AB485" i="3"/>
  <c r="L487" i="2"/>
  <c r="I486" i="2"/>
  <c r="F486" i="2" s="1"/>
  <c r="N487" i="2"/>
  <c r="K486" i="2"/>
  <c r="H486" i="2" s="1"/>
  <c r="C489" i="2" l="1"/>
  <c r="E488" i="2"/>
  <c r="D490" i="2"/>
  <c r="B488" i="3"/>
  <c r="E486" i="4"/>
  <c r="H485" i="4"/>
  <c r="J485" i="4"/>
  <c r="F485" i="4"/>
  <c r="D487" i="4"/>
  <c r="A488" i="4"/>
  <c r="J487" i="3"/>
  <c r="V487" i="3"/>
  <c r="M487" i="3"/>
  <c r="N487" i="3"/>
  <c r="C487" i="3"/>
  <c r="P487" i="3"/>
  <c r="E487" i="3"/>
  <c r="G487" i="3"/>
  <c r="S487" i="3"/>
  <c r="Y487" i="3" s="1"/>
  <c r="Z487" i="3" s="1"/>
  <c r="AA487" i="3" s="1"/>
  <c r="H487" i="3"/>
  <c r="T487" i="3"/>
  <c r="C487" i="4"/>
  <c r="AB486" i="3"/>
  <c r="N488" i="2"/>
  <c r="K487" i="2"/>
  <c r="H487" i="2" s="1"/>
  <c r="M488" i="2"/>
  <c r="J487" i="2"/>
  <c r="G487" i="2" s="1"/>
  <c r="G487" i="4"/>
  <c r="L487" i="4" s="1"/>
  <c r="I487" i="4"/>
  <c r="M487" i="4" s="1"/>
  <c r="K487" i="4"/>
  <c r="N487" i="4" s="1"/>
  <c r="F486" i="3"/>
  <c r="D487" i="3"/>
  <c r="L488" i="2"/>
  <c r="I487" i="2"/>
  <c r="F487" i="2" s="1"/>
  <c r="I485" i="3"/>
  <c r="U485" i="3"/>
  <c r="O485" i="3"/>
  <c r="C490" i="2" l="1"/>
  <c r="E489" i="2"/>
  <c r="B489" i="3"/>
  <c r="J488" i="2"/>
  <c r="G488" i="2" s="1"/>
  <c r="M489" i="2"/>
  <c r="I488" i="2"/>
  <c r="F488" i="2" s="1"/>
  <c r="L489" i="2"/>
  <c r="K488" i="2"/>
  <c r="H488" i="2" s="1"/>
  <c r="N489" i="2"/>
  <c r="D491" i="2"/>
  <c r="F486" i="4"/>
  <c r="E487" i="4"/>
  <c r="H486" i="4"/>
  <c r="J486" i="4"/>
  <c r="D488" i="4"/>
  <c r="F487" i="3"/>
  <c r="D488" i="3"/>
  <c r="O486" i="3"/>
  <c r="I486" i="3"/>
  <c r="U486" i="3"/>
  <c r="C488" i="4"/>
  <c r="AB487" i="3"/>
  <c r="G488" i="4"/>
  <c r="L488" i="4" s="1"/>
  <c r="I488" i="4"/>
  <c r="M488" i="4" s="1"/>
  <c r="K488" i="4"/>
  <c r="N488" i="4" s="1"/>
  <c r="A489" i="4"/>
  <c r="G488" i="3"/>
  <c r="S488" i="3"/>
  <c r="Y488" i="3" s="1"/>
  <c r="Z488" i="3" s="1"/>
  <c r="AA488" i="3" s="1"/>
  <c r="H488" i="3"/>
  <c r="T488" i="3"/>
  <c r="J488" i="3"/>
  <c r="V488" i="3"/>
  <c r="M488" i="3"/>
  <c r="N488" i="3"/>
  <c r="C488" i="3"/>
  <c r="P488" i="3"/>
  <c r="E488" i="3"/>
  <c r="C491" i="2" l="1"/>
  <c r="E490" i="2"/>
  <c r="N490" i="2"/>
  <c r="K489" i="2"/>
  <c r="H489" i="2" s="1"/>
  <c r="L490" i="2"/>
  <c r="I489" i="2"/>
  <c r="F489" i="2" s="1"/>
  <c r="M490" i="2"/>
  <c r="J489" i="2"/>
  <c r="G489" i="2" s="1"/>
  <c r="D492" i="2"/>
  <c r="B490" i="3"/>
  <c r="F487" i="4"/>
  <c r="H487" i="4"/>
  <c r="E488" i="4"/>
  <c r="J487" i="4"/>
  <c r="D489" i="4"/>
  <c r="C489" i="4"/>
  <c r="AB488" i="3"/>
  <c r="A490" i="4"/>
  <c r="P489" i="3"/>
  <c r="E489" i="3"/>
  <c r="G489" i="3"/>
  <c r="S489" i="3"/>
  <c r="Y489" i="3" s="1"/>
  <c r="Z489" i="3" s="1"/>
  <c r="AA489" i="3" s="1"/>
  <c r="H489" i="3"/>
  <c r="T489" i="3"/>
  <c r="J489" i="3"/>
  <c r="V489" i="3"/>
  <c r="M489" i="3"/>
  <c r="N489" i="3"/>
  <c r="C489" i="3"/>
  <c r="G489" i="4"/>
  <c r="L489" i="4" s="1"/>
  <c r="I489" i="4"/>
  <c r="M489" i="4" s="1"/>
  <c r="K489" i="4"/>
  <c r="N489" i="4" s="1"/>
  <c r="D489" i="3"/>
  <c r="F488" i="3"/>
  <c r="O487" i="3"/>
  <c r="U487" i="3"/>
  <c r="I487" i="3"/>
  <c r="C492" i="2" l="1"/>
  <c r="E491" i="2"/>
  <c r="J490" i="2"/>
  <c r="G490" i="2" s="1"/>
  <c r="M491" i="2"/>
  <c r="L491" i="2"/>
  <c r="I490" i="2"/>
  <c r="F490" i="2" s="1"/>
  <c r="D493" i="2"/>
  <c r="B491" i="3"/>
  <c r="H491" i="3" s="1"/>
  <c r="N491" i="2"/>
  <c r="K490" i="2"/>
  <c r="H490" i="2" s="1"/>
  <c r="E489" i="4"/>
  <c r="J488" i="4"/>
  <c r="F488" i="4"/>
  <c r="H488" i="4"/>
  <c r="D490" i="4"/>
  <c r="A491" i="4"/>
  <c r="M490" i="3"/>
  <c r="N490" i="3"/>
  <c r="C490" i="3"/>
  <c r="P490" i="3"/>
  <c r="E490" i="3"/>
  <c r="G490" i="3"/>
  <c r="S490" i="3"/>
  <c r="H490" i="3"/>
  <c r="T490" i="3"/>
  <c r="J490" i="3"/>
  <c r="V490" i="3"/>
  <c r="K490" i="4"/>
  <c r="N490" i="4" s="1"/>
  <c r="G490" i="4"/>
  <c r="L490" i="4" s="1"/>
  <c r="I490" i="4"/>
  <c r="M490" i="4" s="1"/>
  <c r="C490" i="4"/>
  <c r="AB489" i="3"/>
  <c r="F489" i="3"/>
  <c r="D490" i="3"/>
  <c r="I488" i="3"/>
  <c r="U488" i="3"/>
  <c r="O488" i="3"/>
  <c r="C493" i="2" l="1"/>
  <c r="E492" i="2"/>
  <c r="T491" i="3"/>
  <c r="D494" i="2"/>
  <c r="L492" i="2"/>
  <c r="I491" i="2"/>
  <c r="F491" i="2" s="1"/>
  <c r="K491" i="2"/>
  <c r="H491" i="2" s="1"/>
  <c r="N492" i="2"/>
  <c r="C491" i="3"/>
  <c r="A492" i="4"/>
  <c r="G491" i="3"/>
  <c r="V491" i="3"/>
  <c r="M491" i="3"/>
  <c r="J491" i="3"/>
  <c r="E491" i="3"/>
  <c r="P491" i="3"/>
  <c r="S491" i="3"/>
  <c r="Y491" i="3" s="1"/>
  <c r="Z491" i="3" s="1"/>
  <c r="M492" i="2"/>
  <c r="J491" i="2"/>
  <c r="G491" i="2" s="1"/>
  <c r="B492" i="3"/>
  <c r="T492" i="3" s="1"/>
  <c r="N491" i="3"/>
  <c r="F490" i="3"/>
  <c r="O490" i="3" s="1"/>
  <c r="D491" i="3"/>
  <c r="F489" i="4"/>
  <c r="E490" i="4"/>
  <c r="H489" i="4"/>
  <c r="J489" i="4"/>
  <c r="Y490" i="3"/>
  <c r="Z490" i="3" s="1"/>
  <c r="AA490" i="3" s="1"/>
  <c r="I489" i="3"/>
  <c r="U489" i="3"/>
  <c r="O489" i="3"/>
  <c r="C491" i="4"/>
  <c r="AB490" i="3"/>
  <c r="I491" i="4"/>
  <c r="M491" i="4" s="1"/>
  <c r="K491" i="4"/>
  <c r="N491" i="4" s="1"/>
  <c r="G491" i="4"/>
  <c r="L491" i="4" s="1"/>
  <c r="I492" i="4" l="1"/>
  <c r="M492" i="4" s="1"/>
  <c r="C494" i="2"/>
  <c r="E493" i="2"/>
  <c r="N492" i="3"/>
  <c r="N493" i="2"/>
  <c r="K492" i="2"/>
  <c r="H492" i="2" s="1"/>
  <c r="U490" i="3"/>
  <c r="AB491" i="3"/>
  <c r="E492" i="4" s="1"/>
  <c r="C492" i="4"/>
  <c r="L493" i="2"/>
  <c r="I492" i="2"/>
  <c r="F492" i="2" s="1"/>
  <c r="B493" i="3"/>
  <c r="N493" i="3" s="1"/>
  <c r="A493" i="4"/>
  <c r="E492" i="3"/>
  <c r="V492" i="3"/>
  <c r="S492" i="3"/>
  <c r="Y492" i="3" s="1"/>
  <c r="Z492" i="3" s="1"/>
  <c r="J492" i="3"/>
  <c r="C492" i="3"/>
  <c r="P492" i="3"/>
  <c r="G492" i="3"/>
  <c r="M492" i="3"/>
  <c r="I490" i="3"/>
  <c r="H492" i="3"/>
  <c r="M493" i="2"/>
  <c r="J492" i="2"/>
  <c r="G492" i="2" s="1"/>
  <c r="K492" i="4"/>
  <c r="N492" i="4" s="1"/>
  <c r="G492" i="4"/>
  <c r="L492" i="4" s="1"/>
  <c r="D495" i="2"/>
  <c r="D492" i="3"/>
  <c r="F491" i="3"/>
  <c r="J490" i="4"/>
  <c r="F490" i="4"/>
  <c r="H490" i="4"/>
  <c r="D491" i="4"/>
  <c r="E491" i="4"/>
  <c r="J491" i="4"/>
  <c r="H491" i="4"/>
  <c r="F491" i="4"/>
  <c r="AA491" i="3"/>
  <c r="G493" i="4" l="1"/>
  <c r="L493" i="4" s="1"/>
  <c r="K493" i="4"/>
  <c r="N493" i="4" s="1"/>
  <c r="C495" i="2"/>
  <c r="E494" i="2"/>
  <c r="I493" i="4"/>
  <c r="M493" i="4" s="1"/>
  <c r="AB492" i="3"/>
  <c r="E493" i="4" s="1"/>
  <c r="C493" i="4"/>
  <c r="D496" i="2"/>
  <c r="E493" i="3"/>
  <c r="A494" i="4"/>
  <c r="S493" i="3"/>
  <c r="Y493" i="3" s="1"/>
  <c r="Z493" i="3" s="1"/>
  <c r="C493" i="3"/>
  <c r="P493" i="3"/>
  <c r="M493" i="3"/>
  <c r="J493" i="3"/>
  <c r="G493" i="3"/>
  <c r="V493" i="3"/>
  <c r="N494" i="2"/>
  <c r="K493" i="2"/>
  <c r="H493" i="2" s="1"/>
  <c r="B494" i="3"/>
  <c r="T494" i="3" s="1"/>
  <c r="H493" i="3"/>
  <c r="AA492" i="3"/>
  <c r="J493" i="2"/>
  <c r="G493" i="2" s="1"/>
  <c r="M494" i="2"/>
  <c r="L494" i="2"/>
  <c r="I493" i="2"/>
  <c r="F493" i="2" s="1"/>
  <c r="T493" i="3"/>
  <c r="O491" i="3"/>
  <c r="H492" i="4" s="1"/>
  <c r="I491" i="3"/>
  <c r="F492" i="4" s="1"/>
  <c r="U491" i="3"/>
  <c r="J492" i="4" s="1"/>
  <c r="D493" i="3"/>
  <c r="F492" i="3"/>
  <c r="D492" i="4"/>
  <c r="H494" i="3" l="1"/>
  <c r="N494" i="3"/>
  <c r="C496" i="2"/>
  <c r="E495" i="2"/>
  <c r="K494" i="4"/>
  <c r="N494" i="4" s="1"/>
  <c r="G494" i="4"/>
  <c r="L494" i="4" s="1"/>
  <c r="I494" i="4"/>
  <c r="M494" i="4" s="1"/>
  <c r="AA493" i="3"/>
  <c r="D494" i="4" s="1"/>
  <c r="M495" i="2"/>
  <c r="J494" i="2"/>
  <c r="G494" i="2" s="1"/>
  <c r="N495" i="2"/>
  <c r="K494" i="2"/>
  <c r="H494" i="2" s="1"/>
  <c r="D497" i="2"/>
  <c r="D493" i="4"/>
  <c r="AB493" i="3"/>
  <c r="E494" i="4" s="1"/>
  <c r="C494" i="4"/>
  <c r="E494" i="3"/>
  <c r="A495" i="4"/>
  <c r="S494" i="3"/>
  <c r="Y494" i="3" s="1"/>
  <c r="Z494" i="3" s="1"/>
  <c r="C494" i="3"/>
  <c r="J494" i="3"/>
  <c r="P494" i="3"/>
  <c r="V494" i="3"/>
  <c r="M494" i="3"/>
  <c r="G494" i="3"/>
  <c r="L495" i="2"/>
  <c r="I494" i="2"/>
  <c r="F494" i="2" s="1"/>
  <c r="B495" i="3"/>
  <c r="O492" i="3"/>
  <c r="H493" i="4" s="1"/>
  <c r="I492" i="3"/>
  <c r="F493" i="4" s="1"/>
  <c r="U492" i="3"/>
  <c r="J493" i="4" s="1"/>
  <c r="D494" i="3"/>
  <c r="F493" i="3"/>
  <c r="K495" i="4" l="1"/>
  <c r="N495" i="4" s="1"/>
  <c r="AA494" i="3"/>
  <c r="D495" i="4" s="1"/>
  <c r="C497" i="2"/>
  <c r="E496" i="2"/>
  <c r="G495" i="4"/>
  <c r="L495" i="4" s="1"/>
  <c r="I495" i="4"/>
  <c r="M495" i="4" s="1"/>
  <c r="D498" i="2"/>
  <c r="C495" i="3"/>
  <c r="A496" i="4"/>
  <c r="E495" i="3"/>
  <c r="S495" i="3"/>
  <c r="Y495" i="3" s="1"/>
  <c r="Z495" i="3" s="1"/>
  <c r="J495" i="3"/>
  <c r="V495" i="3"/>
  <c r="M495" i="3"/>
  <c r="P495" i="3"/>
  <c r="G495" i="3"/>
  <c r="B496" i="3"/>
  <c r="T496" i="3" s="1"/>
  <c r="I495" i="2"/>
  <c r="F495" i="2" s="1"/>
  <c r="L496" i="2"/>
  <c r="K495" i="2"/>
  <c r="H495" i="2" s="1"/>
  <c r="N496" i="2"/>
  <c r="C495" i="4"/>
  <c r="AB494" i="3"/>
  <c r="E495" i="4" s="1"/>
  <c r="H495" i="3"/>
  <c r="N495" i="3"/>
  <c r="T495" i="3"/>
  <c r="J495" i="2"/>
  <c r="G495" i="2" s="1"/>
  <c r="M496" i="2"/>
  <c r="I493" i="3"/>
  <c r="F494" i="4" s="1"/>
  <c r="U493" i="3"/>
  <c r="J494" i="4" s="1"/>
  <c r="O493" i="3"/>
  <c r="H494" i="4" s="1"/>
  <c r="F494" i="3"/>
  <c r="D495" i="3"/>
  <c r="K496" i="4" l="1"/>
  <c r="N496" i="4" s="1"/>
  <c r="AA495" i="3"/>
  <c r="D496" i="4" s="1"/>
  <c r="I496" i="4"/>
  <c r="M496" i="4" s="1"/>
  <c r="C498" i="2"/>
  <c r="E497" i="2"/>
  <c r="G496" i="4"/>
  <c r="L496" i="4" s="1"/>
  <c r="H496" i="3"/>
  <c r="N496" i="3"/>
  <c r="A497" i="4"/>
  <c r="E496" i="3"/>
  <c r="C496" i="3"/>
  <c r="S496" i="3"/>
  <c r="Y496" i="3" s="1"/>
  <c r="Z496" i="3" s="1"/>
  <c r="V496" i="3"/>
  <c r="J496" i="3"/>
  <c r="P496" i="3"/>
  <c r="M496" i="3"/>
  <c r="G496" i="3"/>
  <c r="L497" i="2"/>
  <c r="I496" i="2"/>
  <c r="F496" i="2" s="1"/>
  <c r="B497" i="3"/>
  <c r="H497" i="3" s="1"/>
  <c r="J496" i="2"/>
  <c r="G496" i="2" s="1"/>
  <c r="M497" i="2"/>
  <c r="N497" i="2"/>
  <c r="K496" i="2"/>
  <c r="H496" i="2" s="1"/>
  <c r="AB495" i="3"/>
  <c r="E496" i="4" s="1"/>
  <c r="C496" i="4"/>
  <c r="D499" i="2"/>
  <c r="F495" i="3"/>
  <c r="D496" i="3"/>
  <c r="O494" i="3"/>
  <c r="H495" i="4" s="1"/>
  <c r="I494" i="3"/>
  <c r="F495" i="4" s="1"/>
  <c r="U494" i="3"/>
  <c r="J495" i="4" s="1"/>
  <c r="AA496" i="3" l="1"/>
  <c r="K497" i="4"/>
  <c r="N497" i="4" s="1"/>
  <c r="C499" i="2"/>
  <c r="E498" i="2"/>
  <c r="I497" i="4"/>
  <c r="M497" i="4" s="1"/>
  <c r="G497" i="4"/>
  <c r="L497" i="4" s="1"/>
  <c r="K497" i="2"/>
  <c r="H497" i="2" s="1"/>
  <c r="N498" i="2"/>
  <c r="C497" i="4"/>
  <c r="AB496" i="3"/>
  <c r="E497" i="4" s="1"/>
  <c r="A498" i="4"/>
  <c r="E497" i="3"/>
  <c r="V497" i="3"/>
  <c r="C497" i="3"/>
  <c r="S497" i="3"/>
  <c r="Y497" i="3" s="1"/>
  <c r="Z497" i="3" s="1"/>
  <c r="J497" i="3"/>
  <c r="M497" i="3"/>
  <c r="P497" i="3"/>
  <c r="G497" i="3"/>
  <c r="T497" i="3"/>
  <c r="D500" i="2"/>
  <c r="J497" i="2"/>
  <c r="G497" i="2" s="1"/>
  <c r="M498" i="2"/>
  <c r="N497" i="3"/>
  <c r="L498" i="2"/>
  <c r="I497" i="2"/>
  <c r="F497" i="2" s="1"/>
  <c r="B498" i="3"/>
  <c r="H498" i="3" s="1"/>
  <c r="D497" i="3"/>
  <c r="F496" i="3"/>
  <c r="O495" i="3"/>
  <c r="H496" i="4" s="1"/>
  <c r="I495" i="3"/>
  <c r="F496" i="4" s="1"/>
  <c r="U495" i="3"/>
  <c r="J496" i="4" s="1"/>
  <c r="D497" i="4"/>
  <c r="AA497" i="3" l="1"/>
  <c r="I498" i="4"/>
  <c r="M498" i="4" s="1"/>
  <c r="E499" i="2"/>
  <c r="C500" i="2"/>
  <c r="G498" i="4"/>
  <c r="L498" i="4" s="1"/>
  <c r="N498" i="3"/>
  <c r="T498" i="3"/>
  <c r="M499" i="2"/>
  <c r="J498" i="2"/>
  <c r="G498" i="2" s="1"/>
  <c r="K498" i="4"/>
  <c r="N498" i="4" s="1"/>
  <c r="D501" i="2"/>
  <c r="E498" i="3"/>
  <c r="A499" i="4"/>
  <c r="V498" i="3"/>
  <c r="C498" i="3"/>
  <c r="S498" i="3"/>
  <c r="Y498" i="3" s="1"/>
  <c r="Z498" i="3" s="1"/>
  <c r="AA498" i="3" s="1"/>
  <c r="J498" i="3"/>
  <c r="M498" i="3"/>
  <c r="P498" i="3"/>
  <c r="G498" i="3"/>
  <c r="B499" i="3"/>
  <c r="N499" i="3" s="1"/>
  <c r="C498" i="4"/>
  <c r="AB497" i="3"/>
  <c r="E498" i="4" s="1"/>
  <c r="K498" i="2"/>
  <c r="H498" i="2" s="1"/>
  <c r="N499" i="2"/>
  <c r="I498" i="2"/>
  <c r="F498" i="2" s="1"/>
  <c r="L499" i="2"/>
  <c r="U496" i="3"/>
  <c r="J497" i="4" s="1"/>
  <c r="I496" i="3"/>
  <c r="F497" i="4" s="1"/>
  <c r="O496" i="3"/>
  <c r="H497" i="4" s="1"/>
  <c r="D498" i="3"/>
  <c r="F497" i="3"/>
  <c r="D498" i="4"/>
  <c r="T499" i="3" l="1"/>
  <c r="G499" i="4"/>
  <c r="L499" i="4" s="1"/>
  <c r="H499" i="3"/>
  <c r="I499" i="4"/>
  <c r="M499" i="4" s="1"/>
  <c r="C501" i="2"/>
  <c r="E500" i="2"/>
  <c r="K499" i="4"/>
  <c r="N499" i="4" s="1"/>
  <c r="AB498" i="3"/>
  <c r="E499" i="4" s="1"/>
  <c r="C499" i="4"/>
  <c r="I499" i="2"/>
  <c r="F499" i="2" s="1"/>
  <c r="L500" i="2"/>
  <c r="B500" i="3"/>
  <c r="K499" i="2"/>
  <c r="H499" i="2" s="1"/>
  <c r="N500" i="2"/>
  <c r="D502" i="2"/>
  <c r="C499" i="3"/>
  <c r="A500" i="4"/>
  <c r="V499" i="3"/>
  <c r="E499" i="3"/>
  <c r="S499" i="3"/>
  <c r="Y499" i="3" s="1"/>
  <c r="Z499" i="3" s="1"/>
  <c r="AA499" i="3" s="1"/>
  <c r="J499" i="3"/>
  <c r="P499" i="3"/>
  <c r="M499" i="3"/>
  <c r="G499" i="3"/>
  <c r="J499" i="2"/>
  <c r="G499" i="2" s="1"/>
  <c r="M500" i="2"/>
  <c r="U497" i="3"/>
  <c r="J498" i="4" s="1"/>
  <c r="I497" i="3"/>
  <c r="F498" i="4" s="1"/>
  <c r="O497" i="3"/>
  <c r="H498" i="4" s="1"/>
  <c r="F498" i="3"/>
  <c r="D499" i="3"/>
  <c r="D499" i="4"/>
  <c r="I500" i="4" l="1"/>
  <c r="M500" i="4" s="1"/>
  <c r="G500" i="4"/>
  <c r="L500" i="4" s="1"/>
  <c r="C502" i="2"/>
  <c r="E501" i="2"/>
  <c r="K500" i="4"/>
  <c r="N500" i="4" s="1"/>
  <c r="A501" i="4"/>
  <c r="E500" i="3"/>
  <c r="C500" i="3"/>
  <c r="S500" i="3"/>
  <c r="Y500" i="3" s="1"/>
  <c r="Z500" i="3" s="1"/>
  <c r="AA500" i="3" s="1"/>
  <c r="V500" i="3"/>
  <c r="J500" i="3"/>
  <c r="P500" i="3"/>
  <c r="M500" i="3"/>
  <c r="G500" i="3"/>
  <c r="M501" i="2"/>
  <c r="J500" i="2"/>
  <c r="G500" i="2" s="1"/>
  <c r="B501" i="3"/>
  <c r="T501" i="3" s="1"/>
  <c r="C500" i="4"/>
  <c r="AB499" i="3"/>
  <c r="E500" i="4" s="1"/>
  <c r="N500" i="3"/>
  <c r="L501" i="2"/>
  <c r="I500" i="2"/>
  <c r="F500" i="2" s="1"/>
  <c r="D503" i="2"/>
  <c r="T500" i="3"/>
  <c r="N501" i="2"/>
  <c r="K500" i="2"/>
  <c r="H500" i="2" s="1"/>
  <c r="H500" i="3"/>
  <c r="F499" i="3"/>
  <c r="D500" i="3"/>
  <c r="U498" i="3"/>
  <c r="J499" i="4" s="1"/>
  <c r="O498" i="3"/>
  <c r="H499" i="4" s="1"/>
  <c r="I498" i="3"/>
  <c r="F499" i="4" s="1"/>
  <c r="D500" i="4"/>
  <c r="K501" i="4" l="1"/>
  <c r="N501" i="4" s="1"/>
  <c r="I501" i="4"/>
  <c r="M501" i="4" s="1"/>
  <c r="G501" i="4"/>
  <c r="L501" i="4" s="1"/>
  <c r="C503" i="2"/>
  <c r="E502" i="2"/>
  <c r="D504" i="2"/>
  <c r="A502" i="4"/>
  <c r="E501" i="3"/>
  <c r="C501" i="3"/>
  <c r="V501" i="3"/>
  <c r="S501" i="3"/>
  <c r="Y501" i="3" s="1"/>
  <c r="Z501" i="3" s="1"/>
  <c r="AA501" i="3" s="1"/>
  <c r="J501" i="3"/>
  <c r="P501" i="3"/>
  <c r="M501" i="3"/>
  <c r="G501" i="3"/>
  <c r="B502" i="3"/>
  <c r="T502" i="3" s="1"/>
  <c r="H501" i="3"/>
  <c r="N501" i="3"/>
  <c r="N502" i="2"/>
  <c r="K501" i="2"/>
  <c r="H501" i="2" s="1"/>
  <c r="L502" i="2"/>
  <c r="I501" i="2"/>
  <c r="F501" i="2" s="1"/>
  <c r="M502" i="2"/>
  <c r="J501" i="2"/>
  <c r="G501" i="2" s="1"/>
  <c r="C501" i="4"/>
  <c r="AB500" i="3"/>
  <c r="E501" i="4" s="1"/>
  <c r="D501" i="3"/>
  <c r="F500" i="3"/>
  <c r="U499" i="3"/>
  <c r="J500" i="4" s="1"/>
  <c r="O499" i="3"/>
  <c r="H500" i="4" s="1"/>
  <c r="I499" i="3"/>
  <c r="F500" i="4" s="1"/>
  <c r="D501" i="4"/>
  <c r="G502" i="4" l="1"/>
  <c r="L502" i="4" s="1"/>
  <c r="N502" i="3"/>
  <c r="C504" i="2"/>
  <c r="E503" i="2"/>
  <c r="H502" i="3"/>
  <c r="I502" i="4"/>
  <c r="M502" i="4" s="1"/>
  <c r="L503" i="2"/>
  <c r="I502" i="2"/>
  <c r="F502" i="2" s="1"/>
  <c r="B503" i="3"/>
  <c r="T503" i="3" s="1"/>
  <c r="A503" i="4"/>
  <c r="E502" i="3"/>
  <c r="C502" i="3"/>
  <c r="S502" i="3"/>
  <c r="Y502" i="3" s="1"/>
  <c r="Z502" i="3" s="1"/>
  <c r="AA502" i="3" s="1"/>
  <c r="V502" i="3"/>
  <c r="J502" i="3"/>
  <c r="P502" i="3"/>
  <c r="M502" i="3"/>
  <c r="G502" i="3"/>
  <c r="M503" i="2"/>
  <c r="J502" i="2"/>
  <c r="G502" i="2" s="1"/>
  <c r="N503" i="2"/>
  <c r="K502" i="2"/>
  <c r="H502" i="2" s="1"/>
  <c r="K502" i="4"/>
  <c r="N502" i="4" s="1"/>
  <c r="AB501" i="3"/>
  <c r="E502" i="4" s="1"/>
  <c r="C502" i="4"/>
  <c r="D505" i="2"/>
  <c r="U500" i="3"/>
  <c r="J501" i="4" s="1"/>
  <c r="I500" i="3"/>
  <c r="F501" i="4" s="1"/>
  <c r="O500" i="3"/>
  <c r="H501" i="4" s="1"/>
  <c r="D502" i="3"/>
  <c r="F501" i="3"/>
  <c r="D502" i="4"/>
  <c r="N503" i="3" l="1"/>
  <c r="C505" i="2"/>
  <c r="E504" i="2"/>
  <c r="AB502" i="3"/>
  <c r="E503" i="4" s="1"/>
  <c r="C503" i="4"/>
  <c r="I503" i="4"/>
  <c r="M503" i="4" s="1"/>
  <c r="B504" i="3"/>
  <c r="T504" i="3" s="1"/>
  <c r="G503" i="4"/>
  <c r="L503" i="4" s="1"/>
  <c r="C503" i="3"/>
  <c r="A504" i="4"/>
  <c r="V503" i="3"/>
  <c r="E503" i="3"/>
  <c r="S503" i="3"/>
  <c r="Y503" i="3" s="1"/>
  <c r="Z503" i="3" s="1"/>
  <c r="AA503" i="3" s="1"/>
  <c r="J503" i="3"/>
  <c r="P503" i="3"/>
  <c r="M503" i="3"/>
  <c r="G503" i="3"/>
  <c r="K503" i="4"/>
  <c r="N503" i="4" s="1"/>
  <c r="N504" i="2"/>
  <c r="K503" i="2"/>
  <c r="H503" i="2" s="1"/>
  <c r="L504" i="2"/>
  <c r="I503" i="2"/>
  <c r="F503" i="2" s="1"/>
  <c r="D506" i="2"/>
  <c r="M504" i="2"/>
  <c r="J503" i="2"/>
  <c r="G503" i="2" s="1"/>
  <c r="H503" i="3"/>
  <c r="U501" i="3"/>
  <c r="J502" i="4" s="1"/>
  <c r="O501" i="3"/>
  <c r="H502" i="4" s="1"/>
  <c r="I501" i="3"/>
  <c r="F502" i="4" s="1"/>
  <c r="F502" i="3"/>
  <c r="D503" i="3"/>
  <c r="D503" i="4"/>
  <c r="N504" i="3" l="1"/>
  <c r="H504" i="3"/>
  <c r="C506" i="2"/>
  <c r="E505" i="2"/>
  <c r="K504" i="4"/>
  <c r="N504" i="4" s="1"/>
  <c r="I504" i="4"/>
  <c r="M504" i="4" s="1"/>
  <c r="B505" i="3"/>
  <c r="T505" i="3" s="1"/>
  <c r="G504" i="4"/>
  <c r="L504" i="4" s="1"/>
  <c r="A505" i="4"/>
  <c r="E504" i="3"/>
  <c r="C504" i="3"/>
  <c r="V504" i="3"/>
  <c r="S504" i="3"/>
  <c r="Y504" i="3" s="1"/>
  <c r="Z504" i="3" s="1"/>
  <c r="AA504" i="3" s="1"/>
  <c r="J504" i="3"/>
  <c r="P504" i="3"/>
  <c r="M504" i="3"/>
  <c r="G504" i="3"/>
  <c r="C504" i="4"/>
  <c r="AB503" i="3"/>
  <c r="E504" i="4" s="1"/>
  <c r="L505" i="2"/>
  <c r="I504" i="2"/>
  <c r="F504" i="2" s="1"/>
  <c r="D507" i="2"/>
  <c r="M505" i="2"/>
  <c r="J504" i="2"/>
  <c r="G504" i="2" s="1"/>
  <c r="N505" i="2"/>
  <c r="K504" i="2"/>
  <c r="H504" i="2" s="1"/>
  <c r="F503" i="3"/>
  <c r="D504" i="3"/>
  <c r="I502" i="3"/>
  <c r="F503" i="4" s="1"/>
  <c r="U502" i="3"/>
  <c r="J503" i="4" s="1"/>
  <c r="O502" i="3"/>
  <c r="H503" i="4" s="1"/>
  <c r="D504" i="4"/>
  <c r="N505" i="3" l="1"/>
  <c r="I505" i="4"/>
  <c r="M505" i="4" s="1"/>
  <c r="G505" i="4"/>
  <c r="L505" i="4" s="1"/>
  <c r="C507" i="2"/>
  <c r="E506" i="2"/>
  <c r="K505" i="4"/>
  <c r="N505" i="4" s="1"/>
  <c r="C505" i="4"/>
  <c r="AB504" i="3"/>
  <c r="E505" i="4" s="1"/>
  <c r="B506" i="3"/>
  <c r="T506" i="3" s="1"/>
  <c r="E505" i="3"/>
  <c r="A506" i="4"/>
  <c r="C505" i="3"/>
  <c r="S505" i="3"/>
  <c r="Y505" i="3" s="1"/>
  <c r="Z505" i="3" s="1"/>
  <c r="AA505" i="3" s="1"/>
  <c r="V505" i="3"/>
  <c r="J505" i="3"/>
  <c r="P505" i="3"/>
  <c r="I506" i="4" s="1"/>
  <c r="M506" i="4" s="1"/>
  <c r="M505" i="3"/>
  <c r="G505" i="3"/>
  <c r="D508" i="2"/>
  <c r="M506" i="2"/>
  <c r="J505" i="2"/>
  <c r="G505" i="2" s="1"/>
  <c r="N506" i="2"/>
  <c r="K505" i="2"/>
  <c r="H505" i="2" s="1"/>
  <c r="L506" i="2"/>
  <c r="I505" i="2"/>
  <c r="F505" i="2" s="1"/>
  <c r="H505" i="3"/>
  <c r="D505" i="3"/>
  <c r="F504" i="3"/>
  <c r="U503" i="3"/>
  <c r="J504" i="4" s="1"/>
  <c r="I503" i="3"/>
  <c r="F504" i="4" s="1"/>
  <c r="O503" i="3"/>
  <c r="H504" i="4" s="1"/>
  <c r="D505" i="4"/>
  <c r="N506" i="3" l="1"/>
  <c r="P505" i="4"/>
  <c r="H506" i="3"/>
  <c r="C508" i="2"/>
  <c r="E507" i="2"/>
  <c r="G506" i="4"/>
  <c r="L506" i="4" s="1"/>
  <c r="K506" i="4"/>
  <c r="N506" i="4" s="1"/>
  <c r="D509" i="2"/>
  <c r="M507" i="2"/>
  <c r="J506" i="2"/>
  <c r="G506" i="2" s="1"/>
  <c r="N507" i="2"/>
  <c r="K506" i="2"/>
  <c r="H506" i="2" s="1"/>
  <c r="C506" i="4"/>
  <c r="AB505" i="3"/>
  <c r="E506" i="4" s="1"/>
  <c r="A507" i="4"/>
  <c r="E506" i="3"/>
  <c r="C506" i="3"/>
  <c r="S506" i="3"/>
  <c r="Y506" i="3" s="1"/>
  <c r="Z506" i="3" s="1"/>
  <c r="AA506" i="3" s="1"/>
  <c r="V506" i="3"/>
  <c r="J506" i="3"/>
  <c r="M506" i="3"/>
  <c r="P506" i="3"/>
  <c r="G506" i="3"/>
  <c r="L507" i="2"/>
  <c r="I506" i="2"/>
  <c r="F506" i="2" s="1"/>
  <c r="B507" i="3"/>
  <c r="H507" i="3" s="1"/>
  <c r="O504" i="3"/>
  <c r="H505" i="4" s="1"/>
  <c r="I504" i="3"/>
  <c r="F505" i="4" s="1"/>
  <c r="U504" i="3"/>
  <c r="J505" i="4" s="1"/>
  <c r="F505" i="3"/>
  <c r="D506" i="3"/>
  <c r="D506" i="4"/>
  <c r="I507" i="4" l="1"/>
  <c r="M507" i="4" s="1"/>
  <c r="K507" i="4"/>
  <c r="N507" i="4" s="1"/>
  <c r="G507" i="4"/>
  <c r="L507" i="4" s="1"/>
  <c r="C509" i="2"/>
  <c r="E508" i="2"/>
  <c r="C507" i="3"/>
  <c r="A508" i="4"/>
  <c r="E507" i="3"/>
  <c r="S507" i="3"/>
  <c r="Y507" i="3" s="1"/>
  <c r="Z507" i="3" s="1"/>
  <c r="AA507" i="3" s="1"/>
  <c r="V507" i="3"/>
  <c r="J507" i="3"/>
  <c r="P507" i="3"/>
  <c r="M507" i="3"/>
  <c r="G507" i="3"/>
  <c r="B508" i="3"/>
  <c r="H508" i="3" s="1"/>
  <c r="N508" i="2"/>
  <c r="K507" i="2"/>
  <c r="H507" i="2" s="1"/>
  <c r="N507" i="3"/>
  <c r="T507" i="3"/>
  <c r="L508" i="2"/>
  <c r="I507" i="2"/>
  <c r="F507" i="2" s="1"/>
  <c r="M508" i="2"/>
  <c r="J507" i="2"/>
  <c r="G507" i="2" s="1"/>
  <c r="C507" i="4"/>
  <c r="AB506" i="3"/>
  <c r="E507" i="4" s="1"/>
  <c r="D510" i="2"/>
  <c r="F506" i="3"/>
  <c r="D507" i="3"/>
  <c r="I505" i="3"/>
  <c r="F506" i="4" s="1"/>
  <c r="U505" i="3"/>
  <c r="J506" i="4" s="1"/>
  <c r="O505" i="3"/>
  <c r="H506" i="4" s="1"/>
  <c r="D507" i="4"/>
  <c r="I508" i="4" l="1"/>
  <c r="M508" i="4" s="1"/>
  <c r="G508" i="4"/>
  <c r="L508" i="4" s="1"/>
  <c r="T508" i="3"/>
  <c r="N508" i="3"/>
  <c r="C510" i="2"/>
  <c r="E509" i="2"/>
  <c r="K508" i="4"/>
  <c r="N508" i="4" s="1"/>
  <c r="N509" i="2"/>
  <c r="K508" i="2"/>
  <c r="H508" i="2" s="1"/>
  <c r="M509" i="2"/>
  <c r="J508" i="2"/>
  <c r="G508" i="2" s="1"/>
  <c r="A509" i="4"/>
  <c r="C508" i="3"/>
  <c r="E508" i="3"/>
  <c r="S508" i="3"/>
  <c r="Y508" i="3" s="1"/>
  <c r="Z508" i="3" s="1"/>
  <c r="AA508" i="3" s="1"/>
  <c r="V508" i="3"/>
  <c r="J508" i="3"/>
  <c r="P508" i="3"/>
  <c r="M508" i="3"/>
  <c r="G508" i="3"/>
  <c r="C508" i="4"/>
  <c r="AB507" i="3"/>
  <c r="E508" i="4" s="1"/>
  <c r="B509" i="3"/>
  <c r="N509" i="3" s="1"/>
  <c r="D511" i="2"/>
  <c r="L509" i="2"/>
  <c r="I508" i="2"/>
  <c r="F508" i="2" s="1"/>
  <c r="D508" i="3"/>
  <c r="F507" i="3"/>
  <c r="I506" i="3"/>
  <c r="F507" i="4" s="1"/>
  <c r="O506" i="3"/>
  <c r="H507" i="4" s="1"/>
  <c r="U506" i="3"/>
  <c r="J507" i="4" s="1"/>
  <c r="D508" i="4"/>
  <c r="I509" i="4" l="1"/>
  <c r="M509" i="4" s="1"/>
  <c r="C511" i="2"/>
  <c r="E510" i="2"/>
  <c r="G509" i="4"/>
  <c r="L509" i="4" s="1"/>
  <c r="K509" i="4"/>
  <c r="N509" i="4" s="1"/>
  <c r="L510" i="2"/>
  <c r="I509" i="2"/>
  <c r="F509" i="2" s="1"/>
  <c r="C509" i="4"/>
  <c r="AB508" i="3"/>
  <c r="E509" i="4" s="1"/>
  <c r="M510" i="2"/>
  <c r="J509" i="2"/>
  <c r="G509" i="2" s="1"/>
  <c r="C509" i="3"/>
  <c r="A510" i="4"/>
  <c r="E509" i="3"/>
  <c r="V509" i="3"/>
  <c r="S509" i="3"/>
  <c r="Y509" i="3" s="1"/>
  <c r="Z509" i="3" s="1"/>
  <c r="AA509" i="3" s="1"/>
  <c r="J509" i="3"/>
  <c r="P509" i="3"/>
  <c r="M509" i="3"/>
  <c r="G509" i="3"/>
  <c r="B510" i="3"/>
  <c r="H510" i="3" s="1"/>
  <c r="N510" i="2"/>
  <c r="K509" i="2"/>
  <c r="H509" i="2" s="1"/>
  <c r="D512" i="2"/>
  <c r="H509" i="3"/>
  <c r="T509" i="3"/>
  <c r="I507" i="3"/>
  <c r="F508" i="4" s="1"/>
  <c r="O507" i="3"/>
  <c r="H508" i="4" s="1"/>
  <c r="U507" i="3"/>
  <c r="J508" i="4" s="1"/>
  <c r="F508" i="3"/>
  <c r="D509" i="3"/>
  <c r="D509" i="4"/>
  <c r="C512" i="2" l="1"/>
  <c r="E511" i="2"/>
  <c r="I510" i="4"/>
  <c r="M510" i="4" s="1"/>
  <c r="G510" i="4"/>
  <c r="L510" i="4" s="1"/>
  <c r="N510" i="3"/>
  <c r="T510" i="3"/>
  <c r="K510" i="4"/>
  <c r="N510" i="4" s="1"/>
  <c r="B511" i="3"/>
  <c r="N511" i="3" s="1"/>
  <c r="C510" i="4"/>
  <c r="AB509" i="3"/>
  <c r="E510" i="4" s="1"/>
  <c r="M511" i="2"/>
  <c r="J510" i="2"/>
  <c r="G510" i="2" s="1"/>
  <c r="N511" i="2"/>
  <c r="K510" i="2"/>
  <c r="H510" i="2" s="1"/>
  <c r="D513" i="2"/>
  <c r="A511" i="4"/>
  <c r="K511" i="4" s="1"/>
  <c r="N511" i="4" s="1"/>
  <c r="E510" i="3"/>
  <c r="C510" i="3"/>
  <c r="V510" i="3"/>
  <c r="S510" i="3"/>
  <c r="Y510" i="3" s="1"/>
  <c r="Z510" i="3" s="1"/>
  <c r="AA510" i="3" s="1"/>
  <c r="J510" i="3"/>
  <c r="M510" i="3"/>
  <c r="P510" i="3"/>
  <c r="G510" i="3"/>
  <c r="L511" i="2"/>
  <c r="I510" i="2"/>
  <c r="F510" i="2" s="1"/>
  <c r="D510" i="3"/>
  <c r="F509" i="3"/>
  <c r="O508" i="3"/>
  <c r="H509" i="4" s="1"/>
  <c r="I508" i="3"/>
  <c r="F509" i="4" s="1"/>
  <c r="U508" i="3"/>
  <c r="J509" i="4" s="1"/>
  <c r="D510" i="4"/>
  <c r="T511" i="3" l="1"/>
  <c r="H511" i="3"/>
  <c r="C513" i="2"/>
  <c r="E512" i="2"/>
  <c r="G511" i="4"/>
  <c r="L511" i="4" s="1"/>
  <c r="I511" i="4"/>
  <c r="M511" i="4" s="1"/>
  <c r="L512" i="2"/>
  <c r="I511" i="2"/>
  <c r="F511" i="2" s="1"/>
  <c r="N512" i="2"/>
  <c r="K511" i="2"/>
  <c r="H511" i="2" s="1"/>
  <c r="M512" i="2"/>
  <c r="J511" i="2"/>
  <c r="G511" i="2" s="1"/>
  <c r="C511" i="4"/>
  <c r="AB510" i="3"/>
  <c r="E511" i="4" s="1"/>
  <c r="D514" i="2"/>
  <c r="A512" i="4"/>
  <c r="E511" i="3"/>
  <c r="C511" i="3"/>
  <c r="S511" i="3"/>
  <c r="Y511" i="3" s="1"/>
  <c r="Z511" i="3" s="1"/>
  <c r="AA511" i="3" s="1"/>
  <c r="V511" i="3"/>
  <c r="J511" i="3"/>
  <c r="P511" i="3"/>
  <c r="M511" i="3"/>
  <c r="G511" i="3"/>
  <c r="B512" i="3"/>
  <c r="H512" i="3" s="1"/>
  <c r="U509" i="3"/>
  <c r="J510" i="4" s="1"/>
  <c r="I509" i="3"/>
  <c r="F510" i="4" s="1"/>
  <c r="O509" i="3"/>
  <c r="H510" i="4" s="1"/>
  <c r="D511" i="3"/>
  <c r="F510" i="3"/>
  <c r="D511" i="4"/>
  <c r="G512" i="4" l="1"/>
  <c r="L512" i="4" s="1"/>
  <c r="I512" i="4"/>
  <c r="M512" i="4" s="1"/>
  <c r="C514" i="2"/>
  <c r="E513" i="2"/>
  <c r="K512" i="4"/>
  <c r="N512" i="4" s="1"/>
  <c r="T512" i="3"/>
  <c r="A513" i="4"/>
  <c r="E512" i="3"/>
  <c r="C512" i="3"/>
  <c r="S512" i="3"/>
  <c r="Y512" i="3" s="1"/>
  <c r="Z512" i="3" s="1"/>
  <c r="AA512" i="3" s="1"/>
  <c r="V512" i="3"/>
  <c r="J512" i="3"/>
  <c r="P512" i="3"/>
  <c r="M512" i="3"/>
  <c r="G512" i="3"/>
  <c r="B513" i="3"/>
  <c r="T513" i="3" s="1"/>
  <c r="N512" i="3"/>
  <c r="M513" i="2"/>
  <c r="J512" i="2"/>
  <c r="G512" i="2" s="1"/>
  <c r="C512" i="4"/>
  <c r="AB511" i="3"/>
  <c r="E512" i="4" s="1"/>
  <c r="K512" i="2"/>
  <c r="H512" i="2" s="1"/>
  <c r="N513" i="2"/>
  <c r="D515" i="2"/>
  <c r="L513" i="2"/>
  <c r="I512" i="2"/>
  <c r="F512" i="2" s="1"/>
  <c r="U510" i="3"/>
  <c r="J511" i="4" s="1"/>
  <c r="I510" i="3"/>
  <c r="F511" i="4" s="1"/>
  <c r="O510" i="3"/>
  <c r="H511" i="4" s="1"/>
  <c r="D512" i="3"/>
  <c r="F511" i="3"/>
  <c r="D512" i="4"/>
  <c r="H513" i="3" l="1"/>
  <c r="I513" i="4"/>
  <c r="M513" i="4" s="1"/>
  <c r="G513" i="4"/>
  <c r="L513" i="4" s="1"/>
  <c r="C515" i="2"/>
  <c r="E514" i="2"/>
  <c r="M514" i="2"/>
  <c r="J513" i="2"/>
  <c r="G513" i="2" s="1"/>
  <c r="N514" i="2"/>
  <c r="K513" i="2"/>
  <c r="H513" i="2" s="1"/>
  <c r="B514" i="3"/>
  <c r="H514" i="3" s="1"/>
  <c r="C513" i="3"/>
  <c r="A514" i="4"/>
  <c r="E513" i="3"/>
  <c r="V513" i="3"/>
  <c r="S513" i="3"/>
  <c r="Y513" i="3" s="1"/>
  <c r="Z513" i="3" s="1"/>
  <c r="AA513" i="3" s="1"/>
  <c r="J513" i="3"/>
  <c r="P513" i="3"/>
  <c r="M513" i="3"/>
  <c r="G513" i="3"/>
  <c r="D516" i="2"/>
  <c r="K513" i="4"/>
  <c r="N513" i="4" s="1"/>
  <c r="L514" i="2"/>
  <c r="I513" i="2"/>
  <c r="F513" i="2" s="1"/>
  <c r="C513" i="4"/>
  <c r="AB512" i="3"/>
  <c r="E513" i="4" s="1"/>
  <c r="N513" i="3"/>
  <c r="U511" i="3"/>
  <c r="J512" i="4" s="1"/>
  <c r="I511" i="3"/>
  <c r="F512" i="4" s="1"/>
  <c r="O511" i="3"/>
  <c r="H512" i="4" s="1"/>
  <c r="F512" i="3"/>
  <c r="D513" i="3"/>
  <c r="D513" i="4"/>
  <c r="T514" i="3" l="1"/>
  <c r="C516" i="2"/>
  <c r="E515" i="2"/>
  <c r="G514" i="4"/>
  <c r="L514" i="4" s="1"/>
  <c r="I514" i="4"/>
  <c r="M514" i="4" s="1"/>
  <c r="L515" i="2"/>
  <c r="I514" i="2"/>
  <c r="F514" i="2" s="1"/>
  <c r="A515" i="4"/>
  <c r="E514" i="3"/>
  <c r="C514" i="3"/>
  <c r="V514" i="3"/>
  <c r="S514" i="3"/>
  <c r="Y514" i="3" s="1"/>
  <c r="Z514" i="3" s="1"/>
  <c r="AA514" i="3" s="1"/>
  <c r="J514" i="3"/>
  <c r="P514" i="3"/>
  <c r="M514" i="3"/>
  <c r="G514" i="3"/>
  <c r="C514" i="4"/>
  <c r="AB513" i="3"/>
  <c r="E514" i="4" s="1"/>
  <c r="B515" i="3"/>
  <c r="N515" i="3" s="1"/>
  <c r="N515" i="2"/>
  <c r="K514" i="2"/>
  <c r="H514" i="2" s="1"/>
  <c r="D517" i="2"/>
  <c r="K514" i="4"/>
  <c r="N514" i="4" s="1"/>
  <c r="M515" i="2"/>
  <c r="J514" i="2"/>
  <c r="G514" i="2" s="1"/>
  <c r="N514" i="3"/>
  <c r="F513" i="3"/>
  <c r="D514" i="3"/>
  <c r="U512" i="3"/>
  <c r="J513" i="4" s="1"/>
  <c r="I512" i="3"/>
  <c r="F513" i="4" s="1"/>
  <c r="O512" i="3"/>
  <c r="H513" i="4" s="1"/>
  <c r="D514" i="4"/>
  <c r="I515" i="4" l="1"/>
  <c r="M515" i="4" s="1"/>
  <c r="G515" i="4"/>
  <c r="L515" i="4" s="1"/>
  <c r="C517" i="2"/>
  <c r="E516" i="2"/>
  <c r="T515" i="3"/>
  <c r="B516" i="3"/>
  <c r="H516" i="3" s="1"/>
  <c r="M516" i="2"/>
  <c r="J515" i="2"/>
  <c r="G515" i="2" s="1"/>
  <c r="D518" i="2"/>
  <c r="K515" i="4"/>
  <c r="N515" i="4" s="1"/>
  <c r="E515" i="3"/>
  <c r="A516" i="4"/>
  <c r="C515" i="3"/>
  <c r="S515" i="3"/>
  <c r="Y515" i="3" s="1"/>
  <c r="Z515" i="3" s="1"/>
  <c r="AA515" i="3" s="1"/>
  <c r="V515" i="3"/>
  <c r="J515" i="3"/>
  <c r="P515" i="3"/>
  <c r="M515" i="3"/>
  <c r="G515" i="3"/>
  <c r="H515" i="3"/>
  <c r="C515" i="4"/>
  <c r="AB514" i="3"/>
  <c r="E515" i="4" s="1"/>
  <c r="N516" i="2"/>
  <c r="K515" i="2"/>
  <c r="H515" i="2" s="1"/>
  <c r="L516" i="2"/>
  <c r="I515" i="2"/>
  <c r="F515" i="2" s="1"/>
  <c r="F514" i="3"/>
  <c r="D515" i="3"/>
  <c r="U513" i="3"/>
  <c r="J514" i="4" s="1"/>
  <c r="I513" i="3"/>
  <c r="F514" i="4" s="1"/>
  <c r="O513" i="3"/>
  <c r="H514" i="4" s="1"/>
  <c r="D515" i="4"/>
  <c r="N516" i="3" l="1"/>
  <c r="T516" i="3"/>
  <c r="C518" i="2"/>
  <c r="E517" i="2"/>
  <c r="I516" i="4"/>
  <c r="M516" i="4" s="1"/>
  <c r="G516" i="4"/>
  <c r="L516" i="4" s="1"/>
  <c r="D519" i="2"/>
  <c r="N517" i="2"/>
  <c r="K516" i="2"/>
  <c r="H516" i="2" s="1"/>
  <c r="M517" i="2"/>
  <c r="J516" i="2"/>
  <c r="G516" i="2" s="1"/>
  <c r="C516" i="4"/>
  <c r="AB515" i="3"/>
  <c r="E516" i="4" s="1"/>
  <c r="L517" i="2"/>
  <c r="I516" i="2"/>
  <c r="F516" i="2" s="1"/>
  <c r="K516" i="4"/>
  <c r="N516" i="4" s="1"/>
  <c r="A517" i="4"/>
  <c r="E516" i="3"/>
  <c r="C516" i="3"/>
  <c r="V516" i="3"/>
  <c r="S516" i="3"/>
  <c r="Y516" i="3" s="1"/>
  <c r="Z516" i="3" s="1"/>
  <c r="AA516" i="3" s="1"/>
  <c r="J516" i="3"/>
  <c r="P516" i="3"/>
  <c r="M516" i="3"/>
  <c r="G516" i="3"/>
  <c r="B517" i="3"/>
  <c r="F515" i="3"/>
  <c r="D516" i="3"/>
  <c r="U514" i="3"/>
  <c r="J515" i="4" s="1"/>
  <c r="I514" i="3"/>
  <c r="F515" i="4" s="1"/>
  <c r="O514" i="3"/>
  <c r="H515" i="4" s="1"/>
  <c r="D516" i="4"/>
  <c r="C519" i="2" l="1"/>
  <c r="E518" i="2"/>
  <c r="I517" i="4"/>
  <c r="M517" i="4" s="1"/>
  <c r="G517" i="4"/>
  <c r="L517" i="4" s="1"/>
  <c r="K517" i="4"/>
  <c r="N517" i="4" s="1"/>
  <c r="C517" i="3"/>
  <c r="A518" i="4"/>
  <c r="E517" i="3"/>
  <c r="S517" i="3"/>
  <c r="Y517" i="3" s="1"/>
  <c r="Z517" i="3" s="1"/>
  <c r="AA517" i="3" s="1"/>
  <c r="V517" i="3"/>
  <c r="J517" i="3"/>
  <c r="P517" i="3"/>
  <c r="M517" i="3"/>
  <c r="G517" i="3"/>
  <c r="B518" i="3"/>
  <c r="T518" i="3" s="1"/>
  <c r="T517" i="3"/>
  <c r="M518" i="2"/>
  <c r="J517" i="2"/>
  <c r="G517" i="2" s="1"/>
  <c r="H517" i="3"/>
  <c r="K517" i="2"/>
  <c r="H517" i="2" s="1"/>
  <c r="N518" i="2"/>
  <c r="L518" i="2"/>
  <c r="I517" i="2"/>
  <c r="F517" i="2" s="1"/>
  <c r="N517" i="3"/>
  <c r="C517" i="4"/>
  <c r="AB516" i="3"/>
  <c r="E517" i="4" s="1"/>
  <c r="D520" i="2"/>
  <c r="D517" i="3"/>
  <c r="F516" i="3"/>
  <c r="U515" i="3"/>
  <c r="J516" i="4" s="1"/>
  <c r="I515" i="3"/>
  <c r="F516" i="4" s="1"/>
  <c r="O515" i="3"/>
  <c r="H516" i="4" s="1"/>
  <c r="D517" i="4"/>
  <c r="I518" i="4" l="1"/>
  <c r="M518" i="4" s="1"/>
  <c r="C520" i="2"/>
  <c r="E519" i="2"/>
  <c r="N518" i="3"/>
  <c r="H518" i="3"/>
  <c r="G518" i="4"/>
  <c r="L518" i="4" s="1"/>
  <c r="C518" i="4"/>
  <c r="AB517" i="3"/>
  <c r="E518" i="4" s="1"/>
  <c r="N519" i="2"/>
  <c r="K518" i="2"/>
  <c r="H518" i="2" s="1"/>
  <c r="M519" i="2"/>
  <c r="J518" i="2"/>
  <c r="G518" i="2" s="1"/>
  <c r="L519" i="2"/>
  <c r="I518" i="2"/>
  <c r="F518" i="2" s="1"/>
  <c r="A519" i="4"/>
  <c r="E518" i="3"/>
  <c r="C518" i="3"/>
  <c r="V518" i="3"/>
  <c r="S518" i="3"/>
  <c r="J518" i="3"/>
  <c r="P518" i="3"/>
  <c r="M518" i="3"/>
  <c r="G518" i="3"/>
  <c r="D521" i="2"/>
  <c r="B519" i="3"/>
  <c r="T519" i="3" s="1"/>
  <c r="K518" i="4"/>
  <c r="N518" i="4" s="1"/>
  <c r="U516" i="3"/>
  <c r="J517" i="4" s="1"/>
  <c r="I516" i="3"/>
  <c r="F517" i="4" s="1"/>
  <c r="O516" i="3"/>
  <c r="H517" i="4" s="1"/>
  <c r="F517" i="3"/>
  <c r="D518" i="3"/>
  <c r="D518" i="4"/>
  <c r="I519" i="4" l="1"/>
  <c r="M519" i="4" s="1"/>
  <c r="G519" i="4"/>
  <c r="L519" i="4" s="1"/>
  <c r="C521" i="2"/>
  <c r="E520" i="2"/>
  <c r="Y518" i="3"/>
  <c r="Z518" i="3" s="1"/>
  <c r="AA518" i="3" s="1"/>
  <c r="D519" i="4" s="1"/>
  <c r="A520" i="4"/>
  <c r="E519" i="3"/>
  <c r="C519" i="3"/>
  <c r="S519" i="3"/>
  <c r="Y519" i="3" s="1"/>
  <c r="Z519" i="3" s="1"/>
  <c r="V519" i="3"/>
  <c r="J519" i="3"/>
  <c r="P519" i="3"/>
  <c r="I520" i="4" s="1"/>
  <c r="M520" i="4" s="1"/>
  <c r="M519" i="3"/>
  <c r="G519" i="3"/>
  <c r="M520" i="2"/>
  <c r="J519" i="2"/>
  <c r="G519" i="2" s="1"/>
  <c r="L520" i="2"/>
  <c r="I519" i="2"/>
  <c r="F519" i="2" s="1"/>
  <c r="B520" i="3"/>
  <c r="N520" i="3" s="1"/>
  <c r="D522" i="2"/>
  <c r="N519" i="3"/>
  <c r="N520" i="2"/>
  <c r="K519" i="2"/>
  <c r="H519" i="2" s="1"/>
  <c r="K519" i="4"/>
  <c r="N519" i="4" s="1"/>
  <c r="H519" i="3"/>
  <c r="C519" i="4"/>
  <c r="AB518" i="3"/>
  <c r="E519" i="4" s="1"/>
  <c r="D519" i="3"/>
  <c r="F518" i="3"/>
  <c r="U517" i="3"/>
  <c r="J518" i="4" s="1"/>
  <c r="I517" i="3"/>
  <c r="F518" i="4" s="1"/>
  <c r="O517" i="3"/>
  <c r="H518" i="4" s="1"/>
  <c r="G520" i="4" l="1"/>
  <c r="L520" i="4" s="1"/>
  <c r="C522" i="2"/>
  <c r="E521" i="2"/>
  <c r="AA519" i="3"/>
  <c r="D520" i="4" s="1"/>
  <c r="B521" i="3"/>
  <c r="T521" i="3" s="1"/>
  <c r="N521" i="2"/>
  <c r="K520" i="2"/>
  <c r="H520" i="2" s="1"/>
  <c r="L521" i="2"/>
  <c r="I520" i="2"/>
  <c r="F520" i="2" s="1"/>
  <c r="H520" i="3"/>
  <c r="T520" i="3"/>
  <c r="M521" i="2"/>
  <c r="J520" i="2"/>
  <c r="G520" i="2" s="1"/>
  <c r="K520" i="4"/>
  <c r="N520" i="4" s="1"/>
  <c r="D523" i="2"/>
  <c r="C520" i="4"/>
  <c r="AB519" i="3"/>
  <c r="E520" i="4" s="1"/>
  <c r="E520" i="3"/>
  <c r="A521" i="4"/>
  <c r="C520" i="3"/>
  <c r="V520" i="3"/>
  <c r="S520" i="3"/>
  <c r="Y520" i="3" s="1"/>
  <c r="Z520" i="3" s="1"/>
  <c r="J520" i="3"/>
  <c r="P520" i="3"/>
  <c r="M520" i="3"/>
  <c r="G520" i="3"/>
  <c r="U518" i="3"/>
  <c r="J519" i="4" s="1"/>
  <c r="I518" i="3"/>
  <c r="F519" i="4" s="1"/>
  <c r="O518" i="3"/>
  <c r="H519" i="4" s="1"/>
  <c r="D520" i="3"/>
  <c r="F519" i="3"/>
  <c r="N521" i="3" l="1"/>
  <c r="G521" i="4"/>
  <c r="L521" i="4" s="1"/>
  <c r="C523" i="2"/>
  <c r="E522" i="2"/>
  <c r="I521" i="4"/>
  <c r="M521" i="4" s="1"/>
  <c r="AA520" i="3"/>
  <c r="D521" i="4" s="1"/>
  <c r="L522" i="2"/>
  <c r="L523" i="2" s="1"/>
  <c r="L524" i="2" s="1"/>
  <c r="I521" i="2"/>
  <c r="F521" i="2" s="1"/>
  <c r="N522" i="2"/>
  <c r="N523" i="2" s="1"/>
  <c r="N524" i="2" s="1"/>
  <c r="K521" i="2"/>
  <c r="H521" i="2" s="1"/>
  <c r="D524" i="2"/>
  <c r="K521" i="4"/>
  <c r="N521" i="4" s="1"/>
  <c r="M522" i="2"/>
  <c r="M523" i="2" s="1"/>
  <c r="M524" i="2" s="1"/>
  <c r="J521" i="2"/>
  <c r="G521" i="2" s="1"/>
  <c r="C521" i="3"/>
  <c r="A522" i="4"/>
  <c r="E521" i="3"/>
  <c r="V521" i="3"/>
  <c r="S521" i="3"/>
  <c r="Y521" i="3" s="1"/>
  <c r="Z521" i="3" s="1"/>
  <c r="J521" i="3"/>
  <c r="P521" i="3"/>
  <c r="M521" i="3"/>
  <c r="G521" i="3"/>
  <c r="C521" i="4"/>
  <c r="AB520" i="3"/>
  <c r="E521" i="4" s="1"/>
  <c r="B522" i="3"/>
  <c r="H522" i="3" s="1"/>
  <c r="H521" i="3"/>
  <c r="U519" i="3"/>
  <c r="J520" i="4" s="1"/>
  <c r="I519" i="3"/>
  <c r="F520" i="4" s="1"/>
  <c r="O519" i="3"/>
  <c r="H520" i="4" s="1"/>
  <c r="F520" i="3"/>
  <c r="D521" i="3"/>
  <c r="G522" i="4" l="1"/>
  <c r="L522" i="4" s="1"/>
  <c r="AA521" i="3"/>
  <c r="C524" i="2"/>
  <c r="E524" i="2" s="1"/>
  <c r="E523" i="2"/>
  <c r="I522" i="4"/>
  <c r="M522" i="4" s="1"/>
  <c r="K522" i="4"/>
  <c r="N522" i="4" s="1"/>
  <c r="B523" i="3"/>
  <c r="T523" i="3" s="1"/>
  <c r="A523" i="4"/>
  <c r="E522" i="3"/>
  <c r="C522" i="3"/>
  <c r="V522" i="3"/>
  <c r="S522" i="3"/>
  <c r="Y522" i="3" s="1"/>
  <c r="Z522" i="3" s="1"/>
  <c r="J522" i="3"/>
  <c r="P522" i="3"/>
  <c r="M522" i="3"/>
  <c r="G522" i="3"/>
  <c r="N522" i="3"/>
  <c r="AB521" i="3"/>
  <c r="E522" i="4" s="1"/>
  <c r="C522" i="4"/>
  <c r="T522" i="3"/>
  <c r="F521" i="3"/>
  <c r="D522" i="3"/>
  <c r="I520" i="3"/>
  <c r="F521" i="4" s="1"/>
  <c r="U520" i="3"/>
  <c r="J521" i="4" s="1"/>
  <c r="O520" i="3"/>
  <c r="H521" i="4" s="1"/>
  <c r="D522" i="4"/>
  <c r="H523" i="3" l="1"/>
  <c r="N523" i="3"/>
  <c r="AA522" i="3"/>
  <c r="I523" i="4"/>
  <c r="M523" i="4" s="1"/>
  <c r="G523" i="4"/>
  <c r="L523" i="4" s="1"/>
  <c r="K523" i="4"/>
  <c r="N523" i="4" s="1"/>
  <c r="AB522" i="3"/>
  <c r="E523" i="4" s="1"/>
  <c r="C523" i="4"/>
  <c r="A524" i="4"/>
  <c r="C523" i="3"/>
  <c r="E523" i="3"/>
  <c r="V523" i="3"/>
  <c r="S523" i="3"/>
  <c r="Y523" i="3" s="1"/>
  <c r="Z523" i="3" s="1"/>
  <c r="AA523" i="3" s="1"/>
  <c r="J523" i="3"/>
  <c r="P523" i="3"/>
  <c r="M523" i="3"/>
  <c r="G523" i="3"/>
  <c r="B524" i="3"/>
  <c r="F522" i="3"/>
  <c r="D523" i="3"/>
  <c r="I521" i="3"/>
  <c r="F522" i="4" s="1"/>
  <c r="U521" i="3"/>
  <c r="J522" i="4" s="1"/>
  <c r="O521" i="3"/>
  <c r="H522" i="4" s="1"/>
  <c r="D523" i="4"/>
  <c r="I524" i="4" l="1"/>
  <c r="M524" i="4" s="1"/>
  <c r="G524" i="4"/>
  <c r="L524" i="4" s="1"/>
  <c r="K524" i="4"/>
  <c r="N524" i="4" s="1"/>
  <c r="B525" i="3"/>
  <c r="B526" i="3"/>
  <c r="E524" i="3"/>
  <c r="A525" i="4"/>
  <c r="C524" i="3"/>
  <c r="S524" i="3"/>
  <c r="Y524" i="3" s="1"/>
  <c r="Z524" i="3" s="1"/>
  <c r="AA524" i="3" s="1"/>
  <c r="M524" i="3"/>
  <c r="C525" i="4" s="1"/>
  <c r="G524" i="3"/>
  <c r="AB523" i="3"/>
  <c r="E524" i="4" s="1"/>
  <c r="C524" i="4"/>
  <c r="F523" i="3"/>
  <c r="D524" i="3"/>
  <c r="U522" i="3"/>
  <c r="J523" i="4" s="1"/>
  <c r="I522" i="3"/>
  <c r="F523" i="4" s="1"/>
  <c r="O522" i="3"/>
  <c r="H523" i="4" s="1"/>
  <c r="D524" i="4"/>
  <c r="A527" i="4" l="1"/>
  <c r="C527" i="3"/>
  <c r="C526" i="3"/>
  <c r="E526" i="3"/>
  <c r="S526" i="3"/>
  <c r="M526" i="3"/>
  <c r="C527" i="4" s="1"/>
  <c r="G526" i="3"/>
  <c r="A526" i="4"/>
  <c r="C525" i="3"/>
  <c r="E525" i="3"/>
  <c r="S525" i="3"/>
  <c r="Y525" i="3" s="1"/>
  <c r="Z525" i="3" s="1"/>
  <c r="AA525" i="3" s="1"/>
  <c r="M525" i="3"/>
  <c r="C526" i="4" s="1"/>
  <c r="G525" i="3"/>
  <c r="F524" i="3"/>
  <c r="D525" i="3"/>
  <c r="I523" i="3"/>
  <c r="F524" i="4" s="1"/>
  <c r="U523" i="3"/>
  <c r="J524" i="4" s="1"/>
  <c r="O523" i="3"/>
  <c r="H524" i="4" s="1"/>
  <c r="D525" i="4"/>
  <c r="K524" i="3"/>
  <c r="L524" i="3" s="1"/>
  <c r="L525" i="3" s="1"/>
  <c r="L526" i="3" s="1"/>
  <c r="L527" i="3" s="1"/>
  <c r="L528" i="3" s="1"/>
  <c r="O522" i="2"/>
  <c r="J524" i="3" s="1"/>
  <c r="Q524" i="3"/>
  <c r="R524" i="3" s="1"/>
  <c r="P522" i="2"/>
  <c r="P524" i="3" s="1"/>
  <c r="Y526" i="3" l="1"/>
  <c r="Z526" i="3" s="1"/>
  <c r="AA526" i="3" s="1"/>
  <c r="D526" i="3"/>
  <c r="F525" i="3"/>
  <c r="I525" i="4"/>
  <c r="M525" i="4" s="1"/>
  <c r="G525" i="4"/>
  <c r="L525" i="4" s="1"/>
  <c r="J522" i="2"/>
  <c r="G522" i="2" s="1"/>
  <c r="N524" i="3" s="1"/>
  <c r="O524" i="3" s="1"/>
  <c r="P523" i="2"/>
  <c r="I522" i="2"/>
  <c r="F522" i="2" s="1"/>
  <c r="H524" i="3" s="1"/>
  <c r="I524" i="3" s="1"/>
  <c r="O523" i="2"/>
  <c r="D526" i="4"/>
  <c r="AB524" i="3"/>
  <c r="R525" i="3"/>
  <c r="F526" i="3" l="1"/>
  <c r="D527" i="3"/>
  <c r="F525" i="4"/>
  <c r="H525" i="4"/>
  <c r="E525" i="4"/>
  <c r="D527" i="4"/>
  <c r="P524" i="2"/>
  <c r="S527" i="2" s="1"/>
  <c r="Q529" i="3" s="1"/>
  <c r="J523" i="2"/>
  <c r="G523" i="2" s="1"/>
  <c r="N525" i="3" s="1"/>
  <c r="O525" i="3" s="1"/>
  <c r="P525" i="3"/>
  <c r="O524" i="2"/>
  <c r="R527" i="2" s="1"/>
  <c r="K529" i="3" s="1"/>
  <c r="L529" i="3" s="1"/>
  <c r="L530" i="3" s="1"/>
  <c r="L531" i="3" s="1"/>
  <c r="L532" i="3" s="1"/>
  <c r="L533" i="3" s="1"/>
  <c r="I523" i="2"/>
  <c r="F523" i="2" s="1"/>
  <c r="H525" i="3" s="1"/>
  <c r="I525" i="3" s="1"/>
  <c r="J525" i="3"/>
  <c r="AB525" i="3"/>
  <c r="R526" i="3"/>
  <c r="Q522" i="2"/>
  <c r="Q523" i="2" s="1"/>
  <c r="D528" i="3" l="1"/>
  <c r="F527" i="3"/>
  <c r="AB526" i="3"/>
  <c r="E527" i="4" s="1"/>
  <c r="R527" i="3"/>
  <c r="I526" i="4"/>
  <c r="M526" i="4" s="1"/>
  <c r="H526" i="4"/>
  <c r="E526" i="4"/>
  <c r="G526" i="4"/>
  <c r="L526" i="4" s="1"/>
  <c r="F526" i="4"/>
  <c r="V524" i="3"/>
  <c r="K522" i="2"/>
  <c r="H522" i="2" s="1"/>
  <c r="T524" i="3" s="1"/>
  <c r="U524" i="3" s="1"/>
  <c r="Q524" i="2"/>
  <c r="T527" i="2" s="1"/>
  <c r="K523" i="2"/>
  <c r="H523" i="2" s="1"/>
  <c r="T525" i="3" s="1"/>
  <c r="U525" i="3" s="1"/>
  <c r="V525" i="3"/>
  <c r="J524" i="2"/>
  <c r="G524" i="2" s="1"/>
  <c r="P526" i="3"/>
  <c r="I524" i="2"/>
  <c r="F524" i="2" s="1"/>
  <c r="H526" i="3" s="1"/>
  <c r="I526" i="3" s="1"/>
  <c r="J526" i="3"/>
  <c r="N526" i="3" l="1"/>
  <c r="O526" i="3" s="1"/>
  <c r="N528" i="3"/>
  <c r="P530" i="3"/>
  <c r="P533" i="3"/>
  <c r="S530" i="3"/>
  <c r="G533" i="3"/>
  <c r="S527" i="3"/>
  <c r="Y527" i="3" s="1"/>
  <c r="Z527" i="3" s="1"/>
  <c r="AA527" i="3" s="1"/>
  <c r="N530" i="3"/>
  <c r="T527" i="3"/>
  <c r="U527" i="3" s="1"/>
  <c r="T529" i="3"/>
  <c r="J528" i="3"/>
  <c r="G531" i="3"/>
  <c r="N533" i="3"/>
  <c r="G527" i="3"/>
  <c r="S529" i="3"/>
  <c r="P532" i="3"/>
  <c r="V532" i="3"/>
  <c r="S528" i="3"/>
  <c r="J529" i="3"/>
  <c r="M527" i="3"/>
  <c r="AB527" i="3" s="1"/>
  <c r="H531" i="3"/>
  <c r="S533" i="3"/>
  <c r="H528" i="3"/>
  <c r="H529" i="3"/>
  <c r="J533" i="3"/>
  <c r="S532" i="3"/>
  <c r="M528" i="3"/>
  <c r="G528" i="3"/>
  <c r="T532" i="3"/>
  <c r="G529" i="3"/>
  <c r="M532" i="3"/>
  <c r="N527" i="3"/>
  <c r="O527" i="3" s="1"/>
  <c r="P529" i="3"/>
  <c r="G532" i="3"/>
  <c r="J527" i="3"/>
  <c r="N532" i="3"/>
  <c r="M533" i="3"/>
  <c r="H527" i="3"/>
  <c r="I527" i="3" s="1"/>
  <c r="M529" i="3"/>
  <c r="N531" i="3"/>
  <c r="S531" i="3"/>
  <c r="M531" i="3"/>
  <c r="V527" i="3"/>
  <c r="J532" i="3"/>
  <c r="V533" i="3"/>
  <c r="T528" i="3"/>
  <c r="N529" i="3"/>
  <c r="V528" i="3"/>
  <c r="H532" i="3"/>
  <c r="T530" i="3"/>
  <c r="H533" i="3"/>
  <c r="J531" i="3"/>
  <c r="P528" i="3"/>
  <c r="T533" i="3"/>
  <c r="P531" i="3"/>
  <c r="V531" i="3"/>
  <c r="H530" i="3"/>
  <c r="V529" i="3"/>
  <c r="T531" i="3"/>
  <c r="V530" i="3"/>
  <c r="J530" i="3"/>
  <c r="M530" i="3"/>
  <c r="P527" i="3"/>
  <c r="G530" i="3"/>
  <c r="D529" i="3"/>
  <c r="F528" i="3"/>
  <c r="R528" i="3"/>
  <c r="G527" i="4"/>
  <c r="L527" i="4" s="1"/>
  <c r="F527" i="4"/>
  <c r="I527" i="4"/>
  <c r="M527" i="4" s="1"/>
  <c r="H527" i="4"/>
  <c r="K526" i="4"/>
  <c r="N526" i="4" s="1"/>
  <c r="J526" i="4"/>
  <c r="J525" i="4"/>
  <c r="K525" i="4"/>
  <c r="N525" i="4" s="1"/>
  <c r="K524" i="2"/>
  <c r="H524" i="2" s="1"/>
  <c r="T526" i="3" s="1"/>
  <c r="U526" i="3" s="1"/>
  <c r="V526" i="3"/>
  <c r="Y531" i="3" l="1"/>
  <c r="Z531" i="3" s="1"/>
  <c r="Y530" i="3"/>
  <c r="Z530" i="3" s="1"/>
  <c r="Y529" i="3"/>
  <c r="Z529" i="3" s="1"/>
  <c r="Y533" i="3"/>
  <c r="Z533" i="3" s="1"/>
  <c r="Y532" i="3"/>
  <c r="Z532" i="3" s="1"/>
  <c r="Y528" i="3"/>
  <c r="Z528" i="3" s="1"/>
  <c r="AA528" i="3" s="1"/>
  <c r="O528" i="3"/>
  <c r="I528" i="3"/>
  <c r="U528" i="3"/>
  <c r="F529" i="3"/>
  <c r="D530" i="3"/>
  <c r="R529" i="3"/>
  <c r="AB528" i="3"/>
  <c r="K527" i="4"/>
  <c r="N527" i="4" s="1"/>
  <c r="J527" i="4"/>
  <c r="AA529" i="3" l="1"/>
  <c r="AA530" i="3" s="1"/>
  <c r="AA531" i="3" s="1"/>
  <c r="AA532" i="3" s="1"/>
  <c r="AA533" i="3" s="1"/>
  <c r="F530" i="3"/>
  <c r="D531" i="3"/>
  <c r="I529" i="3"/>
  <c r="U529" i="3"/>
  <c r="O529" i="3"/>
  <c r="AB529" i="3"/>
  <c r="R530" i="3"/>
  <c r="F531" i="3" l="1"/>
  <c r="D532" i="3"/>
  <c r="O530" i="3"/>
  <c r="I530" i="3"/>
  <c r="U530" i="3"/>
  <c r="R531" i="3"/>
  <c r="AB530" i="3"/>
  <c r="F532" i="3" l="1"/>
  <c r="D533" i="3"/>
  <c r="F533" i="3" s="1"/>
  <c r="O531" i="3"/>
  <c r="I531" i="3"/>
  <c r="U531" i="3"/>
  <c r="AB531" i="3"/>
  <c r="R532" i="3"/>
  <c r="I533" i="3" l="1"/>
  <c r="U533" i="3"/>
  <c r="O533" i="3"/>
  <c r="O532" i="3"/>
  <c r="I532" i="3"/>
  <c r="U532" i="3"/>
  <c r="R533" i="3"/>
  <c r="AB533" i="3" s="1"/>
  <c r="AB53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2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B4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4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<sst xmlns="http://schemas.openxmlformats.org/spreadsheetml/2006/main" count="647" uniqueCount="586">
  <si>
    <t>GT 1</t>
  </si>
  <si>
    <t>GT 2</t>
  </si>
  <si>
    <t>GT 3</t>
  </si>
  <si>
    <t>GT 4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</si>
  <si>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</si>
  <si>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</si>
  <si>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</si>
  <si>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</si>
  <si>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</si>
  <si>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</si>
  <si>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</si>
  <si>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</si>
  <si>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Đội quan trắc</t>
  </si>
  <si>
    <t>Chiều dày lớp đắp (m)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</si>
  <si>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</si>
  <si>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</si>
  <si>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</si>
  <si>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</si>
  <si>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</si>
  <si>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</si>
  <si>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</si>
  <si>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
 Stt</t>
  </si>
  <si>
    <t>Ngày đặt bàn:</t>
  </si>
  <si>
    <t>Km115+040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</si>
  <si>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</si>
  <si>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</si>
  <si>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</si>
  <si>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</si>
  <si>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</si>
  <si>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</si>
  <si>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</si>
  <si>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</si>
  <si>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</si>
  <si>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</si>
  <si>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</si>
  <si>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</si>
  <si>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</si>
  <si>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</si>
  <si>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08/12/015</t>
  </si>
  <si>
    <t>26/11/015</t>
  </si>
  <si>
    <t>17/11/015</t>
  </si>
  <si>
    <t>02/11/015</t>
  </si>
  <si>
    <t>Độ lún tích lũy (mm)</t>
  </si>
  <si>
    <t>Độ lún (mm)</t>
  </si>
  <si>
    <t>Cao độ bàn đo lún (mm)</t>
  </si>
  <si>
    <t>Cao độ quan trắc (mm)</t>
  </si>
  <si>
    <t>Số đọc mia</t>
  </si>
  <si>
    <t>Cao độ đắp (mm)</t>
  </si>
  <si>
    <t>Chiều dày nền đắp (m)</t>
  </si>
  <si>
    <t>Chiều cao nền đắp (m)</t>
  </si>
  <si>
    <t>Tim</t>
  </si>
  <si>
    <t>Trái</t>
  </si>
  <si>
    <t>Cao độ đường ngắm</t>
  </si>
  <si>
    <t>Số đọc mia của mốc</t>
  </si>
  <si>
    <t xml:space="preserve">Cao độ mốc </t>
  </si>
  <si>
    <t>Ngày cộng dồn</t>
  </si>
  <si>
    <t>Ngày</t>
  </si>
  <si>
    <t>Cao độ bàn đo lún</t>
  </si>
  <si>
    <t>Cao độ quan trắc</t>
  </si>
  <si>
    <t>Ghi chú</t>
  </si>
  <si>
    <t>Độ lún (phải) (mm)</t>
  </si>
  <si>
    <t>Độ lún (giữa) (mm)</t>
  </si>
  <si>
    <t>Độ lún (trái) (mm)</t>
  </si>
  <si>
    <t>Giữa</t>
  </si>
  <si>
    <t>chiều dày đắp(m)</t>
  </si>
  <si>
    <t>Cao độ đắp(m)</t>
  </si>
  <si>
    <t>Số ngày</t>
  </si>
  <si>
    <t>Ngày đo</t>
  </si>
  <si>
    <t>K.Thúc GT</t>
  </si>
  <si>
    <t>GT GD2 LỚP 4</t>
  </si>
  <si>
    <t>GT GD2 LỚP 3</t>
  </si>
  <si>
    <t>GT GD2 LỚP 2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</si>
  <si>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</si>
  <si>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</si>
  <si>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</si>
  <si>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</si>
  <si>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</si>
  <si>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</si>
  <si>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</si>
  <si>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</si>
  <si>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</si>
  <si>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</si>
  <si>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</si>
  <si>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</si>
  <si>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</si>
  <si>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</si>
  <si>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</si>
  <si>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</si>
  <si>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</si>
  <si>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</si>
  <si>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</si>
  <si>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</si>
  <si>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</si>
  <si>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</si>
  <si>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</si>
  <si>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</si>
  <si>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</si>
  <si>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</si>
  <si>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</si>
  <si>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</si>
  <si>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</si>
  <si>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</si>
  <si>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</si>
  <si>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</si>
  <si>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</si>
  <si>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</si>
  <si>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</si>
  <si>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</si>
  <si>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</si>
  <si>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</si>
  <si>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</si>
  <si>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</si>
  <si>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</si>
  <si>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</si>
  <si>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</si>
  <si>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</si>
  <si>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</si>
  <si>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</si>
  <si>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</si>
  <si>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</si>
  <si>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</si>
  <si>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</si>
  <si>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</si>
  <si>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</si>
  <si>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</si>
  <si>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</si>
  <si>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</si>
  <si>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</si>
  <si>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</si>
  <si>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</si>
  <si>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</si>
  <si>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</si>
  <si>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</si>
  <si>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</si>
  <si>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</si>
  <si>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</si>
  <si>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</si>
  <si>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</si>
  <si>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</si>
  <si>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</si>
  <si>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</si>
  <si>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</si>
  <si>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</si>
  <si>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</si>
  <si>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</si>
  <si>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</si>
  <si>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</si>
  <si>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</si>
  <si>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</si>
  <si>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</si>
  <si>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</si>
  <si>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</si>
  <si>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</si>
  <si>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</si>
  <si>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</si>
  <si>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</si>
  <si>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</si>
  <si>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</si>
  <si>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</si>
  <si>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</si>
  <si>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</si>
  <si>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</si>
  <si>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</si>
  <si>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</si>
  <si>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</si>
  <si>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</si>
  <si>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</si>
  <si>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</si>
  <si>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</si>
  <si>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</si>
  <si>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</si>
  <si>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</si>
  <si>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</si>
  <si>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</si>
  <si>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</si>
  <si>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</si>
  <si>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</si>
  <si>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</si>
  <si>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</si>
  <si>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</si>
  <si>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</si>
  <si>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</si>
  <si>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</si>
  <si>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</si>
  <si>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</si>
  <si>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</si>
  <si>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</si>
  <si>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</si>
  <si>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</si>
  <si>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</si>
  <si>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</si>
  <si>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</si>
  <si>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</si>
  <si>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</si>
  <si>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</si>
  <si>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</si>
  <si>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</si>
  <si>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</si>
  <si>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</si>
  <si>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</si>
  <si>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</si>
  <si>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</si>
  <si>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</si>
  <si>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</si>
  <si>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</si>
  <si>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</si>
  <si>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</si>
  <si>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</si>
  <si>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</si>
  <si>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</si>
  <si>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</si>
  <si>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</si>
  <si>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</si>
  <si>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</si>
  <si>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</si>
  <si>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</si>
  <si>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</si>
  <si>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</si>
  <si>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</si>
  <si>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</si>
  <si>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</si>
  <si>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</si>
  <si>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</si>
  <si>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</si>
  <si>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</si>
  <si>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</si>
  <si>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</si>
  <si>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</si>
  <si>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</si>
  <si>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</si>
  <si>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</si>
  <si>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</si>
  <si>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</si>
  <si>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</si>
  <si>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</si>
  <si>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</si>
  <si>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</si>
  <si>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</si>
  <si>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</si>
  <si>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</si>
  <si>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</si>
  <si>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</si>
  <si>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</si>
  <si>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</si>
  <si>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</si>
  <si>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</si>
  <si>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</si>
  <si>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</si>
  <si>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</si>
  <si>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</si>
  <si>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</si>
  <si>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</si>
  <si>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</si>
  <si>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</si>
  <si>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</si>
  <si>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</si>
  <si>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</si>
  <si>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</si>
  <si>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</si>
  <si>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</si>
  <si>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</si>
  <si>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</si>
  <si>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</si>
  <si>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</si>
  <si>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</si>
  <si>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</si>
  <si>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</si>
  <si>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</si>
  <si>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</si>
  <si>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</si>
  <si>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</si>
  <si>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</si>
  <si>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</si>
  <si>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</si>
  <si>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</si>
  <si>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</si>
  <si>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</si>
  <si>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</si>
  <si>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</si>
  <si>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</si>
  <si>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</si>
  <si>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</si>
  <si>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</si>
  <si>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</si>
  <si>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</si>
  <si>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</si>
  <si>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</si>
  <si>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</si>
  <si>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</si>
  <si>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</si>
  <si>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</si>
  <si>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</si>
  <si>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</si>
  <si>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</si>
  <si>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</si>
  <si>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</si>
  <si>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</si>
  <si>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</si>
  <si>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</si>
  <si>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</si>
  <si>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</si>
  <si>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</si>
  <si>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</si>
  <si>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</si>
  <si>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</si>
  <si>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</si>
  <si>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</si>
  <si>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</si>
  <si>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</si>
  <si>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</si>
  <si>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</si>
  <si>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</si>
  <si>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</si>
  <si>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</si>
  <si>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</si>
  <si>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</si>
  <si>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</si>
  <si>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</si>
  <si>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</si>
  <si>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</si>
  <si>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</si>
  <si>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</si>
  <si>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</si>
  <si>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</si>
  <si>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</si>
  <si>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</si>
  <si>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</si>
  <si>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</si>
  <si>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</si>
  <si>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</si>
  <si>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</si>
  <si>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</si>
  <si>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</si>
  <si>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</si>
  <si>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</si>
  <si>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</si>
  <si>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</si>
  <si>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</si>
  <si>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</si>
  <si>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</si>
  <si>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</si>
  <si>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</si>
  <si>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</si>
  <si>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</si>
  <si>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</si>
  <si>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</si>
  <si>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</si>
  <si>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</si>
  <si>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</si>
  <si>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</si>
  <si>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</si>
  <si>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</si>
  <si>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</si>
  <si>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</si>
  <si>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</si>
  <si>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</si>
  <si>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</si>
  <si>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</si>
  <si>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</si>
  <si>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</si>
  <si>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</si>
  <si>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</si>
  <si>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</si>
  <si>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</si>
  <si>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</si>
  <si>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</si>
  <si>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</si>
  <si>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</si>
  <si>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</si>
  <si>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</si>
  <si>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</si>
  <si>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</si>
  <si>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</si>
  <si>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</si>
  <si>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</si>
  <si>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</si>
  <si>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</si>
  <si>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</si>
  <si>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</si>
  <si>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</si>
  <si>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</si>
  <si>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</si>
  <si>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</si>
  <si>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</si>
  <si>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</si>
  <si>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</si>
  <si>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</si>
  <si>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</si>
  <si>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</si>
  <si>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</si>
  <si>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</si>
  <si>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</si>
  <si>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</si>
  <si>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</si>
  <si>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</si>
  <si>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</si>
  <si>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</si>
  <si>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</si>
  <si>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</si>
  <si>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</si>
  <si>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</si>
  <si>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</si>
  <si>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</si>
  <si>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</si>
  <si>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</si>
  <si>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</si>
  <si>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</si>
  <si>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</si>
  <si>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</si>
  <si>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</si>
  <si>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</si>
  <si>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</si>
  <si>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</si>
  <si>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</si>
  <si>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</si>
  <si>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</si>
  <si>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</si>
  <si>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</si>
  <si>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</si>
  <si>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</si>
  <si>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</si>
  <si>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</si>
  <si>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</si>
  <si>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</si>
  <si>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</si>
  <si>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</si>
  <si>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</si>
  <si>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</si>
  <si>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</si>
  <si>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</si>
  <si>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</si>
  <si>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</si>
  <si>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</si>
  <si>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</si>
  <si>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</si>
  <si>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</si>
  <si>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</si>
  <si>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</si>
  <si>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</si>
  <si>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</si>
  <si>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</si>
  <si>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</si>
  <si>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</si>
  <si>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</si>
  <si>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</si>
  <si>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</si>
  <si>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</si>
  <si>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</si>
  <si>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</si>
  <si>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</si>
  <si>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</si>
  <si>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</si>
  <si>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</si>
  <si>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</si>
  <si>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</si>
  <si>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</si>
  <si>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</si>
  <si>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</si>
  <si>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</si>
  <si>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</si>
  <si>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</si>
  <si>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</si>
  <si>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</si>
  <si>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</si>
  <si>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</si>
  <si>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</si>
  <si>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</si>
  <si>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</si>
  <si>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</si>
  <si>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</si>
  <si>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</si>
  <si>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</si>
  <si>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</si>
  <si>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</si>
  <si>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</si>
  <si>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</si>
  <si>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</si>
  <si>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</si>
  <si>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</si>
  <si>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</si>
  <si>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</si>
  <si>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</si>
  <si>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</si>
  <si>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</si>
  <si>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</si>
  <si>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</si>
  <si>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</si>
  <si>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</si>
  <si>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</si>
  <si>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</si>
  <si>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</si>
  <si>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</si>
  <si>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</si>
  <si>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</si>
  <si>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</si>
  <si>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</si>
  <si>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</si>
  <si>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</si>
  <si>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</si>
  <si>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</si>
  <si>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</si>
  <si>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</si>
  <si>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</si>
  <si>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</si>
  <si>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</si>
  <si>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</si>
  <si>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</si>
  <si>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</si>
  <si>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</si>
  <si>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</si>
  <si>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</si>
  <si>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</si>
  <si>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</si>
  <si>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</si>
  <si>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</si>
  <si>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</si>
  <si>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</si>
  <si>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</si>
  <si>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</si>
  <si>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</si>
  <si>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</si>
  <si>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</si>
  <si>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</si>
  <si>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</si>
  <si>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</si>
  <si>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</si>
  <si>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</si>
  <si>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</si>
  <si>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</si>
  <si>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</si>
  <si>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</si>
  <si>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</si>
  <si>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</si>
  <si>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</si>
  <si>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</si>
  <si>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</si>
  <si>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</si>
  <si>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</si>
  <si>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</si>
  <si>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</si>
  <si>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</si>
  <si>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</si>
  <si>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</si>
  <si>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</si>
  <si>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</si>
  <si>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</si>
  <si>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</si>
  <si>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</si>
  <si>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</si>
  <si>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</si>
  <si>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</si>
  <si>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</si>
  <si>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</si>
  <si>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</si>
  <si>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</si>
  <si>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</si>
  <si>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</si>
  <si>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</si>
  <si>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</si>
  <si>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</si>
  <si>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</si>
  <si>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</si>
  <si>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</si>
  <si>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</si>
  <si>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17/04/2025</t>
  </si>
  <si>
    <t>21/04/2025</t>
  </si>
  <si>
    <t>24/04/2025</t>
  </si>
  <si>
    <t>28/04/2025</t>
  </si>
  <si>
    <t>01/05/2025</t>
  </si>
  <si>
    <t>05/05/2025</t>
  </si>
  <si>
    <t>08/05/2025</t>
  </si>
  <si>
    <t>12/05/2025</t>
  </si>
  <si>
    <t>19/05/2025</t>
  </si>
  <si>
    <t>26/05/2025</t>
  </si>
  <si>
    <t>02/06/2025</t>
  </si>
  <si>
    <t>09/06/2025</t>
  </si>
  <si>
    <t>16/06/2025</t>
  </si>
  <si>
    <t>23/06/2025</t>
  </si>
  <si>
    <t>30/06/2025</t>
  </si>
  <si>
    <t>07/07/2025</t>
  </si>
  <si>
    <t>14/07/2025</t>
  </si>
  <si>
    <t>21/07/2025</t>
  </si>
  <si>
    <t>28/07/2025</t>
  </si>
  <si>
    <t>04/08/2025</t>
  </si>
  <si>
    <t>11/08/2025</t>
  </si>
  <si>
    <t>18/08/2025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</si>
</sst>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  <numFmt numFmtId="167" formatCode="#,##0.0"/>
    <numFmt numFmtId="168" formatCode="0.000"/>
    <numFmt numFmtId="169" formatCode="&quot;&quot;0000"/>
    <numFmt numFmtId="170" formatCode="0;[Red]0"/>
    <numFmt numFmtId="171" formatCode="0_ ;\-0\ "/>
    <numFmt numFmtId="172" formatCode="0.0"/>
    <numFmt numFmtId="173" formatCode="0_ "/>
    <numFmt numFmtId="174" formatCode="0_);[Red]\(0\)"/>
    <numFmt numFmtId="175" formatCode="[$-409]d/mmm;@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11"/>
      <color rgb="FFFF0000"/>
      <name val="Times New Roman"/>
      <family val="1"/>
    </font>
    <font>
      <sz val="11"/>
      <color rgb="FFED0000"/>
      <name val="Times New Roman"/>
      <family val="1"/>
    </font>
    <font>
      <sz val="9"/>
      <name val="Times New Roman"/>
      <family val="1"/>
    </font>
    <font>
      <sz val="9"/>
      <color rgb="FFFF0000"/>
      <name val="Times New Roman"/>
      <family val="1"/>
    </font>
    <font>
      <sz val="9"/>
      <color rgb="FFED0000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2"/>
    </font>
    <font>
      <sz val="8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2"/>
      <name val="宋体"/>
      <charset val="134"/>
    </font>
    <font>
      <sz val="13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/>
    <xf numFmtId="0" fontId="5" fillId="0" borderId="0"/>
    <xf numFmtId="0" fontId="12" fillId="0" borderId="0"/>
    <xf numFmtId="43" fontId="21" fillId="0" borderId="0" applyFont="0" applyFill="0" applyBorder="0" applyAlignment="0" applyProtection="0"/>
    <xf numFmtId="0" fontId="1" fillId="0" borderId="0"/>
    <xf numFmtId="0" fontId="25" fillId="0" borderId="0"/>
    <xf numFmtId="0" fontId="25" fillId="0" borderId="0">
      <alignment vertical="center"/>
    </xf>
  </cellStyleXfs>
  <cellXfs count="265">
    <xf numFmtId="0" fontId="0" fillId="0" borderId="0" xfId="0"/>
    <xf numFmtId="3" fontId="2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/>
    </xf>
    <xf numFmtId="3" fontId="2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/>
    </xf>
    <xf numFmtId="3" fontId="4" fillId="0" borderId="0" xfId="1" applyNumberFormat="1" applyFont="1" applyAlignment="1">
      <alignment horizontal="center" vertical="center" wrapText="1"/>
    </xf>
    <xf numFmtId="3" fontId="2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3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 vertical="center" wrapText="1"/>
    </xf>
    <xf numFmtId="3" fontId="2" fillId="0" borderId="1" xfId="1" applyNumberFormat="1" applyFont="1" applyBorder="1" applyAlignment="1">
      <alignment horizontal="center" vertical="center"/>
    </xf>
    <xf numFmtId="3" fontId="6" fillId="0" borderId="1" xfId="1" applyNumberFormat="1" applyFont="1" applyBorder="1" applyAlignment="1">
      <alignment horizontal="center"/>
    </xf>
    <xf numFmtId="4" fontId="4" fillId="0" borderId="1" xfId="1" applyNumberFormat="1" applyFont="1" applyBorder="1" applyAlignment="1">
      <alignment horizontal="center"/>
    </xf>
    <xf numFmtId="3" fontId="2" fillId="0" borderId="2" xfId="1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/>
    </xf>
    <xf numFmtId="4" fontId="7" fillId="0" borderId="1" xfId="1" applyNumberFormat="1" applyFont="1" applyBorder="1" applyAlignment="1">
      <alignment horizontal="center"/>
    </xf>
    <xf numFmtId="164" fontId="8" fillId="0" borderId="1" xfId="1" applyNumberFormat="1" applyFont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165" fontId="2" fillId="0" borderId="0" xfId="1" applyNumberFormat="1" applyFont="1" applyAlignment="1">
      <alignment horizontal="center"/>
    </xf>
    <xf numFmtId="3" fontId="8" fillId="0" borderId="1" xfId="1" applyNumberFormat="1" applyFont="1" applyBorder="1" applyAlignment="1">
      <alignment horizontal="center"/>
    </xf>
    <xf numFmtId="3" fontId="9" fillId="0" borderId="2" xfId="1" applyNumberFormat="1" applyFont="1" applyBorder="1" applyAlignment="1">
      <alignment horizontal="center" vertical="center" wrapText="1"/>
    </xf>
    <xf numFmtId="4" fontId="2" fillId="0" borderId="1" xfId="1" applyNumberFormat="1" applyFont="1" applyBorder="1" applyAlignment="1">
      <alignment horizontal="center"/>
    </xf>
    <xf numFmtId="3" fontId="7" fillId="0" borderId="0" xfId="1" applyNumberFormat="1" applyFont="1" applyAlignment="1">
      <alignment horizontal="center"/>
    </xf>
    <xf numFmtId="166" fontId="7" fillId="0" borderId="0" xfId="1" applyNumberFormat="1" applyFont="1" applyAlignment="1">
      <alignment horizontal="center"/>
    </xf>
    <xf numFmtId="3" fontId="10" fillId="0" borderId="2" xfId="1" applyNumberFormat="1" applyFont="1" applyBorder="1" applyAlignment="1">
      <alignment horizontal="center" vertical="center" wrapText="1"/>
    </xf>
    <xf numFmtId="3" fontId="7" fillId="0" borderId="1" xfId="1" applyNumberFormat="1" applyFont="1" applyBorder="1" applyAlignment="1">
      <alignment horizontal="center"/>
    </xf>
    <xf numFmtId="3" fontId="7" fillId="0" borderId="1" xfId="1" applyNumberFormat="1" applyFont="1" applyBorder="1" applyAlignment="1">
      <alignment horizontal="center" vertical="center" wrapText="1"/>
    </xf>
    <xf numFmtId="3" fontId="7" fillId="0" borderId="1" xfId="1" applyNumberFormat="1" applyFont="1" applyBorder="1" applyAlignment="1">
      <alignment horizontal="center" vertical="center"/>
    </xf>
    <xf numFmtId="3" fontId="7" fillId="0" borderId="2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 wrapText="1"/>
    </xf>
    <xf numFmtId="3" fontId="11" fillId="0" borderId="13" xfId="1" applyNumberFormat="1" applyFont="1" applyBorder="1" applyAlignment="1">
      <alignment horizontal="center"/>
    </xf>
    <xf numFmtId="3" fontId="11" fillId="0" borderId="14" xfId="1" applyNumberFormat="1" applyFont="1" applyBorder="1" applyAlignment="1">
      <alignment horizontal="center"/>
    </xf>
    <xf numFmtId="0" fontId="4" fillId="0" borderId="14" xfId="3" applyFont="1" applyBorder="1"/>
    <xf numFmtId="0" fontId="4" fillId="0" borderId="14" xfId="3" applyFont="1" applyBorder="1" applyAlignment="1">
      <alignment vertical="center"/>
    </xf>
    <xf numFmtId="0" fontId="4" fillId="0" borderId="15" xfId="3" applyFont="1" applyBorder="1" applyAlignment="1">
      <alignment vertical="center"/>
    </xf>
    <xf numFmtId="3" fontId="4" fillId="0" borderId="14" xfId="3" applyNumberFormat="1" applyFont="1" applyBorder="1" applyAlignment="1">
      <alignment vertical="center"/>
    </xf>
    <xf numFmtId="3" fontId="11" fillId="0" borderId="16" xfId="1" applyNumberFormat="1" applyFont="1" applyBorder="1" applyAlignment="1">
      <alignment horizontal="center"/>
    </xf>
    <xf numFmtId="3" fontId="11" fillId="0" borderId="17" xfId="1" applyNumberFormat="1" applyFont="1" applyBorder="1" applyAlignment="1">
      <alignment horizontal="center"/>
    </xf>
    <xf numFmtId="0" fontId="4" fillId="0" borderId="17" xfId="3" applyFont="1" applyBorder="1"/>
    <xf numFmtId="0" fontId="4" fillId="0" borderId="17" xfId="3" applyFont="1" applyBorder="1" applyAlignment="1">
      <alignment vertical="center"/>
    </xf>
    <xf numFmtId="0" fontId="4" fillId="0" borderId="18" xfId="3" applyFont="1" applyBorder="1" applyAlignment="1">
      <alignment vertical="center"/>
    </xf>
    <xf numFmtId="0" fontId="17" fillId="3" borderId="0" xfId="3" applyFont="1" applyFill="1" applyAlignment="1">
      <alignment vertical="center"/>
    </xf>
    <xf numFmtId="0" fontId="17" fillId="3" borderId="0" xfId="3" applyFont="1" applyFill="1" applyAlignment="1">
      <alignment horizontal="center"/>
    </xf>
    <xf numFmtId="0" fontId="18" fillId="3" borderId="0" xfId="3" applyFont="1" applyFill="1" applyAlignment="1">
      <alignment horizontal="center"/>
    </xf>
    <xf numFmtId="0" fontId="17" fillId="0" borderId="0" xfId="3" applyFont="1" applyAlignment="1">
      <alignment horizontal="center"/>
    </xf>
    <xf numFmtId="0" fontId="17" fillId="0" borderId="0" xfId="3" applyFont="1" applyAlignment="1">
      <alignment horizontal="center" vertical="center"/>
    </xf>
    <xf numFmtId="167" fontId="17" fillId="0" borderId="0" xfId="3" applyNumberFormat="1" applyFont="1" applyAlignment="1">
      <alignment horizontal="center" vertical="center"/>
    </xf>
    <xf numFmtId="0" fontId="19" fillId="0" borderId="0" xfId="3" applyFont="1" applyAlignment="1">
      <alignment horizontal="center" vertical="center"/>
    </xf>
    <xf numFmtId="167" fontId="19" fillId="0" borderId="0" xfId="3" applyNumberFormat="1" applyFont="1" applyAlignment="1">
      <alignment horizontal="center" vertical="center"/>
    </xf>
    <xf numFmtId="4" fontId="19" fillId="0" borderId="0" xfId="3" applyNumberFormat="1" applyFont="1" applyAlignment="1">
      <alignment horizontal="center" vertical="center"/>
    </xf>
    <xf numFmtId="4" fontId="19" fillId="3" borderId="0" xfId="3" applyNumberFormat="1" applyFont="1" applyFill="1" applyAlignment="1">
      <alignment horizontal="center" vertical="center"/>
    </xf>
    <xf numFmtId="0" fontId="19" fillId="3" borderId="0" xfId="3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/>
    </xf>
    <xf numFmtId="166" fontId="17" fillId="3" borderId="0" xfId="3" applyNumberFormat="1" applyFont="1" applyFill="1" applyAlignment="1">
      <alignment horizontal="center" vertical="center"/>
    </xf>
    <xf numFmtId="168" fontId="20" fillId="3" borderId="1" xfId="3" applyNumberFormat="1" applyFont="1" applyFill="1" applyBorder="1" applyAlignment="1">
      <alignment horizontal="center" vertical="center"/>
    </xf>
    <xf numFmtId="168" fontId="20" fillId="3" borderId="1" xfId="3" applyNumberFormat="1" applyFont="1" applyFill="1" applyBorder="1" applyAlignment="1">
      <alignment horizontal="center" vertical="center" wrapText="1"/>
    </xf>
    <xf numFmtId="169" fontId="20" fillId="0" borderId="9" xfId="3" applyNumberFormat="1" applyFont="1" applyBorder="1" applyAlignment="1">
      <alignment horizontal="center" vertical="center" wrapText="1"/>
    </xf>
    <xf numFmtId="169" fontId="18" fillId="0" borderId="1" xfId="3" applyNumberFormat="1" applyFont="1" applyBorder="1" applyAlignment="1">
      <alignment horizontal="center" vertical="center" wrapText="1"/>
    </xf>
    <xf numFmtId="3" fontId="20" fillId="0" borderId="3" xfId="3" applyNumberFormat="1" applyFont="1" applyBorder="1" applyAlignment="1">
      <alignment horizontal="center" vertical="center"/>
    </xf>
    <xf numFmtId="169" fontId="18" fillId="0" borderId="1" xfId="3" applyNumberFormat="1" applyFont="1" applyBorder="1" applyAlignment="1">
      <alignment horizontal="center" vertical="center"/>
    </xf>
    <xf numFmtId="169" fontId="20" fillId="0" borderId="1" xfId="3" applyNumberFormat="1" applyFont="1" applyBorder="1" applyAlignment="1">
      <alignment horizontal="center" vertical="center"/>
    </xf>
    <xf numFmtId="170" fontId="20" fillId="0" borderId="1" xfId="3" applyNumberFormat="1" applyFont="1" applyBorder="1" applyAlignment="1">
      <alignment horizontal="center" vertical="center"/>
    </xf>
    <xf numFmtId="171" fontId="20" fillId="0" borderId="3" xfId="3" applyNumberFormat="1" applyFont="1" applyBorder="1" applyAlignment="1">
      <alignment horizontal="center" vertical="center"/>
    </xf>
    <xf numFmtId="171" fontId="20" fillId="0" borderId="1" xfId="4" applyNumberFormat="1" applyFont="1" applyFill="1" applyBorder="1" applyAlignment="1">
      <alignment horizontal="center" vertical="center"/>
    </xf>
    <xf numFmtId="170" fontId="20" fillId="0" borderId="3" xfId="3" applyNumberFormat="1" applyFont="1" applyBorder="1" applyAlignment="1">
      <alignment horizontal="center" vertical="center"/>
    </xf>
    <xf numFmtId="170" fontId="18" fillId="0" borderId="1" xfId="3" applyNumberFormat="1" applyFont="1" applyBorder="1" applyAlignment="1">
      <alignment horizontal="center" vertical="center"/>
    </xf>
    <xf numFmtId="1" fontId="18" fillId="0" borderId="1" xfId="3" applyNumberFormat="1" applyFont="1" applyBorder="1" applyAlignment="1">
      <alignment horizontal="center" vertical="center"/>
    </xf>
    <xf numFmtId="166" fontId="18" fillId="0" borderId="1" xfId="3" applyNumberFormat="1" applyFont="1" applyBorder="1" applyAlignment="1">
      <alignment horizontal="center" vertical="center"/>
    </xf>
    <xf numFmtId="0" fontId="18" fillId="3" borderId="0" xfId="3" applyFont="1" applyFill="1" applyAlignment="1">
      <alignment vertical="center"/>
    </xf>
    <xf numFmtId="14" fontId="22" fillId="0" borderId="0" xfId="2" applyNumberFormat="1" applyFont="1" applyAlignment="1">
      <alignment horizontal="center" vertical="center" shrinkToFit="1"/>
    </xf>
    <xf numFmtId="0" fontId="18" fillId="4" borderId="0" xfId="3" applyFont="1" applyFill="1" applyAlignment="1">
      <alignment vertical="center"/>
    </xf>
    <xf numFmtId="0" fontId="18" fillId="4" borderId="0" xfId="3" applyFont="1" applyFill="1" applyAlignment="1">
      <alignment horizontal="center"/>
    </xf>
    <xf numFmtId="14" fontId="22" fillId="0" borderId="22" xfId="2" applyNumberFormat="1" applyFont="1" applyBorder="1" applyAlignment="1">
      <alignment horizontal="center" vertical="center" shrinkToFit="1"/>
    </xf>
    <xf numFmtId="14" fontId="22" fillId="0" borderId="23" xfId="2" applyNumberFormat="1" applyFont="1" applyBorder="1" applyAlignment="1">
      <alignment horizontal="center" vertical="center" shrinkToFit="1"/>
    </xf>
    <xf numFmtId="0" fontId="18" fillId="3" borderId="0" xfId="3" applyFont="1" applyFill="1" applyAlignment="1">
      <alignment horizontal="center" vertical="center"/>
    </xf>
    <xf numFmtId="3" fontId="18" fillId="3" borderId="0" xfId="3" applyNumberFormat="1" applyFont="1" applyFill="1" applyAlignment="1">
      <alignment horizontal="center"/>
    </xf>
    <xf numFmtId="0" fontId="18" fillId="0" borderId="24" xfId="3" applyFont="1" applyBorder="1" applyAlignment="1">
      <alignment horizontal="center" vertical="center"/>
    </xf>
    <xf numFmtId="0" fontId="18" fillId="2" borderId="0" xfId="3" applyFont="1" applyFill="1" applyAlignment="1">
      <alignment horizontal="center" vertical="center"/>
    </xf>
    <xf numFmtId="3" fontId="18" fillId="2" borderId="0" xfId="3" applyNumberFormat="1" applyFont="1" applyFill="1" applyAlignment="1">
      <alignment horizontal="center"/>
    </xf>
    <xf numFmtId="0" fontId="18" fillId="2" borderId="0" xfId="3" applyFont="1" applyFill="1" applyAlignment="1">
      <alignment horizontal="center"/>
    </xf>
    <xf numFmtId="0" fontId="18" fillId="5" borderId="0" xfId="3" applyFont="1" applyFill="1" applyAlignment="1">
      <alignment horizontal="center" vertical="center"/>
    </xf>
    <xf numFmtId="3" fontId="18" fillId="5" borderId="0" xfId="3" applyNumberFormat="1" applyFont="1" applyFill="1" applyAlignment="1">
      <alignment horizontal="center"/>
    </xf>
    <xf numFmtId="0" fontId="18" fillId="5" borderId="0" xfId="3" applyFont="1" applyFill="1" applyAlignment="1">
      <alignment horizontal="center"/>
    </xf>
    <xf numFmtId="0" fontId="18" fillId="0" borderId="0" xfId="3" applyFont="1" applyAlignment="1">
      <alignment horizontal="center" vertical="center"/>
    </xf>
    <xf numFmtId="3" fontId="18" fillId="0" borderId="0" xfId="3" applyNumberFormat="1" applyFont="1" applyAlignment="1">
      <alignment horizontal="center"/>
    </xf>
    <xf numFmtId="0" fontId="18" fillId="0" borderId="0" xfId="3" applyFont="1" applyAlignment="1">
      <alignment horizontal="center"/>
    </xf>
    <xf numFmtId="0" fontId="18" fillId="4" borderId="0" xfId="3" applyFont="1" applyFill="1" applyAlignment="1">
      <alignment horizontal="center" vertical="center"/>
    </xf>
    <xf numFmtId="3" fontId="18" fillId="4" borderId="0" xfId="3" applyNumberFormat="1" applyFont="1" applyFill="1" applyAlignment="1">
      <alignment horizontal="center"/>
    </xf>
    <xf numFmtId="169" fontId="20" fillId="0" borderId="21" xfId="3" applyNumberFormat="1" applyFont="1" applyBorder="1" applyAlignment="1">
      <alignment horizontal="center" vertical="center" wrapText="1"/>
    </xf>
    <xf numFmtId="169" fontId="18" fillId="0" borderId="3" xfId="3" applyNumberFormat="1" applyFont="1" applyBorder="1" applyAlignment="1">
      <alignment horizontal="center" vertical="center" wrapText="1"/>
    </xf>
    <xf numFmtId="169" fontId="18" fillId="0" borderId="3" xfId="3" applyNumberFormat="1" applyFont="1" applyBorder="1" applyAlignment="1">
      <alignment horizontal="center" vertical="center"/>
    </xf>
    <xf numFmtId="169" fontId="20" fillId="0" borderId="3" xfId="3" applyNumberFormat="1" applyFont="1" applyBorder="1" applyAlignment="1">
      <alignment horizontal="center" vertical="center"/>
    </xf>
    <xf numFmtId="169" fontId="20" fillId="0" borderId="3" xfId="3" applyNumberFormat="1" applyFont="1" applyBorder="1" applyAlignment="1">
      <alignment horizontal="center" vertical="center" wrapText="1"/>
    </xf>
    <xf numFmtId="171" fontId="20" fillId="0" borderId="3" xfId="4" applyNumberFormat="1" applyFont="1" applyFill="1" applyBorder="1" applyAlignment="1">
      <alignment horizontal="center" vertical="center"/>
    </xf>
    <xf numFmtId="170" fontId="18" fillId="0" borderId="3" xfId="3" applyNumberFormat="1" applyFont="1" applyBorder="1" applyAlignment="1">
      <alignment horizontal="center" vertical="center"/>
    </xf>
    <xf numFmtId="1" fontId="18" fillId="0" borderId="3" xfId="3" applyNumberFormat="1" applyFont="1" applyBorder="1" applyAlignment="1">
      <alignment horizontal="center" vertical="center"/>
    </xf>
    <xf numFmtId="166" fontId="18" fillId="0" borderId="3" xfId="3" applyNumberFormat="1" applyFont="1" applyBorder="1" applyAlignment="1">
      <alignment horizontal="center" vertical="center"/>
    </xf>
    <xf numFmtId="167" fontId="18" fillId="0" borderId="1" xfId="3" applyNumberFormat="1" applyFont="1" applyBorder="1" applyAlignment="1">
      <alignment horizontal="center" vertical="center" wrapText="1"/>
    </xf>
    <xf numFmtId="4" fontId="18" fillId="0" borderId="1" xfId="3" applyNumberFormat="1" applyFont="1" applyBorder="1" applyAlignment="1">
      <alignment horizontal="center" vertical="center" wrapText="1"/>
    </xf>
    <xf numFmtId="4" fontId="20" fillId="0" borderId="1" xfId="3" applyNumberFormat="1" applyFont="1" applyBorder="1" applyAlignment="1">
      <alignment horizontal="center" vertical="center" wrapText="1"/>
    </xf>
    <xf numFmtId="167" fontId="20" fillId="0" borderId="1" xfId="3" applyNumberFormat="1" applyFont="1" applyBorder="1" applyAlignment="1">
      <alignment horizontal="center" vertical="center" wrapText="1"/>
    </xf>
    <xf numFmtId="0" fontId="24" fillId="3" borderId="0" xfId="3" applyFont="1" applyFill="1" applyAlignment="1">
      <alignment vertical="center"/>
    </xf>
    <xf numFmtId="0" fontId="24" fillId="3" borderId="0" xfId="3" applyFont="1" applyFill="1" applyAlignment="1">
      <alignment horizontal="center"/>
    </xf>
    <xf numFmtId="0" fontId="24" fillId="0" borderId="24" xfId="3" applyFont="1" applyBorder="1" applyAlignment="1">
      <alignment vertical="center"/>
    </xf>
    <xf numFmtId="0" fontId="18" fillId="3" borderId="0" xfId="3" applyFont="1" applyFill="1"/>
    <xf numFmtId="0" fontId="18" fillId="3" borderId="25" xfId="3" applyFont="1" applyFill="1" applyBorder="1" applyAlignment="1">
      <alignment horizontal="center"/>
    </xf>
    <xf numFmtId="0" fontId="18" fillId="0" borderId="0" xfId="3" applyFont="1"/>
    <xf numFmtId="0" fontId="20" fillId="0" borderId="0" xfId="3" applyFont="1"/>
    <xf numFmtId="0" fontId="20" fillId="3" borderId="0" xfId="3" applyFont="1" applyFill="1"/>
    <xf numFmtId="0" fontId="24" fillId="3" borderId="0" xfId="5" applyFont="1" applyFill="1"/>
    <xf numFmtId="166" fontId="24" fillId="3" borderId="26" xfId="5" applyNumberFormat="1" applyFont="1" applyFill="1" applyBorder="1" applyAlignment="1">
      <alignment horizontal="left"/>
    </xf>
    <xf numFmtId="0" fontId="18" fillId="3" borderId="24" xfId="3" applyFont="1" applyFill="1" applyBorder="1"/>
    <xf numFmtId="0" fontId="18" fillId="3" borderId="10" xfId="3" applyFont="1" applyFill="1" applyBorder="1" applyAlignment="1">
      <alignment horizontal="center"/>
    </xf>
    <xf numFmtId="0" fontId="18" fillId="3" borderId="11" xfId="3" applyFont="1" applyFill="1" applyBorder="1" applyAlignment="1">
      <alignment horizontal="center"/>
    </xf>
    <xf numFmtId="3" fontId="11" fillId="0" borderId="11" xfId="1" applyNumberFormat="1" applyFont="1" applyBorder="1" applyAlignment="1">
      <alignment horizontal="center"/>
    </xf>
    <xf numFmtId="0" fontId="4" fillId="0" borderId="11" xfId="3" applyFont="1" applyBorder="1"/>
    <xf numFmtId="0" fontId="4" fillId="0" borderId="11" xfId="3" applyFont="1" applyBorder="1" applyAlignment="1">
      <alignment vertical="center"/>
    </xf>
    <xf numFmtId="0" fontId="4" fillId="0" borderId="12" xfId="3" applyFont="1" applyBorder="1" applyAlignment="1">
      <alignment vertical="center"/>
    </xf>
    <xf numFmtId="0" fontId="18" fillId="3" borderId="13" xfId="3" applyFont="1" applyFill="1" applyBorder="1" applyAlignment="1">
      <alignment horizontal="center"/>
    </xf>
    <xf numFmtId="0" fontId="18" fillId="3" borderId="14" xfId="3" applyFont="1" applyFill="1" applyBorder="1" applyAlignment="1">
      <alignment horizontal="center"/>
    </xf>
    <xf numFmtId="0" fontId="18" fillId="3" borderId="16" xfId="3" applyFont="1" applyFill="1" applyBorder="1" applyAlignment="1">
      <alignment horizontal="center"/>
    </xf>
    <xf numFmtId="0" fontId="18" fillId="3" borderId="17" xfId="3" applyFont="1" applyFill="1" applyBorder="1" applyAlignment="1">
      <alignment horizontal="center"/>
    </xf>
    <xf numFmtId="0" fontId="17" fillId="3" borderId="27" xfId="3" applyFont="1" applyFill="1" applyBorder="1" applyAlignment="1">
      <alignment vertical="center"/>
    </xf>
    <xf numFmtId="0" fontId="25" fillId="0" borderId="0" xfId="6"/>
    <xf numFmtId="0" fontId="25" fillId="8" borderId="0" xfId="6" applyFill="1"/>
    <xf numFmtId="0" fontId="25" fillId="3" borderId="0" xfId="6" applyFill="1" applyAlignment="1">
      <alignment vertical="center"/>
    </xf>
    <xf numFmtId="0" fontId="20" fillId="3" borderId="0" xfId="6" applyFont="1" applyFill="1" applyAlignment="1">
      <alignment vertical="center"/>
    </xf>
    <xf numFmtId="168" fontId="20" fillId="3" borderId="0" xfId="6" applyNumberFormat="1" applyFont="1" applyFill="1" applyAlignment="1">
      <alignment vertical="center"/>
    </xf>
    <xf numFmtId="166" fontId="20" fillId="3" borderId="0" xfId="6" applyNumberFormat="1" applyFont="1" applyFill="1" applyAlignment="1">
      <alignment vertical="center"/>
    </xf>
    <xf numFmtId="0" fontId="20" fillId="0" borderId="1" xfId="6" applyFont="1" applyBorder="1" applyAlignment="1">
      <alignment horizontal="center" vertical="center" wrapText="1"/>
    </xf>
    <xf numFmtId="1" fontId="20" fillId="0" borderId="1" xfId="6" applyNumberFormat="1" applyFont="1" applyBorder="1" applyAlignment="1">
      <alignment horizontal="center" vertical="center" wrapText="1"/>
    </xf>
    <xf numFmtId="168" fontId="20" fillId="0" borderId="1" xfId="6" applyNumberFormat="1" applyFont="1" applyBorder="1" applyAlignment="1">
      <alignment horizontal="center" vertical="center" wrapText="1"/>
    </xf>
    <xf numFmtId="2" fontId="20" fillId="0" borderId="1" xfId="6" applyNumberFormat="1" applyFont="1" applyBorder="1" applyAlignment="1">
      <alignment horizontal="center" vertical="center" wrapText="1"/>
    </xf>
    <xf numFmtId="0" fontId="20" fillId="2" borderId="1" xfId="6" applyFont="1" applyFill="1" applyBorder="1" applyAlignment="1">
      <alignment horizontal="center" vertical="center" wrapText="1"/>
    </xf>
    <xf numFmtId="172" fontId="25" fillId="0" borderId="0" xfId="6" applyNumberFormat="1"/>
    <xf numFmtId="173" fontId="25" fillId="0" borderId="0" xfId="6" applyNumberFormat="1"/>
    <xf numFmtId="174" fontId="25" fillId="0" borderId="0" xfId="6" applyNumberFormat="1"/>
    <xf numFmtId="168" fontId="25" fillId="0" borderId="0" xfId="6" applyNumberFormat="1"/>
    <xf numFmtId="175" fontId="25" fillId="0" borderId="0" xfId="6" applyNumberFormat="1"/>
    <xf numFmtId="0" fontId="22" fillId="0" borderId="26" xfId="7" applyFont="1" applyBorder="1" applyAlignment="1">
      <alignment horizontal="center" vertical="center" wrapText="1"/>
    </xf>
    <xf numFmtId="0" fontId="20" fillId="0" borderId="1" xfId="7" applyFont="1" applyBorder="1" applyAlignment="1">
      <alignment horizontal="center" vertical="center" textRotation="90" wrapText="1"/>
    </xf>
    <xf numFmtId="3" fontId="11" fillId="0" borderId="0" xfId="1" applyNumberFormat="1" applyFont="1" applyAlignment="1">
      <alignment horizontal="center"/>
    </xf>
    <xf numFmtId="0" fontId="4" fillId="0" borderId="0" xfId="3" applyFont="1"/>
    <xf numFmtId="0" fontId="4" fillId="0" borderId="20" xfId="3" applyFont="1" applyBorder="1"/>
    <xf numFmtId="0" fontId="4" fillId="0" borderId="20" xfId="3" applyFont="1" applyBorder="1" applyAlignment="1">
      <alignment vertical="center"/>
    </xf>
    <xf numFmtId="0" fontId="4" fillId="0" borderId="21" xfId="3" applyFont="1" applyBorder="1" applyAlignment="1">
      <alignment vertical="center"/>
    </xf>
    <xf numFmtId="0" fontId="4" fillId="0" borderId="10" xfId="3" applyFont="1" applyBorder="1"/>
    <xf numFmtId="0" fontId="4" fillId="0" borderId="13" xfId="3" applyFont="1" applyBorder="1"/>
    <xf numFmtId="0" fontId="4" fillId="0" borderId="16" xfId="3" applyFont="1" applyBorder="1"/>
    <xf numFmtId="0" fontId="14" fillId="3" borderId="19" xfId="3" applyFont="1" applyFill="1" applyBorder="1" applyAlignment="1">
      <alignment vertical="center" wrapText="1"/>
    </xf>
    <xf numFmtId="0" fontId="14" fillId="3" borderId="20" xfId="3" applyFont="1" applyFill="1" applyBorder="1" applyAlignment="1">
      <alignment vertical="center" wrapText="1"/>
    </xf>
    <xf numFmtId="0" fontId="14" fillId="3" borderId="25" xfId="3" applyFont="1" applyFill="1" applyBorder="1" applyAlignment="1">
      <alignment vertical="center" wrapText="1"/>
    </xf>
    <xf numFmtId="0" fontId="14" fillId="3" borderId="0" xfId="3" applyFont="1" applyFill="1" applyAlignment="1">
      <alignment vertical="center" wrapText="1"/>
    </xf>
    <xf numFmtId="0" fontId="14" fillId="3" borderId="4" xfId="3" applyFont="1" applyFill="1" applyBorder="1" applyAlignment="1">
      <alignment vertical="center" wrapText="1"/>
    </xf>
    <xf numFmtId="0" fontId="14" fillId="3" borderId="5" xfId="3" applyFont="1" applyFill="1" applyBorder="1" applyAlignment="1">
      <alignment vertical="center" wrapText="1"/>
    </xf>
    <xf numFmtId="3" fontId="6" fillId="2" borderId="1" xfId="1" applyNumberFormat="1" applyFont="1" applyFill="1" applyBorder="1" applyAlignment="1">
      <alignment horizontal="center" vertical="center"/>
    </xf>
    <xf numFmtId="3" fontId="6" fillId="2" borderId="1" xfId="1" applyNumberFormat="1" applyFont="1" applyFill="1" applyBorder="1" applyAlignment="1">
      <alignment horizontal="center" vertical="center" wrapText="1"/>
    </xf>
    <xf numFmtId="3" fontId="6" fillId="2" borderId="1" xfId="1" applyNumberFormat="1" applyFont="1" applyFill="1" applyBorder="1" applyAlignment="1">
      <alignment horizontal="center"/>
    </xf>
    <xf numFmtId="3" fontId="6" fillId="2" borderId="0" xfId="1" applyNumberFormat="1" applyFont="1" applyFill="1" applyAlignment="1">
      <alignment horizontal="center"/>
    </xf>
    <xf numFmtId="3" fontId="6" fillId="0" borderId="1" xfId="1" applyNumberFormat="1" applyFont="1" applyBorder="1" applyAlignment="1">
      <alignment horizontal="center" vertical="center"/>
    </xf>
    <xf numFmtId="3" fontId="6" fillId="0" borderId="1" xfId="1" applyNumberFormat="1" applyFont="1" applyBorder="1" applyAlignment="1">
      <alignment horizontal="center" vertical="center" wrapText="1"/>
    </xf>
    <xf numFmtId="3" fontId="6" fillId="0" borderId="0" xfId="1" applyNumberFormat="1" applyFont="1" applyAlignment="1">
      <alignment horizontal="center"/>
    </xf>
    <xf numFmtId="3" fontId="0" fillId="0" borderId="0" xfId="0" applyNumberFormat="1"/>
    <xf numFmtId="166" fontId="18" fillId="2" borderId="1" xfId="3" applyNumberFormat="1" applyFont="1" applyFill="1" applyBorder="1" applyAlignment="1">
      <alignment horizontal="center" vertical="center"/>
    </xf>
    <xf numFmtId="168" fontId="20" fillId="2" borderId="1" xfId="6" applyNumberFormat="1" applyFont="1" applyFill="1" applyBorder="1" applyAlignment="1">
      <alignment horizontal="center" vertical="center" wrapText="1"/>
    </xf>
    <xf numFmtId="2" fontId="20" fillId="2" borderId="1" xfId="6" applyNumberFormat="1" applyFont="1" applyFill="1" applyBorder="1" applyAlignment="1">
      <alignment horizontal="center" vertical="center" wrapText="1"/>
    </xf>
    <xf numFmtId="1" fontId="20" fillId="2" borderId="1" xfId="6" applyNumberFormat="1" applyFont="1" applyFill="1" applyBorder="1" applyAlignment="1">
      <alignment horizontal="center" vertical="center" wrapText="1"/>
    </xf>
    <xf numFmtId="4" fontId="2" fillId="2" borderId="1" xfId="1" applyNumberFormat="1" applyFont="1" applyFill="1" applyBorder="1" applyAlignment="1">
      <alignment horizontal="center"/>
    </xf>
    <xf numFmtId="2" fontId="25" fillId="0" borderId="0" xfId="6" applyNumberFormat="1"/>
    <xf numFmtId="3" fontId="2" fillId="0" borderId="7" xfId="1" applyNumberFormat="1" applyFont="1" applyBorder="1" applyAlignment="1">
      <alignment horizontal="center" vertical="center" wrapText="1"/>
    </xf>
    <xf numFmtId="3" fontId="2" fillId="0" borderId="3" xfId="1" applyNumberFormat="1" applyFont="1" applyBorder="1" applyAlignment="1">
      <alignment horizontal="center" vertical="center" wrapText="1"/>
    </xf>
    <xf numFmtId="3" fontId="2" fillId="0" borderId="6" xfId="1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2" fillId="0" borderId="9" xfId="1" applyNumberFormat="1" applyFont="1" applyBorder="1" applyAlignment="1">
      <alignment horizontal="center" vertical="center" wrapText="1"/>
    </xf>
    <xf numFmtId="3" fontId="2" fillId="0" borderId="8" xfId="1" applyNumberFormat="1" applyFont="1" applyBorder="1" applyAlignment="1">
      <alignment horizontal="center" vertical="center" wrapText="1"/>
    </xf>
    <xf numFmtId="3" fontId="2" fillId="0" borderId="7" xfId="1" applyNumberFormat="1" applyFont="1" applyBorder="1" applyAlignment="1">
      <alignment horizontal="center" vertical="center" wrapText="1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49" fontId="2" fillId="0" borderId="0" xfId="1" applyNumberFormat="1" applyFont="1" applyAlignment="1">
      <alignment horizontal="center"/>
    </xf>
    <xf numFmtId="49" fontId="4" fillId="0" borderId="17" xfId="3" applyNumberFormat="1" applyFont="1" applyBorder="1"/>
    <xf numFmtId="49" fontId="4" fillId="0" borderId="14" xfId="3" applyNumberFormat="1" applyFont="1" applyBorder="1"/>
    <xf numFmtId="49" fontId="2" fillId="0" borderId="2" xfId="1" applyNumberFormat="1" applyFont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  <xf numFmtId="49" fontId="7" fillId="0" borderId="2" xfId="2" applyNumberFormat="1" applyFont="1" applyBorder="1" applyAlignment="1">
      <alignment vertical="center" shrinkToFit="1"/>
    </xf>
    <xf numFmtId="49" fontId="0" fillId="0" borderId="0" xfId="0" applyNumberFormat="1"/>
    <xf numFmtId="49" fontId="2" fillId="0" borderId="0" xfId="2" applyNumberFormat="1" applyFont="1" applyAlignment="1">
      <alignment vertical="center" shrinkToFit="1"/>
    </xf>
    <xf numFmtId="3" fontId="3" fillId="0" borderId="5" xfId="1" applyNumberFormat="1" applyFont="1" applyBorder="1" applyAlignment="1">
      <alignment horizontal="center" vertical="center" wrapText="1"/>
    </xf>
    <xf numFmtId="49" fontId="2" fillId="0" borderId="28" xfId="1" applyNumberFormat="1" applyFont="1" applyBorder="1" applyAlignment="1">
      <alignment horizontal="center" vertical="center" wrapText="1"/>
    </xf>
    <xf numFmtId="3" fontId="2" fillId="0" borderId="26" xfId="1" applyNumberFormat="1" applyFont="1" applyBorder="1" applyAlignment="1">
      <alignment horizontal="center" vertical="center" wrapText="1"/>
    </xf>
    <xf numFmtId="0" fontId="14" fillId="0" borderId="9" xfId="3" applyFont="1" applyBorder="1" applyAlignment="1">
      <alignment horizontal="center" vertical="center" wrapText="1"/>
    </xf>
    <xf numFmtId="0" fontId="14" fillId="0" borderId="8" xfId="3" applyFont="1" applyBorder="1" applyAlignment="1">
      <alignment horizontal="center" vertical="center" wrapText="1"/>
    </xf>
    <xf numFmtId="0" fontId="14" fillId="0" borderId="7" xfId="3" applyFont="1" applyBorder="1" applyAlignment="1">
      <alignment horizontal="center" vertical="center" wrapText="1"/>
    </xf>
    <xf numFmtId="3" fontId="2" fillId="0" borderId="2" xfId="1" applyNumberFormat="1" applyFont="1" applyBorder="1" applyAlignment="1">
      <alignment horizontal="center" vertical="center" wrapText="1"/>
    </xf>
    <xf numFmtId="3" fontId="2" fillId="0" borderId="28" xfId="1" applyNumberFormat="1" applyFont="1" applyBorder="1" applyAlignment="1">
      <alignment horizontal="center" vertical="center" wrapText="1"/>
    </xf>
    <xf numFmtId="3" fontId="2" fillId="0" borderId="3" xfId="1" applyNumberFormat="1" applyFont="1" applyBorder="1" applyAlignment="1">
      <alignment horizontal="center" vertical="center" wrapText="1"/>
    </xf>
    <xf numFmtId="0" fontId="14" fillId="0" borderId="6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4" xfId="3" applyFont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/>
    </xf>
    <xf numFmtId="3" fontId="11" fillId="0" borderId="5" xfId="1" applyNumberFormat="1" applyFont="1" applyBorder="1" applyAlignment="1">
      <alignment horizontal="center"/>
    </xf>
    <xf numFmtId="3" fontId="11" fillId="0" borderId="4" xfId="1" applyNumberFormat="1" applyFont="1" applyBorder="1" applyAlignment="1">
      <alignment horizontal="center"/>
    </xf>
    <xf numFmtId="3" fontId="2" fillId="0" borderId="9" xfId="1" applyNumberFormat="1" applyFont="1" applyBorder="1" applyAlignment="1">
      <alignment horizontal="center" vertical="center" wrapText="1"/>
    </xf>
    <xf numFmtId="3" fontId="2" fillId="0" borderId="8" xfId="1" applyNumberFormat="1" applyFont="1" applyBorder="1" applyAlignment="1">
      <alignment horizontal="center" vertical="center" wrapText="1"/>
    </xf>
    <xf numFmtId="3" fontId="2" fillId="0" borderId="7" xfId="1" applyNumberFormat="1" applyFont="1" applyBorder="1" applyAlignment="1">
      <alignment horizontal="center" vertical="center" wrapText="1"/>
    </xf>
    <xf numFmtId="0" fontId="14" fillId="0" borderId="21" xfId="3" applyFont="1" applyBorder="1" applyAlignment="1">
      <alignment horizontal="center" vertical="center" wrapText="1"/>
    </xf>
    <xf numFmtId="0" fontId="14" fillId="0" borderId="20" xfId="3" applyFont="1" applyBorder="1" applyAlignment="1">
      <alignment horizontal="center" vertical="center" wrapText="1"/>
    </xf>
    <xf numFmtId="0" fontId="14" fillId="0" borderId="19" xfId="3" applyFont="1" applyBorder="1" applyAlignment="1">
      <alignment horizontal="center" vertical="center" wrapText="1"/>
    </xf>
    <xf numFmtId="0" fontId="13" fillId="0" borderId="9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7" xfId="3" applyFont="1" applyBorder="1" applyAlignment="1">
      <alignment horizontal="center" vertical="center" wrapText="1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wrapText="1"/>
    </xf>
    <xf numFmtId="3" fontId="11" fillId="0" borderId="20" xfId="1" applyNumberFormat="1" applyFont="1" applyBorder="1" applyAlignment="1">
      <alignment horizontal="center" wrapText="1"/>
    </xf>
    <xf numFmtId="3" fontId="11" fillId="0" borderId="19" xfId="1" applyNumberFormat="1" applyFont="1" applyBorder="1" applyAlignment="1">
      <alignment horizontal="center" wrapText="1"/>
    </xf>
    <xf numFmtId="3" fontId="11" fillId="0" borderId="21" xfId="1" applyNumberFormat="1" applyFont="1" applyBorder="1" applyAlignment="1">
      <alignment horizontal="center"/>
    </xf>
    <xf numFmtId="3" fontId="11" fillId="0" borderId="20" xfId="1" applyNumberFormat="1" applyFont="1" applyBorder="1" applyAlignment="1">
      <alignment horizontal="center"/>
    </xf>
    <xf numFmtId="3" fontId="11" fillId="0" borderId="19" xfId="1" applyNumberFormat="1" applyFont="1" applyBorder="1" applyAlignment="1">
      <alignment horizontal="center"/>
    </xf>
    <xf numFmtId="0" fontId="20" fillId="3" borderId="1" xfId="3" applyFont="1" applyFill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vertical="center" wrapText="1"/>
    </xf>
    <xf numFmtId="3" fontId="11" fillId="0" borderId="20" xfId="1" applyNumberFormat="1" applyFont="1" applyBorder="1" applyAlignment="1">
      <alignment horizontal="center" vertical="center" wrapText="1"/>
    </xf>
    <xf numFmtId="3" fontId="11" fillId="0" borderId="19" xfId="1" applyNumberFormat="1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vertical="center"/>
    </xf>
    <xf numFmtId="3" fontId="11" fillId="0" borderId="20" xfId="1" applyNumberFormat="1" applyFont="1" applyBorder="1" applyAlignment="1">
      <alignment horizontal="center" vertical="center"/>
    </xf>
    <xf numFmtId="3" fontId="11" fillId="0" borderId="19" xfId="1" applyNumberFormat="1" applyFont="1" applyBorder="1" applyAlignment="1">
      <alignment horizontal="center" vertical="center"/>
    </xf>
    <xf numFmtId="0" fontId="13" fillId="0" borderId="26" xfId="3" applyFont="1" applyBorder="1" applyAlignment="1">
      <alignment horizontal="center" vertical="center" wrapText="1"/>
    </xf>
    <xf numFmtId="0" fontId="13" fillId="0" borderId="0" xfId="3" applyFont="1" applyAlignment="1">
      <alignment horizontal="center" vertical="center" wrapText="1"/>
    </xf>
    <xf numFmtId="0" fontId="13" fillId="0" borderId="25" xfId="3" applyFont="1" applyBorder="1" applyAlignment="1">
      <alignment horizontal="center" vertical="center" wrapText="1"/>
    </xf>
    <xf numFmtId="14" fontId="4" fillId="0" borderId="11" xfId="3" applyNumberFormat="1" applyFont="1" applyBorder="1" applyAlignment="1">
      <alignment horizontal="center" vertical="center"/>
    </xf>
    <xf numFmtId="0" fontId="23" fillId="7" borderId="1" xfId="3" applyFont="1" applyFill="1" applyBorder="1" applyAlignment="1">
      <alignment horizontal="center" vertical="center"/>
    </xf>
    <xf numFmtId="0" fontId="23" fillId="6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center" vertical="center"/>
    </xf>
    <xf numFmtId="0" fontId="23" fillId="0" borderId="1" xfId="3" applyFont="1" applyBorder="1" applyAlignment="1">
      <alignment horizontal="center" vertical="center"/>
    </xf>
    <xf numFmtId="166" fontId="18" fillId="0" borderId="1" xfId="3" applyNumberFormat="1" applyFont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center" vertical="center" wrapText="1"/>
    </xf>
    <xf numFmtId="0" fontId="14" fillId="3" borderId="6" xfId="3" applyFont="1" applyFill="1" applyBorder="1" applyAlignment="1">
      <alignment horizontal="center" vertical="center" wrapText="1"/>
    </xf>
    <xf numFmtId="0" fontId="14" fillId="3" borderId="5" xfId="3" applyFont="1" applyFill="1" applyBorder="1" applyAlignment="1">
      <alignment horizontal="center" vertical="center" wrapText="1"/>
    </xf>
    <xf numFmtId="0" fontId="14" fillId="3" borderId="4" xfId="3" applyFont="1" applyFill="1" applyBorder="1" applyAlignment="1">
      <alignment horizontal="center" vertical="center" wrapText="1"/>
    </xf>
    <xf numFmtId="0" fontId="14" fillId="3" borderId="26" xfId="3" applyFont="1" applyFill="1" applyBorder="1" applyAlignment="1">
      <alignment horizontal="center" vertical="center" wrapText="1"/>
    </xf>
    <xf numFmtId="0" fontId="14" fillId="3" borderId="0" xfId="3" applyFont="1" applyFill="1" applyAlignment="1">
      <alignment horizontal="center" vertical="center" wrapText="1"/>
    </xf>
    <xf numFmtId="0" fontId="14" fillId="3" borderId="25" xfId="3" applyFont="1" applyFill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 vertical="center"/>
    </xf>
    <xf numFmtId="3" fontId="11" fillId="0" borderId="5" xfId="1" applyNumberFormat="1" applyFont="1" applyBorder="1" applyAlignment="1">
      <alignment horizontal="center" vertical="center"/>
    </xf>
    <xf numFmtId="3" fontId="11" fillId="0" borderId="4" xfId="1" applyNumberFormat="1" applyFont="1" applyBorder="1" applyAlignment="1">
      <alignment horizontal="center" vertical="center"/>
    </xf>
    <xf numFmtId="168" fontId="20" fillId="0" borderId="1" xfId="7" applyNumberFormat="1" applyFont="1" applyBorder="1" applyAlignment="1">
      <alignment horizontal="center" vertical="center" wrapText="1"/>
    </xf>
    <xf numFmtId="0" fontId="20" fillId="0" borderId="1" xfId="6" applyFont="1" applyBorder="1" applyAlignment="1">
      <alignment horizontal="center" vertical="center" wrapText="1"/>
    </xf>
    <xf numFmtId="0" fontId="14" fillId="3" borderId="1" xfId="3" applyFont="1" applyFill="1" applyBorder="1" applyAlignment="1">
      <alignment horizontal="center" vertical="center" wrapText="1"/>
    </xf>
    <xf numFmtId="0" fontId="14" fillId="3" borderId="9" xfId="3" applyFont="1" applyFill="1" applyBorder="1" applyAlignment="1">
      <alignment horizontal="center" vertical="center" wrapText="1"/>
    </xf>
    <xf numFmtId="0" fontId="14" fillId="3" borderId="8" xfId="3" applyFont="1" applyFill="1" applyBorder="1" applyAlignment="1">
      <alignment horizontal="center" vertical="center" wrapText="1"/>
    </xf>
    <xf numFmtId="0" fontId="14" fillId="3" borderId="7" xfId="3" applyFont="1" applyFill="1" applyBorder="1" applyAlignment="1">
      <alignment horizontal="center" vertical="center" wrapText="1"/>
    </xf>
    <xf numFmtId="166" fontId="4" fillId="0" borderId="11" xfId="3" applyNumberFormat="1" applyFont="1" applyBorder="1" applyAlignment="1">
      <alignment horizontal="center" vertical="center"/>
    </xf>
    <xf numFmtId="0" fontId="4" fillId="0" borderId="11" xfId="3" applyFont="1" applyBorder="1" applyAlignment="1">
      <alignment horizontal="center" vertical="center"/>
    </xf>
    <xf numFmtId="49" fontId="20" fillId="0" borderId="1" xfId="2" applyNumberFormat="1" applyFont="1" applyBorder="1" applyAlignment="1">
      <alignment horizontal="center" vertical="center" wrapText="1" shrinkToFit="1"/>
    </xf>
    <xf numFmtId="166" fontId="20" fillId="0" borderId="1" xfId="6" applyNumberFormat="1" applyFont="1" applyBorder="1" applyAlignment="1">
      <alignment horizontal="center" vertical="center" wrapText="1"/>
    </xf>
    <xf numFmtId="168" fontId="20" fillId="0" borderId="1" xfId="6" applyNumberFormat="1" applyFont="1" applyBorder="1" applyAlignment="1">
      <alignment horizontal="center" vertical="center" textRotation="90" wrapText="1"/>
    </xf>
    <xf numFmtId="168" fontId="20" fillId="0" borderId="2" xfId="6" applyNumberFormat="1" applyFont="1" applyBorder="1" applyAlignment="1">
      <alignment horizontal="center" vertical="center" textRotation="90" wrapText="1"/>
    </xf>
    <xf numFmtId="168" fontId="20" fillId="0" borderId="3" xfId="6" applyNumberFormat="1" applyFont="1" applyBorder="1" applyAlignment="1">
      <alignment horizontal="center" vertical="center" textRotation="90" wrapText="1"/>
    </xf>
    <xf numFmtId="0" fontId="20" fillId="0" borderId="1" xfId="6" applyFont="1" applyBorder="1" applyAlignment="1">
      <alignment horizontal="center" vertical="center" textRotation="90" wrapText="1"/>
    </xf>
    <xf numFmtId="166" fontId="26" fillId="0" borderId="1" xfId="2" applyNumberFormat="1" applyFont="1" applyBorder="1" applyAlignment="1">
      <alignment horizontal="center" vertical="center"/>
    </xf>
    <xf numFmtId="49" fontId="4" fillId="0" borderId="14" xfId="3" applyNumberFormat="1" applyFont="1" applyBorder="1" applyAlignment="1">
      <alignment vertical="center"/>
    </xf>
    <xf numFmtId="14" fontId="4" fillId="0" borderId="14" xfId="3" applyNumberFormat="1" applyFont="1" applyBorder="1" applyAlignment="1">
      <alignment vertical="center"/>
    </xf>
  </cellXfs>
  <cellStyles count="8">
    <cellStyle name="Bình thường 2" xfId="1" xr:uid="{181A5A0C-F97B-4BBE-9994-ED74D77CC9AA}"/>
    <cellStyle name="Comma 2" xfId="4" xr:uid="{914B59A9-0A6B-4DF2-8F6B-D222590D3469}"/>
    <cellStyle name="Normal" xfId="0" builtinId="0"/>
    <cellStyle name="Normal 2" xfId="3" xr:uid="{B018DE52-B7C9-46E1-B427-61ACB2EF23BD}"/>
    <cellStyle name="Normal 3" xfId="6" xr:uid="{8630FF77-2F39-4B2A-B52F-FDE40BE23C47}"/>
    <cellStyle name="Normal_Form" xfId="5" xr:uid="{94761DBE-70F2-419C-907F-B537C0A82D55}"/>
    <cellStyle name="표준_계측(양식)" xfId="2" xr:uid="{7186F292-F8FF-4566-8F63-2DEFF2DA0932}"/>
    <cellStyle name="常规_路堤稳定和沉降观测 - 沉降板" xfId="7" xr:uid="{A1DACDDB-5650-4E26-B164-6266078149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500"/>
              <a:t>Biểu</a:t>
            </a:r>
            <a:r>
              <a:rPr lang="en-US" sz="1500" baseline="0"/>
              <a:t> đồ </a:t>
            </a:r>
            <a:r>
              <a:rPr lang="en-US" sz="1500"/>
              <a:t>Bàn quan trắc lún-Lý trình: </a:t>
            </a:r>
            <a:r>
              <a:rPr lang="vi-VN" sz="1500"/>
              <a:t>Km11</a:t>
            </a:r>
            <a:r>
              <a:rPr lang="en-SG" sz="1500"/>
              <a:t>5+040</a:t>
            </a:r>
            <a:endParaRPr lang="en-US" sz="1500"/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strRef>
              <c:f>'SL.115+040'!$L$12</c:f>
              <c:strCache>
                <c:ptCount val="1"/>
                <c:pt idx="0">
                  <c:v>Độ lún (trái) (mm)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'SL.115+040'!$A$14:$A$800</c:f>
              <c:numCache>
                <c:formatCode>dd/mm/yyyy;@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</c:numCache>
            </c:numRef>
          </c:xVal>
          <c:yVal>
            <c:numRef>
              <c:f>'SL.115+040'!$L$14:$L$800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A2-4E2F-9767-4B027F94B1DA}"/>
            </c:ext>
          </c:extLst>
        </c:ser>
        <c:ser>
          <c:idx val="2"/>
          <c:order val="2"/>
          <c:tx>
            <c:strRef>
              <c:f>'SL.115+040'!$M$12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'SL.115+040'!$A$14:$A$800</c:f>
              <c:numCache>
                <c:formatCode>dd/mm/yyyy;@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</c:numCache>
            </c:numRef>
          </c:xVal>
          <c:yVal>
            <c:numRef>
              <c:f>'SL.115+040'!$M$14:$M$800</c:f>
              <c:numCache>
                <c:formatCode>0</c:formatCode>
                <c:ptCount val="78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A2-4E2F-9767-4B027F94B1DA}"/>
            </c:ext>
          </c:extLst>
        </c:ser>
        <c:ser>
          <c:idx val="3"/>
          <c:order val="3"/>
          <c:tx>
            <c:strRef>
              <c:f>'SL.115+040'!$N$12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'SL.115+040'!$A$14:$A$800</c:f>
              <c:numCache>
                <c:formatCode>dd/mm/yyyy;@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</c:numCache>
            </c:numRef>
          </c:xVal>
          <c:yVal>
            <c:numRef>
              <c:f>'SL.115+040'!$N$14:$N$800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A2-4E2F-9767-4B027F94B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'SL.115+040'!$C$12:$C$13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'SL.115+040'!$A$14:$A$701</c:f>
              <c:numCache>
                <c:formatCode>dd/mm/yyyy;@</c:formatCode>
                <c:ptCount val="6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</c:numCache>
            </c:numRef>
          </c:xVal>
          <c:yVal>
            <c:numRef>
              <c:f>'SL.115+040'!$C$14:$C$701</c:f>
              <c:numCache>
                <c:formatCode>0.000</c:formatCode>
                <c:ptCount val="6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A2-4E2F-9767-4B027F94B1DA}"/>
            </c:ext>
          </c:extLst>
        </c:ser>
        <c:ser>
          <c:idx val="4"/>
          <c:order val="4"/>
          <c:tx>
            <c:strRef>
              <c:f>'SL.115+040'!$E$12:$E$13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'SL.115+040'!$A$14:$A$700</c:f>
              <c:numCache>
                <c:formatCode>dd/mm/yyyy;@</c:formatCode>
                <c:ptCount val="6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</c:numCache>
            </c:numRef>
          </c:xVal>
          <c:yVal>
            <c:numRef>
              <c:f>'SL.115+040'!$D$14:$D$700</c:f>
              <c:numCache>
                <c:formatCode>0.000</c:formatCode>
                <c:ptCount val="6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A2-4E2F-9767-4B027F94B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  <c:max val="45757"/>
          <c:min val="45270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1200"/>
          <c:min val="-12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7880170123771136E-2"/>
              <c:y val="0.3442660014032899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  <c:majorUnit val="200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7126160286"/>
              <c:y val="0.2461344559652815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8.2956525764775524E-2"/>
          <c:y val="0.87384201208293577"/>
          <c:w val="0.82376524838877152"/>
          <c:h val="0.10335434939004758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161536</xdr:colOff>
      <xdr:row>496</xdr:row>
      <xdr:rowOff>44654</xdr:rowOff>
    </xdr:from>
    <xdr:to>
      <xdr:col>31</xdr:col>
      <xdr:colOff>142272</xdr:colOff>
      <xdr:row>520</xdr:row>
      <xdr:rowOff>114147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B2C2F040-803B-485C-B2EA-BEE0938B72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AO%20T&#7888;C%20H&#7852;U%20GIANG-%20C&#192;%20MAU\G&#211;I%20TH&#7846;U%20XL03\H&#7842;I%20&#272;&#258;NG%20XL03\&#272;&#193;NH%20GI&#193;%20C&#7888;%20K&#7870;T\&#272;&#7906;T%202\SLQT\Km114+940.xlsx" TargetMode="External"/><Relationship Id="rId1" Type="http://schemas.openxmlformats.org/officeDocument/2006/relationships/externalLinkPath" Target="Km114+94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B&#193;O%20C&#193;O%20H&#7852;U%20GIANG%20C&#192;%20MAU/B&#225;o%20c&#225;o%20Thi%20S&#417;n/B&#193;O%20C&#193;O%20THI%20S&#416;N-XL02%20T01/B&#225;o%20c&#225;o%20thi%20s&#417;n%20T4/L&#250;n%20T4/Quan%20Trac%20Lun/QTL-%20THI%20S&#416;N%20km95+020-95+76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  <sheetName val="PIPE  CULVERT-SD8BN"/>
      <sheetName val="Reinf P1"/>
      <sheetName val="DK Thep"/>
      <sheetName val="TS Tru"/>
      <sheetName val="NC vung III"/>
      <sheetName val="DS_CHU_Ph_x0001__x3"/>
      <sheetName val="DS_CHU_Ph_x0001__x2"/>
      <sheetName val="산근"/>
      <sheetName val="Data_TH"/>
      <sheetName val="TH_Theo_doi"/>
      <sheetName val="KP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  <sheetName val="KL Lớp"/>
      <sheetName val="Doan"/>
      <sheetName val="DMHHOA"/>
      <sheetName val="CT35"/>
      <sheetName val="Nhân_côg6"/>
      <sheetName val="KL16"/>
      <sheetName val="KL17"/>
      <sheetName val="KL18"/>
      <sheetName val="KL19"/>
      <sheetName val="KL20"/>
      <sheetName val="KL21"/>
      <sheetName val="KL22"/>
      <sheetName val="KL23"/>
      <sheetName val="KL24"/>
      <sheetName val="KL25"/>
      <sheetName val="KL26"/>
      <sheetName val="KL27"/>
      <sheetName val="KL28"/>
      <sheetName val="KL29"/>
      <sheetName val="KL30"/>
      <sheetName val="KL31"/>
      <sheetName val="KL32"/>
      <sheetName val="KL33"/>
      <sheetName val="KL34"/>
      <sheetName val="KL35"/>
      <sheetName val="KL36"/>
      <sheetName val="KL37"/>
      <sheetName val="KL38"/>
      <sheetName val="KL39"/>
      <sheetName val="KL40"/>
      <sheetName val="KL41"/>
      <sheetName val="KL42"/>
      <sheetName val="KL43"/>
      <sheetName val="KL44"/>
      <sheetName val="KL45"/>
      <sheetName val="KL46"/>
      <sheetName val="KL47"/>
      <sheetName val="KL48"/>
      <sheetName val="KL49"/>
      <sheetName val="KL50"/>
      <sheetName val="KL51"/>
      <sheetName val="KL52"/>
      <sheetName val="KL53"/>
      <sheetName val="KL54"/>
      <sheetName val="KL55"/>
      <sheetName val="KL56"/>
      <sheetName val="KL57"/>
      <sheetName val="KL58"/>
      <sheetName val="BOQ-1"/>
      <sheetName val="thongtinchung"/>
      <sheetName val="Apt내역"/>
      <sheetName val="NC_May"/>
      <sheetName val="Dau vao"/>
      <sheetName val="質疑回答書"/>
      <sheetName val="5201.2004"/>
      <sheetName val="sub struc-Omission"/>
      <sheetName val="SUMMARY "/>
      <sheetName val="Tuning SF"/>
      <sheetName val="CTG Xây tô"/>
      <sheetName val="XLP"/>
      <sheetName val="DMTK"/>
      <sheetName val="ctiet mong DD"/>
      <sheetName val="Betong"/>
      <sheetName val="Vankhuon"/>
      <sheetName val="qty"/>
      <sheetName val="Combos"/>
      <sheetName val="Mã vật tư"/>
      <sheetName val="KH chi tiet 2019 (IN)"/>
      <sheetName val="Dinh muc CP KTCB khac"/>
      <sheetName val="TH May TC"/>
      <sheetName val="KLDT DIEN"/>
      <sheetName val="PTVT DIEN"/>
      <sheetName val="Thong ke thiet bi"/>
      <sheetName val="21"/>
      <sheetName val="TEN CONG TRINH"/>
      <sheetName val="KHOILUONGTHICONG"/>
      <sheetName val="MASSPROP"/>
      <sheetName val="C.tinh"/>
      <sheetName val="TCVN_1651-20082"/>
      <sheetName val="KL-C1"/>
      <sheetName val="So lieu"/>
      <sheetName val="FILE"/>
      <sheetName val="Pile-Br-Capacity"/>
      <sheetName val="도체종-상수표"/>
      <sheetName val="MÁY_PHÁT_x0000__x0000__x0000__x0000_N1"/>
      <sheetName val="TTin"/>
      <sheetName val="DT KHOAN DS"/>
      <sheetName val="Noi luc"/>
      <sheetName val="Data_NT"/>
      <sheetName val="MTC"/>
      <sheetName val="bang luong thang 6"/>
      <sheetName val="Gia NC theo QD 3987-QD-UBND"/>
      <sheetName val="LTMay"/>
      <sheetName val="Nlieu"/>
      <sheetName val="GIA TRI"/>
      <sheetName val="InvestALT"/>
      <sheetName val="lived_load"/>
      <sheetName val="TDT"/>
      <sheetName val="CK1+CK2_*VS_SAN_CHOI_23)12"/>
      <sheetName val="10.TM cũ"/>
      <sheetName val="B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9">
          <cell r="A9" t="str">
            <v>A</v>
          </cell>
        </row>
      </sheetData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4+940"/>
      <sheetName val="BC.114+940"/>
      <sheetName val="SL.114+940"/>
      <sheetName val="Sheet1"/>
    </sheetNames>
    <sheetDataSet>
      <sheetData sheetId="0">
        <row r="9">
          <cell r="M9">
            <v>842</v>
          </cell>
        </row>
        <row r="14">
          <cell r="S14">
            <v>0</v>
          </cell>
        </row>
        <row r="15">
          <cell r="S15">
            <v>0</v>
          </cell>
        </row>
        <row r="16">
          <cell r="S16">
            <v>0</v>
          </cell>
        </row>
        <row r="17">
          <cell r="S17">
            <v>0</v>
          </cell>
        </row>
        <row r="18">
          <cell r="S18">
            <v>0</v>
          </cell>
        </row>
        <row r="19">
          <cell r="S19">
            <v>0</v>
          </cell>
        </row>
        <row r="20">
          <cell r="S20">
            <v>0</v>
          </cell>
        </row>
        <row r="21">
          <cell r="S21">
            <v>0</v>
          </cell>
        </row>
        <row r="22">
          <cell r="S22">
            <v>0</v>
          </cell>
        </row>
        <row r="23">
          <cell r="S23">
            <v>0</v>
          </cell>
        </row>
        <row r="24">
          <cell r="S24">
            <v>0</v>
          </cell>
        </row>
        <row r="25">
          <cell r="S25">
            <v>0</v>
          </cell>
        </row>
        <row r="26">
          <cell r="S26">
            <v>0</v>
          </cell>
        </row>
        <row r="27">
          <cell r="S27">
            <v>0</v>
          </cell>
        </row>
        <row r="28">
          <cell r="S28">
            <v>0</v>
          </cell>
        </row>
        <row r="29">
          <cell r="S29">
            <v>0</v>
          </cell>
        </row>
        <row r="30">
          <cell r="S30">
            <v>0</v>
          </cell>
        </row>
        <row r="31">
          <cell r="S31">
            <v>0</v>
          </cell>
        </row>
        <row r="32">
          <cell r="S32">
            <v>0</v>
          </cell>
        </row>
        <row r="33">
          <cell r="S33">
            <v>0</v>
          </cell>
        </row>
        <row r="34">
          <cell r="S34">
            <v>0</v>
          </cell>
        </row>
        <row r="35">
          <cell r="S35">
            <v>0</v>
          </cell>
        </row>
        <row r="36">
          <cell r="S36">
            <v>0</v>
          </cell>
        </row>
        <row r="37">
          <cell r="S37">
            <v>7</v>
          </cell>
        </row>
        <row r="38">
          <cell r="S38">
            <v>3</v>
          </cell>
        </row>
        <row r="39">
          <cell r="S39">
            <v>4</v>
          </cell>
        </row>
        <row r="40">
          <cell r="S40">
            <v>5</v>
          </cell>
        </row>
        <row r="41">
          <cell r="S41">
            <v>9</v>
          </cell>
        </row>
        <row r="42">
          <cell r="S42">
            <v>4</v>
          </cell>
        </row>
        <row r="43">
          <cell r="S43">
            <v>9</v>
          </cell>
        </row>
        <row r="44">
          <cell r="S44">
            <v>4</v>
          </cell>
        </row>
        <row r="45">
          <cell r="S45">
            <v>7</v>
          </cell>
        </row>
        <row r="46">
          <cell r="S46">
            <v>3</v>
          </cell>
        </row>
        <row r="47">
          <cell r="S47">
            <v>4</v>
          </cell>
        </row>
        <row r="48">
          <cell r="S48">
            <v>5</v>
          </cell>
        </row>
        <row r="49">
          <cell r="S49">
            <v>9</v>
          </cell>
        </row>
        <row r="50">
          <cell r="S50">
            <v>4</v>
          </cell>
        </row>
        <row r="51">
          <cell r="S51">
            <v>3</v>
          </cell>
        </row>
        <row r="52">
          <cell r="S52">
            <v>2</v>
          </cell>
        </row>
        <row r="53">
          <cell r="S53">
            <v>4</v>
          </cell>
        </row>
        <row r="54">
          <cell r="S54">
            <v>4</v>
          </cell>
        </row>
        <row r="55">
          <cell r="S55">
            <v>8</v>
          </cell>
        </row>
        <row r="56">
          <cell r="S56">
            <v>5</v>
          </cell>
        </row>
        <row r="57">
          <cell r="S57">
            <v>4</v>
          </cell>
        </row>
        <row r="58">
          <cell r="S58">
            <v>3</v>
          </cell>
        </row>
        <row r="59">
          <cell r="S59">
            <v>2</v>
          </cell>
        </row>
        <row r="60">
          <cell r="S60">
            <v>3</v>
          </cell>
        </row>
        <row r="61">
          <cell r="S61">
            <v>8</v>
          </cell>
        </row>
        <row r="62">
          <cell r="S62">
            <v>5</v>
          </cell>
        </row>
        <row r="63">
          <cell r="S63">
            <v>4</v>
          </cell>
        </row>
        <row r="64">
          <cell r="S64">
            <v>3</v>
          </cell>
        </row>
        <row r="65">
          <cell r="S65">
            <v>2</v>
          </cell>
        </row>
        <row r="66">
          <cell r="S66">
            <v>1</v>
          </cell>
        </row>
        <row r="67">
          <cell r="S67">
            <v>0</v>
          </cell>
        </row>
        <row r="68">
          <cell r="S68">
            <v>1</v>
          </cell>
        </row>
        <row r="69">
          <cell r="S69">
            <v>0</v>
          </cell>
        </row>
        <row r="70">
          <cell r="S70">
            <v>1</v>
          </cell>
        </row>
        <row r="71">
          <cell r="S71">
            <v>0</v>
          </cell>
        </row>
        <row r="72">
          <cell r="S72">
            <v>1</v>
          </cell>
        </row>
        <row r="73">
          <cell r="S73">
            <v>1</v>
          </cell>
        </row>
        <row r="74">
          <cell r="S74">
            <v>0</v>
          </cell>
        </row>
        <row r="75">
          <cell r="S75">
            <v>1</v>
          </cell>
        </row>
        <row r="76">
          <cell r="S76">
            <v>1</v>
          </cell>
        </row>
        <row r="77">
          <cell r="S77">
            <v>0</v>
          </cell>
        </row>
        <row r="78">
          <cell r="S78">
            <v>0</v>
          </cell>
        </row>
        <row r="79">
          <cell r="S79">
            <v>0</v>
          </cell>
        </row>
        <row r="80">
          <cell r="S80">
            <v>0</v>
          </cell>
        </row>
        <row r="81">
          <cell r="S81">
            <v>0</v>
          </cell>
        </row>
        <row r="82">
          <cell r="S82">
            <v>0</v>
          </cell>
        </row>
        <row r="83">
          <cell r="S83">
            <v>0</v>
          </cell>
        </row>
        <row r="84">
          <cell r="S84">
            <v>0</v>
          </cell>
        </row>
        <row r="85">
          <cell r="S85">
            <v>0</v>
          </cell>
        </row>
        <row r="86">
          <cell r="S86">
            <v>0</v>
          </cell>
        </row>
        <row r="87">
          <cell r="S87">
            <v>0</v>
          </cell>
        </row>
        <row r="88">
          <cell r="S88">
            <v>0</v>
          </cell>
        </row>
        <row r="89">
          <cell r="S89">
            <v>0</v>
          </cell>
        </row>
        <row r="90">
          <cell r="S90">
            <v>0</v>
          </cell>
        </row>
        <row r="91">
          <cell r="S91">
            <v>0</v>
          </cell>
        </row>
        <row r="92">
          <cell r="S92">
            <v>0</v>
          </cell>
        </row>
        <row r="93">
          <cell r="S93">
            <v>0</v>
          </cell>
        </row>
        <row r="94">
          <cell r="S94">
            <v>0</v>
          </cell>
        </row>
        <row r="95">
          <cell r="S95">
            <v>0</v>
          </cell>
        </row>
        <row r="96">
          <cell r="S96">
            <v>0</v>
          </cell>
        </row>
        <row r="97">
          <cell r="S97">
            <v>0</v>
          </cell>
        </row>
        <row r="98">
          <cell r="S98">
            <v>0</v>
          </cell>
        </row>
        <row r="99">
          <cell r="S99">
            <v>0</v>
          </cell>
        </row>
        <row r="100">
          <cell r="S100">
            <v>0</v>
          </cell>
        </row>
        <row r="101">
          <cell r="S101">
            <v>0</v>
          </cell>
        </row>
        <row r="102">
          <cell r="S102">
            <v>0</v>
          </cell>
        </row>
        <row r="103">
          <cell r="S103">
            <v>0</v>
          </cell>
        </row>
        <row r="104">
          <cell r="S104">
            <v>0</v>
          </cell>
        </row>
        <row r="105">
          <cell r="S105">
            <v>0</v>
          </cell>
        </row>
        <row r="106">
          <cell r="S106">
            <v>0</v>
          </cell>
        </row>
        <row r="107">
          <cell r="S107">
            <v>0</v>
          </cell>
        </row>
        <row r="108">
          <cell r="S108">
            <v>0</v>
          </cell>
        </row>
        <row r="109">
          <cell r="S109">
            <v>0</v>
          </cell>
        </row>
        <row r="110">
          <cell r="S110">
            <v>0</v>
          </cell>
        </row>
        <row r="111">
          <cell r="S111">
            <v>0</v>
          </cell>
        </row>
        <row r="112">
          <cell r="S112">
            <v>0</v>
          </cell>
        </row>
        <row r="113">
          <cell r="S113">
            <v>0</v>
          </cell>
        </row>
        <row r="114">
          <cell r="S114">
            <v>0</v>
          </cell>
        </row>
        <row r="115">
          <cell r="S115">
            <v>0</v>
          </cell>
        </row>
        <row r="116">
          <cell r="S116">
            <v>0</v>
          </cell>
        </row>
        <row r="117">
          <cell r="S117">
            <v>0</v>
          </cell>
        </row>
        <row r="118">
          <cell r="S118">
            <v>0</v>
          </cell>
        </row>
        <row r="119">
          <cell r="S119">
            <v>0</v>
          </cell>
        </row>
        <row r="120">
          <cell r="S120">
            <v>0</v>
          </cell>
        </row>
        <row r="121">
          <cell r="S121">
            <v>0</v>
          </cell>
        </row>
        <row r="122">
          <cell r="S122">
            <v>0</v>
          </cell>
        </row>
        <row r="123">
          <cell r="S123">
            <v>0</v>
          </cell>
        </row>
        <row r="124">
          <cell r="S124">
            <v>0</v>
          </cell>
        </row>
        <row r="125">
          <cell r="S125">
            <v>0</v>
          </cell>
        </row>
        <row r="126">
          <cell r="S126">
            <v>0</v>
          </cell>
        </row>
        <row r="127">
          <cell r="S127">
            <v>0</v>
          </cell>
        </row>
        <row r="128">
          <cell r="S128">
            <v>0</v>
          </cell>
        </row>
        <row r="129">
          <cell r="S129">
            <v>0</v>
          </cell>
        </row>
        <row r="130">
          <cell r="S130">
            <v>0</v>
          </cell>
        </row>
        <row r="131">
          <cell r="S131">
            <v>0</v>
          </cell>
        </row>
        <row r="132">
          <cell r="S132">
            <v>0</v>
          </cell>
        </row>
        <row r="133">
          <cell r="S133">
            <v>0</v>
          </cell>
        </row>
        <row r="134">
          <cell r="S134">
            <v>0</v>
          </cell>
        </row>
        <row r="135">
          <cell r="S135">
            <v>0</v>
          </cell>
        </row>
        <row r="136">
          <cell r="S136">
            <v>0</v>
          </cell>
        </row>
        <row r="137">
          <cell r="S137">
            <v>0</v>
          </cell>
        </row>
        <row r="138">
          <cell r="S138">
            <v>0</v>
          </cell>
        </row>
        <row r="139">
          <cell r="S139">
            <v>0</v>
          </cell>
        </row>
        <row r="140">
          <cell r="S140">
            <v>8</v>
          </cell>
        </row>
        <row r="141">
          <cell r="S141">
            <v>3</v>
          </cell>
        </row>
        <row r="142">
          <cell r="S142">
            <v>4</v>
          </cell>
        </row>
        <row r="143">
          <cell r="S143">
            <v>4</v>
          </cell>
        </row>
        <row r="144">
          <cell r="S144">
            <v>9</v>
          </cell>
        </row>
        <row r="145">
          <cell r="S145">
            <v>3</v>
          </cell>
        </row>
        <row r="146">
          <cell r="S146">
            <v>4</v>
          </cell>
        </row>
        <row r="147">
          <cell r="S147">
            <v>2</v>
          </cell>
        </row>
        <row r="148">
          <cell r="S148">
            <v>5</v>
          </cell>
        </row>
        <row r="149">
          <cell r="S149">
            <v>8</v>
          </cell>
        </row>
        <row r="150">
          <cell r="S150">
            <v>4</v>
          </cell>
        </row>
        <row r="151">
          <cell r="S151">
            <v>3</v>
          </cell>
        </row>
        <row r="152">
          <cell r="S152">
            <v>1</v>
          </cell>
        </row>
        <row r="153">
          <cell r="S153">
            <v>1</v>
          </cell>
        </row>
        <row r="154">
          <cell r="S154">
            <v>1</v>
          </cell>
        </row>
        <row r="155">
          <cell r="S155">
            <v>3</v>
          </cell>
        </row>
        <row r="156">
          <cell r="S156">
            <v>1</v>
          </cell>
        </row>
        <row r="157">
          <cell r="S157">
            <v>2</v>
          </cell>
        </row>
        <row r="158">
          <cell r="S158">
            <v>1</v>
          </cell>
        </row>
        <row r="159">
          <cell r="S159">
            <v>2</v>
          </cell>
        </row>
        <row r="160">
          <cell r="S160">
            <v>2</v>
          </cell>
        </row>
        <row r="161">
          <cell r="S161">
            <v>0</v>
          </cell>
        </row>
        <row r="162">
          <cell r="S162">
            <v>1</v>
          </cell>
        </row>
        <row r="163">
          <cell r="S163">
            <v>0</v>
          </cell>
        </row>
        <row r="164">
          <cell r="S164">
            <v>0</v>
          </cell>
        </row>
        <row r="165">
          <cell r="S165">
            <v>0</v>
          </cell>
        </row>
        <row r="166">
          <cell r="S166">
            <v>0</v>
          </cell>
        </row>
        <row r="167">
          <cell r="S167">
            <v>0</v>
          </cell>
        </row>
        <row r="168">
          <cell r="S168">
            <v>0</v>
          </cell>
        </row>
        <row r="169">
          <cell r="S169">
            <v>0</v>
          </cell>
        </row>
        <row r="170">
          <cell r="S170">
            <v>0</v>
          </cell>
        </row>
        <row r="171">
          <cell r="S171">
            <v>0</v>
          </cell>
        </row>
        <row r="172">
          <cell r="S172">
            <v>0</v>
          </cell>
        </row>
        <row r="173">
          <cell r="S173">
            <v>0</v>
          </cell>
        </row>
        <row r="174">
          <cell r="S174">
            <v>0</v>
          </cell>
        </row>
        <row r="175">
          <cell r="S175">
            <v>0</v>
          </cell>
        </row>
        <row r="176">
          <cell r="S176">
            <v>0</v>
          </cell>
        </row>
        <row r="177">
          <cell r="S177">
            <v>0</v>
          </cell>
        </row>
        <row r="178">
          <cell r="S178">
            <v>0</v>
          </cell>
        </row>
        <row r="179">
          <cell r="S179">
            <v>0</v>
          </cell>
        </row>
        <row r="180">
          <cell r="S180">
            <v>0</v>
          </cell>
        </row>
        <row r="181">
          <cell r="S181">
            <v>0</v>
          </cell>
        </row>
        <row r="182">
          <cell r="S182">
            <v>0</v>
          </cell>
        </row>
        <row r="183">
          <cell r="S183">
            <v>0</v>
          </cell>
        </row>
        <row r="184">
          <cell r="S184">
            <v>0</v>
          </cell>
        </row>
        <row r="185">
          <cell r="S185">
            <v>0</v>
          </cell>
        </row>
        <row r="186">
          <cell r="S186">
            <v>0</v>
          </cell>
        </row>
        <row r="187">
          <cell r="S187">
            <v>0</v>
          </cell>
        </row>
        <row r="188">
          <cell r="S188">
            <v>0</v>
          </cell>
        </row>
        <row r="189">
          <cell r="S189">
            <v>0</v>
          </cell>
        </row>
        <row r="190">
          <cell r="S190">
            <v>0</v>
          </cell>
        </row>
        <row r="191">
          <cell r="S191">
            <v>0</v>
          </cell>
        </row>
        <row r="192">
          <cell r="S192">
            <v>0</v>
          </cell>
        </row>
        <row r="193">
          <cell r="S193">
            <v>0</v>
          </cell>
        </row>
        <row r="194">
          <cell r="S194">
            <v>0</v>
          </cell>
        </row>
        <row r="195">
          <cell r="S195">
            <v>0</v>
          </cell>
        </row>
        <row r="196">
          <cell r="S196">
            <v>0</v>
          </cell>
        </row>
        <row r="197">
          <cell r="S197">
            <v>0</v>
          </cell>
        </row>
        <row r="198">
          <cell r="S198">
            <v>0</v>
          </cell>
        </row>
        <row r="199">
          <cell r="S199">
            <v>0</v>
          </cell>
        </row>
        <row r="200">
          <cell r="S200">
            <v>0</v>
          </cell>
        </row>
        <row r="201">
          <cell r="S201">
            <v>0</v>
          </cell>
        </row>
        <row r="202">
          <cell r="S202">
            <v>0</v>
          </cell>
        </row>
        <row r="203">
          <cell r="S203">
            <v>0</v>
          </cell>
        </row>
        <row r="204">
          <cell r="S204">
            <v>0</v>
          </cell>
        </row>
        <row r="205">
          <cell r="S205">
            <v>0</v>
          </cell>
        </row>
        <row r="206">
          <cell r="S206">
            <v>0</v>
          </cell>
        </row>
        <row r="207">
          <cell r="S207">
            <v>0</v>
          </cell>
        </row>
        <row r="208">
          <cell r="S208">
            <v>0</v>
          </cell>
        </row>
        <row r="209">
          <cell r="S209">
            <v>0</v>
          </cell>
        </row>
        <row r="210">
          <cell r="S210">
            <v>0</v>
          </cell>
        </row>
        <row r="211">
          <cell r="S211">
            <v>0</v>
          </cell>
        </row>
        <row r="212">
          <cell r="S212">
            <v>0</v>
          </cell>
        </row>
        <row r="213">
          <cell r="S213">
            <v>0</v>
          </cell>
        </row>
        <row r="214">
          <cell r="S214">
            <v>0</v>
          </cell>
        </row>
        <row r="215">
          <cell r="S215">
            <v>0</v>
          </cell>
        </row>
        <row r="216">
          <cell r="S216">
            <v>0</v>
          </cell>
        </row>
        <row r="217">
          <cell r="S217">
            <v>0</v>
          </cell>
        </row>
        <row r="218">
          <cell r="S218">
            <v>0</v>
          </cell>
        </row>
        <row r="219">
          <cell r="S219">
            <v>0</v>
          </cell>
        </row>
        <row r="220">
          <cell r="S220">
            <v>0</v>
          </cell>
        </row>
        <row r="221">
          <cell r="S221">
            <v>0</v>
          </cell>
        </row>
        <row r="222">
          <cell r="S222">
            <v>0</v>
          </cell>
        </row>
        <row r="223">
          <cell r="S223">
            <v>0</v>
          </cell>
        </row>
        <row r="224">
          <cell r="S224">
            <v>0</v>
          </cell>
        </row>
        <row r="225">
          <cell r="S225">
            <v>0</v>
          </cell>
        </row>
        <row r="226">
          <cell r="S226">
            <v>0</v>
          </cell>
        </row>
        <row r="227">
          <cell r="S227">
            <v>0</v>
          </cell>
        </row>
        <row r="228">
          <cell r="S228">
            <v>0</v>
          </cell>
        </row>
        <row r="229">
          <cell r="S229">
            <v>0</v>
          </cell>
        </row>
        <row r="230">
          <cell r="S230">
            <v>0</v>
          </cell>
        </row>
        <row r="231">
          <cell r="S231">
            <v>0</v>
          </cell>
        </row>
        <row r="232">
          <cell r="S232">
            <v>0</v>
          </cell>
        </row>
        <row r="233">
          <cell r="S233">
            <v>0</v>
          </cell>
        </row>
        <row r="234">
          <cell r="S234">
            <v>0</v>
          </cell>
        </row>
        <row r="235">
          <cell r="S235">
            <v>0</v>
          </cell>
        </row>
        <row r="236">
          <cell r="S236">
            <v>0</v>
          </cell>
        </row>
        <row r="237">
          <cell r="S237">
            <v>0</v>
          </cell>
        </row>
        <row r="238">
          <cell r="S238">
            <v>0</v>
          </cell>
        </row>
        <row r="239">
          <cell r="S239">
            <v>0</v>
          </cell>
        </row>
        <row r="240">
          <cell r="S240">
            <v>0</v>
          </cell>
        </row>
        <row r="241">
          <cell r="S241">
            <v>0</v>
          </cell>
        </row>
        <row r="242">
          <cell r="S242">
            <v>0</v>
          </cell>
        </row>
        <row r="243">
          <cell r="S243">
            <v>0</v>
          </cell>
        </row>
        <row r="244">
          <cell r="S244">
            <v>0</v>
          </cell>
        </row>
        <row r="245">
          <cell r="S245">
            <v>0</v>
          </cell>
        </row>
        <row r="246">
          <cell r="S246">
            <v>0</v>
          </cell>
        </row>
        <row r="247">
          <cell r="S247">
            <v>0</v>
          </cell>
        </row>
        <row r="248">
          <cell r="S248">
            <v>0</v>
          </cell>
        </row>
        <row r="249">
          <cell r="S249">
            <v>0</v>
          </cell>
        </row>
        <row r="250">
          <cell r="S250">
            <v>0</v>
          </cell>
        </row>
        <row r="251">
          <cell r="S251">
            <v>0</v>
          </cell>
        </row>
        <row r="252">
          <cell r="S252">
            <v>0</v>
          </cell>
        </row>
        <row r="253">
          <cell r="S253">
            <v>0</v>
          </cell>
        </row>
        <row r="254">
          <cell r="S254">
            <v>0</v>
          </cell>
        </row>
        <row r="255">
          <cell r="S255">
            <v>0</v>
          </cell>
        </row>
        <row r="256">
          <cell r="S256">
            <v>0</v>
          </cell>
        </row>
        <row r="257">
          <cell r="S257">
            <v>0</v>
          </cell>
        </row>
        <row r="258">
          <cell r="S258">
            <v>0</v>
          </cell>
        </row>
        <row r="259">
          <cell r="S259">
            <v>0</v>
          </cell>
        </row>
        <row r="260">
          <cell r="S260">
            <v>0</v>
          </cell>
        </row>
        <row r="261">
          <cell r="S261">
            <v>0</v>
          </cell>
        </row>
        <row r="262">
          <cell r="S262">
            <v>0</v>
          </cell>
        </row>
        <row r="263">
          <cell r="S263">
            <v>0</v>
          </cell>
        </row>
        <row r="264">
          <cell r="S264">
            <v>0</v>
          </cell>
        </row>
        <row r="265">
          <cell r="S265">
            <v>0</v>
          </cell>
        </row>
        <row r="266">
          <cell r="S266">
            <v>0</v>
          </cell>
        </row>
        <row r="267">
          <cell r="S267">
            <v>0</v>
          </cell>
        </row>
        <row r="268">
          <cell r="S268">
            <v>0</v>
          </cell>
        </row>
        <row r="269">
          <cell r="S269">
            <v>0</v>
          </cell>
        </row>
        <row r="270">
          <cell r="S270">
            <v>0</v>
          </cell>
        </row>
        <row r="271">
          <cell r="S271">
            <v>0</v>
          </cell>
        </row>
        <row r="272">
          <cell r="S272">
            <v>0</v>
          </cell>
        </row>
        <row r="273">
          <cell r="S273">
            <v>0</v>
          </cell>
        </row>
        <row r="274">
          <cell r="S274">
            <v>0</v>
          </cell>
        </row>
        <row r="275">
          <cell r="S275">
            <v>0</v>
          </cell>
        </row>
        <row r="276">
          <cell r="S276">
            <v>0</v>
          </cell>
        </row>
        <row r="277">
          <cell r="S277">
            <v>0</v>
          </cell>
        </row>
        <row r="278">
          <cell r="S278">
            <v>0</v>
          </cell>
        </row>
        <row r="279">
          <cell r="S279">
            <v>0</v>
          </cell>
        </row>
        <row r="280">
          <cell r="S280">
            <v>0</v>
          </cell>
        </row>
        <row r="281">
          <cell r="S281">
            <v>0</v>
          </cell>
        </row>
        <row r="282">
          <cell r="S282">
            <v>0</v>
          </cell>
        </row>
        <row r="283">
          <cell r="S283">
            <v>0</v>
          </cell>
        </row>
        <row r="284">
          <cell r="S284">
            <v>0</v>
          </cell>
        </row>
        <row r="285">
          <cell r="S285">
            <v>0</v>
          </cell>
        </row>
        <row r="286">
          <cell r="S286">
            <v>0</v>
          </cell>
        </row>
        <row r="287">
          <cell r="S287">
            <v>0</v>
          </cell>
        </row>
        <row r="288">
          <cell r="S288">
            <v>0</v>
          </cell>
        </row>
        <row r="289">
          <cell r="S289">
            <v>0</v>
          </cell>
        </row>
        <row r="290">
          <cell r="S290">
            <v>0</v>
          </cell>
        </row>
        <row r="291">
          <cell r="S291">
            <v>0</v>
          </cell>
        </row>
        <row r="292">
          <cell r="S292">
            <v>0</v>
          </cell>
        </row>
        <row r="293">
          <cell r="S293">
            <v>0</v>
          </cell>
        </row>
        <row r="294">
          <cell r="S294">
            <v>0</v>
          </cell>
        </row>
        <row r="295">
          <cell r="S295">
            <v>0</v>
          </cell>
        </row>
        <row r="296">
          <cell r="S296">
            <v>0</v>
          </cell>
        </row>
        <row r="297">
          <cell r="S297">
            <v>0</v>
          </cell>
        </row>
        <row r="298">
          <cell r="S298">
            <v>0</v>
          </cell>
        </row>
        <row r="299">
          <cell r="S299">
            <v>0</v>
          </cell>
        </row>
        <row r="300">
          <cell r="S300">
            <v>0</v>
          </cell>
        </row>
        <row r="301">
          <cell r="S301">
            <v>0</v>
          </cell>
        </row>
        <row r="302">
          <cell r="S302">
            <v>0</v>
          </cell>
        </row>
        <row r="303">
          <cell r="S303">
            <v>0</v>
          </cell>
        </row>
        <row r="304">
          <cell r="S304">
            <v>0</v>
          </cell>
        </row>
        <row r="305">
          <cell r="S305">
            <v>0</v>
          </cell>
        </row>
        <row r="306">
          <cell r="S306">
            <v>0</v>
          </cell>
        </row>
        <row r="307">
          <cell r="S307">
            <v>0</v>
          </cell>
        </row>
        <row r="308">
          <cell r="S308">
            <v>0</v>
          </cell>
        </row>
        <row r="309">
          <cell r="S309">
            <v>0</v>
          </cell>
        </row>
        <row r="310">
          <cell r="S310">
            <v>0</v>
          </cell>
        </row>
        <row r="311">
          <cell r="S311">
            <v>0</v>
          </cell>
        </row>
        <row r="312">
          <cell r="S312">
            <v>0</v>
          </cell>
        </row>
        <row r="313">
          <cell r="S313">
            <v>0</v>
          </cell>
        </row>
        <row r="314">
          <cell r="S314">
            <v>0</v>
          </cell>
        </row>
        <row r="315">
          <cell r="S315">
            <v>0</v>
          </cell>
        </row>
        <row r="316">
          <cell r="S316">
            <v>0</v>
          </cell>
        </row>
        <row r="317">
          <cell r="S317">
            <v>0</v>
          </cell>
        </row>
        <row r="318">
          <cell r="S318">
            <v>0</v>
          </cell>
        </row>
        <row r="319">
          <cell r="S319">
            <v>0</v>
          </cell>
        </row>
        <row r="320">
          <cell r="S320">
            <v>0</v>
          </cell>
        </row>
        <row r="321">
          <cell r="S321">
            <v>0</v>
          </cell>
        </row>
        <row r="322">
          <cell r="S322">
            <v>0</v>
          </cell>
        </row>
        <row r="323">
          <cell r="S323">
            <v>0</v>
          </cell>
        </row>
        <row r="324">
          <cell r="S324">
            <v>0</v>
          </cell>
        </row>
        <row r="325">
          <cell r="S325">
            <v>0</v>
          </cell>
        </row>
        <row r="326">
          <cell r="S326">
            <v>0</v>
          </cell>
        </row>
        <row r="327">
          <cell r="S327">
            <v>0</v>
          </cell>
        </row>
        <row r="328">
          <cell r="S328">
            <v>0</v>
          </cell>
        </row>
        <row r="329">
          <cell r="S329">
            <v>0</v>
          </cell>
        </row>
        <row r="330">
          <cell r="S330">
            <v>0</v>
          </cell>
        </row>
        <row r="331">
          <cell r="S331">
            <v>0</v>
          </cell>
        </row>
        <row r="332">
          <cell r="S332">
            <v>0</v>
          </cell>
        </row>
        <row r="333">
          <cell r="S333">
            <v>0</v>
          </cell>
        </row>
        <row r="334">
          <cell r="S334">
            <v>0</v>
          </cell>
        </row>
        <row r="335">
          <cell r="S335">
            <v>0</v>
          </cell>
        </row>
        <row r="336">
          <cell r="S336">
            <v>0</v>
          </cell>
        </row>
        <row r="337">
          <cell r="S337">
            <v>0</v>
          </cell>
        </row>
        <row r="338">
          <cell r="S338">
            <v>0</v>
          </cell>
        </row>
        <row r="339">
          <cell r="S339">
            <v>0</v>
          </cell>
        </row>
        <row r="340">
          <cell r="S340">
            <v>0</v>
          </cell>
        </row>
        <row r="341">
          <cell r="S341">
            <v>0</v>
          </cell>
        </row>
        <row r="342">
          <cell r="S342">
            <v>0</v>
          </cell>
        </row>
        <row r="343">
          <cell r="S343">
            <v>0</v>
          </cell>
        </row>
        <row r="344">
          <cell r="S344">
            <v>0</v>
          </cell>
        </row>
        <row r="345">
          <cell r="S345">
            <v>0</v>
          </cell>
        </row>
        <row r="346">
          <cell r="S346">
            <v>0</v>
          </cell>
        </row>
        <row r="347">
          <cell r="S347">
            <v>0</v>
          </cell>
        </row>
        <row r="348">
          <cell r="S348">
            <v>0</v>
          </cell>
        </row>
        <row r="349">
          <cell r="S349">
            <v>0</v>
          </cell>
        </row>
        <row r="350">
          <cell r="S350">
            <v>0</v>
          </cell>
        </row>
        <row r="351">
          <cell r="S351">
            <v>0</v>
          </cell>
        </row>
        <row r="352">
          <cell r="S352">
            <v>0</v>
          </cell>
        </row>
        <row r="353">
          <cell r="S353">
            <v>0</v>
          </cell>
        </row>
        <row r="354">
          <cell r="S354">
            <v>0</v>
          </cell>
        </row>
        <row r="355">
          <cell r="S355">
            <v>0</v>
          </cell>
        </row>
        <row r="356">
          <cell r="S356">
            <v>0</v>
          </cell>
        </row>
        <row r="357">
          <cell r="S357">
            <v>0</v>
          </cell>
        </row>
        <row r="358">
          <cell r="S358">
            <v>0</v>
          </cell>
        </row>
        <row r="359">
          <cell r="S359">
            <v>0</v>
          </cell>
        </row>
        <row r="360">
          <cell r="S360">
            <v>0</v>
          </cell>
        </row>
        <row r="361">
          <cell r="S361">
            <v>0</v>
          </cell>
        </row>
        <row r="362">
          <cell r="S362">
            <v>0</v>
          </cell>
        </row>
        <row r="363">
          <cell r="S363">
            <v>0</v>
          </cell>
        </row>
        <row r="364">
          <cell r="S364">
            <v>0</v>
          </cell>
        </row>
        <row r="365">
          <cell r="S365">
            <v>0</v>
          </cell>
        </row>
        <row r="366">
          <cell r="S366">
            <v>0</v>
          </cell>
        </row>
        <row r="367">
          <cell r="S367">
            <v>0</v>
          </cell>
        </row>
        <row r="368">
          <cell r="S368">
            <v>0</v>
          </cell>
        </row>
        <row r="369">
          <cell r="S369">
            <v>0</v>
          </cell>
        </row>
        <row r="370">
          <cell r="S370">
            <v>0</v>
          </cell>
        </row>
        <row r="371">
          <cell r="S371">
            <v>0</v>
          </cell>
        </row>
        <row r="372">
          <cell r="S372">
            <v>0</v>
          </cell>
        </row>
        <row r="373">
          <cell r="S373">
            <v>0</v>
          </cell>
        </row>
        <row r="374">
          <cell r="S374">
            <v>0</v>
          </cell>
        </row>
        <row r="375">
          <cell r="S375">
            <v>0</v>
          </cell>
        </row>
        <row r="376">
          <cell r="S376">
            <v>0</v>
          </cell>
        </row>
        <row r="377">
          <cell r="S377">
            <v>0</v>
          </cell>
        </row>
        <row r="378">
          <cell r="S378">
            <v>0</v>
          </cell>
        </row>
        <row r="379">
          <cell r="S379">
            <v>0</v>
          </cell>
        </row>
        <row r="380">
          <cell r="S380">
            <v>0</v>
          </cell>
        </row>
        <row r="381">
          <cell r="S381">
            <v>0</v>
          </cell>
        </row>
        <row r="382">
          <cell r="S382">
            <v>0</v>
          </cell>
        </row>
        <row r="383">
          <cell r="S383">
            <v>0</v>
          </cell>
        </row>
        <row r="384">
          <cell r="S384">
            <v>0</v>
          </cell>
        </row>
        <row r="385">
          <cell r="S385">
            <v>0</v>
          </cell>
        </row>
        <row r="386">
          <cell r="S386">
            <v>10</v>
          </cell>
        </row>
        <row r="387">
          <cell r="S387">
            <v>8</v>
          </cell>
        </row>
        <row r="388">
          <cell r="S388">
            <v>5</v>
          </cell>
        </row>
        <row r="389">
          <cell r="S389">
            <v>6</v>
          </cell>
        </row>
        <row r="390">
          <cell r="S390">
            <v>6</v>
          </cell>
        </row>
        <row r="391">
          <cell r="S391">
            <v>10</v>
          </cell>
        </row>
        <row r="392">
          <cell r="S392">
            <v>10</v>
          </cell>
        </row>
        <row r="393">
          <cell r="S393">
            <v>4</v>
          </cell>
        </row>
        <row r="394">
          <cell r="S394">
            <v>2</v>
          </cell>
        </row>
        <row r="395">
          <cell r="S395">
            <v>6</v>
          </cell>
        </row>
        <row r="396">
          <cell r="S396">
            <v>10</v>
          </cell>
        </row>
        <row r="397">
          <cell r="S397">
            <v>10</v>
          </cell>
        </row>
        <row r="398">
          <cell r="S398">
            <v>4</v>
          </cell>
        </row>
        <row r="399">
          <cell r="S399">
            <v>2</v>
          </cell>
        </row>
        <row r="400">
          <cell r="S400">
            <v>6</v>
          </cell>
        </row>
        <row r="401">
          <cell r="S401">
            <v>8</v>
          </cell>
        </row>
        <row r="402">
          <cell r="S402">
            <v>7</v>
          </cell>
        </row>
        <row r="403">
          <cell r="S403">
            <v>8</v>
          </cell>
        </row>
        <row r="404">
          <cell r="S404">
            <v>7</v>
          </cell>
        </row>
        <row r="405">
          <cell r="S405">
            <v>6</v>
          </cell>
        </row>
        <row r="406">
          <cell r="S406">
            <v>8</v>
          </cell>
        </row>
        <row r="407">
          <cell r="S407">
            <v>7</v>
          </cell>
        </row>
        <row r="408">
          <cell r="S408">
            <v>9</v>
          </cell>
        </row>
        <row r="409">
          <cell r="S409">
            <v>8</v>
          </cell>
        </row>
        <row r="410">
          <cell r="S410">
            <v>8</v>
          </cell>
        </row>
        <row r="411">
          <cell r="S411">
            <v>9</v>
          </cell>
        </row>
        <row r="412">
          <cell r="S412">
            <v>9</v>
          </cell>
        </row>
        <row r="413">
          <cell r="S413">
            <v>8</v>
          </cell>
        </row>
        <row r="414">
          <cell r="S414">
            <v>9</v>
          </cell>
        </row>
        <row r="415">
          <cell r="S415">
            <v>8</v>
          </cell>
        </row>
        <row r="416">
          <cell r="S416">
            <v>7</v>
          </cell>
        </row>
        <row r="417">
          <cell r="S417">
            <v>9</v>
          </cell>
        </row>
        <row r="418">
          <cell r="S418">
            <v>8</v>
          </cell>
        </row>
        <row r="419">
          <cell r="S419">
            <v>8</v>
          </cell>
        </row>
        <row r="420">
          <cell r="S420">
            <v>7</v>
          </cell>
        </row>
        <row r="421">
          <cell r="S421">
            <v>7</v>
          </cell>
        </row>
        <row r="422">
          <cell r="S422">
            <v>6</v>
          </cell>
        </row>
        <row r="423">
          <cell r="S423">
            <v>7</v>
          </cell>
        </row>
        <row r="424">
          <cell r="S424">
            <v>6</v>
          </cell>
        </row>
        <row r="425">
          <cell r="S425">
            <v>8</v>
          </cell>
        </row>
        <row r="426">
          <cell r="S426">
            <v>7</v>
          </cell>
        </row>
        <row r="427">
          <cell r="S427">
            <v>9</v>
          </cell>
        </row>
        <row r="428">
          <cell r="S428">
            <v>8</v>
          </cell>
        </row>
        <row r="429">
          <cell r="S429">
            <v>8</v>
          </cell>
        </row>
        <row r="430">
          <cell r="S430">
            <v>9</v>
          </cell>
        </row>
        <row r="431">
          <cell r="S431">
            <v>9</v>
          </cell>
        </row>
        <row r="432">
          <cell r="S432">
            <v>8</v>
          </cell>
        </row>
        <row r="433">
          <cell r="S433">
            <v>9</v>
          </cell>
        </row>
        <row r="434">
          <cell r="S434">
            <v>8</v>
          </cell>
        </row>
        <row r="435">
          <cell r="S435">
            <v>7</v>
          </cell>
        </row>
        <row r="436">
          <cell r="S436">
            <v>9</v>
          </cell>
        </row>
        <row r="437">
          <cell r="S437">
            <v>8</v>
          </cell>
        </row>
        <row r="438">
          <cell r="S438">
            <v>8</v>
          </cell>
        </row>
        <row r="439">
          <cell r="S439">
            <v>7</v>
          </cell>
        </row>
        <row r="440">
          <cell r="S440">
            <v>6</v>
          </cell>
        </row>
        <row r="441">
          <cell r="S441">
            <v>8</v>
          </cell>
        </row>
        <row r="442">
          <cell r="S442">
            <v>7</v>
          </cell>
        </row>
        <row r="443">
          <cell r="S443">
            <v>9</v>
          </cell>
        </row>
        <row r="444">
          <cell r="S444">
            <v>8</v>
          </cell>
        </row>
        <row r="445">
          <cell r="S445">
            <v>8</v>
          </cell>
        </row>
        <row r="446">
          <cell r="S446">
            <v>9</v>
          </cell>
        </row>
        <row r="447">
          <cell r="S447">
            <v>9</v>
          </cell>
        </row>
        <row r="448">
          <cell r="S448">
            <v>8</v>
          </cell>
        </row>
        <row r="449">
          <cell r="S449">
            <v>9</v>
          </cell>
        </row>
        <row r="450">
          <cell r="S450">
            <v>8</v>
          </cell>
        </row>
        <row r="451">
          <cell r="S451">
            <v>7</v>
          </cell>
        </row>
        <row r="452">
          <cell r="S452">
            <v>6</v>
          </cell>
        </row>
        <row r="453">
          <cell r="S453">
            <v>1</v>
          </cell>
        </row>
        <row r="454">
          <cell r="S454">
            <v>3</v>
          </cell>
        </row>
        <row r="455">
          <cell r="S455">
            <v>1</v>
          </cell>
        </row>
        <row r="456">
          <cell r="S456">
            <v>2</v>
          </cell>
        </row>
        <row r="457">
          <cell r="S457">
            <v>1</v>
          </cell>
        </row>
        <row r="458">
          <cell r="S458">
            <v>2</v>
          </cell>
        </row>
        <row r="459">
          <cell r="S459">
            <v>2</v>
          </cell>
        </row>
        <row r="460">
          <cell r="S460">
            <v>1</v>
          </cell>
        </row>
        <row r="461">
          <cell r="S461">
            <v>3</v>
          </cell>
        </row>
        <row r="462">
          <cell r="S462">
            <v>1</v>
          </cell>
        </row>
        <row r="463">
          <cell r="S463">
            <v>2</v>
          </cell>
        </row>
        <row r="464">
          <cell r="S464">
            <v>1</v>
          </cell>
        </row>
        <row r="465">
          <cell r="S465">
            <v>2</v>
          </cell>
        </row>
        <row r="466">
          <cell r="S466">
            <v>2</v>
          </cell>
        </row>
        <row r="467">
          <cell r="S467">
            <v>3</v>
          </cell>
        </row>
        <row r="468">
          <cell r="S468">
            <v>1</v>
          </cell>
        </row>
        <row r="469">
          <cell r="S469">
            <v>2</v>
          </cell>
        </row>
        <row r="470">
          <cell r="S470">
            <v>2</v>
          </cell>
        </row>
        <row r="471">
          <cell r="S471">
            <v>1</v>
          </cell>
        </row>
        <row r="472">
          <cell r="S472">
            <v>2</v>
          </cell>
        </row>
        <row r="473">
          <cell r="S473">
            <v>2</v>
          </cell>
        </row>
        <row r="474">
          <cell r="S474">
            <v>2</v>
          </cell>
        </row>
        <row r="475">
          <cell r="S475">
            <v>2</v>
          </cell>
        </row>
        <row r="476">
          <cell r="S476">
            <v>1</v>
          </cell>
        </row>
        <row r="477">
          <cell r="S477">
            <v>2</v>
          </cell>
        </row>
        <row r="478">
          <cell r="S478">
            <v>1</v>
          </cell>
        </row>
        <row r="479">
          <cell r="S479">
            <v>1</v>
          </cell>
        </row>
        <row r="480">
          <cell r="S480">
            <v>3</v>
          </cell>
        </row>
        <row r="481">
          <cell r="S481">
            <v>1</v>
          </cell>
        </row>
        <row r="482">
          <cell r="S482">
            <v>2</v>
          </cell>
        </row>
        <row r="483">
          <cell r="S483">
            <v>1</v>
          </cell>
        </row>
        <row r="484">
          <cell r="S484">
            <v>2</v>
          </cell>
        </row>
        <row r="485">
          <cell r="S485">
            <v>2</v>
          </cell>
        </row>
        <row r="486">
          <cell r="S486">
            <v>3</v>
          </cell>
        </row>
        <row r="487">
          <cell r="S487">
            <v>1</v>
          </cell>
        </row>
        <row r="488">
          <cell r="S488">
            <v>2</v>
          </cell>
        </row>
        <row r="489">
          <cell r="S489">
            <v>2</v>
          </cell>
        </row>
        <row r="490">
          <cell r="S490">
            <v>2</v>
          </cell>
        </row>
        <row r="491">
          <cell r="S491">
            <v>1</v>
          </cell>
        </row>
        <row r="492">
          <cell r="S492">
            <v>0</v>
          </cell>
        </row>
        <row r="493">
          <cell r="S493">
            <v>0</v>
          </cell>
        </row>
        <row r="494">
          <cell r="S494">
            <v>0</v>
          </cell>
        </row>
        <row r="495">
          <cell r="S495">
            <v>0</v>
          </cell>
        </row>
        <row r="496">
          <cell r="S496">
            <v>0</v>
          </cell>
        </row>
        <row r="497">
          <cell r="S497">
            <v>0</v>
          </cell>
        </row>
        <row r="498">
          <cell r="S498">
            <v>1</v>
          </cell>
        </row>
        <row r="499">
          <cell r="S499">
            <v>0</v>
          </cell>
        </row>
        <row r="500">
          <cell r="S500">
            <v>0</v>
          </cell>
        </row>
        <row r="501">
          <cell r="S501">
            <v>0</v>
          </cell>
        </row>
        <row r="502">
          <cell r="S502">
            <v>1</v>
          </cell>
        </row>
        <row r="503">
          <cell r="S503">
            <v>0</v>
          </cell>
        </row>
        <row r="504">
          <cell r="S504">
            <v>0</v>
          </cell>
        </row>
        <row r="505">
          <cell r="S505">
            <v>0</v>
          </cell>
        </row>
        <row r="506">
          <cell r="S506">
            <v>2</v>
          </cell>
        </row>
        <row r="507">
          <cell r="S507">
            <v>0</v>
          </cell>
        </row>
        <row r="508">
          <cell r="S508">
            <v>4</v>
          </cell>
        </row>
        <row r="509">
          <cell r="S509">
            <v>5</v>
          </cell>
        </row>
        <row r="510">
          <cell r="S510">
            <v>14</v>
          </cell>
        </row>
        <row r="511">
          <cell r="S511">
            <v>19</v>
          </cell>
        </row>
        <row r="512">
          <cell r="S512">
            <v>12</v>
          </cell>
        </row>
        <row r="513">
          <cell r="S513">
            <v>16</v>
          </cell>
        </row>
        <row r="514">
          <cell r="S514">
            <v>10</v>
          </cell>
        </row>
        <row r="515">
          <cell r="S515">
            <v>16</v>
          </cell>
        </row>
        <row r="516">
          <cell r="S516">
            <v>10</v>
          </cell>
        </row>
        <row r="517">
          <cell r="S517">
            <v>14</v>
          </cell>
        </row>
        <row r="518">
          <cell r="S518">
            <v>12</v>
          </cell>
        </row>
        <row r="519">
          <cell r="S519">
            <v>12</v>
          </cell>
        </row>
        <row r="520">
          <cell r="S520">
            <v>10</v>
          </cell>
        </row>
        <row r="521">
          <cell r="S521">
            <v>8</v>
          </cell>
        </row>
        <row r="522">
          <cell r="S522">
            <v>8</v>
          </cell>
        </row>
        <row r="523">
          <cell r="S523">
            <v>8</v>
          </cell>
        </row>
        <row r="524">
          <cell r="S524">
            <v>8</v>
          </cell>
        </row>
        <row r="525">
          <cell r="S525">
            <v>8</v>
          </cell>
        </row>
        <row r="526">
          <cell r="S526">
            <v>6</v>
          </cell>
        </row>
        <row r="527">
          <cell r="S527">
            <v>6</v>
          </cell>
        </row>
        <row r="528">
          <cell r="S528">
            <v>4</v>
          </cell>
        </row>
        <row r="529">
          <cell r="S529">
            <v>4</v>
          </cell>
        </row>
        <row r="530">
          <cell r="S530">
            <v>2</v>
          </cell>
        </row>
        <row r="531">
          <cell r="S531">
            <v>1</v>
          </cell>
        </row>
        <row r="532">
          <cell r="S532"/>
        </row>
        <row r="533">
          <cell r="S533"/>
        </row>
        <row r="534">
          <cell r="S534"/>
        </row>
      </sheetData>
      <sheetData sheetId="1">
        <row r="13">
          <cell r="B13">
            <v>45270</v>
          </cell>
        </row>
      </sheetData>
      <sheetData sheetId="2">
        <row r="12">
          <cell r="C12" t="str">
            <v>Cao độ đắp(m)</v>
          </cell>
        </row>
      </sheetData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+020"/>
      <sheetName val="BC.95+020"/>
      <sheetName val="SL.95+020"/>
      <sheetName val="95+100"/>
      <sheetName val="BC.95+100"/>
      <sheetName val="SL.95+100"/>
      <sheetName val="95+180"/>
      <sheetName val="BC.95+180"/>
      <sheetName val="SL.95+180"/>
      <sheetName val="95+280"/>
      <sheetName val="BC.95+280"/>
      <sheetName val="SL.95+280"/>
      <sheetName val="95+380 "/>
      <sheetName val="BC.95+380"/>
      <sheetName val="SL.95+380"/>
      <sheetName val="95+460"/>
      <sheetName val="BC.95+460"/>
      <sheetName val="SL.95+460"/>
      <sheetName val="95+540"/>
      <sheetName val="BC.95+540"/>
      <sheetName val="SL.95+540"/>
      <sheetName val="95+650"/>
      <sheetName val="BC.95+650"/>
      <sheetName val="SL.95+650"/>
      <sheetName val="95+760"/>
      <sheetName val="BC.95+760"/>
      <sheetName val="SL.95+760"/>
      <sheetName val="SL.95+020 "/>
    </sheetNames>
    <sheetDataSet>
      <sheetData sheetId="0" refreshError="1"/>
      <sheetData sheetId="1" refreshError="1">
        <row r="7">
          <cell r="C7">
            <v>0</v>
          </cell>
          <cell r="N7">
            <v>0</v>
          </cell>
        </row>
        <row r="8">
          <cell r="C8" t="str">
            <v>năng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28B6-136B-44A7-8C30-1189EF8C4D09}">
  <sheetPr codeName="Sheet22">
    <tabColor rgb="FF00B050"/>
    <pageSetUpPr fitToPage="1"/>
  </sheetPr>
  <dimension ref="A1:AF606"/>
  <sheetViews>
    <sheetView tabSelected="1" zoomScale="83" zoomScaleNormal="83" zoomScaleSheetLayoutView="100" workbookViewId="0">
      <selection activeCell="Q22" sqref="Q22"/>
    </sheetView>
  </sheetViews>
  <sheetFormatPr defaultColWidth="9.33203125" defaultRowHeight="13.2" customHeight="1"/>
  <cols>
    <col min="1" max="1" width="4.33203125" style="1" customWidth="1"/>
    <col min="2" max="2" width="11" style="180" customWidth="1"/>
    <col min="3" max="3" width="8.88671875" style="3" customWidth="1"/>
    <col min="4" max="4" width="11.33203125" style="1" bestFit="1" customWidth="1"/>
    <col min="5" max="5" width="11.33203125" style="1" customWidth="1"/>
    <col min="6" max="17" width="8.44140625" style="1" customWidth="1"/>
    <col min="18" max="23" width="7.44140625" style="2" customWidth="1"/>
    <col min="24" max="25" width="9.33203125" style="1" customWidth="1"/>
    <col min="26" max="27" width="10.6640625" style="1" customWidth="1"/>
    <col min="28" max="28" width="16" style="1" customWidth="1"/>
    <col min="29" max="29" width="8.33203125" style="1" customWidth="1"/>
    <col min="30" max="30" width="12.88671875" style="1" customWidth="1"/>
    <col min="31" max="31" width="8.6640625" style="1" customWidth="1"/>
    <col min="32" max="32" width="11.6640625" style="1" customWidth="1"/>
    <col min="33" max="33" width="8.33203125" style="1" bestFit="1" customWidth="1"/>
    <col min="34" max="34" width="9.33203125" style="1" customWidth="1"/>
    <col min="35" max="16384" width="9.33203125" style="1"/>
  </cols>
  <sheetData>
    <row r="1" spans="1:32" ht="19.5" customHeight="1">
      <c r="A1" s="191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3"/>
    </row>
    <row r="2" spans="1:32" ht="18.75" customHeight="1">
      <c r="A2" s="197" t="s">
        <v>35</v>
      </c>
      <c r="B2" s="198"/>
      <c r="C2" s="198"/>
      <c r="D2" s="198"/>
      <c r="E2" s="198"/>
      <c r="F2" s="198"/>
      <c r="G2" s="198"/>
      <c r="H2" s="198"/>
      <c r="I2" s="199"/>
      <c r="J2" s="200" t="s">
        <v>34</v>
      </c>
      <c r="K2" s="201"/>
      <c r="L2" s="201"/>
      <c r="M2" s="201"/>
      <c r="N2" s="201"/>
      <c r="O2" s="201"/>
      <c r="P2" s="201"/>
      <c r="Q2" s="201"/>
      <c r="R2" s="201"/>
      <c r="S2" s="202"/>
      <c r="T2" s="200" t="s">
        <v>33</v>
      </c>
      <c r="U2" s="201"/>
      <c r="V2" s="201"/>
      <c r="W2" s="201"/>
      <c r="X2" s="201"/>
      <c r="Y2" s="201"/>
      <c r="Z2" s="201"/>
      <c r="AA2" s="201"/>
      <c r="AB2" s="202"/>
    </row>
    <row r="3" spans="1:32" ht="17.25" customHeight="1">
      <c r="A3" s="206" t="s">
        <v>32</v>
      </c>
      <c r="B3" s="207"/>
      <c r="C3" s="207"/>
      <c r="D3" s="207"/>
      <c r="E3" s="207"/>
      <c r="F3" s="207"/>
      <c r="G3" s="207"/>
      <c r="H3" s="207"/>
      <c r="I3" s="208"/>
      <c r="J3" s="215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K3" s="216"/>
      <c r="L3" s="216"/>
      <c r="M3" s="216"/>
      <c r="N3" s="216"/>
      <c r="O3" s="216"/>
      <c r="P3" s="216"/>
      <c r="Q3" s="216"/>
      <c r="R3" s="216"/>
      <c r="S3" s="217"/>
      <c r="T3" s="218" t="s">
        <v>31</v>
      </c>
      <c r="U3" s="219"/>
      <c r="V3" s="219"/>
      <c r="W3" s="219"/>
      <c r="X3" s="219"/>
      <c r="Y3" s="219"/>
      <c r="Z3" s="219"/>
      <c r="AA3" s="219"/>
      <c r="AB3" s="220"/>
    </row>
    <row r="4" spans="1:32" ht="21" customHeight="1">
      <c r="A4" s="209" t="s">
        <v>30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1"/>
    </row>
    <row r="5" spans="1:32" ht="13.8">
      <c r="A5" s="40" t="s">
        <v>29</v>
      </c>
      <c r="B5" s="181"/>
      <c r="C5" s="38"/>
      <c r="D5" s="38"/>
      <c r="E5" s="38"/>
      <c r="F5" s="38"/>
      <c r="G5" s="38"/>
      <c r="H5" s="38"/>
      <c r="I5" s="38"/>
      <c r="J5" s="38"/>
      <c r="K5" s="39"/>
      <c r="L5" s="39" t="s">
        <v>28</v>
      </c>
      <c r="M5" s="39"/>
      <c r="N5" s="39"/>
      <c r="O5" s="39"/>
      <c r="P5" s="38"/>
      <c r="Q5" s="38"/>
      <c r="R5" s="38"/>
      <c r="S5" s="38"/>
      <c r="T5" s="38"/>
      <c r="U5" s="38"/>
      <c r="V5" s="38"/>
      <c r="W5" s="38"/>
      <c r="X5" s="37"/>
      <c r="Y5" s="37"/>
      <c r="Z5" s="37"/>
      <c r="AA5" s="37"/>
      <c r="AB5" s="36"/>
    </row>
    <row r="6" spans="1:32" ht="13.8">
      <c r="A6" s="34" t="s">
        <v>27</v>
      </c>
      <c r="B6" s="182"/>
      <c r="C6" s="32" t="s">
        <v>26</v>
      </c>
      <c r="D6" s="32"/>
      <c r="E6" s="32"/>
      <c r="F6" s="32"/>
      <c r="G6" s="32"/>
      <c r="H6" s="32"/>
      <c r="I6" s="32"/>
      <c r="J6" s="32"/>
      <c r="K6" s="33"/>
      <c r="L6" s="33" t="s">
        <v>25</v>
      </c>
      <c r="M6" s="33"/>
      <c r="N6" s="35">
        <f>C11</f>
        <v>1069</v>
      </c>
      <c r="O6" s="33"/>
      <c r="P6" s="32"/>
      <c r="Q6" s="32"/>
      <c r="R6" s="32"/>
      <c r="S6" s="32"/>
      <c r="T6" s="32"/>
      <c r="U6" s="32"/>
      <c r="V6" s="32"/>
      <c r="W6" s="32"/>
      <c r="X6" s="31"/>
      <c r="Y6" s="31"/>
      <c r="Z6" s="31"/>
      <c r="AA6" s="31"/>
      <c r="AB6" s="30"/>
    </row>
    <row r="7" spans="1:32" ht="13.8">
      <c r="A7" s="34" t="s">
        <v>24</v>
      </c>
      <c r="B7" s="182"/>
      <c r="C7" s="32" t="s">
        <v>23</v>
      </c>
      <c r="D7" s="32"/>
      <c r="E7" s="32"/>
      <c r="F7" s="32"/>
      <c r="G7" s="32"/>
      <c r="H7" s="32"/>
      <c r="I7" s="32"/>
      <c r="J7" s="32"/>
      <c r="K7" s="33"/>
      <c r="L7" s="33" t="s">
        <v>22</v>
      </c>
      <c r="M7" s="33"/>
      <c r="N7" s="263" t="str">
        <f>B11</f>
        <v>10/12/2023</v>
      </c>
      <c r="O7" s="264"/>
      <c r="P7" s="32"/>
      <c r="Q7" s="32"/>
      <c r="R7" s="32"/>
      <c r="S7" s="32"/>
      <c r="T7" s="32"/>
      <c r="U7" s="32"/>
      <c r="V7" s="32"/>
      <c r="W7" s="32"/>
      <c r="X7" s="31"/>
      <c r="Y7" s="31"/>
      <c r="Z7" s="31"/>
      <c r="AA7" s="31"/>
      <c r="AB7" s="30"/>
    </row>
    <row r="8" spans="1:32" ht="47.25" customHeight="1">
      <c r="A8" s="194" t="s">
        <v>21</v>
      </c>
      <c r="B8" s="183"/>
      <c r="C8" s="194" t="s">
        <v>20</v>
      </c>
      <c r="D8" s="194" t="s">
        <v>19</v>
      </c>
      <c r="E8" s="171"/>
      <c r="F8" s="203" t="s">
        <v>18</v>
      </c>
      <c r="G8" s="204"/>
      <c r="H8" s="205"/>
      <c r="I8" s="203" t="s">
        <v>17</v>
      </c>
      <c r="J8" s="204"/>
      <c r="K8" s="205"/>
      <c r="L8" s="203" t="s">
        <v>16</v>
      </c>
      <c r="M8" s="204"/>
      <c r="N8" s="205"/>
      <c r="O8" s="203" t="s">
        <v>15</v>
      </c>
      <c r="P8" s="204"/>
      <c r="Q8" s="205"/>
      <c r="R8" s="212" t="s">
        <v>14</v>
      </c>
      <c r="S8" s="213"/>
      <c r="T8" s="214"/>
      <c r="U8" s="188"/>
      <c r="V8" s="188"/>
      <c r="W8" s="188"/>
      <c r="X8" s="169"/>
      <c r="Y8" s="194" t="s">
        <v>13</v>
      </c>
      <c r="Z8" s="194" t="s">
        <v>12</v>
      </c>
      <c r="AA8" s="194" t="s">
        <v>11</v>
      </c>
      <c r="AB8" s="194" t="s">
        <v>10</v>
      </c>
    </row>
    <row r="9" spans="1:32" ht="47.25" customHeight="1">
      <c r="A9" s="195"/>
      <c r="B9" s="189"/>
      <c r="C9" s="195"/>
      <c r="D9" s="195"/>
      <c r="E9" s="190"/>
      <c r="F9" s="174"/>
      <c r="G9" s="175"/>
      <c r="H9" s="176"/>
      <c r="I9" s="174"/>
      <c r="J9" s="175"/>
      <c r="K9" s="176"/>
      <c r="L9" s="174"/>
      <c r="M9" s="175"/>
      <c r="N9" s="176"/>
      <c r="O9" s="174"/>
      <c r="P9" s="175"/>
      <c r="Q9" s="176"/>
      <c r="R9" s="177"/>
      <c r="S9" s="178"/>
      <c r="T9" s="179"/>
      <c r="U9" s="188"/>
      <c r="V9" s="188"/>
      <c r="W9" s="188"/>
      <c r="X9" s="176"/>
      <c r="Y9" s="195"/>
      <c r="Z9" s="195"/>
      <c r="AA9" s="195"/>
      <c r="AB9" s="195"/>
    </row>
    <row r="10" spans="1:32" ht="46.5" customHeight="1">
      <c r="A10" s="196"/>
      <c r="B10" s="184"/>
      <c r="C10" s="196"/>
      <c r="D10" s="196"/>
      <c r="E10" s="170"/>
      <c r="F10" s="29" t="s">
        <v>9</v>
      </c>
      <c r="G10" s="29" t="s">
        <v>8</v>
      </c>
      <c r="H10" s="29" t="s">
        <v>7</v>
      </c>
      <c r="I10" s="29" t="s">
        <v>9</v>
      </c>
      <c r="J10" s="29" t="s">
        <v>8</v>
      </c>
      <c r="K10" s="29" t="s">
        <v>7</v>
      </c>
      <c r="L10" s="29" t="s">
        <v>9</v>
      </c>
      <c r="M10" s="29" t="s">
        <v>8</v>
      </c>
      <c r="N10" s="29" t="s">
        <v>7</v>
      </c>
      <c r="O10" s="29" t="s">
        <v>9</v>
      </c>
      <c r="P10" s="29" t="s">
        <v>8</v>
      </c>
      <c r="Q10" s="29" t="s">
        <v>7</v>
      </c>
      <c r="R10" s="29" t="s">
        <v>9</v>
      </c>
      <c r="S10" s="29" t="s">
        <v>8</v>
      </c>
      <c r="T10" s="29" t="s">
        <v>7</v>
      </c>
      <c r="U10" s="29"/>
      <c r="V10" s="29"/>
      <c r="W10" s="29"/>
      <c r="X10" s="29" t="s">
        <v>7</v>
      </c>
      <c r="Y10" s="196"/>
      <c r="Z10" s="196"/>
      <c r="AA10" s="196"/>
      <c r="AB10" s="196"/>
    </row>
    <row r="11" spans="1:32" s="22" customFormat="1" ht="13.8">
      <c r="A11" s="28">
        <v>0</v>
      </c>
      <c r="B11" s="185" t="s">
        <v>72</v>
      </c>
      <c r="C11" s="27">
        <v>1069</v>
      </c>
      <c r="D11" s="26">
        <v>1725</v>
      </c>
      <c r="E11" s="26">
        <f>C11+D11</f>
        <v>2794</v>
      </c>
      <c r="F11" s="25">
        <f t="shared" ref="F11:F74" si="0">C11+D11-I11</f>
        <v>1014</v>
      </c>
      <c r="G11" s="25">
        <f t="shared" ref="G11:G74" si="1">C11+D11-J11</f>
        <v>1004</v>
      </c>
      <c r="H11" s="25">
        <f t="shared" ref="H11:H74" si="2">D11+C11-K11</f>
        <v>934</v>
      </c>
      <c r="I11" s="25">
        <f t="shared" ref="I11:I74" si="3">L11+O11</f>
        <v>1780</v>
      </c>
      <c r="J11" s="25">
        <f t="shared" ref="J11:J74" si="4">M11+P11</f>
        <v>1790</v>
      </c>
      <c r="K11" s="25">
        <f t="shared" ref="K11:K74" si="5">N11+Q11</f>
        <v>1860</v>
      </c>
      <c r="L11" s="25">
        <v>2000</v>
      </c>
      <c r="M11" s="25">
        <v>2000</v>
      </c>
      <c r="N11" s="25">
        <v>2000</v>
      </c>
      <c r="O11" s="25">
        <v>-220</v>
      </c>
      <c r="P11" s="25">
        <v>-210</v>
      </c>
      <c r="Q11" s="25">
        <v>-140</v>
      </c>
      <c r="R11" s="25">
        <v>0</v>
      </c>
      <c r="S11" s="25">
        <v>0</v>
      </c>
      <c r="T11" s="25">
        <v>0</v>
      </c>
      <c r="U11" s="25">
        <f>U10-R11</f>
        <v>0</v>
      </c>
      <c r="V11" s="25">
        <f t="shared" ref="V11:W11" si="6">V10-S11</f>
        <v>0</v>
      </c>
      <c r="W11" s="25">
        <f t="shared" si="6"/>
        <v>0</v>
      </c>
      <c r="X11" s="15">
        <v>-0.21</v>
      </c>
      <c r="Y11" s="25"/>
      <c r="Z11" s="15"/>
      <c r="AA11" s="25"/>
      <c r="AB11" s="24" t="s">
        <v>6</v>
      </c>
      <c r="AF11" s="23"/>
    </row>
    <row r="12" spans="1:32" ht="13.8">
      <c r="A12" s="13">
        <v>1</v>
      </c>
      <c r="B12" s="185" t="s">
        <v>73</v>
      </c>
      <c r="C12" s="10">
        <f t="shared" ref="C12:C75" si="7">C11</f>
        <v>1069</v>
      </c>
      <c r="D12" s="9">
        <f t="shared" ref="D12:D43" si="8">D11-2</f>
        <v>1723</v>
      </c>
      <c r="E12" s="26">
        <f t="shared" ref="E12:E75" si="9">C12+D12</f>
        <v>2792</v>
      </c>
      <c r="F12" s="8">
        <f t="shared" si="0"/>
        <v>1012</v>
      </c>
      <c r="G12" s="8">
        <f t="shared" si="1"/>
        <v>1002</v>
      </c>
      <c r="H12" s="8">
        <f t="shared" si="2"/>
        <v>932</v>
      </c>
      <c r="I12" s="6">
        <f t="shared" si="3"/>
        <v>1780</v>
      </c>
      <c r="J12" s="6">
        <f t="shared" si="4"/>
        <v>1790</v>
      </c>
      <c r="K12" s="6">
        <f t="shared" si="5"/>
        <v>1860</v>
      </c>
      <c r="L12" s="6">
        <f t="shared" ref="L12:L43" si="10">L11</f>
        <v>2000</v>
      </c>
      <c r="M12" s="6">
        <f t="shared" ref="M12:M43" si="11">M11</f>
        <v>2000</v>
      </c>
      <c r="N12" s="6">
        <f t="shared" ref="N12:N43" si="12">N11</f>
        <v>2000</v>
      </c>
      <c r="O12" s="6">
        <f t="shared" ref="O12:O75" si="13">O11-R12</f>
        <v>-220</v>
      </c>
      <c r="P12" s="6">
        <f t="shared" ref="P12:P75" si="14">P11-S12</f>
        <v>-210</v>
      </c>
      <c r="Q12" s="6">
        <f t="shared" ref="Q12:Q75" si="15">Q11-T12</f>
        <v>-140</v>
      </c>
      <c r="R12" s="8">
        <v>0</v>
      </c>
      <c r="S12" s="8">
        <v>0</v>
      </c>
      <c r="T12" s="8">
        <v>0</v>
      </c>
      <c r="U12" s="25">
        <f t="shared" ref="U12:U75" si="16">U11-R12</f>
        <v>0</v>
      </c>
      <c r="V12" s="25">
        <f t="shared" ref="V12:V75" si="17">V11-S12</f>
        <v>0</v>
      </c>
      <c r="W12" s="25">
        <f t="shared" ref="W12:W75" si="18">W11-T12</f>
        <v>0</v>
      </c>
      <c r="X12" s="15">
        <v>-0.21</v>
      </c>
      <c r="Y12" s="7"/>
      <c r="Z12" s="21"/>
      <c r="AA12" s="6"/>
      <c r="AB12" s="19"/>
    </row>
    <row r="13" spans="1:32" ht="13.8">
      <c r="A13" s="13">
        <v>2</v>
      </c>
      <c r="B13" s="185" t="s">
        <v>74</v>
      </c>
      <c r="C13" s="10">
        <f t="shared" si="7"/>
        <v>1069</v>
      </c>
      <c r="D13" s="9">
        <f t="shared" si="8"/>
        <v>1721</v>
      </c>
      <c r="E13" s="26">
        <f t="shared" si="9"/>
        <v>2790</v>
      </c>
      <c r="F13" s="8">
        <f t="shared" si="0"/>
        <v>1010</v>
      </c>
      <c r="G13" s="8">
        <f t="shared" si="1"/>
        <v>1000</v>
      </c>
      <c r="H13" s="8">
        <f t="shared" si="2"/>
        <v>930</v>
      </c>
      <c r="I13" s="6">
        <f t="shared" si="3"/>
        <v>1780</v>
      </c>
      <c r="J13" s="6">
        <f t="shared" si="4"/>
        <v>1790</v>
      </c>
      <c r="K13" s="6">
        <f t="shared" si="5"/>
        <v>1860</v>
      </c>
      <c r="L13" s="6">
        <f t="shared" si="10"/>
        <v>2000</v>
      </c>
      <c r="M13" s="6">
        <f t="shared" si="11"/>
        <v>2000</v>
      </c>
      <c r="N13" s="6">
        <f t="shared" si="12"/>
        <v>2000</v>
      </c>
      <c r="O13" s="6">
        <f t="shared" si="13"/>
        <v>-220</v>
      </c>
      <c r="P13" s="6">
        <f t="shared" si="14"/>
        <v>-210</v>
      </c>
      <c r="Q13" s="6">
        <f t="shared" si="15"/>
        <v>-140</v>
      </c>
      <c r="R13" s="8">
        <v>0</v>
      </c>
      <c r="S13" s="8">
        <v>0</v>
      </c>
      <c r="T13" s="8">
        <v>0</v>
      </c>
      <c r="U13" s="25">
        <f t="shared" si="16"/>
        <v>0</v>
      </c>
      <c r="V13" s="25">
        <f t="shared" si="17"/>
        <v>0</v>
      </c>
      <c r="W13" s="25">
        <f t="shared" si="18"/>
        <v>0</v>
      </c>
      <c r="X13" s="15">
        <v>-0.21</v>
      </c>
      <c r="Y13" s="7"/>
      <c r="Z13" s="21"/>
      <c r="AA13" s="6"/>
      <c r="AB13" s="20"/>
      <c r="AD13" s="18"/>
    </row>
    <row r="14" spans="1:32" ht="13.8">
      <c r="A14" s="13">
        <v>3</v>
      </c>
      <c r="B14" s="185" t="s">
        <v>75</v>
      </c>
      <c r="C14" s="10">
        <f t="shared" si="7"/>
        <v>1069</v>
      </c>
      <c r="D14" s="9">
        <f t="shared" si="8"/>
        <v>1719</v>
      </c>
      <c r="E14" s="26">
        <f t="shared" si="9"/>
        <v>2788</v>
      </c>
      <c r="F14" s="8">
        <f t="shared" si="0"/>
        <v>1008</v>
      </c>
      <c r="G14" s="8">
        <f t="shared" si="1"/>
        <v>998</v>
      </c>
      <c r="H14" s="8">
        <f t="shared" si="2"/>
        <v>928</v>
      </c>
      <c r="I14" s="6">
        <f t="shared" si="3"/>
        <v>1780</v>
      </c>
      <c r="J14" s="6">
        <f t="shared" si="4"/>
        <v>1790</v>
      </c>
      <c r="K14" s="6">
        <f t="shared" si="5"/>
        <v>1860</v>
      </c>
      <c r="L14" s="6">
        <f t="shared" si="10"/>
        <v>2000</v>
      </c>
      <c r="M14" s="6">
        <f t="shared" si="11"/>
        <v>2000</v>
      </c>
      <c r="N14" s="6">
        <f t="shared" si="12"/>
        <v>2000</v>
      </c>
      <c r="O14" s="6">
        <f t="shared" si="13"/>
        <v>-220</v>
      </c>
      <c r="P14" s="6">
        <f t="shared" si="14"/>
        <v>-210</v>
      </c>
      <c r="Q14" s="6">
        <f t="shared" si="15"/>
        <v>-140</v>
      </c>
      <c r="R14" s="8">
        <v>0</v>
      </c>
      <c r="S14" s="8">
        <v>0</v>
      </c>
      <c r="T14" s="8">
        <v>0</v>
      </c>
      <c r="U14" s="25">
        <f t="shared" si="16"/>
        <v>0</v>
      </c>
      <c r="V14" s="25">
        <f t="shared" si="17"/>
        <v>0</v>
      </c>
      <c r="W14" s="25">
        <f t="shared" si="18"/>
        <v>0</v>
      </c>
      <c r="X14" s="15">
        <v>-0.21</v>
      </c>
      <c r="Y14" s="7"/>
      <c r="Z14" s="6"/>
      <c r="AA14" s="6"/>
      <c r="AB14" s="16"/>
      <c r="AD14" s="18">
        <v>45273</v>
      </c>
    </row>
    <row r="15" spans="1:32" ht="13.8">
      <c r="A15" s="13">
        <v>4</v>
      </c>
      <c r="B15" s="185" t="s">
        <v>76</v>
      </c>
      <c r="C15" s="10">
        <f t="shared" si="7"/>
        <v>1069</v>
      </c>
      <c r="D15" s="9">
        <f t="shared" si="8"/>
        <v>1717</v>
      </c>
      <c r="E15" s="26">
        <f t="shared" si="9"/>
        <v>2786</v>
      </c>
      <c r="F15" s="8">
        <f t="shared" si="0"/>
        <v>1006</v>
      </c>
      <c r="G15" s="8">
        <f t="shared" si="1"/>
        <v>996</v>
      </c>
      <c r="H15" s="8">
        <f t="shared" si="2"/>
        <v>926</v>
      </c>
      <c r="I15" s="6">
        <f t="shared" si="3"/>
        <v>1780</v>
      </c>
      <c r="J15" s="6">
        <f t="shared" si="4"/>
        <v>1790</v>
      </c>
      <c r="K15" s="6">
        <f t="shared" si="5"/>
        <v>1860</v>
      </c>
      <c r="L15" s="6">
        <f t="shared" si="10"/>
        <v>2000</v>
      </c>
      <c r="M15" s="6">
        <f t="shared" si="11"/>
        <v>2000</v>
      </c>
      <c r="N15" s="6">
        <f t="shared" si="12"/>
        <v>2000</v>
      </c>
      <c r="O15" s="6">
        <f t="shared" si="13"/>
        <v>-220</v>
      </c>
      <c r="P15" s="6">
        <f t="shared" si="14"/>
        <v>-210</v>
      </c>
      <c r="Q15" s="6">
        <f t="shared" si="15"/>
        <v>-140</v>
      </c>
      <c r="R15" s="8">
        <v>0</v>
      </c>
      <c r="S15" s="8">
        <v>0</v>
      </c>
      <c r="T15" s="8">
        <v>0</v>
      </c>
      <c r="U15" s="25">
        <f t="shared" si="16"/>
        <v>0</v>
      </c>
      <c r="V15" s="25">
        <f t="shared" si="17"/>
        <v>0</v>
      </c>
      <c r="W15" s="25">
        <f t="shared" si="18"/>
        <v>0</v>
      </c>
      <c r="X15" s="15">
        <v>-0.21</v>
      </c>
      <c r="Y15" s="7"/>
      <c r="Z15" s="6"/>
      <c r="AA15" s="6"/>
      <c r="AB15" s="19"/>
      <c r="AD15" s="18">
        <v>45277</v>
      </c>
    </row>
    <row r="16" spans="1:32" ht="13.8">
      <c r="A16" s="13">
        <v>5</v>
      </c>
      <c r="B16" s="185" t="s">
        <v>77</v>
      </c>
      <c r="C16" s="10">
        <f t="shared" si="7"/>
        <v>1069</v>
      </c>
      <c r="D16" s="9">
        <f t="shared" si="8"/>
        <v>1715</v>
      </c>
      <c r="E16" s="26">
        <f t="shared" si="9"/>
        <v>2784</v>
      </c>
      <c r="F16" s="8">
        <f t="shared" si="0"/>
        <v>1004</v>
      </c>
      <c r="G16" s="8">
        <f t="shared" si="1"/>
        <v>994</v>
      </c>
      <c r="H16" s="8">
        <f t="shared" si="2"/>
        <v>924</v>
      </c>
      <c r="I16" s="6">
        <f t="shared" si="3"/>
        <v>1780</v>
      </c>
      <c r="J16" s="6">
        <f t="shared" si="4"/>
        <v>1790</v>
      </c>
      <c r="K16" s="6">
        <f t="shared" si="5"/>
        <v>1860</v>
      </c>
      <c r="L16" s="6">
        <f t="shared" si="10"/>
        <v>2000</v>
      </c>
      <c r="M16" s="6">
        <f t="shared" si="11"/>
        <v>2000</v>
      </c>
      <c r="N16" s="6">
        <f t="shared" si="12"/>
        <v>2000</v>
      </c>
      <c r="O16" s="6">
        <f t="shared" si="13"/>
        <v>-220</v>
      </c>
      <c r="P16" s="6">
        <f t="shared" si="14"/>
        <v>-210</v>
      </c>
      <c r="Q16" s="6">
        <f t="shared" si="15"/>
        <v>-140</v>
      </c>
      <c r="R16" s="8">
        <v>0</v>
      </c>
      <c r="S16" s="8">
        <v>0</v>
      </c>
      <c r="T16" s="8">
        <v>0</v>
      </c>
      <c r="U16" s="25">
        <f t="shared" si="16"/>
        <v>0</v>
      </c>
      <c r="V16" s="25">
        <f t="shared" si="17"/>
        <v>0</v>
      </c>
      <c r="W16" s="25">
        <f t="shared" si="18"/>
        <v>0</v>
      </c>
      <c r="X16" s="15">
        <v>-0.21</v>
      </c>
      <c r="Y16" s="7"/>
      <c r="Z16" s="6"/>
      <c r="AA16" s="6"/>
      <c r="AB16" s="6"/>
      <c r="AD16" s="18">
        <v>45281</v>
      </c>
    </row>
    <row r="17" spans="1:30" ht="13.8">
      <c r="A17" s="13">
        <v>6</v>
      </c>
      <c r="B17" s="185" t="s">
        <v>78</v>
      </c>
      <c r="C17" s="10">
        <f t="shared" si="7"/>
        <v>1069</v>
      </c>
      <c r="D17" s="9">
        <f t="shared" si="8"/>
        <v>1713</v>
      </c>
      <c r="E17" s="26">
        <f t="shared" si="9"/>
        <v>2782</v>
      </c>
      <c r="F17" s="8">
        <f t="shared" si="0"/>
        <v>1002</v>
      </c>
      <c r="G17" s="8">
        <f t="shared" si="1"/>
        <v>992</v>
      </c>
      <c r="H17" s="8">
        <f t="shared" si="2"/>
        <v>922</v>
      </c>
      <c r="I17" s="6">
        <f t="shared" si="3"/>
        <v>1780</v>
      </c>
      <c r="J17" s="6">
        <f t="shared" si="4"/>
        <v>1790</v>
      </c>
      <c r="K17" s="6">
        <f t="shared" si="5"/>
        <v>1860</v>
      </c>
      <c r="L17" s="6">
        <f t="shared" si="10"/>
        <v>2000</v>
      </c>
      <c r="M17" s="6">
        <f t="shared" si="11"/>
        <v>2000</v>
      </c>
      <c r="N17" s="6">
        <f t="shared" si="12"/>
        <v>2000</v>
      </c>
      <c r="O17" s="6">
        <f t="shared" si="13"/>
        <v>-220</v>
      </c>
      <c r="P17" s="6">
        <f t="shared" si="14"/>
        <v>-210</v>
      </c>
      <c r="Q17" s="6">
        <f t="shared" si="15"/>
        <v>-140</v>
      </c>
      <c r="R17" s="8">
        <v>0</v>
      </c>
      <c r="S17" s="8">
        <v>0</v>
      </c>
      <c r="T17" s="8">
        <v>0</v>
      </c>
      <c r="U17" s="25">
        <f t="shared" si="16"/>
        <v>0</v>
      </c>
      <c r="V17" s="25">
        <f t="shared" si="17"/>
        <v>0</v>
      </c>
      <c r="W17" s="25">
        <f t="shared" si="18"/>
        <v>0</v>
      </c>
      <c r="X17" s="15">
        <v>-0.21</v>
      </c>
      <c r="Y17" s="7"/>
      <c r="Z17" s="6"/>
      <c r="AA17" s="6"/>
      <c r="AB17" s="16"/>
      <c r="AD17" s="18">
        <v>45287</v>
      </c>
    </row>
    <row r="18" spans="1:30" ht="13.8">
      <c r="A18" s="13">
        <v>7</v>
      </c>
      <c r="B18" s="185" t="s">
        <v>79</v>
      </c>
      <c r="C18" s="10">
        <f t="shared" si="7"/>
        <v>1069</v>
      </c>
      <c r="D18" s="9">
        <f t="shared" si="8"/>
        <v>1711</v>
      </c>
      <c r="E18" s="26">
        <f t="shared" si="9"/>
        <v>2780</v>
      </c>
      <c r="F18" s="8">
        <f t="shared" si="0"/>
        <v>1000</v>
      </c>
      <c r="G18" s="8">
        <f t="shared" si="1"/>
        <v>990</v>
      </c>
      <c r="H18" s="8">
        <f t="shared" si="2"/>
        <v>920</v>
      </c>
      <c r="I18" s="6">
        <f t="shared" si="3"/>
        <v>1780</v>
      </c>
      <c r="J18" s="6">
        <f t="shared" si="4"/>
        <v>1790</v>
      </c>
      <c r="K18" s="6">
        <f t="shared" si="5"/>
        <v>1860</v>
      </c>
      <c r="L18" s="6">
        <f t="shared" si="10"/>
        <v>2000</v>
      </c>
      <c r="M18" s="6">
        <f t="shared" si="11"/>
        <v>2000</v>
      </c>
      <c r="N18" s="6">
        <f t="shared" si="12"/>
        <v>2000</v>
      </c>
      <c r="O18" s="6">
        <f t="shared" si="13"/>
        <v>-220</v>
      </c>
      <c r="P18" s="6">
        <f t="shared" si="14"/>
        <v>-210</v>
      </c>
      <c r="Q18" s="6">
        <f t="shared" si="15"/>
        <v>-140</v>
      </c>
      <c r="R18" s="8">
        <v>0</v>
      </c>
      <c r="S18" s="8">
        <v>0</v>
      </c>
      <c r="T18" s="8">
        <v>0</v>
      </c>
      <c r="U18" s="25">
        <f t="shared" si="16"/>
        <v>0</v>
      </c>
      <c r="V18" s="25">
        <f t="shared" si="17"/>
        <v>0</v>
      </c>
      <c r="W18" s="25">
        <f t="shared" si="18"/>
        <v>0</v>
      </c>
      <c r="X18" s="15">
        <v>-0.21</v>
      </c>
      <c r="Y18" s="7"/>
      <c r="Z18" s="6"/>
      <c r="AA18" s="6"/>
      <c r="AB18" s="16"/>
      <c r="AD18" s="18">
        <v>45293</v>
      </c>
    </row>
    <row r="19" spans="1:30" ht="13.8">
      <c r="A19" s="13">
        <v>8</v>
      </c>
      <c r="B19" s="185" t="s">
        <v>80</v>
      </c>
      <c r="C19" s="10">
        <f t="shared" si="7"/>
        <v>1069</v>
      </c>
      <c r="D19" s="9">
        <f t="shared" si="8"/>
        <v>1709</v>
      </c>
      <c r="E19" s="26">
        <f t="shared" si="9"/>
        <v>2778</v>
      </c>
      <c r="F19" s="8">
        <f t="shared" si="0"/>
        <v>998</v>
      </c>
      <c r="G19" s="8">
        <f t="shared" si="1"/>
        <v>988</v>
      </c>
      <c r="H19" s="8">
        <f t="shared" si="2"/>
        <v>918</v>
      </c>
      <c r="I19" s="6">
        <f t="shared" si="3"/>
        <v>1780</v>
      </c>
      <c r="J19" s="6">
        <f t="shared" si="4"/>
        <v>1790</v>
      </c>
      <c r="K19" s="6">
        <f t="shared" si="5"/>
        <v>1860</v>
      </c>
      <c r="L19" s="6">
        <f t="shared" si="10"/>
        <v>2000</v>
      </c>
      <c r="M19" s="6">
        <f t="shared" si="11"/>
        <v>2000</v>
      </c>
      <c r="N19" s="6">
        <f t="shared" si="12"/>
        <v>2000</v>
      </c>
      <c r="O19" s="6">
        <f t="shared" si="13"/>
        <v>-220</v>
      </c>
      <c r="P19" s="6">
        <f t="shared" si="14"/>
        <v>-210</v>
      </c>
      <c r="Q19" s="6">
        <f t="shared" si="15"/>
        <v>-140</v>
      </c>
      <c r="R19" s="8">
        <v>0</v>
      </c>
      <c r="S19" s="8">
        <v>0</v>
      </c>
      <c r="T19" s="8">
        <v>0</v>
      </c>
      <c r="U19" s="25">
        <f t="shared" si="16"/>
        <v>0</v>
      </c>
      <c r="V19" s="25">
        <f t="shared" si="17"/>
        <v>0</v>
      </c>
      <c r="W19" s="25">
        <f t="shared" si="18"/>
        <v>0</v>
      </c>
      <c r="X19" s="15">
        <v>-0.21</v>
      </c>
      <c r="Y19" s="7"/>
      <c r="Z19" s="6"/>
      <c r="AA19" s="6"/>
      <c r="AB19" s="16"/>
      <c r="AD19" s="18">
        <v>45299</v>
      </c>
    </row>
    <row r="20" spans="1:30" ht="13.8">
      <c r="A20" s="13">
        <v>9</v>
      </c>
      <c r="B20" s="185" t="s">
        <v>81</v>
      </c>
      <c r="C20" s="10">
        <f t="shared" si="7"/>
        <v>1069</v>
      </c>
      <c r="D20" s="9">
        <f t="shared" si="8"/>
        <v>1707</v>
      </c>
      <c r="E20" s="26">
        <f t="shared" si="9"/>
        <v>2776</v>
      </c>
      <c r="F20" s="8">
        <f t="shared" si="0"/>
        <v>996</v>
      </c>
      <c r="G20" s="8">
        <f t="shared" si="1"/>
        <v>986</v>
      </c>
      <c r="H20" s="8">
        <f t="shared" si="2"/>
        <v>916</v>
      </c>
      <c r="I20" s="6">
        <f t="shared" si="3"/>
        <v>1780</v>
      </c>
      <c r="J20" s="6">
        <f t="shared" si="4"/>
        <v>1790</v>
      </c>
      <c r="K20" s="6">
        <f t="shared" si="5"/>
        <v>1860</v>
      </c>
      <c r="L20" s="6">
        <f t="shared" si="10"/>
        <v>2000</v>
      </c>
      <c r="M20" s="6">
        <f t="shared" si="11"/>
        <v>2000</v>
      </c>
      <c r="N20" s="6">
        <f t="shared" si="12"/>
        <v>2000</v>
      </c>
      <c r="O20" s="6">
        <f t="shared" si="13"/>
        <v>-220</v>
      </c>
      <c r="P20" s="6">
        <f t="shared" si="14"/>
        <v>-210</v>
      </c>
      <c r="Q20" s="6">
        <f t="shared" si="15"/>
        <v>-140</v>
      </c>
      <c r="R20" s="8">
        <v>0</v>
      </c>
      <c r="S20" s="8">
        <v>0</v>
      </c>
      <c r="T20" s="8">
        <v>0</v>
      </c>
      <c r="U20" s="25">
        <f t="shared" si="16"/>
        <v>0</v>
      </c>
      <c r="V20" s="25">
        <f t="shared" si="17"/>
        <v>0</v>
      </c>
      <c r="W20" s="25">
        <f t="shared" si="18"/>
        <v>0</v>
      </c>
      <c r="X20" s="15">
        <v>-0.21</v>
      </c>
      <c r="Y20" s="7"/>
      <c r="Z20" s="6"/>
      <c r="AA20" s="6"/>
      <c r="AB20" s="16"/>
      <c r="AD20" s="18">
        <v>45305</v>
      </c>
    </row>
    <row r="21" spans="1:30" ht="13.8">
      <c r="A21" s="13">
        <v>10</v>
      </c>
      <c r="B21" s="185" t="s">
        <v>82</v>
      </c>
      <c r="C21" s="10">
        <f t="shared" si="7"/>
        <v>1069</v>
      </c>
      <c r="D21" s="9">
        <f t="shared" si="8"/>
        <v>1705</v>
      </c>
      <c r="E21" s="26">
        <f t="shared" si="9"/>
        <v>2774</v>
      </c>
      <c r="F21" s="8">
        <f t="shared" si="0"/>
        <v>994</v>
      </c>
      <c r="G21" s="8">
        <f t="shared" si="1"/>
        <v>984</v>
      </c>
      <c r="H21" s="8">
        <f t="shared" si="2"/>
        <v>914</v>
      </c>
      <c r="I21" s="6">
        <f t="shared" si="3"/>
        <v>1780</v>
      </c>
      <c r="J21" s="6">
        <f t="shared" si="4"/>
        <v>1790</v>
      </c>
      <c r="K21" s="6">
        <f t="shared" si="5"/>
        <v>1860</v>
      </c>
      <c r="L21" s="6">
        <f t="shared" si="10"/>
        <v>2000</v>
      </c>
      <c r="M21" s="6">
        <f t="shared" si="11"/>
        <v>2000</v>
      </c>
      <c r="N21" s="6">
        <f t="shared" si="12"/>
        <v>2000</v>
      </c>
      <c r="O21" s="6">
        <f t="shared" si="13"/>
        <v>-220</v>
      </c>
      <c r="P21" s="6">
        <f t="shared" si="14"/>
        <v>-210</v>
      </c>
      <c r="Q21" s="6">
        <f t="shared" si="15"/>
        <v>-140</v>
      </c>
      <c r="R21" s="8">
        <v>0</v>
      </c>
      <c r="S21" s="8">
        <v>0</v>
      </c>
      <c r="T21" s="8">
        <v>0</v>
      </c>
      <c r="U21" s="25">
        <f t="shared" si="16"/>
        <v>0</v>
      </c>
      <c r="V21" s="25">
        <f t="shared" si="17"/>
        <v>0</v>
      </c>
      <c r="W21" s="25">
        <f t="shared" si="18"/>
        <v>0</v>
      </c>
      <c r="X21" s="15">
        <v>-0.21</v>
      </c>
      <c r="Y21" s="7"/>
      <c r="Z21" s="6"/>
      <c r="AA21" s="6"/>
      <c r="AB21" s="16"/>
      <c r="AD21" s="18">
        <v>45311</v>
      </c>
    </row>
    <row r="22" spans="1:30" ht="13.8">
      <c r="A22" s="13">
        <v>11</v>
      </c>
      <c r="B22" s="185" t="s">
        <v>83</v>
      </c>
      <c r="C22" s="10">
        <f t="shared" si="7"/>
        <v>1069</v>
      </c>
      <c r="D22" s="9">
        <f t="shared" si="8"/>
        <v>1703</v>
      </c>
      <c r="E22" s="26">
        <f t="shared" si="9"/>
        <v>2772</v>
      </c>
      <c r="F22" s="8">
        <f t="shared" si="0"/>
        <v>992</v>
      </c>
      <c r="G22" s="8">
        <f t="shared" si="1"/>
        <v>982</v>
      </c>
      <c r="H22" s="8">
        <f t="shared" si="2"/>
        <v>912</v>
      </c>
      <c r="I22" s="6">
        <f t="shared" si="3"/>
        <v>1780</v>
      </c>
      <c r="J22" s="6">
        <f t="shared" si="4"/>
        <v>1790</v>
      </c>
      <c r="K22" s="6">
        <f t="shared" si="5"/>
        <v>1860</v>
      </c>
      <c r="L22" s="6">
        <f t="shared" si="10"/>
        <v>2000</v>
      </c>
      <c r="M22" s="6">
        <f t="shared" si="11"/>
        <v>2000</v>
      </c>
      <c r="N22" s="6">
        <f t="shared" si="12"/>
        <v>2000</v>
      </c>
      <c r="O22" s="6">
        <f t="shared" si="13"/>
        <v>-220</v>
      </c>
      <c r="P22" s="6">
        <f t="shared" si="14"/>
        <v>-210</v>
      </c>
      <c r="Q22" s="6">
        <f t="shared" si="15"/>
        <v>-140</v>
      </c>
      <c r="R22" s="8">
        <v>0</v>
      </c>
      <c r="S22" s="8">
        <v>0</v>
      </c>
      <c r="T22" s="8">
        <v>0</v>
      </c>
      <c r="U22" s="25">
        <f t="shared" si="16"/>
        <v>0</v>
      </c>
      <c r="V22" s="25">
        <f t="shared" si="17"/>
        <v>0</v>
      </c>
      <c r="W22" s="25">
        <f t="shared" si="18"/>
        <v>0</v>
      </c>
      <c r="X22" s="15">
        <v>-0.21</v>
      </c>
      <c r="Y22" s="7"/>
      <c r="Z22" s="6"/>
      <c r="AA22" s="6"/>
      <c r="AB22" s="16"/>
      <c r="AD22" s="18">
        <v>45396</v>
      </c>
    </row>
    <row r="23" spans="1:30" ht="13.8">
      <c r="A23" s="13">
        <v>12</v>
      </c>
      <c r="B23" s="185" t="s">
        <v>84</v>
      </c>
      <c r="C23" s="10">
        <f t="shared" si="7"/>
        <v>1069</v>
      </c>
      <c r="D23" s="9">
        <f t="shared" si="8"/>
        <v>1701</v>
      </c>
      <c r="E23" s="26">
        <f t="shared" si="9"/>
        <v>2770</v>
      </c>
      <c r="F23" s="8">
        <f t="shared" si="0"/>
        <v>990</v>
      </c>
      <c r="G23" s="8">
        <f t="shared" si="1"/>
        <v>980</v>
      </c>
      <c r="H23" s="8">
        <f t="shared" si="2"/>
        <v>910</v>
      </c>
      <c r="I23" s="6">
        <f t="shared" si="3"/>
        <v>1780</v>
      </c>
      <c r="J23" s="6">
        <f t="shared" si="4"/>
        <v>1790</v>
      </c>
      <c r="K23" s="6">
        <f t="shared" si="5"/>
        <v>1860</v>
      </c>
      <c r="L23" s="6">
        <f t="shared" si="10"/>
        <v>2000</v>
      </c>
      <c r="M23" s="6">
        <f t="shared" si="11"/>
        <v>2000</v>
      </c>
      <c r="N23" s="6">
        <f t="shared" si="12"/>
        <v>2000</v>
      </c>
      <c r="O23" s="6">
        <f t="shared" si="13"/>
        <v>-220</v>
      </c>
      <c r="P23" s="6">
        <f t="shared" si="14"/>
        <v>-210</v>
      </c>
      <c r="Q23" s="6">
        <f t="shared" si="15"/>
        <v>-140</v>
      </c>
      <c r="R23" s="8">
        <v>0</v>
      </c>
      <c r="S23" s="8">
        <v>0</v>
      </c>
      <c r="T23" s="8">
        <v>0</v>
      </c>
      <c r="U23" s="25">
        <f t="shared" si="16"/>
        <v>0</v>
      </c>
      <c r="V23" s="25">
        <f t="shared" si="17"/>
        <v>0</v>
      </c>
      <c r="W23" s="25">
        <f t="shared" si="18"/>
        <v>0</v>
      </c>
      <c r="X23" s="15">
        <v>-0.21</v>
      </c>
      <c r="Y23" s="7"/>
      <c r="Z23" s="6"/>
      <c r="AA23" s="6"/>
      <c r="AB23" s="16"/>
      <c r="AD23" s="18">
        <v>45400</v>
      </c>
    </row>
    <row r="24" spans="1:30" ht="13.8">
      <c r="A24" s="13">
        <v>13</v>
      </c>
      <c r="B24" s="185" t="s">
        <v>85</v>
      </c>
      <c r="C24" s="10">
        <f t="shared" si="7"/>
        <v>1069</v>
      </c>
      <c r="D24" s="9">
        <f t="shared" si="8"/>
        <v>1699</v>
      </c>
      <c r="E24" s="26">
        <f t="shared" si="9"/>
        <v>2768</v>
      </c>
      <c r="F24" s="8">
        <f t="shared" si="0"/>
        <v>988</v>
      </c>
      <c r="G24" s="8">
        <f t="shared" si="1"/>
        <v>978</v>
      </c>
      <c r="H24" s="8">
        <f t="shared" si="2"/>
        <v>908</v>
      </c>
      <c r="I24" s="6">
        <f t="shared" si="3"/>
        <v>1780</v>
      </c>
      <c r="J24" s="6">
        <f t="shared" si="4"/>
        <v>1790</v>
      </c>
      <c r="K24" s="6">
        <f t="shared" si="5"/>
        <v>1860</v>
      </c>
      <c r="L24" s="6">
        <f t="shared" si="10"/>
        <v>2000</v>
      </c>
      <c r="M24" s="6">
        <f t="shared" si="11"/>
        <v>2000</v>
      </c>
      <c r="N24" s="6">
        <f t="shared" si="12"/>
        <v>2000</v>
      </c>
      <c r="O24" s="6">
        <f t="shared" si="13"/>
        <v>-220</v>
      </c>
      <c r="P24" s="6">
        <f t="shared" si="14"/>
        <v>-210</v>
      </c>
      <c r="Q24" s="6">
        <f t="shared" si="15"/>
        <v>-140</v>
      </c>
      <c r="R24" s="8">
        <v>0</v>
      </c>
      <c r="S24" s="8">
        <v>0</v>
      </c>
      <c r="T24" s="8">
        <v>0</v>
      </c>
      <c r="U24" s="25">
        <f t="shared" si="16"/>
        <v>0</v>
      </c>
      <c r="V24" s="25">
        <f t="shared" si="17"/>
        <v>0</v>
      </c>
      <c r="W24" s="25">
        <f t="shared" si="18"/>
        <v>0</v>
      </c>
      <c r="X24" s="15">
        <v>-0.21</v>
      </c>
      <c r="Y24" s="7"/>
      <c r="Z24" s="6"/>
      <c r="AA24" s="6"/>
      <c r="AB24" s="16"/>
      <c r="AD24" s="18">
        <v>45405</v>
      </c>
    </row>
    <row r="25" spans="1:30" ht="13.8">
      <c r="A25" s="13">
        <v>14</v>
      </c>
      <c r="B25" s="185" t="s">
        <v>86</v>
      </c>
      <c r="C25" s="10">
        <f t="shared" si="7"/>
        <v>1069</v>
      </c>
      <c r="D25" s="9">
        <f t="shared" si="8"/>
        <v>1697</v>
      </c>
      <c r="E25" s="26">
        <f t="shared" si="9"/>
        <v>2766</v>
      </c>
      <c r="F25" s="8">
        <f t="shared" si="0"/>
        <v>986</v>
      </c>
      <c r="G25" s="8">
        <f t="shared" si="1"/>
        <v>976</v>
      </c>
      <c r="H25" s="8">
        <f t="shared" si="2"/>
        <v>906</v>
      </c>
      <c r="I25" s="6">
        <f t="shared" si="3"/>
        <v>1780</v>
      </c>
      <c r="J25" s="6">
        <f t="shared" si="4"/>
        <v>1790</v>
      </c>
      <c r="K25" s="6">
        <f t="shared" si="5"/>
        <v>1860</v>
      </c>
      <c r="L25" s="6">
        <f t="shared" si="10"/>
        <v>2000</v>
      </c>
      <c r="M25" s="6">
        <f t="shared" si="11"/>
        <v>2000</v>
      </c>
      <c r="N25" s="6">
        <f t="shared" si="12"/>
        <v>2000</v>
      </c>
      <c r="O25" s="6">
        <f t="shared" si="13"/>
        <v>-220</v>
      </c>
      <c r="P25" s="6">
        <f t="shared" si="14"/>
        <v>-210</v>
      </c>
      <c r="Q25" s="6">
        <f t="shared" si="15"/>
        <v>-140</v>
      </c>
      <c r="R25" s="8">
        <v>0</v>
      </c>
      <c r="S25" s="8">
        <v>0</v>
      </c>
      <c r="T25" s="8">
        <v>0</v>
      </c>
      <c r="U25" s="25">
        <f t="shared" si="16"/>
        <v>0</v>
      </c>
      <c r="V25" s="25">
        <f t="shared" si="17"/>
        <v>0</v>
      </c>
      <c r="W25" s="25">
        <f t="shared" si="18"/>
        <v>0</v>
      </c>
      <c r="X25" s="15">
        <v>-0.21</v>
      </c>
      <c r="Y25" s="7"/>
      <c r="Z25" s="6"/>
      <c r="AA25" s="6"/>
      <c r="AB25" s="16"/>
      <c r="AD25" s="18"/>
    </row>
    <row r="26" spans="1:30" ht="13.8">
      <c r="A26" s="13">
        <v>15</v>
      </c>
      <c r="B26" s="185" t="s">
        <v>87</v>
      </c>
      <c r="C26" s="10">
        <f t="shared" si="7"/>
        <v>1069</v>
      </c>
      <c r="D26" s="9">
        <f t="shared" si="8"/>
        <v>1695</v>
      </c>
      <c r="E26" s="26">
        <f t="shared" si="9"/>
        <v>2764</v>
      </c>
      <c r="F26" s="8">
        <f t="shared" si="0"/>
        <v>984</v>
      </c>
      <c r="G26" s="8">
        <f t="shared" si="1"/>
        <v>974</v>
      </c>
      <c r="H26" s="8">
        <f t="shared" si="2"/>
        <v>904</v>
      </c>
      <c r="I26" s="6">
        <f t="shared" si="3"/>
        <v>1780</v>
      </c>
      <c r="J26" s="6">
        <f t="shared" si="4"/>
        <v>1790</v>
      </c>
      <c r="K26" s="6">
        <f t="shared" si="5"/>
        <v>1860</v>
      </c>
      <c r="L26" s="6">
        <f t="shared" si="10"/>
        <v>2000</v>
      </c>
      <c r="M26" s="6">
        <f t="shared" si="11"/>
        <v>2000</v>
      </c>
      <c r="N26" s="6">
        <f t="shared" si="12"/>
        <v>2000</v>
      </c>
      <c r="O26" s="6">
        <f t="shared" si="13"/>
        <v>-220</v>
      </c>
      <c r="P26" s="6">
        <f t="shared" si="14"/>
        <v>-210</v>
      </c>
      <c r="Q26" s="6">
        <f t="shared" si="15"/>
        <v>-140</v>
      </c>
      <c r="R26" s="8">
        <v>0</v>
      </c>
      <c r="S26" s="8">
        <v>0</v>
      </c>
      <c r="T26" s="8">
        <v>0</v>
      </c>
      <c r="U26" s="25">
        <f t="shared" si="16"/>
        <v>0</v>
      </c>
      <c r="V26" s="25">
        <f t="shared" si="17"/>
        <v>0</v>
      </c>
      <c r="W26" s="25">
        <f t="shared" si="18"/>
        <v>0</v>
      </c>
      <c r="X26" s="15">
        <v>-0.21</v>
      </c>
      <c r="Y26" s="7"/>
      <c r="Z26" s="6"/>
      <c r="AA26" s="6"/>
      <c r="AB26" s="16"/>
    </row>
    <row r="27" spans="1:30" ht="13.8">
      <c r="A27" s="13">
        <v>16</v>
      </c>
      <c r="B27" s="185" t="s">
        <v>88</v>
      </c>
      <c r="C27" s="10">
        <f t="shared" si="7"/>
        <v>1069</v>
      </c>
      <c r="D27" s="9">
        <f t="shared" si="8"/>
        <v>1693</v>
      </c>
      <c r="E27" s="26">
        <f t="shared" si="9"/>
        <v>2762</v>
      </c>
      <c r="F27" s="8">
        <f t="shared" si="0"/>
        <v>982</v>
      </c>
      <c r="G27" s="8">
        <f t="shared" si="1"/>
        <v>972</v>
      </c>
      <c r="H27" s="8">
        <f t="shared" si="2"/>
        <v>902</v>
      </c>
      <c r="I27" s="6">
        <f t="shared" si="3"/>
        <v>1780</v>
      </c>
      <c r="J27" s="6">
        <f t="shared" si="4"/>
        <v>1790</v>
      </c>
      <c r="K27" s="6">
        <f t="shared" si="5"/>
        <v>1860</v>
      </c>
      <c r="L27" s="6">
        <f t="shared" si="10"/>
        <v>2000</v>
      </c>
      <c r="M27" s="6">
        <f t="shared" si="11"/>
        <v>2000</v>
      </c>
      <c r="N27" s="6">
        <f t="shared" si="12"/>
        <v>2000</v>
      </c>
      <c r="O27" s="6">
        <f t="shared" si="13"/>
        <v>-220</v>
      </c>
      <c r="P27" s="6">
        <f t="shared" si="14"/>
        <v>-210</v>
      </c>
      <c r="Q27" s="6">
        <f t="shared" si="15"/>
        <v>-140</v>
      </c>
      <c r="R27" s="17">
        <v>0</v>
      </c>
      <c r="S27" s="17">
        <v>0</v>
      </c>
      <c r="T27" s="17">
        <v>0</v>
      </c>
      <c r="U27" s="25">
        <f t="shared" si="16"/>
        <v>0</v>
      </c>
      <c r="V27" s="25">
        <f t="shared" si="17"/>
        <v>0</v>
      </c>
      <c r="W27" s="25">
        <f t="shared" si="18"/>
        <v>0</v>
      </c>
      <c r="X27" s="15">
        <v>-0.21</v>
      </c>
      <c r="Y27" s="7"/>
      <c r="Z27" s="6"/>
      <c r="AA27" s="6"/>
      <c r="AB27" s="16"/>
    </row>
    <row r="28" spans="1:30" ht="13.8">
      <c r="A28" s="13">
        <v>17</v>
      </c>
      <c r="B28" s="185" t="s">
        <v>89</v>
      </c>
      <c r="C28" s="10">
        <f t="shared" si="7"/>
        <v>1069</v>
      </c>
      <c r="D28" s="9">
        <f t="shared" si="8"/>
        <v>1691</v>
      </c>
      <c r="E28" s="26">
        <f t="shared" si="9"/>
        <v>2760</v>
      </c>
      <c r="F28" s="8">
        <f t="shared" si="0"/>
        <v>987</v>
      </c>
      <c r="G28" s="8">
        <f t="shared" si="1"/>
        <v>978</v>
      </c>
      <c r="H28" s="8">
        <f t="shared" si="2"/>
        <v>908</v>
      </c>
      <c r="I28" s="6">
        <f t="shared" si="3"/>
        <v>1773</v>
      </c>
      <c r="J28" s="6">
        <f t="shared" si="4"/>
        <v>1782</v>
      </c>
      <c r="K28" s="6">
        <f t="shared" si="5"/>
        <v>1852</v>
      </c>
      <c r="L28" s="6">
        <f t="shared" si="10"/>
        <v>2000</v>
      </c>
      <c r="M28" s="6">
        <f t="shared" si="11"/>
        <v>2000</v>
      </c>
      <c r="N28" s="6">
        <f t="shared" si="12"/>
        <v>2000</v>
      </c>
      <c r="O28" s="6">
        <f t="shared" si="13"/>
        <v>-227</v>
      </c>
      <c r="P28" s="6">
        <f t="shared" si="14"/>
        <v>-218</v>
      </c>
      <c r="Q28" s="6">
        <f t="shared" si="15"/>
        <v>-148</v>
      </c>
      <c r="R28" s="8">
        <v>7</v>
      </c>
      <c r="S28" s="8">
        <v>8</v>
      </c>
      <c r="T28" s="8">
        <v>8</v>
      </c>
      <c r="U28" s="25">
        <f t="shared" si="16"/>
        <v>-7</v>
      </c>
      <c r="V28" s="25">
        <f t="shared" si="17"/>
        <v>-8</v>
      </c>
      <c r="W28" s="25">
        <f t="shared" si="18"/>
        <v>-8</v>
      </c>
      <c r="X28" s="15">
        <v>-0.108</v>
      </c>
      <c r="Y28" s="7"/>
      <c r="Z28" s="7"/>
      <c r="AA28" s="7"/>
      <c r="AB28" s="16">
        <v>8</v>
      </c>
    </row>
    <row r="29" spans="1:30" ht="13.8">
      <c r="A29" s="13">
        <v>18</v>
      </c>
      <c r="B29" s="185" t="s">
        <v>90</v>
      </c>
      <c r="C29" s="10">
        <f t="shared" si="7"/>
        <v>1069</v>
      </c>
      <c r="D29" s="9">
        <f t="shared" si="8"/>
        <v>1689</v>
      </c>
      <c r="E29" s="26">
        <f t="shared" si="9"/>
        <v>2758</v>
      </c>
      <c r="F29" s="8">
        <f t="shared" si="0"/>
        <v>988</v>
      </c>
      <c r="G29" s="8">
        <f t="shared" si="1"/>
        <v>979</v>
      </c>
      <c r="H29" s="8">
        <f t="shared" si="2"/>
        <v>912</v>
      </c>
      <c r="I29" s="6">
        <f t="shared" si="3"/>
        <v>1770</v>
      </c>
      <c r="J29" s="6">
        <f t="shared" si="4"/>
        <v>1779</v>
      </c>
      <c r="K29" s="6">
        <f t="shared" si="5"/>
        <v>1846</v>
      </c>
      <c r="L29" s="6">
        <f t="shared" si="10"/>
        <v>2000</v>
      </c>
      <c r="M29" s="6">
        <f t="shared" si="11"/>
        <v>2000</v>
      </c>
      <c r="N29" s="6">
        <f t="shared" si="12"/>
        <v>2000</v>
      </c>
      <c r="O29" s="6">
        <f t="shared" si="13"/>
        <v>-230</v>
      </c>
      <c r="P29" s="6">
        <f t="shared" si="14"/>
        <v>-221</v>
      </c>
      <c r="Q29" s="6">
        <f t="shared" si="15"/>
        <v>-154</v>
      </c>
      <c r="R29" s="8">
        <v>3</v>
      </c>
      <c r="S29" s="8">
        <v>3</v>
      </c>
      <c r="T29" s="8">
        <v>6</v>
      </c>
      <c r="U29" s="25">
        <f t="shared" si="16"/>
        <v>-10</v>
      </c>
      <c r="V29" s="25">
        <f t="shared" si="17"/>
        <v>-11</v>
      </c>
      <c r="W29" s="25">
        <f t="shared" si="18"/>
        <v>-14</v>
      </c>
      <c r="X29" s="15">
        <v>-0.111</v>
      </c>
      <c r="Y29" s="7"/>
      <c r="Z29" s="6"/>
      <c r="AA29" s="6"/>
      <c r="AB29" s="16"/>
    </row>
    <row r="30" spans="1:30" ht="13.8">
      <c r="A30" s="13">
        <v>19</v>
      </c>
      <c r="B30" s="185" t="s">
        <v>91</v>
      </c>
      <c r="C30" s="10">
        <f t="shared" si="7"/>
        <v>1069</v>
      </c>
      <c r="D30" s="9">
        <f t="shared" si="8"/>
        <v>1687</v>
      </c>
      <c r="E30" s="26">
        <f t="shared" si="9"/>
        <v>2756</v>
      </c>
      <c r="F30" s="8">
        <f t="shared" si="0"/>
        <v>990</v>
      </c>
      <c r="G30" s="8">
        <f t="shared" si="1"/>
        <v>981</v>
      </c>
      <c r="H30" s="8">
        <f t="shared" si="2"/>
        <v>916</v>
      </c>
      <c r="I30" s="6">
        <f t="shared" si="3"/>
        <v>1766</v>
      </c>
      <c r="J30" s="6">
        <f t="shared" si="4"/>
        <v>1775</v>
      </c>
      <c r="K30" s="6">
        <f t="shared" si="5"/>
        <v>1840</v>
      </c>
      <c r="L30" s="6">
        <f t="shared" si="10"/>
        <v>2000</v>
      </c>
      <c r="M30" s="6">
        <f t="shared" si="11"/>
        <v>2000</v>
      </c>
      <c r="N30" s="6">
        <f t="shared" si="12"/>
        <v>2000</v>
      </c>
      <c r="O30" s="6">
        <f t="shared" si="13"/>
        <v>-234</v>
      </c>
      <c r="P30" s="6">
        <f t="shared" si="14"/>
        <v>-225</v>
      </c>
      <c r="Q30" s="6">
        <f t="shared" si="15"/>
        <v>-160</v>
      </c>
      <c r="R30" s="8">
        <v>4</v>
      </c>
      <c r="S30" s="8">
        <v>4</v>
      </c>
      <c r="T30" s="8">
        <v>6</v>
      </c>
      <c r="U30" s="25">
        <f t="shared" si="16"/>
        <v>-14</v>
      </c>
      <c r="V30" s="25">
        <f t="shared" si="17"/>
        <v>-15</v>
      </c>
      <c r="W30" s="25">
        <f t="shared" si="18"/>
        <v>-20</v>
      </c>
      <c r="X30" s="15">
        <v>-0.115</v>
      </c>
      <c r="Y30" s="7"/>
      <c r="Z30" s="6"/>
      <c r="AA30" s="6"/>
      <c r="AB30" s="16"/>
    </row>
    <row r="31" spans="1:30" ht="13.8">
      <c r="A31" s="13">
        <v>20</v>
      </c>
      <c r="B31" s="185" t="s">
        <v>92</v>
      </c>
      <c r="C31" s="10">
        <f t="shared" si="7"/>
        <v>1069</v>
      </c>
      <c r="D31" s="9">
        <f t="shared" si="8"/>
        <v>1685</v>
      </c>
      <c r="E31" s="26">
        <f t="shared" si="9"/>
        <v>2754</v>
      </c>
      <c r="F31" s="8">
        <f t="shared" si="0"/>
        <v>993</v>
      </c>
      <c r="G31" s="8">
        <f t="shared" si="1"/>
        <v>981</v>
      </c>
      <c r="H31" s="8">
        <f t="shared" si="2"/>
        <v>920</v>
      </c>
      <c r="I31" s="6">
        <f t="shared" si="3"/>
        <v>1761</v>
      </c>
      <c r="J31" s="6">
        <f t="shared" si="4"/>
        <v>1773</v>
      </c>
      <c r="K31" s="6">
        <f t="shared" si="5"/>
        <v>1834</v>
      </c>
      <c r="L31" s="6">
        <f t="shared" si="10"/>
        <v>2000</v>
      </c>
      <c r="M31" s="6">
        <f t="shared" si="11"/>
        <v>2000</v>
      </c>
      <c r="N31" s="6">
        <f t="shared" si="12"/>
        <v>2000</v>
      </c>
      <c r="O31" s="6">
        <f t="shared" si="13"/>
        <v>-239</v>
      </c>
      <c r="P31" s="6">
        <f t="shared" si="14"/>
        <v>-227</v>
      </c>
      <c r="Q31" s="6">
        <f t="shared" si="15"/>
        <v>-166</v>
      </c>
      <c r="R31" s="8">
        <v>5</v>
      </c>
      <c r="S31" s="8">
        <v>2</v>
      </c>
      <c r="T31" s="8">
        <v>6</v>
      </c>
      <c r="U31" s="25">
        <f t="shared" si="16"/>
        <v>-19</v>
      </c>
      <c r="V31" s="25">
        <f t="shared" si="17"/>
        <v>-17</v>
      </c>
      <c r="W31" s="25">
        <f t="shared" si="18"/>
        <v>-26</v>
      </c>
      <c r="X31" s="15">
        <v>-0.11700000000000001</v>
      </c>
      <c r="Y31" s="7"/>
      <c r="Z31" s="6"/>
      <c r="AA31" s="6"/>
      <c r="AB31" s="16"/>
    </row>
    <row r="32" spans="1:30" ht="13.8">
      <c r="A32" s="13">
        <v>21</v>
      </c>
      <c r="B32" s="185" t="s">
        <v>93</v>
      </c>
      <c r="C32" s="10">
        <f t="shared" si="7"/>
        <v>1069</v>
      </c>
      <c r="D32" s="9">
        <f t="shared" si="8"/>
        <v>1683</v>
      </c>
      <c r="E32" s="26">
        <f t="shared" si="9"/>
        <v>2752</v>
      </c>
      <c r="F32" s="8">
        <f t="shared" si="0"/>
        <v>1000</v>
      </c>
      <c r="G32" s="8">
        <f t="shared" si="1"/>
        <v>987</v>
      </c>
      <c r="H32" s="8">
        <f t="shared" si="2"/>
        <v>927</v>
      </c>
      <c r="I32" s="6">
        <f t="shared" si="3"/>
        <v>1752</v>
      </c>
      <c r="J32" s="6">
        <f t="shared" si="4"/>
        <v>1765</v>
      </c>
      <c r="K32" s="6">
        <f t="shared" si="5"/>
        <v>1825</v>
      </c>
      <c r="L32" s="6">
        <f t="shared" si="10"/>
        <v>2000</v>
      </c>
      <c r="M32" s="6">
        <f t="shared" si="11"/>
        <v>2000</v>
      </c>
      <c r="N32" s="6">
        <f t="shared" si="12"/>
        <v>2000</v>
      </c>
      <c r="O32" s="6">
        <f t="shared" si="13"/>
        <v>-248</v>
      </c>
      <c r="P32" s="6">
        <f t="shared" si="14"/>
        <v>-235</v>
      </c>
      <c r="Q32" s="6">
        <f t="shared" si="15"/>
        <v>-175</v>
      </c>
      <c r="R32" s="8">
        <v>9</v>
      </c>
      <c r="S32" s="8">
        <v>8</v>
      </c>
      <c r="T32" s="8">
        <v>9</v>
      </c>
      <c r="U32" s="25">
        <f t="shared" si="16"/>
        <v>-28</v>
      </c>
      <c r="V32" s="25">
        <f t="shared" si="17"/>
        <v>-25</v>
      </c>
      <c r="W32" s="25">
        <f t="shared" si="18"/>
        <v>-35</v>
      </c>
      <c r="X32" s="15">
        <v>-0.125</v>
      </c>
      <c r="Y32" s="7"/>
      <c r="Z32" s="6"/>
      <c r="AA32" s="6"/>
      <c r="AB32" s="16"/>
    </row>
    <row r="33" spans="1:28" ht="13.8">
      <c r="A33" s="13">
        <v>22</v>
      </c>
      <c r="B33" s="185" t="s">
        <v>94</v>
      </c>
      <c r="C33" s="10">
        <f t="shared" si="7"/>
        <v>1069</v>
      </c>
      <c r="D33" s="9">
        <f t="shared" si="8"/>
        <v>1681</v>
      </c>
      <c r="E33" s="26">
        <f t="shared" si="9"/>
        <v>2750</v>
      </c>
      <c r="F33" s="8">
        <f t="shared" si="0"/>
        <v>1002</v>
      </c>
      <c r="G33" s="8">
        <f t="shared" si="1"/>
        <v>988</v>
      </c>
      <c r="H33" s="8">
        <f t="shared" si="2"/>
        <v>928</v>
      </c>
      <c r="I33" s="6">
        <f t="shared" si="3"/>
        <v>1748</v>
      </c>
      <c r="J33" s="6">
        <f t="shared" si="4"/>
        <v>1762</v>
      </c>
      <c r="K33" s="6">
        <f t="shared" si="5"/>
        <v>1822</v>
      </c>
      <c r="L33" s="6">
        <f t="shared" si="10"/>
        <v>2000</v>
      </c>
      <c r="M33" s="6">
        <f t="shared" si="11"/>
        <v>2000</v>
      </c>
      <c r="N33" s="6">
        <f t="shared" si="12"/>
        <v>2000</v>
      </c>
      <c r="O33" s="6">
        <f t="shared" si="13"/>
        <v>-252</v>
      </c>
      <c r="P33" s="6">
        <f t="shared" si="14"/>
        <v>-238</v>
      </c>
      <c r="Q33" s="6">
        <f t="shared" si="15"/>
        <v>-178</v>
      </c>
      <c r="R33" s="8">
        <v>4</v>
      </c>
      <c r="S33" s="8">
        <v>3</v>
      </c>
      <c r="T33" s="8">
        <v>3</v>
      </c>
      <c r="U33" s="25">
        <f t="shared" si="16"/>
        <v>-32</v>
      </c>
      <c r="V33" s="25">
        <f t="shared" si="17"/>
        <v>-28</v>
      </c>
      <c r="W33" s="25">
        <f t="shared" si="18"/>
        <v>-38</v>
      </c>
      <c r="X33" s="15">
        <v>-0.128</v>
      </c>
      <c r="Y33" s="7"/>
      <c r="Z33" s="6"/>
      <c r="AA33" s="6"/>
      <c r="AB33" s="16"/>
    </row>
    <row r="34" spans="1:28" ht="13.8">
      <c r="A34" s="13">
        <v>23</v>
      </c>
      <c r="B34" s="185" t="s">
        <v>95</v>
      </c>
      <c r="C34" s="10">
        <f t="shared" si="7"/>
        <v>1069</v>
      </c>
      <c r="D34" s="9">
        <f t="shared" si="8"/>
        <v>1679</v>
      </c>
      <c r="E34" s="26">
        <f t="shared" si="9"/>
        <v>2748</v>
      </c>
      <c r="F34" s="8">
        <f t="shared" si="0"/>
        <v>1004</v>
      </c>
      <c r="G34" s="8">
        <f t="shared" si="1"/>
        <v>991</v>
      </c>
      <c r="H34" s="8">
        <f t="shared" si="2"/>
        <v>929</v>
      </c>
      <c r="I34" s="6">
        <f t="shared" si="3"/>
        <v>1744</v>
      </c>
      <c r="J34" s="6">
        <f t="shared" si="4"/>
        <v>1757</v>
      </c>
      <c r="K34" s="6">
        <f t="shared" si="5"/>
        <v>1819</v>
      </c>
      <c r="L34" s="6">
        <f t="shared" si="10"/>
        <v>2000</v>
      </c>
      <c r="M34" s="6">
        <f t="shared" si="11"/>
        <v>2000</v>
      </c>
      <c r="N34" s="6">
        <f t="shared" si="12"/>
        <v>2000</v>
      </c>
      <c r="O34" s="6">
        <f t="shared" si="13"/>
        <v>-256</v>
      </c>
      <c r="P34" s="6">
        <f t="shared" si="14"/>
        <v>-243</v>
      </c>
      <c r="Q34" s="6">
        <f t="shared" si="15"/>
        <v>-181</v>
      </c>
      <c r="R34" s="8">
        <v>4</v>
      </c>
      <c r="S34" s="8">
        <v>5</v>
      </c>
      <c r="T34" s="8">
        <v>3</v>
      </c>
      <c r="U34" s="25">
        <f t="shared" si="16"/>
        <v>-36</v>
      </c>
      <c r="V34" s="25">
        <f t="shared" si="17"/>
        <v>-33</v>
      </c>
      <c r="W34" s="25">
        <f t="shared" si="18"/>
        <v>-41</v>
      </c>
      <c r="X34" s="15">
        <v>0.16700000000000001</v>
      </c>
      <c r="Y34" s="15">
        <v>0.3</v>
      </c>
      <c r="Z34" s="21">
        <f>Z33+Y34</f>
        <v>0.3</v>
      </c>
      <c r="AA34" s="6"/>
      <c r="AB34" s="16">
        <v>7</v>
      </c>
    </row>
    <row r="35" spans="1:28" ht="13.8">
      <c r="A35" s="13">
        <v>24</v>
      </c>
      <c r="B35" s="185" t="s">
        <v>96</v>
      </c>
      <c r="C35" s="10">
        <f t="shared" si="7"/>
        <v>1069</v>
      </c>
      <c r="D35" s="9">
        <f t="shared" si="8"/>
        <v>1677</v>
      </c>
      <c r="E35" s="26">
        <f t="shared" si="9"/>
        <v>2746</v>
      </c>
      <c r="F35" s="8">
        <f t="shared" si="0"/>
        <v>1006</v>
      </c>
      <c r="G35" s="8">
        <f t="shared" si="1"/>
        <v>993</v>
      </c>
      <c r="H35" s="8">
        <f t="shared" si="2"/>
        <v>930</v>
      </c>
      <c r="I35" s="6">
        <f t="shared" si="3"/>
        <v>1740</v>
      </c>
      <c r="J35" s="6">
        <f t="shared" si="4"/>
        <v>1753</v>
      </c>
      <c r="K35" s="6">
        <f t="shared" si="5"/>
        <v>1816</v>
      </c>
      <c r="L35" s="6">
        <f t="shared" si="10"/>
        <v>2000</v>
      </c>
      <c r="M35" s="6">
        <f t="shared" si="11"/>
        <v>2000</v>
      </c>
      <c r="N35" s="6">
        <f t="shared" si="12"/>
        <v>2000</v>
      </c>
      <c r="O35" s="6">
        <f t="shared" si="13"/>
        <v>-260</v>
      </c>
      <c r="P35" s="6">
        <f t="shared" si="14"/>
        <v>-247</v>
      </c>
      <c r="Q35" s="6">
        <f t="shared" si="15"/>
        <v>-184</v>
      </c>
      <c r="R35" s="8">
        <v>4</v>
      </c>
      <c r="S35" s="8">
        <v>4</v>
      </c>
      <c r="T35" s="8">
        <v>3</v>
      </c>
      <c r="U35" s="25">
        <f t="shared" si="16"/>
        <v>-40</v>
      </c>
      <c r="V35" s="25">
        <f t="shared" si="17"/>
        <v>-37</v>
      </c>
      <c r="W35" s="25">
        <f t="shared" si="18"/>
        <v>-44</v>
      </c>
      <c r="X35" s="15">
        <v>0.16300000000000001</v>
      </c>
      <c r="Y35" s="7"/>
      <c r="Z35" s="21">
        <f t="shared" ref="Z35:Z98" si="19">Z34+Y35</f>
        <v>0.3</v>
      </c>
      <c r="AA35" s="6"/>
      <c r="AB35" s="16"/>
    </row>
    <row r="36" spans="1:28" ht="13.8">
      <c r="A36" s="13">
        <v>25</v>
      </c>
      <c r="B36" s="185" t="s">
        <v>97</v>
      </c>
      <c r="C36" s="10">
        <f t="shared" si="7"/>
        <v>1069</v>
      </c>
      <c r="D36" s="9">
        <f t="shared" si="8"/>
        <v>1675</v>
      </c>
      <c r="E36" s="26">
        <f t="shared" si="9"/>
        <v>2744</v>
      </c>
      <c r="F36" s="8">
        <f t="shared" si="0"/>
        <v>1007</v>
      </c>
      <c r="G36" s="8">
        <f t="shared" si="1"/>
        <v>994</v>
      </c>
      <c r="H36" s="8">
        <f t="shared" si="2"/>
        <v>930</v>
      </c>
      <c r="I36" s="6">
        <f t="shared" si="3"/>
        <v>1737</v>
      </c>
      <c r="J36" s="6">
        <f t="shared" si="4"/>
        <v>1750</v>
      </c>
      <c r="K36" s="6">
        <f t="shared" si="5"/>
        <v>1814</v>
      </c>
      <c r="L36" s="6">
        <f t="shared" si="10"/>
        <v>2000</v>
      </c>
      <c r="M36" s="6">
        <f t="shared" si="11"/>
        <v>2000</v>
      </c>
      <c r="N36" s="6">
        <f t="shared" si="12"/>
        <v>2000</v>
      </c>
      <c r="O36" s="6">
        <f t="shared" si="13"/>
        <v>-263</v>
      </c>
      <c r="P36" s="6">
        <f t="shared" si="14"/>
        <v>-250</v>
      </c>
      <c r="Q36" s="6">
        <f t="shared" si="15"/>
        <v>-186</v>
      </c>
      <c r="R36" s="8">
        <v>3</v>
      </c>
      <c r="S36" s="8">
        <v>3</v>
      </c>
      <c r="T36" s="8">
        <v>2</v>
      </c>
      <c r="U36" s="25">
        <f t="shared" si="16"/>
        <v>-43</v>
      </c>
      <c r="V36" s="25">
        <f t="shared" si="17"/>
        <v>-40</v>
      </c>
      <c r="W36" s="25">
        <f t="shared" si="18"/>
        <v>-46</v>
      </c>
      <c r="X36" s="15">
        <v>0.16</v>
      </c>
      <c r="Y36" s="7"/>
      <c r="Z36" s="21">
        <f t="shared" si="19"/>
        <v>0.3</v>
      </c>
      <c r="AA36" s="6"/>
      <c r="AB36" s="16"/>
    </row>
    <row r="37" spans="1:28" ht="13.8">
      <c r="A37" s="13">
        <v>26</v>
      </c>
      <c r="B37" s="185" t="s">
        <v>98</v>
      </c>
      <c r="C37" s="10">
        <f t="shared" si="7"/>
        <v>1069</v>
      </c>
      <c r="D37" s="9">
        <f t="shared" si="8"/>
        <v>1673</v>
      </c>
      <c r="E37" s="26">
        <f t="shared" si="9"/>
        <v>2742</v>
      </c>
      <c r="F37" s="8">
        <f t="shared" si="0"/>
        <v>1007</v>
      </c>
      <c r="G37" s="8">
        <f t="shared" si="1"/>
        <v>995</v>
      </c>
      <c r="H37" s="8">
        <f t="shared" si="2"/>
        <v>930</v>
      </c>
      <c r="I37" s="6">
        <f t="shared" si="3"/>
        <v>1735</v>
      </c>
      <c r="J37" s="6">
        <f t="shared" si="4"/>
        <v>1747</v>
      </c>
      <c r="K37" s="6">
        <f t="shared" si="5"/>
        <v>1812</v>
      </c>
      <c r="L37" s="6">
        <f t="shared" si="10"/>
        <v>2000</v>
      </c>
      <c r="M37" s="6">
        <f t="shared" si="11"/>
        <v>2000</v>
      </c>
      <c r="N37" s="6">
        <f t="shared" si="12"/>
        <v>2000</v>
      </c>
      <c r="O37" s="6">
        <f t="shared" si="13"/>
        <v>-265</v>
      </c>
      <c r="P37" s="6">
        <f t="shared" si="14"/>
        <v>-253</v>
      </c>
      <c r="Q37" s="6">
        <f t="shared" si="15"/>
        <v>-188</v>
      </c>
      <c r="R37" s="8">
        <v>2</v>
      </c>
      <c r="S37" s="8">
        <v>3</v>
      </c>
      <c r="T37" s="8">
        <v>2</v>
      </c>
      <c r="U37" s="25">
        <f t="shared" si="16"/>
        <v>-45</v>
      </c>
      <c r="V37" s="25">
        <f t="shared" si="17"/>
        <v>-43</v>
      </c>
      <c r="W37" s="25">
        <f t="shared" si="18"/>
        <v>-48</v>
      </c>
      <c r="X37" s="15">
        <v>0.157</v>
      </c>
      <c r="Y37" s="7"/>
      <c r="Z37" s="21">
        <f t="shared" si="19"/>
        <v>0.3</v>
      </c>
      <c r="AA37" s="6"/>
      <c r="AB37" s="16"/>
    </row>
    <row r="38" spans="1:28" ht="13.8">
      <c r="A38" s="13">
        <v>27</v>
      </c>
      <c r="B38" s="185" t="s">
        <v>99</v>
      </c>
      <c r="C38" s="10">
        <f t="shared" si="7"/>
        <v>1069</v>
      </c>
      <c r="D38" s="9">
        <f t="shared" si="8"/>
        <v>1671</v>
      </c>
      <c r="E38" s="26">
        <f t="shared" si="9"/>
        <v>2740</v>
      </c>
      <c r="F38" s="8">
        <f t="shared" si="0"/>
        <v>1006</v>
      </c>
      <c r="G38" s="8">
        <f t="shared" si="1"/>
        <v>994</v>
      </c>
      <c r="H38" s="8">
        <f t="shared" si="2"/>
        <v>929</v>
      </c>
      <c r="I38" s="6">
        <f t="shared" si="3"/>
        <v>1734</v>
      </c>
      <c r="J38" s="6">
        <f t="shared" si="4"/>
        <v>1746</v>
      </c>
      <c r="K38" s="6">
        <f t="shared" si="5"/>
        <v>1811</v>
      </c>
      <c r="L38" s="6">
        <f t="shared" si="10"/>
        <v>2000</v>
      </c>
      <c r="M38" s="6">
        <f t="shared" si="11"/>
        <v>2000</v>
      </c>
      <c r="N38" s="6">
        <f t="shared" si="12"/>
        <v>2000</v>
      </c>
      <c r="O38" s="6">
        <f t="shared" si="13"/>
        <v>-266</v>
      </c>
      <c r="P38" s="6">
        <f t="shared" si="14"/>
        <v>-254</v>
      </c>
      <c r="Q38" s="6">
        <f t="shared" si="15"/>
        <v>-189</v>
      </c>
      <c r="R38" s="8">
        <v>1</v>
      </c>
      <c r="S38" s="8">
        <v>1</v>
      </c>
      <c r="T38" s="8">
        <v>1</v>
      </c>
      <c r="U38" s="25">
        <f t="shared" si="16"/>
        <v>-46</v>
      </c>
      <c r="V38" s="25">
        <f t="shared" si="17"/>
        <v>-44</v>
      </c>
      <c r="W38" s="25">
        <f t="shared" si="18"/>
        <v>-49</v>
      </c>
      <c r="X38" s="15">
        <v>0.156</v>
      </c>
      <c r="Y38" s="7"/>
      <c r="Z38" s="21">
        <f t="shared" si="19"/>
        <v>0.3</v>
      </c>
      <c r="AA38" s="6"/>
      <c r="AB38" s="16"/>
    </row>
    <row r="39" spans="1:28" ht="13.8">
      <c r="A39" s="13">
        <v>28</v>
      </c>
      <c r="B39" s="185" t="s">
        <v>100</v>
      </c>
      <c r="C39" s="10">
        <f t="shared" si="7"/>
        <v>1069</v>
      </c>
      <c r="D39" s="9">
        <f t="shared" si="8"/>
        <v>1669</v>
      </c>
      <c r="E39" s="26">
        <f t="shared" si="9"/>
        <v>2738</v>
      </c>
      <c r="F39" s="8">
        <f t="shared" si="0"/>
        <v>1004</v>
      </c>
      <c r="G39" s="8">
        <f t="shared" si="1"/>
        <v>992</v>
      </c>
      <c r="H39" s="8">
        <f t="shared" si="2"/>
        <v>927</v>
      </c>
      <c r="I39" s="6">
        <f t="shared" si="3"/>
        <v>1734</v>
      </c>
      <c r="J39" s="6">
        <f t="shared" si="4"/>
        <v>1746</v>
      </c>
      <c r="K39" s="6">
        <f t="shared" si="5"/>
        <v>1811</v>
      </c>
      <c r="L39" s="6">
        <f t="shared" si="10"/>
        <v>2000</v>
      </c>
      <c r="M39" s="6">
        <f t="shared" si="11"/>
        <v>2000</v>
      </c>
      <c r="N39" s="6">
        <f t="shared" si="12"/>
        <v>2000</v>
      </c>
      <c r="O39" s="6">
        <f t="shared" si="13"/>
        <v>-266</v>
      </c>
      <c r="P39" s="6">
        <f t="shared" si="14"/>
        <v>-254</v>
      </c>
      <c r="Q39" s="6">
        <f t="shared" si="15"/>
        <v>-189</v>
      </c>
      <c r="R39" s="8">
        <v>0</v>
      </c>
      <c r="S39" s="8">
        <v>0</v>
      </c>
      <c r="T39" s="8">
        <v>0</v>
      </c>
      <c r="U39" s="25">
        <f t="shared" si="16"/>
        <v>-46</v>
      </c>
      <c r="V39" s="25">
        <f t="shared" si="17"/>
        <v>-44</v>
      </c>
      <c r="W39" s="25">
        <f t="shared" si="18"/>
        <v>-49</v>
      </c>
      <c r="X39" s="15">
        <v>0.156</v>
      </c>
      <c r="Y39" s="7"/>
      <c r="Z39" s="21">
        <f t="shared" si="19"/>
        <v>0.3</v>
      </c>
      <c r="AA39" s="6"/>
      <c r="AB39" s="16"/>
    </row>
    <row r="40" spans="1:28" ht="13.8">
      <c r="A40" s="13">
        <v>29</v>
      </c>
      <c r="B40" s="185" t="s">
        <v>101</v>
      </c>
      <c r="C40" s="10">
        <f t="shared" si="7"/>
        <v>1069</v>
      </c>
      <c r="D40" s="9">
        <f t="shared" si="8"/>
        <v>1667</v>
      </c>
      <c r="E40" s="26">
        <f t="shared" si="9"/>
        <v>2736</v>
      </c>
      <c r="F40" s="8">
        <f t="shared" si="0"/>
        <v>1006</v>
      </c>
      <c r="G40" s="8">
        <f t="shared" si="1"/>
        <v>995</v>
      </c>
      <c r="H40" s="8">
        <f t="shared" si="2"/>
        <v>928</v>
      </c>
      <c r="I40" s="6">
        <f t="shared" si="3"/>
        <v>1730</v>
      </c>
      <c r="J40" s="6">
        <f t="shared" si="4"/>
        <v>1741</v>
      </c>
      <c r="K40" s="6">
        <f t="shared" si="5"/>
        <v>1808</v>
      </c>
      <c r="L40" s="6">
        <f t="shared" si="10"/>
        <v>2000</v>
      </c>
      <c r="M40" s="6">
        <f t="shared" si="11"/>
        <v>2000</v>
      </c>
      <c r="N40" s="6">
        <f t="shared" si="12"/>
        <v>2000</v>
      </c>
      <c r="O40" s="6">
        <f t="shared" si="13"/>
        <v>-270</v>
      </c>
      <c r="P40" s="6">
        <f t="shared" si="14"/>
        <v>-259</v>
      </c>
      <c r="Q40" s="6">
        <f t="shared" si="15"/>
        <v>-192</v>
      </c>
      <c r="R40" s="8">
        <v>4</v>
      </c>
      <c r="S40" s="8">
        <v>5</v>
      </c>
      <c r="T40" s="8">
        <v>3</v>
      </c>
      <c r="U40" s="25">
        <f t="shared" si="16"/>
        <v>-50</v>
      </c>
      <c r="V40" s="25">
        <f t="shared" si="17"/>
        <v>-49</v>
      </c>
      <c r="W40" s="25">
        <f t="shared" si="18"/>
        <v>-52</v>
      </c>
      <c r="X40" s="15">
        <v>0.45100000000000001</v>
      </c>
      <c r="Y40" s="15">
        <v>0.3</v>
      </c>
      <c r="Z40" s="21">
        <f t="shared" si="19"/>
        <v>0.6</v>
      </c>
      <c r="AA40" s="6"/>
      <c r="AB40" s="16">
        <v>6</v>
      </c>
    </row>
    <row r="41" spans="1:28" ht="13.8">
      <c r="A41" s="13">
        <v>30</v>
      </c>
      <c r="B41" s="185" t="s">
        <v>102</v>
      </c>
      <c r="C41" s="10">
        <f t="shared" si="7"/>
        <v>1069</v>
      </c>
      <c r="D41" s="9">
        <f t="shared" si="8"/>
        <v>1665</v>
      </c>
      <c r="E41" s="26">
        <f t="shared" si="9"/>
        <v>2734</v>
      </c>
      <c r="F41" s="8">
        <f t="shared" si="0"/>
        <v>1008</v>
      </c>
      <c r="G41" s="8">
        <f t="shared" si="1"/>
        <v>997</v>
      </c>
      <c r="H41" s="8">
        <f t="shared" si="2"/>
        <v>929</v>
      </c>
      <c r="I41" s="6">
        <f t="shared" si="3"/>
        <v>1726</v>
      </c>
      <c r="J41" s="6">
        <f t="shared" si="4"/>
        <v>1737</v>
      </c>
      <c r="K41" s="6">
        <f t="shared" si="5"/>
        <v>1805</v>
      </c>
      <c r="L41" s="6">
        <f t="shared" si="10"/>
        <v>2000</v>
      </c>
      <c r="M41" s="6">
        <f t="shared" si="11"/>
        <v>2000</v>
      </c>
      <c r="N41" s="6">
        <f t="shared" si="12"/>
        <v>2000</v>
      </c>
      <c r="O41" s="6">
        <f t="shared" si="13"/>
        <v>-274</v>
      </c>
      <c r="P41" s="6">
        <f t="shared" si="14"/>
        <v>-263</v>
      </c>
      <c r="Q41" s="6">
        <f t="shared" si="15"/>
        <v>-195</v>
      </c>
      <c r="R41" s="8">
        <v>4</v>
      </c>
      <c r="S41" s="8">
        <v>4</v>
      </c>
      <c r="T41" s="8">
        <v>3</v>
      </c>
      <c r="U41" s="25">
        <f t="shared" si="16"/>
        <v>-54</v>
      </c>
      <c r="V41" s="25">
        <f t="shared" si="17"/>
        <v>-53</v>
      </c>
      <c r="W41" s="25">
        <f t="shared" si="18"/>
        <v>-55</v>
      </c>
      <c r="X41" s="15">
        <v>0.44700000000000001</v>
      </c>
      <c r="Y41" s="7"/>
      <c r="Z41" s="21">
        <f t="shared" si="19"/>
        <v>0.6</v>
      </c>
      <c r="AA41" s="6"/>
      <c r="AB41" s="16"/>
    </row>
    <row r="42" spans="1:28" ht="13.8">
      <c r="A42" s="13">
        <v>31</v>
      </c>
      <c r="B42" s="185" t="s">
        <v>103</v>
      </c>
      <c r="C42" s="10">
        <f t="shared" si="7"/>
        <v>1069</v>
      </c>
      <c r="D42" s="9">
        <f t="shared" si="8"/>
        <v>1663</v>
      </c>
      <c r="E42" s="26">
        <f t="shared" si="9"/>
        <v>2732</v>
      </c>
      <c r="F42" s="8">
        <f t="shared" si="0"/>
        <v>1009</v>
      </c>
      <c r="G42" s="8">
        <f t="shared" si="1"/>
        <v>998</v>
      </c>
      <c r="H42" s="8">
        <f t="shared" si="2"/>
        <v>929</v>
      </c>
      <c r="I42" s="6">
        <f t="shared" si="3"/>
        <v>1723</v>
      </c>
      <c r="J42" s="6">
        <f t="shared" si="4"/>
        <v>1734</v>
      </c>
      <c r="K42" s="6">
        <f t="shared" si="5"/>
        <v>1803</v>
      </c>
      <c r="L42" s="6">
        <f t="shared" si="10"/>
        <v>2000</v>
      </c>
      <c r="M42" s="6">
        <f t="shared" si="11"/>
        <v>2000</v>
      </c>
      <c r="N42" s="6">
        <f t="shared" si="12"/>
        <v>2000</v>
      </c>
      <c r="O42" s="6">
        <f t="shared" si="13"/>
        <v>-277</v>
      </c>
      <c r="P42" s="6">
        <f t="shared" si="14"/>
        <v>-266</v>
      </c>
      <c r="Q42" s="6">
        <f t="shared" si="15"/>
        <v>-197</v>
      </c>
      <c r="R42" s="8">
        <v>3</v>
      </c>
      <c r="S42" s="8">
        <v>3</v>
      </c>
      <c r="T42" s="8">
        <v>2</v>
      </c>
      <c r="U42" s="25">
        <f t="shared" si="16"/>
        <v>-57</v>
      </c>
      <c r="V42" s="25">
        <f t="shared" si="17"/>
        <v>-56</v>
      </c>
      <c r="W42" s="25">
        <f t="shared" si="18"/>
        <v>-57</v>
      </c>
      <c r="X42" s="15">
        <v>0.44400000000000001</v>
      </c>
      <c r="Y42" s="7"/>
      <c r="Z42" s="21">
        <f t="shared" si="19"/>
        <v>0.6</v>
      </c>
      <c r="AA42" s="6"/>
      <c r="AB42" s="16"/>
    </row>
    <row r="43" spans="1:28" ht="13.8">
      <c r="A43" s="13">
        <v>32</v>
      </c>
      <c r="B43" s="185" t="s">
        <v>104</v>
      </c>
      <c r="C43" s="10">
        <f t="shared" si="7"/>
        <v>1069</v>
      </c>
      <c r="D43" s="9">
        <f t="shared" si="8"/>
        <v>1661</v>
      </c>
      <c r="E43" s="26">
        <f t="shared" si="9"/>
        <v>2730</v>
      </c>
      <c r="F43" s="8">
        <f t="shared" si="0"/>
        <v>1009</v>
      </c>
      <c r="G43" s="8">
        <f t="shared" si="1"/>
        <v>999</v>
      </c>
      <c r="H43" s="8">
        <f t="shared" si="2"/>
        <v>929</v>
      </c>
      <c r="I43" s="6">
        <f t="shared" si="3"/>
        <v>1721</v>
      </c>
      <c r="J43" s="6">
        <f t="shared" si="4"/>
        <v>1731</v>
      </c>
      <c r="K43" s="6">
        <f t="shared" si="5"/>
        <v>1801</v>
      </c>
      <c r="L43" s="6">
        <f t="shared" si="10"/>
        <v>2000</v>
      </c>
      <c r="M43" s="6">
        <f t="shared" si="11"/>
        <v>2000</v>
      </c>
      <c r="N43" s="6">
        <f t="shared" si="12"/>
        <v>2000</v>
      </c>
      <c r="O43" s="6">
        <f t="shared" si="13"/>
        <v>-279</v>
      </c>
      <c r="P43" s="6">
        <f t="shared" si="14"/>
        <v>-269</v>
      </c>
      <c r="Q43" s="6">
        <f t="shared" si="15"/>
        <v>-199</v>
      </c>
      <c r="R43" s="8">
        <v>2</v>
      </c>
      <c r="S43" s="8">
        <v>3</v>
      </c>
      <c r="T43" s="8">
        <v>2</v>
      </c>
      <c r="U43" s="25">
        <f t="shared" si="16"/>
        <v>-59</v>
      </c>
      <c r="V43" s="25">
        <f t="shared" si="17"/>
        <v>-59</v>
      </c>
      <c r="W43" s="25">
        <f t="shared" si="18"/>
        <v>-59</v>
      </c>
      <c r="X43" s="15">
        <v>0.441</v>
      </c>
      <c r="Y43" s="7"/>
      <c r="Z43" s="21">
        <f t="shared" si="19"/>
        <v>0.6</v>
      </c>
      <c r="AA43" s="6"/>
      <c r="AB43" s="16"/>
    </row>
    <row r="44" spans="1:28" ht="13.8">
      <c r="A44" s="13">
        <v>33</v>
      </c>
      <c r="B44" s="185" t="s">
        <v>105</v>
      </c>
      <c r="C44" s="10">
        <f t="shared" si="7"/>
        <v>1069</v>
      </c>
      <c r="D44" s="9">
        <f t="shared" ref="D44:D75" si="20">D43-2</f>
        <v>1659</v>
      </c>
      <c r="E44" s="26">
        <f t="shared" si="9"/>
        <v>2728</v>
      </c>
      <c r="F44" s="8">
        <f t="shared" si="0"/>
        <v>1008</v>
      </c>
      <c r="G44" s="8">
        <f t="shared" si="1"/>
        <v>998</v>
      </c>
      <c r="H44" s="8">
        <f t="shared" si="2"/>
        <v>928</v>
      </c>
      <c r="I44" s="6">
        <f t="shared" si="3"/>
        <v>1720</v>
      </c>
      <c r="J44" s="6">
        <f t="shared" si="4"/>
        <v>1730</v>
      </c>
      <c r="K44" s="6">
        <f t="shared" si="5"/>
        <v>1800</v>
      </c>
      <c r="L44" s="6">
        <f t="shared" ref="L44:L75" si="21">L43</f>
        <v>2000</v>
      </c>
      <c r="M44" s="6">
        <f t="shared" ref="M44:M75" si="22">M43</f>
        <v>2000</v>
      </c>
      <c r="N44" s="6">
        <f t="shared" ref="N44:N75" si="23">N43</f>
        <v>2000</v>
      </c>
      <c r="O44" s="6">
        <f t="shared" si="13"/>
        <v>-280</v>
      </c>
      <c r="P44" s="6">
        <f t="shared" si="14"/>
        <v>-270</v>
      </c>
      <c r="Q44" s="6">
        <f t="shared" si="15"/>
        <v>-200</v>
      </c>
      <c r="R44" s="8">
        <v>1</v>
      </c>
      <c r="S44" s="8">
        <v>1</v>
      </c>
      <c r="T44" s="8">
        <v>1</v>
      </c>
      <c r="U44" s="25">
        <f t="shared" si="16"/>
        <v>-60</v>
      </c>
      <c r="V44" s="25">
        <f t="shared" si="17"/>
        <v>-60</v>
      </c>
      <c r="W44" s="25">
        <f t="shared" si="18"/>
        <v>-60</v>
      </c>
      <c r="X44" s="15">
        <v>0.44</v>
      </c>
      <c r="Y44" s="7"/>
      <c r="Z44" s="21">
        <f t="shared" si="19"/>
        <v>0.6</v>
      </c>
      <c r="AA44" s="6"/>
      <c r="AB44" s="16"/>
    </row>
    <row r="45" spans="1:28" ht="13.8">
      <c r="A45" s="13">
        <v>34</v>
      </c>
      <c r="B45" s="185" t="s">
        <v>106</v>
      </c>
      <c r="C45" s="10">
        <f t="shared" si="7"/>
        <v>1069</v>
      </c>
      <c r="D45" s="9">
        <f t="shared" si="20"/>
        <v>1657</v>
      </c>
      <c r="E45" s="26">
        <f t="shared" si="9"/>
        <v>2726</v>
      </c>
      <c r="F45" s="8">
        <f t="shared" si="0"/>
        <v>1006</v>
      </c>
      <c r="G45" s="8">
        <f t="shared" si="1"/>
        <v>996</v>
      </c>
      <c r="H45" s="8">
        <f t="shared" si="2"/>
        <v>926</v>
      </c>
      <c r="I45" s="6">
        <f t="shared" si="3"/>
        <v>1720</v>
      </c>
      <c r="J45" s="6">
        <f t="shared" si="4"/>
        <v>1730</v>
      </c>
      <c r="K45" s="6">
        <f t="shared" si="5"/>
        <v>1800</v>
      </c>
      <c r="L45" s="6">
        <f t="shared" si="21"/>
        <v>2000</v>
      </c>
      <c r="M45" s="6">
        <f t="shared" si="22"/>
        <v>2000</v>
      </c>
      <c r="N45" s="6">
        <f t="shared" si="23"/>
        <v>2000</v>
      </c>
      <c r="O45" s="6">
        <f t="shared" si="13"/>
        <v>-280</v>
      </c>
      <c r="P45" s="6">
        <f t="shared" si="14"/>
        <v>-270</v>
      </c>
      <c r="Q45" s="6">
        <f t="shared" si="15"/>
        <v>-200</v>
      </c>
      <c r="R45" s="8">
        <v>0</v>
      </c>
      <c r="S45" s="8">
        <v>0</v>
      </c>
      <c r="T45" s="8">
        <v>0</v>
      </c>
      <c r="U45" s="25">
        <f t="shared" si="16"/>
        <v>-60</v>
      </c>
      <c r="V45" s="25">
        <f t="shared" si="17"/>
        <v>-60</v>
      </c>
      <c r="W45" s="25">
        <f t="shared" si="18"/>
        <v>-60</v>
      </c>
      <c r="X45" s="15">
        <v>0.44</v>
      </c>
      <c r="Y45" s="7"/>
      <c r="Z45" s="21">
        <f t="shared" si="19"/>
        <v>0.6</v>
      </c>
      <c r="AA45" s="6"/>
      <c r="AB45" s="16"/>
    </row>
    <row r="46" spans="1:28" ht="13.8">
      <c r="A46" s="13">
        <v>35</v>
      </c>
      <c r="B46" s="185" t="s">
        <v>107</v>
      </c>
      <c r="C46" s="10">
        <f t="shared" si="7"/>
        <v>1069</v>
      </c>
      <c r="D46" s="9">
        <f t="shared" si="20"/>
        <v>1655</v>
      </c>
      <c r="E46" s="26">
        <f t="shared" si="9"/>
        <v>2724</v>
      </c>
      <c r="F46" s="8">
        <f t="shared" si="0"/>
        <v>1008</v>
      </c>
      <c r="G46" s="8">
        <f t="shared" si="1"/>
        <v>999</v>
      </c>
      <c r="H46" s="8">
        <f t="shared" si="2"/>
        <v>927</v>
      </c>
      <c r="I46" s="6">
        <f t="shared" si="3"/>
        <v>1716</v>
      </c>
      <c r="J46" s="6">
        <f t="shared" si="4"/>
        <v>1725</v>
      </c>
      <c r="K46" s="6">
        <f t="shared" si="5"/>
        <v>1797</v>
      </c>
      <c r="L46" s="6">
        <f t="shared" si="21"/>
        <v>2000</v>
      </c>
      <c r="M46" s="6">
        <f t="shared" si="22"/>
        <v>2000</v>
      </c>
      <c r="N46" s="6">
        <f t="shared" si="23"/>
        <v>2000</v>
      </c>
      <c r="O46" s="6">
        <f t="shared" si="13"/>
        <v>-284</v>
      </c>
      <c r="P46" s="6">
        <f t="shared" si="14"/>
        <v>-275</v>
      </c>
      <c r="Q46" s="6">
        <f t="shared" si="15"/>
        <v>-203</v>
      </c>
      <c r="R46" s="8">
        <v>4</v>
      </c>
      <c r="S46" s="8">
        <v>5</v>
      </c>
      <c r="T46" s="8">
        <v>3</v>
      </c>
      <c r="U46" s="25">
        <f t="shared" si="16"/>
        <v>-64</v>
      </c>
      <c r="V46" s="25">
        <f t="shared" si="17"/>
        <v>-65</v>
      </c>
      <c r="W46" s="25">
        <f t="shared" si="18"/>
        <v>-63</v>
      </c>
      <c r="X46" s="15">
        <v>0.73499999999999999</v>
      </c>
      <c r="Y46" s="15">
        <v>0.3</v>
      </c>
      <c r="Z46" s="21">
        <f t="shared" si="19"/>
        <v>0.89999999999999991</v>
      </c>
      <c r="AA46" s="6"/>
      <c r="AB46" s="16">
        <v>5</v>
      </c>
    </row>
    <row r="47" spans="1:28" ht="13.8">
      <c r="A47" s="13">
        <v>36</v>
      </c>
      <c r="B47" s="185" t="s">
        <v>108</v>
      </c>
      <c r="C47" s="10">
        <f t="shared" si="7"/>
        <v>1069</v>
      </c>
      <c r="D47" s="9">
        <f t="shared" si="20"/>
        <v>1653</v>
      </c>
      <c r="E47" s="26">
        <f t="shared" si="9"/>
        <v>2722</v>
      </c>
      <c r="F47" s="8">
        <f t="shared" si="0"/>
        <v>1010</v>
      </c>
      <c r="G47" s="8">
        <f t="shared" si="1"/>
        <v>1001</v>
      </c>
      <c r="H47" s="8">
        <f t="shared" si="2"/>
        <v>928</v>
      </c>
      <c r="I47" s="6">
        <f t="shared" si="3"/>
        <v>1712</v>
      </c>
      <c r="J47" s="6">
        <f t="shared" si="4"/>
        <v>1721</v>
      </c>
      <c r="K47" s="6">
        <f t="shared" si="5"/>
        <v>1794</v>
      </c>
      <c r="L47" s="6">
        <f t="shared" si="21"/>
        <v>2000</v>
      </c>
      <c r="M47" s="6">
        <f t="shared" si="22"/>
        <v>2000</v>
      </c>
      <c r="N47" s="6">
        <f t="shared" si="23"/>
        <v>2000</v>
      </c>
      <c r="O47" s="6">
        <f t="shared" si="13"/>
        <v>-288</v>
      </c>
      <c r="P47" s="6">
        <f t="shared" si="14"/>
        <v>-279</v>
      </c>
      <c r="Q47" s="6">
        <f t="shared" si="15"/>
        <v>-206</v>
      </c>
      <c r="R47" s="8">
        <v>4</v>
      </c>
      <c r="S47" s="8">
        <v>4</v>
      </c>
      <c r="T47" s="8">
        <v>3</v>
      </c>
      <c r="U47" s="25">
        <f t="shared" si="16"/>
        <v>-68</v>
      </c>
      <c r="V47" s="25">
        <f t="shared" si="17"/>
        <v>-69</v>
      </c>
      <c r="W47" s="25">
        <f t="shared" si="18"/>
        <v>-66</v>
      </c>
      <c r="X47" s="15">
        <v>0.73099999999999998</v>
      </c>
      <c r="Y47" s="7"/>
      <c r="Z47" s="21">
        <f t="shared" si="19"/>
        <v>0.89999999999999991</v>
      </c>
      <c r="AA47" s="6"/>
      <c r="AB47" s="16"/>
    </row>
    <row r="48" spans="1:28" ht="13.8">
      <c r="A48" s="13">
        <v>37</v>
      </c>
      <c r="B48" s="185" t="s">
        <v>109</v>
      </c>
      <c r="C48" s="10">
        <f t="shared" si="7"/>
        <v>1069</v>
      </c>
      <c r="D48" s="9">
        <f t="shared" si="20"/>
        <v>1651</v>
      </c>
      <c r="E48" s="26">
        <f t="shared" si="9"/>
        <v>2720</v>
      </c>
      <c r="F48" s="8">
        <f t="shared" si="0"/>
        <v>1011</v>
      </c>
      <c r="G48" s="8">
        <f t="shared" si="1"/>
        <v>1002</v>
      </c>
      <c r="H48" s="8">
        <f t="shared" si="2"/>
        <v>928</v>
      </c>
      <c r="I48" s="6">
        <f t="shared" si="3"/>
        <v>1709</v>
      </c>
      <c r="J48" s="6">
        <f t="shared" si="4"/>
        <v>1718</v>
      </c>
      <c r="K48" s="6">
        <f t="shared" si="5"/>
        <v>1792</v>
      </c>
      <c r="L48" s="6">
        <f t="shared" si="21"/>
        <v>2000</v>
      </c>
      <c r="M48" s="6">
        <f t="shared" si="22"/>
        <v>2000</v>
      </c>
      <c r="N48" s="6">
        <f t="shared" si="23"/>
        <v>2000</v>
      </c>
      <c r="O48" s="6">
        <f t="shared" si="13"/>
        <v>-291</v>
      </c>
      <c r="P48" s="6">
        <f t="shared" si="14"/>
        <v>-282</v>
      </c>
      <c r="Q48" s="6">
        <f t="shared" si="15"/>
        <v>-208</v>
      </c>
      <c r="R48" s="8">
        <v>3</v>
      </c>
      <c r="S48" s="8">
        <v>3</v>
      </c>
      <c r="T48" s="8">
        <v>2</v>
      </c>
      <c r="U48" s="25">
        <f t="shared" si="16"/>
        <v>-71</v>
      </c>
      <c r="V48" s="25">
        <f t="shared" si="17"/>
        <v>-72</v>
      </c>
      <c r="W48" s="25">
        <f t="shared" si="18"/>
        <v>-68</v>
      </c>
      <c r="X48" s="15">
        <v>0.72799999999999998</v>
      </c>
      <c r="Y48" s="7"/>
      <c r="Z48" s="21">
        <f t="shared" si="19"/>
        <v>0.89999999999999991</v>
      </c>
      <c r="AA48" s="6"/>
      <c r="AB48" s="16"/>
    </row>
    <row r="49" spans="1:28" ht="13.8">
      <c r="A49" s="13">
        <v>38</v>
      </c>
      <c r="B49" s="185" t="s">
        <v>110</v>
      </c>
      <c r="C49" s="10">
        <f t="shared" si="7"/>
        <v>1069</v>
      </c>
      <c r="D49" s="9">
        <f t="shared" si="20"/>
        <v>1649</v>
      </c>
      <c r="E49" s="26">
        <f t="shared" si="9"/>
        <v>2718</v>
      </c>
      <c r="F49" s="8">
        <f t="shared" si="0"/>
        <v>1011</v>
      </c>
      <c r="G49" s="8">
        <f t="shared" si="1"/>
        <v>1003</v>
      </c>
      <c r="H49" s="8">
        <f t="shared" si="2"/>
        <v>928</v>
      </c>
      <c r="I49" s="6">
        <f t="shared" si="3"/>
        <v>1707</v>
      </c>
      <c r="J49" s="6">
        <f t="shared" si="4"/>
        <v>1715</v>
      </c>
      <c r="K49" s="6">
        <f t="shared" si="5"/>
        <v>1790</v>
      </c>
      <c r="L49" s="6">
        <f t="shared" si="21"/>
        <v>2000</v>
      </c>
      <c r="M49" s="6">
        <f t="shared" si="22"/>
        <v>2000</v>
      </c>
      <c r="N49" s="6">
        <f t="shared" si="23"/>
        <v>2000</v>
      </c>
      <c r="O49" s="6">
        <f t="shared" si="13"/>
        <v>-293</v>
      </c>
      <c r="P49" s="6">
        <f t="shared" si="14"/>
        <v>-285</v>
      </c>
      <c r="Q49" s="6">
        <f t="shared" si="15"/>
        <v>-210</v>
      </c>
      <c r="R49" s="8">
        <v>2</v>
      </c>
      <c r="S49" s="8">
        <v>3</v>
      </c>
      <c r="T49" s="8">
        <v>2</v>
      </c>
      <c r="U49" s="25">
        <f t="shared" si="16"/>
        <v>-73</v>
      </c>
      <c r="V49" s="25">
        <f t="shared" si="17"/>
        <v>-75</v>
      </c>
      <c r="W49" s="25">
        <f t="shared" si="18"/>
        <v>-70</v>
      </c>
      <c r="X49" s="15">
        <v>0.72499999999999998</v>
      </c>
      <c r="Y49" s="7"/>
      <c r="Z49" s="21">
        <f t="shared" si="19"/>
        <v>0.89999999999999991</v>
      </c>
      <c r="AA49" s="6"/>
      <c r="AB49" s="6"/>
    </row>
    <row r="50" spans="1:28" ht="13.8">
      <c r="A50" s="13">
        <v>39</v>
      </c>
      <c r="B50" s="185" t="s">
        <v>111</v>
      </c>
      <c r="C50" s="10">
        <f t="shared" si="7"/>
        <v>1069</v>
      </c>
      <c r="D50" s="9">
        <f t="shared" si="20"/>
        <v>1647</v>
      </c>
      <c r="E50" s="26">
        <f t="shared" si="9"/>
        <v>2716</v>
      </c>
      <c r="F50" s="8">
        <f t="shared" si="0"/>
        <v>1010</v>
      </c>
      <c r="G50" s="8">
        <f t="shared" si="1"/>
        <v>1002</v>
      </c>
      <c r="H50" s="8">
        <f t="shared" si="2"/>
        <v>927</v>
      </c>
      <c r="I50" s="6">
        <f t="shared" si="3"/>
        <v>1706</v>
      </c>
      <c r="J50" s="6">
        <f t="shared" si="4"/>
        <v>1714</v>
      </c>
      <c r="K50" s="6">
        <f t="shared" si="5"/>
        <v>1789</v>
      </c>
      <c r="L50" s="6">
        <f t="shared" si="21"/>
        <v>2000</v>
      </c>
      <c r="M50" s="6">
        <f t="shared" si="22"/>
        <v>2000</v>
      </c>
      <c r="N50" s="6">
        <f t="shared" si="23"/>
        <v>2000</v>
      </c>
      <c r="O50" s="6">
        <f t="shared" si="13"/>
        <v>-294</v>
      </c>
      <c r="P50" s="6">
        <f t="shared" si="14"/>
        <v>-286</v>
      </c>
      <c r="Q50" s="6">
        <f t="shared" si="15"/>
        <v>-211</v>
      </c>
      <c r="R50" s="8">
        <v>1</v>
      </c>
      <c r="S50" s="8">
        <v>1</v>
      </c>
      <c r="T50" s="8">
        <v>1</v>
      </c>
      <c r="U50" s="25">
        <f t="shared" si="16"/>
        <v>-74</v>
      </c>
      <c r="V50" s="25">
        <f t="shared" si="17"/>
        <v>-76</v>
      </c>
      <c r="W50" s="25">
        <f t="shared" si="18"/>
        <v>-71</v>
      </c>
      <c r="X50" s="15">
        <v>0.72399999999999998</v>
      </c>
      <c r="Y50" s="7"/>
      <c r="Z50" s="21">
        <f t="shared" si="19"/>
        <v>0.89999999999999991</v>
      </c>
      <c r="AA50" s="6"/>
      <c r="AB50" s="6"/>
    </row>
    <row r="51" spans="1:28" ht="13.8">
      <c r="A51" s="13">
        <v>40</v>
      </c>
      <c r="B51" s="185" t="s">
        <v>112</v>
      </c>
      <c r="C51" s="10">
        <f t="shared" si="7"/>
        <v>1069</v>
      </c>
      <c r="D51" s="9">
        <f t="shared" si="20"/>
        <v>1645</v>
      </c>
      <c r="E51" s="26">
        <f t="shared" si="9"/>
        <v>2714</v>
      </c>
      <c r="F51" s="8">
        <f t="shared" si="0"/>
        <v>1008</v>
      </c>
      <c r="G51" s="8">
        <f t="shared" si="1"/>
        <v>1000</v>
      </c>
      <c r="H51" s="8">
        <f t="shared" si="2"/>
        <v>925</v>
      </c>
      <c r="I51" s="6">
        <f t="shared" si="3"/>
        <v>1706</v>
      </c>
      <c r="J51" s="6">
        <f t="shared" si="4"/>
        <v>1714</v>
      </c>
      <c r="K51" s="6">
        <f t="shared" si="5"/>
        <v>1789</v>
      </c>
      <c r="L51" s="6">
        <f t="shared" si="21"/>
        <v>2000</v>
      </c>
      <c r="M51" s="6">
        <f t="shared" si="22"/>
        <v>2000</v>
      </c>
      <c r="N51" s="6">
        <f t="shared" si="23"/>
        <v>2000</v>
      </c>
      <c r="O51" s="6">
        <f t="shared" si="13"/>
        <v>-294</v>
      </c>
      <c r="P51" s="6">
        <f t="shared" si="14"/>
        <v>-286</v>
      </c>
      <c r="Q51" s="6">
        <f t="shared" si="15"/>
        <v>-211</v>
      </c>
      <c r="R51" s="8">
        <v>0</v>
      </c>
      <c r="S51" s="8">
        <v>0</v>
      </c>
      <c r="T51" s="8">
        <v>0</v>
      </c>
      <c r="U51" s="25">
        <f t="shared" si="16"/>
        <v>-74</v>
      </c>
      <c r="V51" s="25">
        <f t="shared" si="17"/>
        <v>-76</v>
      </c>
      <c r="W51" s="25">
        <f t="shared" si="18"/>
        <v>-71</v>
      </c>
      <c r="X51" s="15">
        <v>0.72399999999999998</v>
      </c>
      <c r="Y51" s="7"/>
      <c r="Z51" s="21">
        <f t="shared" si="19"/>
        <v>0.89999999999999991</v>
      </c>
      <c r="AA51" s="6"/>
      <c r="AB51" s="6"/>
    </row>
    <row r="52" spans="1:28" ht="13.8">
      <c r="A52" s="13">
        <v>41</v>
      </c>
      <c r="B52" s="185" t="s">
        <v>113</v>
      </c>
      <c r="C52" s="10">
        <f t="shared" si="7"/>
        <v>1069</v>
      </c>
      <c r="D52" s="9">
        <f t="shared" si="20"/>
        <v>1643</v>
      </c>
      <c r="E52" s="26">
        <f t="shared" si="9"/>
        <v>2712</v>
      </c>
      <c r="F52" s="8">
        <f t="shared" si="0"/>
        <v>1011</v>
      </c>
      <c r="G52" s="8">
        <f t="shared" si="1"/>
        <v>1003</v>
      </c>
      <c r="H52" s="8">
        <f t="shared" si="2"/>
        <v>927</v>
      </c>
      <c r="I52" s="6">
        <f t="shared" si="3"/>
        <v>1701</v>
      </c>
      <c r="J52" s="6">
        <f t="shared" si="4"/>
        <v>1709</v>
      </c>
      <c r="K52" s="6">
        <f t="shared" si="5"/>
        <v>1785</v>
      </c>
      <c r="L52" s="6">
        <f t="shared" si="21"/>
        <v>2000</v>
      </c>
      <c r="M52" s="6">
        <f t="shared" si="22"/>
        <v>2000</v>
      </c>
      <c r="N52" s="6">
        <f t="shared" si="23"/>
        <v>2000</v>
      </c>
      <c r="O52" s="6">
        <f t="shared" si="13"/>
        <v>-299</v>
      </c>
      <c r="P52" s="6">
        <f t="shared" si="14"/>
        <v>-291</v>
      </c>
      <c r="Q52" s="6">
        <f t="shared" si="15"/>
        <v>-215</v>
      </c>
      <c r="R52" s="8">
        <v>5</v>
      </c>
      <c r="S52" s="8">
        <v>5</v>
      </c>
      <c r="T52" s="8">
        <v>4</v>
      </c>
      <c r="U52" s="25">
        <f t="shared" si="16"/>
        <v>-79</v>
      </c>
      <c r="V52" s="25">
        <f t="shared" si="17"/>
        <v>-81</v>
      </c>
      <c r="W52" s="25">
        <f t="shared" si="18"/>
        <v>-75</v>
      </c>
      <c r="X52" s="15">
        <v>1.0189999999999999</v>
      </c>
      <c r="Y52" s="15">
        <v>0.3</v>
      </c>
      <c r="Z52" s="21">
        <f t="shared" si="19"/>
        <v>1.2</v>
      </c>
      <c r="AA52" s="6"/>
      <c r="AB52" s="16">
        <v>4</v>
      </c>
    </row>
    <row r="53" spans="1:28" ht="13.8">
      <c r="A53" s="13">
        <v>42</v>
      </c>
      <c r="B53" s="185" t="s">
        <v>114</v>
      </c>
      <c r="C53" s="10">
        <f t="shared" si="7"/>
        <v>1069</v>
      </c>
      <c r="D53" s="9">
        <f t="shared" si="20"/>
        <v>1641</v>
      </c>
      <c r="E53" s="26">
        <f t="shared" si="9"/>
        <v>2710</v>
      </c>
      <c r="F53" s="8">
        <f t="shared" si="0"/>
        <v>1014</v>
      </c>
      <c r="G53" s="8">
        <f t="shared" si="1"/>
        <v>1006</v>
      </c>
      <c r="H53" s="8">
        <f t="shared" si="2"/>
        <v>929</v>
      </c>
      <c r="I53" s="6">
        <f t="shared" si="3"/>
        <v>1696</v>
      </c>
      <c r="J53" s="6">
        <f t="shared" si="4"/>
        <v>1704</v>
      </c>
      <c r="K53" s="6">
        <f t="shared" si="5"/>
        <v>1781</v>
      </c>
      <c r="L53" s="6">
        <f t="shared" si="21"/>
        <v>2000</v>
      </c>
      <c r="M53" s="6">
        <f t="shared" si="22"/>
        <v>2000</v>
      </c>
      <c r="N53" s="6">
        <f t="shared" si="23"/>
        <v>2000</v>
      </c>
      <c r="O53" s="6">
        <f t="shared" si="13"/>
        <v>-304</v>
      </c>
      <c r="P53" s="6">
        <f t="shared" si="14"/>
        <v>-296</v>
      </c>
      <c r="Q53" s="6">
        <f t="shared" si="15"/>
        <v>-219</v>
      </c>
      <c r="R53" s="8">
        <v>5</v>
      </c>
      <c r="S53" s="8">
        <v>5</v>
      </c>
      <c r="T53" s="8">
        <v>4</v>
      </c>
      <c r="U53" s="25">
        <f t="shared" si="16"/>
        <v>-84</v>
      </c>
      <c r="V53" s="25">
        <f t="shared" si="17"/>
        <v>-86</v>
      </c>
      <c r="W53" s="25">
        <f t="shared" si="18"/>
        <v>-79</v>
      </c>
      <c r="X53" s="15">
        <v>1.014</v>
      </c>
      <c r="Y53" s="7"/>
      <c r="Z53" s="21">
        <f t="shared" si="19"/>
        <v>1.2</v>
      </c>
      <c r="AA53" s="6"/>
      <c r="AB53" s="6"/>
    </row>
    <row r="54" spans="1:28" ht="13.8">
      <c r="A54" s="13">
        <v>43</v>
      </c>
      <c r="B54" s="185" t="s">
        <v>115</v>
      </c>
      <c r="C54" s="10">
        <f t="shared" si="7"/>
        <v>1069</v>
      </c>
      <c r="D54" s="9">
        <f t="shared" si="20"/>
        <v>1639</v>
      </c>
      <c r="E54" s="26">
        <f t="shared" si="9"/>
        <v>2708</v>
      </c>
      <c r="F54" s="8">
        <f t="shared" si="0"/>
        <v>1017</v>
      </c>
      <c r="G54" s="8">
        <f t="shared" si="1"/>
        <v>1009</v>
      </c>
      <c r="H54" s="8">
        <f t="shared" si="2"/>
        <v>931</v>
      </c>
      <c r="I54" s="6">
        <f t="shared" si="3"/>
        <v>1691</v>
      </c>
      <c r="J54" s="6">
        <f t="shared" si="4"/>
        <v>1699</v>
      </c>
      <c r="K54" s="6">
        <f t="shared" si="5"/>
        <v>1777</v>
      </c>
      <c r="L54" s="6">
        <f t="shared" si="21"/>
        <v>2000</v>
      </c>
      <c r="M54" s="6">
        <f t="shared" si="22"/>
        <v>2000</v>
      </c>
      <c r="N54" s="6">
        <f t="shared" si="23"/>
        <v>2000</v>
      </c>
      <c r="O54" s="6">
        <f t="shared" si="13"/>
        <v>-309</v>
      </c>
      <c r="P54" s="6">
        <f t="shared" si="14"/>
        <v>-301</v>
      </c>
      <c r="Q54" s="6">
        <f t="shared" si="15"/>
        <v>-223</v>
      </c>
      <c r="R54" s="8">
        <v>5</v>
      </c>
      <c r="S54" s="8">
        <v>5</v>
      </c>
      <c r="T54" s="8">
        <v>4</v>
      </c>
      <c r="U54" s="25">
        <f t="shared" si="16"/>
        <v>-89</v>
      </c>
      <c r="V54" s="25">
        <f t="shared" si="17"/>
        <v>-91</v>
      </c>
      <c r="W54" s="25">
        <f t="shared" si="18"/>
        <v>-83</v>
      </c>
      <c r="X54" s="15">
        <v>1.0089999999999999</v>
      </c>
      <c r="Y54" s="7"/>
      <c r="Z54" s="21">
        <f t="shared" si="19"/>
        <v>1.2</v>
      </c>
      <c r="AA54" s="6"/>
      <c r="AB54" s="6"/>
    </row>
    <row r="55" spans="1:28" ht="13.8">
      <c r="A55" s="13">
        <v>44</v>
      </c>
      <c r="B55" s="185" t="s">
        <v>116</v>
      </c>
      <c r="C55" s="10">
        <f t="shared" si="7"/>
        <v>1069</v>
      </c>
      <c r="D55" s="9">
        <f t="shared" si="20"/>
        <v>1637</v>
      </c>
      <c r="E55" s="26">
        <f t="shared" si="9"/>
        <v>2706</v>
      </c>
      <c r="F55" s="8">
        <f t="shared" si="0"/>
        <v>1020</v>
      </c>
      <c r="G55" s="8">
        <f t="shared" si="1"/>
        <v>1012</v>
      </c>
      <c r="H55" s="8">
        <f t="shared" si="2"/>
        <v>933</v>
      </c>
      <c r="I55" s="6">
        <f t="shared" si="3"/>
        <v>1686</v>
      </c>
      <c r="J55" s="6">
        <f t="shared" si="4"/>
        <v>1694</v>
      </c>
      <c r="K55" s="6">
        <f t="shared" si="5"/>
        <v>1773</v>
      </c>
      <c r="L55" s="6">
        <f t="shared" si="21"/>
        <v>2000</v>
      </c>
      <c r="M55" s="6">
        <f t="shared" si="22"/>
        <v>2000</v>
      </c>
      <c r="N55" s="6">
        <f t="shared" si="23"/>
        <v>2000</v>
      </c>
      <c r="O55" s="6">
        <f t="shared" si="13"/>
        <v>-314</v>
      </c>
      <c r="P55" s="6">
        <f t="shared" si="14"/>
        <v>-306</v>
      </c>
      <c r="Q55" s="6">
        <f t="shared" si="15"/>
        <v>-227</v>
      </c>
      <c r="R55" s="8">
        <v>5</v>
      </c>
      <c r="S55" s="8">
        <v>5</v>
      </c>
      <c r="T55" s="8">
        <v>4</v>
      </c>
      <c r="U55" s="25">
        <f t="shared" si="16"/>
        <v>-94</v>
      </c>
      <c r="V55" s="25">
        <f t="shared" si="17"/>
        <v>-96</v>
      </c>
      <c r="W55" s="25">
        <f t="shared" si="18"/>
        <v>-87</v>
      </c>
      <c r="X55" s="15">
        <v>1.004</v>
      </c>
      <c r="Y55" s="7"/>
      <c r="Z55" s="21">
        <f t="shared" si="19"/>
        <v>1.2</v>
      </c>
      <c r="AA55" s="6"/>
      <c r="AB55" s="6"/>
    </row>
    <row r="56" spans="1:28" ht="13.8">
      <c r="A56" s="13">
        <v>45</v>
      </c>
      <c r="B56" s="185" t="s">
        <v>117</v>
      </c>
      <c r="C56" s="10">
        <f t="shared" si="7"/>
        <v>1069</v>
      </c>
      <c r="D56" s="9">
        <f t="shared" si="20"/>
        <v>1635</v>
      </c>
      <c r="E56" s="26">
        <f t="shared" si="9"/>
        <v>2704</v>
      </c>
      <c r="F56" s="8">
        <f t="shared" si="0"/>
        <v>1023</v>
      </c>
      <c r="G56" s="8">
        <f t="shared" si="1"/>
        <v>1015</v>
      </c>
      <c r="H56" s="8">
        <f t="shared" si="2"/>
        <v>935</v>
      </c>
      <c r="I56" s="6">
        <f t="shared" si="3"/>
        <v>1681</v>
      </c>
      <c r="J56" s="6">
        <f t="shared" si="4"/>
        <v>1689</v>
      </c>
      <c r="K56" s="6">
        <f t="shared" si="5"/>
        <v>1769</v>
      </c>
      <c r="L56" s="6">
        <f t="shared" si="21"/>
        <v>2000</v>
      </c>
      <c r="M56" s="6">
        <f t="shared" si="22"/>
        <v>2000</v>
      </c>
      <c r="N56" s="6">
        <f t="shared" si="23"/>
        <v>2000</v>
      </c>
      <c r="O56" s="6">
        <f t="shared" si="13"/>
        <v>-319</v>
      </c>
      <c r="P56" s="6">
        <f t="shared" si="14"/>
        <v>-311</v>
      </c>
      <c r="Q56" s="6">
        <f t="shared" si="15"/>
        <v>-231</v>
      </c>
      <c r="R56" s="8">
        <v>5</v>
      </c>
      <c r="S56" s="8">
        <v>5</v>
      </c>
      <c r="T56" s="8">
        <v>4</v>
      </c>
      <c r="U56" s="25">
        <f t="shared" si="16"/>
        <v>-99</v>
      </c>
      <c r="V56" s="25">
        <f t="shared" si="17"/>
        <v>-101</v>
      </c>
      <c r="W56" s="25">
        <f t="shared" si="18"/>
        <v>-91</v>
      </c>
      <c r="X56" s="15">
        <v>0.999</v>
      </c>
      <c r="Y56" s="7"/>
      <c r="Z56" s="21">
        <f t="shared" si="19"/>
        <v>1.2</v>
      </c>
      <c r="AA56" s="6"/>
      <c r="AB56" s="6"/>
    </row>
    <row r="57" spans="1:28" ht="13.8">
      <c r="A57" s="13">
        <v>46</v>
      </c>
      <c r="B57" s="185" t="s">
        <v>118</v>
      </c>
      <c r="C57" s="10">
        <f t="shared" si="7"/>
        <v>1069</v>
      </c>
      <c r="D57" s="9">
        <f t="shared" si="20"/>
        <v>1633</v>
      </c>
      <c r="E57" s="26">
        <f t="shared" si="9"/>
        <v>2702</v>
      </c>
      <c r="F57" s="8">
        <f t="shared" si="0"/>
        <v>1026</v>
      </c>
      <c r="G57" s="8">
        <f t="shared" si="1"/>
        <v>1018</v>
      </c>
      <c r="H57" s="8">
        <f t="shared" si="2"/>
        <v>937</v>
      </c>
      <c r="I57" s="6">
        <f t="shared" si="3"/>
        <v>1676</v>
      </c>
      <c r="J57" s="6">
        <f t="shared" si="4"/>
        <v>1684</v>
      </c>
      <c r="K57" s="6">
        <f t="shared" si="5"/>
        <v>1765</v>
      </c>
      <c r="L57" s="6">
        <f t="shared" si="21"/>
        <v>2000</v>
      </c>
      <c r="M57" s="6">
        <f t="shared" si="22"/>
        <v>2000</v>
      </c>
      <c r="N57" s="6">
        <f t="shared" si="23"/>
        <v>2000</v>
      </c>
      <c r="O57" s="6">
        <f t="shared" si="13"/>
        <v>-324</v>
      </c>
      <c r="P57" s="6">
        <f t="shared" si="14"/>
        <v>-316</v>
      </c>
      <c r="Q57" s="6">
        <f t="shared" si="15"/>
        <v>-235</v>
      </c>
      <c r="R57" s="8">
        <v>5</v>
      </c>
      <c r="S57" s="8">
        <v>5</v>
      </c>
      <c r="T57" s="8">
        <v>4</v>
      </c>
      <c r="U57" s="25">
        <f t="shared" si="16"/>
        <v>-104</v>
      </c>
      <c r="V57" s="25">
        <f t="shared" si="17"/>
        <v>-106</v>
      </c>
      <c r="W57" s="25">
        <f t="shared" si="18"/>
        <v>-95</v>
      </c>
      <c r="X57" s="15">
        <v>0.99399999999999999</v>
      </c>
      <c r="Y57" s="7"/>
      <c r="Z57" s="21">
        <f t="shared" si="19"/>
        <v>1.2</v>
      </c>
      <c r="AA57" s="6"/>
      <c r="AB57" s="6"/>
    </row>
    <row r="58" spans="1:28" ht="13.8">
      <c r="A58" s="13">
        <v>47</v>
      </c>
      <c r="B58" s="185" t="s">
        <v>119</v>
      </c>
      <c r="C58" s="10">
        <f t="shared" si="7"/>
        <v>1069</v>
      </c>
      <c r="D58" s="9">
        <f t="shared" si="20"/>
        <v>1631</v>
      </c>
      <c r="E58" s="26">
        <f t="shared" si="9"/>
        <v>2700</v>
      </c>
      <c r="F58" s="8">
        <f t="shared" si="0"/>
        <v>1029</v>
      </c>
      <c r="G58" s="8">
        <f t="shared" si="1"/>
        <v>1021</v>
      </c>
      <c r="H58" s="8">
        <f t="shared" si="2"/>
        <v>939</v>
      </c>
      <c r="I58" s="6">
        <f t="shared" si="3"/>
        <v>1671</v>
      </c>
      <c r="J58" s="6">
        <f t="shared" si="4"/>
        <v>1679</v>
      </c>
      <c r="K58" s="6">
        <f t="shared" si="5"/>
        <v>1761</v>
      </c>
      <c r="L58" s="6">
        <f t="shared" si="21"/>
        <v>2000</v>
      </c>
      <c r="M58" s="6">
        <f t="shared" si="22"/>
        <v>2000</v>
      </c>
      <c r="N58" s="6">
        <f t="shared" si="23"/>
        <v>2000</v>
      </c>
      <c r="O58" s="6">
        <f t="shared" si="13"/>
        <v>-329</v>
      </c>
      <c r="P58" s="6">
        <f t="shared" si="14"/>
        <v>-321</v>
      </c>
      <c r="Q58" s="6">
        <f t="shared" si="15"/>
        <v>-239</v>
      </c>
      <c r="R58" s="8">
        <v>5</v>
      </c>
      <c r="S58" s="8">
        <v>5</v>
      </c>
      <c r="T58" s="8">
        <v>4</v>
      </c>
      <c r="U58" s="25">
        <f t="shared" si="16"/>
        <v>-109</v>
      </c>
      <c r="V58" s="25">
        <f t="shared" si="17"/>
        <v>-111</v>
      </c>
      <c r="W58" s="25">
        <f t="shared" si="18"/>
        <v>-99</v>
      </c>
      <c r="X58" s="15">
        <v>0.98899999999999999</v>
      </c>
      <c r="Y58" s="7"/>
      <c r="Z58" s="21">
        <f t="shared" si="19"/>
        <v>1.2</v>
      </c>
      <c r="AA58" s="6"/>
      <c r="AB58" s="6"/>
    </row>
    <row r="59" spans="1:28" ht="13.8">
      <c r="A59" s="13">
        <v>48</v>
      </c>
      <c r="B59" s="185" t="s">
        <v>120</v>
      </c>
      <c r="C59" s="10">
        <f t="shared" si="7"/>
        <v>1069</v>
      </c>
      <c r="D59" s="9">
        <f t="shared" si="20"/>
        <v>1629</v>
      </c>
      <c r="E59" s="26">
        <f t="shared" si="9"/>
        <v>2698</v>
      </c>
      <c r="F59" s="8">
        <f t="shared" si="0"/>
        <v>1032</v>
      </c>
      <c r="G59" s="8">
        <f t="shared" si="1"/>
        <v>1024</v>
      </c>
      <c r="H59" s="8">
        <f t="shared" si="2"/>
        <v>941</v>
      </c>
      <c r="I59" s="6">
        <f t="shared" si="3"/>
        <v>1666</v>
      </c>
      <c r="J59" s="6">
        <f t="shared" si="4"/>
        <v>1674</v>
      </c>
      <c r="K59" s="6">
        <f t="shared" si="5"/>
        <v>1757</v>
      </c>
      <c r="L59" s="6">
        <f t="shared" si="21"/>
        <v>2000</v>
      </c>
      <c r="M59" s="6">
        <f t="shared" si="22"/>
        <v>2000</v>
      </c>
      <c r="N59" s="6">
        <f t="shared" si="23"/>
        <v>2000</v>
      </c>
      <c r="O59" s="6">
        <f t="shared" si="13"/>
        <v>-334</v>
      </c>
      <c r="P59" s="6">
        <f t="shared" si="14"/>
        <v>-326</v>
      </c>
      <c r="Q59" s="6">
        <f t="shared" si="15"/>
        <v>-243</v>
      </c>
      <c r="R59" s="8">
        <v>5</v>
      </c>
      <c r="S59" s="8">
        <v>5</v>
      </c>
      <c r="T59" s="8">
        <v>4</v>
      </c>
      <c r="U59" s="25">
        <f t="shared" si="16"/>
        <v>-114</v>
      </c>
      <c r="V59" s="25">
        <f t="shared" si="17"/>
        <v>-116</v>
      </c>
      <c r="W59" s="25">
        <f t="shared" si="18"/>
        <v>-103</v>
      </c>
      <c r="X59" s="15">
        <v>0.98399999999999999</v>
      </c>
      <c r="Y59" s="7"/>
      <c r="Z59" s="21">
        <f t="shared" si="19"/>
        <v>1.2</v>
      </c>
      <c r="AA59" s="6"/>
      <c r="AB59" s="6"/>
    </row>
    <row r="60" spans="1:28" ht="13.8">
      <c r="A60" s="13">
        <v>49</v>
      </c>
      <c r="B60" s="185" t="s">
        <v>121</v>
      </c>
      <c r="C60" s="10">
        <f t="shared" si="7"/>
        <v>1069</v>
      </c>
      <c r="D60" s="9">
        <f t="shared" si="20"/>
        <v>1627</v>
      </c>
      <c r="E60" s="26">
        <f t="shared" si="9"/>
        <v>2696</v>
      </c>
      <c r="F60" s="8">
        <f t="shared" si="0"/>
        <v>1035</v>
      </c>
      <c r="G60" s="8">
        <f t="shared" si="1"/>
        <v>1027</v>
      </c>
      <c r="H60" s="8">
        <f t="shared" si="2"/>
        <v>943</v>
      </c>
      <c r="I60" s="6">
        <f t="shared" si="3"/>
        <v>1661</v>
      </c>
      <c r="J60" s="6">
        <f t="shared" si="4"/>
        <v>1669</v>
      </c>
      <c r="K60" s="6">
        <f t="shared" si="5"/>
        <v>1753</v>
      </c>
      <c r="L60" s="6">
        <f t="shared" si="21"/>
        <v>2000</v>
      </c>
      <c r="M60" s="6">
        <f t="shared" si="22"/>
        <v>2000</v>
      </c>
      <c r="N60" s="6">
        <f t="shared" si="23"/>
        <v>2000</v>
      </c>
      <c r="O60" s="6">
        <f t="shared" si="13"/>
        <v>-339</v>
      </c>
      <c r="P60" s="6">
        <f t="shared" si="14"/>
        <v>-331</v>
      </c>
      <c r="Q60" s="6">
        <f t="shared" si="15"/>
        <v>-247</v>
      </c>
      <c r="R60" s="8">
        <v>5</v>
      </c>
      <c r="S60" s="8">
        <v>5</v>
      </c>
      <c r="T60" s="8">
        <v>4</v>
      </c>
      <c r="U60" s="25">
        <f t="shared" si="16"/>
        <v>-119</v>
      </c>
      <c r="V60" s="25">
        <f t="shared" si="17"/>
        <v>-121</v>
      </c>
      <c r="W60" s="25">
        <f t="shared" si="18"/>
        <v>-107</v>
      </c>
      <c r="X60" s="15">
        <v>0.97899999999999998</v>
      </c>
      <c r="Y60" s="7"/>
      <c r="Z60" s="21">
        <f t="shared" si="19"/>
        <v>1.2</v>
      </c>
      <c r="AA60" s="6"/>
      <c r="AB60" s="6"/>
    </row>
    <row r="61" spans="1:28" ht="13.8">
      <c r="A61" s="13">
        <v>50</v>
      </c>
      <c r="B61" s="185" t="s">
        <v>122</v>
      </c>
      <c r="C61" s="10">
        <f t="shared" si="7"/>
        <v>1069</v>
      </c>
      <c r="D61" s="9">
        <f t="shared" si="20"/>
        <v>1625</v>
      </c>
      <c r="E61" s="26">
        <f t="shared" si="9"/>
        <v>2694</v>
      </c>
      <c r="F61" s="8">
        <f t="shared" si="0"/>
        <v>1038</v>
      </c>
      <c r="G61" s="8">
        <f t="shared" si="1"/>
        <v>1030</v>
      </c>
      <c r="H61" s="8">
        <f t="shared" si="2"/>
        <v>945</v>
      </c>
      <c r="I61" s="6">
        <f t="shared" si="3"/>
        <v>1656</v>
      </c>
      <c r="J61" s="6">
        <f t="shared" si="4"/>
        <v>1664</v>
      </c>
      <c r="K61" s="6">
        <f t="shared" si="5"/>
        <v>1749</v>
      </c>
      <c r="L61" s="6">
        <f t="shared" si="21"/>
        <v>2000</v>
      </c>
      <c r="M61" s="6">
        <f t="shared" si="22"/>
        <v>2000</v>
      </c>
      <c r="N61" s="6">
        <f t="shared" si="23"/>
        <v>2000</v>
      </c>
      <c r="O61" s="6">
        <f t="shared" si="13"/>
        <v>-344</v>
      </c>
      <c r="P61" s="6">
        <f t="shared" si="14"/>
        <v>-336</v>
      </c>
      <c r="Q61" s="6">
        <f t="shared" si="15"/>
        <v>-251</v>
      </c>
      <c r="R61" s="8">
        <v>5</v>
      </c>
      <c r="S61" s="8">
        <v>5</v>
      </c>
      <c r="T61" s="8">
        <v>4</v>
      </c>
      <c r="U61" s="25">
        <f t="shared" si="16"/>
        <v>-124</v>
      </c>
      <c r="V61" s="25">
        <f t="shared" si="17"/>
        <v>-126</v>
      </c>
      <c r="W61" s="25">
        <f t="shared" si="18"/>
        <v>-111</v>
      </c>
      <c r="X61" s="15">
        <v>0.97399999999999998</v>
      </c>
      <c r="Y61" s="7"/>
      <c r="Z61" s="21">
        <f t="shared" si="19"/>
        <v>1.2</v>
      </c>
      <c r="AA61" s="6"/>
      <c r="AB61" s="6"/>
    </row>
    <row r="62" spans="1:28" ht="13.8">
      <c r="A62" s="13">
        <v>51</v>
      </c>
      <c r="B62" s="185" t="s">
        <v>123</v>
      </c>
      <c r="C62" s="10">
        <f t="shared" si="7"/>
        <v>1069</v>
      </c>
      <c r="D62" s="9">
        <f t="shared" si="20"/>
        <v>1623</v>
      </c>
      <c r="E62" s="26">
        <f t="shared" si="9"/>
        <v>2692</v>
      </c>
      <c r="F62" s="8">
        <f t="shared" si="0"/>
        <v>1041</v>
      </c>
      <c r="G62" s="8">
        <f t="shared" si="1"/>
        <v>1033</v>
      </c>
      <c r="H62" s="8">
        <f t="shared" si="2"/>
        <v>947</v>
      </c>
      <c r="I62" s="6">
        <f t="shared" si="3"/>
        <v>1651</v>
      </c>
      <c r="J62" s="6">
        <f t="shared" si="4"/>
        <v>1659</v>
      </c>
      <c r="K62" s="6">
        <f t="shared" si="5"/>
        <v>1745</v>
      </c>
      <c r="L62" s="6">
        <f t="shared" si="21"/>
        <v>2000</v>
      </c>
      <c r="M62" s="6">
        <f t="shared" si="22"/>
        <v>2000</v>
      </c>
      <c r="N62" s="6">
        <f t="shared" si="23"/>
        <v>2000</v>
      </c>
      <c r="O62" s="6">
        <f t="shared" si="13"/>
        <v>-349</v>
      </c>
      <c r="P62" s="6">
        <f t="shared" si="14"/>
        <v>-341</v>
      </c>
      <c r="Q62" s="6">
        <f t="shared" si="15"/>
        <v>-255</v>
      </c>
      <c r="R62" s="8">
        <v>5</v>
      </c>
      <c r="S62" s="8">
        <v>5</v>
      </c>
      <c r="T62" s="8">
        <v>4</v>
      </c>
      <c r="U62" s="25">
        <f t="shared" si="16"/>
        <v>-129</v>
      </c>
      <c r="V62" s="25">
        <f t="shared" si="17"/>
        <v>-131</v>
      </c>
      <c r="W62" s="25">
        <f t="shared" si="18"/>
        <v>-115</v>
      </c>
      <c r="X62" s="15">
        <v>0.96899999999999997</v>
      </c>
      <c r="Y62" s="7"/>
      <c r="Z62" s="21">
        <f t="shared" si="19"/>
        <v>1.2</v>
      </c>
      <c r="AA62" s="6"/>
      <c r="AB62" s="6"/>
    </row>
    <row r="63" spans="1:28" ht="13.8">
      <c r="A63" s="13">
        <v>52</v>
      </c>
      <c r="B63" s="185" t="s">
        <v>124</v>
      </c>
      <c r="C63" s="10">
        <f t="shared" si="7"/>
        <v>1069</v>
      </c>
      <c r="D63" s="9">
        <f t="shared" si="20"/>
        <v>1621</v>
      </c>
      <c r="E63" s="26">
        <f t="shared" si="9"/>
        <v>2690</v>
      </c>
      <c r="F63" s="8">
        <f t="shared" si="0"/>
        <v>1044</v>
      </c>
      <c r="G63" s="8">
        <f t="shared" si="1"/>
        <v>1036</v>
      </c>
      <c r="H63" s="8">
        <f t="shared" si="2"/>
        <v>949</v>
      </c>
      <c r="I63" s="6">
        <f t="shared" si="3"/>
        <v>1646</v>
      </c>
      <c r="J63" s="6">
        <f t="shared" si="4"/>
        <v>1654</v>
      </c>
      <c r="K63" s="6">
        <f t="shared" si="5"/>
        <v>1741</v>
      </c>
      <c r="L63" s="6">
        <f t="shared" si="21"/>
        <v>2000</v>
      </c>
      <c r="M63" s="6">
        <f t="shared" si="22"/>
        <v>2000</v>
      </c>
      <c r="N63" s="6">
        <f t="shared" si="23"/>
        <v>2000</v>
      </c>
      <c r="O63" s="6">
        <f t="shared" si="13"/>
        <v>-354</v>
      </c>
      <c r="P63" s="6">
        <f t="shared" si="14"/>
        <v>-346</v>
      </c>
      <c r="Q63" s="6">
        <f t="shared" si="15"/>
        <v>-259</v>
      </c>
      <c r="R63" s="8">
        <v>5</v>
      </c>
      <c r="S63" s="8">
        <v>5</v>
      </c>
      <c r="T63" s="8">
        <v>4</v>
      </c>
      <c r="U63" s="25">
        <f t="shared" si="16"/>
        <v>-134</v>
      </c>
      <c r="V63" s="25">
        <f t="shared" si="17"/>
        <v>-136</v>
      </c>
      <c r="W63" s="25">
        <f t="shared" si="18"/>
        <v>-119</v>
      </c>
      <c r="X63" s="15">
        <v>0.96399999999999997</v>
      </c>
      <c r="Y63" s="7"/>
      <c r="Z63" s="21">
        <f t="shared" si="19"/>
        <v>1.2</v>
      </c>
      <c r="AA63" s="6"/>
      <c r="AB63" s="6"/>
    </row>
    <row r="64" spans="1:28" ht="13.8">
      <c r="A64" s="13">
        <v>53</v>
      </c>
      <c r="B64" s="185" t="s">
        <v>125</v>
      </c>
      <c r="C64" s="10">
        <f t="shared" si="7"/>
        <v>1069</v>
      </c>
      <c r="D64" s="9">
        <f t="shared" si="20"/>
        <v>1619</v>
      </c>
      <c r="E64" s="26">
        <f t="shared" si="9"/>
        <v>2688</v>
      </c>
      <c r="F64" s="8">
        <f t="shared" si="0"/>
        <v>1047</v>
      </c>
      <c r="G64" s="8">
        <f t="shared" si="1"/>
        <v>1039</v>
      </c>
      <c r="H64" s="8">
        <f t="shared" si="2"/>
        <v>951</v>
      </c>
      <c r="I64" s="6">
        <f t="shared" si="3"/>
        <v>1641</v>
      </c>
      <c r="J64" s="6">
        <f t="shared" si="4"/>
        <v>1649</v>
      </c>
      <c r="K64" s="6">
        <f t="shared" si="5"/>
        <v>1737</v>
      </c>
      <c r="L64" s="6">
        <f t="shared" si="21"/>
        <v>2000</v>
      </c>
      <c r="M64" s="6">
        <f t="shared" si="22"/>
        <v>2000</v>
      </c>
      <c r="N64" s="6">
        <f t="shared" si="23"/>
        <v>2000</v>
      </c>
      <c r="O64" s="6">
        <f t="shared" si="13"/>
        <v>-359</v>
      </c>
      <c r="P64" s="6">
        <f t="shared" si="14"/>
        <v>-351</v>
      </c>
      <c r="Q64" s="6">
        <f t="shared" si="15"/>
        <v>-263</v>
      </c>
      <c r="R64" s="8">
        <v>5</v>
      </c>
      <c r="S64" s="8">
        <v>5</v>
      </c>
      <c r="T64" s="8">
        <v>4</v>
      </c>
      <c r="U64" s="25">
        <f t="shared" si="16"/>
        <v>-139</v>
      </c>
      <c r="V64" s="25">
        <f t="shared" si="17"/>
        <v>-141</v>
      </c>
      <c r="W64" s="25">
        <f t="shared" si="18"/>
        <v>-123</v>
      </c>
      <c r="X64" s="15">
        <v>0.95899999999999996</v>
      </c>
      <c r="Y64" s="7"/>
      <c r="Z64" s="21">
        <f t="shared" si="19"/>
        <v>1.2</v>
      </c>
      <c r="AA64" s="6"/>
      <c r="AB64" s="6"/>
    </row>
    <row r="65" spans="1:28" ht="13.8">
      <c r="A65" s="13">
        <v>54</v>
      </c>
      <c r="B65" s="185" t="s">
        <v>126</v>
      </c>
      <c r="C65" s="10">
        <f t="shared" si="7"/>
        <v>1069</v>
      </c>
      <c r="D65" s="9">
        <f t="shared" si="20"/>
        <v>1617</v>
      </c>
      <c r="E65" s="26">
        <f t="shared" si="9"/>
        <v>2686</v>
      </c>
      <c r="F65" s="8">
        <f t="shared" si="0"/>
        <v>1050</v>
      </c>
      <c r="G65" s="8">
        <f t="shared" si="1"/>
        <v>1042</v>
      </c>
      <c r="H65" s="8">
        <f t="shared" si="2"/>
        <v>953</v>
      </c>
      <c r="I65" s="6">
        <f t="shared" si="3"/>
        <v>1636</v>
      </c>
      <c r="J65" s="6">
        <f t="shared" si="4"/>
        <v>1644</v>
      </c>
      <c r="K65" s="6">
        <f t="shared" si="5"/>
        <v>1733</v>
      </c>
      <c r="L65" s="6">
        <f t="shared" si="21"/>
        <v>2000</v>
      </c>
      <c r="M65" s="6">
        <f t="shared" si="22"/>
        <v>2000</v>
      </c>
      <c r="N65" s="6">
        <f t="shared" si="23"/>
        <v>2000</v>
      </c>
      <c r="O65" s="6">
        <f t="shared" si="13"/>
        <v>-364</v>
      </c>
      <c r="P65" s="6">
        <f t="shared" si="14"/>
        <v>-356</v>
      </c>
      <c r="Q65" s="6">
        <f t="shared" si="15"/>
        <v>-267</v>
      </c>
      <c r="R65" s="8">
        <v>5</v>
      </c>
      <c r="S65" s="8">
        <v>5</v>
      </c>
      <c r="T65" s="8">
        <v>4</v>
      </c>
      <c r="U65" s="25">
        <f t="shared" si="16"/>
        <v>-144</v>
      </c>
      <c r="V65" s="25">
        <f t="shared" si="17"/>
        <v>-146</v>
      </c>
      <c r="W65" s="25">
        <f t="shared" si="18"/>
        <v>-127</v>
      </c>
      <c r="X65" s="15">
        <v>0.95399999999999996</v>
      </c>
      <c r="Y65" s="7"/>
      <c r="Z65" s="21">
        <f t="shared" si="19"/>
        <v>1.2</v>
      </c>
      <c r="AA65" s="6"/>
      <c r="AB65" s="6"/>
    </row>
    <row r="66" spans="1:28" ht="13.8">
      <c r="A66" s="13">
        <v>55</v>
      </c>
      <c r="B66" s="185" t="s">
        <v>127</v>
      </c>
      <c r="C66" s="10">
        <f t="shared" si="7"/>
        <v>1069</v>
      </c>
      <c r="D66" s="9">
        <f t="shared" si="20"/>
        <v>1615</v>
      </c>
      <c r="E66" s="26">
        <f t="shared" si="9"/>
        <v>2684</v>
      </c>
      <c r="F66" s="8">
        <f t="shared" si="0"/>
        <v>1053</v>
      </c>
      <c r="G66" s="8">
        <f t="shared" si="1"/>
        <v>1045</v>
      </c>
      <c r="H66" s="8">
        <f t="shared" si="2"/>
        <v>955</v>
      </c>
      <c r="I66" s="6">
        <f t="shared" si="3"/>
        <v>1631</v>
      </c>
      <c r="J66" s="6">
        <f t="shared" si="4"/>
        <v>1639</v>
      </c>
      <c r="K66" s="6">
        <f t="shared" si="5"/>
        <v>1729</v>
      </c>
      <c r="L66" s="6">
        <f t="shared" si="21"/>
        <v>2000</v>
      </c>
      <c r="M66" s="6">
        <f t="shared" si="22"/>
        <v>2000</v>
      </c>
      <c r="N66" s="6">
        <f t="shared" si="23"/>
        <v>2000</v>
      </c>
      <c r="O66" s="6">
        <f t="shared" si="13"/>
        <v>-369</v>
      </c>
      <c r="P66" s="6">
        <f t="shared" si="14"/>
        <v>-361</v>
      </c>
      <c r="Q66" s="6">
        <f t="shared" si="15"/>
        <v>-271</v>
      </c>
      <c r="R66" s="8">
        <v>5</v>
      </c>
      <c r="S66" s="8">
        <v>5</v>
      </c>
      <c r="T66" s="8">
        <v>4</v>
      </c>
      <c r="U66" s="25">
        <f t="shared" si="16"/>
        <v>-149</v>
      </c>
      <c r="V66" s="25">
        <f t="shared" si="17"/>
        <v>-151</v>
      </c>
      <c r="W66" s="25">
        <f t="shared" si="18"/>
        <v>-131</v>
      </c>
      <c r="X66" s="15">
        <v>0.94899999999999995</v>
      </c>
      <c r="Y66" s="7"/>
      <c r="Z66" s="21">
        <f t="shared" si="19"/>
        <v>1.2</v>
      </c>
      <c r="AA66" s="6"/>
      <c r="AB66" s="6"/>
    </row>
    <row r="67" spans="1:28" ht="13.8">
      <c r="A67" s="13">
        <v>56</v>
      </c>
      <c r="B67" s="185" t="s">
        <v>128</v>
      </c>
      <c r="C67" s="10">
        <f t="shared" si="7"/>
        <v>1069</v>
      </c>
      <c r="D67" s="9">
        <f t="shared" si="20"/>
        <v>1613</v>
      </c>
      <c r="E67" s="26">
        <f t="shared" si="9"/>
        <v>2682</v>
      </c>
      <c r="F67" s="8">
        <f t="shared" si="0"/>
        <v>1056</v>
      </c>
      <c r="G67" s="8">
        <f t="shared" si="1"/>
        <v>1048</v>
      </c>
      <c r="H67" s="8">
        <f t="shared" si="2"/>
        <v>957</v>
      </c>
      <c r="I67" s="6">
        <f t="shared" si="3"/>
        <v>1626</v>
      </c>
      <c r="J67" s="6">
        <f t="shared" si="4"/>
        <v>1634</v>
      </c>
      <c r="K67" s="6">
        <f t="shared" si="5"/>
        <v>1725</v>
      </c>
      <c r="L67" s="6">
        <f t="shared" si="21"/>
        <v>2000</v>
      </c>
      <c r="M67" s="6">
        <f t="shared" si="22"/>
        <v>2000</v>
      </c>
      <c r="N67" s="6">
        <f t="shared" si="23"/>
        <v>2000</v>
      </c>
      <c r="O67" s="6">
        <f t="shared" si="13"/>
        <v>-374</v>
      </c>
      <c r="P67" s="6">
        <f t="shared" si="14"/>
        <v>-366</v>
      </c>
      <c r="Q67" s="6">
        <f t="shared" si="15"/>
        <v>-275</v>
      </c>
      <c r="R67" s="8">
        <v>5</v>
      </c>
      <c r="S67" s="8">
        <v>5</v>
      </c>
      <c r="T67" s="8">
        <v>4</v>
      </c>
      <c r="U67" s="25">
        <f t="shared" si="16"/>
        <v>-154</v>
      </c>
      <c r="V67" s="25">
        <f t="shared" si="17"/>
        <v>-156</v>
      </c>
      <c r="W67" s="25">
        <f t="shared" si="18"/>
        <v>-135</v>
      </c>
      <c r="X67" s="15">
        <v>0.94399999999999995</v>
      </c>
      <c r="Y67" s="7"/>
      <c r="Z67" s="21">
        <f t="shared" si="19"/>
        <v>1.2</v>
      </c>
      <c r="AA67" s="6"/>
      <c r="AB67" s="6"/>
    </row>
    <row r="68" spans="1:28" ht="13.8">
      <c r="A68" s="13">
        <v>57</v>
      </c>
      <c r="B68" s="185" t="s">
        <v>129</v>
      </c>
      <c r="C68" s="10">
        <f t="shared" si="7"/>
        <v>1069</v>
      </c>
      <c r="D68" s="9">
        <f t="shared" si="20"/>
        <v>1611</v>
      </c>
      <c r="E68" s="26">
        <f t="shared" si="9"/>
        <v>2680</v>
      </c>
      <c r="F68" s="8">
        <f t="shared" si="0"/>
        <v>1059</v>
      </c>
      <c r="G68" s="8">
        <f t="shared" si="1"/>
        <v>1051</v>
      </c>
      <c r="H68" s="8">
        <f t="shared" si="2"/>
        <v>959</v>
      </c>
      <c r="I68" s="6">
        <f t="shared" si="3"/>
        <v>1621</v>
      </c>
      <c r="J68" s="6">
        <f t="shared" si="4"/>
        <v>1629</v>
      </c>
      <c r="K68" s="6">
        <f t="shared" si="5"/>
        <v>1721</v>
      </c>
      <c r="L68" s="6">
        <f t="shared" si="21"/>
        <v>2000</v>
      </c>
      <c r="M68" s="6">
        <f t="shared" si="22"/>
        <v>2000</v>
      </c>
      <c r="N68" s="6">
        <f t="shared" si="23"/>
        <v>2000</v>
      </c>
      <c r="O68" s="6">
        <f t="shared" si="13"/>
        <v>-379</v>
      </c>
      <c r="P68" s="6">
        <f t="shared" si="14"/>
        <v>-371</v>
      </c>
      <c r="Q68" s="6">
        <f t="shared" si="15"/>
        <v>-279</v>
      </c>
      <c r="R68" s="8">
        <v>5</v>
      </c>
      <c r="S68" s="8">
        <v>5</v>
      </c>
      <c r="T68" s="8">
        <v>4</v>
      </c>
      <c r="U68" s="25">
        <f t="shared" si="16"/>
        <v>-159</v>
      </c>
      <c r="V68" s="25">
        <f t="shared" si="17"/>
        <v>-161</v>
      </c>
      <c r="W68" s="25">
        <f t="shared" si="18"/>
        <v>-139</v>
      </c>
      <c r="X68" s="15">
        <v>0.93899999999999995</v>
      </c>
      <c r="Y68" s="7"/>
      <c r="Z68" s="21">
        <f t="shared" si="19"/>
        <v>1.2</v>
      </c>
      <c r="AA68" s="6"/>
      <c r="AB68" s="6"/>
    </row>
    <row r="69" spans="1:28" ht="13.8">
      <c r="A69" s="13">
        <v>58</v>
      </c>
      <c r="B69" s="185" t="s">
        <v>130</v>
      </c>
      <c r="C69" s="10">
        <f t="shared" si="7"/>
        <v>1069</v>
      </c>
      <c r="D69" s="9">
        <f t="shared" si="20"/>
        <v>1609</v>
      </c>
      <c r="E69" s="26">
        <f t="shared" si="9"/>
        <v>2678</v>
      </c>
      <c r="F69" s="8">
        <f t="shared" si="0"/>
        <v>1062</v>
      </c>
      <c r="G69" s="8">
        <f t="shared" si="1"/>
        <v>1054</v>
      </c>
      <c r="H69" s="8">
        <f t="shared" si="2"/>
        <v>961</v>
      </c>
      <c r="I69" s="6">
        <f t="shared" si="3"/>
        <v>1616</v>
      </c>
      <c r="J69" s="6">
        <f t="shared" si="4"/>
        <v>1624</v>
      </c>
      <c r="K69" s="6">
        <f t="shared" si="5"/>
        <v>1717</v>
      </c>
      <c r="L69" s="6">
        <f t="shared" si="21"/>
        <v>2000</v>
      </c>
      <c r="M69" s="6">
        <f t="shared" si="22"/>
        <v>2000</v>
      </c>
      <c r="N69" s="6">
        <f t="shared" si="23"/>
        <v>2000</v>
      </c>
      <c r="O69" s="6">
        <f t="shared" si="13"/>
        <v>-384</v>
      </c>
      <c r="P69" s="6">
        <f t="shared" si="14"/>
        <v>-376</v>
      </c>
      <c r="Q69" s="6">
        <f t="shared" si="15"/>
        <v>-283</v>
      </c>
      <c r="R69" s="8">
        <v>5</v>
      </c>
      <c r="S69" s="8">
        <v>5</v>
      </c>
      <c r="T69" s="8">
        <v>4</v>
      </c>
      <c r="U69" s="25">
        <f t="shared" si="16"/>
        <v>-164</v>
      </c>
      <c r="V69" s="25">
        <f t="shared" si="17"/>
        <v>-166</v>
      </c>
      <c r="W69" s="25">
        <f t="shared" si="18"/>
        <v>-143</v>
      </c>
      <c r="X69" s="15">
        <v>0.93400000000000005</v>
      </c>
      <c r="Y69" s="7"/>
      <c r="Z69" s="21">
        <f t="shared" si="19"/>
        <v>1.2</v>
      </c>
      <c r="AA69" s="6"/>
      <c r="AB69" s="6"/>
    </row>
    <row r="70" spans="1:28" ht="13.8">
      <c r="A70" s="13">
        <v>59</v>
      </c>
      <c r="B70" s="185" t="s">
        <v>131</v>
      </c>
      <c r="C70" s="10">
        <f t="shared" si="7"/>
        <v>1069</v>
      </c>
      <c r="D70" s="9">
        <f t="shared" si="20"/>
        <v>1607</v>
      </c>
      <c r="E70" s="26">
        <f t="shared" si="9"/>
        <v>2676</v>
      </c>
      <c r="F70" s="8">
        <f t="shared" si="0"/>
        <v>1065</v>
      </c>
      <c r="G70" s="8">
        <f t="shared" si="1"/>
        <v>1057</v>
      </c>
      <c r="H70" s="8">
        <f t="shared" si="2"/>
        <v>963</v>
      </c>
      <c r="I70" s="6">
        <f t="shared" si="3"/>
        <v>1611</v>
      </c>
      <c r="J70" s="6">
        <f t="shared" si="4"/>
        <v>1619</v>
      </c>
      <c r="K70" s="6">
        <f t="shared" si="5"/>
        <v>1713</v>
      </c>
      <c r="L70" s="6">
        <f t="shared" si="21"/>
        <v>2000</v>
      </c>
      <c r="M70" s="6">
        <f t="shared" si="22"/>
        <v>2000</v>
      </c>
      <c r="N70" s="6">
        <f t="shared" si="23"/>
        <v>2000</v>
      </c>
      <c r="O70" s="6">
        <f t="shared" si="13"/>
        <v>-389</v>
      </c>
      <c r="P70" s="6">
        <f t="shared" si="14"/>
        <v>-381</v>
      </c>
      <c r="Q70" s="6">
        <f t="shared" si="15"/>
        <v>-287</v>
      </c>
      <c r="R70" s="8">
        <v>5</v>
      </c>
      <c r="S70" s="8">
        <v>5</v>
      </c>
      <c r="T70" s="8">
        <v>4</v>
      </c>
      <c r="U70" s="25">
        <f t="shared" si="16"/>
        <v>-169</v>
      </c>
      <c r="V70" s="25">
        <f t="shared" si="17"/>
        <v>-171</v>
      </c>
      <c r="W70" s="25">
        <f t="shared" si="18"/>
        <v>-147</v>
      </c>
      <c r="X70" s="15">
        <v>0.92900000000000005</v>
      </c>
      <c r="Y70" s="7"/>
      <c r="Z70" s="21">
        <f t="shared" si="19"/>
        <v>1.2</v>
      </c>
      <c r="AA70" s="6"/>
      <c r="AB70" s="6"/>
    </row>
    <row r="71" spans="1:28" ht="13.8">
      <c r="A71" s="13">
        <v>60</v>
      </c>
      <c r="B71" s="185" t="s">
        <v>132</v>
      </c>
      <c r="C71" s="10">
        <f t="shared" si="7"/>
        <v>1069</v>
      </c>
      <c r="D71" s="9">
        <f t="shared" si="20"/>
        <v>1605</v>
      </c>
      <c r="E71" s="26">
        <f t="shared" si="9"/>
        <v>2674</v>
      </c>
      <c r="F71" s="8">
        <f t="shared" si="0"/>
        <v>1068</v>
      </c>
      <c r="G71" s="8">
        <f t="shared" si="1"/>
        <v>1060</v>
      </c>
      <c r="H71" s="8">
        <f t="shared" si="2"/>
        <v>965</v>
      </c>
      <c r="I71" s="6">
        <f t="shared" si="3"/>
        <v>1606</v>
      </c>
      <c r="J71" s="6">
        <f t="shared" si="4"/>
        <v>1614</v>
      </c>
      <c r="K71" s="6">
        <f t="shared" si="5"/>
        <v>1709</v>
      </c>
      <c r="L71" s="6">
        <f t="shared" si="21"/>
        <v>2000</v>
      </c>
      <c r="M71" s="6">
        <f t="shared" si="22"/>
        <v>2000</v>
      </c>
      <c r="N71" s="6">
        <f t="shared" si="23"/>
        <v>2000</v>
      </c>
      <c r="O71" s="6">
        <f t="shared" si="13"/>
        <v>-394</v>
      </c>
      <c r="P71" s="6">
        <f t="shared" si="14"/>
        <v>-386</v>
      </c>
      <c r="Q71" s="6">
        <f t="shared" si="15"/>
        <v>-291</v>
      </c>
      <c r="R71" s="8">
        <v>5</v>
      </c>
      <c r="S71" s="8">
        <v>5</v>
      </c>
      <c r="T71" s="8">
        <v>4</v>
      </c>
      <c r="U71" s="25">
        <f t="shared" si="16"/>
        <v>-174</v>
      </c>
      <c r="V71" s="25">
        <f t="shared" si="17"/>
        <v>-176</v>
      </c>
      <c r="W71" s="25">
        <f t="shared" si="18"/>
        <v>-151</v>
      </c>
      <c r="X71" s="15">
        <v>0.92400000000000004</v>
      </c>
      <c r="Y71" s="7"/>
      <c r="Z71" s="21">
        <f t="shared" si="19"/>
        <v>1.2</v>
      </c>
      <c r="AA71" s="6"/>
      <c r="AB71" s="6"/>
    </row>
    <row r="72" spans="1:28" ht="13.8">
      <c r="A72" s="13">
        <v>61</v>
      </c>
      <c r="B72" s="185" t="s">
        <v>133</v>
      </c>
      <c r="C72" s="10">
        <f t="shared" si="7"/>
        <v>1069</v>
      </c>
      <c r="D72" s="9">
        <f t="shared" si="20"/>
        <v>1603</v>
      </c>
      <c r="E72" s="26">
        <f t="shared" si="9"/>
        <v>2672</v>
      </c>
      <c r="F72" s="8">
        <f t="shared" si="0"/>
        <v>1071</v>
      </c>
      <c r="G72" s="8">
        <f t="shared" si="1"/>
        <v>1063</v>
      </c>
      <c r="H72" s="8">
        <f t="shared" si="2"/>
        <v>967</v>
      </c>
      <c r="I72" s="6">
        <f t="shared" si="3"/>
        <v>1601</v>
      </c>
      <c r="J72" s="6">
        <f t="shared" si="4"/>
        <v>1609</v>
      </c>
      <c r="K72" s="6">
        <f t="shared" si="5"/>
        <v>1705</v>
      </c>
      <c r="L72" s="6">
        <f t="shared" si="21"/>
        <v>2000</v>
      </c>
      <c r="M72" s="6">
        <f t="shared" si="22"/>
        <v>2000</v>
      </c>
      <c r="N72" s="6">
        <f t="shared" si="23"/>
        <v>2000</v>
      </c>
      <c r="O72" s="6">
        <f t="shared" si="13"/>
        <v>-399</v>
      </c>
      <c r="P72" s="6">
        <f t="shared" si="14"/>
        <v>-391</v>
      </c>
      <c r="Q72" s="6">
        <f t="shared" si="15"/>
        <v>-295</v>
      </c>
      <c r="R72" s="8">
        <v>5</v>
      </c>
      <c r="S72" s="8">
        <v>5</v>
      </c>
      <c r="T72" s="8">
        <v>4</v>
      </c>
      <c r="U72" s="25">
        <f t="shared" si="16"/>
        <v>-179</v>
      </c>
      <c r="V72" s="25">
        <f t="shared" si="17"/>
        <v>-181</v>
      </c>
      <c r="W72" s="25">
        <f t="shared" si="18"/>
        <v>-155</v>
      </c>
      <c r="X72" s="15">
        <v>0.91900000000000004</v>
      </c>
      <c r="Y72" s="7"/>
      <c r="Z72" s="21">
        <f t="shared" si="19"/>
        <v>1.2</v>
      </c>
      <c r="AA72" s="6"/>
      <c r="AB72" s="6"/>
    </row>
    <row r="73" spans="1:28" ht="13.8">
      <c r="A73" s="13">
        <v>62</v>
      </c>
      <c r="B73" s="185" t="s">
        <v>134</v>
      </c>
      <c r="C73" s="10">
        <f t="shared" si="7"/>
        <v>1069</v>
      </c>
      <c r="D73" s="9">
        <f t="shared" si="20"/>
        <v>1601</v>
      </c>
      <c r="E73" s="26">
        <f t="shared" si="9"/>
        <v>2670</v>
      </c>
      <c r="F73" s="8">
        <f t="shared" si="0"/>
        <v>1074</v>
      </c>
      <c r="G73" s="8">
        <f t="shared" si="1"/>
        <v>1066</v>
      </c>
      <c r="H73" s="8">
        <f t="shared" si="2"/>
        <v>969</v>
      </c>
      <c r="I73" s="6">
        <f t="shared" si="3"/>
        <v>1596</v>
      </c>
      <c r="J73" s="6">
        <f t="shared" si="4"/>
        <v>1604</v>
      </c>
      <c r="K73" s="6">
        <f t="shared" si="5"/>
        <v>1701</v>
      </c>
      <c r="L73" s="6">
        <f t="shared" si="21"/>
        <v>2000</v>
      </c>
      <c r="M73" s="6">
        <f t="shared" si="22"/>
        <v>2000</v>
      </c>
      <c r="N73" s="6">
        <f t="shared" si="23"/>
        <v>2000</v>
      </c>
      <c r="O73" s="6">
        <f t="shared" si="13"/>
        <v>-404</v>
      </c>
      <c r="P73" s="6">
        <f t="shared" si="14"/>
        <v>-396</v>
      </c>
      <c r="Q73" s="6">
        <f t="shared" si="15"/>
        <v>-299</v>
      </c>
      <c r="R73" s="8">
        <v>5</v>
      </c>
      <c r="S73" s="8">
        <v>5</v>
      </c>
      <c r="T73" s="8">
        <v>4</v>
      </c>
      <c r="U73" s="25">
        <f t="shared" si="16"/>
        <v>-184</v>
      </c>
      <c r="V73" s="25">
        <f t="shared" si="17"/>
        <v>-186</v>
      </c>
      <c r="W73" s="25">
        <f t="shared" si="18"/>
        <v>-159</v>
      </c>
      <c r="X73" s="15">
        <v>0.91400000000000003</v>
      </c>
      <c r="Y73" s="7"/>
      <c r="Z73" s="21">
        <f t="shared" si="19"/>
        <v>1.2</v>
      </c>
      <c r="AA73" s="6"/>
      <c r="AB73" s="6"/>
    </row>
    <row r="74" spans="1:28" ht="13.8">
      <c r="A74" s="13">
        <v>63</v>
      </c>
      <c r="B74" s="185" t="s">
        <v>135</v>
      </c>
      <c r="C74" s="10">
        <f t="shared" si="7"/>
        <v>1069</v>
      </c>
      <c r="D74" s="9">
        <f t="shared" si="20"/>
        <v>1599</v>
      </c>
      <c r="E74" s="26">
        <f t="shared" si="9"/>
        <v>2668</v>
      </c>
      <c r="F74" s="8">
        <f t="shared" si="0"/>
        <v>1077</v>
      </c>
      <c r="G74" s="8">
        <f t="shared" si="1"/>
        <v>1069</v>
      </c>
      <c r="H74" s="8">
        <f t="shared" si="2"/>
        <v>971</v>
      </c>
      <c r="I74" s="6">
        <f t="shared" si="3"/>
        <v>1591</v>
      </c>
      <c r="J74" s="6">
        <f t="shared" si="4"/>
        <v>1599</v>
      </c>
      <c r="K74" s="6">
        <f t="shared" si="5"/>
        <v>1697</v>
      </c>
      <c r="L74" s="6">
        <f t="shared" si="21"/>
        <v>2000</v>
      </c>
      <c r="M74" s="6">
        <f t="shared" si="22"/>
        <v>2000</v>
      </c>
      <c r="N74" s="6">
        <f t="shared" si="23"/>
        <v>2000</v>
      </c>
      <c r="O74" s="6">
        <f t="shared" si="13"/>
        <v>-409</v>
      </c>
      <c r="P74" s="6">
        <f t="shared" si="14"/>
        <v>-401</v>
      </c>
      <c r="Q74" s="6">
        <f t="shared" si="15"/>
        <v>-303</v>
      </c>
      <c r="R74" s="8">
        <v>5</v>
      </c>
      <c r="S74" s="8">
        <v>5</v>
      </c>
      <c r="T74" s="8">
        <v>4</v>
      </c>
      <c r="U74" s="25">
        <f t="shared" si="16"/>
        <v>-189</v>
      </c>
      <c r="V74" s="25">
        <f t="shared" si="17"/>
        <v>-191</v>
      </c>
      <c r="W74" s="25">
        <f t="shared" si="18"/>
        <v>-163</v>
      </c>
      <c r="X74" s="15">
        <v>0.90900000000000003</v>
      </c>
      <c r="Y74" s="7"/>
      <c r="Z74" s="21">
        <f t="shared" si="19"/>
        <v>1.2</v>
      </c>
      <c r="AA74" s="6"/>
      <c r="AB74" s="6"/>
    </row>
    <row r="75" spans="1:28" ht="13.8">
      <c r="A75" s="13">
        <v>64</v>
      </c>
      <c r="B75" s="185" t="s">
        <v>136</v>
      </c>
      <c r="C75" s="10">
        <f t="shared" si="7"/>
        <v>1069</v>
      </c>
      <c r="D75" s="9">
        <f t="shared" si="20"/>
        <v>1597</v>
      </c>
      <c r="E75" s="26">
        <f t="shared" si="9"/>
        <v>2666</v>
      </c>
      <c r="F75" s="8">
        <f t="shared" ref="F75:F138" si="24">C75+D75-I75</f>
        <v>1080</v>
      </c>
      <c r="G75" s="8">
        <f t="shared" ref="G75:G138" si="25">C75+D75-J75</f>
        <v>1072</v>
      </c>
      <c r="H75" s="8">
        <f t="shared" ref="H75:H138" si="26">D75+C75-K75</f>
        <v>973</v>
      </c>
      <c r="I75" s="6">
        <f t="shared" ref="I75:I138" si="27">L75+O75</f>
        <v>1586</v>
      </c>
      <c r="J75" s="6">
        <f t="shared" ref="J75:J138" si="28">M75+P75</f>
        <v>1594</v>
      </c>
      <c r="K75" s="6">
        <f t="shared" ref="K75:K138" si="29">N75+Q75</f>
        <v>1693</v>
      </c>
      <c r="L75" s="6">
        <f t="shared" si="21"/>
        <v>2000</v>
      </c>
      <c r="M75" s="6">
        <f t="shared" si="22"/>
        <v>2000</v>
      </c>
      <c r="N75" s="6">
        <f t="shared" si="23"/>
        <v>2000</v>
      </c>
      <c r="O75" s="6">
        <f t="shared" si="13"/>
        <v>-414</v>
      </c>
      <c r="P75" s="6">
        <f t="shared" si="14"/>
        <v>-406</v>
      </c>
      <c r="Q75" s="6">
        <f t="shared" si="15"/>
        <v>-307</v>
      </c>
      <c r="R75" s="8">
        <v>5</v>
      </c>
      <c r="S75" s="8">
        <v>5</v>
      </c>
      <c r="T75" s="8">
        <v>4</v>
      </c>
      <c r="U75" s="25">
        <f t="shared" si="16"/>
        <v>-194</v>
      </c>
      <c r="V75" s="25">
        <f t="shared" si="17"/>
        <v>-196</v>
      </c>
      <c r="W75" s="25">
        <f t="shared" si="18"/>
        <v>-167</v>
      </c>
      <c r="X75" s="15">
        <v>0.90400000000000003</v>
      </c>
      <c r="Y75" s="7"/>
      <c r="Z75" s="21">
        <f t="shared" si="19"/>
        <v>1.2</v>
      </c>
      <c r="AA75" s="6"/>
      <c r="AB75" s="6"/>
    </row>
    <row r="76" spans="1:28" ht="13.8">
      <c r="A76" s="13">
        <v>65</v>
      </c>
      <c r="B76" s="185" t="s">
        <v>137</v>
      </c>
      <c r="C76" s="10">
        <f t="shared" ref="C76:C139" si="30">C75</f>
        <v>1069</v>
      </c>
      <c r="D76" s="9">
        <f t="shared" ref="D76:D107" si="31">D75-2</f>
        <v>1595</v>
      </c>
      <c r="E76" s="26">
        <f t="shared" ref="E76:E139" si="32">C76+D76</f>
        <v>2664</v>
      </c>
      <c r="F76" s="8">
        <f t="shared" si="24"/>
        <v>1083</v>
      </c>
      <c r="G76" s="8">
        <f t="shared" si="25"/>
        <v>1075</v>
      </c>
      <c r="H76" s="8">
        <f t="shared" si="26"/>
        <v>975</v>
      </c>
      <c r="I76" s="6">
        <f t="shared" si="27"/>
        <v>1581</v>
      </c>
      <c r="J76" s="6">
        <f t="shared" si="28"/>
        <v>1589</v>
      </c>
      <c r="K76" s="6">
        <f t="shared" si="29"/>
        <v>1689</v>
      </c>
      <c r="L76" s="6">
        <f t="shared" ref="L76:L107" si="33">L75</f>
        <v>2000</v>
      </c>
      <c r="M76" s="6">
        <f t="shared" ref="M76:M107" si="34">M75</f>
        <v>2000</v>
      </c>
      <c r="N76" s="6">
        <f t="shared" ref="N76:N107" si="35">N75</f>
        <v>2000</v>
      </c>
      <c r="O76" s="6">
        <f t="shared" ref="O76:O139" si="36">O75-R76</f>
        <v>-419</v>
      </c>
      <c r="P76" s="6">
        <f t="shared" ref="P76:P139" si="37">P75-S76</f>
        <v>-411</v>
      </c>
      <c r="Q76" s="6">
        <f t="shared" ref="Q76:Q139" si="38">Q75-T76</f>
        <v>-311</v>
      </c>
      <c r="R76" s="8">
        <v>5</v>
      </c>
      <c r="S76" s="8">
        <v>5</v>
      </c>
      <c r="T76" s="8">
        <v>4</v>
      </c>
      <c r="U76" s="25">
        <f t="shared" ref="U76:U139" si="39">U75-R76</f>
        <v>-199</v>
      </c>
      <c r="V76" s="25">
        <f t="shared" ref="V76:V139" si="40">V75-S76</f>
        <v>-201</v>
      </c>
      <c r="W76" s="25">
        <f t="shared" ref="W76:W139" si="41">W75-T76</f>
        <v>-171</v>
      </c>
      <c r="X76" s="15">
        <v>0.89900000000000002</v>
      </c>
      <c r="Y76" s="7"/>
      <c r="Z76" s="21">
        <f t="shared" si="19"/>
        <v>1.2</v>
      </c>
      <c r="AA76" s="6"/>
      <c r="AB76" s="6"/>
    </row>
    <row r="77" spans="1:28" ht="13.8">
      <c r="A77" s="13">
        <v>66</v>
      </c>
      <c r="B77" s="185" t="s">
        <v>138</v>
      </c>
      <c r="C77" s="10">
        <f t="shared" si="30"/>
        <v>1069</v>
      </c>
      <c r="D77" s="9">
        <f t="shared" si="31"/>
        <v>1593</v>
      </c>
      <c r="E77" s="26">
        <f t="shared" si="32"/>
        <v>2662</v>
      </c>
      <c r="F77" s="8">
        <f t="shared" si="24"/>
        <v>1086</v>
      </c>
      <c r="G77" s="8">
        <f t="shared" si="25"/>
        <v>1078</v>
      </c>
      <c r="H77" s="8">
        <f t="shared" si="26"/>
        <v>977</v>
      </c>
      <c r="I77" s="6">
        <f t="shared" si="27"/>
        <v>1576</v>
      </c>
      <c r="J77" s="6">
        <f t="shared" si="28"/>
        <v>1584</v>
      </c>
      <c r="K77" s="6">
        <f t="shared" si="29"/>
        <v>1685</v>
      </c>
      <c r="L77" s="6">
        <f t="shared" si="33"/>
        <v>2000</v>
      </c>
      <c r="M77" s="6">
        <f t="shared" si="34"/>
        <v>2000</v>
      </c>
      <c r="N77" s="6">
        <f t="shared" si="35"/>
        <v>2000</v>
      </c>
      <c r="O77" s="6">
        <f t="shared" si="36"/>
        <v>-424</v>
      </c>
      <c r="P77" s="6">
        <f t="shared" si="37"/>
        <v>-416</v>
      </c>
      <c r="Q77" s="6">
        <f t="shared" si="38"/>
        <v>-315</v>
      </c>
      <c r="R77" s="8">
        <v>5</v>
      </c>
      <c r="S77" s="8">
        <v>5</v>
      </c>
      <c r="T77" s="8">
        <v>4</v>
      </c>
      <c r="U77" s="25">
        <f t="shared" si="39"/>
        <v>-204</v>
      </c>
      <c r="V77" s="25">
        <f t="shared" si="40"/>
        <v>-206</v>
      </c>
      <c r="W77" s="25">
        <f t="shared" si="41"/>
        <v>-175</v>
      </c>
      <c r="X77" s="15">
        <v>0.89400000000000002</v>
      </c>
      <c r="Y77" s="7"/>
      <c r="Z77" s="21">
        <f t="shared" si="19"/>
        <v>1.2</v>
      </c>
      <c r="AA77" s="6"/>
      <c r="AB77" s="6"/>
    </row>
    <row r="78" spans="1:28" ht="13.8">
      <c r="A78" s="13">
        <v>67</v>
      </c>
      <c r="B78" s="185" t="s">
        <v>139</v>
      </c>
      <c r="C78" s="10">
        <f t="shared" si="30"/>
        <v>1069</v>
      </c>
      <c r="D78" s="9">
        <f t="shared" si="31"/>
        <v>1591</v>
      </c>
      <c r="E78" s="26">
        <f t="shared" si="32"/>
        <v>2660</v>
      </c>
      <c r="F78" s="8">
        <f t="shared" si="24"/>
        <v>1089</v>
      </c>
      <c r="G78" s="8">
        <f t="shared" si="25"/>
        <v>1081</v>
      </c>
      <c r="H78" s="8">
        <f t="shared" si="26"/>
        <v>979</v>
      </c>
      <c r="I78" s="6">
        <f t="shared" si="27"/>
        <v>1571</v>
      </c>
      <c r="J78" s="6">
        <f t="shared" si="28"/>
        <v>1579</v>
      </c>
      <c r="K78" s="6">
        <f t="shared" si="29"/>
        <v>1681</v>
      </c>
      <c r="L78" s="6">
        <f t="shared" si="33"/>
        <v>2000</v>
      </c>
      <c r="M78" s="6">
        <f t="shared" si="34"/>
        <v>2000</v>
      </c>
      <c r="N78" s="6">
        <f t="shared" si="35"/>
        <v>2000</v>
      </c>
      <c r="O78" s="6">
        <f t="shared" si="36"/>
        <v>-429</v>
      </c>
      <c r="P78" s="6">
        <f t="shared" si="37"/>
        <v>-421</v>
      </c>
      <c r="Q78" s="6">
        <f t="shared" si="38"/>
        <v>-319</v>
      </c>
      <c r="R78" s="8">
        <v>5</v>
      </c>
      <c r="S78" s="8">
        <v>5</v>
      </c>
      <c r="T78" s="8">
        <v>4</v>
      </c>
      <c r="U78" s="25">
        <f t="shared" si="39"/>
        <v>-209</v>
      </c>
      <c r="V78" s="25">
        <f t="shared" si="40"/>
        <v>-211</v>
      </c>
      <c r="W78" s="25">
        <f t="shared" si="41"/>
        <v>-179</v>
      </c>
      <c r="X78" s="15">
        <v>0.88900000000000001</v>
      </c>
      <c r="Y78" s="7"/>
      <c r="Z78" s="21">
        <f t="shared" si="19"/>
        <v>1.2</v>
      </c>
      <c r="AA78" s="6"/>
      <c r="AB78" s="6"/>
    </row>
    <row r="79" spans="1:28" ht="13.8">
      <c r="A79" s="13">
        <v>68</v>
      </c>
      <c r="B79" s="185" t="s">
        <v>140</v>
      </c>
      <c r="C79" s="10">
        <f t="shared" si="30"/>
        <v>1069</v>
      </c>
      <c r="D79" s="9">
        <f t="shared" si="31"/>
        <v>1589</v>
      </c>
      <c r="E79" s="26">
        <f t="shared" si="32"/>
        <v>2658</v>
      </c>
      <c r="F79" s="8">
        <f t="shared" si="24"/>
        <v>1092</v>
      </c>
      <c r="G79" s="8">
        <f t="shared" si="25"/>
        <v>1084</v>
      </c>
      <c r="H79" s="8">
        <f t="shared" si="26"/>
        <v>981</v>
      </c>
      <c r="I79" s="6">
        <f t="shared" si="27"/>
        <v>1566</v>
      </c>
      <c r="J79" s="6">
        <f t="shared" si="28"/>
        <v>1574</v>
      </c>
      <c r="K79" s="6">
        <f t="shared" si="29"/>
        <v>1677</v>
      </c>
      <c r="L79" s="6">
        <f t="shared" si="33"/>
        <v>2000</v>
      </c>
      <c r="M79" s="6">
        <f t="shared" si="34"/>
        <v>2000</v>
      </c>
      <c r="N79" s="6">
        <f t="shared" si="35"/>
        <v>2000</v>
      </c>
      <c r="O79" s="6">
        <f t="shared" si="36"/>
        <v>-434</v>
      </c>
      <c r="P79" s="6">
        <f t="shared" si="37"/>
        <v>-426</v>
      </c>
      <c r="Q79" s="6">
        <f t="shared" si="38"/>
        <v>-323</v>
      </c>
      <c r="R79" s="8">
        <v>5</v>
      </c>
      <c r="S79" s="8">
        <v>5</v>
      </c>
      <c r="T79" s="8">
        <v>4</v>
      </c>
      <c r="U79" s="25">
        <f t="shared" si="39"/>
        <v>-214</v>
      </c>
      <c r="V79" s="25">
        <f t="shared" si="40"/>
        <v>-216</v>
      </c>
      <c r="W79" s="25">
        <f t="shared" si="41"/>
        <v>-183</v>
      </c>
      <c r="X79" s="15">
        <v>0.88400000000000001</v>
      </c>
      <c r="Y79" s="7"/>
      <c r="Z79" s="21">
        <f t="shared" si="19"/>
        <v>1.2</v>
      </c>
      <c r="AA79" s="6"/>
      <c r="AB79" s="6"/>
    </row>
    <row r="80" spans="1:28" ht="13.8">
      <c r="A80" s="13">
        <v>69</v>
      </c>
      <c r="B80" s="185" t="s">
        <v>141</v>
      </c>
      <c r="C80" s="10">
        <f t="shared" si="30"/>
        <v>1069</v>
      </c>
      <c r="D80" s="9">
        <f t="shared" si="31"/>
        <v>1587</v>
      </c>
      <c r="E80" s="26">
        <f t="shared" si="32"/>
        <v>2656</v>
      </c>
      <c r="F80" s="8">
        <f t="shared" si="24"/>
        <v>1095</v>
      </c>
      <c r="G80" s="8">
        <f t="shared" si="25"/>
        <v>1087</v>
      </c>
      <c r="H80" s="8">
        <f t="shared" si="26"/>
        <v>983</v>
      </c>
      <c r="I80" s="6">
        <f t="shared" si="27"/>
        <v>1561</v>
      </c>
      <c r="J80" s="6">
        <f t="shared" si="28"/>
        <v>1569</v>
      </c>
      <c r="K80" s="6">
        <f t="shared" si="29"/>
        <v>1673</v>
      </c>
      <c r="L80" s="6">
        <f t="shared" si="33"/>
        <v>2000</v>
      </c>
      <c r="M80" s="6">
        <f t="shared" si="34"/>
        <v>2000</v>
      </c>
      <c r="N80" s="6">
        <f t="shared" si="35"/>
        <v>2000</v>
      </c>
      <c r="O80" s="6">
        <f t="shared" si="36"/>
        <v>-439</v>
      </c>
      <c r="P80" s="6">
        <f t="shared" si="37"/>
        <v>-431</v>
      </c>
      <c r="Q80" s="6">
        <f t="shared" si="38"/>
        <v>-327</v>
      </c>
      <c r="R80" s="8">
        <v>5</v>
      </c>
      <c r="S80" s="8">
        <v>5</v>
      </c>
      <c r="T80" s="8">
        <v>4</v>
      </c>
      <c r="U80" s="25">
        <f t="shared" si="39"/>
        <v>-219</v>
      </c>
      <c r="V80" s="25">
        <f t="shared" si="40"/>
        <v>-221</v>
      </c>
      <c r="W80" s="25">
        <f t="shared" si="41"/>
        <v>-187</v>
      </c>
      <c r="X80" s="15">
        <v>0.879</v>
      </c>
      <c r="Y80" s="7"/>
      <c r="Z80" s="21">
        <f t="shared" si="19"/>
        <v>1.2</v>
      </c>
      <c r="AA80" s="6"/>
      <c r="AB80" s="6"/>
    </row>
    <row r="81" spans="1:28" ht="13.8">
      <c r="A81" s="13">
        <v>70</v>
      </c>
      <c r="B81" s="185" t="s">
        <v>142</v>
      </c>
      <c r="C81" s="10">
        <f t="shared" si="30"/>
        <v>1069</v>
      </c>
      <c r="D81" s="9">
        <f t="shared" si="31"/>
        <v>1585</v>
      </c>
      <c r="E81" s="26">
        <f t="shared" si="32"/>
        <v>2654</v>
      </c>
      <c r="F81" s="8">
        <f t="shared" si="24"/>
        <v>1097</v>
      </c>
      <c r="G81" s="8">
        <f t="shared" si="25"/>
        <v>1091</v>
      </c>
      <c r="H81" s="8">
        <f t="shared" si="26"/>
        <v>985</v>
      </c>
      <c r="I81" s="6">
        <f t="shared" si="27"/>
        <v>1557</v>
      </c>
      <c r="J81" s="6">
        <f t="shared" si="28"/>
        <v>1563</v>
      </c>
      <c r="K81" s="6">
        <f t="shared" si="29"/>
        <v>1669</v>
      </c>
      <c r="L81" s="6">
        <f t="shared" si="33"/>
        <v>2000</v>
      </c>
      <c r="M81" s="6">
        <f t="shared" si="34"/>
        <v>2000</v>
      </c>
      <c r="N81" s="6">
        <f t="shared" si="35"/>
        <v>2000</v>
      </c>
      <c r="O81" s="6">
        <f t="shared" si="36"/>
        <v>-443</v>
      </c>
      <c r="P81" s="6">
        <f t="shared" si="37"/>
        <v>-437</v>
      </c>
      <c r="Q81" s="6">
        <f t="shared" si="38"/>
        <v>-331</v>
      </c>
      <c r="R81" s="8">
        <v>4</v>
      </c>
      <c r="S81" s="8">
        <v>6</v>
      </c>
      <c r="T81" s="8">
        <v>4</v>
      </c>
      <c r="U81" s="25">
        <f t="shared" si="39"/>
        <v>-223</v>
      </c>
      <c r="V81" s="25">
        <f t="shared" si="40"/>
        <v>-227</v>
      </c>
      <c r="W81" s="25">
        <f t="shared" si="41"/>
        <v>-191</v>
      </c>
      <c r="X81" s="15">
        <v>0.873</v>
      </c>
      <c r="Y81" s="7"/>
      <c r="Z81" s="21">
        <f t="shared" si="19"/>
        <v>1.2</v>
      </c>
      <c r="AA81" s="6"/>
      <c r="AB81" s="6"/>
    </row>
    <row r="82" spans="1:28" ht="13.8">
      <c r="A82" s="13">
        <v>71</v>
      </c>
      <c r="B82" s="185" t="s">
        <v>143</v>
      </c>
      <c r="C82" s="10">
        <f t="shared" si="30"/>
        <v>1069</v>
      </c>
      <c r="D82" s="9">
        <f t="shared" si="31"/>
        <v>1583</v>
      </c>
      <c r="E82" s="26">
        <f t="shared" si="32"/>
        <v>2652</v>
      </c>
      <c r="F82" s="8">
        <f t="shared" si="24"/>
        <v>1099</v>
      </c>
      <c r="G82" s="8">
        <f t="shared" si="25"/>
        <v>1095</v>
      </c>
      <c r="H82" s="8">
        <f t="shared" si="26"/>
        <v>987</v>
      </c>
      <c r="I82" s="6">
        <f t="shared" si="27"/>
        <v>1553</v>
      </c>
      <c r="J82" s="6">
        <f t="shared" si="28"/>
        <v>1557</v>
      </c>
      <c r="K82" s="6">
        <f t="shared" si="29"/>
        <v>1665</v>
      </c>
      <c r="L82" s="6">
        <f t="shared" si="33"/>
        <v>2000</v>
      </c>
      <c r="M82" s="6">
        <f t="shared" si="34"/>
        <v>2000</v>
      </c>
      <c r="N82" s="6">
        <f t="shared" si="35"/>
        <v>2000</v>
      </c>
      <c r="O82" s="6">
        <f t="shared" si="36"/>
        <v>-447</v>
      </c>
      <c r="P82" s="6">
        <f t="shared" si="37"/>
        <v>-443</v>
      </c>
      <c r="Q82" s="6">
        <f t="shared" si="38"/>
        <v>-335</v>
      </c>
      <c r="R82" s="8">
        <v>4</v>
      </c>
      <c r="S82" s="8">
        <v>6</v>
      </c>
      <c r="T82" s="8">
        <v>4</v>
      </c>
      <c r="U82" s="25">
        <f t="shared" si="39"/>
        <v>-227</v>
      </c>
      <c r="V82" s="25">
        <f t="shared" si="40"/>
        <v>-233</v>
      </c>
      <c r="W82" s="25">
        <f t="shared" si="41"/>
        <v>-195</v>
      </c>
      <c r="X82" s="15">
        <v>0.86699999999999999</v>
      </c>
      <c r="Y82" s="7"/>
      <c r="Z82" s="21">
        <f t="shared" si="19"/>
        <v>1.2</v>
      </c>
      <c r="AA82" s="6"/>
      <c r="AB82" s="6"/>
    </row>
    <row r="83" spans="1:28" ht="13.8">
      <c r="A83" s="13">
        <v>72</v>
      </c>
      <c r="B83" s="185" t="s">
        <v>144</v>
      </c>
      <c r="C83" s="10">
        <f t="shared" si="30"/>
        <v>1069</v>
      </c>
      <c r="D83" s="9">
        <f t="shared" si="31"/>
        <v>1581</v>
      </c>
      <c r="E83" s="26">
        <f t="shared" si="32"/>
        <v>2650</v>
      </c>
      <c r="F83" s="8">
        <f t="shared" si="24"/>
        <v>1101</v>
      </c>
      <c r="G83" s="8">
        <f t="shared" si="25"/>
        <v>1099</v>
      </c>
      <c r="H83" s="8">
        <f t="shared" si="26"/>
        <v>989</v>
      </c>
      <c r="I83" s="6">
        <f t="shared" si="27"/>
        <v>1549</v>
      </c>
      <c r="J83" s="6">
        <f t="shared" si="28"/>
        <v>1551</v>
      </c>
      <c r="K83" s="6">
        <f t="shared" si="29"/>
        <v>1661</v>
      </c>
      <c r="L83" s="6">
        <f t="shared" si="33"/>
        <v>2000</v>
      </c>
      <c r="M83" s="6">
        <f t="shared" si="34"/>
        <v>2000</v>
      </c>
      <c r="N83" s="6">
        <f t="shared" si="35"/>
        <v>2000</v>
      </c>
      <c r="O83" s="6">
        <f t="shared" si="36"/>
        <v>-451</v>
      </c>
      <c r="P83" s="6">
        <f t="shared" si="37"/>
        <v>-449</v>
      </c>
      <c r="Q83" s="6">
        <f t="shared" si="38"/>
        <v>-339</v>
      </c>
      <c r="R83" s="8">
        <v>4</v>
      </c>
      <c r="S83" s="8">
        <v>6</v>
      </c>
      <c r="T83" s="8">
        <v>4</v>
      </c>
      <c r="U83" s="25">
        <f t="shared" si="39"/>
        <v>-231</v>
      </c>
      <c r="V83" s="25">
        <f t="shared" si="40"/>
        <v>-239</v>
      </c>
      <c r="W83" s="25">
        <f t="shared" si="41"/>
        <v>-199</v>
      </c>
      <c r="X83" s="15">
        <v>0.86099999999999999</v>
      </c>
      <c r="Y83" s="7"/>
      <c r="Z83" s="21">
        <f t="shared" si="19"/>
        <v>1.2</v>
      </c>
      <c r="AA83" s="6"/>
      <c r="AB83" s="6"/>
    </row>
    <row r="84" spans="1:28" ht="13.8">
      <c r="A84" s="13">
        <v>73</v>
      </c>
      <c r="B84" s="185" t="s">
        <v>145</v>
      </c>
      <c r="C84" s="10">
        <f t="shared" si="30"/>
        <v>1069</v>
      </c>
      <c r="D84" s="9">
        <f t="shared" si="31"/>
        <v>1579</v>
      </c>
      <c r="E84" s="26">
        <f t="shared" si="32"/>
        <v>2648</v>
      </c>
      <c r="F84" s="8">
        <f t="shared" si="24"/>
        <v>1103</v>
      </c>
      <c r="G84" s="8">
        <f t="shared" si="25"/>
        <v>1103</v>
      </c>
      <c r="H84" s="8">
        <f t="shared" si="26"/>
        <v>990</v>
      </c>
      <c r="I84" s="6">
        <f t="shared" si="27"/>
        <v>1545</v>
      </c>
      <c r="J84" s="6">
        <f t="shared" si="28"/>
        <v>1545</v>
      </c>
      <c r="K84" s="6">
        <f t="shared" si="29"/>
        <v>1658</v>
      </c>
      <c r="L84" s="6">
        <f t="shared" si="33"/>
        <v>2000</v>
      </c>
      <c r="M84" s="6">
        <f t="shared" si="34"/>
        <v>2000</v>
      </c>
      <c r="N84" s="6">
        <f t="shared" si="35"/>
        <v>2000</v>
      </c>
      <c r="O84" s="6">
        <f t="shared" si="36"/>
        <v>-455</v>
      </c>
      <c r="P84" s="6">
        <f t="shared" si="37"/>
        <v>-455</v>
      </c>
      <c r="Q84" s="6">
        <f t="shared" si="38"/>
        <v>-342</v>
      </c>
      <c r="R84" s="8">
        <v>4</v>
      </c>
      <c r="S84" s="8">
        <v>6</v>
      </c>
      <c r="T84" s="8">
        <v>3</v>
      </c>
      <c r="U84" s="25">
        <f t="shared" si="39"/>
        <v>-235</v>
      </c>
      <c r="V84" s="25">
        <f t="shared" si="40"/>
        <v>-245</v>
      </c>
      <c r="W84" s="25">
        <f t="shared" si="41"/>
        <v>-202</v>
      </c>
      <c r="X84" s="15">
        <v>0.85499999999999998</v>
      </c>
      <c r="Y84" s="7"/>
      <c r="Z84" s="21">
        <f t="shared" si="19"/>
        <v>1.2</v>
      </c>
      <c r="AA84" s="6"/>
      <c r="AB84" s="6"/>
    </row>
    <row r="85" spans="1:28" ht="13.8">
      <c r="A85" s="13">
        <v>74</v>
      </c>
      <c r="B85" s="185" t="s">
        <v>146</v>
      </c>
      <c r="C85" s="10">
        <f t="shared" si="30"/>
        <v>1069</v>
      </c>
      <c r="D85" s="9">
        <f t="shared" si="31"/>
        <v>1577</v>
      </c>
      <c r="E85" s="26">
        <f t="shared" si="32"/>
        <v>2646</v>
      </c>
      <c r="F85" s="8">
        <f t="shared" si="24"/>
        <v>1104</v>
      </c>
      <c r="G85" s="8">
        <f t="shared" si="25"/>
        <v>1107</v>
      </c>
      <c r="H85" s="8">
        <f t="shared" si="26"/>
        <v>991</v>
      </c>
      <c r="I85" s="6">
        <f t="shared" si="27"/>
        <v>1542</v>
      </c>
      <c r="J85" s="6">
        <f t="shared" si="28"/>
        <v>1539</v>
      </c>
      <c r="K85" s="6">
        <f t="shared" si="29"/>
        <v>1655</v>
      </c>
      <c r="L85" s="6">
        <f t="shared" si="33"/>
        <v>2000</v>
      </c>
      <c r="M85" s="6">
        <f t="shared" si="34"/>
        <v>2000</v>
      </c>
      <c r="N85" s="6">
        <f t="shared" si="35"/>
        <v>2000</v>
      </c>
      <c r="O85" s="6">
        <f t="shared" si="36"/>
        <v>-458</v>
      </c>
      <c r="P85" s="6">
        <f t="shared" si="37"/>
        <v>-461</v>
      </c>
      <c r="Q85" s="6">
        <f t="shared" si="38"/>
        <v>-345</v>
      </c>
      <c r="R85" s="8">
        <v>3</v>
      </c>
      <c r="S85" s="8">
        <v>6</v>
      </c>
      <c r="T85" s="8">
        <v>3</v>
      </c>
      <c r="U85" s="25">
        <f t="shared" si="39"/>
        <v>-238</v>
      </c>
      <c r="V85" s="25">
        <f t="shared" si="40"/>
        <v>-251</v>
      </c>
      <c r="W85" s="25">
        <f t="shared" si="41"/>
        <v>-205</v>
      </c>
      <c r="X85" s="15">
        <v>0.84899999999999998</v>
      </c>
      <c r="Y85" s="7"/>
      <c r="Z85" s="21">
        <f t="shared" si="19"/>
        <v>1.2</v>
      </c>
      <c r="AA85" s="6"/>
      <c r="AB85" s="6"/>
    </row>
    <row r="86" spans="1:28" ht="13.8">
      <c r="A86" s="13">
        <v>75</v>
      </c>
      <c r="B86" s="185" t="s">
        <v>147</v>
      </c>
      <c r="C86" s="10">
        <f t="shared" si="30"/>
        <v>1069</v>
      </c>
      <c r="D86" s="9">
        <f t="shared" si="31"/>
        <v>1575</v>
      </c>
      <c r="E86" s="26">
        <f t="shared" si="32"/>
        <v>2644</v>
      </c>
      <c r="F86" s="8">
        <f t="shared" si="24"/>
        <v>1105</v>
      </c>
      <c r="G86" s="8">
        <f t="shared" si="25"/>
        <v>1111</v>
      </c>
      <c r="H86" s="8">
        <f t="shared" si="26"/>
        <v>992</v>
      </c>
      <c r="I86" s="6">
        <f t="shared" si="27"/>
        <v>1539</v>
      </c>
      <c r="J86" s="6">
        <f t="shared" si="28"/>
        <v>1533</v>
      </c>
      <c r="K86" s="6">
        <f t="shared" si="29"/>
        <v>1652</v>
      </c>
      <c r="L86" s="6">
        <f t="shared" si="33"/>
        <v>2000</v>
      </c>
      <c r="M86" s="6">
        <f t="shared" si="34"/>
        <v>2000</v>
      </c>
      <c r="N86" s="6">
        <f t="shared" si="35"/>
        <v>2000</v>
      </c>
      <c r="O86" s="6">
        <f t="shared" si="36"/>
        <v>-461</v>
      </c>
      <c r="P86" s="6">
        <f t="shared" si="37"/>
        <v>-467</v>
      </c>
      <c r="Q86" s="6">
        <f t="shared" si="38"/>
        <v>-348</v>
      </c>
      <c r="R86" s="8">
        <v>3</v>
      </c>
      <c r="S86" s="8">
        <v>6</v>
      </c>
      <c r="T86" s="8">
        <v>3</v>
      </c>
      <c r="U86" s="25">
        <f t="shared" si="39"/>
        <v>-241</v>
      </c>
      <c r="V86" s="25">
        <f t="shared" si="40"/>
        <v>-257</v>
      </c>
      <c r="W86" s="25">
        <f t="shared" si="41"/>
        <v>-208</v>
      </c>
      <c r="X86" s="15">
        <v>0.84299999999999997</v>
      </c>
      <c r="Y86" s="7"/>
      <c r="Z86" s="21">
        <f t="shared" si="19"/>
        <v>1.2</v>
      </c>
      <c r="AA86" s="6"/>
      <c r="AB86" s="6"/>
    </row>
    <row r="87" spans="1:28" ht="13.8">
      <c r="A87" s="13">
        <v>76</v>
      </c>
      <c r="B87" s="185" t="s">
        <v>148</v>
      </c>
      <c r="C87" s="10">
        <f t="shared" si="30"/>
        <v>1069</v>
      </c>
      <c r="D87" s="9">
        <f t="shared" si="31"/>
        <v>1573</v>
      </c>
      <c r="E87" s="26">
        <f t="shared" si="32"/>
        <v>2642</v>
      </c>
      <c r="F87" s="8">
        <f t="shared" si="24"/>
        <v>1106</v>
      </c>
      <c r="G87" s="8">
        <f t="shared" si="25"/>
        <v>1115</v>
      </c>
      <c r="H87" s="8">
        <f t="shared" si="26"/>
        <v>993</v>
      </c>
      <c r="I87" s="6">
        <f t="shared" si="27"/>
        <v>1536</v>
      </c>
      <c r="J87" s="6">
        <f t="shared" si="28"/>
        <v>1527</v>
      </c>
      <c r="K87" s="6">
        <f t="shared" si="29"/>
        <v>1649</v>
      </c>
      <c r="L87" s="6">
        <f t="shared" si="33"/>
        <v>2000</v>
      </c>
      <c r="M87" s="6">
        <f t="shared" si="34"/>
        <v>2000</v>
      </c>
      <c r="N87" s="6">
        <f t="shared" si="35"/>
        <v>2000</v>
      </c>
      <c r="O87" s="6">
        <f t="shared" si="36"/>
        <v>-464</v>
      </c>
      <c r="P87" s="6">
        <f t="shared" si="37"/>
        <v>-473</v>
      </c>
      <c r="Q87" s="6">
        <f t="shared" si="38"/>
        <v>-351</v>
      </c>
      <c r="R87" s="8">
        <v>3</v>
      </c>
      <c r="S87" s="8">
        <v>6</v>
      </c>
      <c r="T87" s="8">
        <v>3</v>
      </c>
      <c r="U87" s="25">
        <f t="shared" si="39"/>
        <v>-244</v>
      </c>
      <c r="V87" s="25">
        <f t="shared" si="40"/>
        <v>-263</v>
      </c>
      <c r="W87" s="25">
        <f t="shared" si="41"/>
        <v>-211</v>
      </c>
      <c r="X87" s="15">
        <v>0.83699999999999997</v>
      </c>
      <c r="Y87" s="7"/>
      <c r="Z87" s="21">
        <f t="shared" si="19"/>
        <v>1.2</v>
      </c>
      <c r="AA87" s="6"/>
      <c r="AB87" s="6"/>
    </row>
    <row r="88" spans="1:28" ht="13.8">
      <c r="A88" s="13">
        <v>77</v>
      </c>
      <c r="B88" s="185" t="s">
        <v>149</v>
      </c>
      <c r="C88" s="10">
        <f t="shared" si="30"/>
        <v>1069</v>
      </c>
      <c r="D88" s="9">
        <f t="shared" si="31"/>
        <v>1571</v>
      </c>
      <c r="E88" s="26">
        <f t="shared" si="32"/>
        <v>2640</v>
      </c>
      <c r="F88" s="8">
        <f t="shared" si="24"/>
        <v>1107</v>
      </c>
      <c r="G88" s="8">
        <f t="shared" si="25"/>
        <v>1118</v>
      </c>
      <c r="H88" s="8">
        <f t="shared" si="26"/>
        <v>993</v>
      </c>
      <c r="I88" s="6">
        <f t="shared" si="27"/>
        <v>1533</v>
      </c>
      <c r="J88" s="6">
        <f t="shared" si="28"/>
        <v>1522</v>
      </c>
      <c r="K88" s="6">
        <f t="shared" si="29"/>
        <v>1647</v>
      </c>
      <c r="L88" s="6">
        <f t="shared" si="33"/>
        <v>2000</v>
      </c>
      <c r="M88" s="6">
        <f t="shared" si="34"/>
        <v>2000</v>
      </c>
      <c r="N88" s="6">
        <f t="shared" si="35"/>
        <v>2000</v>
      </c>
      <c r="O88" s="6">
        <f t="shared" si="36"/>
        <v>-467</v>
      </c>
      <c r="P88" s="6">
        <f t="shared" si="37"/>
        <v>-478</v>
      </c>
      <c r="Q88" s="6">
        <f t="shared" si="38"/>
        <v>-353</v>
      </c>
      <c r="R88" s="8">
        <v>3</v>
      </c>
      <c r="S88" s="8">
        <v>5</v>
      </c>
      <c r="T88" s="8">
        <v>2</v>
      </c>
      <c r="U88" s="25">
        <f t="shared" si="39"/>
        <v>-247</v>
      </c>
      <c r="V88" s="25">
        <f t="shared" si="40"/>
        <v>-268</v>
      </c>
      <c r="W88" s="25">
        <f t="shared" si="41"/>
        <v>-213</v>
      </c>
      <c r="X88" s="15">
        <v>0.83199999999999996</v>
      </c>
      <c r="Y88" s="7"/>
      <c r="Z88" s="21">
        <f t="shared" si="19"/>
        <v>1.2</v>
      </c>
      <c r="AA88" s="6"/>
      <c r="AB88" s="6"/>
    </row>
    <row r="89" spans="1:28" ht="13.8">
      <c r="A89" s="13">
        <v>78</v>
      </c>
      <c r="B89" s="185" t="s">
        <v>150</v>
      </c>
      <c r="C89" s="10">
        <f t="shared" si="30"/>
        <v>1069</v>
      </c>
      <c r="D89" s="9">
        <f t="shared" si="31"/>
        <v>1569</v>
      </c>
      <c r="E89" s="26">
        <f t="shared" si="32"/>
        <v>2638</v>
      </c>
      <c r="F89" s="8">
        <f t="shared" si="24"/>
        <v>1107</v>
      </c>
      <c r="G89" s="8">
        <f t="shared" si="25"/>
        <v>1121</v>
      </c>
      <c r="H89" s="8">
        <f t="shared" si="26"/>
        <v>993</v>
      </c>
      <c r="I89" s="6">
        <f t="shared" si="27"/>
        <v>1531</v>
      </c>
      <c r="J89" s="6">
        <f t="shared" si="28"/>
        <v>1517</v>
      </c>
      <c r="K89" s="6">
        <f t="shared" si="29"/>
        <v>1645</v>
      </c>
      <c r="L89" s="6">
        <f t="shared" si="33"/>
        <v>2000</v>
      </c>
      <c r="M89" s="6">
        <f t="shared" si="34"/>
        <v>2000</v>
      </c>
      <c r="N89" s="6">
        <f t="shared" si="35"/>
        <v>2000</v>
      </c>
      <c r="O89" s="6">
        <f t="shared" si="36"/>
        <v>-469</v>
      </c>
      <c r="P89" s="6">
        <f t="shared" si="37"/>
        <v>-483</v>
      </c>
      <c r="Q89" s="6">
        <f t="shared" si="38"/>
        <v>-355</v>
      </c>
      <c r="R89" s="8">
        <v>2</v>
      </c>
      <c r="S89" s="8">
        <v>5</v>
      </c>
      <c r="T89" s="8">
        <v>2</v>
      </c>
      <c r="U89" s="25">
        <f t="shared" si="39"/>
        <v>-249</v>
      </c>
      <c r="V89" s="25">
        <f t="shared" si="40"/>
        <v>-273</v>
      </c>
      <c r="W89" s="25">
        <f t="shared" si="41"/>
        <v>-215</v>
      </c>
      <c r="X89" s="15">
        <v>0.82699999999999996</v>
      </c>
      <c r="Y89" s="7"/>
      <c r="Z89" s="21">
        <f t="shared" si="19"/>
        <v>1.2</v>
      </c>
      <c r="AA89" s="6"/>
      <c r="AB89" s="6"/>
    </row>
    <row r="90" spans="1:28" ht="13.8">
      <c r="A90" s="13">
        <v>79</v>
      </c>
      <c r="B90" s="185" t="s">
        <v>151</v>
      </c>
      <c r="C90" s="10">
        <f t="shared" si="30"/>
        <v>1069</v>
      </c>
      <c r="D90" s="9">
        <f t="shared" si="31"/>
        <v>1567</v>
      </c>
      <c r="E90" s="26">
        <f t="shared" si="32"/>
        <v>2636</v>
      </c>
      <c r="F90" s="8">
        <f t="shared" si="24"/>
        <v>1107</v>
      </c>
      <c r="G90" s="8">
        <f t="shared" si="25"/>
        <v>1123</v>
      </c>
      <c r="H90" s="8">
        <f t="shared" si="26"/>
        <v>992</v>
      </c>
      <c r="I90" s="6">
        <f t="shared" si="27"/>
        <v>1529</v>
      </c>
      <c r="J90" s="6">
        <f t="shared" si="28"/>
        <v>1513</v>
      </c>
      <c r="K90" s="6">
        <f t="shared" si="29"/>
        <v>1644</v>
      </c>
      <c r="L90" s="6">
        <f t="shared" si="33"/>
        <v>2000</v>
      </c>
      <c r="M90" s="6">
        <f t="shared" si="34"/>
        <v>2000</v>
      </c>
      <c r="N90" s="6">
        <f t="shared" si="35"/>
        <v>2000</v>
      </c>
      <c r="O90" s="6">
        <f t="shared" si="36"/>
        <v>-471</v>
      </c>
      <c r="P90" s="6">
        <f t="shared" si="37"/>
        <v>-487</v>
      </c>
      <c r="Q90" s="6">
        <f t="shared" si="38"/>
        <v>-356</v>
      </c>
      <c r="R90" s="8">
        <v>2</v>
      </c>
      <c r="S90" s="8">
        <v>4</v>
      </c>
      <c r="T90" s="8">
        <v>1</v>
      </c>
      <c r="U90" s="25">
        <f t="shared" si="39"/>
        <v>-251</v>
      </c>
      <c r="V90" s="25">
        <f t="shared" si="40"/>
        <v>-277</v>
      </c>
      <c r="W90" s="25">
        <f t="shared" si="41"/>
        <v>-216</v>
      </c>
      <c r="X90" s="15">
        <v>0.82299999999999995</v>
      </c>
      <c r="Y90" s="7"/>
      <c r="Z90" s="21">
        <f t="shared" si="19"/>
        <v>1.2</v>
      </c>
      <c r="AA90" s="6"/>
      <c r="AB90" s="6"/>
    </row>
    <row r="91" spans="1:28" ht="13.8">
      <c r="A91" s="13">
        <v>80</v>
      </c>
      <c r="B91" s="185" t="s">
        <v>152</v>
      </c>
      <c r="C91" s="10">
        <f t="shared" si="30"/>
        <v>1069</v>
      </c>
      <c r="D91" s="9">
        <f t="shared" si="31"/>
        <v>1565</v>
      </c>
      <c r="E91" s="26">
        <f t="shared" si="32"/>
        <v>2634</v>
      </c>
      <c r="F91" s="8">
        <f t="shared" si="24"/>
        <v>1106</v>
      </c>
      <c r="G91" s="8">
        <f t="shared" si="25"/>
        <v>1125</v>
      </c>
      <c r="H91" s="8">
        <f t="shared" si="26"/>
        <v>991</v>
      </c>
      <c r="I91" s="6">
        <f t="shared" si="27"/>
        <v>1528</v>
      </c>
      <c r="J91" s="6">
        <f t="shared" si="28"/>
        <v>1509</v>
      </c>
      <c r="K91" s="6">
        <f t="shared" si="29"/>
        <v>1643</v>
      </c>
      <c r="L91" s="6">
        <f t="shared" si="33"/>
        <v>2000</v>
      </c>
      <c r="M91" s="6">
        <f t="shared" si="34"/>
        <v>2000</v>
      </c>
      <c r="N91" s="6">
        <f t="shared" si="35"/>
        <v>2000</v>
      </c>
      <c r="O91" s="6">
        <f t="shared" si="36"/>
        <v>-472</v>
      </c>
      <c r="P91" s="6">
        <f t="shared" si="37"/>
        <v>-491</v>
      </c>
      <c r="Q91" s="6">
        <f t="shared" si="38"/>
        <v>-357</v>
      </c>
      <c r="R91" s="8">
        <v>1</v>
      </c>
      <c r="S91" s="8">
        <v>4</v>
      </c>
      <c r="T91" s="8">
        <v>1</v>
      </c>
      <c r="U91" s="25">
        <f t="shared" si="39"/>
        <v>-252</v>
      </c>
      <c r="V91" s="25">
        <f t="shared" si="40"/>
        <v>-281</v>
      </c>
      <c r="W91" s="25">
        <f t="shared" si="41"/>
        <v>-217</v>
      </c>
      <c r="X91" s="15">
        <v>0.81899999999999995</v>
      </c>
      <c r="Y91" s="7"/>
      <c r="Z91" s="21">
        <f t="shared" si="19"/>
        <v>1.2</v>
      </c>
      <c r="AA91" s="6"/>
      <c r="AB91" s="6"/>
    </row>
    <row r="92" spans="1:28" ht="13.8">
      <c r="A92" s="13">
        <v>81</v>
      </c>
      <c r="B92" s="185" t="s">
        <v>153</v>
      </c>
      <c r="C92" s="10">
        <f t="shared" si="30"/>
        <v>1069</v>
      </c>
      <c r="D92" s="9">
        <f t="shared" si="31"/>
        <v>1563</v>
      </c>
      <c r="E92" s="26">
        <f t="shared" si="32"/>
        <v>2632</v>
      </c>
      <c r="F92" s="8">
        <f t="shared" si="24"/>
        <v>1105</v>
      </c>
      <c r="G92" s="8">
        <f t="shared" si="25"/>
        <v>1126</v>
      </c>
      <c r="H92" s="8">
        <f t="shared" si="26"/>
        <v>989</v>
      </c>
      <c r="I92" s="6">
        <f t="shared" si="27"/>
        <v>1527</v>
      </c>
      <c r="J92" s="6">
        <f t="shared" si="28"/>
        <v>1506</v>
      </c>
      <c r="K92" s="6">
        <f t="shared" si="29"/>
        <v>1643</v>
      </c>
      <c r="L92" s="6">
        <f t="shared" si="33"/>
        <v>2000</v>
      </c>
      <c r="M92" s="6">
        <f t="shared" si="34"/>
        <v>2000</v>
      </c>
      <c r="N92" s="6">
        <f t="shared" si="35"/>
        <v>2000</v>
      </c>
      <c r="O92" s="6">
        <f t="shared" si="36"/>
        <v>-473</v>
      </c>
      <c r="P92" s="6">
        <f t="shared" si="37"/>
        <v>-494</v>
      </c>
      <c r="Q92" s="6">
        <f t="shared" si="38"/>
        <v>-357</v>
      </c>
      <c r="R92" s="8">
        <v>1</v>
      </c>
      <c r="S92" s="8">
        <v>3</v>
      </c>
      <c r="T92" s="8">
        <v>0</v>
      </c>
      <c r="U92" s="25">
        <f t="shared" si="39"/>
        <v>-253</v>
      </c>
      <c r="V92" s="25">
        <f t="shared" si="40"/>
        <v>-284</v>
      </c>
      <c r="W92" s="25">
        <f t="shared" si="41"/>
        <v>-217</v>
      </c>
      <c r="X92" s="15">
        <v>0.81599999999999995</v>
      </c>
      <c r="Y92" s="7"/>
      <c r="Z92" s="21">
        <f t="shared" si="19"/>
        <v>1.2</v>
      </c>
      <c r="AA92" s="6"/>
      <c r="AB92" s="6"/>
    </row>
    <row r="93" spans="1:28" ht="13.8">
      <c r="A93" s="13">
        <v>82</v>
      </c>
      <c r="B93" s="185" t="s">
        <v>154</v>
      </c>
      <c r="C93" s="10">
        <f t="shared" si="30"/>
        <v>1069</v>
      </c>
      <c r="D93" s="9">
        <f t="shared" si="31"/>
        <v>1561</v>
      </c>
      <c r="E93" s="26">
        <f t="shared" si="32"/>
        <v>2630</v>
      </c>
      <c r="F93" s="8">
        <f t="shared" si="24"/>
        <v>1103</v>
      </c>
      <c r="G93" s="8">
        <f t="shared" si="25"/>
        <v>1126</v>
      </c>
      <c r="H93" s="8">
        <f t="shared" si="26"/>
        <v>987</v>
      </c>
      <c r="I93" s="6">
        <f t="shared" si="27"/>
        <v>1527</v>
      </c>
      <c r="J93" s="6">
        <f t="shared" si="28"/>
        <v>1504</v>
      </c>
      <c r="K93" s="6">
        <f t="shared" si="29"/>
        <v>1643</v>
      </c>
      <c r="L93" s="6">
        <f t="shared" si="33"/>
        <v>2000</v>
      </c>
      <c r="M93" s="6">
        <f t="shared" si="34"/>
        <v>2000</v>
      </c>
      <c r="N93" s="6">
        <f t="shared" si="35"/>
        <v>2000</v>
      </c>
      <c r="O93" s="6">
        <f t="shared" si="36"/>
        <v>-473</v>
      </c>
      <c r="P93" s="6">
        <f t="shared" si="37"/>
        <v>-496</v>
      </c>
      <c r="Q93" s="6">
        <f t="shared" si="38"/>
        <v>-357</v>
      </c>
      <c r="R93" s="8">
        <v>0</v>
      </c>
      <c r="S93" s="8">
        <v>2</v>
      </c>
      <c r="T93" s="8">
        <v>0</v>
      </c>
      <c r="U93" s="25">
        <f t="shared" si="39"/>
        <v>-253</v>
      </c>
      <c r="V93" s="25">
        <f t="shared" si="40"/>
        <v>-286</v>
      </c>
      <c r="W93" s="25">
        <f t="shared" si="41"/>
        <v>-217</v>
      </c>
      <c r="X93" s="15">
        <v>0.81399999999999995</v>
      </c>
      <c r="Y93" s="7"/>
      <c r="Z93" s="21">
        <f t="shared" si="19"/>
        <v>1.2</v>
      </c>
      <c r="AA93" s="6"/>
      <c r="AB93" s="6"/>
    </row>
    <row r="94" spans="1:28" ht="13.8">
      <c r="A94" s="13">
        <v>83</v>
      </c>
      <c r="B94" s="185" t="s">
        <v>155</v>
      </c>
      <c r="C94" s="10">
        <f t="shared" si="30"/>
        <v>1069</v>
      </c>
      <c r="D94" s="9">
        <f t="shared" si="31"/>
        <v>1559</v>
      </c>
      <c r="E94" s="26">
        <f t="shared" si="32"/>
        <v>2628</v>
      </c>
      <c r="F94" s="8">
        <f t="shared" si="24"/>
        <v>1101</v>
      </c>
      <c r="G94" s="8">
        <f t="shared" si="25"/>
        <v>1124</v>
      </c>
      <c r="H94" s="8">
        <f t="shared" si="26"/>
        <v>985</v>
      </c>
      <c r="I94" s="6">
        <f t="shared" si="27"/>
        <v>1527</v>
      </c>
      <c r="J94" s="6">
        <f t="shared" si="28"/>
        <v>1504</v>
      </c>
      <c r="K94" s="6">
        <f t="shared" si="29"/>
        <v>1643</v>
      </c>
      <c r="L94" s="6">
        <f t="shared" si="33"/>
        <v>2000</v>
      </c>
      <c r="M94" s="6">
        <f t="shared" si="34"/>
        <v>2000</v>
      </c>
      <c r="N94" s="6">
        <f t="shared" si="35"/>
        <v>2000</v>
      </c>
      <c r="O94" s="6">
        <f t="shared" si="36"/>
        <v>-473</v>
      </c>
      <c r="P94" s="6">
        <f t="shared" si="37"/>
        <v>-496</v>
      </c>
      <c r="Q94" s="6">
        <f t="shared" si="38"/>
        <v>-357</v>
      </c>
      <c r="R94" s="8">
        <v>0</v>
      </c>
      <c r="S94" s="8">
        <v>0</v>
      </c>
      <c r="T94" s="8">
        <v>0</v>
      </c>
      <c r="U94" s="25">
        <f t="shared" si="39"/>
        <v>-253</v>
      </c>
      <c r="V94" s="25">
        <f t="shared" si="40"/>
        <v>-286</v>
      </c>
      <c r="W94" s="25">
        <f t="shared" si="41"/>
        <v>-217</v>
      </c>
      <c r="X94" s="15">
        <v>0.81399999999999995</v>
      </c>
      <c r="Y94" s="7"/>
      <c r="Z94" s="21">
        <f t="shared" si="19"/>
        <v>1.2</v>
      </c>
      <c r="AA94" s="6"/>
      <c r="AB94" s="6"/>
    </row>
    <row r="95" spans="1:28" ht="13.8">
      <c r="A95" s="13">
        <v>84</v>
      </c>
      <c r="B95" s="185" t="s">
        <v>156</v>
      </c>
      <c r="C95" s="10">
        <f t="shared" si="30"/>
        <v>1069</v>
      </c>
      <c r="D95" s="9">
        <f t="shared" si="31"/>
        <v>1557</v>
      </c>
      <c r="E95" s="26">
        <f t="shared" si="32"/>
        <v>2626</v>
      </c>
      <c r="F95" s="8">
        <f t="shared" si="24"/>
        <v>1099</v>
      </c>
      <c r="G95" s="8">
        <f t="shared" si="25"/>
        <v>1122</v>
      </c>
      <c r="H95" s="8">
        <f t="shared" si="26"/>
        <v>983</v>
      </c>
      <c r="I95" s="6">
        <f t="shared" si="27"/>
        <v>1527</v>
      </c>
      <c r="J95" s="6">
        <f t="shared" si="28"/>
        <v>1504</v>
      </c>
      <c r="K95" s="6">
        <f t="shared" si="29"/>
        <v>1643</v>
      </c>
      <c r="L95" s="6">
        <f t="shared" si="33"/>
        <v>2000</v>
      </c>
      <c r="M95" s="6">
        <f t="shared" si="34"/>
        <v>2000</v>
      </c>
      <c r="N95" s="6">
        <f t="shared" si="35"/>
        <v>2000</v>
      </c>
      <c r="O95" s="6">
        <f t="shared" si="36"/>
        <v>-473</v>
      </c>
      <c r="P95" s="6">
        <f t="shared" si="37"/>
        <v>-496</v>
      </c>
      <c r="Q95" s="6">
        <f t="shared" si="38"/>
        <v>-357</v>
      </c>
      <c r="R95" s="8">
        <v>0</v>
      </c>
      <c r="S95" s="8">
        <v>0</v>
      </c>
      <c r="T95" s="8">
        <v>0</v>
      </c>
      <c r="U95" s="25">
        <f t="shared" si="39"/>
        <v>-253</v>
      </c>
      <c r="V95" s="25">
        <f t="shared" si="40"/>
        <v>-286</v>
      </c>
      <c r="W95" s="25">
        <f t="shared" si="41"/>
        <v>-217</v>
      </c>
      <c r="X95" s="15">
        <v>0.81399999999999995</v>
      </c>
      <c r="Y95" s="7"/>
      <c r="Z95" s="21">
        <f t="shared" si="19"/>
        <v>1.2</v>
      </c>
      <c r="AA95" s="6"/>
      <c r="AB95" s="6"/>
    </row>
    <row r="96" spans="1:28" ht="13.8">
      <c r="A96" s="13">
        <v>85</v>
      </c>
      <c r="B96" s="185" t="s">
        <v>157</v>
      </c>
      <c r="C96" s="10">
        <f t="shared" si="30"/>
        <v>1069</v>
      </c>
      <c r="D96" s="9">
        <f t="shared" si="31"/>
        <v>1555</v>
      </c>
      <c r="E96" s="26">
        <f t="shared" si="32"/>
        <v>2624</v>
      </c>
      <c r="F96" s="8">
        <f t="shared" si="24"/>
        <v>1097</v>
      </c>
      <c r="G96" s="8">
        <f t="shared" si="25"/>
        <v>1120</v>
      </c>
      <c r="H96" s="8">
        <f t="shared" si="26"/>
        <v>981</v>
      </c>
      <c r="I96" s="6">
        <f t="shared" si="27"/>
        <v>1527</v>
      </c>
      <c r="J96" s="6">
        <f t="shared" si="28"/>
        <v>1504</v>
      </c>
      <c r="K96" s="6">
        <f t="shared" si="29"/>
        <v>1643</v>
      </c>
      <c r="L96" s="6">
        <f t="shared" si="33"/>
        <v>2000</v>
      </c>
      <c r="M96" s="6">
        <f t="shared" si="34"/>
        <v>2000</v>
      </c>
      <c r="N96" s="6">
        <f t="shared" si="35"/>
        <v>2000</v>
      </c>
      <c r="O96" s="6">
        <f t="shared" si="36"/>
        <v>-473</v>
      </c>
      <c r="P96" s="6">
        <f t="shared" si="37"/>
        <v>-496</v>
      </c>
      <c r="Q96" s="6">
        <f t="shared" si="38"/>
        <v>-357</v>
      </c>
      <c r="R96" s="8">
        <v>0</v>
      </c>
      <c r="S96" s="8">
        <v>0</v>
      </c>
      <c r="T96" s="8">
        <v>0</v>
      </c>
      <c r="U96" s="25">
        <f t="shared" si="39"/>
        <v>-253</v>
      </c>
      <c r="V96" s="25">
        <f t="shared" si="40"/>
        <v>-286</v>
      </c>
      <c r="W96" s="25">
        <f t="shared" si="41"/>
        <v>-217</v>
      </c>
      <c r="X96" s="15">
        <v>0.81399999999999995</v>
      </c>
      <c r="Y96" s="7"/>
      <c r="Z96" s="21">
        <f t="shared" si="19"/>
        <v>1.2</v>
      </c>
      <c r="AA96" s="6"/>
      <c r="AB96" s="6"/>
    </row>
    <row r="97" spans="1:28" ht="13.8">
      <c r="A97" s="13">
        <v>86</v>
      </c>
      <c r="B97" s="185" t="s">
        <v>158</v>
      </c>
      <c r="C97" s="10">
        <f t="shared" si="30"/>
        <v>1069</v>
      </c>
      <c r="D97" s="9">
        <f t="shared" si="31"/>
        <v>1553</v>
      </c>
      <c r="E97" s="26">
        <f t="shared" si="32"/>
        <v>2622</v>
      </c>
      <c r="F97" s="8">
        <f t="shared" si="24"/>
        <v>1095</v>
      </c>
      <c r="G97" s="8">
        <f t="shared" si="25"/>
        <v>1118</v>
      </c>
      <c r="H97" s="8">
        <f t="shared" si="26"/>
        <v>979</v>
      </c>
      <c r="I97" s="6">
        <f t="shared" si="27"/>
        <v>1527</v>
      </c>
      <c r="J97" s="6">
        <f t="shared" si="28"/>
        <v>1504</v>
      </c>
      <c r="K97" s="6">
        <f t="shared" si="29"/>
        <v>1643</v>
      </c>
      <c r="L97" s="6">
        <f t="shared" si="33"/>
        <v>2000</v>
      </c>
      <c r="M97" s="6">
        <f t="shared" si="34"/>
        <v>2000</v>
      </c>
      <c r="N97" s="6">
        <f t="shared" si="35"/>
        <v>2000</v>
      </c>
      <c r="O97" s="6">
        <f t="shared" si="36"/>
        <v>-473</v>
      </c>
      <c r="P97" s="6">
        <f t="shared" si="37"/>
        <v>-496</v>
      </c>
      <c r="Q97" s="6">
        <f t="shared" si="38"/>
        <v>-357</v>
      </c>
      <c r="R97" s="8">
        <v>0</v>
      </c>
      <c r="S97" s="8">
        <v>0</v>
      </c>
      <c r="T97" s="8">
        <v>0</v>
      </c>
      <c r="U97" s="25">
        <f t="shared" si="39"/>
        <v>-253</v>
      </c>
      <c r="V97" s="25">
        <f t="shared" si="40"/>
        <v>-286</v>
      </c>
      <c r="W97" s="25">
        <f t="shared" si="41"/>
        <v>-217</v>
      </c>
      <c r="X97" s="15">
        <v>0.81399999999999995</v>
      </c>
      <c r="Y97" s="7"/>
      <c r="Z97" s="21">
        <f t="shared" si="19"/>
        <v>1.2</v>
      </c>
      <c r="AA97" s="6"/>
      <c r="AB97" s="6"/>
    </row>
    <row r="98" spans="1:28" ht="13.8">
      <c r="A98" s="13">
        <v>87</v>
      </c>
      <c r="B98" s="185" t="s">
        <v>159</v>
      </c>
      <c r="C98" s="10">
        <f t="shared" si="30"/>
        <v>1069</v>
      </c>
      <c r="D98" s="9">
        <f t="shared" si="31"/>
        <v>1551</v>
      </c>
      <c r="E98" s="26">
        <f t="shared" si="32"/>
        <v>2620</v>
      </c>
      <c r="F98" s="8">
        <f t="shared" si="24"/>
        <v>1093</v>
      </c>
      <c r="G98" s="8">
        <f t="shared" si="25"/>
        <v>1116</v>
      </c>
      <c r="H98" s="8">
        <f t="shared" si="26"/>
        <v>977</v>
      </c>
      <c r="I98" s="6">
        <f t="shared" si="27"/>
        <v>1527</v>
      </c>
      <c r="J98" s="6">
        <f t="shared" si="28"/>
        <v>1504</v>
      </c>
      <c r="K98" s="6">
        <f t="shared" si="29"/>
        <v>1643</v>
      </c>
      <c r="L98" s="6">
        <f t="shared" si="33"/>
        <v>2000</v>
      </c>
      <c r="M98" s="6">
        <f t="shared" si="34"/>
        <v>2000</v>
      </c>
      <c r="N98" s="6">
        <f t="shared" si="35"/>
        <v>2000</v>
      </c>
      <c r="O98" s="6">
        <f t="shared" si="36"/>
        <v>-473</v>
      </c>
      <c r="P98" s="6">
        <f t="shared" si="37"/>
        <v>-496</v>
      </c>
      <c r="Q98" s="6">
        <f t="shared" si="38"/>
        <v>-357</v>
      </c>
      <c r="R98" s="8">
        <v>0</v>
      </c>
      <c r="S98" s="8">
        <v>0</v>
      </c>
      <c r="T98" s="8">
        <v>0</v>
      </c>
      <c r="U98" s="25">
        <f t="shared" si="39"/>
        <v>-253</v>
      </c>
      <c r="V98" s="25">
        <f t="shared" si="40"/>
        <v>-286</v>
      </c>
      <c r="W98" s="25">
        <f t="shared" si="41"/>
        <v>-217</v>
      </c>
      <c r="X98" s="15">
        <v>0.81399999999999995</v>
      </c>
      <c r="Y98" s="7"/>
      <c r="Z98" s="21">
        <f t="shared" si="19"/>
        <v>1.2</v>
      </c>
      <c r="AA98" s="6"/>
      <c r="AB98" s="6"/>
    </row>
    <row r="99" spans="1:28" ht="13.8">
      <c r="A99" s="13">
        <v>88</v>
      </c>
      <c r="B99" s="185" t="s">
        <v>160</v>
      </c>
      <c r="C99" s="10">
        <f t="shared" si="30"/>
        <v>1069</v>
      </c>
      <c r="D99" s="9">
        <f t="shared" si="31"/>
        <v>1549</v>
      </c>
      <c r="E99" s="26">
        <f t="shared" si="32"/>
        <v>2618</v>
      </c>
      <c r="F99" s="8">
        <f t="shared" si="24"/>
        <v>1091</v>
      </c>
      <c r="G99" s="8">
        <f t="shared" si="25"/>
        <v>1114</v>
      </c>
      <c r="H99" s="8">
        <f t="shared" si="26"/>
        <v>975</v>
      </c>
      <c r="I99" s="6">
        <f t="shared" si="27"/>
        <v>1527</v>
      </c>
      <c r="J99" s="6">
        <f t="shared" si="28"/>
        <v>1504</v>
      </c>
      <c r="K99" s="6">
        <f t="shared" si="29"/>
        <v>1643</v>
      </c>
      <c r="L99" s="6">
        <f t="shared" si="33"/>
        <v>2000</v>
      </c>
      <c r="M99" s="6">
        <f t="shared" si="34"/>
        <v>2000</v>
      </c>
      <c r="N99" s="6">
        <f t="shared" si="35"/>
        <v>2000</v>
      </c>
      <c r="O99" s="6">
        <f t="shared" si="36"/>
        <v>-473</v>
      </c>
      <c r="P99" s="6">
        <f t="shared" si="37"/>
        <v>-496</v>
      </c>
      <c r="Q99" s="6">
        <f t="shared" si="38"/>
        <v>-357</v>
      </c>
      <c r="R99" s="8">
        <v>0</v>
      </c>
      <c r="S99" s="8">
        <v>0</v>
      </c>
      <c r="T99" s="8">
        <v>0</v>
      </c>
      <c r="U99" s="25">
        <f t="shared" si="39"/>
        <v>-253</v>
      </c>
      <c r="V99" s="25">
        <f t="shared" si="40"/>
        <v>-286</v>
      </c>
      <c r="W99" s="25">
        <f t="shared" si="41"/>
        <v>-217</v>
      </c>
      <c r="X99" s="15">
        <v>0.81399999999999995</v>
      </c>
      <c r="Y99" s="7"/>
      <c r="Z99" s="21">
        <f t="shared" ref="Z99:Z162" si="42">Z98+Y99</f>
        <v>1.2</v>
      </c>
      <c r="AA99" s="6"/>
      <c r="AB99" s="6"/>
    </row>
    <row r="100" spans="1:28" ht="13.8">
      <c r="A100" s="13">
        <v>89</v>
      </c>
      <c r="B100" s="185" t="s">
        <v>161</v>
      </c>
      <c r="C100" s="10">
        <f t="shared" si="30"/>
        <v>1069</v>
      </c>
      <c r="D100" s="9">
        <f t="shared" si="31"/>
        <v>1547</v>
      </c>
      <c r="E100" s="26">
        <f t="shared" si="32"/>
        <v>2616</v>
      </c>
      <c r="F100" s="8">
        <f t="shared" si="24"/>
        <v>1089</v>
      </c>
      <c r="G100" s="8">
        <f t="shared" si="25"/>
        <v>1112</v>
      </c>
      <c r="H100" s="8">
        <f t="shared" si="26"/>
        <v>973</v>
      </c>
      <c r="I100" s="6">
        <f t="shared" si="27"/>
        <v>1527</v>
      </c>
      <c r="J100" s="6">
        <f t="shared" si="28"/>
        <v>1504</v>
      </c>
      <c r="K100" s="6">
        <f t="shared" si="29"/>
        <v>1643</v>
      </c>
      <c r="L100" s="6">
        <f t="shared" si="33"/>
        <v>2000</v>
      </c>
      <c r="M100" s="6">
        <f t="shared" si="34"/>
        <v>2000</v>
      </c>
      <c r="N100" s="6">
        <f t="shared" si="35"/>
        <v>2000</v>
      </c>
      <c r="O100" s="6">
        <f t="shared" si="36"/>
        <v>-473</v>
      </c>
      <c r="P100" s="6">
        <f t="shared" si="37"/>
        <v>-496</v>
      </c>
      <c r="Q100" s="6">
        <f t="shared" si="38"/>
        <v>-357</v>
      </c>
      <c r="R100" s="8">
        <v>0</v>
      </c>
      <c r="S100" s="8">
        <v>0</v>
      </c>
      <c r="T100" s="8">
        <v>0</v>
      </c>
      <c r="U100" s="25">
        <f t="shared" si="39"/>
        <v>-253</v>
      </c>
      <c r="V100" s="25">
        <f t="shared" si="40"/>
        <v>-286</v>
      </c>
      <c r="W100" s="25">
        <f t="shared" si="41"/>
        <v>-217</v>
      </c>
      <c r="X100" s="15">
        <v>0.81399999999999995</v>
      </c>
      <c r="Y100" s="7"/>
      <c r="Z100" s="21">
        <f t="shared" si="42"/>
        <v>1.2</v>
      </c>
      <c r="AA100" s="6"/>
      <c r="AB100" s="6"/>
    </row>
    <row r="101" spans="1:28" ht="13.8">
      <c r="A101" s="13">
        <v>90</v>
      </c>
      <c r="B101" s="185" t="s">
        <v>162</v>
      </c>
      <c r="C101" s="10">
        <f t="shared" si="30"/>
        <v>1069</v>
      </c>
      <c r="D101" s="9">
        <f t="shared" si="31"/>
        <v>1545</v>
      </c>
      <c r="E101" s="26">
        <f t="shared" si="32"/>
        <v>2614</v>
      </c>
      <c r="F101" s="8">
        <f t="shared" si="24"/>
        <v>1087</v>
      </c>
      <c r="G101" s="8">
        <f t="shared" si="25"/>
        <v>1110</v>
      </c>
      <c r="H101" s="8">
        <f t="shared" si="26"/>
        <v>971</v>
      </c>
      <c r="I101" s="6">
        <f t="shared" si="27"/>
        <v>1527</v>
      </c>
      <c r="J101" s="6">
        <f t="shared" si="28"/>
        <v>1504</v>
      </c>
      <c r="K101" s="6">
        <f t="shared" si="29"/>
        <v>1643</v>
      </c>
      <c r="L101" s="6">
        <f t="shared" si="33"/>
        <v>2000</v>
      </c>
      <c r="M101" s="6">
        <f t="shared" si="34"/>
        <v>2000</v>
      </c>
      <c r="N101" s="6">
        <f t="shared" si="35"/>
        <v>2000</v>
      </c>
      <c r="O101" s="6">
        <f t="shared" si="36"/>
        <v>-473</v>
      </c>
      <c r="P101" s="6">
        <f t="shared" si="37"/>
        <v>-496</v>
      </c>
      <c r="Q101" s="6">
        <f t="shared" si="38"/>
        <v>-357</v>
      </c>
      <c r="R101" s="8">
        <v>0</v>
      </c>
      <c r="S101" s="8">
        <v>0</v>
      </c>
      <c r="T101" s="8">
        <v>0</v>
      </c>
      <c r="U101" s="25">
        <f t="shared" si="39"/>
        <v>-253</v>
      </c>
      <c r="V101" s="25">
        <f t="shared" si="40"/>
        <v>-286</v>
      </c>
      <c r="W101" s="25">
        <f t="shared" si="41"/>
        <v>-217</v>
      </c>
      <c r="X101" s="15">
        <v>0.81399999999999995</v>
      </c>
      <c r="Y101" s="7"/>
      <c r="Z101" s="21">
        <f t="shared" si="42"/>
        <v>1.2</v>
      </c>
      <c r="AA101" s="6"/>
      <c r="AB101" s="6"/>
    </row>
    <row r="102" spans="1:28" ht="13.8">
      <c r="A102" s="13">
        <v>91</v>
      </c>
      <c r="B102" s="185" t="s">
        <v>163</v>
      </c>
      <c r="C102" s="10">
        <f t="shared" si="30"/>
        <v>1069</v>
      </c>
      <c r="D102" s="9">
        <f t="shared" si="31"/>
        <v>1543</v>
      </c>
      <c r="E102" s="26">
        <f t="shared" si="32"/>
        <v>2612</v>
      </c>
      <c r="F102" s="8">
        <f t="shared" si="24"/>
        <v>1085</v>
      </c>
      <c r="G102" s="8">
        <f t="shared" si="25"/>
        <v>1108</v>
      </c>
      <c r="H102" s="8">
        <f t="shared" si="26"/>
        <v>969</v>
      </c>
      <c r="I102" s="6">
        <f t="shared" si="27"/>
        <v>1527</v>
      </c>
      <c r="J102" s="6">
        <f t="shared" si="28"/>
        <v>1504</v>
      </c>
      <c r="K102" s="6">
        <f t="shared" si="29"/>
        <v>1643</v>
      </c>
      <c r="L102" s="6">
        <f t="shared" si="33"/>
        <v>2000</v>
      </c>
      <c r="M102" s="6">
        <f t="shared" si="34"/>
        <v>2000</v>
      </c>
      <c r="N102" s="6">
        <f t="shared" si="35"/>
        <v>2000</v>
      </c>
      <c r="O102" s="6">
        <f t="shared" si="36"/>
        <v>-473</v>
      </c>
      <c r="P102" s="6">
        <f t="shared" si="37"/>
        <v>-496</v>
      </c>
      <c r="Q102" s="6">
        <f t="shared" si="38"/>
        <v>-357</v>
      </c>
      <c r="R102" s="8">
        <v>0</v>
      </c>
      <c r="S102" s="8">
        <v>0</v>
      </c>
      <c r="T102" s="8">
        <v>0</v>
      </c>
      <c r="U102" s="25">
        <f t="shared" si="39"/>
        <v>-253</v>
      </c>
      <c r="V102" s="25">
        <f t="shared" si="40"/>
        <v>-286</v>
      </c>
      <c r="W102" s="25">
        <f t="shared" si="41"/>
        <v>-217</v>
      </c>
      <c r="X102" s="15">
        <v>0.81399999999999995</v>
      </c>
      <c r="Y102" s="7"/>
      <c r="Z102" s="21">
        <f t="shared" si="42"/>
        <v>1.2</v>
      </c>
      <c r="AA102" s="6"/>
      <c r="AB102" s="6"/>
    </row>
    <row r="103" spans="1:28" ht="13.8">
      <c r="A103" s="13">
        <v>92</v>
      </c>
      <c r="B103" s="185" t="s">
        <v>164</v>
      </c>
      <c r="C103" s="10">
        <f t="shared" si="30"/>
        <v>1069</v>
      </c>
      <c r="D103" s="9">
        <f t="shared" si="31"/>
        <v>1541</v>
      </c>
      <c r="E103" s="26">
        <f t="shared" si="32"/>
        <v>2610</v>
      </c>
      <c r="F103" s="8">
        <f t="shared" si="24"/>
        <v>1083</v>
      </c>
      <c r="G103" s="8">
        <f t="shared" si="25"/>
        <v>1106</v>
      </c>
      <c r="H103" s="8">
        <f t="shared" si="26"/>
        <v>967</v>
      </c>
      <c r="I103" s="6">
        <f t="shared" si="27"/>
        <v>1527</v>
      </c>
      <c r="J103" s="6">
        <f t="shared" si="28"/>
        <v>1504</v>
      </c>
      <c r="K103" s="6">
        <f t="shared" si="29"/>
        <v>1643</v>
      </c>
      <c r="L103" s="6">
        <f t="shared" si="33"/>
        <v>2000</v>
      </c>
      <c r="M103" s="6">
        <f t="shared" si="34"/>
        <v>2000</v>
      </c>
      <c r="N103" s="6">
        <f t="shared" si="35"/>
        <v>2000</v>
      </c>
      <c r="O103" s="6">
        <f t="shared" si="36"/>
        <v>-473</v>
      </c>
      <c r="P103" s="6">
        <f t="shared" si="37"/>
        <v>-496</v>
      </c>
      <c r="Q103" s="6">
        <f t="shared" si="38"/>
        <v>-357</v>
      </c>
      <c r="R103" s="8">
        <v>0</v>
      </c>
      <c r="S103" s="8">
        <v>0</v>
      </c>
      <c r="T103" s="8">
        <v>0</v>
      </c>
      <c r="U103" s="25">
        <f t="shared" si="39"/>
        <v>-253</v>
      </c>
      <c r="V103" s="25">
        <f t="shared" si="40"/>
        <v>-286</v>
      </c>
      <c r="W103" s="25">
        <f t="shared" si="41"/>
        <v>-217</v>
      </c>
      <c r="X103" s="15">
        <v>0.81399999999999995</v>
      </c>
      <c r="Y103" s="7"/>
      <c r="Z103" s="21">
        <f t="shared" si="42"/>
        <v>1.2</v>
      </c>
      <c r="AA103" s="6"/>
      <c r="AB103" s="6"/>
    </row>
    <row r="104" spans="1:28" ht="13.8">
      <c r="A104" s="13">
        <v>93</v>
      </c>
      <c r="B104" s="185" t="s">
        <v>165</v>
      </c>
      <c r="C104" s="10">
        <f t="shared" si="30"/>
        <v>1069</v>
      </c>
      <c r="D104" s="9">
        <f t="shared" si="31"/>
        <v>1539</v>
      </c>
      <c r="E104" s="26">
        <f t="shared" si="32"/>
        <v>2608</v>
      </c>
      <c r="F104" s="8">
        <f t="shared" si="24"/>
        <v>1081</v>
      </c>
      <c r="G104" s="8">
        <f t="shared" si="25"/>
        <v>1104</v>
      </c>
      <c r="H104" s="8">
        <f t="shared" si="26"/>
        <v>965</v>
      </c>
      <c r="I104" s="6">
        <f t="shared" si="27"/>
        <v>1527</v>
      </c>
      <c r="J104" s="6">
        <f t="shared" si="28"/>
        <v>1504</v>
      </c>
      <c r="K104" s="6">
        <f t="shared" si="29"/>
        <v>1643</v>
      </c>
      <c r="L104" s="6">
        <f t="shared" si="33"/>
        <v>2000</v>
      </c>
      <c r="M104" s="6">
        <f t="shared" si="34"/>
        <v>2000</v>
      </c>
      <c r="N104" s="6">
        <f t="shared" si="35"/>
        <v>2000</v>
      </c>
      <c r="O104" s="6">
        <f t="shared" si="36"/>
        <v>-473</v>
      </c>
      <c r="P104" s="6">
        <f t="shared" si="37"/>
        <v>-496</v>
      </c>
      <c r="Q104" s="6">
        <f t="shared" si="38"/>
        <v>-357</v>
      </c>
      <c r="R104" s="8">
        <v>0</v>
      </c>
      <c r="S104" s="8">
        <v>0</v>
      </c>
      <c r="T104" s="8">
        <v>0</v>
      </c>
      <c r="U104" s="25">
        <f t="shared" si="39"/>
        <v>-253</v>
      </c>
      <c r="V104" s="25">
        <f t="shared" si="40"/>
        <v>-286</v>
      </c>
      <c r="W104" s="25">
        <f t="shared" si="41"/>
        <v>-217</v>
      </c>
      <c r="X104" s="15">
        <v>0.81399999999999995</v>
      </c>
      <c r="Y104" s="7"/>
      <c r="Z104" s="21">
        <f t="shared" si="42"/>
        <v>1.2</v>
      </c>
      <c r="AA104" s="6"/>
      <c r="AB104" s="6"/>
    </row>
    <row r="105" spans="1:28" ht="13.8">
      <c r="A105" s="13">
        <v>94</v>
      </c>
      <c r="B105" s="185" t="s">
        <v>166</v>
      </c>
      <c r="C105" s="10">
        <f t="shared" si="30"/>
        <v>1069</v>
      </c>
      <c r="D105" s="9">
        <f t="shared" si="31"/>
        <v>1537</v>
      </c>
      <c r="E105" s="26">
        <f t="shared" si="32"/>
        <v>2606</v>
      </c>
      <c r="F105" s="8">
        <f t="shared" si="24"/>
        <v>1079</v>
      </c>
      <c r="G105" s="8">
        <f t="shared" si="25"/>
        <v>1102</v>
      </c>
      <c r="H105" s="8">
        <f t="shared" si="26"/>
        <v>963</v>
      </c>
      <c r="I105" s="6">
        <f t="shared" si="27"/>
        <v>1527</v>
      </c>
      <c r="J105" s="6">
        <f t="shared" si="28"/>
        <v>1504</v>
      </c>
      <c r="K105" s="6">
        <f t="shared" si="29"/>
        <v>1643</v>
      </c>
      <c r="L105" s="6">
        <f t="shared" si="33"/>
        <v>2000</v>
      </c>
      <c r="M105" s="6">
        <f t="shared" si="34"/>
        <v>2000</v>
      </c>
      <c r="N105" s="6">
        <f t="shared" si="35"/>
        <v>2000</v>
      </c>
      <c r="O105" s="6">
        <f t="shared" si="36"/>
        <v>-473</v>
      </c>
      <c r="P105" s="6">
        <f t="shared" si="37"/>
        <v>-496</v>
      </c>
      <c r="Q105" s="6">
        <f t="shared" si="38"/>
        <v>-357</v>
      </c>
      <c r="R105" s="8">
        <v>0</v>
      </c>
      <c r="S105" s="8">
        <v>0</v>
      </c>
      <c r="T105" s="8">
        <v>0</v>
      </c>
      <c r="U105" s="25">
        <f t="shared" si="39"/>
        <v>-253</v>
      </c>
      <c r="V105" s="25">
        <f t="shared" si="40"/>
        <v>-286</v>
      </c>
      <c r="W105" s="25">
        <f t="shared" si="41"/>
        <v>-217</v>
      </c>
      <c r="X105" s="15">
        <v>0.81399999999999995</v>
      </c>
      <c r="Y105" s="7"/>
      <c r="Z105" s="21">
        <f t="shared" si="42"/>
        <v>1.2</v>
      </c>
      <c r="AA105" s="6"/>
      <c r="AB105" s="6"/>
    </row>
    <row r="106" spans="1:28" ht="13.8">
      <c r="A106" s="13">
        <v>95</v>
      </c>
      <c r="B106" s="185" t="s">
        <v>167</v>
      </c>
      <c r="C106" s="10">
        <f t="shared" si="30"/>
        <v>1069</v>
      </c>
      <c r="D106" s="9">
        <f t="shared" si="31"/>
        <v>1535</v>
      </c>
      <c r="E106" s="26">
        <f t="shared" si="32"/>
        <v>2604</v>
      </c>
      <c r="F106" s="8">
        <f t="shared" si="24"/>
        <v>1077</v>
      </c>
      <c r="G106" s="8">
        <f t="shared" si="25"/>
        <v>1100</v>
      </c>
      <c r="H106" s="8">
        <f t="shared" si="26"/>
        <v>961</v>
      </c>
      <c r="I106" s="6">
        <f t="shared" si="27"/>
        <v>1527</v>
      </c>
      <c r="J106" s="6">
        <f t="shared" si="28"/>
        <v>1504</v>
      </c>
      <c r="K106" s="6">
        <f t="shared" si="29"/>
        <v>1643</v>
      </c>
      <c r="L106" s="6">
        <f t="shared" si="33"/>
        <v>2000</v>
      </c>
      <c r="M106" s="6">
        <f t="shared" si="34"/>
        <v>2000</v>
      </c>
      <c r="N106" s="6">
        <f t="shared" si="35"/>
        <v>2000</v>
      </c>
      <c r="O106" s="6">
        <f t="shared" si="36"/>
        <v>-473</v>
      </c>
      <c r="P106" s="6">
        <f t="shared" si="37"/>
        <v>-496</v>
      </c>
      <c r="Q106" s="6">
        <f t="shared" si="38"/>
        <v>-357</v>
      </c>
      <c r="R106" s="8">
        <v>0</v>
      </c>
      <c r="S106" s="8">
        <v>0</v>
      </c>
      <c r="T106" s="8">
        <v>0</v>
      </c>
      <c r="U106" s="25">
        <f t="shared" si="39"/>
        <v>-253</v>
      </c>
      <c r="V106" s="25">
        <f t="shared" si="40"/>
        <v>-286</v>
      </c>
      <c r="W106" s="25">
        <f t="shared" si="41"/>
        <v>-217</v>
      </c>
      <c r="X106" s="15">
        <v>0.81399999999999995</v>
      </c>
      <c r="Y106" s="7"/>
      <c r="Z106" s="21">
        <f t="shared" si="42"/>
        <v>1.2</v>
      </c>
      <c r="AA106" s="6"/>
      <c r="AB106" s="6"/>
    </row>
    <row r="107" spans="1:28" ht="13.8">
      <c r="A107" s="13">
        <v>96</v>
      </c>
      <c r="B107" s="185" t="s">
        <v>168</v>
      </c>
      <c r="C107" s="10">
        <f t="shared" si="30"/>
        <v>1069</v>
      </c>
      <c r="D107" s="9">
        <f t="shared" si="31"/>
        <v>1533</v>
      </c>
      <c r="E107" s="26">
        <f t="shared" si="32"/>
        <v>2602</v>
      </c>
      <c r="F107" s="8">
        <f t="shared" si="24"/>
        <v>1075</v>
      </c>
      <c r="G107" s="8">
        <f t="shared" si="25"/>
        <v>1098</v>
      </c>
      <c r="H107" s="8">
        <f t="shared" si="26"/>
        <v>959</v>
      </c>
      <c r="I107" s="6">
        <f t="shared" si="27"/>
        <v>1527</v>
      </c>
      <c r="J107" s="6">
        <f t="shared" si="28"/>
        <v>1504</v>
      </c>
      <c r="K107" s="6">
        <f t="shared" si="29"/>
        <v>1643</v>
      </c>
      <c r="L107" s="6">
        <f t="shared" si="33"/>
        <v>2000</v>
      </c>
      <c r="M107" s="6">
        <f t="shared" si="34"/>
        <v>2000</v>
      </c>
      <c r="N107" s="6">
        <f t="shared" si="35"/>
        <v>2000</v>
      </c>
      <c r="O107" s="6">
        <f t="shared" si="36"/>
        <v>-473</v>
      </c>
      <c r="P107" s="6">
        <f t="shared" si="37"/>
        <v>-496</v>
      </c>
      <c r="Q107" s="6">
        <f t="shared" si="38"/>
        <v>-357</v>
      </c>
      <c r="R107" s="8">
        <v>0</v>
      </c>
      <c r="S107" s="8">
        <v>0</v>
      </c>
      <c r="T107" s="8">
        <v>0</v>
      </c>
      <c r="U107" s="25">
        <f t="shared" si="39"/>
        <v>-253</v>
      </c>
      <c r="V107" s="25">
        <f t="shared" si="40"/>
        <v>-286</v>
      </c>
      <c r="W107" s="25">
        <f t="shared" si="41"/>
        <v>-217</v>
      </c>
      <c r="X107" s="15">
        <v>0.81399999999999995</v>
      </c>
      <c r="Y107" s="7"/>
      <c r="Z107" s="21">
        <f t="shared" si="42"/>
        <v>1.2</v>
      </c>
      <c r="AA107" s="6"/>
      <c r="AB107" s="6"/>
    </row>
    <row r="108" spans="1:28" ht="13.8">
      <c r="A108" s="13">
        <v>97</v>
      </c>
      <c r="B108" s="185" t="s">
        <v>169</v>
      </c>
      <c r="C108" s="10">
        <f t="shared" si="30"/>
        <v>1069</v>
      </c>
      <c r="D108" s="9">
        <f t="shared" ref="D108:D123" si="43">D107-2</f>
        <v>1531</v>
      </c>
      <c r="E108" s="26">
        <f t="shared" si="32"/>
        <v>2600</v>
      </c>
      <c r="F108" s="8">
        <f t="shared" si="24"/>
        <v>1073</v>
      </c>
      <c r="G108" s="8">
        <f t="shared" si="25"/>
        <v>1096</v>
      </c>
      <c r="H108" s="8">
        <f t="shared" si="26"/>
        <v>957</v>
      </c>
      <c r="I108" s="6">
        <f t="shared" si="27"/>
        <v>1527</v>
      </c>
      <c r="J108" s="6">
        <f t="shared" si="28"/>
        <v>1504</v>
      </c>
      <c r="K108" s="6">
        <f t="shared" si="29"/>
        <v>1643</v>
      </c>
      <c r="L108" s="6">
        <f t="shared" ref="L108:L144" si="44">L107</f>
        <v>2000</v>
      </c>
      <c r="M108" s="6">
        <f t="shared" ref="M108:M144" si="45">M107</f>
        <v>2000</v>
      </c>
      <c r="N108" s="6">
        <f t="shared" ref="N108:N144" si="46">N107</f>
        <v>2000</v>
      </c>
      <c r="O108" s="6">
        <f t="shared" si="36"/>
        <v>-473</v>
      </c>
      <c r="P108" s="6">
        <f t="shared" si="37"/>
        <v>-496</v>
      </c>
      <c r="Q108" s="6">
        <f t="shared" si="38"/>
        <v>-357</v>
      </c>
      <c r="R108" s="8">
        <v>0</v>
      </c>
      <c r="S108" s="8">
        <v>0</v>
      </c>
      <c r="T108" s="8">
        <v>0</v>
      </c>
      <c r="U108" s="25">
        <f t="shared" si="39"/>
        <v>-253</v>
      </c>
      <c r="V108" s="25">
        <f t="shared" si="40"/>
        <v>-286</v>
      </c>
      <c r="W108" s="25">
        <f t="shared" si="41"/>
        <v>-217</v>
      </c>
      <c r="X108" s="15">
        <v>0.81399999999999995</v>
      </c>
      <c r="Y108" s="7"/>
      <c r="Z108" s="21">
        <f t="shared" si="42"/>
        <v>1.2</v>
      </c>
      <c r="AA108" s="6"/>
      <c r="AB108" s="6"/>
    </row>
    <row r="109" spans="1:28" ht="13.8">
      <c r="A109" s="13">
        <v>98</v>
      </c>
      <c r="B109" s="185" t="s">
        <v>170</v>
      </c>
      <c r="C109" s="10">
        <f t="shared" si="30"/>
        <v>1069</v>
      </c>
      <c r="D109" s="9">
        <f t="shared" si="43"/>
        <v>1529</v>
      </c>
      <c r="E109" s="26">
        <f t="shared" si="32"/>
        <v>2598</v>
      </c>
      <c r="F109" s="8">
        <f t="shared" si="24"/>
        <v>1071</v>
      </c>
      <c r="G109" s="8">
        <f t="shared" si="25"/>
        <v>1094</v>
      </c>
      <c r="H109" s="8">
        <f t="shared" si="26"/>
        <v>955</v>
      </c>
      <c r="I109" s="6">
        <f t="shared" si="27"/>
        <v>1527</v>
      </c>
      <c r="J109" s="6">
        <f t="shared" si="28"/>
        <v>1504</v>
      </c>
      <c r="K109" s="6">
        <f t="shared" si="29"/>
        <v>1643</v>
      </c>
      <c r="L109" s="6">
        <f t="shared" si="44"/>
        <v>2000</v>
      </c>
      <c r="M109" s="6">
        <f t="shared" si="45"/>
        <v>2000</v>
      </c>
      <c r="N109" s="6">
        <f t="shared" si="46"/>
        <v>2000</v>
      </c>
      <c r="O109" s="6">
        <f t="shared" si="36"/>
        <v>-473</v>
      </c>
      <c r="P109" s="6">
        <f t="shared" si="37"/>
        <v>-496</v>
      </c>
      <c r="Q109" s="6">
        <f t="shared" si="38"/>
        <v>-357</v>
      </c>
      <c r="R109" s="8">
        <v>0</v>
      </c>
      <c r="S109" s="8">
        <v>0</v>
      </c>
      <c r="T109" s="8">
        <v>0</v>
      </c>
      <c r="U109" s="25">
        <f t="shared" si="39"/>
        <v>-253</v>
      </c>
      <c r="V109" s="25">
        <f t="shared" si="40"/>
        <v>-286</v>
      </c>
      <c r="W109" s="25">
        <f t="shared" si="41"/>
        <v>-217</v>
      </c>
      <c r="X109" s="15">
        <v>0.81399999999999995</v>
      </c>
      <c r="Y109" s="7"/>
      <c r="Z109" s="21">
        <f t="shared" si="42"/>
        <v>1.2</v>
      </c>
      <c r="AA109" s="6"/>
      <c r="AB109" s="6"/>
    </row>
    <row r="110" spans="1:28" ht="13.8">
      <c r="A110" s="13">
        <v>99</v>
      </c>
      <c r="B110" s="185" t="s">
        <v>171</v>
      </c>
      <c r="C110" s="10">
        <f t="shared" si="30"/>
        <v>1069</v>
      </c>
      <c r="D110" s="9">
        <f t="shared" si="43"/>
        <v>1527</v>
      </c>
      <c r="E110" s="26">
        <f t="shared" si="32"/>
        <v>2596</v>
      </c>
      <c r="F110" s="8">
        <f t="shared" si="24"/>
        <v>1069</v>
      </c>
      <c r="G110" s="8">
        <f t="shared" si="25"/>
        <v>1092</v>
      </c>
      <c r="H110" s="8">
        <f t="shared" si="26"/>
        <v>953</v>
      </c>
      <c r="I110" s="6">
        <f t="shared" si="27"/>
        <v>1527</v>
      </c>
      <c r="J110" s="6">
        <f t="shared" si="28"/>
        <v>1504</v>
      </c>
      <c r="K110" s="6">
        <f t="shared" si="29"/>
        <v>1643</v>
      </c>
      <c r="L110" s="6">
        <f t="shared" si="44"/>
        <v>2000</v>
      </c>
      <c r="M110" s="6">
        <f t="shared" si="45"/>
        <v>2000</v>
      </c>
      <c r="N110" s="6">
        <f t="shared" si="46"/>
        <v>2000</v>
      </c>
      <c r="O110" s="6">
        <f t="shared" si="36"/>
        <v>-473</v>
      </c>
      <c r="P110" s="6">
        <f t="shared" si="37"/>
        <v>-496</v>
      </c>
      <c r="Q110" s="6">
        <f t="shared" si="38"/>
        <v>-357</v>
      </c>
      <c r="R110" s="8">
        <v>0</v>
      </c>
      <c r="S110" s="8">
        <v>0</v>
      </c>
      <c r="T110" s="8">
        <v>0</v>
      </c>
      <c r="U110" s="25">
        <f t="shared" si="39"/>
        <v>-253</v>
      </c>
      <c r="V110" s="25">
        <f t="shared" si="40"/>
        <v>-286</v>
      </c>
      <c r="W110" s="25">
        <f t="shared" si="41"/>
        <v>-217</v>
      </c>
      <c r="X110" s="15">
        <v>0.81399999999999995</v>
      </c>
      <c r="Y110" s="7"/>
      <c r="Z110" s="21">
        <f t="shared" si="42"/>
        <v>1.2</v>
      </c>
      <c r="AA110" s="6"/>
      <c r="AB110" s="6"/>
    </row>
    <row r="111" spans="1:28" ht="13.8">
      <c r="A111" s="13">
        <v>100</v>
      </c>
      <c r="B111" s="185" t="s">
        <v>172</v>
      </c>
      <c r="C111" s="10">
        <f t="shared" si="30"/>
        <v>1069</v>
      </c>
      <c r="D111" s="9">
        <f t="shared" si="43"/>
        <v>1525</v>
      </c>
      <c r="E111" s="26">
        <f t="shared" si="32"/>
        <v>2594</v>
      </c>
      <c r="F111" s="8">
        <f t="shared" si="24"/>
        <v>1067</v>
      </c>
      <c r="G111" s="8">
        <f t="shared" si="25"/>
        <v>1090</v>
      </c>
      <c r="H111" s="8">
        <f t="shared" si="26"/>
        <v>951</v>
      </c>
      <c r="I111" s="6">
        <f t="shared" si="27"/>
        <v>1527</v>
      </c>
      <c r="J111" s="6">
        <f t="shared" si="28"/>
        <v>1504</v>
      </c>
      <c r="K111" s="6">
        <f t="shared" si="29"/>
        <v>1643</v>
      </c>
      <c r="L111" s="6">
        <f t="shared" si="44"/>
        <v>2000</v>
      </c>
      <c r="M111" s="6">
        <f t="shared" si="45"/>
        <v>2000</v>
      </c>
      <c r="N111" s="6">
        <f t="shared" si="46"/>
        <v>2000</v>
      </c>
      <c r="O111" s="6">
        <f t="shared" si="36"/>
        <v>-473</v>
      </c>
      <c r="P111" s="6">
        <f t="shared" si="37"/>
        <v>-496</v>
      </c>
      <c r="Q111" s="6">
        <f t="shared" si="38"/>
        <v>-357</v>
      </c>
      <c r="R111" s="8">
        <v>0</v>
      </c>
      <c r="S111" s="8">
        <v>0</v>
      </c>
      <c r="T111" s="8">
        <v>0</v>
      </c>
      <c r="U111" s="25">
        <f t="shared" si="39"/>
        <v>-253</v>
      </c>
      <c r="V111" s="25">
        <f t="shared" si="40"/>
        <v>-286</v>
      </c>
      <c r="W111" s="25">
        <f t="shared" si="41"/>
        <v>-217</v>
      </c>
      <c r="X111" s="15">
        <v>0.81399999999999995</v>
      </c>
      <c r="Y111" s="7"/>
      <c r="Z111" s="21">
        <f t="shared" si="42"/>
        <v>1.2</v>
      </c>
      <c r="AA111" s="6"/>
      <c r="AB111" s="6"/>
    </row>
    <row r="112" spans="1:28" ht="13.8">
      <c r="A112" s="13">
        <v>101</v>
      </c>
      <c r="B112" s="185" t="s">
        <v>173</v>
      </c>
      <c r="C112" s="10">
        <f t="shared" si="30"/>
        <v>1069</v>
      </c>
      <c r="D112" s="9">
        <f t="shared" si="43"/>
        <v>1523</v>
      </c>
      <c r="E112" s="26">
        <f t="shared" si="32"/>
        <v>2592</v>
      </c>
      <c r="F112" s="8">
        <f t="shared" si="24"/>
        <v>1065</v>
      </c>
      <c r="G112" s="8">
        <f t="shared" si="25"/>
        <v>1088</v>
      </c>
      <c r="H112" s="8">
        <f t="shared" si="26"/>
        <v>949</v>
      </c>
      <c r="I112" s="6">
        <f t="shared" si="27"/>
        <v>1527</v>
      </c>
      <c r="J112" s="6">
        <f t="shared" si="28"/>
        <v>1504</v>
      </c>
      <c r="K112" s="6">
        <f t="shared" si="29"/>
        <v>1643</v>
      </c>
      <c r="L112" s="6">
        <f t="shared" si="44"/>
        <v>2000</v>
      </c>
      <c r="M112" s="6">
        <f t="shared" si="45"/>
        <v>2000</v>
      </c>
      <c r="N112" s="6">
        <f t="shared" si="46"/>
        <v>2000</v>
      </c>
      <c r="O112" s="6">
        <f t="shared" si="36"/>
        <v>-473</v>
      </c>
      <c r="P112" s="6">
        <f t="shared" si="37"/>
        <v>-496</v>
      </c>
      <c r="Q112" s="6">
        <f t="shared" si="38"/>
        <v>-357</v>
      </c>
      <c r="R112" s="8">
        <v>0</v>
      </c>
      <c r="S112" s="8">
        <v>0</v>
      </c>
      <c r="T112" s="8">
        <v>0</v>
      </c>
      <c r="U112" s="25">
        <f t="shared" si="39"/>
        <v>-253</v>
      </c>
      <c r="V112" s="25">
        <f t="shared" si="40"/>
        <v>-286</v>
      </c>
      <c r="W112" s="25">
        <f t="shared" si="41"/>
        <v>-217</v>
      </c>
      <c r="X112" s="15">
        <v>0.81399999999999995</v>
      </c>
      <c r="Y112" s="7"/>
      <c r="Z112" s="21">
        <f t="shared" si="42"/>
        <v>1.2</v>
      </c>
      <c r="AA112" s="6"/>
      <c r="AB112" s="6"/>
    </row>
    <row r="113" spans="1:28" ht="13.8">
      <c r="A113" s="13">
        <v>102</v>
      </c>
      <c r="B113" s="185" t="s">
        <v>174</v>
      </c>
      <c r="C113" s="10">
        <f t="shared" si="30"/>
        <v>1069</v>
      </c>
      <c r="D113" s="9">
        <f t="shared" si="43"/>
        <v>1521</v>
      </c>
      <c r="E113" s="26">
        <f t="shared" si="32"/>
        <v>2590</v>
      </c>
      <c r="F113" s="8">
        <f t="shared" si="24"/>
        <v>1063</v>
      </c>
      <c r="G113" s="8">
        <f t="shared" si="25"/>
        <v>1086</v>
      </c>
      <c r="H113" s="8">
        <f t="shared" si="26"/>
        <v>947</v>
      </c>
      <c r="I113" s="6">
        <f t="shared" si="27"/>
        <v>1527</v>
      </c>
      <c r="J113" s="6">
        <f t="shared" si="28"/>
        <v>1504</v>
      </c>
      <c r="K113" s="6">
        <f t="shared" si="29"/>
        <v>1643</v>
      </c>
      <c r="L113" s="6">
        <f t="shared" si="44"/>
        <v>2000</v>
      </c>
      <c r="M113" s="6">
        <f t="shared" si="45"/>
        <v>2000</v>
      </c>
      <c r="N113" s="6">
        <f t="shared" si="46"/>
        <v>2000</v>
      </c>
      <c r="O113" s="6">
        <f t="shared" si="36"/>
        <v>-473</v>
      </c>
      <c r="P113" s="6">
        <f t="shared" si="37"/>
        <v>-496</v>
      </c>
      <c r="Q113" s="6">
        <f t="shared" si="38"/>
        <v>-357</v>
      </c>
      <c r="R113" s="8">
        <v>0</v>
      </c>
      <c r="S113" s="8">
        <v>0</v>
      </c>
      <c r="T113" s="8">
        <v>0</v>
      </c>
      <c r="U113" s="25">
        <f t="shared" si="39"/>
        <v>-253</v>
      </c>
      <c r="V113" s="25">
        <f t="shared" si="40"/>
        <v>-286</v>
      </c>
      <c r="W113" s="25">
        <f t="shared" si="41"/>
        <v>-217</v>
      </c>
      <c r="X113" s="15">
        <v>0.81399999999999995</v>
      </c>
      <c r="Y113" s="7"/>
      <c r="Z113" s="21">
        <f t="shared" si="42"/>
        <v>1.2</v>
      </c>
      <c r="AA113" s="6"/>
      <c r="AB113" s="6"/>
    </row>
    <row r="114" spans="1:28" ht="13.8">
      <c r="A114" s="13">
        <v>103</v>
      </c>
      <c r="B114" s="185" t="s">
        <v>175</v>
      </c>
      <c r="C114" s="10">
        <f t="shared" si="30"/>
        <v>1069</v>
      </c>
      <c r="D114" s="9">
        <f t="shared" si="43"/>
        <v>1519</v>
      </c>
      <c r="E114" s="26">
        <f t="shared" si="32"/>
        <v>2588</v>
      </c>
      <c r="F114" s="8">
        <f t="shared" si="24"/>
        <v>1061</v>
      </c>
      <c r="G114" s="8">
        <f t="shared" si="25"/>
        <v>1084</v>
      </c>
      <c r="H114" s="8">
        <f t="shared" si="26"/>
        <v>945</v>
      </c>
      <c r="I114" s="6">
        <f t="shared" si="27"/>
        <v>1527</v>
      </c>
      <c r="J114" s="6">
        <f t="shared" si="28"/>
        <v>1504</v>
      </c>
      <c r="K114" s="6">
        <f t="shared" si="29"/>
        <v>1643</v>
      </c>
      <c r="L114" s="6">
        <f t="shared" si="44"/>
        <v>2000</v>
      </c>
      <c r="M114" s="6">
        <f t="shared" si="45"/>
        <v>2000</v>
      </c>
      <c r="N114" s="6">
        <f t="shared" si="46"/>
        <v>2000</v>
      </c>
      <c r="O114" s="6">
        <f t="shared" si="36"/>
        <v>-473</v>
      </c>
      <c r="P114" s="6">
        <f t="shared" si="37"/>
        <v>-496</v>
      </c>
      <c r="Q114" s="6">
        <f t="shared" si="38"/>
        <v>-357</v>
      </c>
      <c r="R114" s="8">
        <v>0</v>
      </c>
      <c r="S114" s="8">
        <v>0</v>
      </c>
      <c r="T114" s="8">
        <v>0</v>
      </c>
      <c r="U114" s="25">
        <f t="shared" si="39"/>
        <v>-253</v>
      </c>
      <c r="V114" s="25">
        <f t="shared" si="40"/>
        <v>-286</v>
      </c>
      <c r="W114" s="25">
        <f t="shared" si="41"/>
        <v>-217</v>
      </c>
      <c r="X114" s="15">
        <v>0.81399999999999995</v>
      </c>
      <c r="Y114" s="7"/>
      <c r="Z114" s="21">
        <f t="shared" si="42"/>
        <v>1.2</v>
      </c>
      <c r="AA114" s="6"/>
      <c r="AB114" s="6"/>
    </row>
    <row r="115" spans="1:28" ht="13.8">
      <c r="A115" s="13">
        <v>104</v>
      </c>
      <c r="B115" s="185" t="s">
        <v>176</v>
      </c>
      <c r="C115" s="10">
        <f t="shared" si="30"/>
        <v>1069</v>
      </c>
      <c r="D115" s="9">
        <f t="shared" si="43"/>
        <v>1517</v>
      </c>
      <c r="E115" s="26">
        <f t="shared" si="32"/>
        <v>2586</v>
      </c>
      <c r="F115" s="8">
        <f t="shared" si="24"/>
        <v>1059</v>
      </c>
      <c r="G115" s="8">
        <f t="shared" si="25"/>
        <v>1082</v>
      </c>
      <c r="H115" s="8">
        <f t="shared" si="26"/>
        <v>943</v>
      </c>
      <c r="I115" s="6">
        <f t="shared" si="27"/>
        <v>1527</v>
      </c>
      <c r="J115" s="6">
        <f t="shared" si="28"/>
        <v>1504</v>
      </c>
      <c r="K115" s="6">
        <f t="shared" si="29"/>
        <v>1643</v>
      </c>
      <c r="L115" s="6">
        <f t="shared" si="44"/>
        <v>2000</v>
      </c>
      <c r="M115" s="6">
        <f t="shared" si="45"/>
        <v>2000</v>
      </c>
      <c r="N115" s="6">
        <f t="shared" si="46"/>
        <v>2000</v>
      </c>
      <c r="O115" s="6">
        <f t="shared" si="36"/>
        <v>-473</v>
      </c>
      <c r="P115" s="6">
        <f t="shared" si="37"/>
        <v>-496</v>
      </c>
      <c r="Q115" s="6">
        <f t="shared" si="38"/>
        <v>-357</v>
      </c>
      <c r="R115" s="8">
        <v>0</v>
      </c>
      <c r="S115" s="8">
        <v>0</v>
      </c>
      <c r="T115" s="8">
        <v>0</v>
      </c>
      <c r="U115" s="25">
        <f t="shared" si="39"/>
        <v>-253</v>
      </c>
      <c r="V115" s="25">
        <f t="shared" si="40"/>
        <v>-286</v>
      </c>
      <c r="W115" s="25">
        <f t="shared" si="41"/>
        <v>-217</v>
      </c>
      <c r="X115" s="15">
        <v>0.81399999999999995</v>
      </c>
      <c r="Y115" s="7"/>
      <c r="Z115" s="21">
        <f t="shared" si="42"/>
        <v>1.2</v>
      </c>
      <c r="AA115" s="6"/>
      <c r="AB115" s="6"/>
    </row>
    <row r="116" spans="1:28" ht="13.8">
      <c r="A116" s="13">
        <v>105</v>
      </c>
      <c r="B116" s="185" t="s">
        <v>177</v>
      </c>
      <c r="C116" s="10">
        <f t="shared" si="30"/>
        <v>1069</v>
      </c>
      <c r="D116" s="9">
        <f t="shared" si="43"/>
        <v>1515</v>
      </c>
      <c r="E116" s="26">
        <f t="shared" si="32"/>
        <v>2584</v>
      </c>
      <c r="F116" s="8">
        <f t="shared" si="24"/>
        <v>1057</v>
      </c>
      <c r="G116" s="8">
        <f t="shared" si="25"/>
        <v>1080</v>
      </c>
      <c r="H116" s="8">
        <f t="shared" si="26"/>
        <v>941</v>
      </c>
      <c r="I116" s="6">
        <f t="shared" si="27"/>
        <v>1527</v>
      </c>
      <c r="J116" s="6">
        <f t="shared" si="28"/>
        <v>1504</v>
      </c>
      <c r="K116" s="6">
        <f t="shared" si="29"/>
        <v>1643</v>
      </c>
      <c r="L116" s="6">
        <f t="shared" si="44"/>
        <v>2000</v>
      </c>
      <c r="M116" s="6">
        <f t="shared" si="45"/>
        <v>2000</v>
      </c>
      <c r="N116" s="6">
        <f t="shared" si="46"/>
        <v>2000</v>
      </c>
      <c r="O116" s="6">
        <f t="shared" si="36"/>
        <v>-473</v>
      </c>
      <c r="P116" s="6">
        <f t="shared" si="37"/>
        <v>-496</v>
      </c>
      <c r="Q116" s="6">
        <f t="shared" si="38"/>
        <v>-357</v>
      </c>
      <c r="R116" s="8">
        <v>0</v>
      </c>
      <c r="S116" s="8">
        <v>0</v>
      </c>
      <c r="T116" s="8">
        <v>0</v>
      </c>
      <c r="U116" s="25">
        <f t="shared" si="39"/>
        <v>-253</v>
      </c>
      <c r="V116" s="25">
        <f t="shared" si="40"/>
        <v>-286</v>
      </c>
      <c r="W116" s="25">
        <f t="shared" si="41"/>
        <v>-217</v>
      </c>
      <c r="X116" s="15">
        <v>0.81399999999999995</v>
      </c>
      <c r="Y116" s="7"/>
      <c r="Z116" s="21">
        <f t="shared" si="42"/>
        <v>1.2</v>
      </c>
      <c r="AA116" s="6"/>
      <c r="AB116" s="6"/>
    </row>
    <row r="117" spans="1:28" ht="13.8">
      <c r="A117" s="13">
        <v>106</v>
      </c>
      <c r="B117" s="185" t="s">
        <v>178</v>
      </c>
      <c r="C117" s="10">
        <f t="shared" si="30"/>
        <v>1069</v>
      </c>
      <c r="D117" s="9">
        <f t="shared" si="43"/>
        <v>1513</v>
      </c>
      <c r="E117" s="26">
        <f t="shared" si="32"/>
        <v>2582</v>
      </c>
      <c r="F117" s="8">
        <f t="shared" si="24"/>
        <v>1055</v>
      </c>
      <c r="G117" s="8">
        <f t="shared" si="25"/>
        <v>1078</v>
      </c>
      <c r="H117" s="8">
        <f t="shared" si="26"/>
        <v>939</v>
      </c>
      <c r="I117" s="6">
        <f t="shared" si="27"/>
        <v>1527</v>
      </c>
      <c r="J117" s="6">
        <f t="shared" si="28"/>
        <v>1504</v>
      </c>
      <c r="K117" s="6">
        <f t="shared" si="29"/>
        <v>1643</v>
      </c>
      <c r="L117" s="6">
        <f t="shared" si="44"/>
        <v>2000</v>
      </c>
      <c r="M117" s="6">
        <f t="shared" si="45"/>
        <v>2000</v>
      </c>
      <c r="N117" s="6">
        <f t="shared" si="46"/>
        <v>2000</v>
      </c>
      <c r="O117" s="6">
        <f t="shared" si="36"/>
        <v>-473</v>
      </c>
      <c r="P117" s="6">
        <f t="shared" si="37"/>
        <v>-496</v>
      </c>
      <c r="Q117" s="6">
        <f t="shared" si="38"/>
        <v>-357</v>
      </c>
      <c r="R117" s="8">
        <v>0</v>
      </c>
      <c r="S117" s="8">
        <v>0</v>
      </c>
      <c r="T117" s="8">
        <v>0</v>
      </c>
      <c r="U117" s="25">
        <f t="shared" si="39"/>
        <v>-253</v>
      </c>
      <c r="V117" s="25">
        <f t="shared" si="40"/>
        <v>-286</v>
      </c>
      <c r="W117" s="25">
        <f t="shared" si="41"/>
        <v>-217</v>
      </c>
      <c r="X117" s="15">
        <v>0.81399999999999995</v>
      </c>
      <c r="Y117" s="7"/>
      <c r="Z117" s="21">
        <f t="shared" si="42"/>
        <v>1.2</v>
      </c>
      <c r="AA117" s="6"/>
      <c r="AB117" s="6"/>
    </row>
    <row r="118" spans="1:28" ht="13.8">
      <c r="A118" s="13">
        <v>107</v>
      </c>
      <c r="B118" s="185" t="s">
        <v>179</v>
      </c>
      <c r="C118" s="10">
        <f t="shared" si="30"/>
        <v>1069</v>
      </c>
      <c r="D118" s="9">
        <f t="shared" si="43"/>
        <v>1511</v>
      </c>
      <c r="E118" s="26">
        <f t="shared" si="32"/>
        <v>2580</v>
      </c>
      <c r="F118" s="8">
        <f t="shared" si="24"/>
        <v>1053</v>
      </c>
      <c r="G118" s="8">
        <f t="shared" si="25"/>
        <v>1076</v>
      </c>
      <c r="H118" s="8">
        <f t="shared" si="26"/>
        <v>937</v>
      </c>
      <c r="I118" s="6">
        <f t="shared" si="27"/>
        <v>1527</v>
      </c>
      <c r="J118" s="6">
        <f t="shared" si="28"/>
        <v>1504</v>
      </c>
      <c r="K118" s="6">
        <f t="shared" si="29"/>
        <v>1643</v>
      </c>
      <c r="L118" s="6">
        <f t="shared" si="44"/>
        <v>2000</v>
      </c>
      <c r="M118" s="6">
        <f t="shared" si="45"/>
        <v>2000</v>
      </c>
      <c r="N118" s="6">
        <f t="shared" si="46"/>
        <v>2000</v>
      </c>
      <c r="O118" s="6">
        <f t="shared" si="36"/>
        <v>-473</v>
      </c>
      <c r="P118" s="6">
        <f t="shared" si="37"/>
        <v>-496</v>
      </c>
      <c r="Q118" s="6">
        <f t="shared" si="38"/>
        <v>-357</v>
      </c>
      <c r="R118" s="8">
        <v>0</v>
      </c>
      <c r="S118" s="8">
        <v>0</v>
      </c>
      <c r="T118" s="8">
        <v>0</v>
      </c>
      <c r="U118" s="25">
        <f t="shared" si="39"/>
        <v>-253</v>
      </c>
      <c r="V118" s="25">
        <f t="shared" si="40"/>
        <v>-286</v>
      </c>
      <c r="W118" s="25">
        <f t="shared" si="41"/>
        <v>-217</v>
      </c>
      <c r="X118" s="15">
        <v>0.81399999999999995</v>
      </c>
      <c r="Y118" s="7"/>
      <c r="Z118" s="21">
        <f t="shared" si="42"/>
        <v>1.2</v>
      </c>
      <c r="AA118" s="6"/>
      <c r="AB118" s="6"/>
    </row>
    <row r="119" spans="1:28" ht="13.8">
      <c r="A119" s="13">
        <v>108</v>
      </c>
      <c r="B119" s="185" t="s">
        <v>180</v>
      </c>
      <c r="C119" s="10">
        <f t="shared" si="30"/>
        <v>1069</v>
      </c>
      <c r="D119" s="9">
        <f t="shared" si="43"/>
        <v>1509</v>
      </c>
      <c r="E119" s="26">
        <f t="shared" si="32"/>
        <v>2578</v>
      </c>
      <c r="F119" s="8">
        <f t="shared" si="24"/>
        <v>1051</v>
      </c>
      <c r="G119" s="8">
        <f t="shared" si="25"/>
        <v>1074</v>
      </c>
      <c r="H119" s="8">
        <f t="shared" si="26"/>
        <v>935</v>
      </c>
      <c r="I119" s="6">
        <f t="shared" si="27"/>
        <v>1527</v>
      </c>
      <c r="J119" s="6">
        <f t="shared" si="28"/>
        <v>1504</v>
      </c>
      <c r="K119" s="6">
        <f t="shared" si="29"/>
        <v>1643</v>
      </c>
      <c r="L119" s="6">
        <f t="shared" si="44"/>
        <v>2000</v>
      </c>
      <c r="M119" s="6">
        <f t="shared" si="45"/>
        <v>2000</v>
      </c>
      <c r="N119" s="6">
        <f t="shared" si="46"/>
        <v>2000</v>
      </c>
      <c r="O119" s="6">
        <f t="shared" si="36"/>
        <v>-473</v>
      </c>
      <c r="P119" s="6">
        <f t="shared" si="37"/>
        <v>-496</v>
      </c>
      <c r="Q119" s="6">
        <f t="shared" si="38"/>
        <v>-357</v>
      </c>
      <c r="R119" s="8">
        <v>0</v>
      </c>
      <c r="S119" s="8">
        <v>0</v>
      </c>
      <c r="T119" s="8">
        <v>0</v>
      </c>
      <c r="U119" s="25">
        <f t="shared" si="39"/>
        <v>-253</v>
      </c>
      <c r="V119" s="25">
        <f t="shared" si="40"/>
        <v>-286</v>
      </c>
      <c r="W119" s="25">
        <f t="shared" si="41"/>
        <v>-217</v>
      </c>
      <c r="X119" s="15">
        <v>0.81399999999999995</v>
      </c>
      <c r="Y119" s="7"/>
      <c r="Z119" s="21">
        <f t="shared" si="42"/>
        <v>1.2</v>
      </c>
      <c r="AA119" s="6"/>
      <c r="AB119" s="6"/>
    </row>
    <row r="120" spans="1:28" ht="13.8">
      <c r="A120" s="13">
        <v>109</v>
      </c>
      <c r="B120" s="185" t="s">
        <v>181</v>
      </c>
      <c r="C120" s="10">
        <f t="shared" si="30"/>
        <v>1069</v>
      </c>
      <c r="D120" s="9">
        <f t="shared" si="43"/>
        <v>1507</v>
      </c>
      <c r="E120" s="26">
        <f t="shared" si="32"/>
        <v>2576</v>
      </c>
      <c r="F120" s="8">
        <f t="shared" si="24"/>
        <v>1049</v>
      </c>
      <c r="G120" s="8">
        <f t="shared" si="25"/>
        <v>1072</v>
      </c>
      <c r="H120" s="8">
        <f t="shared" si="26"/>
        <v>933</v>
      </c>
      <c r="I120" s="6">
        <f t="shared" si="27"/>
        <v>1527</v>
      </c>
      <c r="J120" s="6">
        <f t="shared" si="28"/>
        <v>1504</v>
      </c>
      <c r="K120" s="6">
        <f t="shared" si="29"/>
        <v>1643</v>
      </c>
      <c r="L120" s="6">
        <f t="shared" si="44"/>
        <v>2000</v>
      </c>
      <c r="M120" s="6">
        <f t="shared" si="45"/>
        <v>2000</v>
      </c>
      <c r="N120" s="6">
        <f t="shared" si="46"/>
        <v>2000</v>
      </c>
      <c r="O120" s="6">
        <f t="shared" si="36"/>
        <v>-473</v>
      </c>
      <c r="P120" s="6">
        <f t="shared" si="37"/>
        <v>-496</v>
      </c>
      <c r="Q120" s="6">
        <f t="shared" si="38"/>
        <v>-357</v>
      </c>
      <c r="R120" s="8">
        <v>0</v>
      </c>
      <c r="S120" s="8">
        <v>0</v>
      </c>
      <c r="T120" s="8">
        <v>0</v>
      </c>
      <c r="U120" s="25">
        <f t="shared" si="39"/>
        <v>-253</v>
      </c>
      <c r="V120" s="25">
        <f t="shared" si="40"/>
        <v>-286</v>
      </c>
      <c r="W120" s="25">
        <f t="shared" si="41"/>
        <v>-217</v>
      </c>
      <c r="X120" s="15">
        <v>0.81399999999999995</v>
      </c>
      <c r="Y120" s="7"/>
      <c r="Z120" s="21">
        <f t="shared" si="42"/>
        <v>1.2</v>
      </c>
      <c r="AA120" s="6"/>
      <c r="AB120" s="6"/>
    </row>
    <row r="121" spans="1:28" ht="13.8">
      <c r="A121" s="13">
        <v>110</v>
      </c>
      <c r="B121" s="185" t="s">
        <v>182</v>
      </c>
      <c r="C121" s="10">
        <f t="shared" si="30"/>
        <v>1069</v>
      </c>
      <c r="D121" s="9">
        <f t="shared" si="43"/>
        <v>1505</v>
      </c>
      <c r="E121" s="26">
        <f t="shared" si="32"/>
        <v>2574</v>
      </c>
      <c r="F121" s="8">
        <f t="shared" si="24"/>
        <v>1047</v>
      </c>
      <c r="G121" s="8">
        <f t="shared" si="25"/>
        <v>1070</v>
      </c>
      <c r="H121" s="8">
        <f t="shared" si="26"/>
        <v>931</v>
      </c>
      <c r="I121" s="6">
        <f t="shared" si="27"/>
        <v>1527</v>
      </c>
      <c r="J121" s="6">
        <f t="shared" si="28"/>
        <v>1504</v>
      </c>
      <c r="K121" s="6">
        <f t="shared" si="29"/>
        <v>1643</v>
      </c>
      <c r="L121" s="6">
        <f t="shared" si="44"/>
        <v>2000</v>
      </c>
      <c r="M121" s="6">
        <f t="shared" si="45"/>
        <v>2000</v>
      </c>
      <c r="N121" s="6">
        <f t="shared" si="46"/>
        <v>2000</v>
      </c>
      <c r="O121" s="6">
        <f t="shared" si="36"/>
        <v>-473</v>
      </c>
      <c r="P121" s="6">
        <f t="shared" si="37"/>
        <v>-496</v>
      </c>
      <c r="Q121" s="6">
        <f t="shared" si="38"/>
        <v>-357</v>
      </c>
      <c r="R121" s="8">
        <v>0</v>
      </c>
      <c r="S121" s="8">
        <v>0</v>
      </c>
      <c r="T121" s="8">
        <v>0</v>
      </c>
      <c r="U121" s="25">
        <f t="shared" si="39"/>
        <v>-253</v>
      </c>
      <c r="V121" s="25">
        <f t="shared" si="40"/>
        <v>-286</v>
      </c>
      <c r="W121" s="25">
        <f t="shared" si="41"/>
        <v>-217</v>
      </c>
      <c r="X121" s="15">
        <v>0.81399999999999995</v>
      </c>
      <c r="Y121" s="7"/>
      <c r="Z121" s="21">
        <f t="shared" si="42"/>
        <v>1.2</v>
      </c>
      <c r="AA121" s="6"/>
      <c r="AB121" s="6"/>
    </row>
    <row r="122" spans="1:28" ht="13.8">
      <c r="A122" s="13">
        <v>111</v>
      </c>
      <c r="B122" s="185" t="s">
        <v>183</v>
      </c>
      <c r="C122" s="10">
        <f t="shared" si="30"/>
        <v>1069</v>
      </c>
      <c r="D122" s="9">
        <f t="shared" si="43"/>
        <v>1503</v>
      </c>
      <c r="E122" s="26">
        <f t="shared" si="32"/>
        <v>2572</v>
      </c>
      <c r="F122" s="8">
        <f t="shared" si="24"/>
        <v>1045</v>
      </c>
      <c r="G122" s="8">
        <f t="shared" si="25"/>
        <v>1068</v>
      </c>
      <c r="H122" s="8">
        <f t="shared" si="26"/>
        <v>929</v>
      </c>
      <c r="I122" s="6">
        <f t="shared" si="27"/>
        <v>1527</v>
      </c>
      <c r="J122" s="6">
        <f t="shared" si="28"/>
        <v>1504</v>
      </c>
      <c r="K122" s="6">
        <f t="shared" si="29"/>
        <v>1643</v>
      </c>
      <c r="L122" s="6">
        <f t="shared" si="44"/>
        <v>2000</v>
      </c>
      <c r="M122" s="6">
        <f t="shared" si="45"/>
        <v>2000</v>
      </c>
      <c r="N122" s="6">
        <f t="shared" si="46"/>
        <v>2000</v>
      </c>
      <c r="O122" s="6">
        <f t="shared" si="36"/>
        <v>-473</v>
      </c>
      <c r="P122" s="6">
        <f t="shared" si="37"/>
        <v>-496</v>
      </c>
      <c r="Q122" s="6">
        <f t="shared" si="38"/>
        <v>-357</v>
      </c>
      <c r="R122" s="8">
        <v>0</v>
      </c>
      <c r="S122" s="8">
        <v>0</v>
      </c>
      <c r="T122" s="8">
        <v>0</v>
      </c>
      <c r="U122" s="25">
        <f t="shared" si="39"/>
        <v>-253</v>
      </c>
      <c r="V122" s="25">
        <f t="shared" si="40"/>
        <v>-286</v>
      </c>
      <c r="W122" s="25">
        <f t="shared" si="41"/>
        <v>-217</v>
      </c>
      <c r="X122" s="15">
        <v>0.81399999999999995</v>
      </c>
      <c r="Y122" s="7"/>
      <c r="Z122" s="21">
        <f t="shared" si="42"/>
        <v>1.2</v>
      </c>
      <c r="AA122" s="6"/>
      <c r="AB122" s="6"/>
    </row>
    <row r="123" spans="1:28" ht="13.8">
      <c r="A123" s="13">
        <v>112</v>
      </c>
      <c r="B123" s="185" t="s">
        <v>184</v>
      </c>
      <c r="C123" s="10">
        <f t="shared" si="30"/>
        <v>1069</v>
      </c>
      <c r="D123" s="9">
        <f t="shared" si="43"/>
        <v>1501</v>
      </c>
      <c r="E123" s="26">
        <f t="shared" si="32"/>
        <v>2570</v>
      </c>
      <c r="F123" s="8">
        <f t="shared" si="24"/>
        <v>1043</v>
      </c>
      <c r="G123" s="8">
        <f t="shared" si="25"/>
        <v>1066</v>
      </c>
      <c r="H123" s="8">
        <f t="shared" si="26"/>
        <v>927</v>
      </c>
      <c r="I123" s="6">
        <f t="shared" si="27"/>
        <v>1527</v>
      </c>
      <c r="J123" s="6">
        <f t="shared" si="28"/>
        <v>1504</v>
      </c>
      <c r="K123" s="6">
        <f t="shared" si="29"/>
        <v>1643</v>
      </c>
      <c r="L123" s="6">
        <f t="shared" si="44"/>
        <v>2000</v>
      </c>
      <c r="M123" s="6">
        <f t="shared" si="45"/>
        <v>2000</v>
      </c>
      <c r="N123" s="6">
        <f t="shared" si="46"/>
        <v>2000</v>
      </c>
      <c r="O123" s="6">
        <f t="shared" si="36"/>
        <v>-473</v>
      </c>
      <c r="P123" s="6">
        <f t="shared" si="37"/>
        <v>-496</v>
      </c>
      <c r="Q123" s="6">
        <f t="shared" si="38"/>
        <v>-357</v>
      </c>
      <c r="R123" s="8">
        <v>0</v>
      </c>
      <c r="S123" s="8">
        <v>0</v>
      </c>
      <c r="T123" s="8">
        <v>0</v>
      </c>
      <c r="U123" s="25">
        <f t="shared" si="39"/>
        <v>-253</v>
      </c>
      <c r="V123" s="25">
        <f t="shared" si="40"/>
        <v>-286</v>
      </c>
      <c r="W123" s="25">
        <f t="shared" si="41"/>
        <v>-217</v>
      </c>
      <c r="X123" s="15">
        <v>0.81399999999999995</v>
      </c>
      <c r="Y123" s="7"/>
      <c r="Z123" s="21">
        <f t="shared" si="42"/>
        <v>1.2</v>
      </c>
      <c r="AA123" s="6"/>
      <c r="AB123" s="6"/>
    </row>
    <row r="124" spans="1:28" ht="13.8">
      <c r="A124" s="13">
        <v>113</v>
      </c>
      <c r="B124" s="185" t="s">
        <v>185</v>
      </c>
      <c r="C124" s="10">
        <f t="shared" si="30"/>
        <v>1069</v>
      </c>
      <c r="D124" s="9">
        <f t="shared" ref="D124:D187" si="47">D123+2</f>
        <v>1503</v>
      </c>
      <c r="E124" s="26">
        <f t="shared" si="32"/>
        <v>2572</v>
      </c>
      <c r="F124" s="8">
        <f t="shared" si="24"/>
        <v>1045</v>
      </c>
      <c r="G124" s="8">
        <f t="shared" si="25"/>
        <v>1068</v>
      </c>
      <c r="H124" s="8">
        <f t="shared" si="26"/>
        <v>929</v>
      </c>
      <c r="I124" s="6">
        <f t="shared" si="27"/>
        <v>1527</v>
      </c>
      <c r="J124" s="6">
        <f t="shared" si="28"/>
        <v>1504</v>
      </c>
      <c r="K124" s="6">
        <f t="shared" si="29"/>
        <v>1643</v>
      </c>
      <c r="L124" s="6">
        <f t="shared" si="44"/>
        <v>2000</v>
      </c>
      <c r="M124" s="6">
        <f t="shared" si="45"/>
        <v>2000</v>
      </c>
      <c r="N124" s="6">
        <f t="shared" si="46"/>
        <v>2000</v>
      </c>
      <c r="O124" s="6">
        <f t="shared" si="36"/>
        <v>-473</v>
      </c>
      <c r="P124" s="6">
        <f t="shared" si="37"/>
        <v>-496</v>
      </c>
      <c r="Q124" s="6">
        <f t="shared" si="38"/>
        <v>-357</v>
      </c>
      <c r="R124" s="8">
        <v>0</v>
      </c>
      <c r="S124" s="8">
        <v>0</v>
      </c>
      <c r="T124" s="8">
        <v>0</v>
      </c>
      <c r="U124" s="25">
        <f t="shared" si="39"/>
        <v>-253</v>
      </c>
      <c r="V124" s="25">
        <f t="shared" si="40"/>
        <v>-286</v>
      </c>
      <c r="W124" s="25">
        <f t="shared" si="41"/>
        <v>-217</v>
      </c>
      <c r="X124" s="15">
        <v>0.81399999999999995</v>
      </c>
      <c r="Y124" s="7"/>
      <c r="Z124" s="21">
        <f t="shared" si="42"/>
        <v>1.2</v>
      </c>
      <c r="AA124" s="6"/>
      <c r="AB124" s="6"/>
    </row>
    <row r="125" spans="1:28" ht="13.8">
      <c r="A125" s="13">
        <v>114</v>
      </c>
      <c r="B125" s="185" t="s">
        <v>186</v>
      </c>
      <c r="C125" s="10">
        <f t="shared" si="30"/>
        <v>1069</v>
      </c>
      <c r="D125" s="9">
        <f t="shared" si="47"/>
        <v>1505</v>
      </c>
      <c r="E125" s="26">
        <f t="shared" si="32"/>
        <v>2574</v>
      </c>
      <c r="F125" s="8">
        <f t="shared" si="24"/>
        <v>1047</v>
      </c>
      <c r="G125" s="8">
        <f t="shared" si="25"/>
        <v>1070</v>
      </c>
      <c r="H125" s="8">
        <f t="shared" si="26"/>
        <v>931</v>
      </c>
      <c r="I125" s="6">
        <f t="shared" si="27"/>
        <v>1527</v>
      </c>
      <c r="J125" s="6">
        <f t="shared" si="28"/>
        <v>1504</v>
      </c>
      <c r="K125" s="6">
        <f t="shared" si="29"/>
        <v>1643</v>
      </c>
      <c r="L125" s="6">
        <f t="shared" si="44"/>
        <v>2000</v>
      </c>
      <c r="M125" s="6">
        <f t="shared" si="45"/>
        <v>2000</v>
      </c>
      <c r="N125" s="6">
        <f t="shared" si="46"/>
        <v>2000</v>
      </c>
      <c r="O125" s="6">
        <f t="shared" si="36"/>
        <v>-473</v>
      </c>
      <c r="P125" s="6">
        <f t="shared" si="37"/>
        <v>-496</v>
      </c>
      <c r="Q125" s="6">
        <f t="shared" si="38"/>
        <v>-357</v>
      </c>
      <c r="R125" s="8">
        <v>0</v>
      </c>
      <c r="S125" s="8">
        <v>0</v>
      </c>
      <c r="T125" s="8">
        <v>0</v>
      </c>
      <c r="U125" s="25">
        <f t="shared" si="39"/>
        <v>-253</v>
      </c>
      <c r="V125" s="25">
        <f t="shared" si="40"/>
        <v>-286</v>
      </c>
      <c r="W125" s="25">
        <f t="shared" si="41"/>
        <v>-217</v>
      </c>
      <c r="X125" s="15">
        <v>0.81399999999999995</v>
      </c>
      <c r="Y125" s="7"/>
      <c r="Z125" s="21">
        <f t="shared" si="42"/>
        <v>1.2</v>
      </c>
      <c r="AA125" s="6"/>
      <c r="AB125" s="6"/>
    </row>
    <row r="126" spans="1:28" ht="13.8">
      <c r="A126" s="13">
        <v>115</v>
      </c>
      <c r="B126" s="185" t="s">
        <v>187</v>
      </c>
      <c r="C126" s="10">
        <f t="shared" si="30"/>
        <v>1069</v>
      </c>
      <c r="D126" s="9">
        <f t="shared" si="47"/>
        <v>1507</v>
      </c>
      <c r="E126" s="26">
        <f t="shared" si="32"/>
        <v>2576</v>
      </c>
      <c r="F126" s="8">
        <f t="shared" si="24"/>
        <v>1049</v>
      </c>
      <c r="G126" s="8">
        <f t="shared" si="25"/>
        <v>1072</v>
      </c>
      <c r="H126" s="8">
        <f t="shared" si="26"/>
        <v>933</v>
      </c>
      <c r="I126" s="6">
        <f t="shared" si="27"/>
        <v>1527</v>
      </c>
      <c r="J126" s="6">
        <f t="shared" si="28"/>
        <v>1504</v>
      </c>
      <c r="K126" s="6">
        <f t="shared" si="29"/>
        <v>1643</v>
      </c>
      <c r="L126" s="6">
        <f t="shared" si="44"/>
        <v>2000</v>
      </c>
      <c r="M126" s="6">
        <f t="shared" si="45"/>
        <v>2000</v>
      </c>
      <c r="N126" s="6">
        <f t="shared" si="46"/>
        <v>2000</v>
      </c>
      <c r="O126" s="6">
        <f t="shared" si="36"/>
        <v>-473</v>
      </c>
      <c r="P126" s="6">
        <f t="shared" si="37"/>
        <v>-496</v>
      </c>
      <c r="Q126" s="6">
        <f t="shared" si="38"/>
        <v>-357</v>
      </c>
      <c r="R126" s="8">
        <v>0</v>
      </c>
      <c r="S126" s="8">
        <v>0</v>
      </c>
      <c r="T126" s="8">
        <v>0</v>
      </c>
      <c r="U126" s="25">
        <f t="shared" si="39"/>
        <v>-253</v>
      </c>
      <c r="V126" s="25">
        <f t="shared" si="40"/>
        <v>-286</v>
      </c>
      <c r="W126" s="25">
        <f t="shared" si="41"/>
        <v>-217</v>
      </c>
      <c r="X126" s="15">
        <v>0.81399999999999995</v>
      </c>
      <c r="Y126" s="7"/>
      <c r="Z126" s="21">
        <f t="shared" si="42"/>
        <v>1.2</v>
      </c>
      <c r="AA126" s="6"/>
      <c r="AB126" s="6"/>
    </row>
    <row r="127" spans="1:28" ht="13.8">
      <c r="A127" s="13">
        <v>116</v>
      </c>
      <c r="B127" s="185" t="s">
        <v>188</v>
      </c>
      <c r="C127" s="10">
        <f t="shared" si="30"/>
        <v>1069</v>
      </c>
      <c r="D127" s="9">
        <f t="shared" si="47"/>
        <v>1509</v>
      </c>
      <c r="E127" s="26">
        <f t="shared" si="32"/>
        <v>2578</v>
      </c>
      <c r="F127" s="8">
        <f t="shared" si="24"/>
        <v>1051</v>
      </c>
      <c r="G127" s="8">
        <f t="shared" si="25"/>
        <v>1074</v>
      </c>
      <c r="H127" s="8">
        <f t="shared" si="26"/>
        <v>935</v>
      </c>
      <c r="I127" s="6">
        <f t="shared" si="27"/>
        <v>1527</v>
      </c>
      <c r="J127" s="6">
        <f t="shared" si="28"/>
        <v>1504</v>
      </c>
      <c r="K127" s="6">
        <f t="shared" si="29"/>
        <v>1643</v>
      </c>
      <c r="L127" s="6">
        <f t="shared" si="44"/>
        <v>2000</v>
      </c>
      <c r="M127" s="6">
        <f t="shared" si="45"/>
        <v>2000</v>
      </c>
      <c r="N127" s="6">
        <f t="shared" si="46"/>
        <v>2000</v>
      </c>
      <c r="O127" s="6">
        <f t="shared" si="36"/>
        <v>-473</v>
      </c>
      <c r="P127" s="6">
        <f t="shared" si="37"/>
        <v>-496</v>
      </c>
      <c r="Q127" s="6">
        <f t="shared" si="38"/>
        <v>-357</v>
      </c>
      <c r="R127" s="8">
        <v>0</v>
      </c>
      <c r="S127" s="8">
        <v>0</v>
      </c>
      <c r="T127" s="8">
        <v>0</v>
      </c>
      <c r="U127" s="25">
        <f t="shared" si="39"/>
        <v>-253</v>
      </c>
      <c r="V127" s="25">
        <f t="shared" si="40"/>
        <v>-286</v>
      </c>
      <c r="W127" s="25">
        <f t="shared" si="41"/>
        <v>-217</v>
      </c>
      <c r="X127" s="15">
        <v>0.81399999999999995</v>
      </c>
      <c r="Y127" s="7"/>
      <c r="Z127" s="21">
        <f t="shared" si="42"/>
        <v>1.2</v>
      </c>
      <c r="AA127" s="6"/>
      <c r="AB127" s="6"/>
    </row>
    <row r="128" spans="1:28" ht="13.8">
      <c r="A128" s="13">
        <v>117</v>
      </c>
      <c r="B128" s="185" t="s">
        <v>189</v>
      </c>
      <c r="C128" s="10">
        <f t="shared" si="30"/>
        <v>1069</v>
      </c>
      <c r="D128" s="9">
        <f t="shared" si="47"/>
        <v>1511</v>
      </c>
      <c r="E128" s="26">
        <f t="shared" si="32"/>
        <v>2580</v>
      </c>
      <c r="F128" s="8">
        <f t="shared" si="24"/>
        <v>1053</v>
      </c>
      <c r="G128" s="8">
        <f t="shared" si="25"/>
        <v>1076</v>
      </c>
      <c r="H128" s="8">
        <f t="shared" si="26"/>
        <v>937</v>
      </c>
      <c r="I128" s="6">
        <f t="shared" si="27"/>
        <v>1527</v>
      </c>
      <c r="J128" s="6">
        <f t="shared" si="28"/>
        <v>1504</v>
      </c>
      <c r="K128" s="6">
        <f t="shared" si="29"/>
        <v>1643</v>
      </c>
      <c r="L128" s="6">
        <f t="shared" si="44"/>
        <v>2000</v>
      </c>
      <c r="M128" s="6">
        <f t="shared" si="45"/>
        <v>2000</v>
      </c>
      <c r="N128" s="6">
        <f t="shared" si="46"/>
        <v>2000</v>
      </c>
      <c r="O128" s="6">
        <f t="shared" si="36"/>
        <v>-473</v>
      </c>
      <c r="P128" s="6">
        <f t="shared" si="37"/>
        <v>-496</v>
      </c>
      <c r="Q128" s="6">
        <f t="shared" si="38"/>
        <v>-357</v>
      </c>
      <c r="R128" s="8">
        <v>0</v>
      </c>
      <c r="S128" s="8">
        <v>0</v>
      </c>
      <c r="T128" s="8">
        <v>0</v>
      </c>
      <c r="U128" s="25">
        <f t="shared" si="39"/>
        <v>-253</v>
      </c>
      <c r="V128" s="25">
        <f t="shared" si="40"/>
        <v>-286</v>
      </c>
      <c r="W128" s="25">
        <f t="shared" si="41"/>
        <v>-217</v>
      </c>
      <c r="X128" s="15">
        <v>0.81399999999999995</v>
      </c>
      <c r="Y128" s="7"/>
      <c r="Z128" s="21">
        <f t="shared" si="42"/>
        <v>1.2</v>
      </c>
      <c r="AA128" s="6"/>
      <c r="AB128" s="6"/>
    </row>
    <row r="129" spans="1:28" ht="13.8">
      <c r="A129" s="13">
        <v>118</v>
      </c>
      <c r="B129" s="185" t="s">
        <v>190</v>
      </c>
      <c r="C129" s="10">
        <f t="shared" si="30"/>
        <v>1069</v>
      </c>
      <c r="D129" s="9">
        <f t="shared" si="47"/>
        <v>1513</v>
      </c>
      <c r="E129" s="26">
        <f t="shared" si="32"/>
        <v>2582</v>
      </c>
      <c r="F129" s="8">
        <f t="shared" si="24"/>
        <v>1055</v>
      </c>
      <c r="G129" s="8">
        <f t="shared" si="25"/>
        <v>1078</v>
      </c>
      <c r="H129" s="8">
        <f t="shared" si="26"/>
        <v>939</v>
      </c>
      <c r="I129" s="6">
        <f t="shared" si="27"/>
        <v>1527</v>
      </c>
      <c r="J129" s="6">
        <f t="shared" si="28"/>
        <v>1504</v>
      </c>
      <c r="K129" s="6">
        <f t="shared" si="29"/>
        <v>1643</v>
      </c>
      <c r="L129" s="6">
        <f t="shared" si="44"/>
        <v>2000</v>
      </c>
      <c r="M129" s="6">
        <f t="shared" si="45"/>
        <v>2000</v>
      </c>
      <c r="N129" s="6">
        <f t="shared" si="46"/>
        <v>2000</v>
      </c>
      <c r="O129" s="6">
        <f t="shared" si="36"/>
        <v>-473</v>
      </c>
      <c r="P129" s="6">
        <f t="shared" si="37"/>
        <v>-496</v>
      </c>
      <c r="Q129" s="6">
        <f t="shared" si="38"/>
        <v>-357</v>
      </c>
      <c r="R129" s="8">
        <v>0</v>
      </c>
      <c r="S129" s="8">
        <v>0</v>
      </c>
      <c r="T129" s="8">
        <v>0</v>
      </c>
      <c r="U129" s="25">
        <f t="shared" si="39"/>
        <v>-253</v>
      </c>
      <c r="V129" s="25">
        <f t="shared" si="40"/>
        <v>-286</v>
      </c>
      <c r="W129" s="25">
        <f t="shared" si="41"/>
        <v>-217</v>
      </c>
      <c r="X129" s="15">
        <v>0.81399999999999995</v>
      </c>
      <c r="Y129" s="7"/>
      <c r="Z129" s="21">
        <f t="shared" si="42"/>
        <v>1.2</v>
      </c>
      <c r="AA129" s="6"/>
      <c r="AB129" s="6"/>
    </row>
    <row r="130" spans="1:28" ht="13.8">
      <c r="A130" s="13">
        <v>119</v>
      </c>
      <c r="B130" s="185" t="s">
        <v>191</v>
      </c>
      <c r="C130" s="10">
        <f t="shared" si="30"/>
        <v>1069</v>
      </c>
      <c r="D130" s="9">
        <f t="shared" si="47"/>
        <v>1515</v>
      </c>
      <c r="E130" s="26">
        <f t="shared" si="32"/>
        <v>2584</v>
      </c>
      <c r="F130" s="8">
        <f t="shared" si="24"/>
        <v>1057</v>
      </c>
      <c r="G130" s="8">
        <f t="shared" si="25"/>
        <v>1080</v>
      </c>
      <c r="H130" s="8">
        <f t="shared" si="26"/>
        <v>941</v>
      </c>
      <c r="I130" s="6">
        <f t="shared" si="27"/>
        <v>1527</v>
      </c>
      <c r="J130" s="6">
        <f t="shared" si="28"/>
        <v>1504</v>
      </c>
      <c r="K130" s="6">
        <f t="shared" si="29"/>
        <v>1643</v>
      </c>
      <c r="L130" s="6">
        <f t="shared" si="44"/>
        <v>2000</v>
      </c>
      <c r="M130" s="6">
        <f t="shared" si="45"/>
        <v>2000</v>
      </c>
      <c r="N130" s="6">
        <f t="shared" si="46"/>
        <v>2000</v>
      </c>
      <c r="O130" s="6">
        <f t="shared" si="36"/>
        <v>-473</v>
      </c>
      <c r="P130" s="6">
        <f t="shared" si="37"/>
        <v>-496</v>
      </c>
      <c r="Q130" s="6">
        <f t="shared" si="38"/>
        <v>-357</v>
      </c>
      <c r="R130" s="8">
        <v>0</v>
      </c>
      <c r="S130" s="8">
        <v>0</v>
      </c>
      <c r="T130" s="8">
        <v>0</v>
      </c>
      <c r="U130" s="25">
        <f t="shared" si="39"/>
        <v>-253</v>
      </c>
      <c r="V130" s="25">
        <f t="shared" si="40"/>
        <v>-286</v>
      </c>
      <c r="W130" s="25">
        <f t="shared" si="41"/>
        <v>-217</v>
      </c>
      <c r="X130" s="15">
        <v>0.81399999999999995</v>
      </c>
      <c r="Y130" s="7"/>
      <c r="Z130" s="21">
        <f t="shared" si="42"/>
        <v>1.2</v>
      </c>
      <c r="AA130" s="6"/>
      <c r="AB130" s="6"/>
    </row>
    <row r="131" spans="1:28" ht="13.8">
      <c r="A131" s="13">
        <v>120</v>
      </c>
      <c r="B131" s="185" t="s">
        <v>192</v>
      </c>
      <c r="C131" s="10">
        <f t="shared" si="30"/>
        <v>1069</v>
      </c>
      <c r="D131" s="9">
        <f t="shared" si="47"/>
        <v>1517</v>
      </c>
      <c r="E131" s="26">
        <f t="shared" si="32"/>
        <v>2586</v>
      </c>
      <c r="F131" s="8">
        <f t="shared" si="24"/>
        <v>1059</v>
      </c>
      <c r="G131" s="8">
        <f t="shared" si="25"/>
        <v>1082</v>
      </c>
      <c r="H131" s="8">
        <f t="shared" si="26"/>
        <v>943</v>
      </c>
      <c r="I131" s="6">
        <f t="shared" si="27"/>
        <v>1527</v>
      </c>
      <c r="J131" s="6">
        <f t="shared" si="28"/>
        <v>1504</v>
      </c>
      <c r="K131" s="6">
        <f t="shared" si="29"/>
        <v>1643</v>
      </c>
      <c r="L131" s="6">
        <f t="shared" si="44"/>
        <v>2000</v>
      </c>
      <c r="M131" s="6">
        <f t="shared" si="45"/>
        <v>2000</v>
      </c>
      <c r="N131" s="6">
        <f t="shared" si="46"/>
        <v>2000</v>
      </c>
      <c r="O131" s="6">
        <f t="shared" si="36"/>
        <v>-473</v>
      </c>
      <c r="P131" s="6">
        <f t="shared" si="37"/>
        <v>-496</v>
      </c>
      <c r="Q131" s="6">
        <f t="shared" si="38"/>
        <v>-357</v>
      </c>
      <c r="R131" s="8">
        <v>0</v>
      </c>
      <c r="S131" s="8">
        <v>0</v>
      </c>
      <c r="T131" s="8">
        <v>0</v>
      </c>
      <c r="U131" s="25">
        <f t="shared" si="39"/>
        <v>-253</v>
      </c>
      <c r="V131" s="25">
        <f t="shared" si="40"/>
        <v>-286</v>
      </c>
      <c r="W131" s="25">
        <f t="shared" si="41"/>
        <v>-217</v>
      </c>
      <c r="X131" s="15">
        <v>0.81399999999999995</v>
      </c>
      <c r="Y131" s="7"/>
      <c r="Z131" s="21">
        <f t="shared" si="42"/>
        <v>1.2</v>
      </c>
      <c r="AA131" s="6"/>
      <c r="AB131" s="6"/>
    </row>
    <row r="132" spans="1:28" ht="13.8">
      <c r="A132" s="13">
        <v>121</v>
      </c>
      <c r="B132" s="185" t="s">
        <v>193</v>
      </c>
      <c r="C132" s="10">
        <f t="shared" si="30"/>
        <v>1069</v>
      </c>
      <c r="D132" s="9">
        <f t="shared" si="47"/>
        <v>1519</v>
      </c>
      <c r="E132" s="26">
        <f t="shared" si="32"/>
        <v>2588</v>
      </c>
      <c r="F132" s="8">
        <f t="shared" si="24"/>
        <v>1061</v>
      </c>
      <c r="G132" s="8">
        <f t="shared" si="25"/>
        <v>1084</v>
      </c>
      <c r="H132" s="8">
        <f t="shared" si="26"/>
        <v>945</v>
      </c>
      <c r="I132" s="6">
        <f t="shared" si="27"/>
        <v>1527</v>
      </c>
      <c r="J132" s="6">
        <f t="shared" si="28"/>
        <v>1504</v>
      </c>
      <c r="K132" s="6">
        <f t="shared" si="29"/>
        <v>1643</v>
      </c>
      <c r="L132" s="6">
        <f t="shared" si="44"/>
        <v>2000</v>
      </c>
      <c r="M132" s="6">
        <f t="shared" si="45"/>
        <v>2000</v>
      </c>
      <c r="N132" s="6">
        <f t="shared" si="46"/>
        <v>2000</v>
      </c>
      <c r="O132" s="6">
        <f t="shared" si="36"/>
        <v>-473</v>
      </c>
      <c r="P132" s="6">
        <f t="shared" si="37"/>
        <v>-496</v>
      </c>
      <c r="Q132" s="6">
        <f t="shared" si="38"/>
        <v>-357</v>
      </c>
      <c r="R132" s="8">
        <v>0</v>
      </c>
      <c r="S132" s="8">
        <v>0</v>
      </c>
      <c r="T132" s="8">
        <v>0</v>
      </c>
      <c r="U132" s="25">
        <f t="shared" si="39"/>
        <v>-253</v>
      </c>
      <c r="V132" s="25">
        <f t="shared" si="40"/>
        <v>-286</v>
      </c>
      <c r="W132" s="25">
        <f t="shared" si="41"/>
        <v>-217</v>
      </c>
      <c r="X132" s="15">
        <v>0.81399999999999995</v>
      </c>
      <c r="Y132" s="7"/>
      <c r="Z132" s="21">
        <f t="shared" si="42"/>
        <v>1.2</v>
      </c>
      <c r="AA132" s="6"/>
      <c r="AB132" s="6"/>
    </row>
    <row r="133" spans="1:28" ht="13.8">
      <c r="A133" s="13">
        <v>122</v>
      </c>
      <c r="B133" s="185" t="s">
        <v>194</v>
      </c>
      <c r="C133" s="10">
        <f t="shared" si="30"/>
        <v>1069</v>
      </c>
      <c r="D133" s="9">
        <f t="shared" si="47"/>
        <v>1521</v>
      </c>
      <c r="E133" s="26">
        <f t="shared" si="32"/>
        <v>2590</v>
      </c>
      <c r="F133" s="8">
        <f t="shared" si="24"/>
        <v>1063</v>
      </c>
      <c r="G133" s="8">
        <f t="shared" si="25"/>
        <v>1086</v>
      </c>
      <c r="H133" s="8">
        <f t="shared" si="26"/>
        <v>947</v>
      </c>
      <c r="I133" s="6">
        <f t="shared" si="27"/>
        <v>1527</v>
      </c>
      <c r="J133" s="6">
        <f t="shared" si="28"/>
        <v>1504</v>
      </c>
      <c r="K133" s="6">
        <f t="shared" si="29"/>
        <v>1643</v>
      </c>
      <c r="L133" s="6">
        <f t="shared" si="44"/>
        <v>2000</v>
      </c>
      <c r="M133" s="6">
        <f t="shared" si="45"/>
        <v>2000</v>
      </c>
      <c r="N133" s="6">
        <f t="shared" si="46"/>
        <v>2000</v>
      </c>
      <c r="O133" s="6">
        <f t="shared" si="36"/>
        <v>-473</v>
      </c>
      <c r="P133" s="6">
        <f t="shared" si="37"/>
        <v>-496</v>
      </c>
      <c r="Q133" s="6">
        <f t="shared" si="38"/>
        <v>-357</v>
      </c>
      <c r="R133" s="8">
        <v>0</v>
      </c>
      <c r="S133" s="8">
        <v>0</v>
      </c>
      <c r="T133" s="8">
        <v>0</v>
      </c>
      <c r="U133" s="25">
        <f t="shared" si="39"/>
        <v>-253</v>
      </c>
      <c r="V133" s="25">
        <f t="shared" si="40"/>
        <v>-286</v>
      </c>
      <c r="W133" s="25">
        <f t="shared" si="41"/>
        <v>-217</v>
      </c>
      <c r="X133" s="15">
        <v>0.81399999999999995</v>
      </c>
      <c r="Y133" s="7"/>
      <c r="Z133" s="21">
        <f t="shared" si="42"/>
        <v>1.2</v>
      </c>
      <c r="AA133" s="6"/>
      <c r="AB133" s="6"/>
    </row>
    <row r="134" spans="1:28" ht="13.8">
      <c r="A134" s="13">
        <v>123</v>
      </c>
      <c r="B134" s="185" t="s">
        <v>195</v>
      </c>
      <c r="C134" s="10">
        <f t="shared" si="30"/>
        <v>1069</v>
      </c>
      <c r="D134" s="9">
        <f t="shared" si="47"/>
        <v>1523</v>
      </c>
      <c r="E134" s="26">
        <f t="shared" si="32"/>
        <v>2592</v>
      </c>
      <c r="F134" s="8">
        <f t="shared" si="24"/>
        <v>1065</v>
      </c>
      <c r="G134" s="8">
        <f t="shared" si="25"/>
        <v>1088</v>
      </c>
      <c r="H134" s="8">
        <f t="shared" si="26"/>
        <v>949</v>
      </c>
      <c r="I134" s="6">
        <f t="shared" si="27"/>
        <v>1527</v>
      </c>
      <c r="J134" s="6">
        <f t="shared" si="28"/>
        <v>1504</v>
      </c>
      <c r="K134" s="6">
        <f t="shared" si="29"/>
        <v>1643</v>
      </c>
      <c r="L134" s="6">
        <f t="shared" si="44"/>
        <v>2000</v>
      </c>
      <c r="M134" s="6">
        <f t="shared" si="45"/>
        <v>2000</v>
      </c>
      <c r="N134" s="6">
        <f t="shared" si="46"/>
        <v>2000</v>
      </c>
      <c r="O134" s="6">
        <f t="shared" si="36"/>
        <v>-473</v>
      </c>
      <c r="P134" s="6">
        <f t="shared" si="37"/>
        <v>-496</v>
      </c>
      <c r="Q134" s="6">
        <f t="shared" si="38"/>
        <v>-357</v>
      </c>
      <c r="R134" s="8">
        <v>0</v>
      </c>
      <c r="S134" s="8">
        <v>0</v>
      </c>
      <c r="T134" s="8">
        <v>0</v>
      </c>
      <c r="U134" s="25">
        <f t="shared" si="39"/>
        <v>-253</v>
      </c>
      <c r="V134" s="25">
        <f t="shared" si="40"/>
        <v>-286</v>
      </c>
      <c r="W134" s="25">
        <f t="shared" si="41"/>
        <v>-217</v>
      </c>
      <c r="X134" s="15">
        <v>0.81399999999999995</v>
      </c>
      <c r="Y134" s="7"/>
      <c r="Z134" s="21">
        <f t="shared" si="42"/>
        <v>1.2</v>
      </c>
      <c r="AA134" s="6"/>
      <c r="AB134" s="6"/>
    </row>
    <row r="135" spans="1:28" ht="13.8">
      <c r="A135" s="13">
        <v>124</v>
      </c>
      <c r="B135" s="185" t="s">
        <v>196</v>
      </c>
      <c r="C135" s="10">
        <f t="shared" si="30"/>
        <v>1069</v>
      </c>
      <c r="D135" s="9">
        <f t="shared" si="47"/>
        <v>1525</v>
      </c>
      <c r="E135" s="26">
        <f t="shared" si="32"/>
        <v>2594</v>
      </c>
      <c r="F135" s="8">
        <f t="shared" si="24"/>
        <v>1067</v>
      </c>
      <c r="G135" s="8">
        <f t="shared" si="25"/>
        <v>1090</v>
      </c>
      <c r="H135" s="8">
        <f t="shared" si="26"/>
        <v>951</v>
      </c>
      <c r="I135" s="6">
        <f t="shared" si="27"/>
        <v>1527</v>
      </c>
      <c r="J135" s="6">
        <f t="shared" si="28"/>
        <v>1504</v>
      </c>
      <c r="K135" s="6">
        <f t="shared" si="29"/>
        <v>1643</v>
      </c>
      <c r="L135" s="6">
        <f t="shared" si="44"/>
        <v>2000</v>
      </c>
      <c r="M135" s="6">
        <f t="shared" si="45"/>
        <v>2000</v>
      </c>
      <c r="N135" s="6">
        <f t="shared" si="46"/>
        <v>2000</v>
      </c>
      <c r="O135" s="6">
        <f t="shared" si="36"/>
        <v>-473</v>
      </c>
      <c r="P135" s="6">
        <f t="shared" si="37"/>
        <v>-496</v>
      </c>
      <c r="Q135" s="6">
        <f t="shared" si="38"/>
        <v>-357</v>
      </c>
      <c r="R135" s="8">
        <v>0</v>
      </c>
      <c r="S135" s="8">
        <v>0</v>
      </c>
      <c r="T135" s="8">
        <v>0</v>
      </c>
      <c r="U135" s="25">
        <f t="shared" si="39"/>
        <v>-253</v>
      </c>
      <c r="V135" s="25">
        <f t="shared" si="40"/>
        <v>-286</v>
      </c>
      <c r="W135" s="25">
        <f t="shared" si="41"/>
        <v>-217</v>
      </c>
      <c r="X135" s="15">
        <v>0.81399999999999995</v>
      </c>
      <c r="Y135" s="7"/>
      <c r="Z135" s="21">
        <f t="shared" si="42"/>
        <v>1.2</v>
      </c>
      <c r="AA135" s="6"/>
      <c r="AB135" s="6"/>
    </row>
    <row r="136" spans="1:28" ht="13.8">
      <c r="A136" s="13">
        <v>125</v>
      </c>
      <c r="B136" s="185" t="s">
        <v>197</v>
      </c>
      <c r="C136" s="10">
        <f t="shared" si="30"/>
        <v>1069</v>
      </c>
      <c r="D136" s="9">
        <f t="shared" si="47"/>
        <v>1527</v>
      </c>
      <c r="E136" s="26">
        <f t="shared" si="32"/>
        <v>2596</v>
      </c>
      <c r="F136" s="8">
        <f t="shared" si="24"/>
        <v>1069</v>
      </c>
      <c r="G136" s="8">
        <f t="shared" si="25"/>
        <v>1092</v>
      </c>
      <c r="H136" s="8">
        <f t="shared" si="26"/>
        <v>953</v>
      </c>
      <c r="I136" s="6">
        <f t="shared" si="27"/>
        <v>1527</v>
      </c>
      <c r="J136" s="6">
        <f t="shared" si="28"/>
        <v>1504</v>
      </c>
      <c r="K136" s="6">
        <f t="shared" si="29"/>
        <v>1643</v>
      </c>
      <c r="L136" s="6">
        <f t="shared" si="44"/>
        <v>2000</v>
      </c>
      <c r="M136" s="6">
        <f t="shared" si="45"/>
        <v>2000</v>
      </c>
      <c r="N136" s="6">
        <f t="shared" si="46"/>
        <v>2000</v>
      </c>
      <c r="O136" s="6">
        <f t="shared" si="36"/>
        <v>-473</v>
      </c>
      <c r="P136" s="6">
        <f t="shared" si="37"/>
        <v>-496</v>
      </c>
      <c r="Q136" s="6">
        <f t="shared" si="38"/>
        <v>-357</v>
      </c>
      <c r="R136" s="8">
        <v>0</v>
      </c>
      <c r="S136" s="8">
        <v>0</v>
      </c>
      <c r="T136" s="8">
        <v>0</v>
      </c>
      <c r="U136" s="25">
        <f t="shared" si="39"/>
        <v>-253</v>
      </c>
      <c r="V136" s="25">
        <f t="shared" si="40"/>
        <v>-286</v>
      </c>
      <c r="W136" s="25">
        <f t="shared" si="41"/>
        <v>-217</v>
      </c>
      <c r="X136" s="15">
        <v>0.81399999999999995</v>
      </c>
      <c r="Y136" s="7"/>
      <c r="Z136" s="21">
        <f t="shared" si="42"/>
        <v>1.2</v>
      </c>
      <c r="AA136" s="6"/>
      <c r="AB136" s="6"/>
    </row>
    <row r="137" spans="1:28" ht="13.8">
      <c r="A137" s="13">
        <v>126</v>
      </c>
      <c r="B137" s="185" t="s">
        <v>198</v>
      </c>
      <c r="C137" s="10">
        <f t="shared" si="30"/>
        <v>1069</v>
      </c>
      <c r="D137" s="9">
        <f t="shared" si="47"/>
        <v>1529</v>
      </c>
      <c r="E137" s="26">
        <f t="shared" si="32"/>
        <v>2598</v>
      </c>
      <c r="F137" s="8">
        <f t="shared" si="24"/>
        <v>1075</v>
      </c>
      <c r="G137" s="8">
        <f t="shared" si="25"/>
        <v>1099</v>
      </c>
      <c r="H137" s="8">
        <f t="shared" si="26"/>
        <v>959</v>
      </c>
      <c r="I137" s="6">
        <f t="shared" si="27"/>
        <v>1523</v>
      </c>
      <c r="J137" s="6">
        <f t="shared" si="28"/>
        <v>1499</v>
      </c>
      <c r="K137" s="6">
        <f t="shared" si="29"/>
        <v>1639</v>
      </c>
      <c r="L137" s="6">
        <f t="shared" si="44"/>
        <v>2000</v>
      </c>
      <c r="M137" s="6">
        <f t="shared" si="45"/>
        <v>2000</v>
      </c>
      <c r="N137" s="6">
        <f t="shared" si="46"/>
        <v>2000</v>
      </c>
      <c r="O137" s="6">
        <f t="shared" si="36"/>
        <v>-477</v>
      </c>
      <c r="P137" s="6">
        <f t="shared" si="37"/>
        <v>-501</v>
      </c>
      <c r="Q137" s="6">
        <f t="shared" si="38"/>
        <v>-361</v>
      </c>
      <c r="R137" s="8">
        <v>4</v>
      </c>
      <c r="S137" s="8">
        <v>5</v>
      </c>
      <c r="T137" s="8">
        <v>4</v>
      </c>
      <c r="U137" s="25">
        <f t="shared" si="39"/>
        <v>-257</v>
      </c>
      <c r="V137" s="25">
        <f t="shared" si="40"/>
        <v>-291</v>
      </c>
      <c r="W137" s="25">
        <f t="shared" si="41"/>
        <v>-221</v>
      </c>
      <c r="X137" s="15">
        <v>1.109</v>
      </c>
      <c r="Y137" s="15">
        <v>0.3</v>
      </c>
      <c r="Z137" s="21">
        <f t="shared" si="42"/>
        <v>1.5</v>
      </c>
      <c r="AA137" s="6"/>
      <c r="AB137" s="14">
        <v>3</v>
      </c>
    </row>
    <row r="138" spans="1:28" ht="13.8">
      <c r="A138" s="13">
        <v>127</v>
      </c>
      <c r="B138" s="185" t="s">
        <v>199</v>
      </c>
      <c r="C138" s="10">
        <f t="shared" si="30"/>
        <v>1069</v>
      </c>
      <c r="D138" s="9">
        <f t="shared" si="47"/>
        <v>1531</v>
      </c>
      <c r="E138" s="26">
        <f t="shared" si="32"/>
        <v>2600</v>
      </c>
      <c r="F138" s="8">
        <f t="shared" si="24"/>
        <v>1080</v>
      </c>
      <c r="G138" s="8">
        <f t="shared" si="25"/>
        <v>1105</v>
      </c>
      <c r="H138" s="8">
        <f t="shared" si="26"/>
        <v>964</v>
      </c>
      <c r="I138" s="6">
        <f t="shared" si="27"/>
        <v>1520</v>
      </c>
      <c r="J138" s="6">
        <f t="shared" si="28"/>
        <v>1495</v>
      </c>
      <c r="K138" s="6">
        <f t="shared" si="29"/>
        <v>1636</v>
      </c>
      <c r="L138" s="6">
        <f t="shared" si="44"/>
        <v>2000</v>
      </c>
      <c r="M138" s="6">
        <f t="shared" si="45"/>
        <v>2000</v>
      </c>
      <c r="N138" s="6">
        <f t="shared" si="46"/>
        <v>2000</v>
      </c>
      <c r="O138" s="6">
        <f t="shared" si="36"/>
        <v>-480</v>
      </c>
      <c r="P138" s="6">
        <f t="shared" si="37"/>
        <v>-505</v>
      </c>
      <c r="Q138" s="6">
        <f t="shared" si="38"/>
        <v>-364</v>
      </c>
      <c r="R138" s="8">
        <v>3</v>
      </c>
      <c r="S138" s="8">
        <v>4</v>
      </c>
      <c r="T138" s="8">
        <v>3</v>
      </c>
      <c r="U138" s="25">
        <f t="shared" si="39"/>
        <v>-260</v>
      </c>
      <c r="V138" s="25">
        <f t="shared" si="40"/>
        <v>-295</v>
      </c>
      <c r="W138" s="25">
        <f t="shared" si="41"/>
        <v>-224</v>
      </c>
      <c r="X138" s="15">
        <v>1.105</v>
      </c>
      <c r="Y138" s="7"/>
      <c r="Z138" s="21">
        <f t="shared" si="42"/>
        <v>1.5</v>
      </c>
      <c r="AA138" s="6"/>
      <c r="AB138" s="14"/>
    </row>
    <row r="139" spans="1:28" ht="13.8">
      <c r="A139" s="13">
        <v>128</v>
      </c>
      <c r="B139" s="185" t="s">
        <v>200</v>
      </c>
      <c r="C139" s="10">
        <f t="shared" si="30"/>
        <v>1069</v>
      </c>
      <c r="D139" s="9">
        <f t="shared" si="47"/>
        <v>1533</v>
      </c>
      <c r="E139" s="26">
        <f t="shared" si="32"/>
        <v>2602</v>
      </c>
      <c r="F139" s="8">
        <f t="shared" ref="F139:F202" si="48">C139+D139-I139</f>
        <v>1084</v>
      </c>
      <c r="G139" s="8">
        <f t="shared" ref="G139:G202" si="49">C139+D139-J139</f>
        <v>1109</v>
      </c>
      <c r="H139" s="8">
        <f t="shared" ref="H139:H202" si="50">D139+C139-K139</f>
        <v>967</v>
      </c>
      <c r="I139" s="6">
        <f t="shared" ref="I139:I202" si="51">L139+O139</f>
        <v>1518</v>
      </c>
      <c r="J139" s="6">
        <f t="shared" ref="J139:J202" si="52">M139+P139</f>
        <v>1493</v>
      </c>
      <c r="K139" s="6">
        <f t="shared" ref="K139:K202" si="53">N139+Q139</f>
        <v>1635</v>
      </c>
      <c r="L139" s="6">
        <f t="shared" si="44"/>
        <v>2000</v>
      </c>
      <c r="M139" s="6">
        <f t="shared" si="45"/>
        <v>2000</v>
      </c>
      <c r="N139" s="6">
        <f t="shared" si="46"/>
        <v>2000</v>
      </c>
      <c r="O139" s="6">
        <f t="shared" si="36"/>
        <v>-482</v>
      </c>
      <c r="P139" s="6">
        <f t="shared" si="37"/>
        <v>-507</v>
      </c>
      <c r="Q139" s="6">
        <f t="shared" si="38"/>
        <v>-365</v>
      </c>
      <c r="R139" s="8">
        <v>2</v>
      </c>
      <c r="S139" s="8">
        <v>2</v>
      </c>
      <c r="T139" s="8">
        <v>1</v>
      </c>
      <c r="U139" s="25">
        <f t="shared" si="39"/>
        <v>-262</v>
      </c>
      <c r="V139" s="25">
        <f t="shared" si="40"/>
        <v>-297</v>
      </c>
      <c r="W139" s="25">
        <f t="shared" si="41"/>
        <v>-225</v>
      </c>
      <c r="X139" s="15">
        <v>1.103</v>
      </c>
      <c r="Y139" s="7"/>
      <c r="Z139" s="21">
        <f t="shared" si="42"/>
        <v>1.5</v>
      </c>
      <c r="AA139" s="6"/>
      <c r="AB139" s="14"/>
    </row>
    <row r="140" spans="1:28" ht="13.8">
      <c r="A140" s="13">
        <v>129</v>
      </c>
      <c r="B140" s="185" t="s">
        <v>201</v>
      </c>
      <c r="C140" s="10">
        <f t="shared" ref="C140:C203" si="54">C139</f>
        <v>1069</v>
      </c>
      <c r="D140" s="9">
        <f t="shared" si="47"/>
        <v>1535</v>
      </c>
      <c r="E140" s="26">
        <f t="shared" ref="E140:E203" si="55">C140+D140</f>
        <v>2604</v>
      </c>
      <c r="F140" s="8">
        <f t="shared" si="48"/>
        <v>1086</v>
      </c>
      <c r="G140" s="8">
        <f t="shared" si="49"/>
        <v>1111</v>
      </c>
      <c r="H140" s="8">
        <f t="shared" si="50"/>
        <v>969</v>
      </c>
      <c r="I140" s="6">
        <f t="shared" si="51"/>
        <v>1518</v>
      </c>
      <c r="J140" s="6">
        <f t="shared" si="52"/>
        <v>1493</v>
      </c>
      <c r="K140" s="6">
        <f t="shared" si="53"/>
        <v>1635</v>
      </c>
      <c r="L140" s="6">
        <f t="shared" si="44"/>
        <v>2000</v>
      </c>
      <c r="M140" s="6">
        <f t="shared" si="45"/>
        <v>2000</v>
      </c>
      <c r="N140" s="6">
        <f t="shared" si="46"/>
        <v>2000</v>
      </c>
      <c r="O140" s="6">
        <f t="shared" ref="O140:O203" si="56">O139-R140</f>
        <v>-482</v>
      </c>
      <c r="P140" s="6">
        <f t="shared" ref="P140:P203" si="57">P139-S140</f>
        <v>-507</v>
      </c>
      <c r="Q140" s="6">
        <f t="shared" ref="Q140:Q203" si="58">Q139-T140</f>
        <v>-365</v>
      </c>
      <c r="R140" s="8">
        <v>0</v>
      </c>
      <c r="S140" s="8">
        <v>0</v>
      </c>
      <c r="T140" s="8">
        <v>0</v>
      </c>
      <c r="U140" s="25">
        <f t="shared" ref="U140:U203" si="59">U139-R140</f>
        <v>-262</v>
      </c>
      <c r="V140" s="25">
        <f t="shared" ref="V140:V203" si="60">V139-S140</f>
        <v>-297</v>
      </c>
      <c r="W140" s="25">
        <f t="shared" ref="W140:W203" si="61">W139-T140</f>
        <v>-225</v>
      </c>
      <c r="X140" s="15">
        <v>1.103</v>
      </c>
      <c r="Y140" s="7"/>
      <c r="Z140" s="21">
        <f t="shared" si="42"/>
        <v>1.5</v>
      </c>
      <c r="AA140" s="6"/>
      <c r="AB140" s="14"/>
    </row>
    <row r="141" spans="1:28" ht="13.8">
      <c r="A141" s="13">
        <v>130</v>
      </c>
      <c r="B141" s="185" t="s">
        <v>202</v>
      </c>
      <c r="C141" s="10">
        <f t="shared" si="54"/>
        <v>1069</v>
      </c>
      <c r="D141" s="9">
        <f t="shared" si="47"/>
        <v>1537</v>
      </c>
      <c r="E141" s="26">
        <f t="shared" si="55"/>
        <v>2606</v>
      </c>
      <c r="F141" s="8">
        <f t="shared" si="48"/>
        <v>1092</v>
      </c>
      <c r="G141" s="8">
        <f t="shared" si="49"/>
        <v>1118</v>
      </c>
      <c r="H141" s="8">
        <f t="shared" si="50"/>
        <v>974</v>
      </c>
      <c r="I141" s="6">
        <f t="shared" si="51"/>
        <v>1514</v>
      </c>
      <c r="J141" s="6">
        <f t="shared" si="52"/>
        <v>1488</v>
      </c>
      <c r="K141" s="6">
        <f t="shared" si="53"/>
        <v>1632</v>
      </c>
      <c r="L141" s="6">
        <f t="shared" si="44"/>
        <v>2000</v>
      </c>
      <c r="M141" s="6">
        <f t="shared" si="45"/>
        <v>2000</v>
      </c>
      <c r="N141" s="6">
        <f t="shared" si="46"/>
        <v>2000</v>
      </c>
      <c r="O141" s="6">
        <f t="shared" si="56"/>
        <v>-486</v>
      </c>
      <c r="P141" s="6">
        <f t="shared" si="57"/>
        <v>-512</v>
      </c>
      <c r="Q141" s="6">
        <f t="shared" si="58"/>
        <v>-368</v>
      </c>
      <c r="R141" s="8">
        <v>4</v>
      </c>
      <c r="S141" s="8">
        <v>5</v>
      </c>
      <c r="T141" s="8">
        <v>3</v>
      </c>
      <c r="U141" s="25">
        <f t="shared" si="59"/>
        <v>-266</v>
      </c>
      <c r="V141" s="25">
        <f t="shared" si="60"/>
        <v>-302</v>
      </c>
      <c r="W141" s="25">
        <f t="shared" si="61"/>
        <v>-228</v>
      </c>
      <c r="X141" s="15">
        <v>1.3979999999999999</v>
      </c>
      <c r="Y141" s="15">
        <v>0.3</v>
      </c>
      <c r="Z141" s="21">
        <f t="shared" si="42"/>
        <v>1.8</v>
      </c>
      <c r="AA141" s="6"/>
      <c r="AB141" s="14">
        <v>2</v>
      </c>
    </row>
    <row r="142" spans="1:28" ht="13.8">
      <c r="A142" s="13">
        <v>131</v>
      </c>
      <c r="B142" s="185" t="s">
        <v>203</v>
      </c>
      <c r="C142" s="10">
        <f t="shared" si="54"/>
        <v>1069</v>
      </c>
      <c r="D142" s="9">
        <f t="shared" si="47"/>
        <v>1539</v>
      </c>
      <c r="E142" s="26">
        <f t="shared" si="55"/>
        <v>2608</v>
      </c>
      <c r="F142" s="8">
        <f t="shared" si="48"/>
        <v>1097</v>
      </c>
      <c r="G142" s="8">
        <f t="shared" si="49"/>
        <v>1124</v>
      </c>
      <c r="H142" s="8">
        <f t="shared" si="50"/>
        <v>979</v>
      </c>
      <c r="I142" s="6">
        <f t="shared" si="51"/>
        <v>1511</v>
      </c>
      <c r="J142" s="6">
        <f t="shared" si="52"/>
        <v>1484</v>
      </c>
      <c r="K142" s="6">
        <f t="shared" si="53"/>
        <v>1629</v>
      </c>
      <c r="L142" s="6">
        <f t="shared" si="44"/>
        <v>2000</v>
      </c>
      <c r="M142" s="6">
        <f t="shared" si="45"/>
        <v>2000</v>
      </c>
      <c r="N142" s="6">
        <f t="shared" si="46"/>
        <v>2000</v>
      </c>
      <c r="O142" s="6">
        <f t="shared" si="56"/>
        <v>-489</v>
      </c>
      <c r="P142" s="6">
        <f t="shared" si="57"/>
        <v>-516</v>
      </c>
      <c r="Q142" s="6">
        <f t="shared" si="58"/>
        <v>-371</v>
      </c>
      <c r="R142" s="8">
        <v>3</v>
      </c>
      <c r="S142" s="8">
        <v>4</v>
      </c>
      <c r="T142" s="8">
        <v>3</v>
      </c>
      <c r="U142" s="25">
        <f t="shared" si="59"/>
        <v>-269</v>
      </c>
      <c r="V142" s="25">
        <f t="shared" si="60"/>
        <v>-306</v>
      </c>
      <c r="W142" s="25">
        <f t="shared" si="61"/>
        <v>-231</v>
      </c>
      <c r="X142" s="15">
        <v>1.3939999999999999</v>
      </c>
      <c r="Y142" s="7"/>
      <c r="Z142" s="21">
        <f t="shared" si="42"/>
        <v>1.8</v>
      </c>
      <c r="AA142" s="6"/>
      <c r="AB142" s="14"/>
    </row>
    <row r="143" spans="1:28" ht="13.8">
      <c r="A143" s="13">
        <v>132</v>
      </c>
      <c r="B143" s="185" t="s">
        <v>204</v>
      </c>
      <c r="C143" s="10">
        <f t="shared" si="54"/>
        <v>1069</v>
      </c>
      <c r="D143" s="9">
        <f t="shared" si="47"/>
        <v>1541</v>
      </c>
      <c r="E143" s="26">
        <f t="shared" si="55"/>
        <v>2610</v>
      </c>
      <c r="F143" s="8">
        <f t="shared" si="48"/>
        <v>1101</v>
      </c>
      <c r="G143" s="8">
        <f t="shared" si="49"/>
        <v>1129</v>
      </c>
      <c r="H143" s="8">
        <f t="shared" si="50"/>
        <v>983</v>
      </c>
      <c r="I143" s="6">
        <f t="shared" si="51"/>
        <v>1509</v>
      </c>
      <c r="J143" s="6">
        <f t="shared" si="52"/>
        <v>1481</v>
      </c>
      <c r="K143" s="6">
        <f t="shared" si="53"/>
        <v>1627</v>
      </c>
      <c r="L143" s="6">
        <f t="shared" si="44"/>
        <v>2000</v>
      </c>
      <c r="M143" s="6">
        <f t="shared" si="45"/>
        <v>2000</v>
      </c>
      <c r="N143" s="6">
        <f t="shared" si="46"/>
        <v>2000</v>
      </c>
      <c r="O143" s="6">
        <f t="shared" si="56"/>
        <v>-491</v>
      </c>
      <c r="P143" s="6">
        <f t="shared" si="57"/>
        <v>-519</v>
      </c>
      <c r="Q143" s="6">
        <f t="shared" si="58"/>
        <v>-373</v>
      </c>
      <c r="R143" s="8">
        <v>2</v>
      </c>
      <c r="S143" s="8">
        <v>3</v>
      </c>
      <c r="T143" s="8">
        <v>2</v>
      </c>
      <c r="U143" s="25">
        <f t="shared" si="59"/>
        <v>-271</v>
      </c>
      <c r="V143" s="25">
        <f t="shared" si="60"/>
        <v>-309</v>
      </c>
      <c r="W143" s="25">
        <f t="shared" si="61"/>
        <v>-233</v>
      </c>
      <c r="X143" s="15">
        <v>1.391</v>
      </c>
      <c r="Y143" s="7"/>
      <c r="Z143" s="21">
        <f t="shared" si="42"/>
        <v>1.8</v>
      </c>
      <c r="AA143" s="6"/>
      <c r="AB143" s="14"/>
    </row>
    <row r="144" spans="1:28" ht="13.8">
      <c r="A144" s="13">
        <v>133</v>
      </c>
      <c r="B144" s="185" t="s">
        <v>205</v>
      </c>
      <c r="C144" s="10">
        <f t="shared" si="54"/>
        <v>1069</v>
      </c>
      <c r="D144" s="9">
        <f t="shared" si="47"/>
        <v>1543</v>
      </c>
      <c r="E144" s="26">
        <f t="shared" si="55"/>
        <v>2612</v>
      </c>
      <c r="F144" s="8">
        <f t="shared" si="48"/>
        <v>1105</v>
      </c>
      <c r="G144" s="8">
        <f t="shared" si="49"/>
        <v>1132</v>
      </c>
      <c r="H144" s="8">
        <f t="shared" si="50"/>
        <v>986</v>
      </c>
      <c r="I144" s="6">
        <f t="shared" si="51"/>
        <v>1507</v>
      </c>
      <c r="J144" s="6">
        <f t="shared" si="52"/>
        <v>1480</v>
      </c>
      <c r="K144" s="6">
        <f t="shared" si="53"/>
        <v>1626</v>
      </c>
      <c r="L144" s="6">
        <f t="shared" si="44"/>
        <v>2000</v>
      </c>
      <c r="M144" s="6">
        <f t="shared" si="45"/>
        <v>2000</v>
      </c>
      <c r="N144" s="6">
        <f t="shared" si="46"/>
        <v>2000</v>
      </c>
      <c r="O144" s="6">
        <f t="shared" si="56"/>
        <v>-493</v>
      </c>
      <c r="P144" s="6">
        <f t="shared" si="57"/>
        <v>-520</v>
      </c>
      <c r="Q144" s="6">
        <f t="shared" si="58"/>
        <v>-374</v>
      </c>
      <c r="R144" s="8">
        <v>2</v>
      </c>
      <c r="S144" s="8">
        <v>1</v>
      </c>
      <c r="T144" s="8">
        <v>1</v>
      </c>
      <c r="U144" s="25">
        <f t="shared" si="59"/>
        <v>-273</v>
      </c>
      <c r="V144" s="25">
        <f t="shared" si="60"/>
        <v>-310</v>
      </c>
      <c r="W144" s="25">
        <f t="shared" si="61"/>
        <v>-234</v>
      </c>
      <c r="X144" s="15">
        <v>1.39</v>
      </c>
      <c r="Y144" s="7"/>
      <c r="Z144" s="21">
        <f t="shared" si="42"/>
        <v>1.8</v>
      </c>
      <c r="AA144" s="6"/>
      <c r="AB144" s="14" t="s">
        <v>5</v>
      </c>
    </row>
    <row r="145" spans="1:28" ht="13.8">
      <c r="A145" s="13">
        <v>134</v>
      </c>
      <c r="B145" s="185" t="s">
        <v>206</v>
      </c>
      <c r="C145" s="10">
        <f t="shared" si="54"/>
        <v>1069</v>
      </c>
      <c r="D145" s="9">
        <f t="shared" si="47"/>
        <v>1545</v>
      </c>
      <c r="E145" s="26">
        <f t="shared" si="55"/>
        <v>2614</v>
      </c>
      <c r="F145" s="8">
        <f t="shared" si="48"/>
        <v>107</v>
      </c>
      <c r="G145" s="8">
        <f t="shared" si="49"/>
        <v>134</v>
      </c>
      <c r="H145" s="8">
        <f t="shared" si="50"/>
        <v>-12</v>
      </c>
      <c r="I145" s="6">
        <f t="shared" si="51"/>
        <v>2507</v>
      </c>
      <c r="J145" s="6">
        <f t="shared" si="52"/>
        <v>2480</v>
      </c>
      <c r="K145" s="6">
        <f t="shared" si="53"/>
        <v>2626</v>
      </c>
      <c r="L145" s="6">
        <f>L144+1000</f>
        <v>3000</v>
      </c>
      <c r="M145" s="6">
        <f>M144+1000</f>
        <v>3000</v>
      </c>
      <c r="N145" s="6">
        <f>N144+1000</f>
        <v>3000</v>
      </c>
      <c r="O145" s="6">
        <f t="shared" si="56"/>
        <v>-493</v>
      </c>
      <c r="P145" s="6">
        <f t="shared" si="57"/>
        <v>-520</v>
      </c>
      <c r="Q145" s="6">
        <f t="shared" si="58"/>
        <v>-374</v>
      </c>
      <c r="R145" s="8">
        <v>0</v>
      </c>
      <c r="S145" s="8">
        <v>0</v>
      </c>
      <c r="T145" s="8">
        <v>0</v>
      </c>
      <c r="U145" s="25">
        <f t="shared" si="59"/>
        <v>-273</v>
      </c>
      <c r="V145" s="25">
        <f t="shared" si="60"/>
        <v>-310</v>
      </c>
      <c r="W145" s="25">
        <f t="shared" si="61"/>
        <v>-234</v>
      </c>
      <c r="X145" s="15">
        <v>1.39</v>
      </c>
      <c r="Y145" s="7"/>
      <c r="Z145" s="21">
        <f t="shared" si="42"/>
        <v>1.8</v>
      </c>
      <c r="AA145" s="6"/>
      <c r="AB145" s="14" t="s">
        <v>4</v>
      </c>
    </row>
    <row r="146" spans="1:28" ht="13.8">
      <c r="A146" s="13">
        <v>135</v>
      </c>
      <c r="B146" s="185" t="s">
        <v>207</v>
      </c>
      <c r="C146" s="10">
        <f t="shared" si="54"/>
        <v>1069</v>
      </c>
      <c r="D146" s="9">
        <f t="shared" si="47"/>
        <v>1547</v>
      </c>
      <c r="E146" s="26">
        <f t="shared" si="55"/>
        <v>2616</v>
      </c>
      <c r="F146" s="8">
        <f t="shared" si="48"/>
        <v>113</v>
      </c>
      <c r="G146" s="8">
        <f t="shared" si="49"/>
        <v>141</v>
      </c>
      <c r="H146" s="8">
        <f t="shared" si="50"/>
        <v>-6</v>
      </c>
      <c r="I146" s="6">
        <f t="shared" si="51"/>
        <v>2503</v>
      </c>
      <c r="J146" s="6">
        <f t="shared" si="52"/>
        <v>2475</v>
      </c>
      <c r="K146" s="6">
        <f t="shared" si="53"/>
        <v>2622</v>
      </c>
      <c r="L146" s="6">
        <f t="shared" ref="L146:L209" si="62">L145</f>
        <v>3000</v>
      </c>
      <c r="M146" s="6">
        <f t="shared" ref="M146:M209" si="63">M145</f>
        <v>3000</v>
      </c>
      <c r="N146" s="6">
        <f t="shared" ref="N146:N209" si="64">N145</f>
        <v>3000</v>
      </c>
      <c r="O146" s="6">
        <f t="shared" si="56"/>
        <v>-497</v>
      </c>
      <c r="P146" s="6">
        <f t="shared" si="57"/>
        <v>-525</v>
      </c>
      <c r="Q146" s="6">
        <f t="shared" si="58"/>
        <v>-378</v>
      </c>
      <c r="R146" s="8">
        <v>4</v>
      </c>
      <c r="S146" s="8">
        <v>5</v>
      </c>
      <c r="T146" s="8">
        <v>4</v>
      </c>
      <c r="U146" s="25">
        <f t="shared" si="59"/>
        <v>-277</v>
      </c>
      <c r="V146" s="25">
        <f t="shared" si="60"/>
        <v>-315</v>
      </c>
      <c r="W146" s="25">
        <f t="shared" si="61"/>
        <v>-238</v>
      </c>
      <c r="X146" s="15">
        <v>1.6850000000000001</v>
      </c>
      <c r="Y146" s="15">
        <v>0.3</v>
      </c>
      <c r="Z146" s="21">
        <f t="shared" si="42"/>
        <v>2.1</v>
      </c>
      <c r="AA146" s="6"/>
      <c r="AB146" s="14">
        <v>1</v>
      </c>
    </row>
    <row r="147" spans="1:28" ht="13.8">
      <c r="A147" s="13">
        <v>136</v>
      </c>
      <c r="B147" s="185" t="s">
        <v>208</v>
      </c>
      <c r="C147" s="10">
        <f t="shared" si="54"/>
        <v>1069</v>
      </c>
      <c r="D147" s="9">
        <f t="shared" si="47"/>
        <v>1549</v>
      </c>
      <c r="E147" s="26">
        <f t="shared" si="55"/>
        <v>2618</v>
      </c>
      <c r="F147" s="8">
        <f t="shared" si="48"/>
        <v>119</v>
      </c>
      <c r="G147" s="8">
        <f t="shared" si="49"/>
        <v>148</v>
      </c>
      <c r="H147" s="8">
        <f t="shared" si="50"/>
        <v>0</v>
      </c>
      <c r="I147" s="6">
        <f t="shared" si="51"/>
        <v>2499</v>
      </c>
      <c r="J147" s="6">
        <f t="shared" si="52"/>
        <v>2470</v>
      </c>
      <c r="K147" s="6">
        <f t="shared" si="53"/>
        <v>2618</v>
      </c>
      <c r="L147" s="6">
        <f t="shared" si="62"/>
        <v>3000</v>
      </c>
      <c r="M147" s="6">
        <f t="shared" si="63"/>
        <v>3000</v>
      </c>
      <c r="N147" s="6">
        <f t="shared" si="64"/>
        <v>3000</v>
      </c>
      <c r="O147" s="6">
        <f t="shared" si="56"/>
        <v>-501</v>
      </c>
      <c r="P147" s="6">
        <f t="shared" si="57"/>
        <v>-530</v>
      </c>
      <c r="Q147" s="6">
        <f t="shared" si="58"/>
        <v>-382</v>
      </c>
      <c r="R147" s="8">
        <v>4</v>
      </c>
      <c r="S147" s="8">
        <v>5</v>
      </c>
      <c r="T147" s="8">
        <v>4</v>
      </c>
      <c r="U147" s="25">
        <f t="shared" si="59"/>
        <v>-281</v>
      </c>
      <c r="V147" s="25">
        <f t="shared" si="60"/>
        <v>-320</v>
      </c>
      <c r="W147" s="25">
        <f t="shared" si="61"/>
        <v>-242</v>
      </c>
      <c r="X147" s="15">
        <v>1.68</v>
      </c>
      <c r="Y147" s="7"/>
      <c r="Z147" s="21">
        <f t="shared" si="42"/>
        <v>2.1</v>
      </c>
      <c r="AA147" s="6"/>
      <c r="AB147" s="6"/>
    </row>
    <row r="148" spans="1:28" ht="13.8">
      <c r="A148" s="13">
        <v>137</v>
      </c>
      <c r="B148" s="185" t="s">
        <v>209</v>
      </c>
      <c r="C148" s="10">
        <f t="shared" si="54"/>
        <v>1069</v>
      </c>
      <c r="D148" s="9">
        <f t="shared" si="47"/>
        <v>1551</v>
      </c>
      <c r="E148" s="26">
        <f t="shared" si="55"/>
        <v>2620</v>
      </c>
      <c r="F148" s="8">
        <f t="shared" si="48"/>
        <v>125</v>
      </c>
      <c r="G148" s="8">
        <f t="shared" si="49"/>
        <v>155</v>
      </c>
      <c r="H148" s="8">
        <f t="shared" si="50"/>
        <v>6</v>
      </c>
      <c r="I148" s="6">
        <f t="shared" si="51"/>
        <v>2495</v>
      </c>
      <c r="J148" s="6">
        <f t="shared" si="52"/>
        <v>2465</v>
      </c>
      <c r="K148" s="6">
        <f t="shared" si="53"/>
        <v>2614</v>
      </c>
      <c r="L148" s="6">
        <f t="shared" si="62"/>
        <v>3000</v>
      </c>
      <c r="M148" s="6">
        <f t="shared" si="63"/>
        <v>3000</v>
      </c>
      <c r="N148" s="6">
        <f t="shared" si="64"/>
        <v>3000</v>
      </c>
      <c r="O148" s="6">
        <f t="shared" si="56"/>
        <v>-505</v>
      </c>
      <c r="P148" s="6">
        <f t="shared" si="57"/>
        <v>-535</v>
      </c>
      <c r="Q148" s="6">
        <f t="shared" si="58"/>
        <v>-386</v>
      </c>
      <c r="R148" s="8">
        <v>4</v>
      </c>
      <c r="S148" s="8">
        <v>5</v>
      </c>
      <c r="T148" s="8">
        <v>4</v>
      </c>
      <c r="U148" s="25">
        <f t="shared" si="59"/>
        <v>-285</v>
      </c>
      <c r="V148" s="25">
        <f t="shared" si="60"/>
        <v>-325</v>
      </c>
      <c r="W148" s="25">
        <f t="shared" si="61"/>
        <v>-246</v>
      </c>
      <c r="X148" s="15">
        <v>1.675</v>
      </c>
      <c r="Y148" s="7"/>
      <c r="Z148" s="21">
        <f t="shared" si="42"/>
        <v>2.1</v>
      </c>
      <c r="AA148" s="6"/>
      <c r="AB148" s="6"/>
    </row>
    <row r="149" spans="1:28" ht="13.8">
      <c r="A149" s="13">
        <v>138</v>
      </c>
      <c r="B149" s="185" t="s">
        <v>210</v>
      </c>
      <c r="C149" s="10">
        <f t="shared" si="54"/>
        <v>1069</v>
      </c>
      <c r="D149" s="9">
        <f t="shared" si="47"/>
        <v>1553</v>
      </c>
      <c r="E149" s="26">
        <f t="shared" si="55"/>
        <v>2622</v>
      </c>
      <c r="F149" s="8">
        <f t="shared" si="48"/>
        <v>131</v>
      </c>
      <c r="G149" s="8">
        <f t="shared" si="49"/>
        <v>162</v>
      </c>
      <c r="H149" s="8">
        <f t="shared" si="50"/>
        <v>12</v>
      </c>
      <c r="I149" s="6">
        <f t="shared" si="51"/>
        <v>2491</v>
      </c>
      <c r="J149" s="6">
        <f t="shared" si="52"/>
        <v>2460</v>
      </c>
      <c r="K149" s="6">
        <f t="shared" si="53"/>
        <v>2610</v>
      </c>
      <c r="L149" s="6">
        <f t="shared" si="62"/>
        <v>3000</v>
      </c>
      <c r="M149" s="6">
        <f t="shared" si="63"/>
        <v>3000</v>
      </c>
      <c r="N149" s="6">
        <f t="shared" si="64"/>
        <v>3000</v>
      </c>
      <c r="O149" s="6">
        <f t="shared" si="56"/>
        <v>-509</v>
      </c>
      <c r="P149" s="6">
        <f t="shared" si="57"/>
        <v>-540</v>
      </c>
      <c r="Q149" s="6">
        <f t="shared" si="58"/>
        <v>-390</v>
      </c>
      <c r="R149" s="8">
        <v>4</v>
      </c>
      <c r="S149" s="8">
        <v>5</v>
      </c>
      <c r="T149" s="8">
        <v>4</v>
      </c>
      <c r="U149" s="25">
        <f t="shared" si="59"/>
        <v>-289</v>
      </c>
      <c r="V149" s="25">
        <f t="shared" si="60"/>
        <v>-330</v>
      </c>
      <c r="W149" s="25">
        <f t="shared" si="61"/>
        <v>-250</v>
      </c>
      <c r="X149" s="15">
        <v>1.67</v>
      </c>
      <c r="Y149" s="7"/>
      <c r="Z149" s="21">
        <f t="shared" si="42"/>
        <v>2.1</v>
      </c>
      <c r="AA149" s="6"/>
      <c r="AB149" s="6"/>
    </row>
    <row r="150" spans="1:28" ht="13.8">
      <c r="A150" s="13">
        <v>139</v>
      </c>
      <c r="B150" s="185" t="s">
        <v>211</v>
      </c>
      <c r="C150" s="10">
        <f t="shared" si="54"/>
        <v>1069</v>
      </c>
      <c r="D150" s="9">
        <f t="shared" si="47"/>
        <v>1555</v>
      </c>
      <c r="E150" s="26">
        <f t="shared" si="55"/>
        <v>2624</v>
      </c>
      <c r="F150" s="8">
        <f t="shared" si="48"/>
        <v>137</v>
      </c>
      <c r="G150" s="8">
        <f t="shared" si="49"/>
        <v>169</v>
      </c>
      <c r="H150" s="8">
        <f t="shared" si="50"/>
        <v>18</v>
      </c>
      <c r="I150" s="6">
        <f t="shared" si="51"/>
        <v>2487</v>
      </c>
      <c r="J150" s="6">
        <f t="shared" si="52"/>
        <v>2455</v>
      </c>
      <c r="K150" s="6">
        <f t="shared" si="53"/>
        <v>2606</v>
      </c>
      <c r="L150" s="6">
        <f t="shared" si="62"/>
        <v>3000</v>
      </c>
      <c r="M150" s="6">
        <f t="shared" si="63"/>
        <v>3000</v>
      </c>
      <c r="N150" s="6">
        <f t="shared" si="64"/>
        <v>3000</v>
      </c>
      <c r="O150" s="6">
        <f t="shared" si="56"/>
        <v>-513</v>
      </c>
      <c r="P150" s="6">
        <f t="shared" si="57"/>
        <v>-545</v>
      </c>
      <c r="Q150" s="6">
        <f t="shared" si="58"/>
        <v>-394</v>
      </c>
      <c r="R150" s="8">
        <v>4</v>
      </c>
      <c r="S150" s="8">
        <v>5</v>
      </c>
      <c r="T150" s="8">
        <v>4</v>
      </c>
      <c r="U150" s="25">
        <f t="shared" si="59"/>
        <v>-293</v>
      </c>
      <c r="V150" s="25">
        <f t="shared" si="60"/>
        <v>-335</v>
      </c>
      <c r="W150" s="25">
        <f t="shared" si="61"/>
        <v>-254</v>
      </c>
      <c r="X150" s="15">
        <v>1.665</v>
      </c>
      <c r="Y150" s="7"/>
      <c r="Z150" s="21">
        <f t="shared" si="42"/>
        <v>2.1</v>
      </c>
      <c r="AA150" s="6"/>
      <c r="AB150" s="6"/>
    </row>
    <row r="151" spans="1:28" ht="13.8">
      <c r="A151" s="13">
        <v>140</v>
      </c>
      <c r="B151" s="185" t="s">
        <v>212</v>
      </c>
      <c r="C151" s="10">
        <f t="shared" si="54"/>
        <v>1069</v>
      </c>
      <c r="D151" s="9">
        <f t="shared" si="47"/>
        <v>1557</v>
      </c>
      <c r="E151" s="26">
        <f t="shared" si="55"/>
        <v>2626</v>
      </c>
      <c r="F151" s="8">
        <f t="shared" si="48"/>
        <v>143</v>
      </c>
      <c r="G151" s="8">
        <f t="shared" si="49"/>
        <v>176</v>
      </c>
      <c r="H151" s="8">
        <f t="shared" si="50"/>
        <v>24</v>
      </c>
      <c r="I151" s="6">
        <f t="shared" si="51"/>
        <v>2483</v>
      </c>
      <c r="J151" s="6">
        <f t="shared" si="52"/>
        <v>2450</v>
      </c>
      <c r="K151" s="6">
        <f t="shared" si="53"/>
        <v>2602</v>
      </c>
      <c r="L151" s="6">
        <f t="shared" si="62"/>
        <v>3000</v>
      </c>
      <c r="M151" s="6">
        <f t="shared" si="63"/>
        <v>3000</v>
      </c>
      <c r="N151" s="6">
        <f t="shared" si="64"/>
        <v>3000</v>
      </c>
      <c r="O151" s="6">
        <f t="shared" si="56"/>
        <v>-517</v>
      </c>
      <c r="P151" s="6">
        <f t="shared" si="57"/>
        <v>-550</v>
      </c>
      <c r="Q151" s="6">
        <f t="shared" si="58"/>
        <v>-398</v>
      </c>
      <c r="R151" s="8">
        <v>4</v>
      </c>
      <c r="S151" s="8">
        <v>5</v>
      </c>
      <c r="T151" s="8">
        <v>4</v>
      </c>
      <c r="U151" s="25">
        <f t="shared" si="59"/>
        <v>-297</v>
      </c>
      <c r="V151" s="25">
        <f t="shared" si="60"/>
        <v>-340</v>
      </c>
      <c r="W151" s="25">
        <f t="shared" si="61"/>
        <v>-258</v>
      </c>
      <c r="X151" s="15">
        <v>1.66</v>
      </c>
      <c r="Y151" s="7"/>
      <c r="Z151" s="21">
        <f t="shared" si="42"/>
        <v>2.1</v>
      </c>
      <c r="AA151" s="6"/>
      <c r="AB151" s="6"/>
    </row>
    <row r="152" spans="1:28" ht="13.8">
      <c r="A152" s="13">
        <v>141</v>
      </c>
      <c r="B152" s="185" t="s">
        <v>213</v>
      </c>
      <c r="C152" s="10">
        <f t="shared" si="54"/>
        <v>1069</v>
      </c>
      <c r="D152" s="9">
        <f t="shared" si="47"/>
        <v>1559</v>
      </c>
      <c r="E152" s="26">
        <f t="shared" si="55"/>
        <v>2628</v>
      </c>
      <c r="F152" s="8">
        <f t="shared" si="48"/>
        <v>149</v>
      </c>
      <c r="G152" s="8">
        <f t="shared" si="49"/>
        <v>183</v>
      </c>
      <c r="H152" s="8">
        <f t="shared" si="50"/>
        <v>30</v>
      </c>
      <c r="I152" s="6">
        <f t="shared" si="51"/>
        <v>2479</v>
      </c>
      <c r="J152" s="6">
        <f t="shared" si="52"/>
        <v>2445</v>
      </c>
      <c r="K152" s="6">
        <f t="shared" si="53"/>
        <v>2598</v>
      </c>
      <c r="L152" s="6">
        <f t="shared" si="62"/>
        <v>3000</v>
      </c>
      <c r="M152" s="6">
        <f t="shared" si="63"/>
        <v>3000</v>
      </c>
      <c r="N152" s="6">
        <f t="shared" si="64"/>
        <v>3000</v>
      </c>
      <c r="O152" s="6">
        <f t="shared" si="56"/>
        <v>-521</v>
      </c>
      <c r="P152" s="6">
        <f t="shared" si="57"/>
        <v>-555</v>
      </c>
      <c r="Q152" s="6">
        <f t="shared" si="58"/>
        <v>-402</v>
      </c>
      <c r="R152" s="8">
        <v>4</v>
      </c>
      <c r="S152" s="8">
        <v>5</v>
      </c>
      <c r="T152" s="8">
        <v>4</v>
      </c>
      <c r="U152" s="25">
        <f t="shared" si="59"/>
        <v>-301</v>
      </c>
      <c r="V152" s="25">
        <f t="shared" si="60"/>
        <v>-345</v>
      </c>
      <c r="W152" s="25">
        <f t="shared" si="61"/>
        <v>-262</v>
      </c>
      <c r="X152" s="15">
        <v>1.655</v>
      </c>
      <c r="Y152" s="7"/>
      <c r="Z152" s="21">
        <f t="shared" si="42"/>
        <v>2.1</v>
      </c>
      <c r="AA152" s="6"/>
      <c r="AB152" s="6"/>
    </row>
    <row r="153" spans="1:28" ht="13.8">
      <c r="A153" s="13">
        <v>142</v>
      </c>
      <c r="B153" s="185" t="s">
        <v>214</v>
      </c>
      <c r="C153" s="10">
        <f t="shared" si="54"/>
        <v>1069</v>
      </c>
      <c r="D153" s="9">
        <f t="shared" si="47"/>
        <v>1561</v>
      </c>
      <c r="E153" s="26">
        <f t="shared" si="55"/>
        <v>2630</v>
      </c>
      <c r="F153" s="8">
        <f t="shared" si="48"/>
        <v>155</v>
      </c>
      <c r="G153" s="8">
        <f t="shared" si="49"/>
        <v>190</v>
      </c>
      <c r="H153" s="8">
        <f t="shared" si="50"/>
        <v>36</v>
      </c>
      <c r="I153" s="6">
        <f t="shared" si="51"/>
        <v>2475</v>
      </c>
      <c r="J153" s="6">
        <f t="shared" si="52"/>
        <v>2440</v>
      </c>
      <c r="K153" s="6">
        <f t="shared" si="53"/>
        <v>2594</v>
      </c>
      <c r="L153" s="6">
        <f t="shared" si="62"/>
        <v>3000</v>
      </c>
      <c r="M153" s="6">
        <f t="shared" si="63"/>
        <v>3000</v>
      </c>
      <c r="N153" s="6">
        <f t="shared" si="64"/>
        <v>3000</v>
      </c>
      <c r="O153" s="6">
        <f t="shared" si="56"/>
        <v>-525</v>
      </c>
      <c r="P153" s="6">
        <f t="shared" si="57"/>
        <v>-560</v>
      </c>
      <c r="Q153" s="6">
        <f t="shared" si="58"/>
        <v>-406</v>
      </c>
      <c r="R153" s="8">
        <v>4</v>
      </c>
      <c r="S153" s="8">
        <v>5</v>
      </c>
      <c r="T153" s="8">
        <v>4</v>
      </c>
      <c r="U153" s="25">
        <f t="shared" si="59"/>
        <v>-305</v>
      </c>
      <c r="V153" s="25">
        <f t="shared" si="60"/>
        <v>-350</v>
      </c>
      <c r="W153" s="25">
        <f t="shared" si="61"/>
        <v>-266</v>
      </c>
      <c r="X153" s="15">
        <v>1.65</v>
      </c>
      <c r="Y153" s="7"/>
      <c r="Z153" s="21">
        <f t="shared" si="42"/>
        <v>2.1</v>
      </c>
      <c r="AA153" s="6"/>
      <c r="AB153" s="6"/>
    </row>
    <row r="154" spans="1:28" ht="13.8">
      <c r="A154" s="13">
        <v>143</v>
      </c>
      <c r="B154" s="185" t="s">
        <v>215</v>
      </c>
      <c r="C154" s="10">
        <f t="shared" si="54"/>
        <v>1069</v>
      </c>
      <c r="D154" s="9">
        <f t="shared" si="47"/>
        <v>1563</v>
      </c>
      <c r="E154" s="26">
        <f t="shared" si="55"/>
        <v>2632</v>
      </c>
      <c r="F154" s="8">
        <f t="shared" si="48"/>
        <v>161</v>
      </c>
      <c r="G154" s="8">
        <f t="shared" si="49"/>
        <v>197</v>
      </c>
      <c r="H154" s="8">
        <f t="shared" si="50"/>
        <v>42</v>
      </c>
      <c r="I154" s="6">
        <f t="shared" si="51"/>
        <v>2471</v>
      </c>
      <c r="J154" s="6">
        <f t="shared" si="52"/>
        <v>2435</v>
      </c>
      <c r="K154" s="6">
        <f t="shared" si="53"/>
        <v>2590</v>
      </c>
      <c r="L154" s="6">
        <f t="shared" si="62"/>
        <v>3000</v>
      </c>
      <c r="M154" s="6">
        <f t="shared" si="63"/>
        <v>3000</v>
      </c>
      <c r="N154" s="6">
        <f t="shared" si="64"/>
        <v>3000</v>
      </c>
      <c r="O154" s="6">
        <f t="shared" si="56"/>
        <v>-529</v>
      </c>
      <c r="P154" s="6">
        <f t="shared" si="57"/>
        <v>-565</v>
      </c>
      <c r="Q154" s="6">
        <f t="shared" si="58"/>
        <v>-410</v>
      </c>
      <c r="R154" s="8">
        <v>4</v>
      </c>
      <c r="S154" s="8">
        <v>5</v>
      </c>
      <c r="T154" s="8">
        <v>4</v>
      </c>
      <c r="U154" s="25">
        <f t="shared" si="59"/>
        <v>-309</v>
      </c>
      <c r="V154" s="25">
        <f t="shared" si="60"/>
        <v>-355</v>
      </c>
      <c r="W154" s="25">
        <f t="shared" si="61"/>
        <v>-270</v>
      </c>
      <c r="X154" s="15">
        <v>1.645</v>
      </c>
      <c r="Y154" s="7"/>
      <c r="Z154" s="21">
        <f t="shared" si="42"/>
        <v>2.1</v>
      </c>
      <c r="AA154" s="6"/>
      <c r="AB154" s="6"/>
    </row>
    <row r="155" spans="1:28" ht="13.8">
      <c r="A155" s="13">
        <v>144</v>
      </c>
      <c r="B155" s="185" t="s">
        <v>216</v>
      </c>
      <c r="C155" s="10">
        <f t="shared" si="54"/>
        <v>1069</v>
      </c>
      <c r="D155" s="9">
        <f t="shared" si="47"/>
        <v>1565</v>
      </c>
      <c r="E155" s="26">
        <f t="shared" si="55"/>
        <v>2634</v>
      </c>
      <c r="F155" s="8">
        <f t="shared" si="48"/>
        <v>167</v>
      </c>
      <c r="G155" s="8">
        <f t="shared" si="49"/>
        <v>204</v>
      </c>
      <c r="H155" s="8">
        <f t="shared" si="50"/>
        <v>48</v>
      </c>
      <c r="I155" s="6">
        <f t="shared" si="51"/>
        <v>2467</v>
      </c>
      <c r="J155" s="6">
        <f t="shared" si="52"/>
        <v>2430</v>
      </c>
      <c r="K155" s="6">
        <f t="shared" si="53"/>
        <v>2586</v>
      </c>
      <c r="L155" s="6">
        <f t="shared" si="62"/>
        <v>3000</v>
      </c>
      <c r="M155" s="6">
        <f t="shared" si="63"/>
        <v>3000</v>
      </c>
      <c r="N155" s="6">
        <f t="shared" si="64"/>
        <v>3000</v>
      </c>
      <c r="O155" s="6">
        <f t="shared" si="56"/>
        <v>-533</v>
      </c>
      <c r="P155" s="6">
        <f t="shared" si="57"/>
        <v>-570</v>
      </c>
      <c r="Q155" s="6">
        <f t="shared" si="58"/>
        <v>-414</v>
      </c>
      <c r="R155" s="8">
        <v>4</v>
      </c>
      <c r="S155" s="8">
        <v>5</v>
      </c>
      <c r="T155" s="8">
        <v>4</v>
      </c>
      <c r="U155" s="25">
        <f t="shared" si="59"/>
        <v>-313</v>
      </c>
      <c r="V155" s="25">
        <f t="shared" si="60"/>
        <v>-360</v>
      </c>
      <c r="W155" s="25">
        <f t="shared" si="61"/>
        <v>-274</v>
      </c>
      <c r="X155" s="15">
        <v>1.64</v>
      </c>
      <c r="Y155" s="7"/>
      <c r="Z155" s="21">
        <f t="shared" si="42"/>
        <v>2.1</v>
      </c>
      <c r="AA155" s="6"/>
      <c r="AB155" s="6"/>
    </row>
    <row r="156" spans="1:28" ht="13.8">
      <c r="A156" s="13">
        <v>145</v>
      </c>
      <c r="B156" s="185" t="s">
        <v>217</v>
      </c>
      <c r="C156" s="10">
        <f t="shared" si="54"/>
        <v>1069</v>
      </c>
      <c r="D156" s="9">
        <f t="shared" si="47"/>
        <v>1567</v>
      </c>
      <c r="E156" s="26">
        <f t="shared" si="55"/>
        <v>2636</v>
      </c>
      <c r="F156" s="8">
        <f t="shared" si="48"/>
        <v>173</v>
      </c>
      <c r="G156" s="8">
        <f t="shared" si="49"/>
        <v>211</v>
      </c>
      <c r="H156" s="8">
        <f t="shared" si="50"/>
        <v>54</v>
      </c>
      <c r="I156" s="6">
        <f t="shared" si="51"/>
        <v>2463</v>
      </c>
      <c r="J156" s="6">
        <f t="shared" si="52"/>
        <v>2425</v>
      </c>
      <c r="K156" s="6">
        <f t="shared" si="53"/>
        <v>2582</v>
      </c>
      <c r="L156" s="6">
        <f t="shared" si="62"/>
        <v>3000</v>
      </c>
      <c r="M156" s="6">
        <f t="shared" si="63"/>
        <v>3000</v>
      </c>
      <c r="N156" s="6">
        <f t="shared" si="64"/>
        <v>3000</v>
      </c>
      <c r="O156" s="6">
        <f t="shared" si="56"/>
        <v>-537</v>
      </c>
      <c r="P156" s="6">
        <f t="shared" si="57"/>
        <v>-575</v>
      </c>
      <c r="Q156" s="6">
        <f t="shared" si="58"/>
        <v>-418</v>
      </c>
      <c r="R156" s="8">
        <v>4</v>
      </c>
      <c r="S156" s="8">
        <v>5</v>
      </c>
      <c r="T156" s="8">
        <v>4</v>
      </c>
      <c r="U156" s="25">
        <f t="shared" si="59"/>
        <v>-317</v>
      </c>
      <c r="V156" s="25">
        <f t="shared" si="60"/>
        <v>-365</v>
      </c>
      <c r="W156" s="25">
        <f t="shared" si="61"/>
        <v>-278</v>
      </c>
      <c r="X156" s="15">
        <v>1.635</v>
      </c>
      <c r="Y156" s="7"/>
      <c r="Z156" s="21">
        <f t="shared" si="42"/>
        <v>2.1</v>
      </c>
      <c r="AA156" s="6"/>
      <c r="AB156" s="6"/>
    </row>
    <row r="157" spans="1:28" ht="13.8">
      <c r="A157" s="13">
        <v>146</v>
      </c>
      <c r="B157" s="185" t="s">
        <v>218</v>
      </c>
      <c r="C157" s="10">
        <f t="shared" si="54"/>
        <v>1069</v>
      </c>
      <c r="D157" s="9">
        <f t="shared" si="47"/>
        <v>1569</v>
      </c>
      <c r="E157" s="26">
        <f t="shared" si="55"/>
        <v>2638</v>
      </c>
      <c r="F157" s="8">
        <f t="shared" si="48"/>
        <v>179</v>
      </c>
      <c r="G157" s="8">
        <f t="shared" si="49"/>
        <v>218</v>
      </c>
      <c r="H157" s="8">
        <f t="shared" si="50"/>
        <v>60</v>
      </c>
      <c r="I157" s="6">
        <f t="shared" si="51"/>
        <v>2459</v>
      </c>
      <c r="J157" s="6">
        <f t="shared" si="52"/>
        <v>2420</v>
      </c>
      <c r="K157" s="6">
        <f t="shared" si="53"/>
        <v>2578</v>
      </c>
      <c r="L157" s="6">
        <f t="shared" si="62"/>
        <v>3000</v>
      </c>
      <c r="M157" s="6">
        <f t="shared" si="63"/>
        <v>3000</v>
      </c>
      <c r="N157" s="6">
        <f t="shared" si="64"/>
        <v>3000</v>
      </c>
      <c r="O157" s="6">
        <f t="shared" si="56"/>
        <v>-541</v>
      </c>
      <c r="P157" s="6">
        <f t="shared" si="57"/>
        <v>-580</v>
      </c>
      <c r="Q157" s="6">
        <f t="shared" si="58"/>
        <v>-422</v>
      </c>
      <c r="R157" s="8">
        <v>4</v>
      </c>
      <c r="S157" s="8">
        <v>5</v>
      </c>
      <c r="T157" s="8">
        <v>4</v>
      </c>
      <c r="U157" s="25">
        <f t="shared" si="59"/>
        <v>-321</v>
      </c>
      <c r="V157" s="25">
        <f t="shared" si="60"/>
        <v>-370</v>
      </c>
      <c r="W157" s="25">
        <f t="shared" si="61"/>
        <v>-282</v>
      </c>
      <c r="X157" s="15">
        <v>1.63</v>
      </c>
      <c r="Y157" s="7"/>
      <c r="Z157" s="21">
        <f t="shared" si="42"/>
        <v>2.1</v>
      </c>
      <c r="AA157" s="6"/>
      <c r="AB157" s="6"/>
    </row>
    <row r="158" spans="1:28" ht="13.8">
      <c r="A158" s="13">
        <v>147</v>
      </c>
      <c r="B158" s="185" t="s">
        <v>219</v>
      </c>
      <c r="C158" s="10">
        <f t="shared" si="54"/>
        <v>1069</v>
      </c>
      <c r="D158" s="9">
        <f t="shared" si="47"/>
        <v>1571</v>
      </c>
      <c r="E158" s="26">
        <f t="shared" si="55"/>
        <v>2640</v>
      </c>
      <c r="F158" s="8">
        <f t="shared" si="48"/>
        <v>185</v>
      </c>
      <c r="G158" s="8">
        <f t="shared" si="49"/>
        <v>225</v>
      </c>
      <c r="H158" s="8">
        <f t="shared" si="50"/>
        <v>66</v>
      </c>
      <c r="I158" s="6">
        <f t="shared" si="51"/>
        <v>2455</v>
      </c>
      <c r="J158" s="6">
        <f t="shared" si="52"/>
        <v>2415</v>
      </c>
      <c r="K158" s="6">
        <f t="shared" si="53"/>
        <v>2574</v>
      </c>
      <c r="L158" s="6">
        <f t="shared" si="62"/>
        <v>3000</v>
      </c>
      <c r="M158" s="6">
        <f t="shared" si="63"/>
        <v>3000</v>
      </c>
      <c r="N158" s="6">
        <f t="shared" si="64"/>
        <v>3000</v>
      </c>
      <c r="O158" s="6">
        <f t="shared" si="56"/>
        <v>-545</v>
      </c>
      <c r="P158" s="6">
        <f t="shared" si="57"/>
        <v>-585</v>
      </c>
      <c r="Q158" s="6">
        <f t="shared" si="58"/>
        <v>-426</v>
      </c>
      <c r="R158" s="8">
        <v>4</v>
      </c>
      <c r="S158" s="8">
        <v>5</v>
      </c>
      <c r="T158" s="8">
        <v>4</v>
      </c>
      <c r="U158" s="25">
        <f t="shared" si="59"/>
        <v>-325</v>
      </c>
      <c r="V158" s="25">
        <f t="shared" si="60"/>
        <v>-375</v>
      </c>
      <c r="W158" s="25">
        <f t="shared" si="61"/>
        <v>-286</v>
      </c>
      <c r="X158" s="15">
        <v>1.625</v>
      </c>
      <c r="Y158" s="7"/>
      <c r="Z158" s="21">
        <f t="shared" si="42"/>
        <v>2.1</v>
      </c>
      <c r="AA158" s="6"/>
      <c r="AB158" s="6"/>
    </row>
    <row r="159" spans="1:28" ht="13.8">
      <c r="A159" s="13">
        <v>148</v>
      </c>
      <c r="B159" s="185" t="s">
        <v>220</v>
      </c>
      <c r="C159" s="10">
        <f t="shared" si="54"/>
        <v>1069</v>
      </c>
      <c r="D159" s="9">
        <f t="shared" si="47"/>
        <v>1573</v>
      </c>
      <c r="E159" s="26">
        <f t="shared" si="55"/>
        <v>2642</v>
      </c>
      <c r="F159" s="8">
        <f t="shared" si="48"/>
        <v>191</v>
      </c>
      <c r="G159" s="8">
        <f t="shared" si="49"/>
        <v>232</v>
      </c>
      <c r="H159" s="8">
        <f t="shared" si="50"/>
        <v>72</v>
      </c>
      <c r="I159" s="6">
        <f t="shared" si="51"/>
        <v>2451</v>
      </c>
      <c r="J159" s="6">
        <f t="shared" si="52"/>
        <v>2410</v>
      </c>
      <c r="K159" s="6">
        <f t="shared" si="53"/>
        <v>2570</v>
      </c>
      <c r="L159" s="6">
        <f t="shared" si="62"/>
        <v>3000</v>
      </c>
      <c r="M159" s="6">
        <f t="shared" si="63"/>
        <v>3000</v>
      </c>
      <c r="N159" s="6">
        <f t="shared" si="64"/>
        <v>3000</v>
      </c>
      <c r="O159" s="6">
        <f t="shared" si="56"/>
        <v>-549</v>
      </c>
      <c r="P159" s="6">
        <f t="shared" si="57"/>
        <v>-590</v>
      </c>
      <c r="Q159" s="6">
        <f t="shared" si="58"/>
        <v>-430</v>
      </c>
      <c r="R159" s="8">
        <v>4</v>
      </c>
      <c r="S159" s="8">
        <v>5</v>
      </c>
      <c r="T159" s="8">
        <v>4</v>
      </c>
      <c r="U159" s="25">
        <f t="shared" si="59"/>
        <v>-329</v>
      </c>
      <c r="V159" s="25">
        <f t="shared" si="60"/>
        <v>-380</v>
      </c>
      <c r="W159" s="25">
        <f t="shared" si="61"/>
        <v>-290</v>
      </c>
      <c r="X159" s="15">
        <v>1.62</v>
      </c>
      <c r="Y159" s="7"/>
      <c r="Z159" s="21">
        <f t="shared" si="42"/>
        <v>2.1</v>
      </c>
      <c r="AA159" s="6"/>
      <c r="AB159" s="6"/>
    </row>
    <row r="160" spans="1:28" ht="13.8">
      <c r="A160" s="13">
        <v>149</v>
      </c>
      <c r="B160" s="185" t="s">
        <v>221</v>
      </c>
      <c r="C160" s="10">
        <f t="shared" si="54"/>
        <v>1069</v>
      </c>
      <c r="D160" s="9">
        <f t="shared" si="47"/>
        <v>1575</v>
      </c>
      <c r="E160" s="26">
        <f t="shared" si="55"/>
        <v>2644</v>
      </c>
      <c r="F160" s="8">
        <f t="shared" si="48"/>
        <v>197</v>
      </c>
      <c r="G160" s="8">
        <f t="shared" si="49"/>
        <v>239</v>
      </c>
      <c r="H160" s="8">
        <f t="shared" si="50"/>
        <v>78</v>
      </c>
      <c r="I160" s="6">
        <f t="shared" si="51"/>
        <v>2447</v>
      </c>
      <c r="J160" s="6">
        <f t="shared" si="52"/>
        <v>2405</v>
      </c>
      <c r="K160" s="6">
        <f t="shared" si="53"/>
        <v>2566</v>
      </c>
      <c r="L160" s="6">
        <f t="shared" si="62"/>
        <v>3000</v>
      </c>
      <c r="M160" s="6">
        <f t="shared" si="63"/>
        <v>3000</v>
      </c>
      <c r="N160" s="6">
        <f t="shared" si="64"/>
        <v>3000</v>
      </c>
      <c r="O160" s="6">
        <f t="shared" si="56"/>
        <v>-553</v>
      </c>
      <c r="P160" s="6">
        <f t="shared" si="57"/>
        <v>-595</v>
      </c>
      <c r="Q160" s="6">
        <f t="shared" si="58"/>
        <v>-434</v>
      </c>
      <c r="R160" s="8">
        <v>4</v>
      </c>
      <c r="S160" s="8">
        <v>5</v>
      </c>
      <c r="T160" s="8">
        <v>4</v>
      </c>
      <c r="U160" s="25">
        <f t="shared" si="59"/>
        <v>-333</v>
      </c>
      <c r="V160" s="25">
        <f t="shared" si="60"/>
        <v>-385</v>
      </c>
      <c r="W160" s="25">
        <f t="shared" si="61"/>
        <v>-294</v>
      </c>
      <c r="X160" s="15">
        <v>1.615</v>
      </c>
      <c r="Y160" s="7"/>
      <c r="Z160" s="21">
        <f t="shared" si="42"/>
        <v>2.1</v>
      </c>
      <c r="AA160" s="6"/>
      <c r="AB160" s="6"/>
    </row>
    <row r="161" spans="1:28" ht="13.8">
      <c r="A161" s="13">
        <v>150</v>
      </c>
      <c r="B161" s="185" t="s">
        <v>222</v>
      </c>
      <c r="C161" s="10">
        <f t="shared" si="54"/>
        <v>1069</v>
      </c>
      <c r="D161" s="9">
        <f t="shared" si="47"/>
        <v>1577</v>
      </c>
      <c r="E161" s="26">
        <f t="shared" si="55"/>
        <v>2646</v>
      </c>
      <c r="F161" s="8">
        <f t="shared" si="48"/>
        <v>203</v>
      </c>
      <c r="G161" s="8">
        <f t="shared" si="49"/>
        <v>246</v>
      </c>
      <c r="H161" s="8">
        <f t="shared" si="50"/>
        <v>84</v>
      </c>
      <c r="I161" s="6">
        <f t="shared" si="51"/>
        <v>2443</v>
      </c>
      <c r="J161" s="6">
        <f t="shared" si="52"/>
        <v>2400</v>
      </c>
      <c r="K161" s="6">
        <f t="shared" si="53"/>
        <v>2562</v>
      </c>
      <c r="L161" s="6">
        <f t="shared" si="62"/>
        <v>3000</v>
      </c>
      <c r="M161" s="6">
        <f t="shared" si="63"/>
        <v>3000</v>
      </c>
      <c r="N161" s="6">
        <f t="shared" si="64"/>
        <v>3000</v>
      </c>
      <c r="O161" s="6">
        <f t="shared" si="56"/>
        <v>-557</v>
      </c>
      <c r="P161" s="6">
        <f t="shared" si="57"/>
        <v>-600</v>
      </c>
      <c r="Q161" s="6">
        <f t="shared" si="58"/>
        <v>-438</v>
      </c>
      <c r="R161" s="8">
        <v>4</v>
      </c>
      <c r="S161" s="8">
        <v>5</v>
      </c>
      <c r="T161" s="8">
        <v>4</v>
      </c>
      <c r="U161" s="25">
        <f t="shared" si="59"/>
        <v>-337</v>
      </c>
      <c r="V161" s="25">
        <f t="shared" si="60"/>
        <v>-390</v>
      </c>
      <c r="W161" s="25">
        <f t="shared" si="61"/>
        <v>-298</v>
      </c>
      <c r="X161" s="15">
        <v>1.61</v>
      </c>
      <c r="Y161" s="7"/>
      <c r="Z161" s="21">
        <f t="shared" si="42"/>
        <v>2.1</v>
      </c>
      <c r="AA161" s="6"/>
      <c r="AB161" s="6"/>
    </row>
    <row r="162" spans="1:28" ht="13.8">
      <c r="A162" s="13">
        <v>151</v>
      </c>
      <c r="B162" s="185" t="s">
        <v>223</v>
      </c>
      <c r="C162" s="10">
        <f t="shared" si="54"/>
        <v>1069</v>
      </c>
      <c r="D162" s="9">
        <f t="shared" si="47"/>
        <v>1579</v>
      </c>
      <c r="E162" s="26">
        <f t="shared" si="55"/>
        <v>2648</v>
      </c>
      <c r="F162" s="8">
        <f t="shared" si="48"/>
        <v>209</v>
      </c>
      <c r="G162" s="8">
        <f t="shared" si="49"/>
        <v>253</v>
      </c>
      <c r="H162" s="8">
        <f t="shared" si="50"/>
        <v>90</v>
      </c>
      <c r="I162" s="6">
        <f t="shared" si="51"/>
        <v>2439</v>
      </c>
      <c r="J162" s="6">
        <f t="shared" si="52"/>
        <v>2395</v>
      </c>
      <c r="K162" s="6">
        <f t="shared" si="53"/>
        <v>2558</v>
      </c>
      <c r="L162" s="6">
        <f t="shared" si="62"/>
        <v>3000</v>
      </c>
      <c r="M162" s="6">
        <f t="shared" si="63"/>
        <v>3000</v>
      </c>
      <c r="N162" s="6">
        <f t="shared" si="64"/>
        <v>3000</v>
      </c>
      <c r="O162" s="6">
        <f t="shared" si="56"/>
        <v>-561</v>
      </c>
      <c r="P162" s="6">
        <f t="shared" si="57"/>
        <v>-605</v>
      </c>
      <c r="Q162" s="6">
        <f t="shared" si="58"/>
        <v>-442</v>
      </c>
      <c r="R162" s="8">
        <v>4</v>
      </c>
      <c r="S162" s="8">
        <v>5</v>
      </c>
      <c r="T162" s="8">
        <v>4</v>
      </c>
      <c r="U162" s="25">
        <f t="shared" si="59"/>
        <v>-341</v>
      </c>
      <c r="V162" s="25">
        <f t="shared" si="60"/>
        <v>-395</v>
      </c>
      <c r="W162" s="25">
        <f t="shared" si="61"/>
        <v>-302</v>
      </c>
      <c r="X162" s="15">
        <v>1.605</v>
      </c>
      <c r="Y162" s="7"/>
      <c r="Z162" s="21">
        <f t="shared" si="42"/>
        <v>2.1</v>
      </c>
      <c r="AA162" s="6"/>
      <c r="AB162" s="6"/>
    </row>
    <row r="163" spans="1:28" ht="13.8">
      <c r="A163" s="13">
        <v>152</v>
      </c>
      <c r="B163" s="185" t="s">
        <v>224</v>
      </c>
      <c r="C163" s="10">
        <f t="shared" si="54"/>
        <v>1069</v>
      </c>
      <c r="D163" s="9">
        <f t="shared" si="47"/>
        <v>1581</v>
      </c>
      <c r="E163" s="26">
        <f t="shared" si="55"/>
        <v>2650</v>
      </c>
      <c r="F163" s="8">
        <f t="shared" si="48"/>
        <v>215</v>
      </c>
      <c r="G163" s="8">
        <f t="shared" si="49"/>
        <v>260</v>
      </c>
      <c r="H163" s="8">
        <f t="shared" si="50"/>
        <v>96</v>
      </c>
      <c r="I163" s="6">
        <f t="shared" si="51"/>
        <v>2435</v>
      </c>
      <c r="J163" s="6">
        <f t="shared" si="52"/>
        <v>2390</v>
      </c>
      <c r="K163" s="6">
        <f t="shared" si="53"/>
        <v>2554</v>
      </c>
      <c r="L163" s="6">
        <f t="shared" si="62"/>
        <v>3000</v>
      </c>
      <c r="M163" s="6">
        <f t="shared" si="63"/>
        <v>3000</v>
      </c>
      <c r="N163" s="6">
        <f t="shared" si="64"/>
        <v>3000</v>
      </c>
      <c r="O163" s="6">
        <f t="shared" si="56"/>
        <v>-565</v>
      </c>
      <c r="P163" s="6">
        <f t="shared" si="57"/>
        <v>-610</v>
      </c>
      <c r="Q163" s="6">
        <f t="shared" si="58"/>
        <v>-446</v>
      </c>
      <c r="R163" s="8">
        <v>4</v>
      </c>
      <c r="S163" s="8">
        <v>5</v>
      </c>
      <c r="T163" s="8">
        <v>4</v>
      </c>
      <c r="U163" s="25">
        <f t="shared" si="59"/>
        <v>-345</v>
      </c>
      <c r="V163" s="25">
        <f t="shared" si="60"/>
        <v>-400</v>
      </c>
      <c r="W163" s="25">
        <f t="shared" si="61"/>
        <v>-306</v>
      </c>
      <c r="X163" s="15">
        <v>1.6</v>
      </c>
      <c r="Y163" s="7"/>
      <c r="Z163" s="21">
        <f t="shared" ref="Z163:Z226" si="65">Z162+Y163</f>
        <v>2.1</v>
      </c>
      <c r="AA163" s="6"/>
      <c r="AB163" s="6"/>
    </row>
    <row r="164" spans="1:28" ht="13.8">
      <c r="A164" s="13">
        <v>153</v>
      </c>
      <c r="B164" s="185" t="s">
        <v>225</v>
      </c>
      <c r="C164" s="10">
        <f t="shared" si="54"/>
        <v>1069</v>
      </c>
      <c r="D164" s="9">
        <f t="shared" si="47"/>
        <v>1583</v>
      </c>
      <c r="E164" s="26">
        <f t="shared" si="55"/>
        <v>2652</v>
      </c>
      <c r="F164" s="8">
        <f t="shared" si="48"/>
        <v>221</v>
      </c>
      <c r="G164" s="8">
        <f t="shared" si="49"/>
        <v>267</v>
      </c>
      <c r="H164" s="8">
        <f t="shared" si="50"/>
        <v>102</v>
      </c>
      <c r="I164" s="6">
        <f t="shared" si="51"/>
        <v>2431</v>
      </c>
      <c r="J164" s="6">
        <f t="shared" si="52"/>
        <v>2385</v>
      </c>
      <c r="K164" s="6">
        <f t="shared" si="53"/>
        <v>2550</v>
      </c>
      <c r="L164" s="6">
        <f t="shared" si="62"/>
        <v>3000</v>
      </c>
      <c r="M164" s="6">
        <f t="shared" si="63"/>
        <v>3000</v>
      </c>
      <c r="N164" s="6">
        <f t="shared" si="64"/>
        <v>3000</v>
      </c>
      <c r="O164" s="6">
        <f t="shared" si="56"/>
        <v>-569</v>
      </c>
      <c r="P164" s="6">
        <f t="shared" si="57"/>
        <v>-615</v>
      </c>
      <c r="Q164" s="6">
        <f t="shared" si="58"/>
        <v>-450</v>
      </c>
      <c r="R164" s="8">
        <v>4</v>
      </c>
      <c r="S164" s="8">
        <v>5</v>
      </c>
      <c r="T164" s="8">
        <v>4</v>
      </c>
      <c r="U164" s="25">
        <f t="shared" si="59"/>
        <v>-349</v>
      </c>
      <c r="V164" s="25">
        <f t="shared" si="60"/>
        <v>-405</v>
      </c>
      <c r="W164" s="25">
        <f t="shared" si="61"/>
        <v>-310</v>
      </c>
      <c r="X164" s="15">
        <v>1.595</v>
      </c>
      <c r="Y164" s="7"/>
      <c r="Z164" s="21">
        <f t="shared" si="65"/>
        <v>2.1</v>
      </c>
      <c r="AA164" s="6"/>
      <c r="AB164" s="6"/>
    </row>
    <row r="165" spans="1:28" ht="13.8">
      <c r="A165" s="13">
        <v>154</v>
      </c>
      <c r="B165" s="185" t="s">
        <v>226</v>
      </c>
      <c r="C165" s="10">
        <f t="shared" si="54"/>
        <v>1069</v>
      </c>
      <c r="D165" s="9">
        <f t="shared" si="47"/>
        <v>1585</v>
      </c>
      <c r="E165" s="26">
        <f t="shared" si="55"/>
        <v>2654</v>
      </c>
      <c r="F165" s="8">
        <f t="shared" si="48"/>
        <v>227</v>
      </c>
      <c r="G165" s="8">
        <f t="shared" si="49"/>
        <v>274</v>
      </c>
      <c r="H165" s="8">
        <f t="shared" si="50"/>
        <v>108</v>
      </c>
      <c r="I165" s="6">
        <f t="shared" si="51"/>
        <v>2427</v>
      </c>
      <c r="J165" s="6">
        <f t="shared" si="52"/>
        <v>2380</v>
      </c>
      <c r="K165" s="6">
        <f t="shared" si="53"/>
        <v>2546</v>
      </c>
      <c r="L165" s="6">
        <f t="shared" si="62"/>
        <v>3000</v>
      </c>
      <c r="M165" s="6">
        <f t="shared" si="63"/>
        <v>3000</v>
      </c>
      <c r="N165" s="6">
        <f t="shared" si="64"/>
        <v>3000</v>
      </c>
      <c r="O165" s="6">
        <f t="shared" si="56"/>
        <v>-573</v>
      </c>
      <c r="P165" s="6">
        <f t="shared" si="57"/>
        <v>-620</v>
      </c>
      <c r="Q165" s="6">
        <f t="shared" si="58"/>
        <v>-454</v>
      </c>
      <c r="R165" s="8">
        <v>4</v>
      </c>
      <c r="S165" s="8">
        <v>5</v>
      </c>
      <c r="T165" s="8">
        <v>4</v>
      </c>
      <c r="U165" s="25">
        <f t="shared" si="59"/>
        <v>-353</v>
      </c>
      <c r="V165" s="25">
        <f t="shared" si="60"/>
        <v>-410</v>
      </c>
      <c r="W165" s="25">
        <f t="shared" si="61"/>
        <v>-314</v>
      </c>
      <c r="X165" s="15">
        <v>1.59</v>
      </c>
      <c r="Y165" s="7"/>
      <c r="Z165" s="21">
        <f t="shared" si="65"/>
        <v>2.1</v>
      </c>
      <c r="AA165" s="6"/>
      <c r="AB165" s="6"/>
    </row>
    <row r="166" spans="1:28" ht="13.8">
      <c r="A166" s="13">
        <v>155</v>
      </c>
      <c r="B166" s="185" t="s">
        <v>227</v>
      </c>
      <c r="C166" s="10">
        <f t="shared" si="54"/>
        <v>1069</v>
      </c>
      <c r="D166" s="9">
        <f t="shared" si="47"/>
        <v>1587</v>
      </c>
      <c r="E166" s="26">
        <f t="shared" si="55"/>
        <v>2656</v>
      </c>
      <c r="F166" s="8">
        <f t="shared" si="48"/>
        <v>233</v>
      </c>
      <c r="G166" s="8">
        <f t="shared" si="49"/>
        <v>281</v>
      </c>
      <c r="H166" s="8">
        <f t="shared" si="50"/>
        <v>114</v>
      </c>
      <c r="I166" s="6">
        <f t="shared" si="51"/>
        <v>2423</v>
      </c>
      <c r="J166" s="6">
        <f t="shared" si="52"/>
        <v>2375</v>
      </c>
      <c r="K166" s="6">
        <f t="shared" si="53"/>
        <v>2542</v>
      </c>
      <c r="L166" s="6">
        <f t="shared" si="62"/>
        <v>3000</v>
      </c>
      <c r="M166" s="6">
        <f t="shared" si="63"/>
        <v>3000</v>
      </c>
      <c r="N166" s="6">
        <f t="shared" si="64"/>
        <v>3000</v>
      </c>
      <c r="O166" s="6">
        <f t="shared" si="56"/>
        <v>-577</v>
      </c>
      <c r="P166" s="6">
        <f t="shared" si="57"/>
        <v>-625</v>
      </c>
      <c r="Q166" s="6">
        <f t="shared" si="58"/>
        <v>-458</v>
      </c>
      <c r="R166" s="8">
        <v>4</v>
      </c>
      <c r="S166" s="8">
        <v>5</v>
      </c>
      <c r="T166" s="8">
        <v>4</v>
      </c>
      <c r="U166" s="25">
        <f t="shared" si="59"/>
        <v>-357</v>
      </c>
      <c r="V166" s="25">
        <f t="shared" si="60"/>
        <v>-415</v>
      </c>
      <c r="W166" s="25">
        <f t="shared" si="61"/>
        <v>-318</v>
      </c>
      <c r="X166" s="15">
        <v>1.585</v>
      </c>
      <c r="Y166" s="7"/>
      <c r="Z166" s="21">
        <f t="shared" si="65"/>
        <v>2.1</v>
      </c>
      <c r="AA166" s="6"/>
      <c r="AB166" s="6"/>
    </row>
    <row r="167" spans="1:28" ht="13.8">
      <c r="A167" s="13">
        <v>156</v>
      </c>
      <c r="B167" s="185" t="s">
        <v>228</v>
      </c>
      <c r="C167" s="10">
        <f t="shared" si="54"/>
        <v>1069</v>
      </c>
      <c r="D167" s="9">
        <f t="shared" si="47"/>
        <v>1589</v>
      </c>
      <c r="E167" s="26">
        <f t="shared" si="55"/>
        <v>2658</v>
      </c>
      <c r="F167" s="8">
        <f t="shared" si="48"/>
        <v>239</v>
      </c>
      <c r="G167" s="8">
        <f t="shared" si="49"/>
        <v>288</v>
      </c>
      <c r="H167" s="8">
        <f t="shared" si="50"/>
        <v>120</v>
      </c>
      <c r="I167" s="6">
        <f t="shared" si="51"/>
        <v>2419</v>
      </c>
      <c r="J167" s="6">
        <f t="shared" si="52"/>
        <v>2370</v>
      </c>
      <c r="K167" s="6">
        <f t="shared" si="53"/>
        <v>2538</v>
      </c>
      <c r="L167" s="6">
        <f t="shared" si="62"/>
        <v>3000</v>
      </c>
      <c r="M167" s="6">
        <f t="shared" si="63"/>
        <v>3000</v>
      </c>
      <c r="N167" s="6">
        <f t="shared" si="64"/>
        <v>3000</v>
      </c>
      <c r="O167" s="6">
        <f t="shared" si="56"/>
        <v>-581</v>
      </c>
      <c r="P167" s="6">
        <f t="shared" si="57"/>
        <v>-630</v>
      </c>
      <c r="Q167" s="6">
        <f t="shared" si="58"/>
        <v>-462</v>
      </c>
      <c r="R167" s="8">
        <v>4</v>
      </c>
      <c r="S167" s="8">
        <v>5</v>
      </c>
      <c r="T167" s="8">
        <v>4</v>
      </c>
      <c r="U167" s="25">
        <f t="shared" si="59"/>
        <v>-361</v>
      </c>
      <c r="V167" s="25">
        <f t="shared" si="60"/>
        <v>-420</v>
      </c>
      <c r="W167" s="25">
        <f t="shared" si="61"/>
        <v>-322</v>
      </c>
      <c r="X167" s="15">
        <v>1.58</v>
      </c>
      <c r="Y167" s="7"/>
      <c r="Z167" s="21">
        <f t="shared" si="65"/>
        <v>2.1</v>
      </c>
      <c r="AA167" s="6"/>
      <c r="AB167" s="6"/>
    </row>
    <row r="168" spans="1:28" ht="13.8">
      <c r="A168" s="13">
        <v>157</v>
      </c>
      <c r="B168" s="185" t="s">
        <v>229</v>
      </c>
      <c r="C168" s="10">
        <f t="shared" si="54"/>
        <v>1069</v>
      </c>
      <c r="D168" s="9">
        <f t="shared" si="47"/>
        <v>1591</v>
      </c>
      <c r="E168" s="26">
        <f t="shared" si="55"/>
        <v>2660</v>
      </c>
      <c r="F168" s="8">
        <f t="shared" si="48"/>
        <v>245</v>
      </c>
      <c r="G168" s="8">
        <f t="shared" si="49"/>
        <v>295</v>
      </c>
      <c r="H168" s="8">
        <f t="shared" si="50"/>
        <v>126</v>
      </c>
      <c r="I168" s="6">
        <f t="shared" si="51"/>
        <v>2415</v>
      </c>
      <c r="J168" s="6">
        <f t="shared" si="52"/>
        <v>2365</v>
      </c>
      <c r="K168" s="6">
        <f t="shared" si="53"/>
        <v>2534</v>
      </c>
      <c r="L168" s="6">
        <f t="shared" si="62"/>
        <v>3000</v>
      </c>
      <c r="M168" s="6">
        <f t="shared" si="63"/>
        <v>3000</v>
      </c>
      <c r="N168" s="6">
        <f t="shared" si="64"/>
        <v>3000</v>
      </c>
      <c r="O168" s="6">
        <f t="shared" si="56"/>
        <v>-585</v>
      </c>
      <c r="P168" s="6">
        <f t="shared" si="57"/>
        <v>-635</v>
      </c>
      <c r="Q168" s="6">
        <f t="shared" si="58"/>
        <v>-466</v>
      </c>
      <c r="R168" s="8">
        <v>4</v>
      </c>
      <c r="S168" s="8">
        <v>5</v>
      </c>
      <c r="T168" s="8">
        <v>4</v>
      </c>
      <c r="U168" s="25">
        <f t="shared" si="59"/>
        <v>-365</v>
      </c>
      <c r="V168" s="25">
        <f t="shared" si="60"/>
        <v>-425</v>
      </c>
      <c r="W168" s="25">
        <f t="shared" si="61"/>
        <v>-326</v>
      </c>
      <c r="X168" s="15">
        <v>1.575</v>
      </c>
      <c r="Y168" s="7"/>
      <c r="Z168" s="21">
        <f t="shared" si="65"/>
        <v>2.1</v>
      </c>
      <c r="AA168" s="6"/>
      <c r="AB168" s="6"/>
    </row>
    <row r="169" spans="1:28" ht="13.8">
      <c r="A169" s="13">
        <v>158</v>
      </c>
      <c r="B169" s="185" t="s">
        <v>230</v>
      </c>
      <c r="C169" s="10">
        <f t="shared" si="54"/>
        <v>1069</v>
      </c>
      <c r="D169" s="9">
        <f t="shared" si="47"/>
        <v>1593</v>
      </c>
      <c r="E169" s="26">
        <f t="shared" si="55"/>
        <v>2662</v>
      </c>
      <c r="F169" s="8">
        <f t="shared" si="48"/>
        <v>251</v>
      </c>
      <c r="G169" s="8">
        <f t="shared" si="49"/>
        <v>302</v>
      </c>
      <c r="H169" s="8">
        <f t="shared" si="50"/>
        <v>132</v>
      </c>
      <c r="I169" s="6">
        <f t="shared" si="51"/>
        <v>2411</v>
      </c>
      <c r="J169" s="6">
        <f t="shared" si="52"/>
        <v>2360</v>
      </c>
      <c r="K169" s="6">
        <f t="shared" si="53"/>
        <v>2530</v>
      </c>
      <c r="L169" s="6">
        <f t="shared" si="62"/>
        <v>3000</v>
      </c>
      <c r="M169" s="6">
        <f t="shared" si="63"/>
        <v>3000</v>
      </c>
      <c r="N169" s="6">
        <f t="shared" si="64"/>
        <v>3000</v>
      </c>
      <c r="O169" s="6">
        <f t="shared" si="56"/>
        <v>-589</v>
      </c>
      <c r="P169" s="6">
        <f t="shared" si="57"/>
        <v>-640</v>
      </c>
      <c r="Q169" s="6">
        <f t="shared" si="58"/>
        <v>-470</v>
      </c>
      <c r="R169" s="8">
        <v>4</v>
      </c>
      <c r="S169" s="8">
        <v>5</v>
      </c>
      <c r="T169" s="8">
        <v>4</v>
      </c>
      <c r="U169" s="25">
        <f t="shared" si="59"/>
        <v>-369</v>
      </c>
      <c r="V169" s="25">
        <f t="shared" si="60"/>
        <v>-430</v>
      </c>
      <c r="W169" s="25">
        <f t="shared" si="61"/>
        <v>-330</v>
      </c>
      <c r="X169" s="15">
        <v>1.57</v>
      </c>
      <c r="Y169" s="7"/>
      <c r="Z169" s="21">
        <f t="shared" si="65"/>
        <v>2.1</v>
      </c>
      <c r="AA169" s="6"/>
      <c r="AB169" s="6"/>
    </row>
    <row r="170" spans="1:28" ht="13.8">
      <c r="A170" s="13">
        <v>159</v>
      </c>
      <c r="B170" s="185" t="s">
        <v>231</v>
      </c>
      <c r="C170" s="10">
        <f t="shared" si="54"/>
        <v>1069</v>
      </c>
      <c r="D170" s="9">
        <f t="shared" si="47"/>
        <v>1595</v>
      </c>
      <c r="E170" s="26">
        <f t="shared" si="55"/>
        <v>2664</v>
      </c>
      <c r="F170" s="8">
        <f t="shared" si="48"/>
        <v>257</v>
      </c>
      <c r="G170" s="8">
        <f t="shared" si="49"/>
        <v>309</v>
      </c>
      <c r="H170" s="8">
        <f t="shared" si="50"/>
        <v>138</v>
      </c>
      <c r="I170" s="6">
        <f t="shared" si="51"/>
        <v>2407</v>
      </c>
      <c r="J170" s="6">
        <f t="shared" si="52"/>
        <v>2355</v>
      </c>
      <c r="K170" s="6">
        <f t="shared" si="53"/>
        <v>2526</v>
      </c>
      <c r="L170" s="6">
        <f t="shared" si="62"/>
        <v>3000</v>
      </c>
      <c r="M170" s="6">
        <f t="shared" si="63"/>
        <v>3000</v>
      </c>
      <c r="N170" s="6">
        <f t="shared" si="64"/>
        <v>3000</v>
      </c>
      <c r="O170" s="6">
        <f t="shared" si="56"/>
        <v>-593</v>
      </c>
      <c r="P170" s="6">
        <f t="shared" si="57"/>
        <v>-645</v>
      </c>
      <c r="Q170" s="6">
        <f t="shared" si="58"/>
        <v>-474</v>
      </c>
      <c r="R170" s="8">
        <v>4</v>
      </c>
      <c r="S170" s="8">
        <v>5</v>
      </c>
      <c r="T170" s="8">
        <v>4</v>
      </c>
      <c r="U170" s="25">
        <f t="shared" si="59"/>
        <v>-373</v>
      </c>
      <c r="V170" s="25">
        <f t="shared" si="60"/>
        <v>-435</v>
      </c>
      <c r="W170" s="25">
        <f t="shared" si="61"/>
        <v>-334</v>
      </c>
      <c r="X170" s="15">
        <v>1.5649999999999999</v>
      </c>
      <c r="Y170" s="7"/>
      <c r="Z170" s="21">
        <f t="shared" si="65"/>
        <v>2.1</v>
      </c>
      <c r="AA170" s="6"/>
      <c r="AB170" s="6"/>
    </row>
    <row r="171" spans="1:28" ht="13.8">
      <c r="A171" s="13">
        <v>160</v>
      </c>
      <c r="B171" s="185" t="s">
        <v>232</v>
      </c>
      <c r="C171" s="10">
        <f t="shared" si="54"/>
        <v>1069</v>
      </c>
      <c r="D171" s="9">
        <f t="shared" si="47"/>
        <v>1597</v>
      </c>
      <c r="E171" s="26">
        <f t="shared" si="55"/>
        <v>2666</v>
      </c>
      <c r="F171" s="8">
        <f t="shared" si="48"/>
        <v>263</v>
      </c>
      <c r="G171" s="8">
        <f t="shared" si="49"/>
        <v>316</v>
      </c>
      <c r="H171" s="8">
        <f t="shared" si="50"/>
        <v>144</v>
      </c>
      <c r="I171" s="6">
        <f t="shared" si="51"/>
        <v>2403</v>
      </c>
      <c r="J171" s="6">
        <f t="shared" si="52"/>
        <v>2350</v>
      </c>
      <c r="K171" s="6">
        <f t="shared" si="53"/>
        <v>2522</v>
      </c>
      <c r="L171" s="6">
        <f t="shared" si="62"/>
        <v>3000</v>
      </c>
      <c r="M171" s="6">
        <f t="shared" si="63"/>
        <v>3000</v>
      </c>
      <c r="N171" s="6">
        <f t="shared" si="64"/>
        <v>3000</v>
      </c>
      <c r="O171" s="6">
        <f t="shared" si="56"/>
        <v>-597</v>
      </c>
      <c r="P171" s="6">
        <f t="shared" si="57"/>
        <v>-650</v>
      </c>
      <c r="Q171" s="6">
        <f t="shared" si="58"/>
        <v>-478</v>
      </c>
      <c r="R171" s="8">
        <v>4</v>
      </c>
      <c r="S171" s="8">
        <v>5</v>
      </c>
      <c r="T171" s="8">
        <v>4</v>
      </c>
      <c r="U171" s="25">
        <f t="shared" si="59"/>
        <v>-377</v>
      </c>
      <c r="V171" s="25">
        <f t="shared" si="60"/>
        <v>-440</v>
      </c>
      <c r="W171" s="25">
        <f t="shared" si="61"/>
        <v>-338</v>
      </c>
      <c r="X171" s="15">
        <v>1.56</v>
      </c>
      <c r="Y171" s="7"/>
      <c r="Z171" s="21">
        <f t="shared" si="65"/>
        <v>2.1</v>
      </c>
      <c r="AA171" s="6"/>
      <c r="AB171" s="6"/>
    </row>
    <row r="172" spans="1:28" ht="13.8">
      <c r="A172" s="13">
        <v>161</v>
      </c>
      <c r="B172" s="185" t="s">
        <v>233</v>
      </c>
      <c r="C172" s="10">
        <f t="shared" si="54"/>
        <v>1069</v>
      </c>
      <c r="D172" s="9">
        <f t="shared" si="47"/>
        <v>1599</v>
      </c>
      <c r="E172" s="26">
        <f t="shared" si="55"/>
        <v>2668</v>
      </c>
      <c r="F172" s="8">
        <f t="shared" si="48"/>
        <v>269</v>
      </c>
      <c r="G172" s="8">
        <f t="shared" si="49"/>
        <v>323</v>
      </c>
      <c r="H172" s="8">
        <f t="shared" si="50"/>
        <v>150</v>
      </c>
      <c r="I172" s="6">
        <f t="shared" si="51"/>
        <v>2399</v>
      </c>
      <c r="J172" s="6">
        <f t="shared" si="52"/>
        <v>2345</v>
      </c>
      <c r="K172" s="6">
        <f t="shared" si="53"/>
        <v>2518</v>
      </c>
      <c r="L172" s="6">
        <f t="shared" si="62"/>
        <v>3000</v>
      </c>
      <c r="M172" s="6">
        <f t="shared" si="63"/>
        <v>3000</v>
      </c>
      <c r="N172" s="6">
        <f t="shared" si="64"/>
        <v>3000</v>
      </c>
      <c r="O172" s="6">
        <f t="shared" si="56"/>
        <v>-601</v>
      </c>
      <c r="P172" s="6">
        <f t="shared" si="57"/>
        <v>-655</v>
      </c>
      <c r="Q172" s="6">
        <f t="shared" si="58"/>
        <v>-482</v>
      </c>
      <c r="R172" s="8">
        <v>4</v>
      </c>
      <c r="S172" s="8">
        <v>5</v>
      </c>
      <c r="T172" s="8">
        <v>4</v>
      </c>
      <c r="U172" s="25">
        <f t="shared" si="59"/>
        <v>-381</v>
      </c>
      <c r="V172" s="25">
        <f t="shared" si="60"/>
        <v>-445</v>
      </c>
      <c r="W172" s="25">
        <f t="shared" si="61"/>
        <v>-342</v>
      </c>
      <c r="X172" s="15">
        <v>1.5549999999999999</v>
      </c>
      <c r="Y172" s="7"/>
      <c r="Z172" s="21">
        <f t="shared" si="65"/>
        <v>2.1</v>
      </c>
      <c r="AA172" s="6"/>
      <c r="AB172" s="6"/>
    </row>
    <row r="173" spans="1:28" ht="13.8">
      <c r="A173" s="13">
        <v>162</v>
      </c>
      <c r="B173" s="185" t="s">
        <v>234</v>
      </c>
      <c r="C173" s="10">
        <f t="shared" si="54"/>
        <v>1069</v>
      </c>
      <c r="D173" s="9">
        <f t="shared" si="47"/>
        <v>1601</v>
      </c>
      <c r="E173" s="26">
        <f t="shared" si="55"/>
        <v>2670</v>
      </c>
      <c r="F173" s="8">
        <f t="shared" si="48"/>
        <v>275</v>
      </c>
      <c r="G173" s="8">
        <f t="shared" si="49"/>
        <v>330</v>
      </c>
      <c r="H173" s="8">
        <f t="shared" si="50"/>
        <v>156</v>
      </c>
      <c r="I173" s="6">
        <f t="shared" si="51"/>
        <v>2395</v>
      </c>
      <c r="J173" s="6">
        <f t="shared" si="52"/>
        <v>2340</v>
      </c>
      <c r="K173" s="6">
        <f t="shared" si="53"/>
        <v>2514</v>
      </c>
      <c r="L173" s="6">
        <f t="shared" si="62"/>
        <v>3000</v>
      </c>
      <c r="M173" s="6">
        <f t="shared" si="63"/>
        <v>3000</v>
      </c>
      <c r="N173" s="6">
        <f t="shared" si="64"/>
        <v>3000</v>
      </c>
      <c r="O173" s="6">
        <f t="shared" si="56"/>
        <v>-605</v>
      </c>
      <c r="P173" s="6">
        <f t="shared" si="57"/>
        <v>-660</v>
      </c>
      <c r="Q173" s="6">
        <f t="shared" si="58"/>
        <v>-486</v>
      </c>
      <c r="R173" s="8">
        <v>4</v>
      </c>
      <c r="S173" s="8">
        <v>5</v>
      </c>
      <c r="T173" s="8">
        <v>4</v>
      </c>
      <c r="U173" s="25">
        <f t="shared" si="59"/>
        <v>-385</v>
      </c>
      <c r="V173" s="25">
        <f t="shared" si="60"/>
        <v>-450</v>
      </c>
      <c r="W173" s="25">
        <f t="shared" si="61"/>
        <v>-346</v>
      </c>
      <c r="X173" s="15">
        <v>1.55</v>
      </c>
      <c r="Y173" s="7"/>
      <c r="Z173" s="21">
        <f t="shared" si="65"/>
        <v>2.1</v>
      </c>
      <c r="AA173" s="6"/>
      <c r="AB173" s="6"/>
    </row>
    <row r="174" spans="1:28" ht="13.8">
      <c r="A174" s="13">
        <v>163</v>
      </c>
      <c r="B174" s="185" t="s">
        <v>235</v>
      </c>
      <c r="C174" s="10">
        <f t="shared" si="54"/>
        <v>1069</v>
      </c>
      <c r="D174" s="9">
        <f t="shared" si="47"/>
        <v>1603</v>
      </c>
      <c r="E174" s="26">
        <f t="shared" si="55"/>
        <v>2672</v>
      </c>
      <c r="F174" s="8">
        <f t="shared" si="48"/>
        <v>281</v>
      </c>
      <c r="G174" s="8">
        <f t="shared" si="49"/>
        <v>337</v>
      </c>
      <c r="H174" s="8">
        <f t="shared" si="50"/>
        <v>162</v>
      </c>
      <c r="I174" s="6">
        <f t="shared" si="51"/>
        <v>2391</v>
      </c>
      <c r="J174" s="6">
        <f t="shared" si="52"/>
        <v>2335</v>
      </c>
      <c r="K174" s="6">
        <f t="shared" si="53"/>
        <v>2510</v>
      </c>
      <c r="L174" s="6">
        <f t="shared" si="62"/>
        <v>3000</v>
      </c>
      <c r="M174" s="6">
        <f t="shared" si="63"/>
        <v>3000</v>
      </c>
      <c r="N174" s="6">
        <f t="shared" si="64"/>
        <v>3000</v>
      </c>
      <c r="O174" s="6">
        <f t="shared" si="56"/>
        <v>-609</v>
      </c>
      <c r="P174" s="6">
        <f t="shared" si="57"/>
        <v>-665</v>
      </c>
      <c r="Q174" s="6">
        <f t="shared" si="58"/>
        <v>-490</v>
      </c>
      <c r="R174" s="8">
        <v>4</v>
      </c>
      <c r="S174" s="8">
        <v>5</v>
      </c>
      <c r="T174" s="8">
        <v>4</v>
      </c>
      <c r="U174" s="25">
        <f t="shared" si="59"/>
        <v>-389</v>
      </c>
      <c r="V174" s="25">
        <f t="shared" si="60"/>
        <v>-455</v>
      </c>
      <c r="W174" s="25">
        <f t="shared" si="61"/>
        <v>-350</v>
      </c>
      <c r="X174" s="15">
        <v>1.5449999999999999</v>
      </c>
      <c r="Y174" s="7"/>
      <c r="Z174" s="21">
        <f t="shared" si="65"/>
        <v>2.1</v>
      </c>
      <c r="AA174" s="6"/>
      <c r="AB174" s="6"/>
    </row>
    <row r="175" spans="1:28" ht="13.8">
      <c r="A175" s="13">
        <v>164</v>
      </c>
      <c r="B175" s="185" t="s">
        <v>236</v>
      </c>
      <c r="C175" s="10">
        <f t="shared" si="54"/>
        <v>1069</v>
      </c>
      <c r="D175" s="9">
        <f t="shared" si="47"/>
        <v>1605</v>
      </c>
      <c r="E175" s="26">
        <f t="shared" si="55"/>
        <v>2674</v>
      </c>
      <c r="F175" s="8">
        <f t="shared" si="48"/>
        <v>287</v>
      </c>
      <c r="G175" s="8">
        <f t="shared" si="49"/>
        <v>344</v>
      </c>
      <c r="H175" s="8">
        <f t="shared" si="50"/>
        <v>168</v>
      </c>
      <c r="I175" s="6">
        <f t="shared" si="51"/>
        <v>2387</v>
      </c>
      <c r="J175" s="6">
        <f t="shared" si="52"/>
        <v>2330</v>
      </c>
      <c r="K175" s="6">
        <f t="shared" si="53"/>
        <v>2506</v>
      </c>
      <c r="L175" s="6">
        <f t="shared" si="62"/>
        <v>3000</v>
      </c>
      <c r="M175" s="6">
        <f t="shared" si="63"/>
        <v>3000</v>
      </c>
      <c r="N175" s="6">
        <f t="shared" si="64"/>
        <v>3000</v>
      </c>
      <c r="O175" s="6">
        <f t="shared" si="56"/>
        <v>-613</v>
      </c>
      <c r="P175" s="6">
        <f t="shared" si="57"/>
        <v>-670</v>
      </c>
      <c r="Q175" s="6">
        <f t="shared" si="58"/>
        <v>-494</v>
      </c>
      <c r="R175" s="8">
        <v>4</v>
      </c>
      <c r="S175" s="8">
        <v>5</v>
      </c>
      <c r="T175" s="8">
        <v>4</v>
      </c>
      <c r="U175" s="25">
        <f t="shared" si="59"/>
        <v>-393</v>
      </c>
      <c r="V175" s="25">
        <f t="shared" si="60"/>
        <v>-460</v>
      </c>
      <c r="W175" s="25">
        <f t="shared" si="61"/>
        <v>-354</v>
      </c>
      <c r="X175" s="15">
        <v>1.54</v>
      </c>
      <c r="Y175" s="7"/>
      <c r="Z175" s="21">
        <f t="shared" si="65"/>
        <v>2.1</v>
      </c>
      <c r="AA175" s="6"/>
      <c r="AB175" s="6"/>
    </row>
    <row r="176" spans="1:28" ht="13.8">
      <c r="A176" s="13">
        <v>165</v>
      </c>
      <c r="B176" s="185" t="s">
        <v>237</v>
      </c>
      <c r="C176" s="10">
        <f t="shared" si="54"/>
        <v>1069</v>
      </c>
      <c r="D176" s="9">
        <f t="shared" si="47"/>
        <v>1607</v>
      </c>
      <c r="E176" s="26">
        <f t="shared" si="55"/>
        <v>2676</v>
      </c>
      <c r="F176" s="8">
        <f t="shared" si="48"/>
        <v>293</v>
      </c>
      <c r="G176" s="8">
        <f t="shared" si="49"/>
        <v>351</v>
      </c>
      <c r="H176" s="8">
        <f t="shared" si="50"/>
        <v>174</v>
      </c>
      <c r="I176" s="6">
        <f t="shared" si="51"/>
        <v>2383</v>
      </c>
      <c r="J176" s="6">
        <f t="shared" si="52"/>
        <v>2325</v>
      </c>
      <c r="K176" s="6">
        <f t="shared" si="53"/>
        <v>2502</v>
      </c>
      <c r="L176" s="6">
        <f t="shared" si="62"/>
        <v>3000</v>
      </c>
      <c r="M176" s="6">
        <f t="shared" si="63"/>
        <v>3000</v>
      </c>
      <c r="N176" s="6">
        <f t="shared" si="64"/>
        <v>3000</v>
      </c>
      <c r="O176" s="6">
        <f t="shared" si="56"/>
        <v>-617</v>
      </c>
      <c r="P176" s="6">
        <f t="shared" si="57"/>
        <v>-675</v>
      </c>
      <c r="Q176" s="6">
        <f t="shared" si="58"/>
        <v>-498</v>
      </c>
      <c r="R176" s="8">
        <v>4</v>
      </c>
      <c r="S176" s="8">
        <v>5</v>
      </c>
      <c r="T176" s="8">
        <v>4</v>
      </c>
      <c r="U176" s="25">
        <f t="shared" si="59"/>
        <v>-397</v>
      </c>
      <c r="V176" s="25">
        <f t="shared" si="60"/>
        <v>-465</v>
      </c>
      <c r="W176" s="25">
        <f t="shared" si="61"/>
        <v>-358</v>
      </c>
      <c r="X176" s="15">
        <v>1.5349999999999999</v>
      </c>
      <c r="Y176" s="7"/>
      <c r="Z176" s="21">
        <f t="shared" si="65"/>
        <v>2.1</v>
      </c>
      <c r="AA176" s="6"/>
      <c r="AB176" s="6"/>
    </row>
    <row r="177" spans="1:28" ht="13.8">
      <c r="A177" s="13">
        <v>166</v>
      </c>
      <c r="B177" s="185" t="s">
        <v>238</v>
      </c>
      <c r="C177" s="10">
        <f t="shared" si="54"/>
        <v>1069</v>
      </c>
      <c r="D177" s="9">
        <f t="shared" si="47"/>
        <v>1609</v>
      </c>
      <c r="E177" s="26">
        <f t="shared" si="55"/>
        <v>2678</v>
      </c>
      <c r="F177" s="8">
        <f t="shared" si="48"/>
        <v>299</v>
      </c>
      <c r="G177" s="8">
        <f t="shared" si="49"/>
        <v>358</v>
      </c>
      <c r="H177" s="8">
        <f t="shared" si="50"/>
        <v>180</v>
      </c>
      <c r="I177" s="6">
        <f t="shared" si="51"/>
        <v>2379</v>
      </c>
      <c r="J177" s="6">
        <f t="shared" si="52"/>
        <v>2320</v>
      </c>
      <c r="K177" s="6">
        <f t="shared" si="53"/>
        <v>2498</v>
      </c>
      <c r="L177" s="6">
        <f t="shared" si="62"/>
        <v>3000</v>
      </c>
      <c r="M177" s="6">
        <f t="shared" si="63"/>
        <v>3000</v>
      </c>
      <c r="N177" s="6">
        <f t="shared" si="64"/>
        <v>3000</v>
      </c>
      <c r="O177" s="6">
        <f t="shared" si="56"/>
        <v>-621</v>
      </c>
      <c r="P177" s="6">
        <f t="shared" si="57"/>
        <v>-680</v>
      </c>
      <c r="Q177" s="6">
        <f t="shared" si="58"/>
        <v>-502</v>
      </c>
      <c r="R177" s="8">
        <v>4</v>
      </c>
      <c r="S177" s="8">
        <v>5</v>
      </c>
      <c r="T177" s="8">
        <v>4</v>
      </c>
      <c r="U177" s="25">
        <f t="shared" si="59"/>
        <v>-401</v>
      </c>
      <c r="V177" s="25">
        <f t="shared" si="60"/>
        <v>-470</v>
      </c>
      <c r="W177" s="25">
        <f t="shared" si="61"/>
        <v>-362</v>
      </c>
      <c r="X177" s="15">
        <v>1.53</v>
      </c>
      <c r="Y177" s="7"/>
      <c r="Z177" s="21">
        <f t="shared" si="65"/>
        <v>2.1</v>
      </c>
      <c r="AA177" s="6"/>
      <c r="AB177" s="6"/>
    </row>
    <row r="178" spans="1:28" ht="13.8">
      <c r="A178" s="13">
        <v>167</v>
      </c>
      <c r="B178" s="185" t="s">
        <v>239</v>
      </c>
      <c r="C178" s="10">
        <f t="shared" si="54"/>
        <v>1069</v>
      </c>
      <c r="D178" s="9">
        <f t="shared" si="47"/>
        <v>1611</v>
      </c>
      <c r="E178" s="26">
        <f t="shared" si="55"/>
        <v>2680</v>
      </c>
      <c r="F178" s="8">
        <f t="shared" si="48"/>
        <v>305</v>
      </c>
      <c r="G178" s="8">
        <f t="shared" si="49"/>
        <v>365</v>
      </c>
      <c r="H178" s="8">
        <f t="shared" si="50"/>
        <v>186</v>
      </c>
      <c r="I178" s="6">
        <f t="shared" si="51"/>
        <v>2375</v>
      </c>
      <c r="J178" s="6">
        <f t="shared" si="52"/>
        <v>2315</v>
      </c>
      <c r="K178" s="6">
        <f t="shared" si="53"/>
        <v>2494</v>
      </c>
      <c r="L178" s="6">
        <f t="shared" si="62"/>
        <v>3000</v>
      </c>
      <c r="M178" s="6">
        <f t="shared" si="63"/>
        <v>3000</v>
      </c>
      <c r="N178" s="6">
        <f t="shared" si="64"/>
        <v>3000</v>
      </c>
      <c r="O178" s="6">
        <f t="shared" si="56"/>
        <v>-625</v>
      </c>
      <c r="P178" s="6">
        <f t="shared" si="57"/>
        <v>-685</v>
      </c>
      <c r="Q178" s="6">
        <f t="shared" si="58"/>
        <v>-506</v>
      </c>
      <c r="R178" s="8">
        <v>4</v>
      </c>
      <c r="S178" s="8">
        <v>5</v>
      </c>
      <c r="T178" s="8">
        <v>4</v>
      </c>
      <c r="U178" s="25">
        <f t="shared" si="59"/>
        <v>-405</v>
      </c>
      <c r="V178" s="25">
        <f t="shared" si="60"/>
        <v>-475</v>
      </c>
      <c r="W178" s="25">
        <f t="shared" si="61"/>
        <v>-366</v>
      </c>
      <c r="X178" s="15">
        <v>1.5249999999999999</v>
      </c>
      <c r="Y178" s="7"/>
      <c r="Z178" s="21">
        <f t="shared" si="65"/>
        <v>2.1</v>
      </c>
      <c r="AA178" s="6"/>
      <c r="AB178" s="6"/>
    </row>
    <row r="179" spans="1:28" ht="13.8">
      <c r="A179" s="13">
        <v>168</v>
      </c>
      <c r="B179" s="185" t="s">
        <v>240</v>
      </c>
      <c r="C179" s="10">
        <f t="shared" si="54"/>
        <v>1069</v>
      </c>
      <c r="D179" s="9">
        <f t="shared" si="47"/>
        <v>1613</v>
      </c>
      <c r="E179" s="26">
        <f t="shared" si="55"/>
        <v>2682</v>
      </c>
      <c r="F179" s="8">
        <f t="shared" si="48"/>
        <v>311</v>
      </c>
      <c r="G179" s="8">
        <f t="shared" si="49"/>
        <v>372</v>
      </c>
      <c r="H179" s="8">
        <f t="shared" si="50"/>
        <v>192</v>
      </c>
      <c r="I179" s="6">
        <f t="shared" si="51"/>
        <v>2371</v>
      </c>
      <c r="J179" s="6">
        <f t="shared" si="52"/>
        <v>2310</v>
      </c>
      <c r="K179" s="6">
        <f t="shared" si="53"/>
        <v>2490</v>
      </c>
      <c r="L179" s="6">
        <f t="shared" si="62"/>
        <v>3000</v>
      </c>
      <c r="M179" s="6">
        <f t="shared" si="63"/>
        <v>3000</v>
      </c>
      <c r="N179" s="6">
        <f t="shared" si="64"/>
        <v>3000</v>
      </c>
      <c r="O179" s="6">
        <f t="shared" si="56"/>
        <v>-629</v>
      </c>
      <c r="P179" s="6">
        <f t="shared" si="57"/>
        <v>-690</v>
      </c>
      <c r="Q179" s="6">
        <f t="shared" si="58"/>
        <v>-510</v>
      </c>
      <c r="R179" s="8">
        <v>4</v>
      </c>
      <c r="S179" s="8">
        <v>5</v>
      </c>
      <c r="T179" s="8">
        <v>4</v>
      </c>
      <c r="U179" s="25">
        <f t="shared" si="59"/>
        <v>-409</v>
      </c>
      <c r="V179" s="25">
        <f t="shared" si="60"/>
        <v>-480</v>
      </c>
      <c r="W179" s="25">
        <f t="shared" si="61"/>
        <v>-370</v>
      </c>
      <c r="X179" s="15">
        <v>1.52</v>
      </c>
      <c r="Y179" s="7"/>
      <c r="Z179" s="21">
        <f t="shared" si="65"/>
        <v>2.1</v>
      </c>
      <c r="AA179" s="6"/>
      <c r="AB179" s="6"/>
    </row>
    <row r="180" spans="1:28" ht="13.8">
      <c r="A180" s="13">
        <v>169</v>
      </c>
      <c r="B180" s="185" t="s">
        <v>241</v>
      </c>
      <c r="C180" s="10">
        <f t="shared" si="54"/>
        <v>1069</v>
      </c>
      <c r="D180" s="9">
        <f t="shared" si="47"/>
        <v>1615</v>
      </c>
      <c r="E180" s="26">
        <f t="shared" si="55"/>
        <v>2684</v>
      </c>
      <c r="F180" s="8">
        <f t="shared" si="48"/>
        <v>317</v>
      </c>
      <c r="G180" s="8">
        <f t="shared" si="49"/>
        <v>379</v>
      </c>
      <c r="H180" s="8">
        <f t="shared" si="50"/>
        <v>198</v>
      </c>
      <c r="I180" s="6">
        <f t="shared" si="51"/>
        <v>2367</v>
      </c>
      <c r="J180" s="6">
        <f t="shared" si="52"/>
        <v>2305</v>
      </c>
      <c r="K180" s="6">
        <f t="shared" si="53"/>
        <v>2486</v>
      </c>
      <c r="L180" s="6">
        <f t="shared" si="62"/>
        <v>3000</v>
      </c>
      <c r="M180" s="6">
        <f t="shared" si="63"/>
        <v>3000</v>
      </c>
      <c r="N180" s="6">
        <f t="shared" si="64"/>
        <v>3000</v>
      </c>
      <c r="O180" s="6">
        <f t="shared" si="56"/>
        <v>-633</v>
      </c>
      <c r="P180" s="6">
        <f t="shared" si="57"/>
        <v>-695</v>
      </c>
      <c r="Q180" s="6">
        <f t="shared" si="58"/>
        <v>-514</v>
      </c>
      <c r="R180" s="8">
        <v>4</v>
      </c>
      <c r="S180" s="8">
        <v>5</v>
      </c>
      <c r="T180" s="8">
        <v>4</v>
      </c>
      <c r="U180" s="25">
        <f t="shared" si="59"/>
        <v>-413</v>
      </c>
      <c r="V180" s="25">
        <f t="shared" si="60"/>
        <v>-485</v>
      </c>
      <c r="W180" s="25">
        <f t="shared" si="61"/>
        <v>-374</v>
      </c>
      <c r="X180" s="15">
        <v>1.5149999999999999</v>
      </c>
      <c r="Y180" s="7"/>
      <c r="Z180" s="21">
        <f t="shared" si="65"/>
        <v>2.1</v>
      </c>
      <c r="AA180" s="6"/>
      <c r="AB180" s="6"/>
    </row>
    <row r="181" spans="1:28" ht="13.8">
      <c r="A181" s="13">
        <v>170</v>
      </c>
      <c r="B181" s="185" t="s">
        <v>242</v>
      </c>
      <c r="C181" s="10">
        <f t="shared" si="54"/>
        <v>1069</v>
      </c>
      <c r="D181" s="9">
        <f t="shared" si="47"/>
        <v>1617</v>
      </c>
      <c r="E181" s="26">
        <f t="shared" si="55"/>
        <v>2686</v>
      </c>
      <c r="F181" s="8">
        <f t="shared" si="48"/>
        <v>323</v>
      </c>
      <c r="G181" s="8">
        <f t="shared" si="49"/>
        <v>386</v>
      </c>
      <c r="H181" s="8">
        <f t="shared" si="50"/>
        <v>204</v>
      </c>
      <c r="I181" s="6">
        <f t="shared" si="51"/>
        <v>2363</v>
      </c>
      <c r="J181" s="6">
        <f t="shared" si="52"/>
        <v>2300</v>
      </c>
      <c r="K181" s="6">
        <f t="shared" si="53"/>
        <v>2482</v>
      </c>
      <c r="L181" s="6">
        <f t="shared" si="62"/>
        <v>3000</v>
      </c>
      <c r="M181" s="6">
        <f t="shared" si="63"/>
        <v>3000</v>
      </c>
      <c r="N181" s="6">
        <f t="shared" si="64"/>
        <v>3000</v>
      </c>
      <c r="O181" s="6">
        <f t="shared" si="56"/>
        <v>-637</v>
      </c>
      <c r="P181" s="6">
        <f t="shared" si="57"/>
        <v>-700</v>
      </c>
      <c r="Q181" s="6">
        <f t="shared" si="58"/>
        <v>-518</v>
      </c>
      <c r="R181" s="8">
        <v>4</v>
      </c>
      <c r="S181" s="8">
        <v>5</v>
      </c>
      <c r="T181" s="8">
        <v>4</v>
      </c>
      <c r="U181" s="25">
        <f t="shared" si="59"/>
        <v>-417</v>
      </c>
      <c r="V181" s="25">
        <f t="shared" si="60"/>
        <v>-490</v>
      </c>
      <c r="W181" s="25">
        <f t="shared" si="61"/>
        <v>-378</v>
      </c>
      <c r="X181" s="15">
        <v>1.51</v>
      </c>
      <c r="Y181" s="7"/>
      <c r="Z181" s="21">
        <f t="shared" si="65"/>
        <v>2.1</v>
      </c>
      <c r="AA181" s="6"/>
      <c r="AB181" s="6"/>
    </row>
    <row r="182" spans="1:28" ht="13.8">
      <c r="A182" s="13">
        <v>171</v>
      </c>
      <c r="B182" s="185" t="s">
        <v>243</v>
      </c>
      <c r="C182" s="10">
        <f t="shared" si="54"/>
        <v>1069</v>
      </c>
      <c r="D182" s="9">
        <f t="shared" si="47"/>
        <v>1619</v>
      </c>
      <c r="E182" s="26">
        <f t="shared" si="55"/>
        <v>2688</v>
      </c>
      <c r="F182" s="8">
        <f t="shared" si="48"/>
        <v>329</v>
      </c>
      <c r="G182" s="8">
        <f t="shared" si="49"/>
        <v>393</v>
      </c>
      <c r="H182" s="8">
        <f t="shared" si="50"/>
        <v>210</v>
      </c>
      <c r="I182" s="6">
        <f t="shared" si="51"/>
        <v>2359</v>
      </c>
      <c r="J182" s="6">
        <f t="shared" si="52"/>
        <v>2295</v>
      </c>
      <c r="K182" s="6">
        <f t="shared" si="53"/>
        <v>2478</v>
      </c>
      <c r="L182" s="6">
        <f t="shared" si="62"/>
        <v>3000</v>
      </c>
      <c r="M182" s="6">
        <f t="shared" si="63"/>
        <v>3000</v>
      </c>
      <c r="N182" s="6">
        <f t="shared" si="64"/>
        <v>3000</v>
      </c>
      <c r="O182" s="6">
        <f t="shared" si="56"/>
        <v>-641</v>
      </c>
      <c r="P182" s="6">
        <f t="shared" si="57"/>
        <v>-705</v>
      </c>
      <c r="Q182" s="6">
        <f t="shared" si="58"/>
        <v>-522</v>
      </c>
      <c r="R182" s="8">
        <v>4</v>
      </c>
      <c r="S182" s="8">
        <v>5</v>
      </c>
      <c r="T182" s="8">
        <v>4</v>
      </c>
      <c r="U182" s="25">
        <f t="shared" si="59"/>
        <v>-421</v>
      </c>
      <c r="V182" s="25">
        <f t="shared" si="60"/>
        <v>-495</v>
      </c>
      <c r="W182" s="25">
        <f t="shared" si="61"/>
        <v>-382</v>
      </c>
      <c r="X182" s="15">
        <v>1.5049999999999999</v>
      </c>
      <c r="Y182" s="7"/>
      <c r="Z182" s="21">
        <f t="shared" si="65"/>
        <v>2.1</v>
      </c>
      <c r="AA182" s="6"/>
      <c r="AB182" s="6"/>
    </row>
    <row r="183" spans="1:28" ht="13.8">
      <c r="A183" s="13">
        <v>172</v>
      </c>
      <c r="B183" s="185" t="s">
        <v>244</v>
      </c>
      <c r="C183" s="10">
        <f t="shared" si="54"/>
        <v>1069</v>
      </c>
      <c r="D183" s="9">
        <f t="shared" si="47"/>
        <v>1621</v>
      </c>
      <c r="E183" s="26">
        <f t="shared" si="55"/>
        <v>2690</v>
      </c>
      <c r="F183" s="8">
        <f t="shared" si="48"/>
        <v>335</v>
      </c>
      <c r="G183" s="8">
        <f t="shared" si="49"/>
        <v>400</v>
      </c>
      <c r="H183" s="8">
        <f t="shared" si="50"/>
        <v>216</v>
      </c>
      <c r="I183" s="6">
        <f t="shared" si="51"/>
        <v>2355</v>
      </c>
      <c r="J183" s="6">
        <f t="shared" si="52"/>
        <v>2290</v>
      </c>
      <c r="K183" s="6">
        <f t="shared" si="53"/>
        <v>2474</v>
      </c>
      <c r="L183" s="6">
        <f t="shared" si="62"/>
        <v>3000</v>
      </c>
      <c r="M183" s="6">
        <f t="shared" si="63"/>
        <v>3000</v>
      </c>
      <c r="N183" s="6">
        <f t="shared" si="64"/>
        <v>3000</v>
      </c>
      <c r="O183" s="6">
        <f t="shared" si="56"/>
        <v>-645</v>
      </c>
      <c r="P183" s="6">
        <f t="shared" si="57"/>
        <v>-710</v>
      </c>
      <c r="Q183" s="6">
        <f t="shared" si="58"/>
        <v>-526</v>
      </c>
      <c r="R183" s="8">
        <v>4</v>
      </c>
      <c r="S183" s="8">
        <v>5</v>
      </c>
      <c r="T183" s="8">
        <v>4</v>
      </c>
      <c r="U183" s="25">
        <f t="shared" si="59"/>
        <v>-425</v>
      </c>
      <c r="V183" s="25">
        <f t="shared" si="60"/>
        <v>-500</v>
      </c>
      <c r="W183" s="25">
        <f t="shared" si="61"/>
        <v>-386</v>
      </c>
      <c r="X183" s="15">
        <v>1.5</v>
      </c>
      <c r="Y183" s="7"/>
      <c r="Z183" s="21">
        <f t="shared" si="65"/>
        <v>2.1</v>
      </c>
      <c r="AA183" s="6"/>
      <c r="AB183" s="6"/>
    </row>
    <row r="184" spans="1:28" ht="13.8">
      <c r="A184" s="13">
        <v>173</v>
      </c>
      <c r="B184" s="185" t="s">
        <v>245</v>
      </c>
      <c r="C184" s="10">
        <f t="shared" si="54"/>
        <v>1069</v>
      </c>
      <c r="D184" s="9">
        <f t="shared" si="47"/>
        <v>1623</v>
      </c>
      <c r="E184" s="26">
        <f t="shared" si="55"/>
        <v>2692</v>
      </c>
      <c r="F184" s="8">
        <f t="shared" si="48"/>
        <v>341</v>
      </c>
      <c r="G184" s="8">
        <f t="shared" si="49"/>
        <v>407</v>
      </c>
      <c r="H184" s="8">
        <f t="shared" si="50"/>
        <v>222</v>
      </c>
      <c r="I184" s="6">
        <f t="shared" si="51"/>
        <v>2351</v>
      </c>
      <c r="J184" s="6">
        <f t="shared" si="52"/>
        <v>2285</v>
      </c>
      <c r="K184" s="6">
        <f t="shared" si="53"/>
        <v>2470</v>
      </c>
      <c r="L184" s="6">
        <f t="shared" si="62"/>
        <v>3000</v>
      </c>
      <c r="M184" s="6">
        <f t="shared" si="63"/>
        <v>3000</v>
      </c>
      <c r="N184" s="6">
        <f t="shared" si="64"/>
        <v>3000</v>
      </c>
      <c r="O184" s="6">
        <f t="shared" si="56"/>
        <v>-649</v>
      </c>
      <c r="P184" s="6">
        <f t="shared" si="57"/>
        <v>-715</v>
      </c>
      <c r="Q184" s="6">
        <f t="shared" si="58"/>
        <v>-530</v>
      </c>
      <c r="R184" s="8">
        <v>4</v>
      </c>
      <c r="S184" s="8">
        <v>5</v>
      </c>
      <c r="T184" s="8">
        <v>4</v>
      </c>
      <c r="U184" s="25">
        <f t="shared" si="59"/>
        <v>-429</v>
      </c>
      <c r="V184" s="25">
        <f t="shared" si="60"/>
        <v>-505</v>
      </c>
      <c r="W184" s="25">
        <f t="shared" si="61"/>
        <v>-390</v>
      </c>
      <c r="X184" s="15">
        <v>1.4950000000000001</v>
      </c>
      <c r="Y184" s="7"/>
      <c r="Z184" s="21">
        <f t="shared" si="65"/>
        <v>2.1</v>
      </c>
      <c r="AA184" s="6"/>
      <c r="AB184" s="6"/>
    </row>
    <row r="185" spans="1:28" ht="13.8">
      <c r="A185" s="13">
        <v>174</v>
      </c>
      <c r="B185" s="185" t="s">
        <v>246</v>
      </c>
      <c r="C185" s="10">
        <f t="shared" si="54"/>
        <v>1069</v>
      </c>
      <c r="D185" s="9">
        <f t="shared" si="47"/>
        <v>1625</v>
      </c>
      <c r="E185" s="26">
        <f t="shared" si="55"/>
        <v>2694</v>
      </c>
      <c r="F185" s="8">
        <f t="shared" si="48"/>
        <v>347</v>
      </c>
      <c r="G185" s="8">
        <f t="shared" si="49"/>
        <v>414</v>
      </c>
      <c r="H185" s="8">
        <f t="shared" si="50"/>
        <v>228</v>
      </c>
      <c r="I185" s="6">
        <f t="shared" si="51"/>
        <v>2347</v>
      </c>
      <c r="J185" s="6">
        <f t="shared" si="52"/>
        <v>2280</v>
      </c>
      <c r="K185" s="6">
        <f t="shared" si="53"/>
        <v>2466</v>
      </c>
      <c r="L185" s="6">
        <f t="shared" si="62"/>
        <v>3000</v>
      </c>
      <c r="M185" s="6">
        <f t="shared" si="63"/>
        <v>3000</v>
      </c>
      <c r="N185" s="6">
        <f t="shared" si="64"/>
        <v>3000</v>
      </c>
      <c r="O185" s="6">
        <f t="shared" si="56"/>
        <v>-653</v>
      </c>
      <c r="P185" s="6">
        <f t="shared" si="57"/>
        <v>-720</v>
      </c>
      <c r="Q185" s="6">
        <f t="shared" si="58"/>
        <v>-534</v>
      </c>
      <c r="R185" s="8">
        <v>4</v>
      </c>
      <c r="S185" s="8">
        <v>5</v>
      </c>
      <c r="T185" s="8">
        <v>4</v>
      </c>
      <c r="U185" s="25">
        <f t="shared" si="59"/>
        <v>-433</v>
      </c>
      <c r="V185" s="25">
        <f t="shared" si="60"/>
        <v>-510</v>
      </c>
      <c r="W185" s="25">
        <f t="shared" si="61"/>
        <v>-394</v>
      </c>
      <c r="X185" s="15">
        <v>1.49</v>
      </c>
      <c r="Y185" s="7"/>
      <c r="Z185" s="21">
        <f t="shared" si="65"/>
        <v>2.1</v>
      </c>
      <c r="AA185" s="6"/>
      <c r="AB185" s="6"/>
    </row>
    <row r="186" spans="1:28" ht="13.8">
      <c r="A186" s="13">
        <v>175</v>
      </c>
      <c r="B186" s="185" t="s">
        <v>247</v>
      </c>
      <c r="C186" s="10">
        <f t="shared" si="54"/>
        <v>1069</v>
      </c>
      <c r="D186" s="9">
        <f t="shared" si="47"/>
        <v>1627</v>
      </c>
      <c r="E186" s="26">
        <f t="shared" si="55"/>
        <v>2696</v>
      </c>
      <c r="F186" s="8">
        <f t="shared" si="48"/>
        <v>353</v>
      </c>
      <c r="G186" s="8">
        <f t="shared" si="49"/>
        <v>421</v>
      </c>
      <c r="H186" s="8">
        <f t="shared" si="50"/>
        <v>234</v>
      </c>
      <c r="I186" s="6">
        <f t="shared" si="51"/>
        <v>2343</v>
      </c>
      <c r="J186" s="6">
        <f t="shared" si="52"/>
        <v>2275</v>
      </c>
      <c r="K186" s="6">
        <f t="shared" si="53"/>
        <v>2462</v>
      </c>
      <c r="L186" s="6">
        <f t="shared" si="62"/>
        <v>3000</v>
      </c>
      <c r="M186" s="6">
        <f t="shared" si="63"/>
        <v>3000</v>
      </c>
      <c r="N186" s="6">
        <f t="shared" si="64"/>
        <v>3000</v>
      </c>
      <c r="O186" s="6">
        <f t="shared" si="56"/>
        <v>-657</v>
      </c>
      <c r="P186" s="6">
        <f t="shared" si="57"/>
        <v>-725</v>
      </c>
      <c r="Q186" s="6">
        <f t="shared" si="58"/>
        <v>-538</v>
      </c>
      <c r="R186" s="8">
        <v>4</v>
      </c>
      <c r="S186" s="8">
        <v>5</v>
      </c>
      <c r="T186" s="8">
        <v>4</v>
      </c>
      <c r="U186" s="25">
        <f t="shared" si="59"/>
        <v>-437</v>
      </c>
      <c r="V186" s="25">
        <f t="shared" si="60"/>
        <v>-515</v>
      </c>
      <c r="W186" s="25">
        <f t="shared" si="61"/>
        <v>-398</v>
      </c>
      <c r="X186" s="15">
        <v>1.4850000000000001</v>
      </c>
      <c r="Y186" s="7"/>
      <c r="Z186" s="21">
        <f t="shared" si="65"/>
        <v>2.1</v>
      </c>
      <c r="AA186" s="6"/>
      <c r="AB186" s="6"/>
    </row>
    <row r="187" spans="1:28" ht="13.8">
      <c r="A187" s="13">
        <v>176</v>
      </c>
      <c r="B187" s="185" t="s">
        <v>248</v>
      </c>
      <c r="C187" s="10">
        <f t="shared" si="54"/>
        <v>1069</v>
      </c>
      <c r="D187" s="9">
        <f t="shared" si="47"/>
        <v>1629</v>
      </c>
      <c r="E187" s="26">
        <f t="shared" si="55"/>
        <v>2698</v>
      </c>
      <c r="F187" s="8">
        <f t="shared" si="48"/>
        <v>359</v>
      </c>
      <c r="G187" s="8">
        <f t="shared" si="49"/>
        <v>428</v>
      </c>
      <c r="H187" s="8">
        <f t="shared" si="50"/>
        <v>240</v>
      </c>
      <c r="I187" s="6">
        <f t="shared" si="51"/>
        <v>2339</v>
      </c>
      <c r="J187" s="6">
        <f t="shared" si="52"/>
        <v>2270</v>
      </c>
      <c r="K187" s="6">
        <f t="shared" si="53"/>
        <v>2458</v>
      </c>
      <c r="L187" s="6">
        <f t="shared" si="62"/>
        <v>3000</v>
      </c>
      <c r="M187" s="6">
        <f t="shared" si="63"/>
        <v>3000</v>
      </c>
      <c r="N187" s="6">
        <f t="shared" si="64"/>
        <v>3000</v>
      </c>
      <c r="O187" s="6">
        <f t="shared" si="56"/>
        <v>-661</v>
      </c>
      <c r="P187" s="6">
        <f t="shared" si="57"/>
        <v>-730</v>
      </c>
      <c r="Q187" s="6">
        <f t="shared" si="58"/>
        <v>-542</v>
      </c>
      <c r="R187" s="8">
        <v>4</v>
      </c>
      <c r="S187" s="8">
        <v>5</v>
      </c>
      <c r="T187" s="8">
        <v>4</v>
      </c>
      <c r="U187" s="25">
        <f t="shared" si="59"/>
        <v>-441</v>
      </c>
      <c r="V187" s="25">
        <f t="shared" si="60"/>
        <v>-520</v>
      </c>
      <c r="W187" s="25">
        <f t="shared" si="61"/>
        <v>-402</v>
      </c>
      <c r="X187" s="15">
        <v>1.48</v>
      </c>
      <c r="Y187" s="7"/>
      <c r="Z187" s="21">
        <f t="shared" si="65"/>
        <v>2.1</v>
      </c>
      <c r="AA187" s="6"/>
      <c r="AB187" s="6"/>
    </row>
    <row r="188" spans="1:28" ht="13.8">
      <c r="A188" s="13">
        <v>177</v>
      </c>
      <c r="B188" s="185" t="s">
        <v>249</v>
      </c>
      <c r="C188" s="10">
        <f t="shared" si="54"/>
        <v>1069</v>
      </c>
      <c r="D188" s="9">
        <f t="shared" ref="D188:D251" si="66">D187+2</f>
        <v>1631</v>
      </c>
      <c r="E188" s="26">
        <f t="shared" si="55"/>
        <v>2700</v>
      </c>
      <c r="F188" s="8">
        <f t="shared" si="48"/>
        <v>365</v>
      </c>
      <c r="G188" s="8">
        <f t="shared" si="49"/>
        <v>435</v>
      </c>
      <c r="H188" s="8">
        <f t="shared" si="50"/>
        <v>246</v>
      </c>
      <c r="I188" s="6">
        <f t="shared" si="51"/>
        <v>2335</v>
      </c>
      <c r="J188" s="6">
        <f t="shared" si="52"/>
        <v>2265</v>
      </c>
      <c r="K188" s="6">
        <f t="shared" si="53"/>
        <v>2454</v>
      </c>
      <c r="L188" s="6">
        <f t="shared" si="62"/>
        <v>3000</v>
      </c>
      <c r="M188" s="6">
        <f t="shared" si="63"/>
        <v>3000</v>
      </c>
      <c r="N188" s="6">
        <f t="shared" si="64"/>
        <v>3000</v>
      </c>
      <c r="O188" s="6">
        <f t="shared" si="56"/>
        <v>-665</v>
      </c>
      <c r="P188" s="6">
        <f t="shared" si="57"/>
        <v>-735</v>
      </c>
      <c r="Q188" s="6">
        <f t="shared" si="58"/>
        <v>-546</v>
      </c>
      <c r="R188" s="8">
        <v>4</v>
      </c>
      <c r="S188" s="8">
        <v>5</v>
      </c>
      <c r="T188" s="8">
        <v>4</v>
      </c>
      <c r="U188" s="25">
        <f t="shared" si="59"/>
        <v>-445</v>
      </c>
      <c r="V188" s="25">
        <f t="shared" si="60"/>
        <v>-525</v>
      </c>
      <c r="W188" s="25">
        <f t="shared" si="61"/>
        <v>-406</v>
      </c>
      <c r="X188" s="15">
        <v>1.4750000000000001</v>
      </c>
      <c r="Y188" s="7"/>
      <c r="Z188" s="21">
        <f t="shared" si="65"/>
        <v>2.1</v>
      </c>
      <c r="AA188" s="6"/>
      <c r="AB188" s="6"/>
    </row>
    <row r="189" spans="1:28" ht="13.8">
      <c r="A189" s="13">
        <v>178</v>
      </c>
      <c r="B189" s="185" t="s">
        <v>250</v>
      </c>
      <c r="C189" s="10">
        <f t="shared" si="54"/>
        <v>1069</v>
      </c>
      <c r="D189" s="9">
        <f t="shared" si="66"/>
        <v>1633</v>
      </c>
      <c r="E189" s="26">
        <f t="shared" si="55"/>
        <v>2702</v>
      </c>
      <c r="F189" s="8">
        <f t="shared" si="48"/>
        <v>371</v>
      </c>
      <c r="G189" s="8">
        <f t="shared" si="49"/>
        <v>442</v>
      </c>
      <c r="H189" s="8">
        <f t="shared" si="50"/>
        <v>252</v>
      </c>
      <c r="I189" s="6">
        <f t="shared" si="51"/>
        <v>2331</v>
      </c>
      <c r="J189" s="6">
        <f t="shared" si="52"/>
        <v>2260</v>
      </c>
      <c r="K189" s="6">
        <f t="shared" si="53"/>
        <v>2450</v>
      </c>
      <c r="L189" s="6">
        <f t="shared" si="62"/>
        <v>3000</v>
      </c>
      <c r="M189" s="6">
        <f t="shared" si="63"/>
        <v>3000</v>
      </c>
      <c r="N189" s="6">
        <f t="shared" si="64"/>
        <v>3000</v>
      </c>
      <c r="O189" s="6">
        <f t="shared" si="56"/>
        <v>-669</v>
      </c>
      <c r="P189" s="6">
        <f t="shared" si="57"/>
        <v>-740</v>
      </c>
      <c r="Q189" s="6">
        <f t="shared" si="58"/>
        <v>-550</v>
      </c>
      <c r="R189" s="8">
        <v>4</v>
      </c>
      <c r="S189" s="8">
        <v>5</v>
      </c>
      <c r="T189" s="8">
        <v>4</v>
      </c>
      <c r="U189" s="25">
        <f t="shared" si="59"/>
        <v>-449</v>
      </c>
      <c r="V189" s="25">
        <f t="shared" si="60"/>
        <v>-530</v>
      </c>
      <c r="W189" s="25">
        <f t="shared" si="61"/>
        <v>-410</v>
      </c>
      <c r="X189" s="15">
        <v>1.47</v>
      </c>
      <c r="Y189" s="7"/>
      <c r="Z189" s="21">
        <f t="shared" si="65"/>
        <v>2.1</v>
      </c>
      <c r="AA189" s="6"/>
      <c r="AB189" s="6"/>
    </row>
    <row r="190" spans="1:28" ht="13.8">
      <c r="A190" s="13">
        <v>179</v>
      </c>
      <c r="B190" s="185" t="s">
        <v>251</v>
      </c>
      <c r="C190" s="10">
        <f t="shared" si="54"/>
        <v>1069</v>
      </c>
      <c r="D190" s="9">
        <f t="shared" si="66"/>
        <v>1635</v>
      </c>
      <c r="E190" s="26">
        <f t="shared" si="55"/>
        <v>2704</v>
      </c>
      <c r="F190" s="8">
        <f t="shared" si="48"/>
        <v>377</v>
      </c>
      <c r="G190" s="8">
        <f t="shared" si="49"/>
        <v>449</v>
      </c>
      <c r="H190" s="8">
        <f t="shared" si="50"/>
        <v>258</v>
      </c>
      <c r="I190" s="6">
        <f t="shared" si="51"/>
        <v>2327</v>
      </c>
      <c r="J190" s="6">
        <f t="shared" si="52"/>
        <v>2255</v>
      </c>
      <c r="K190" s="6">
        <f t="shared" si="53"/>
        <v>2446</v>
      </c>
      <c r="L190" s="6">
        <f t="shared" si="62"/>
        <v>3000</v>
      </c>
      <c r="M190" s="6">
        <f t="shared" si="63"/>
        <v>3000</v>
      </c>
      <c r="N190" s="6">
        <f t="shared" si="64"/>
        <v>3000</v>
      </c>
      <c r="O190" s="6">
        <f t="shared" si="56"/>
        <v>-673</v>
      </c>
      <c r="P190" s="6">
        <f t="shared" si="57"/>
        <v>-745</v>
      </c>
      <c r="Q190" s="6">
        <f t="shared" si="58"/>
        <v>-554</v>
      </c>
      <c r="R190" s="8">
        <v>4</v>
      </c>
      <c r="S190" s="8">
        <v>5</v>
      </c>
      <c r="T190" s="8">
        <v>4</v>
      </c>
      <c r="U190" s="25">
        <f t="shared" si="59"/>
        <v>-453</v>
      </c>
      <c r="V190" s="25">
        <f t="shared" si="60"/>
        <v>-535</v>
      </c>
      <c r="W190" s="25">
        <f t="shared" si="61"/>
        <v>-414</v>
      </c>
      <c r="X190" s="15">
        <v>1.4650000000000001</v>
      </c>
      <c r="Y190" s="7"/>
      <c r="Z190" s="21">
        <f t="shared" si="65"/>
        <v>2.1</v>
      </c>
      <c r="AA190" s="6"/>
      <c r="AB190" s="6"/>
    </row>
    <row r="191" spans="1:28" ht="13.8">
      <c r="A191" s="13">
        <v>180</v>
      </c>
      <c r="B191" s="185" t="s">
        <v>252</v>
      </c>
      <c r="C191" s="10">
        <f t="shared" si="54"/>
        <v>1069</v>
      </c>
      <c r="D191" s="9">
        <f t="shared" si="66"/>
        <v>1637</v>
      </c>
      <c r="E191" s="26">
        <f t="shared" si="55"/>
        <v>2706</v>
      </c>
      <c r="F191" s="8">
        <f t="shared" si="48"/>
        <v>383</v>
      </c>
      <c r="G191" s="8">
        <f t="shared" si="49"/>
        <v>456</v>
      </c>
      <c r="H191" s="8">
        <f t="shared" si="50"/>
        <v>264</v>
      </c>
      <c r="I191" s="6">
        <f t="shared" si="51"/>
        <v>2323</v>
      </c>
      <c r="J191" s="6">
        <f t="shared" si="52"/>
        <v>2250</v>
      </c>
      <c r="K191" s="6">
        <f t="shared" si="53"/>
        <v>2442</v>
      </c>
      <c r="L191" s="6">
        <f t="shared" si="62"/>
        <v>3000</v>
      </c>
      <c r="M191" s="6">
        <f t="shared" si="63"/>
        <v>3000</v>
      </c>
      <c r="N191" s="6">
        <f t="shared" si="64"/>
        <v>3000</v>
      </c>
      <c r="O191" s="6">
        <f t="shared" si="56"/>
        <v>-677</v>
      </c>
      <c r="P191" s="6">
        <f t="shared" si="57"/>
        <v>-750</v>
      </c>
      <c r="Q191" s="6">
        <f t="shared" si="58"/>
        <v>-558</v>
      </c>
      <c r="R191" s="8">
        <v>4</v>
      </c>
      <c r="S191" s="8">
        <v>5</v>
      </c>
      <c r="T191" s="8">
        <v>4</v>
      </c>
      <c r="U191" s="25">
        <f t="shared" si="59"/>
        <v>-457</v>
      </c>
      <c r="V191" s="25">
        <f t="shared" si="60"/>
        <v>-540</v>
      </c>
      <c r="W191" s="25">
        <f t="shared" si="61"/>
        <v>-418</v>
      </c>
      <c r="X191" s="15">
        <v>1.46</v>
      </c>
      <c r="Y191" s="7"/>
      <c r="Z191" s="21">
        <f t="shared" si="65"/>
        <v>2.1</v>
      </c>
      <c r="AA191" s="6"/>
      <c r="AB191" s="6"/>
    </row>
    <row r="192" spans="1:28" ht="13.8">
      <c r="A192" s="13">
        <v>181</v>
      </c>
      <c r="B192" s="185" t="s">
        <v>253</v>
      </c>
      <c r="C192" s="10">
        <f t="shared" si="54"/>
        <v>1069</v>
      </c>
      <c r="D192" s="9">
        <f t="shared" si="66"/>
        <v>1639</v>
      </c>
      <c r="E192" s="26">
        <f t="shared" si="55"/>
        <v>2708</v>
      </c>
      <c r="F192" s="8">
        <f t="shared" si="48"/>
        <v>389</v>
      </c>
      <c r="G192" s="8">
        <f t="shared" si="49"/>
        <v>463</v>
      </c>
      <c r="H192" s="8">
        <f t="shared" si="50"/>
        <v>270</v>
      </c>
      <c r="I192" s="6">
        <f t="shared" si="51"/>
        <v>2319</v>
      </c>
      <c r="J192" s="6">
        <f t="shared" si="52"/>
        <v>2245</v>
      </c>
      <c r="K192" s="6">
        <f t="shared" si="53"/>
        <v>2438</v>
      </c>
      <c r="L192" s="6">
        <f t="shared" si="62"/>
        <v>3000</v>
      </c>
      <c r="M192" s="6">
        <f t="shared" si="63"/>
        <v>3000</v>
      </c>
      <c r="N192" s="6">
        <f t="shared" si="64"/>
        <v>3000</v>
      </c>
      <c r="O192" s="6">
        <f t="shared" si="56"/>
        <v>-681</v>
      </c>
      <c r="P192" s="6">
        <f t="shared" si="57"/>
        <v>-755</v>
      </c>
      <c r="Q192" s="6">
        <f t="shared" si="58"/>
        <v>-562</v>
      </c>
      <c r="R192" s="8">
        <v>4</v>
      </c>
      <c r="S192" s="8">
        <v>5</v>
      </c>
      <c r="T192" s="8">
        <v>4</v>
      </c>
      <c r="U192" s="25">
        <f t="shared" si="59"/>
        <v>-461</v>
      </c>
      <c r="V192" s="25">
        <f t="shared" si="60"/>
        <v>-545</v>
      </c>
      <c r="W192" s="25">
        <f t="shared" si="61"/>
        <v>-422</v>
      </c>
      <c r="X192" s="15">
        <v>1.4550000000000001</v>
      </c>
      <c r="Y192" s="7"/>
      <c r="Z192" s="21">
        <f t="shared" si="65"/>
        <v>2.1</v>
      </c>
      <c r="AA192" s="6"/>
      <c r="AB192" s="6"/>
    </row>
    <row r="193" spans="1:28" ht="13.8">
      <c r="A193" s="13">
        <v>182</v>
      </c>
      <c r="B193" s="185" t="s">
        <v>254</v>
      </c>
      <c r="C193" s="10">
        <f t="shared" si="54"/>
        <v>1069</v>
      </c>
      <c r="D193" s="9">
        <f t="shared" si="66"/>
        <v>1641</v>
      </c>
      <c r="E193" s="26">
        <f t="shared" si="55"/>
        <v>2710</v>
      </c>
      <c r="F193" s="8">
        <f t="shared" si="48"/>
        <v>395</v>
      </c>
      <c r="G193" s="8">
        <f t="shared" si="49"/>
        <v>470</v>
      </c>
      <c r="H193" s="8">
        <f t="shared" si="50"/>
        <v>276</v>
      </c>
      <c r="I193" s="6">
        <f t="shared" si="51"/>
        <v>2315</v>
      </c>
      <c r="J193" s="6">
        <f t="shared" si="52"/>
        <v>2240</v>
      </c>
      <c r="K193" s="6">
        <f t="shared" si="53"/>
        <v>2434</v>
      </c>
      <c r="L193" s="6">
        <f t="shared" si="62"/>
        <v>3000</v>
      </c>
      <c r="M193" s="6">
        <f t="shared" si="63"/>
        <v>3000</v>
      </c>
      <c r="N193" s="6">
        <f t="shared" si="64"/>
        <v>3000</v>
      </c>
      <c r="O193" s="6">
        <f t="shared" si="56"/>
        <v>-685</v>
      </c>
      <c r="P193" s="6">
        <f t="shared" si="57"/>
        <v>-760</v>
      </c>
      <c r="Q193" s="6">
        <f t="shared" si="58"/>
        <v>-566</v>
      </c>
      <c r="R193" s="8">
        <v>4</v>
      </c>
      <c r="S193" s="8">
        <v>5</v>
      </c>
      <c r="T193" s="8">
        <v>4</v>
      </c>
      <c r="U193" s="25">
        <f t="shared" si="59"/>
        <v>-465</v>
      </c>
      <c r="V193" s="25">
        <f t="shared" si="60"/>
        <v>-550</v>
      </c>
      <c r="W193" s="25">
        <f t="shared" si="61"/>
        <v>-426</v>
      </c>
      <c r="X193" s="15">
        <v>1.45</v>
      </c>
      <c r="Y193" s="7"/>
      <c r="Z193" s="21">
        <f t="shared" si="65"/>
        <v>2.1</v>
      </c>
      <c r="AA193" s="6"/>
      <c r="AB193" s="6"/>
    </row>
    <row r="194" spans="1:28" ht="13.8">
      <c r="A194" s="13">
        <v>183</v>
      </c>
      <c r="B194" s="185" t="s">
        <v>255</v>
      </c>
      <c r="C194" s="10">
        <f t="shared" si="54"/>
        <v>1069</v>
      </c>
      <c r="D194" s="9">
        <f t="shared" si="66"/>
        <v>1643</v>
      </c>
      <c r="E194" s="26">
        <f t="shared" si="55"/>
        <v>2712</v>
      </c>
      <c r="F194" s="8">
        <f t="shared" si="48"/>
        <v>401</v>
      </c>
      <c r="G194" s="8">
        <f t="shared" si="49"/>
        <v>477</v>
      </c>
      <c r="H194" s="8">
        <f t="shared" si="50"/>
        <v>282</v>
      </c>
      <c r="I194" s="6">
        <f t="shared" si="51"/>
        <v>2311</v>
      </c>
      <c r="J194" s="6">
        <f t="shared" si="52"/>
        <v>2235</v>
      </c>
      <c r="K194" s="6">
        <f t="shared" si="53"/>
        <v>2430</v>
      </c>
      <c r="L194" s="6">
        <f t="shared" si="62"/>
        <v>3000</v>
      </c>
      <c r="M194" s="6">
        <f t="shared" si="63"/>
        <v>3000</v>
      </c>
      <c r="N194" s="6">
        <f t="shared" si="64"/>
        <v>3000</v>
      </c>
      <c r="O194" s="6">
        <f t="shared" si="56"/>
        <v>-689</v>
      </c>
      <c r="P194" s="6">
        <f t="shared" si="57"/>
        <v>-765</v>
      </c>
      <c r="Q194" s="6">
        <f t="shared" si="58"/>
        <v>-570</v>
      </c>
      <c r="R194" s="8">
        <v>4</v>
      </c>
      <c r="S194" s="8">
        <v>5</v>
      </c>
      <c r="T194" s="8">
        <v>4</v>
      </c>
      <c r="U194" s="25">
        <f t="shared" si="59"/>
        <v>-469</v>
      </c>
      <c r="V194" s="25">
        <f t="shared" si="60"/>
        <v>-555</v>
      </c>
      <c r="W194" s="25">
        <f t="shared" si="61"/>
        <v>-430</v>
      </c>
      <c r="X194" s="15">
        <v>1.4450000000000001</v>
      </c>
      <c r="Y194" s="7"/>
      <c r="Z194" s="21">
        <f t="shared" si="65"/>
        <v>2.1</v>
      </c>
      <c r="AA194" s="6"/>
      <c r="AB194" s="6"/>
    </row>
    <row r="195" spans="1:28" ht="13.8">
      <c r="A195" s="13">
        <v>184</v>
      </c>
      <c r="B195" s="185" t="s">
        <v>256</v>
      </c>
      <c r="C195" s="10">
        <f t="shared" si="54"/>
        <v>1069</v>
      </c>
      <c r="D195" s="9">
        <f t="shared" si="66"/>
        <v>1645</v>
      </c>
      <c r="E195" s="26">
        <f t="shared" si="55"/>
        <v>2714</v>
      </c>
      <c r="F195" s="8">
        <f t="shared" si="48"/>
        <v>407</v>
      </c>
      <c r="G195" s="8">
        <f t="shared" si="49"/>
        <v>484</v>
      </c>
      <c r="H195" s="8">
        <f t="shared" si="50"/>
        <v>288</v>
      </c>
      <c r="I195" s="6">
        <f t="shared" si="51"/>
        <v>2307</v>
      </c>
      <c r="J195" s="6">
        <f t="shared" si="52"/>
        <v>2230</v>
      </c>
      <c r="K195" s="6">
        <f t="shared" si="53"/>
        <v>2426</v>
      </c>
      <c r="L195" s="6">
        <f t="shared" si="62"/>
        <v>3000</v>
      </c>
      <c r="M195" s="6">
        <f t="shared" si="63"/>
        <v>3000</v>
      </c>
      <c r="N195" s="6">
        <f t="shared" si="64"/>
        <v>3000</v>
      </c>
      <c r="O195" s="6">
        <f t="shared" si="56"/>
        <v>-693</v>
      </c>
      <c r="P195" s="6">
        <f t="shared" si="57"/>
        <v>-770</v>
      </c>
      <c r="Q195" s="6">
        <f t="shared" si="58"/>
        <v>-574</v>
      </c>
      <c r="R195" s="8">
        <v>4</v>
      </c>
      <c r="S195" s="8">
        <v>5</v>
      </c>
      <c r="T195" s="8">
        <v>4</v>
      </c>
      <c r="U195" s="25">
        <f t="shared" si="59"/>
        <v>-473</v>
      </c>
      <c r="V195" s="25">
        <f t="shared" si="60"/>
        <v>-560</v>
      </c>
      <c r="W195" s="25">
        <f t="shared" si="61"/>
        <v>-434</v>
      </c>
      <c r="X195" s="15">
        <v>1.44</v>
      </c>
      <c r="Y195" s="7"/>
      <c r="Z195" s="21">
        <f t="shared" si="65"/>
        <v>2.1</v>
      </c>
      <c r="AA195" s="6"/>
      <c r="AB195" s="6"/>
    </row>
    <row r="196" spans="1:28" ht="13.8">
      <c r="A196" s="13">
        <v>185</v>
      </c>
      <c r="B196" s="185" t="s">
        <v>257</v>
      </c>
      <c r="C196" s="10">
        <f t="shared" si="54"/>
        <v>1069</v>
      </c>
      <c r="D196" s="9">
        <f t="shared" si="66"/>
        <v>1647</v>
      </c>
      <c r="E196" s="26">
        <f t="shared" si="55"/>
        <v>2716</v>
      </c>
      <c r="F196" s="8">
        <f t="shared" si="48"/>
        <v>413</v>
      </c>
      <c r="G196" s="8">
        <f t="shared" si="49"/>
        <v>491</v>
      </c>
      <c r="H196" s="8">
        <f t="shared" si="50"/>
        <v>294</v>
      </c>
      <c r="I196" s="6">
        <f t="shared" si="51"/>
        <v>2303</v>
      </c>
      <c r="J196" s="6">
        <f t="shared" si="52"/>
        <v>2225</v>
      </c>
      <c r="K196" s="6">
        <f t="shared" si="53"/>
        <v>2422</v>
      </c>
      <c r="L196" s="6">
        <f t="shared" si="62"/>
        <v>3000</v>
      </c>
      <c r="M196" s="6">
        <f t="shared" si="63"/>
        <v>3000</v>
      </c>
      <c r="N196" s="6">
        <f t="shared" si="64"/>
        <v>3000</v>
      </c>
      <c r="O196" s="6">
        <f t="shared" si="56"/>
        <v>-697</v>
      </c>
      <c r="P196" s="6">
        <f t="shared" si="57"/>
        <v>-775</v>
      </c>
      <c r="Q196" s="6">
        <f t="shared" si="58"/>
        <v>-578</v>
      </c>
      <c r="R196" s="8">
        <v>4</v>
      </c>
      <c r="S196" s="8">
        <v>5</v>
      </c>
      <c r="T196" s="8">
        <v>4</v>
      </c>
      <c r="U196" s="25">
        <f t="shared" si="59"/>
        <v>-477</v>
      </c>
      <c r="V196" s="25">
        <f t="shared" si="60"/>
        <v>-565</v>
      </c>
      <c r="W196" s="25">
        <f t="shared" si="61"/>
        <v>-438</v>
      </c>
      <c r="X196" s="15">
        <v>1.4350000000000001</v>
      </c>
      <c r="Y196" s="7"/>
      <c r="Z196" s="21">
        <f t="shared" si="65"/>
        <v>2.1</v>
      </c>
      <c r="AA196" s="6"/>
      <c r="AB196" s="6"/>
    </row>
    <row r="197" spans="1:28" ht="13.8">
      <c r="A197" s="13">
        <v>186</v>
      </c>
      <c r="B197" s="185" t="s">
        <v>258</v>
      </c>
      <c r="C197" s="10">
        <f t="shared" si="54"/>
        <v>1069</v>
      </c>
      <c r="D197" s="9">
        <f t="shared" si="66"/>
        <v>1649</v>
      </c>
      <c r="E197" s="26">
        <f t="shared" si="55"/>
        <v>2718</v>
      </c>
      <c r="F197" s="8">
        <f t="shared" si="48"/>
        <v>419</v>
      </c>
      <c r="G197" s="8">
        <f t="shared" si="49"/>
        <v>498</v>
      </c>
      <c r="H197" s="8">
        <f t="shared" si="50"/>
        <v>300</v>
      </c>
      <c r="I197" s="6">
        <f t="shared" si="51"/>
        <v>2299</v>
      </c>
      <c r="J197" s="6">
        <f t="shared" si="52"/>
        <v>2220</v>
      </c>
      <c r="K197" s="6">
        <f t="shared" si="53"/>
        <v>2418</v>
      </c>
      <c r="L197" s="6">
        <f t="shared" si="62"/>
        <v>3000</v>
      </c>
      <c r="M197" s="6">
        <f t="shared" si="63"/>
        <v>3000</v>
      </c>
      <c r="N197" s="6">
        <f t="shared" si="64"/>
        <v>3000</v>
      </c>
      <c r="O197" s="6">
        <f t="shared" si="56"/>
        <v>-701</v>
      </c>
      <c r="P197" s="6">
        <f t="shared" si="57"/>
        <v>-780</v>
      </c>
      <c r="Q197" s="6">
        <f t="shared" si="58"/>
        <v>-582</v>
      </c>
      <c r="R197" s="8">
        <v>4</v>
      </c>
      <c r="S197" s="8">
        <v>5</v>
      </c>
      <c r="T197" s="8">
        <v>4</v>
      </c>
      <c r="U197" s="25">
        <f t="shared" si="59"/>
        <v>-481</v>
      </c>
      <c r="V197" s="25">
        <f t="shared" si="60"/>
        <v>-570</v>
      </c>
      <c r="W197" s="25">
        <f t="shared" si="61"/>
        <v>-442</v>
      </c>
      <c r="X197" s="15">
        <v>1.43</v>
      </c>
      <c r="Y197" s="7"/>
      <c r="Z197" s="21">
        <f t="shared" si="65"/>
        <v>2.1</v>
      </c>
      <c r="AA197" s="6"/>
      <c r="AB197" s="6"/>
    </row>
    <row r="198" spans="1:28" ht="13.8">
      <c r="A198" s="13">
        <v>187</v>
      </c>
      <c r="B198" s="185" t="s">
        <v>259</v>
      </c>
      <c r="C198" s="10">
        <f t="shared" si="54"/>
        <v>1069</v>
      </c>
      <c r="D198" s="9">
        <f t="shared" si="66"/>
        <v>1651</v>
      </c>
      <c r="E198" s="26">
        <f t="shared" si="55"/>
        <v>2720</v>
      </c>
      <c r="F198" s="8">
        <f t="shared" si="48"/>
        <v>425</v>
      </c>
      <c r="G198" s="8">
        <f t="shared" si="49"/>
        <v>505</v>
      </c>
      <c r="H198" s="8">
        <f t="shared" si="50"/>
        <v>306</v>
      </c>
      <c r="I198" s="6">
        <f t="shared" si="51"/>
        <v>2295</v>
      </c>
      <c r="J198" s="6">
        <f t="shared" si="52"/>
        <v>2215</v>
      </c>
      <c r="K198" s="6">
        <f t="shared" si="53"/>
        <v>2414</v>
      </c>
      <c r="L198" s="6">
        <f t="shared" si="62"/>
        <v>3000</v>
      </c>
      <c r="M198" s="6">
        <f t="shared" si="63"/>
        <v>3000</v>
      </c>
      <c r="N198" s="6">
        <f t="shared" si="64"/>
        <v>3000</v>
      </c>
      <c r="O198" s="6">
        <f t="shared" si="56"/>
        <v>-705</v>
      </c>
      <c r="P198" s="6">
        <f t="shared" si="57"/>
        <v>-785</v>
      </c>
      <c r="Q198" s="6">
        <f t="shared" si="58"/>
        <v>-586</v>
      </c>
      <c r="R198" s="8">
        <v>4</v>
      </c>
      <c r="S198" s="8">
        <v>5</v>
      </c>
      <c r="T198" s="8">
        <v>4</v>
      </c>
      <c r="U198" s="25">
        <f t="shared" si="59"/>
        <v>-485</v>
      </c>
      <c r="V198" s="25">
        <f t="shared" si="60"/>
        <v>-575</v>
      </c>
      <c r="W198" s="25">
        <f t="shared" si="61"/>
        <v>-446</v>
      </c>
      <c r="X198" s="15">
        <v>1.425</v>
      </c>
      <c r="Y198" s="7"/>
      <c r="Z198" s="21">
        <f t="shared" si="65"/>
        <v>2.1</v>
      </c>
      <c r="AA198" s="6"/>
      <c r="AB198" s="6"/>
    </row>
    <row r="199" spans="1:28" ht="13.8">
      <c r="A199" s="13">
        <v>188</v>
      </c>
      <c r="B199" s="185" t="s">
        <v>260</v>
      </c>
      <c r="C199" s="10">
        <f t="shared" si="54"/>
        <v>1069</v>
      </c>
      <c r="D199" s="9">
        <f t="shared" si="66"/>
        <v>1653</v>
      </c>
      <c r="E199" s="26">
        <f t="shared" si="55"/>
        <v>2722</v>
      </c>
      <c r="F199" s="8">
        <f t="shared" si="48"/>
        <v>431</v>
      </c>
      <c r="G199" s="8">
        <f t="shared" si="49"/>
        <v>512</v>
      </c>
      <c r="H199" s="8">
        <f t="shared" si="50"/>
        <v>312</v>
      </c>
      <c r="I199" s="6">
        <f t="shared" si="51"/>
        <v>2291</v>
      </c>
      <c r="J199" s="6">
        <f t="shared" si="52"/>
        <v>2210</v>
      </c>
      <c r="K199" s="6">
        <f t="shared" si="53"/>
        <v>2410</v>
      </c>
      <c r="L199" s="6">
        <f t="shared" si="62"/>
        <v>3000</v>
      </c>
      <c r="M199" s="6">
        <f t="shared" si="63"/>
        <v>3000</v>
      </c>
      <c r="N199" s="6">
        <f t="shared" si="64"/>
        <v>3000</v>
      </c>
      <c r="O199" s="6">
        <f t="shared" si="56"/>
        <v>-709</v>
      </c>
      <c r="P199" s="6">
        <f t="shared" si="57"/>
        <v>-790</v>
      </c>
      <c r="Q199" s="6">
        <f t="shared" si="58"/>
        <v>-590</v>
      </c>
      <c r="R199" s="8">
        <v>4</v>
      </c>
      <c r="S199" s="8">
        <v>5</v>
      </c>
      <c r="T199" s="8">
        <v>4</v>
      </c>
      <c r="U199" s="25">
        <f t="shared" si="59"/>
        <v>-489</v>
      </c>
      <c r="V199" s="25">
        <f t="shared" si="60"/>
        <v>-580</v>
      </c>
      <c r="W199" s="25">
        <f t="shared" si="61"/>
        <v>-450</v>
      </c>
      <c r="X199" s="15">
        <v>1.42</v>
      </c>
      <c r="Y199" s="7"/>
      <c r="Z199" s="21">
        <f t="shared" si="65"/>
        <v>2.1</v>
      </c>
      <c r="AA199" s="6"/>
      <c r="AB199" s="6"/>
    </row>
    <row r="200" spans="1:28" ht="13.8">
      <c r="A200" s="13">
        <v>189</v>
      </c>
      <c r="B200" s="185" t="s">
        <v>261</v>
      </c>
      <c r="C200" s="10">
        <f t="shared" si="54"/>
        <v>1069</v>
      </c>
      <c r="D200" s="9">
        <f t="shared" si="66"/>
        <v>1655</v>
      </c>
      <c r="E200" s="26">
        <f t="shared" si="55"/>
        <v>2724</v>
      </c>
      <c r="F200" s="8">
        <f t="shared" si="48"/>
        <v>437</v>
      </c>
      <c r="G200" s="8">
        <f t="shared" si="49"/>
        <v>519</v>
      </c>
      <c r="H200" s="8">
        <f t="shared" si="50"/>
        <v>318</v>
      </c>
      <c r="I200" s="6">
        <f t="shared" si="51"/>
        <v>2287</v>
      </c>
      <c r="J200" s="6">
        <f t="shared" si="52"/>
        <v>2205</v>
      </c>
      <c r="K200" s="6">
        <f t="shared" si="53"/>
        <v>2406</v>
      </c>
      <c r="L200" s="6">
        <f t="shared" si="62"/>
        <v>3000</v>
      </c>
      <c r="M200" s="6">
        <f t="shared" si="63"/>
        <v>3000</v>
      </c>
      <c r="N200" s="6">
        <f t="shared" si="64"/>
        <v>3000</v>
      </c>
      <c r="O200" s="6">
        <f t="shared" si="56"/>
        <v>-713</v>
      </c>
      <c r="P200" s="6">
        <f t="shared" si="57"/>
        <v>-795</v>
      </c>
      <c r="Q200" s="6">
        <f t="shared" si="58"/>
        <v>-594</v>
      </c>
      <c r="R200" s="8">
        <v>4</v>
      </c>
      <c r="S200" s="8">
        <v>5</v>
      </c>
      <c r="T200" s="8">
        <v>4</v>
      </c>
      <c r="U200" s="25">
        <f t="shared" si="59"/>
        <v>-493</v>
      </c>
      <c r="V200" s="25">
        <f t="shared" si="60"/>
        <v>-585</v>
      </c>
      <c r="W200" s="25">
        <f t="shared" si="61"/>
        <v>-454</v>
      </c>
      <c r="X200" s="15">
        <v>1.415</v>
      </c>
      <c r="Y200" s="7"/>
      <c r="Z200" s="21">
        <f t="shared" si="65"/>
        <v>2.1</v>
      </c>
      <c r="AA200" s="6"/>
      <c r="AB200" s="6"/>
    </row>
    <row r="201" spans="1:28" ht="13.8">
      <c r="A201" s="13">
        <v>190</v>
      </c>
      <c r="B201" s="185" t="s">
        <v>262</v>
      </c>
      <c r="C201" s="10">
        <f t="shared" si="54"/>
        <v>1069</v>
      </c>
      <c r="D201" s="9">
        <f t="shared" si="66"/>
        <v>1657</v>
      </c>
      <c r="E201" s="26">
        <f t="shared" si="55"/>
        <v>2726</v>
      </c>
      <c r="F201" s="8">
        <f t="shared" si="48"/>
        <v>443</v>
      </c>
      <c r="G201" s="8">
        <f t="shared" si="49"/>
        <v>526</v>
      </c>
      <c r="H201" s="8">
        <f t="shared" si="50"/>
        <v>324</v>
      </c>
      <c r="I201" s="6">
        <f t="shared" si="51"/>
        <v>2283</v>
      </c>
      <c r="J201" s="6">
        <f t="shared" si="52"/>
        <v>2200</v>
      </c>
      <c r="K201" s="6">
        <f t="shared" si="53"/>
        <v>2402</v>
      </c>
      <c r="L201" s="6">
        <f t="shared" si="62"/>
        <v>3000</v>
      </c>
      <c r="M201" s="6">
        <f t="shared" si="63"/>
        <v>3000</v>
      </c>
      <c r="N201" s="6">
        <f t="shared" si="64"/>
        <v>3000</v>
      </c>
      <c r="O201" s="6">
        <f t="shared" si="56"/>
        <v>-717</v>
      </c>
      <c r="P201" s="6">
        <f t="shared" si="57"/>
        <v>-800</v>
      </c>
      <c r="Q201" s="6">
        <f t="shared" si="58"/>
        <v>-598</v>
      </c>
      <c r="R201" s="8">
        <v>4</v>
      </c>
      <c r="S201" s="8">
        <v>5</v>
      </c>
      <c r="T201" s="8">
        <v>4</v>
      </c>
      <c r="U201" s="25">
        <f t="shared" si="59"/>
        <v>-497</v>
      </c>
      <c r="V201" s="25">
        <f t="shared" si="60"/>
        <v>-590</v>
      </c>
      <c r="W201" s="25">
        <f t="shared" si="61"/>
        <v>-458</v>
      </c>
      <c r="X201" s="15">
        <v>1.41</v>
      </c>
      <c r="Y201" s="7"/>
      <c r="Z201" s="21">
        <f t="shared" si="65"/>
        <v>2.1</v>
      </c>
      <c r="AA201" s="6"/>
      <c r="AB201" s="6"/>
    </row>
    <row r="202" spans="1:28" ht="13.8">
      <c r="A202" s="13">
        <v>191</v>
      </c>
      <c r="B202" s="185" t="s">
        <v>263</v>
      </c>
      <c r="C202" s="10">
        <f t="shared" si="54"/>
        <v>1069</v>
      </c>
      <c r="D202" s="9">
        <f t="shared" si="66"/>
        <v>1659</v>
      </c>
      <c r="E202" s="26">
        <f t="shared" si="55"/>
        <v>2728</v>
      </c>
      <c r="F202" s="8">
        <f t="shared" si="48"/>
        <v>449</v>
      </c>
      <c r="G202" s="8">
        <f t="shared" si="49"/>
        <v>533</v>
      </c>
      <c r="H202" s="8">
        <f t="shared" si="50"/>
        <v>330</v>
      </c>
      <c r="I202" s="6">
        <f t="shared" si="51"/>
        <v>2279</v>
      </c>
      <c r="J202" s="6">
        <f t="shared" si="52"/>
        <v>2195</v>
      </c>
      <c r="K202" s="6">
        <f t="shared" si="53"/>
        <v>2398</v>
      </c>
      <c r="L202" s="6">
        <f t="shared" si="62"/>
        <v>3000</v>
      </c>
      <c r="M202" s="6">
        <f t="shared" si="63"/>
        <v>3000</v>
      </c>
      <c r="N202" s="6">
        <f t="shared" si="64"/>
        <v>3000</v>
      </c>
      <c r="O202" s="6">
        <f t="shared" si="56"/>
        <v>-721</v>
      </c>
      <c r="P202" s="6">
        <f t="shared" si="57"/>
        <v>-805</v>
      </c>
      <c r="Q202" s="6">
        <f t="shared" si="58"/>
        <v>-602</v>
      </c>
      <c r="R202" s="8">
        <v>4</v>
      </c>
      <c r="S202" s="8">
        <v>5</v>
      </c>
      <c r="T202" s="8">
        <v>4</v>
      </c>
      <c r="U202" s="25">
        <f t="shared" si="59"/>
        <v>-501</v>
      </c>
      <c r="V202" s="25">
        <f t="shared" si="60"/>
        <v>-595</v>
      </c>
      <c r="W202" s="25">
        <f t="shared" si="61"/>
        <v>-462</v>
      </c>
      <c r="X202" s="15">
        <v>1.405</v>
      </c>
      <c r="Y202" s="7"/>
      <c r="Z202" s="21">
        <f t="shared" si="65"/>
        <v>2.1</v>
      </c>
      <c r="AA202" s="6"/>
      <c r="AB202" s="6"/>
    </row>
    <row r="203" spans="1:28" ht="13.8">
      <c r="A203" s="13">
        <v>192</v>
      </c>
      <c r="B203" s="185" t="s">
        <v>264</v>
      </c>
      <c r="C203" s="10">
        <f t="shared" si="54"/>
        <v>1069</v>
      </c>
      <c r="D203" s="9">
        <f t="shared" si="66"/>
        <v>1661</v>
      </c>
      <c r="E203" s="26">
        <f t="shared" si="55"/>
        <v>2730</v>
      </c>
      <c r="F203" s="8">
        <f t="shared" ref="F203:F266" si="67">C203+D203-I203</f>
        <v>455</v>
      </c>
      <c r="G203" s="8">
        <f t="shared" ref="G203:G266" si="68">C203+D203-J203</f>
        <v>540</v>
      </c>
      <c r="H203" s="8">
        <f t="shared" ref="H203:H266" si="69">D203+C203-K203</f>
        <v>336</v>
      </c>
      <c r="I203" s="6">
        <f t="shared" ref="I203:I266" si="70">L203+O203</f>
        <v>2275</v>
      </c>
      <c r="J203" s="6">
        <f t="shared" ref="J203:J266" si="71">M203+P203</f>
        <v>2190</v>
      </c>
      <c r="K203" s="6">
        <f t="shared" ref="K203:K266" si="72">N203+Q203</f>
        <v>2394</v>
      </c>
      <c r="L203" s="6">
        <f t="shared" si="62"/>
        <v>3000</v>
      </c>
      <c r="M203" s="6">
        <f t="shared" si="63"/>
        <v>3000</v>
      </c>
      <c r="N203" s="6">
        <f t="shared" si="64"/>
        <v>3000</v>
      </c>
      <c r="O203" s="6">
        <f t="shared" si="56"/>
        <v>-725</v>
      </c>
      <c r="P203" s="6">
        <f t="shared" si="57"/>
        <v>-810</v>
      </c>
      <c r="Q203" s="6">
        <f t="shared" si="58"/>
        <v>-606</v>
      </c>
      <c r="R203" s="8">
        <v>4</v>
      </c>
      <c r="S203" s="8">
        <v>5</v>
      </c>
      <c r="T203" s="8">
        <v>4</v>
      </c>
      <c r="U203" s="25">
        <f t="shared" si="59"/>
        <v>-505</v>
      </c>
      <c r="V203" s="25">
        <f t="shared" si="60"/>
        <v>-600</v>
      </c>
      <c r="W203" s="25">
        <f t="shared" si="61"/>
        <v>-466</v>
      </c>
      <c r="X203" s="15">
        <v>1.4</v>
      </c>
      <c r="Y203" s="7"/>
      <c r="Z203" s="21">
        <f t="shared" si="65"/>
        <v>2.1</v>
      </c>
      <c r="AA203" s="6"/>
      <c r="AB203" s="6"/>
    </row>
    <row r="204" spans="1:28" ht="13.8">
      <c r="A204" s="13">
        <v>193</v>
      </c>
      <c r="B204" s="185" t="s">
        <v>265</v>
      </c>
      <c r="C204" s="10">
        <f t="shared" ref="C204:C267" si="73">C203</f>
        <v>1069</v>
      </c>
      <c r="D204" s="9">
        <f t="shared" si="66"/>
        <v>1663</v>
      </c>
      <c r="E204" s="26">
        <f t="shared" ref="E204:E267" si="74">C204+D204</f>
        <v>2732</v>
      </c>
      <c r="F204" s="8">
        <f t="shared" si="67"/>
        <v>461</v>
      </c>
      <c r="G204" s="8">
        <f t="shared" si="68"/>
        <v>547</v>
      </c>
      <c r="H204" s="8">
        <f t="shared" si="69"/>
        <v>342</v>
      </c>
      <c r="I204" s="6">
        <f t="shared" si="70"/>
        <v>2271</v>
      </c>
      <c r="J204" s="6">
        <f t="shared" si="71"/>
        <v>2185</v>
      </c>
      <c r="K204" s="6">
        <f t="shared" si="72"/>
        <v>2390</v>
      </c>
      <c r="L204" s="6">
        <f t="shared" si="62"/>
        <v>3000</v>
      </c>
      <c r="M204" s="6">
        <f t="shared" si="63"/>
        <v>3000</v>
      </c>
      <c r="N204" s="6">
        <f t="shared" si="64"/>
        <v>3000</v>
      </c>
      <c r="O204" s="6">
        <f t="shared" ref="O204:O267" si="75">O203-R204</f>
        <v>-729</v>
      </c>
      <c r="P204" s="6">
        <f t="shared" ref="P204:P267" si="76">P203-S204</f>
        <v>-815</v>
      </c>
      <c r="Q204" s="6">
        <f t="shared" ref="Q204:Q267" si="77">Q203-T204</f>
        <v>-610</v>
      </c>
      <c r="R204" s="8">
        <v>4</v>
      </c>
      <c r="S204" s="8">
        <v>5</v>
      </c>
      <c r="T204" s="8">
        <v>4</v>
      </c>
      <c r="U204" s="25">
        <f t="shared" ref="U204:U267" si="78">U203-R204</f>
        <v>-509</v>
      </c>
      <c r="V204" s="25">
        <f t="shared" ref="V204:V267" si="79">V203-S204</f>
        <v>-605</v>
      </c>
      <c r="W204" s="25">
        <f t="shared" ref="W204:W267" si="80">W203-T204</f>
        <v>-470</v>
      </c>
      <c r="X204" s="15">
        <v>1.395</v>
      </c>
      <c r="Y204" s="7"/>
      <c r="Z204" s="21">
        <f t="shared" si="65"/>
        <v>2.1</v>
      </c>
      <c r="AA204" s="6"/>
      <c r="AB204" s="6"/>
    </row>
    <row r="205" spans="1:28" ht="13.8">
      <c r="A205" s="13">
        <v>194</v>
      </c>
      <c r="B205" s="185" t="s">
        <v>266</v>
      </c>
      <c r="C205" s="10">
        <f t="shared" si="73"/>
        <v>1069</v>
      </c>
      <c r="D205" s="9">
        <f t="shared" si="66"/>
        <v>1665</v>
      </c>
      <c r="E205" s="26">
        <f t="shared" si="74"/>
        <v>2734</v>
      </c>
      <c r="F205" s="8">
        <f t="shared" si="67"/>
        <v>467</v>
      </c>
      <c r="G205" s="8">
        <f t="shared" si="68"/>
        <v>554</v>
      </c>
      <c r="H205" s="8">
        <f t="shared" si="69"/>
        <v>348</v>
      </c>
      <c r="I205" s="6">
        <f t="shared" si="70"/>
        <v>2267</v>
      </c>
      <c r="J205" s="6">
        <f t="shared" si="71"/>
        <v>2180</v>
      </c>
      <c r="K205" s="6">
        <f t="shared" si="72"/>
        <v>2386</v>
      </c>
      <c r="L205" s="6">
        <f t="shared" si="62"/>
        <v>3000</v>
      </c>
      <c r="M205" s="6">
        <f t="shared" si="63"/>
        <v>3000</v>
      </c>
      <c r="N205" s="6">
        <f t="shared" si="64"/>
        <v>3000</v>
      </c>
      <c r="O205" s="6">
        <f t="shared" si="75"/>
        <v>-733</v>
      </c>
      <c r="P205" s="6">
        <f t="shared" si="76"/>
        <v>-820</v>
      </c>
      <c r="Q205" s="6">
        <f t="shared" si="77"/>
        <v>-614</v>
      </c>
      <c r="R205" s="8">
        <v>4</v>
      </c>
      <c r="S205" s="8">
        <v>5</v>
      </c>
      <c r="T205" s="8">
        <v>4</v>
      </c>
      <c r="U205" s="25">
        <f t="shared" si="78"/>
        <v>-513</v>
      </c>
      <c r="V205" s="25">
        <f t="shared" si="79"/>
        <v>-610</v>
      </c>
      <c r="W205" s="25">
        <f t="shared" si="80"/>
        <v>-474</v>
      </c>
      <c r="X205" s="15">
        <v>1.39</v>
      </c>
      <c r="Y205" s="7"/>
      <c r="Z205" s="21">
        <f t="shared" si="65"/>
        <v>2.1</v>
      </c>
      <c r="AA205" s="6"/>
      <c r="AB205" s="6"/>
    </row>
    <row r="206" spans="1:28" ht="13.8">
      <c r="A206" s="13">
        <v>195</v>
      </c>
      <c r="B206" s="185" t="s">
        <v>267</v>
      </c>
      <c r="C206" s="10">
        <f t="shared" si="73"/>
        <v>1069</v>
      </c>
      <c r="D206" s="9">
        <f t="shared" si="66"/>
        <v>1667</v>
      </c>
      <c r="E206" s="26">
        <f t="shared" si="74"/>
        <v>2736</v>
      </c>
      <c r="F206" s="8">
        <f t="shared" si="67"/>
        <v>473</v>
      </c>
      <c r="G206" s="8">
        <f t="shared" si="68"/>
        <v>561</v>
      </c>
      <c r="H206" s="8">
        <f t="shared" si="69"/>
        <v>354</v>
      </c>
      <c r="I206" s="6">
        <f t="shared" si="70"/>
        <v>2263</v>
      </c>
      <c r="J206" s="6">
        <f t="shared" si="71"/>
        <v>2175</v>
      </c>
      <c r="K206" s="6">
        <f t="shared" si="72"/>
        <v>2382</v>
      </c>
      <c r="L206" s="6">
        <f t="shared" si="62"/>
        <v>3000</v>
      </c>
      <c r="M206" s="6">
        <f t="shared" si="63"/>
        <v>3000</v>
      </c>
      <c r="N206" s="6">
        <f t="shared" si="64"/>
        <v>3000</v>
      </c>
      <c r="O206" s="6">
        <f t="shared" si="75"/>
        <v>-737</v>
      </c>
      <c r="P206" s="6">
        <f t="shared" si="76"/>
        <v>-825</v>
      </c>
      <c r="Q206" s="6">
        <f t="shared" si="77"/>
        <v>-618</v>
      </c>
      <c r="R206" s="8">
        <v>4</v>
      </c>
      <c r="S206" s="8">
        <v>5</v>
      </c>
      <c r="T206" s="8">
        <v>4</v>
      </c>
      <c r="U206" s="25">
        <f t="shared" si="78"/>
        <v>-517</v>
      </c>
      <c r="V206" s="25">
        <f t="shared" si="79"/>
        <v>-615</v>
      </c>
      <c r="W206" s="25">
        <f t="shared" si="80"/>
        <v>-478</v>
      </c>
      <c r="X206" s="15">
        <v>1.385</v>
      </c>
      <c r="Y206" s="7"/>
      <c r="Z206" s="21">
        <f t="shared" si="65"/>
        <v>2.1</v>
      </c>
      <c r="AA206" s="6"/>
      <c r="AB206" s="6"/>
    </row>
    <row r="207" spans="1:28" ht="13.8">
      <c r="A207" s="13">
        <v>196</v>
      </c>
      <c r="B207" s="185" t="s">
        <v>268</v>
      </c>
      <c r="C207" s="10">
        <f t="shared" si="73"/>
        <v>1069</v>
      </c>
      <c r="D207" s="9">
        <f t="shared" si="66"/>
        <v>1669</v>
      </c>
      <c r="E207" s="26">
        <f t="shared" si="74"/>
        <v>2738</v>
      </c>
      <c r="F207" s="8">
        <f t="shared" si="67"/>
        <v>479</v>
      </c>
      <c r="G207" s="8">
        <f t="shared" si="68"/>
        <v>568</v>
      </c>
      <c r="H207" s="8">
        <f t="shared" si="69"/>
        <v>360</v>
      </c>
      <c r="I207" s="6">
        <f t="shared" si="70"/>
        <v>2259</v>
      </c>
      <c r="J207" s="6">
        <f t="shared" si="71"/>
        <v>2170</v>
      </c>
      <c r="K207" s="6">
        <f t="shared" si="72"/>
        <v>2378</v>
      </c>
      <c r="L207" s="6">
        <f t="shared" si="62"/>
        <v>3000</v>
      </c>
      <c r="M207" s="6">
        <f t="shared" si="63"/>
        <v>3000</v>
      </c>
      <c r="N207" s="6">
        <f t="shared" si="64"/>
        <v>3000</v>
      </c>
      <c r="O207" s="6">
        <f t="shared" si="75"/>
        <v>-741</v>
      </c>
      <c r="P207" s="6">
        <f t="shared" si="76"/>
        <v>-830</v>
      </c>
      <c r="Q207" s="6">
        <f t="shared" si="77"/>
        <v>-622</v>
      </c>
      <c r="R207" s="8">
        <v>4</v>
      </c>
      <c r="S207" s="8">
        <v>5</v>
      </c>
      <c r="T207" s="8">
        <v>4</v>
      </c>
      <c r="U207" s="25">
        <f t="shared" si="78"/>
        <v>-521</v>
      </c>
      <c r="V207" s="25">
        <f t="shared" si="79"/>
        <v>-620</v>
      </c>
      <c r="W207" s="25">
        <f t="shared" si="80"/>
        <v>-482</v>
      </c>
      <c r="X207" s="15">
        <v>1.38</v>
      </c>
      <c r="Y207" s="7"/>
      <c r="Z207" s="21">
        <f t="shared" si="65"/>
        <v>2.1</v>
      </c>
      <c r="AA207" s="6"/>
      <c r="AB207" s="6"/>
    </row>
    <row r="208" spans="1:28" ht="13.8">
      <c r="A208" s="13">
        <v>197</v>
      </c>
      <c r="B208" s="185" t="s">
        <v>269</v>
      </c>
      <c r="C208" s="10">
        <f t="shared" si="73"/>
        <v>1069</v>
      </c>
      <c r="D208" s="9">
        <f t="shared" si="66"/>
        <v>1671</v>
      </c>
      <c r="E208" s="26">
        <f t="shared" si="74"/>
        <v>2740</v>
      </c>
      <c r="F208" s="8">
        <f t="shared" si="67"/>
        <v>485</v>
      </c>
      <c r="G208" s="8">
        <f t="shared" si="68"/>
        <v>575</v>
      </c>
      <c r="H208" s="8">
        <f t="shared" si="69"/>
        <v>366</v>
      </c>
      <c r="I208" s="6">
        <f t="shared" si="70"/>
        <v>2255</v>
      </c>
      <c r="J208" s="6">
        <f t="shared" si="71"/>
        <v>2165</v>
      </c>
      <c r="K208" s="6">
        <f t="shared" si="72"/>
        <v>2374</v>
      </c>
      <c r="L208" s="6">
        <f t="shared" si="62"/>
        <v>3000</v>
      </c>
      <c r="M208" s="6">
        <f t="shared" si="63"/>
        <v>3000</v>
      </c>
      <c r="N208" s="6">
        <f t="shared" si="64"/>
        <v>3000</v>
      </c>
      <c r="O208" s="6">
        <f t="shared" si="75"/>
        <v>-745</v>
      </c>
      <c r="P208" s="6">
        <f t="shared" si="76"/>
        <v>-835</v>
      </c>
      <c r="Q208" s="6">
        <f t="shared" si="77"/>
        <v>-626</v>
      </c>
      <c r="R208" s="8">
        <v>4</v>
      </c>
      <c r="S208" s="8">
        <v>5</v>
      </c>
      <c r="T208" s="8">
        <v>4</v>
      </c>
      <c r="U208" s="25">
        <f t="shared" si="78"/>
        <v>-525</v>
      </c>
      <c r="V208" s="25">
        <f t="shared" si="79"/>
        <v>-625</v>
      </c>
      <c r="W208" s="25">
        <f t="shared" si="80"/>
        <v>-486</v>
      </c>
      <c r="X208" s="15">
        <v>1.375</v>
      </c>
      <c r="Y208" s="7"/>
      <c r="Z208" s="21">
        <f t="shared" si="65"/>
        <v>2.1</v>
      </c>
      <c r="AA208" s="6"/>
      <c r="AB208" s="6"/>
    </row>
    <row r="209" spans="1:28" ht="13.8">
      <c r="A209" s="13">
        <v>198</v>
      </c>
      <c r="B209" s="185" t="s">
        <v>270</v>
      </c>
      <c r="C209" s="10">
        <f t="shared" si="73"/>
        <v>1069</v>
      </c>
      <c r="D209" s="9">
        <f t="shared" si="66"/>
        <v>1673</v>
      </c>
      <c r="E209" s="26">
        <f t="shared" si="74"/>
        <v>2742</v>
      </c>
      <c r="F209" s="8">
        <f t="shared" si="67"/>
        <v>491</v>
      </c>
      <c r="G209" s="8">
        <f t="shared" si="68"/>
        <v>582</v>
      </c>
      <c r="H209" s="8">
        <f t="shared" si="69"/>
        <v>372</v>
      </c>
      <c r="I209" s="6">
        <f t="shared" si="70"/>
        <v>2251</v>
      </c>
      <c r="J209" s="6">
        <f t="shared" si="71"/>
        <v>2160</v>
      </c>
      <c r="K209" s="6">
        <f t="shared" si="72"/>
        <v>2370</v>
      </c>
      <c r="L209" s="6">
        <f t="shared" si="62"/>
        <v>3000</v>
      </c>
      <c r="M209" s="6">
        <f t="shared" si="63"/>
        <v>3000</v>
      </c>
      <c r="N209" s="6">
        <f t="shared" si="64"/>
        <v>3000</v>
      </c>
      <c r="O209" s="6">
        <f t="shared" si="75"/>
        <v>-749</v>
      </c>
      <c r="P209" s="6">
        <f t="shared" si="76"/>
        <v>-840</v>
      </c>
      <c r="Q209" s="6">
        <f t="shared" si="77"/>
        <v>-630</v>
      </c>
      <c r="R209" s="8">
        <v>4</v>
      </c>
      <c r="S209" s="8">
        <v>5</v>
      </c>
      <c r="T209" s="8">
        <v>4</v>
      </c>
      <c r="U209" s="25">
        <f t="shared" si="78"/>
        <v>-529</v>
      </c>
      <c r="V209" s="25">
        <f t="shared" si="79"/>
        <v>-630</v>
      </c>
      <c r="W209" s="25">
        <f t="shared" si="80"/>
        <v>-490</v>
      </c>
      <c r="X209" s="15">
        <v>1.37</v>
      </c>
      <c r="Y209" s="7"/>
      <c r="Z209" s="21">
        <f t="shared" si="65"/>
        <v>2.1</v>
      </c>
      <c r="AA209" s="6"/>
      <c r="AB209" s="6"/>
    </row>
    <row r="210" spans="1:28" ht="13.8">
      <c r="A210" s="13">
        <v>199</v>
      </c>
      <c r="B210" s="185" t="s">
        <v>271</v>
      </c>
      <c r="C210" s="10">
        <f t="shared" si="73"/>
        <v>1069</v>
      </c>
      <c r="D210" s="9">
        <f t="shared" si="66"/>
        <v>1675</v>
      </c>
      <c r="E210" s="26">
        <f t="shared" si="74"/>
        <v>2744</v>
      </c>
      <c r="F210" s="8">
        <f t="shared" si="67"/>
        <v>497</v>
      </c>
      <c r="G210" s="8">
        <f t="shared" si="68"/>
        <v>589</v>
      </c>
      <c r="H210" s="8">
        <f t="shared" si="69"/>
        <v>378</v>
      </c>
      <c r="I210" s="6">
        <f t="shared" si="70"/>
        <v>2247</v>
      </c>
      <c r="J210" s="6">
        <f t="shared" si="71"/>
        <v>2155</v>
      </c>
      <c r="K210" s="6">
        <f t="shared" si="72"/>
        <v>2366</v>
      </c>
      <c r="L210" s="6">
        <f t="shared" ref="L210:L273" si="81">L209</f>
        <v>3000</v>
      </c>
      <c r="M210" s="6">
        <f t="shared" ref="M210:M273" si="82">M209</f>
        <v>3000</v>
      </c>
      <c r="N210" s="6">
        <f t="shared" ref="N210:N273" si="83">N209</f>
        <v>3000</v>
      </c>
      <c r="O210" s="6">
        <f t="shared" si="75"/>
        <v>-753</v>
      </c>
      <c r="P210" s="6">
        <f t="shared" si="76"/>
        <v>-845</v>
      </c>
      <c r="Q210" s="6">
        <f t="shared" si="77"/>
        <v>-634</v>
      </c>
      <c r="R210" s="8">
        <v>4</v>
      </c>
      <c r="S210" s="8">
        <v>5</v>
      </c>
      <c r="T210" s="8">
        <v>4</v>
      </c>
      <c r="U210" s="25">
        <f t="shared" si="78"/>
        <v>-533</v>
      </c>
      <c r="V210" s="25">
        <f t="shared" si="79"/>
        <v>-635</v>
      </c>
      <c r="W210" s="25">
        <f t="shared" si="80"/>
        <v>-494</v>
      </c>
      <c r="X210" s="15">
        <v>1.365</v>
      </c>
      <c r="Y210" s="7"/>
      <c r="Z210" s="21">
        <f t="shared" si="65"/>
        <v>2.1</v>
      </c>
      <c r="AA210" s="6"/>
      <c r="AB210" s="6"/>
    </row>
    <row r="211" spans="1:28" ht="13.8">
      <c r="A211" s="13">
        <v>200</v>
      </c>
      <c r="B211" s="185" t="s">
        <v>272</v>
      </c>
      <c r="C211" s="10">
        <f t="shared" si="73"/>
        <v>1069</v>
      </c>
      <c r="D211" s="9">
        <f t="shared" si="66"/>
        <v>1677</v>
      </c>
      <c r="E211" s="26">
        <f t="shared" si="74"/>
        <v>2746</v>
      </c>
      <c r="F211" s="8">
        <f t="shared" si="67"/>
        <v>503</v>
      </c>
      <c r="G211" s="8">
        <f t="shared" si="68"/>
        <v>596</v>
      </c>
      <c r="H211" s="8">
        <f t="shared" si="69"/>
        <v>384</v>
      </c>
      <c r="I211" s="6">
        <f t="shared" si="70"/>
        <v>2243</v>
      </c>
      <c r="J211" s="6">
        <f t="shared" si="71"/>
        <v>2150</v>
      </c>
      <c r="K211" s="6">
        <f t="shared" si="72"/>
        <v>2362</v>
      </c>
      <c r="L211" s="6">
        <f t="shared" si="81"/>
        <v>3000</v>
      </c>
      <c r="M211" s="6">
        <f t="shared" si="82"/>
        <v>3000</v>
      </c>
      <c r="N211" s="6">
        <f t="shared" si="83"/>
        <v>3000</v>
      </c>
      <c r="O211" s="6">
        <f t="shared" si="75"/>
        <v>-757</v>
      </c>
      <c r="P211" s="6">
        <f t="shared" si="76"/>
        <v>-850</v>
      </c>
      <c r="Q211" s="6">
        <f t="shared" si="77"/>
        <v>-638</v>
      </c>
      <c r="R211" s="8">
        <v>4</v>
      </c>
      <c r="S211" s="8">
        <v>5</v>
      </c>
      <c r="T211" s="8">
        <v>4</v>
      </c>
      <c r="U211" s="25">
        <f t="shared" si="78"/>
        <v>-537</v>
      </c>
      <c r="V211" s="25">
        <f t="shared" si="79"/>
        <v>-640</v>
      </c>
      <c r="W211" s="25">
        <f t="shared" si="80"/>
        <v>-498</v>
      </c>
      <c r="X211" s="15">
        <v>1.36</v>
      </c>
      <c r="Y211" s="7"/>
      <c r="Z211" s="21">
        <f t="shared" si="65"/>
        <v>2.1</v>
      </c>
      <c r="AA211" s="6"/>
      <c r="AB211" s="6"/>
    </row>
    <row r="212" spans="1:28" ht="13.8">
      <c r="A212" s="13">
        <v>201</v>
      </c>
      <c r="B212" s="185" t="s">
        <v>273</v>
      </c>
      <c r="C212" s="10">
        <f t="shared" si="73"/>
        <v>1069</v>
      </c>
      <c r="D212" s="9">
        <f t="shared" si="66"/>
        <v>1679</v>
      </c>
      <c r="E212" s="26">
        <f t="shared" si="74"/>
        <v>2748</v>
      </c>
      <c r="F212" s="8">
        <f t="shared" si="67"/>
        <v>509</v>
      </c>
      <c r="G212" s="8">
        <f t="shared" si="68"/>
        <v>603</v>
      </c>
      <c r="H212" s="8">
        <f t="shared" si="69"/>
        <v>390</v>
      </c>
      <c r="I212" s="6">
        <f t="shared" si="70"/>
        <v>2239</v>
      </c>
      <c r="J212" s="6">
        <f t="shared" si="71"/>
        <v>2145</v>
      </c>
      <c r="K212" s="6">
        <f t="shared" si="72"/>
        <v>2358</v>
      </c>
      <c r="L212" s="6">
        <f t="shared" si="81"/>
        <v>3000</v>
      </c>
      <c r="M212" s="6">
        <f t="shared" si="82"/>
        <v>3000</v>
      </c>
      <c r="N212" s="6">
        <f t="shared" si="83"/>
        <v>3000</v>
      </c>
      <c r="O212" s="6">
        <f t="shared" si="75"/>
        <v>-761</v>
      </c>
      <c r="P212" s="6">
        <f t="shared" si="76"/>
        <v>-855</v>
      </c>
      <c r="Q212" s="6">
        <f t="shared" si="77"/>
        <v>-642</v>
      </c>
      <c r="R212" s="8">
        <v>4</v>
      </c>
      <c r="S212" s="8">
        <v>5</v>
      </c>
      <c r="T212" s="8">
        <v>4</v>
      </c>
      <c r="U212" s="25">
        <f t="shared" si="78"/>
        <v>-541</v>
      </c>
      <c r="V212" s="25">
        <f t="shared" si="79"/>
        <v>-645</v>
      </c>
      <c r="W212" s="25">
        <f t="shared" si="80"/>
        <v>-502</v>
      </c>
      <c r="X212" s="15">
        <v>1.355</v>
      </c>
      <c r="Y212" s="7"/>
      <c r="Z212" s="21">
        <f t="shared" si="65"/>
        <v>2.1</v>
      </c>
      <c r="AA212" s="6"/>
      <c r="AB212" s="6"/>
    </row>
    <row r="213" spans="1:28" ht="13.8">
      <c r="A213" s="13">
        <v>202</v>
      </c>
      <c r="B213" s="185" t="s">
        <v>274</v>
      </c>
      <c r="C213" s="10">
        <f t="shared" si="73"/>
        <v>1069</v>
      </c>
      <c r="D213" s="9">
        <f t="shared" si="66"/>
        <v>1681</v>
      </c>
      <c r="E213" s="26">
        <f t="shared" si="74"/>
        <v>2750</v>
      </c>
      <c r="F213" s="8">
        <f t="shared" si="67"/>
        <v>515</v>
      </c>
      <c r="G213" s="8">
        <f t="shared" si="68"/>
        <v>610</v>
      </c>
      <c r="H213" s="8">
        <f t="shared" si="69"/>
        <v>396</v>
      </c>
      <c r="I213" s="6">
        <f t="shared" si="70"/>
        <v>2235</v>
      </c>
      <c r="J213" s="6">
        <f t="shared" si="71"/>
        <v>2140</v>
      </c>
      <c r="K213" s="6">
        <f t="shared" si="72"/>
        <v>2354</v>
      </c>
      <c r="L213" s="6">
        <f t="shared" si="81"/>
        <v>3000</v>
      </c>
      <c r="M213" s="6">
        <f t="shared" si="82"/>
        <v>3000</v>
      </c>
      <c r="N213" s="6">
        <f t="shared" si="83"/>
        <v>3000</v>
      </c>
      <c r="O213" s="6">
        <f t="shared" si="75"/>
        <v>-765</v>
      </c>
      <c r="P213" s="6">
        <f t="shared" si="76"/>
        <v>-860</v>
      </c>
      <c r="Q213" s="6">
        <f t="shared" si="77"/>
        <v>-646</v>
      </c>
      <c r="R213" s="8">
        <v>4</v>
      </c>
      <c r="S213" s="8">
        <v>5</v>
      </c>
      <c r="T213" s="8">
        <v>4</v>
      </c>
      <c r="U213" s="25">
        <f t="shared" si="78"/>
        <v>-545</v>
      </c>
      <c r="V213" s="25">
        <f t="shared" si="79"/>
        <v>-650</v>
      </c>
      <c r="W213" s="25">
        <f t="shared" si="80"/>
        <v>-506</v>
      </c>
      <c r="X213" s="15">
        <v>1.35</v>
      </c>
      <c r="Y213" s="7"/>
      <c r="Z213" s="21">
        <f t="shared" si="65"/>
        <v>2.1</v>
      </c>
      <c r="AA213" s="6"/>
      <c r="AB213" s="6"/>
    </row>
    <row r="214" spans="1:28" ht="13.8">
      <c r="A214" s="13">
        <v>203</v>
      </c>
      <c r="B214" s="185" t="s">
        <v>275</v>
      </c>
      <c r="C214" s="10">
        <f t="shared" si="73"/>
        <v>1069</v>
      </c>
      <c r="D214" s="9">
        <f t="shared" si="66"/>
        <v>1683</v>
      </c>
      <c r="E214" s="26">
        <f t="shared" si="74"/>
        <v>2752</v>
      </c>
      <c r="F214" s="8">
        <f t="shared" si="67"/>
        <v>521</v>
      </c>
      <c r="G214" s="8">
        <f t="shared" si="68"/>
        <v>617</v>
      </c>
      <c r="H214" s="8">
        <f t="shared" si="69"/>
        <v>402</v>
      </c>
      <c r="I214" s="6">
        <f t="shared" si="70"/>
        <v>2231</v>
      </c>
      <c r="J214" s="6">
        <f t="shared" si="71"/>
        <v>2135</v>
      </c>
      <c r="K214" s="6">
        <f t="shared" si="72"/>
        <v>2350</v>
      </c>
      <c r="L214" s="6">
        <f t="shared" si="81"/>
        <v>3000</v>
      </c>
      <c r="M214" s="6">
        <f t="shared" si="82"/>
        <v>3000</v>
      </c>
      <c r="N214" s="6">
        <f t="shared" si="83"/>
        <v>3000</v>
      </c>
      <c r="O214" s="6">
        <f t="shared" si="75"/>
        <v>-769</v>
      </c>
      <c r="P214" s="6">
        <f t="shared" si="76"/>
        <v>-865</v>
      </c>
      <c r="Q214" s="6">
        <f t="shared" si="77"/>
        <v>-650</v>
      </c>
      <c r="R214" s="8">
        <v>4</v>
      </c>
      <c r="S214" s="8">
        <v>5</v>
      </c>
      <c r="T214" s="8">
        <v>4</v>
      </c>
      <c r="U214" s="25">
        <f t="shared" si="78"/>
        <v>-549</v>
      </c>
      <c r="V214" s="25">
        <f t="shared" si="79"/>
        <v>-655</v>
      </c>
      <c r="W214" s="25">
        <f t="shared" si="80"/>
        <v>-510</v>
      </c>
      <c r="X214" s="15">
        <v>1.345</v>
      </c>
      <c r="Y214" s="7"/>
      <c r="Z214" s="21">
        <f t="shared" si="65"/>
        <v>2.1</v>
      </c>
      <c r="AA214" s="6"/>
      <c r="AB214" s="6"/>
    </row>
    <row r="215" spans="1:28" ht="13.8">
      <c r="A215" s="13">
        <v>204</v>
      </c>
      <c r="B215" s="185" t="s">
        <v>276</v>
      </c>
      <c r="C215" s="10">
        <f t="shared" si="73"/>
        <v>1069</v>
      </c>
      <c r="D215" s="9">
        <f t="shared" si="66"/>
        <v>1685</v>
      </c>
      <c r="E215" s="26">
        <f t="shared" si="74"/>
        <v>2754</v>
      </c>
      <c r="F215" s="8">
        <f t="shared" si="67"/>
        <v>527</v>
      </c>
      <c r="G215" s="8">
        <f t="shared" si="68"/>
        <v>624</v>
      </c>
      <c r="H215" s="8">
        <f t="shared" si="69"/>
        <v>408</v>
      </c>
      <c r="I215" s="6">
        <f t="shared" si="70"/>
        <v>2227</v>
      </c>
      <c r="J215" s="6">
        <f t="shared" si="71"/>
        <v>2130</v>
      </c>
      <c r="K215" s="6">
        <f t="shared" si="72"/>
        <v>2346</v>
      </c>
      <c r="L215" s="6">
        <f t="shared" si="81"/>
        <v>3000</v>
      </c>
      <c r="M215" s="6">
        <f t="shared" si="82"/>
        <v>3000</v>
      </c>
      <c r="N215" s="6">
        <f t="shared" si="83"/>
        <v>3000</v>
      </c>
      <c r="O215" s="6">
        <f t="shared" si="75"/>
        <v>-773</v>
      </c>
      <c r="P215" s="6">
        <f t="shared" si="76"/>
        <v>-870</v>
      </c>
      <c r="Q215" s="6">
        <f t="shared" si="77"/>
        <v>-654</v>
      </c>
      <c r="R215" s="8">
        <v>4</v>
      </c>
      <c r="S215" s="8">
        <v>5</v>
      </c>
      <c r="T215" s="8">
        <v>4</v>
      </c>
      <c r="U215" s="25">
        <f t="shared" si="78"/>
        <v>-553</v>
      </c>
      <c r="V215" s="25">
        <f t="shared" si="79"/>
        <v>-660</v>
      </c>
      <c r="W215" s="25">
        <f t="shared" si="80"/>
        <v>-514</v>
      </c>
      <c r="X215" s="15">
        <v>1.34</v>
      </c>
      <c r="Y215" s="7"/>
      <c r="Z215" s="21">
        <f t="shared" si="65"/>
        <v>2.1</v>
      </c>
      <c r="AA215" s="6"/>
      <c r="AB215" s="6"/>
    </row>
    <row r="216" spans="1:28" ht="13.8">
      <c r="A216" s="13">
        <v>205</v>
      </c>
      <c r="B216" s="185" t="s">
        <v>277</v>
      </c>
      <c r="C216" s="10">
        <f t="shared" si="73"/>
        <v>1069</v>
      </c>
      <c r="D216" s="9">
        <f t="shared" si="66"/>
        <v>1687</v>
      </c>
      <c r="E216" s="26">
        <f t="shared" si="74"/>
        <v>2756</v>
      </c>
      <c r="F216" s="8">
        <f t="shared" si="67"/>
        <v>533</v>
      </c>
      <c r="G216" s="8">
        <f t="shared" si="68"/>
        <v>631</v>
      </c>
      <c r="H216" s="8">
        <f t="shared" si="69"/>
        <v>414</v>
      </c>
      <c r="I216" s="6">
        <f t="shared" si="70"/>
        <v>2223</v>
      </c>
      <c r="J216" s="6">
        <f t="shared" si="71"/>
        <v>2125</v>
      </c>
      <c r="K216" s="6">
        <f t="shared" si="72"/>
        <v>2342</v>
      </c>
      <c r="L216" s="6">
        <f t="shared" si="81"/>
        <v>3000</v>
      </c>
      <c r="M216" s="6">
        <f t="shared" si="82"/>
        <v>3000</v>
      </c>
      <c r="N216" s="6">
        <f t="shared" si="83"/>
        <v>3000</v>
      </c>
      <c r="O216" s="6">
        <f t="shared" si="75"/>
        <v>-777</v>
      </c>
      <c r="P216" s="6">
        <f t="shared" si="76"/>
        <v>-875</v>
      </c>
      <c r="Q216" s="6">
        <f t="shared" si="77"/>
        <v>-658</v>
      </c>
      <c r="R216" s="8">
        <v>4</v>
      </c>
      <c r="S216" s="8">
        <v>5</v>
      </c>
      <c r="T216" s="8">
        <v>4</v>
      </c>
      <c r="U216" s="25">
        <f t="shared" si="78"/>
        <v>-557</v>
      </c>
      <c r="V216" s="25">
        <f t="shared" si="79"/>
        <v>-665</v>
      </c>
      <c r="W216" s="25">
        <f t="shared" si="80"/>
        <v>-518</v>
      </c>
      <c r="X216" s="15">
        <v>1.335</v>
      </c>
      <c r="Y216" s="7"/>
      <c r="Z216" s="21">
        <f t="shared" si="65"/>
        <v>2.1</v>
      </c>
      <c r="AA216" s="6"/>
      <c r="AB216" s="6"/>
    </row>
    <row r="217" spans="1:28" ht="13.8">
      <c r="A217" s="13">
        <v>206</v>
      </c>
      <c r="B217" s="185" t="s">
        <v>278</v>
      </c>
      <c r="C217" s="10">
        <f t="shared" si="73"/>
        <v>1069</v>
      </c>
      <c r="D217" s="9">
        <f t="shared" si="66"/>
        <v>1689</v>
      </c>
      <c r="E217" s="26">
        <f t="shared" si="74"/>
        <v>2758</v>
      </c>
      <c r="F217" s="8">
        <f t="shared" si="67"/>
        <v>539</v>
      </c>
      <c r="G217" s="8">
        <f t="shared" si="68"/>
        <v>638</v>
      </c>
      <c r="H217" s="8">
        <f t="shared" si="69"/>
        <v>420</v>
      </c>
      <c r="I217" s="6">
        <f t="shared" si="70"/>
        <v>2219</v>
      </c>
      <c r="J217" s="6">
        <f t="shared" si="71"/>
        <v>2120</v>
      </c>
      <c r="K217" s="6">
        <f t="shared" si="72"/>
        <v>2338</v>
      </c>
      <c r="L217" s="6">
        <f t="shared" si="81"/>
        <v>3000</v>
      </c>
      <c r="M217" s="6">
        <f t="shared" si="82"/>
        <v>3000</v>
      </c>
      <c r="N217" s="6">
        <f t="shared" si="83"/>
        <v>3000</v>
      </c>
      <c r="O217" s="6">
        <f t="shared" si="75"/>
        <v>-781</v>
      </c>
      <c r="P217" s="6">
        <f t="shared" si="76"/>
        <v>-880</v>
      </c>
      <c r="Q217" s="6">
        <f t="shared" si="77"/>
        <v>-662</v>
      </c>
      <c r="R217" s="8">
        <v>4</v>
      </c>
      <c r="S217" s="8">
        <v>5</v>
      </c>
      <c r="T217" s="8">
        <v>4</v>
      </c>
      <c r="U217" s="25">
        <f t="shared" si="78"/>
        <v>-561</v>
      </c>
      <c r="V217" s="25">
        <f t="shared" si="79"/>
        <v>-670</v>
      </c>
      <c r="W217" s="25">
        <f t="shared" si="80"/>
        <v>-522</v>
      </c>
      <c r="X217" s="15">
        <v>1.33</v>
      </c>
      <c r="Y217" s="7"/>
      <c r="Z217" s="21">
        <f t="shared" si="65"/>
        <v>2.1</v>
      </c>
      <c r="AA217" s="6"/>
      <c r="AB217" s="6"/>
    </row>
    <row r="218" spans="1:28" ht="13.8">
      <c r="A218" s="13">
        <v>207</v>
      </c>
      <c r="B218" s="185" t="s">
        <v>279</v>
      </c>
      <c r="C218" s="10">
        <f t="shared" si="73"/>
        <v>1069</v>
      </c>
      <c r="D218" s="9">
        <f t="shared" si="66"/>
        <v>1691</v>
      </c>
      <c r="E218" s="26">
        <f t="shared" si="74"/>
        <v>2760</v>
      </c>
      <c r="F218" s="8">
        <f t="shared" si="67"/>
        <v>545</v>
      </c>
      <c r="G218" s="8">
        <f t="shared" si="68"/>
        <v>645</v>
      </c>
      <c r="H218" s="8">
        <f t="shared" si="69"/>
        <v>426</v>
      </c>
      <c r="I218" s="6">
        <f t="shared" si="70"/>
        <v>2215</v>
      </c>
      <c r="J218" s="6">
        <f t="shared" si="71"/>
        <v>2115</v>
      </c>
      <c r="K218" s="6">
        <f t="shared" si="72"/>
        <v>2334</v>
      </c>
      <c r="L218" s="6">
        <f t="shared" si="81"/>
        <v>3000</v>
      </c>
      <c r="M218" s="6">
        <f t="shared" si="82"/>
        <v>3000</v>
      </c>
      <c r="N218" s="6">
        <f t="shared" si="83"/>
        <v>3000</v>
      </c>
      <c r="O218" s="6">
        <f t="shared" si="75"/>
        <v>-785</v>
      </c>
      <c r="P218" s="6">
        <f t="shared" si="76"/>
        <v>-885</v>
      </c>
      <c r="Q218" s="6">
        <f t="shared" si="77"/>
        <v>-666</v>
      </c>
      <c r="R218" s="8">
        <v>4</v>
      </c>
      <c r="S218" s="8">
        <v>5</v>
      </c>
      <c r="T218" s="8">
        <v>4</v>
      </c>
      <c r="U218" s="25">
        <f t="shared" si="78"/>
        <v>-565</v>
      </c>
      <c r="V218" s="25">
        <f t="shared" si="79"/>
        <v>-675</v>
      </c>
      <c r="W218" s="25">
        <f t="shared" si="80"/>
        <v>-526</v>
      </c>
      <c r="X218" s="15">
        <v>1.325</v>
      </c>
      <c r="Y218" s="7"/>
      <c r="Z218" s="21">
        <f t="shared" si="65"/>
        <v>2.1</v>
      </c>
      <c r="AA218" s="6"/>
      <c r="AB218" s="6"/>
    </row>
    <row r="219" spans="1:28" ht="13.8">
      <c r="A219" s="13">
        <v>208</v>
      </c>
      <c r="B219" s="185" t="s">
        <v>280</v>
      </c>
      <c r="C219" s="10">
        <f t="shared" si="73"/>
        <v>1069</v>
      </c>
      <c r="D219" s="9">
        <f t="shared" si="66"/>
        <v>1693</v>
      </c>
      <c r="E219" s="26">
        <f t="shared" si="74"/>
        <v>2762</v>
      </c>
      <c r="F219" s="8">
        <f t="shared" si="67"/>
        <v>551</v>
      </c>
      <c r="G219" s="8">
        <f t="shared" si="68"/>
        <v>652</v>
      </c>
      <c r="H219" s="8">
        <f t="shared" si="69"/>
        <v>432</v>
      </c>
      <c r="I219" s="6">
        <f t="shared" si="70"/>
        <v>2211</v>
      </c>
      <c r="J219" s="6">
        <f t="shared" si="71"/>
        <v>2110</v>
      </c>
      <c r="K219" s="6">
        <f t="shared" si="72"/>
        <v>2330</v>
      </c>
      <c r="L219" s="6">
        <f t="shared" si="81"/>
        <v>3000</v>
      </c>
      <c r="M219" s="6">
        <f t="shared" si="82"/>
        <v>3000</v>
      </c>
      <c r="N219" s="6">
        <f t="shared" si="83"/>
        <v>3000</v>
      </c>
      <c r="O219" s="6">
        <f t="shared" si="75"/>
        <v>-789</v>
      </c>
      <c r="P219" s="6">
        <f t="shared" si="76"/>
        <v>-890</v>
      </c>
      <c r="Q219" s="6">
        <f t="shared" si="77"/>
        <v>-670</v>
      </c>
      <c r="R219" s="8">
        <v>4</v>
      </c>
      <c r="S219" s="8">
        <v>5</v>
      </c>
      <c r="T219" s="8">
        <v>4</v>
      </c>
      <c r="U219" s="25">
        <f t="shared" si="78"/>
        <v>-569</v>
      </c>
      <c r="V219" s="25">
        <f t="shared" si="79"/>
        <v>-680</v>
      </c>
      <c r="W219" s="25">
        <f t="shared" si="80"/>
        <v>-530</v>
      </c>
      <c r="X219" s="15">
        <v>1.32</v>
      </c>
      <c r="Y219" s="7"/>
      <c r="Z219" s="21">
        <f t="shared" si="65"/>
        <v>2.1</v>
      </c>
      <c r="AA219" s="6"/>
      <c r="AB219" s="6"/>
    </row>
    <row r="220" spans="1:28" ht="13.8">
      <c r="A220" s="13">
        <v>209</v>
      </c>
      <c r="B220" s="185" t="s">
        <v>281</v>
      </c>
      <c r="C220" s="10">
        <f t="shared" si="73"/>
        <v>1069</v>
      </c>
      <c r="D220" s="9">
        <f t="shared" si="66"/>
        <v>1695</v>
      </c>
      <c r="E220" s="26">
        <f t="shared" si="74"/>
        <v>2764</v>
      </c>
      <c r="F220" s="8">
        <f t="shared" si="67"/>
        <v>557</v>
      </c>
      <c r="G220" s="8">
        <f t="shared" si="68"/>
        <v>659</v>
      </c>
      <c r="H220" s="8">
        <f t="shared" si="69"/>
        <v>438</v>
      </c>
      <c r="I220" s="6">
        <f t="shared" si="70"/>
        <v>2207</v>
      </c>
      <c r="J220" s="6">
        <f t="shared" si="71"/>
        <v>2105</v>
      </c>
      <c r="K220" s="6">
        <f t="shared" si="72"/>
        <v>2326</v>
      </c>
      <c r="L220" s="6">
        <f t="shared" si="81"/>
        <v>3000</v>
      </c>
      <c r="M220" s="6">
        <f t="shared" si="82"/>
        <v>3000</v>
      </c>
      <c r="N220" s="6">
        <f t="shared" si="83"/>
        <v>3000</v>
      </c>
      <c r="O220" s="6">
        <f t="shared" si="75"/>
        <v>-793</v>
      </c>
      <c r="P220" s="6">
        <f t="shared" si="76"/>
        <v>-895</v>
      </c>
      <c r="Q220" s="6">
        <f t="shared" si="77"/>
        <v>-674</v>
      </c>
      <c r="R220" s="8">
        <v>4</v>
      </c>
      <c r="S220" s="8">
        <v>5</v>
      </c>
      <c r="T220" s="8">
        <v>4</v>
      </c>
      <c r="U220" s="25">
        <f t="shared" si="78"/>
        <v>-573</v>
      </c>
      <c r="V220" s="25">
        <f t="shared" si="79"/>
        <v>-685</v>
      </c>
      <c r="W220" s="25">
        <f t="shared" si="80"/>
        <v>-534</v>
      </c>
      <c r="X220" s="15">
        <v>1.3149999999999999</v>
      </c>
      <c r="Y220" s="7"/>
      <c r="Z220" s="21">
        <f t="shared" si="65"/>
        <v>2.1</v>
      </c>
      <c r="AA220" s="6"/>
      <c r="AB220" s="6"/>
    </row>
    <row r="221" spans="1:28" ht="13.8">
      <c r="A221" s="13">
        <v>210</v>
      </c>
      <c r="B221" s="185" t="s">
        <v>282</v>
      </c>
      <c r="C221" s="10">
        <f t="shared" si="73"/>
        <v>1069</v>
      </c>
      <c r="D221" s="9">
        <f t="shared" si="66"/>
        <v>1697</v>
      </c>
      <c r="E221" s="26">
        <f t="shared" si="74"/>
        <v>2766</v>
      </c>
      <c r="F221" s="8">
        <f t="shared" si="67"/>
        <v>563</v>
      </c>
      <c r="G221" s="8">
        <f t="shared" si="68"/>
        <v>666</v>
      </c>
      <c r="H221" s="8">
        <f t="shared" si="69"/>
        <v>443</v>
      </c>
      <c r="I221" s="6">
        <f t="shared" si="70"/>
        <v>2203</v>
      </c>
      <c r="J221" s="6">
        <f t="shared" si="71"/>
        <v>2100</v>
      </c>
      <c r="K221" s="6">
        <f t="shared" si="72"/>
        <v>2323</v>
      </c>
      <c r="L221" s="6">
        <f t="shared" si="81"/>
        <v>3000</v>
      </c>
      <c r="M221" s="6">
        <f t="shared" si="82"/>
        <v>3000</v>
      </c>
      <c r="N221" s="6">
        <f t="shared" si="83"/>
        <v>3000</v>
      </c>
      <c r="O221" s="6">
        <f t="shared" si="75"/>
        <v>-797</v>
      </c>
      <c r="P221" s="6">
        <f t="shared" si="76"/>
        <v>-900</v>
      </c>
      <c r="Q221" s="6">
        <f t="shared" si="77"/>
        <v>-677</v>
      </c>
      <c r="R221" s="8">
        <v>4</v>
      </c>
      <c r="S221" s="8">
        <v>5</v>
      </c>
      <c r="T221" s="8">
        <v>3</v>
      </c>
      <c r="U221" s="25">
        <f t="shared" si="78"/>
        <v>-577</v>
      </c>
      <c r="V221" s="25">
        <f t="shared" si="79"/>
        <v>-690</v>
      </c>
      <c r="W221" s="25">
        <f t="shared" si="80"/>
        <v>-537</v>
      </c>
      <c r="X221" s="15">
        <v>1.31</v>
      </c>
      <c r="Y221" s="7"/>
      <c r="Z221" s="21">
        <f t="shared" si="65"/>
        <v>2.1</v>
      </c>
      <c r="AA221" s="6"/>
      <c r="AB221" s="6"/>
    </row>
    <row r="222" spans="1:28" ht="13.8">
      <c r="A222" s="13">
        <v>211</v>
      </c>
      <c r="B222" s="185" t="s">
        <v>283</v>
      </c>
      <c r="C222" s="10">
        <f t="shared" si="73"/>
        <v>1069</v>
      </c>
      <c r="D222" s="9">
        <f t="shared" si="66"/>
        <v>1699</v>
      </c>
      <c r="E222" s="26">
        <f t="shared" si="74"/>
        <v>2768</v>
      </c>
      <c r="F222" s="8">
        <f t="shared" si="67"/>
        <v>569</v>
      </c>
      <c r="G222" s="8">
        <f t="shared" si="68"/>
        <v>673</v>
      </c>
      <c r="H222" s="8">
        <f t="shared" si="69"/>
        <v>448</v>
      </c>
      <c r="I222" s="6">
        <f t="shared" si="70"/>
        <v>2199</v>
      </c>
      <c r="J222" s="6">
        <f t="shared" si="71"/>
        <v>2095</v>
      </c>
      <c r="K222" s="6">
        <f t="shared" si="72"/>
        <v>2320</v>
      </c>
      <c r="L222" s="6">
        <f t="shared" si="81"/>
        <v>3000</v>
      </c>
      <c r="M222" s="6">
        <f t="shared" si="82"/>
        <v>3000</v>
      </c>
      <c r="N222" s="6">
        <f t="shared" si="83"/>
        <v>3000</v>
      </c>
      <c r="O222" s="6">
        <f t="shared" si="75"/>
        <v>-801</v>
      </c>
      <c r="P222" s="6">
        <f t="shared" si="76"/>
        <v>-905</v>
      </c>
      <c r="Q222" s="6">
        <f t="shared" si="77"/>
        <v>-680</v>
      </c>
      <c r="R222" s="8">
        <v>4</v>
      </c>
      <c r="S222" s="8">
        <v>5</v>
      </c>
      <c r="T222" s="8">
        <v>3</v>
      </c>
      <c r="U222" s="25">
        <f t="shared" si="78"/>
        <v>-581</v>
      </c>
      <c r="V222" s="25">
        <f t="shared" si="79"/>
        <v>-695</v>
      </c>
      <c r="W222" s="25">
        <f t="shared" si="80"/>
        <v>-540</v>
      </c>
      <c r="X222" s="15">
        <v>1.3049999999999999</v>
      </c>
      <c r="Y222" s="7"/>
      <c r="Z222" s="21">
        <f t="shared" si="65"/>
        <v>2.1</v>
      </c>
      <c r="AA222" s="6"/>
      <c r="AB222" s="6"/>
    </row>
    <row r="223" spans="1:28" ht="13.8">
      <c r="A223" s="13">
        <v>212</v>
      </c>
      <c r="B223" s="185" t="s">
        <v>284</v>
      </c>
      <c r="C223" s="10">
        <f t="shared" si="73"/>
        <v>1069</v>
      </c>
      <c r="D223" s="9">
        <f t="shared" si="66"/>
        <v>1701</v>
      </c>
      <c r="E223" s="26">
        <f t="shared" si="74"/>
        <v>2770</v>
      </c>
      <c r="F223" s="8">
        <f t="shared" si="67"/>
        <v>575</v>
      </c>
      <c r="G223" s="8">
        <f t="shared" si="68"/>
        <v>680</v>
      </c>
      <c r="H223" s="8">
        <f t="shared" si="69"/>
        <v>453</v>
      </c>
      <c r="I223" s="6">
        <f t="shared" si="70"/>
        <v>2195</v>
      </c>
      <c r="J223" s="6">
        <f t="shared" si="71"/>
        <v>2090</v>
      </c>
      <c r="K223" s="6">
        <f t="shared" si="72"/>
        <v>2317</v>
      </c>
      <c r="L223" s="6">
        <f t="shared" si="81"/>
        <v>3000</v>
      </c>
      <c r="M223" s="6">
        <f t="shared" si="82"/>
        <v>3000</v>
      </c>
      <c r="N223" s="6">
        <f t="shared" si="83"/>
        <v>3000</v>
      </c>
      <c r="O223" s="6">
        <f t="shared" si="75"/>
        <v>-805</v>
      </c>
      <c r="P223" s="6">
        <f t="shared" si="76"/>
        <v>-910</v>
      </c>
      <c r="Q223" s="6">
        <f t="shared" si="77"/>
        <v>-683</v>
      </c>
      <c r="R223" s="8">
        <v>4</v>
      </c>
      <c r="S223" s="8">
        <v>5</v>
      </c>
      <c r="T223" s="8">
        <v>3</v>
      </c>
      <c r="U223" s="25">
        <f t="shared" si="78"/>
        <v>-585</v>
      </c>
      <c r="V223" s="25">
        <f t="shared" si="79"/>
        <v>-700</v>
      </c>
      <c r="W223" s="25">
        <f t="shared" si="80"/>
        <v>-543</v>
      </c>
      <c r="X223" s="15">
        <v>1.3</v>
      </c>
      <c r="Y223" s="7"/>
      <c r="Z223" s="21">
        <f t="shared" si="65"/>
        <v>2.1</v>
      </c>
      <c r="AA223" s="6"/>
      <c r="AB223" s="6"/>
    </row>
    <row r="224" spans="1:28" ht="13.8">
      <c r="A224" s="13">
        <v>213</v>
      </c>
      <c r="B224" s="185" t="s">
        <v>285</v>
      </c>
      <c r="C224" s="10">
        <f t="shared" si="73"/>
        <v>1069</v>
      </c>
      <c r="D224" s="9">
        <f t="shared" si="66"/>
        <v>1703</v>
      </c>
      <c r="E224" s="26">
        <f t="shared" si="74"/>
        <v>2772</v>
      </c>
      <c r="F224" s="8">
        <f t="shared" si="67"/>
        <v>581</v>
      </c>
      <c r="G224" s="8">
        <f t="shared" si="68"/>
        <v>687</v>
      </c>
      <c r="H224" s="8">
        <f t="shared" si="69"/>
        <v>458</v>
      </c>
      <c r="I224" s="6">
        <f t="shared" si="70"/>
        <v>2191</v>
      </c>
      <c r="J224" s="6">
        <f t="shared" si="71"/>
        <v>2085</v>
      </c>
      <c r="K224" s="6">
        <f t="shared" si="72"/>
        <v>2314</v>
      </c>
      <c r="L224" s="6">
        <f t="shared" si="81"/>
        <v>3000</v>
      </c>
      <c r="M224" s="6">
        <f t="shared" si="82"/>
        <v>3000</v>
      </c>
      <c r="N224" s="6">
        <f t="shared" si="83"/>
        <v>3000</v>
      </c>
      <c r="O224" s="6">
        <f t="shared" si="75"/>
        <v>-809</v>
      </c>
      <c r="P224" s="6">
        <f t="shared" si="76"/>
        <v>-915</v>
      </c>
      <c r="Q224" s="6">
        <f t="shared" si="77"/>
        <v>-686</v>
      </c>
      <c r="R224" s="8">
        <v>4</v>
      </c>
      <c r="S224" s="8">
        <v>5</v>
      </c>
      <c r="T224" s="8">
        <v>3</v>
      </c>
      <c r="U224" s="25">
        <f t="shared" si="78"/>
        <v>-589</v>
      </c>
      <c r="V224" s="25">
        <f t="shared" si="79"/>
        <v>-705</v>
      </c>
      <c r="W224" s="25">
        <f t="shared" si="80"/>
        <v>-546</v>
      </c>
      <c r="X224" s="15">
        <v>1.2949999999999999</v>
      </c>
      <c r="Y224" s="7"/>
      <c r="Z224" s="21">
        <f t="shared" si="65"/>
        <v>2.1</v>
      </c>
      <c r="AA224" s="6"/>
      <c r="AB224" s="6"/>
    </row>
    <row r="225" spans="1:28" ht="13.8">
      <c r="A225" s="13">
        <v>214</v>
      </c>
      <c r="B225" s="185" t="s">
        <v>286</v>
      </c>
      <c r="C225" s="10">
        <f t="shared" si="73"/>
        <v>1069</v>
      </c>
      <c r="D225" s="9">
        <f t="shared" si="66"/>
        <v>1705</v>
      </c>
      <c r="E225" s="26">
        <f t="shared" si="74"/>
        <v>2774</v>
      </c>
      <c r="F225" s="8">
        <f t="shared" si="67"/>
        <v>587</v>
      </c>
      <c r="G225" s="8">
        <f t="shared" si="68"/>
        <v>694</v>
      </c>
      <c r="H225" s="8">
        <f t="shared" si="69"/>
        <v>463</v>
      </c>
      <c r="I225" s="6">
        <f t="shared" si="70"/>
        <v>2187</v>
      </c>
      <c r="J225" s="6">
        <f t="shared" si="71"/>
        <v>2080</v>
      </c>
      <c r="K225" s="6">
        <f t="shared" si="72"/>
        <v>2311</v>
      </c>
      <c r="L225" s="6">
        <f t="shared" si="81"/>
        <v>3000</v>
      </c>
      <c r="M225" s="6">
        <f t="shared" si="82"/>
        <v>3000</v>
      </c>
      <c r="N225" s="6">
        <f t="shared" si="83"/>
        <v>3000</v>
      </c>
      <c r="O225" s="6">
        <f t="shared" si="75"/>
        <v>-813</v>
      </c>
      <c r="P225" s="6">
        <f t="shared" si="76"/>
        <v>-920</v>
      </c>
      <c r="Q225" s="6">
        <f t="shared" si="77"/>
        <v>-689</v>
      </c>
      <c r="R225" s="8">
        <v>4</v>
      </c>
      <c r="S225" s="8">
        <v>5</v>
      </c>
      <c r="T225" s="8">
        <v>3</v>
      </c>
      <c r="U225" s="25">
        <f t="shared" si="78"/>
        <v>-593</v>
      </c>
      <c r="V225" s="25">
        <f t="shared" si="79"/>
        <v>-710</v>
      </c>
      <c r="W225" s="25">
        <f t="shared" si="80"/>
        <v>-549</v>
      </c>
      <c r="X225" s="15">
        <v>1.29</v>
      </c>
      <c r="Y225" s="7"/>
      <c r="Z225" s="21">
        <f t="shared" si="65"/>
        <v>2.1</v>
      </c>
      <c r="AA225" s="6"/>
      <c r="AB225" s="6"/>
    </row>
    <row r="226" spans="1:28" ht="13.8">
      <c r="A226" s="13">
        <v>215</v>
      </c>
      <c r="B226" s="185" t="s">
        <v>287</v>
      </c>
      <c r="C226" s="10">
        <f t="shared" si="73"/>
        <v>1069</v>
      </c>
      <c r="D226" s="9">
        <f t="shared" si="66"/>
        <v>1707</v>
      </c>
      <c r="E226" s="26">
        <f t="shared" si="74"/>
        <v>2776</v>
      </c>
      <c r="F226" s="8">
        <f t="shared" si="67"/>
        <v>593</v>
      </c>
      <c r="G226" s="8">
        <f t="shared" si="68"/>
        <v>701</v>
      </c>
      <c r="H226" s="8">
        <f t="shared" si="69"/>
        <v>468</v>
      </c>
      <c r="I226" s="6">
        <f t="shared" si="70"/>
        <v>2183</v>
      </c>
      <c r="J226" s="6">
        <f t="shared" si="71"/>
        <v>2075</v>
      </c>
      <c r="K226" s="6">
        <f t="shared" si="72"/>
        <v>2308</v>
      </c>
      <c r="L226" s="6">
        <f t="shared" si="81"/>
        <v>3000</v>
      </c>
      <c r="M226" s="6">
        <f t="shared" si="82"/>
        <v>3000</v>
      </c>
      <c r="N226" s="6">
        <f t="shared" si="83"/>
        <v>3000</v>
      </c>
      <c r="O226" s="6">
        <f t="shared" si="75"/>
        <v>-817</v>
      </c>
      <c r="P226" s="6">
        <f t="shared" si="76"/>
        <v>-925</v>
      </c>
      <c r="Q226" s="6">
        <f t="shared" si="77"/>
        <v>-692</v>
      </c>
      <c r="R226" s="8">
        <v>4</v>
      </c>
      <c r="S226" s="8">
        <v>5</v>
      </c>
      <c r="T226" s="8">
        <v>3</v>
      </c>
      <c r="U226" s="25">
        <f t="shared" si="78"/>
        <v>-597</v>
      </c>
      <c r="V226" s="25">
        <f t="shared" si="79"/>
        <v>-715</v>
      </c>
      <c r="W226" s="25">
        <f t="shared" si="80"/>
        <v>-552</v>
      </c>
      <c r="X226" s="15">
        <v>1.2849999999999999</v>
      </c>
      <c r="Y226" s="7"/>
      <c r="Z226" s="21">
        <f t="shared" si="65"/>
        <v>2.1</v>
      </c>
      <c r="AA226" s="6"/>
      <c r="AB226" s="6"/>
    </row>
    <row r="227" spans="1:28" ht="13.8">
      <c r="A227" s="13">
        <v>216</v>
      </c>
      <c r="B227" s="185" t="s">
        <v>288</v>
      </c>
      <c r="C227" s="10">
        <f t="shared" si="73"/>
        <v>1069</v>
      </c>
      <c r="D227" s="9">
        <f t="shared" si="66"/>
        <v>1709</v>
      </c>
      <c r="E227" s="26">
        <f t="shared" si="74"/>
        <v>2778</v>
      </c>
      <c r="F227" s="8">
        <f t="shared" si="67"/>
        <v>599</v>
      </c>
      <c r="G227" s="8">
        <f t="shared" si="68"/>
        <v>708</v>
      </c>
      <c r="H227" s="8">
        <f t="shared" si="69"/>
        <v>473</v>
      </c>
      <c r="I227" s="6">
        <f t="shared" si="70"/>
        <v>2179</v>
      </c>
      <c r="J227" s="6">
        <f t="shared" si="71"/>
        <v>2070</v>
      </c>
      <c r="K227" s="6">
        <f t="shared" si="72"/>
        <v>2305</v>
      </c>
      <c r="L227" s="6">
        <f t="shared" si="81"/>
        <v>3000</v>
      </c>
      <c r="M227" s="6">
        <f t="shared" si="82"/>
        <v>3000</v>
      </c>
      <c r="N227" s="6">
        <f t="shared" si="83"/>
        <v>3000</v>
      </c>
      <c r="O227" s="6">
        <f t="shared" si="75"/>
        <v>-821</v>
      </c>
      <c r="P227" s="6">
        <f t="shared" si="76"/>
        <v>-930</v>
      </c>
      <c r="Q227" s="6">
        <f t="shared" si="77"/>
        <v>-695</v>
      </c>
      <c r="R227" s="8">
        <v>4</v>
      </c>
      <c r="S227" s="8">
        <v>5</v>
      </c>
      <c r="T227" s="8">
        <v>3</v>
      </c>
      <c r="U227" s="25">
        <f t="shared" si="78"/>
        <v>-601</v>
      </c>
      <c r="V227" s="25">
        <f t="shared" si="79"/>
        <v>-720</v>
      </c>
      <c r="W227" s="25">
        <f t="shared" si="80"/>
        <v>-555</v>
      </c>
      <c r="X227" s="15">
        <v>1.28</v>
      </c>
      <c r="Y227" s="7"/>
      <c r="Z227" s="21">
        <f t="shared" ref="Z227:Z290" si="84">Z226+Y227</f>
        <v>2.1</v>
      </c>
      <c r="AA227" s="6"/>
      <c r="AB227" s="6"/>
    </row>
    <row r="228" spans="1:28" ht="13.8">
      <c r="A228" s="13">
        <v>217</v>
      </c>
      <c r="B228" s="185" t="s">
        <v>289</v>
      </c>
      <c r="C228" s="10">
        <f t="shared" si="73"/>
        <v>1069</v>
      </c>
      <c r="D228" s="9">
        <f t="shared" si="66"/>
        <v>1711</v>
      </c>
      <c r="E228" s="26">
        <f t="shared" si="74"/>
        <v>2780</v>
      </c>
      <c r="F228" s="8">
        <f t="shared" si="67"/>
        <v>605</v>
      </c>
      <c r="G228" s="8">
        <f t="shared" si="68"/>
        <v>715</v>
      </c>
      <c r="H228" s="8">
        <f t="shared" si="69"/>
        <v>478</v>
      </c>
      <c r="I228" s="6">
        <f t="shared" si="70"/>
        <v>2175</v>
      </c>
      <c r="J228" s="6">
        <f t="shared" si="71"/>
        <v>2065</v>
      </c>
      <c r="K228" s="6">
        <f t="shared" si="72"/>
        <v>2302</v>
      </c>
      <c r="L228" s="6">
        <f t="shared" si="81"/>
        <v>3000</v>
      </c>
      <c r="M228" s="6">
        <f t="shared" si="82"/>
        <v>3000</v>
      </c>
      <c r="N228" s="6">
        <f t="shared" si="83"/>
        <v>3000</v>
      </c>
      <c r="O228" s="6">
        <f t="shared" si="75"/>
        <v>-825</v>
      </c>
      <c r="P228" s="6">
        <f t="shared" si="76"/>
        <v>-935</v>
      </c>
      <c r="Q228" s="6">
        <f t="shared" si="77"/>
        <v>-698</v>
      </c>
      <c r="R228" s="8">
        <v>4</v>
      </c>
      <c r="S228" s="8">
        <v>5</v>
      </c>
      <c r="T228" s="8">
        <v>3</v>
      </c>
      <c r="U228" s="25">
        <f t="shared" si="78"/>
        <v>-605</v>
      </c>
      <c r="V228" s="25">
        <f t="shared" si="79"/>
        <v>-725</v>
      </c>
      <c r="W228" s="25">
        <f t="shared" si="80"/>
        <v>-558</v>
      </c>
      <c r="X228" s="15">
        <v>1.2749999999999999</v>
      </c>
      <c r="Y228" s="7"/>
      <c r="Z228" s="21">
        <f t="shared" si="84"/>
        <v>2.1</v>
      </c>
      <c r="AA228" s="6"/>
      <c r="AB228" s="6"/>
    </row>
    <row r="229" spans="1:28" ht="13.8">
      <c r="A229" s="13">
        <v>218</v>
      </c>
      <c r="B229" s="185" t="s">
        <v>290</v>
      </c>
      <c r="C229" s="10">
        <f t="shared" si="73"/>
        <v>1069</v>
      </c>
      <c r="D229" s="9">
        <f t="shared" si="66"/>
        <v>1713</v>
      </c>
      <c r="E229" s="26">
        <f t="shared" si="74"/>
        <v>2782</v>
      </c>
      <c r="F229" s="8">
        <f t="shared" si="67"/>
        <v>612</v>
      </c>
      <c r="G229" s="8">
        <f t="shared" si="68"/>
        <v>722</v>
      </c>
      <c r="H229" s="8">
        <f t="shared" si="69"/>
        <v>483</v>
      </c>
      <c r="I229" s="6">
        <f t="shared" si="70"/>
        <v>2170</v>
      </c>
      <c r="J229" s="6">
        <f t="shared" si="71"/>
        <v>2060</v>
      </c>
      <c r="K229" s="6">
        <f t="shared" si="72"/>
        <v>2299</v>
      </c>
      <c r="L229" s="6">
        <f t="shared" si="81"/>
        <v>3000</v>
      </c>
      <c r="M229" s="6">
        <f t="shared" si="82"/>
        <v>3000</v>
      </c>
      <c r="N229" s="6">
        <f t="shared" si="83"/>
        <v>3000</v>
      </c>
      <c r="O229" s="6">
        <f t="shared" si="75"/>
        <v>-830</v>
      </c>
      <c r="P229" s="6">
        <f t="shared" si="76"/>
        <v>-940</v>
      </c>
      <c r="Q229" s="6">
        <f t="shared" si="77"/>
        <v>-701</v>
      </c>
      <c r="R229" s="8">
        <v>5</v>
      </c>
      <c r="S229" s="8">
        <v>5</v>
      </c>
      <c r="T229" s="8">
        <v>3</v>
      </c>
      <c r="U229" s="25">
        <f t="shared" si="78"/>
        <v>-610</v>
      </c>
      <c r="V229" s="25">
        <f t="shared" si="79"/>
        <v>-730</v>
      </c>
      <c r="W229" s="25">
        <f t="shared" si="80"/>
        <v>-561</v>
      </c>
      <c r="X229" s="15">
        <v>1.27</v>
      </c>
      <c r="Y229" s="7"/>
      <c r="Z229" s="21">
        <f t="shared" si="84"/>
        <v>2.1</v>
      </c>
      <c r="AA229" s="6"/>
      <c r="AB229" s="6"/>
    </row>
    <row r="230" spans="1:28" ht="13.8">
      <c r="A230" s="13">
        <v>219</v>
      </c>
      <c r="B230" s="185" t="s">
        <v>291</v>
      </c>
      <c r="C230" s="10">
        <f t="shared" si="73"/>
        <v>1069</v>
      </c>
      <c r="D230" s="9">
        <f t="shared" si="66"/>
        <v>1715</v>
      </c>
      <c r="E230" s="26">
        <f t="shared" si="74"/>
        <v>2784</v>
      </c>
      <c r="F230" s="8">
        <f t="shared" si="67"/>
        <v>619</v>
      </c>
      <c r="G230" s="8">
        <f t="shared" si="68"/>
        <v>729</v>
      </c>
      <c r="H230" s="8">
        <f t="shared" si="69"/>
        <v>488</v>
      </c>
      <c r="I230" s="6">
        <f t="shared" si="70"/>
        <v>2165</v>
      </c>
      <c r="J230" s="6">
        <f t="shared" si="71"/>
        <v>2055</v>
      </c>
      <c r="K230" s="6">
        <f t="shared" si="72"/>
        <v>2296</v>
      </c>
      <c r="L230" s="6">
        <f t="shared" si="81"/>
        <v>3000</v>
      </c>
      <c r="M230" s="6">
        <f t="shared" si="82"/>
        <v>3000</v>
      </c>
      <c r="N230" s="6">
        <f t="shared" si="83"/>
        <v>3000</v>
      </c>
      <c r="O230" s="6">
        <f t="shared" si="75"/>
        <v>-835</v>
      </c>
      <c r="P230" s="6">
        <f t="shared" si="76"/>
        <v>-945</v>
      </c>
      <c r="Q230" s="6">
        <f t="shared" si="77"/>
        <v>-704</v>
      </c>
      <c r="R230" s="8">
        <v>5</v>
      </c>
      <c r="S230" s="8">
        <v>5</v>
      </c>
      <c r="T230" s="8">
        <v>3</v>
      </c>
      <c r="U230" s="25">
        <f t="shared" si="78"/>
        <v>-615</v>
      </c>
      <c r="V230" s="25">
        <f t="shared" si="79"/>
        <v>-735</v>
      </c>
      <c r="W230" s="25">
        <f t="shared" si="80"/>
        <v>-564</v>
      </c>
      <c r="X230" s="15">
        <v>1.2649999999999999</v>
      </c>
      <c r="Y230" s="7"/>
      <c r="Z230" s="21">
        <f t="shared" si="84"/>
        <v>2.1</v>
      </c>
      <c r="AA230" s="6"/>
      <c r="AB230" s="6"/>
    </row>
    <row r="231" spans="1:28" ht="13.8">
      <c r="A231" s="13">
        <v>220</v>
      </c>
      <c r="B231" s="185" t="s">
        <v>292</v>
      </c>
      <c r="C231" s="10">
        <f t="shared" si="73"/>
        <v>1069</v>
      </c>
      <c r="D231" s="9">
        <f t="shared" si="66"/>
        <v>1717</v>
      </c>
      <c r="E231" s="26">
        <f t="shared" si="74"/>
        <v>2786</v>
      </c>
      <c r="F231" s="8">
        <f t="shared" si="67"/>
        <v>626</v>
      </c>
      <c r="G231" s="8">
        <f t="shared" si="68"/>
        <v>736</v>
      </c>
      <c r="H231" s="8">
        <f t="shared" si="69"/>
        <v>493</v>
      </c>
      <c r="I231" s="6">
        <f t="shared" si="70"/>
        <v>2160</v>
      </c>
      <c r="J231" s="6">
        <f t="shared" si="71"/>
        <v>2050</v>
      </c>
      <c r="K231" s="6">
        <f t="shared" si="72"/>
        <v>2293</v>
      </c>
      <c r="L231" s="6">
        <f t="shared" si="81"/>
        <v>3000</v>
      </c>
      <c r="M231" s="6">
        <f t="shared" si="82"/>
        <v>3000</v>
      </c>
      <c r="N231" s="6">
        <f t="shared" si="83"/>
        <v>3000</v>
      </c>
      <c r="O231" s="6">
        <f t="shared" si="75"/>
        <v>-840</v>
      </c>
      <c r="P231" s="6">
        <f t="shared" si="76"/>
        <v>-950</v>
      </c>
      <c r="Q231" s="6">
        <f t="shared" si="77"/>
        <v>-707</v>
      </c>
      <c r="R231" s="8">
        <v>5</v>
      </c>
      <c r="S231" s="8">
        <v>5</v>
      </c>
      <c r="T231" s="8">
        <v>3</v>
      </c>
      <c r="U231" s="25">
        <f t="shared" si="78"/>
        <v>-620</v>
      </c>
      <c r="V231" s="25">
        <f t="shared" si="79"/>
        <v>-740</v>
      </c>
      <c r="W231" s="25">
        <f t="shared" si="80"/>
        <v>-567</v>
      </c>
      <c r="X231" s="15">
        <v>1.26</v>
      </c>
      <c r="Y231" s="7"/>
      <c r="Z231" s="21">
        <f t="shared" si="84"/>
        <v>2.1</v>
      </c>
      <c r="AA231" s="6"/>
      <c r="AB231" s="6"/>
    </row>
    <row r="232" spans="1:28" ht="13.8">
      <c r="A232" s="13">
        <v>221</v>
      </c>
      <c r="B232" s="185" t="s">
        <v>293</v>
      </c>
      <c r="C232" s="10">
        <f t="shared" si="73"/>
        <v>1069</v>
      </c>
      <c r="D232" s="9">
        <f t="shared" si="66"/>
        <v>1719</v>
      </c>
      <c r="E232" s="26">
        <f t="shared" si="74"/>
        <v>2788</v>
      </c>
      <c r="F232" s="8">
        <f t="shared" si="67"/>
        <v>633</v>
      </c>
      <c r="G232" s="8">
        <f t="shared" si="68"/>
        <v>743</v>
      </c>
      <c r="H232" s="8">
        <f t="shared" si="69"/>
        <v>498</v>
      </c>
      <c r="I232" s="6">
        <f t="shared" si="70"/>
        <v>2155</v>
      </c>
      <c r="J232" s="6">
        <f t="shared" si="71"/>
        <v>2045</v>
      </c>
      <c r="K232" s="6">
        <f t="shared" si="72"/>
        <v>2290</v>
      </c>
      <c r="L232" s="6">
        <f t="shared" si="81"/>
        <v>3000</v>
      </c>
      <c r="M232" s="6">
        <f t="shared" si="82"/>
        <v>3000</v>
      </c>
      <c r="N232" s="6">
        <f t="shared" si="83"/>
        <v>3000</v>
      </c>
      <c r="O232" s="6">
        <f t="shared" si="75"/>
        <v>-845</v>
      </c>
      <c r="P232" s="6">
        <f t="shared" si="76"/>
        <v>-955</v>
      </c>
      <c r="Q232" s="6">
        <f t="shared" si="77"/>
        <v>-710</v>
      </c>
      <c r="R232" s="8">
        <v>5</v>
      </c>
      <c r="S232" s="8">
        <v>5</v>
      </c>
      <c r="T232" s="8">
        <v>3</v>
      </c>
      <c r="U232" s="25">
        <f t="shared" si="78"/>
        <v>-625</v>
      </c>
      <c r="V232" s="25">
        <f t="shared" si="79"/>
        <v>-745</v>
      </c>
      <c r="W232" s="25">
        <f t="shared" si="80"/>
        <v>-570</v>
      </c>
      <c r="X232" s="15">
        <v>1.2549999999999999</v>
      </c>
      <c r="Y232" s="7"/>
      <c r="Z232" s="21">
        <f t="shared" si="84"/>
        <v>2.1</v>
      </c>
      <c r="AA232" s="6"/>
      <c r="AB232" s="6"/>
    </row>
    <row r="233" spans="1:28" ht="13.8">
      <c r="A233" s="13">
        <v>222</v>
      </c>
      <c r="B233" s="185" t="s">
        <v>294</v>
      </c>
      <c r="C233" s="10">
        <f t="shared" si="73"/>
        <v>1069</v>
      </c>
      <c r="D233" s="9">
        <f t="shared" si="66"/>
        <v>1721</v>
      </c>
      <c r="E233" s="26">
        <f t="shared" si="74"/>
        <v>2790</v>
      </c>
      <c r="F233" s="8">
        <f t="shared" si="67"/>
        <v>640</v>
      </c>
      <c r="G233" s="8">
        <f t="shared" si="68"/>
        <v>750</v>
      </c>
      <c r="H233" s="8">
        <f t="shared" si="69"/>
        <v>503</v>
      </c>
      <c r="I233" s="6">
        <f t="shared" si="70"/>
        <v>2150</v>
      </c>
      <c r="J233" s="6">
        <f t="shared" si="71"/>
        <v>2040</v>
      </c>
      <c r="K233" s="6">
        <f t="shared" si="72"/>
        <v>2287</v>
      </c>
      <c r="L233" s="6">
        <f t="shared" si="81"/>
        <v>3000</v>
      </c>
      <c r="M233" s="6">
        <f t="shared" si="82"/>
        <v>3000</v>
      </c>
      <c r="N233" s="6">
        <f t="shared" si="83"/>
        <v>3000</v>
      </c>
      <c r="O233" s="6">
        <f t="shared" si="75"/>
        <v>-850</v>
      </c>
      <c r="P233" s="6">
        <f t="shared" si="76"/>
        <v>-960</v>
      </c>
      <c r="Q233" s="6">
        <f t="shared" si="77"/>
        <v>-713</v>
      </c>
      <c r="R233" s="8">
        <v>5</v>
      </c>
      <c r="S233" s="8">
        <v>5</v>
      </c>
      <c r="T233" s="8">
        <v>3</v>
      </c>
      <c r="U233" s="25">
        <f t="shared" si="78"/>
        <v>-630</v>
      </c>
      <c r="V233" s="25">
        <f t="shared" si="79"/>
        <v>-750</v>
      </c>
      <c r="W233" s="25">
        <f t="shared" si="80"/>
        <v>-573</v>
      </c>
      <c r="X233" s="15">
        <v>1.25</v>
      </c>
      <c r="Y233" s="7"/>
      <c r="Z233" s="21">
        <f t="shared" si="84"/>
        <v>2.1</v>
      </c>
      <c r="AA233" s="6"/>
      <c r="AB233" s="6"/>
    </row>
    <row r="234" spans="1:28" ht="13.8">
      <c r="A234" s="13">
        <v>223</v>
      </c>
      <c r="B234" s="185" t="s">
        <v>295</v>
      </c>
      <c r="C234" s="10">
        <f t="shared" si="73"/>
        <v>1069</v>
      </c>
      <c r="D234" s="9">
        <f t="shared" si="66"/>
        <v>1723</v>
      </c>
      <c r="E234" s="26">
        <f t="shared" si="74"/>
        <v>2792</v>
      </c>
      <c r="F234" s="8">
        <f t="shared" si="67"/>
        <v>647</v>
      </c>
      <c r="G234" s="8">
        <f t="shared" si="68"/>
        <v>757</v>
      </c>
      <c r="H234" s="8">
        <f t="shared" si="69"/>
        <v>508</v>
      </c>
      <c r="I234" s="6">
        <f t="shared" si="70"/>
        <v>2145</v>
      </c>
      <c r="J234" s="6">
        <f t="shared" si="71"/>
        <v>2035</v>
      </c>
      <c r="K234" s="6">
        <f t="shared" si="72"/>
        <v>2284</v>
      </c>
      <c r="L234" s="6">
        <f t="shared" si="81"/>
        <v>3000</v>
      </c>
      <c r="M234" s="6">
        <f t="shared" si="82"/>
        <v>3000</v>
      </c>
      <c r="N234" s="6">
        <f t="shared" si="83"/>
        <v>3000</v>
      </c>
      <c r="O234" s="6">
        <f t="shared" si="75"/>
        <v>-855</v>
      </c>
      <c r="P234" s="6">
        <f t="shared" si="76"/>
        <v>-965</v>
      </c>
      <c r="Q234" s="6">
        <f t="shared" si="77"/>
        <v>-716</v>
      </c>
      <c r="R234" s="8">
        <v>5</v>
      </c>
      <c r="S234" s="8">
        <v>5</v>
      </c>
      <c r="T234" s="8">
        <v>3</v>
      </c>
      <c r="U234" s="25">
        <f t="shared" si="78"/>
        <v>-635</v>
      </c>
      <c r="V234" s="25">
        <f t="shared" si="79"/>
        <v>-755</v>
      </c>
      <c r="W234" s="25">
        <f t="shared" si="80"/>
        <v>-576</v>
      </c>
      <c r="X234" s="15">
        <v>1.2450000000000001</v>
      </c>
      <c r="Y234" s="7"/>
      <c r="Z234" s="21">
        <f t="shared" si="84"/>
        <v>2.1</v>
      </c>
      <c r="AA234" s="6"/>
      <c r="AB234" s="6"/>
    </row>
    <row r="235" spans="1:28" ht="13.8">
      <c r="A235" s="13">
        <v>224</v>
      </c>
      <c r="B235" s="185" t="s">
        <v>296</v>
      </c>
      <c r="C235" s="10">
        <f t="shared" si="73"/>
        <v>1069</v>
      </c>
      <c r="D235" s="9">
        <f t="shared" si="66"/>
        <v>1725</v>
      </c>
      <c r="E235" s="26">
        <f t="shared" si="74"/>
        <v>2794</v>
      </c>
      <c r="F235" s="8">
        <f t="shared" si="67"/>
        <v>654</v>
      </c>
      <c r="G235" s="8">
        <f t="shared" si="68"/>
        <v>764</v>
      </c>
      <c r="H235" s="8">
        <f t="shared" si="69"/>
        <v>513</v>
      </c>
      <c r="I235" s="6">
        <f t="shared" si="70"/>
        <v>2140</v>
      </c>
      <c r="J235" s="6">
        <f t="shared" si="71"/>
        <v>2030</v>
      </c>
      <c r="K235" s="6">
        <f t="shared" si="72"/>
        <v>2281</v>
      </c>
      <c r="L235" s="6">
        <f t="shared" si="81"/>
        <v>3000</v>
      </c>
      <c r="M235" s="6">
        <f t="shared" si="82"/>
        <v>3000</v>
      </c>
      <c r="N235" s="6">
        <f t="shared" si="83"/>
        <v>3000</v>
      </c>
      <c r="O235" s="6">
        <f t="shared" si="75"/>
        <v>-860</v>
      </c>
      <c r="P235" s="6">
        <f t="shared" si="76"/>
        <v>-970</v>
      </c>
      <c r="Q235" s="6">
        <f t="shared" si="77"/>
        <v>-719</v>
      </c>
      <c r="R235" s="8">
        <v>5</v>
      </c>
      <c r="S235" s="8">
        <v>5</v>
      </c>
      <c r="T235" s="8">
        <v>3</v>
      </c>
      <c r="U235" s="25">
        <f t="shared" si="78"/>
        <v>-640</v>
      </c>
      <c r="V235" s="25">
        <f t="shared" si="79"/>
        <v>-760</v>
      </c>
      <c r="W235" s="25">
        <f t="shared" si="80"/>
        <v>-579</v>
      </c>
      <c r="X235" s="15">
        <v>1.24</v>
      </c>
      <c r="Y235" s="7"/>
      <c r="Z235" s="21">
        <f t="shared" si="84"/>
        <v>2.1</v>
      </c>
      <c r="AA235" s="6"/>
      <c r="AB235" s="6"/>
    </row>
    <row r="236" spans="1:28" ht="13.8">
      <c r="A236" s="13">
        <v>225</v>
      </c>
      <c r="B236" s="185" t="s">
        <v>297</v>
      </c>
      <c r="C236" s="10">
        <f t="shared" si="73"/>
        <v>1069</v>
      </c>
      <c r="D236" s="9">
        <f t="shared" si="66"/>
        <v>1727</v>
      </c>
      <c r="E236" s="26">
        <f t="shared" si="74"/>
        <v>2796</v>
      </c>
      <c r="F236" s="8">
        <f t="shared" si="67"/>
        <v>661</v>
      </c>
      <c r="G236" s="8">
        <f t="shared" si="68"/>
        <v>771</v>
      </c>
      <c r="H236" s="8">
        <f t="shared" si="69"/>
        <v>518</v>
      </c>
      <c r="I236" s="6">
        <f t="shared" si="70"/>
        <v>2135</v>
      </c>
      <c r="J236" s="6">
        <f t="shared" si="71"/>
        <v>2025</v>
      </c>
      <c r="K236" s="6">
        <f t="shared" si="72"/>
        <v>2278</v>
      </c>
      <c r="L236" s="6">
        <f t="shared" si="81"/>
        <v>3000</v>
      </c>
      <c r="M236" s="6">
        <f t="shared" si="82"/>
        <v>3000</v>
      </c>
      <c r="N236" s="6">
        <f t="shared" si="83"/>
        <v>3000</v>
      </c>
      <c r="O236" s="6">
        <f t="shared" si="75"/>
        <v>-865</v>
      </c>
      <c r="P236" s="6">
        <f t="shared" si="76"/>
        <v>-975</v>
      </c>
      <c r="Q236" s="6">
        <f t="shared" si="77"/>
        <v>-722</v>
      </c>
      <c r="R236" s="8">
        <v>5</v>
      </c>
      <c r="S236" s="8">
        <v>5</v>
      </c>
      <c r="T236" s="8">
        <v>3</v>
      </c>
      <c r="U236" s="25">
        <f t="shared" si="78"/>
        <v>-645</v>
      </c>
      <c r="V236" s="25">
        <f t="shared" si="79"/>
        <v>-765</v>
      </c>
      <c r="W236" s="25">
        <f t="shared" si="80"/>
        <v>-582</v>
      </c>
      <c r="X236" s="15">
        <v>1.2350000000000001</v>
      </c>
      <c r="Y236" s="7"/>
      <c r="Z236" s="21">
        <f t="shared" si="84"/>
        <v>2.1</v>
      </c>
      <c r="AA236" s="6"/>
      <c r="AB236" s="6"/>
    </row>
    <row r="237" spans="1:28" ht="13.8">
      <c r="A237" s="13">
        <v>226</v>
      </c>
      <c r="B237" s="185" t="s">
        <v>298</v>
      </c>
      <c r="C237" s="10">
        <f t="shared" si="73"/>
        <v>1069</v>
      </c>
      <c r="D237" s="9">
        <f t="shared" si="66"/>
        <v>1729</v>
      </c>
      <c r="E237" s="26">
        <f t="shared" si="74"/>
        <v>2798</v>
      </c>
      <c r="F237" s="8">
        <f t="shared" si="67"/>
        <v>668</v>
      </c>
      <c r="G237" s="8">
        <f t="shared" si="68"/>
        <v>778</v>
      </c>
      <c r="H237" s="8">
        <f t="shared" si="69"/>
        <v>523</v>
      </c>
      <c r="I237" s="6">
        <f t="shared" si="70"/>
        <v>2130</v>
      </c>
      <c r="J237" s="6">
        <f t="shared" si="71"/>
        <v>2020</v>
      </c>
      <c r="K237" s="6">
        <f t="shared" si="72"/>
        <v>2275</v>
      </c>
      <c r="L237" s="6">
        <f t="shared" si="81"/>
        <v>3000</v>
      </c>
      <c r="M237" s="6">
        <f t="shared" si="82"/>
        <v>3000</v>
      </c>
      <c r="N237" s="6">
        <f t="shared" si="83"/>
        <v>3000</v>
      </c>
      <c r="O237" s="6">
        <f t="shared" si="75"/>
        <v>-870</v>
      </c>
      <c r="P237" s="6">
        <f t="shared" si="76"/>
        <v>-980</v>
      </c>
      <c r="Q237" s="6">
        <f t="shared" si="77"/>
        <v>-725</v>
      </c>
      <c r="R237" s="8">
        <v>5</v>
      </c>
      <c r="S237" s="8">
        <v>5</v>
      </c>
      <c r="T237" s="8">
        <v>3</v>
      </c>
      <c r="U237" s="25">
        <f t="shared" si="78"/>
        <v>-650</v>
      </c>
      <c r="V237" s="25">
        <f t="shared" si="79"/>
        <v>-770</v>
      </c>
      <c r="W237" s="25">
        <f t="shared" si="80"/>
        <v>-585</v>
      </c>
      <c r="X237" s="15">
        <v>1.23</v>
      </c>
      <c r="Y237" s="7"/>
      <c r="Z237" s="21">
        <f t="shared" si="84"/>
        <v>2.1</v>
      </c>
      <c r="AA237" s="6"/>
      <c r="AB237" s="6"/>
    </row>
    <row r="238" spans="1:28" ht="13.8">
      <c r="A238" s="13">
        <v>227</v>
      </c>
      <c r="B238" s="185" t="s">
        <v>299</v>
      </c>
      <c r="C238" s="10">
        <f t="shared" si="73"/>
        <v>1069</v>
      </c>
      <c r="D238" s="9">
        <f t="shared" si="66"/>
        <v>1731</v>
      </c>
      <c r="E238" s="26">
        <f t="shared" si="74"/>
        <v>2800</v>
      </c>
      <c r="F238" s="8">
        <f t="shared" si="67"/>
        <v>675</v>
      </c>
      <c r="G238" s="8">
        <f t="shared" si="68"/>
        <v>785</v>
      </c>
      <c r="H238" s="8">
        <f t="shared" si="69"/>
        <v>528</v>
      </c>
      <c r="I238" s="6">
        <f t="shared" si="70"/>
        <v>2125</v>
      </c>
      <c r="J238" s="6">
        <f t="shared" si="71"/>
        <v>2015</v>
      </c>
      <c r="K238" s="6">
        <f t="shared" si="72"/>
        <v>2272</v>
      </c>
      <c r="L238" s="6">
        <f t="shared" si="81"/>
        <v>3000</v>
      </c>
      <c r="M238" s="6">
        <f t="shared" si="82"/>
        <v>3000</v>
      </c>
      <c r="N238" s="6">
        <f t="shared" si="83"/>
        <v>3000</v>
      </c>
      <c r="O238" s="6">
        <f t="shared" si="75"/>
        <v>-875</v>
      </c>
      <c r="P238" s="6">
        <f t="shared" si="76"/>
        <v>-985</v>
      </c>
      <c r="Q238" s="6">
        <f t="shared" si="77"/>
        <v>-728</v>
      </c>
      <c r="R238" s="8">
        <v>5</v>
      </c>
      <c r="S238" s="8">
        <v>5</v>
      </c>
      <c r="T238" s="8">
        <v>3</v>
      </c>
      <c r="U238" s="25">
        <f t="shared" si="78"/>
        <v>-655</v>
      </c>
      <c r="V238" s="25">
        <f t="shared" si="79"/>
        <v>-775</v>
      </c>
      <c r="W238" s="25">
        <f t="shared" si="80"/>
        <v>-588</v>
      </c>
      <c r="X238" s="15">
        <v>1.2250000000000001</v>
      </c>
      <c r="Y238" s="7"/>
      <c r="Z238" s="21">
        <f t="shared" si="84"/>
        <v>2.1</v>
      </c>
      <c r="AA238" s="6"/>
      <c r="AB238" s="6"/>
    </row>
    <row r="239" spans="1:28" ht="13.8">
      <c r="A239" s="13">
        <v>228</v>
      </c>
      <c r="B239" s="185" t="s">
        <v>300</v>
      </c>
      <c r="C239" s="10">
        <f t="shared" si="73"/>
        <v>1069</v>
      </c>
      <c r="D239" s="9">
        <f t="shared" si="66"/>
        <v>1733</v>
      </c>
      <c r="E239" s="26">
        <f t="shared" si="74"/>
        <v>2802</v>
      </c>
      <c r="F239" s="8">
        <f t="shared" si="67"/>
        <v>682</v>
      </c>
      <c r="G239" s="8">
        <f t="shared" si="68"/>
        <v>792</v>
      </c>
      <c r="H239" s="8">
        <f t="shared" si="69"/>
        <v>533</v>
      </c>
      <c r="I239" s="6">
        <f t="shared" si="70"/>
        <v>2120</v>
      </c>
      <c r="J239" s="6">
        <f t="shared" si="71"/>
        <v>2010</v>
      </c>
      <c r="K239" s="6">
        <f t="shared" si="72"/>
        <v>2269</v>
      </c>
      <c r="L239" s="6">
        <f t="shared" si="81"/>
        <v>3000</v>
      </c>
      <c r="M239" s="6">
        <f t="shared" si="82"/>
        <v>3000</v>
      </c>
      <c r="N239" s="6">
        <f t="shared" si="83"/>
        <v>3000</v>
      </c>
      <c r="O239" s="6">
        <f t="shared" si="75"/>
        <v>-880</v>
      </c>
      <c r="P239" s="6">
        <f t="shared" si="76"/>
        <v>-990</v>
      </c>
      <c r="Q239" s="6">
        <f t="shared" si="77"/>
        <v>-731</v>
      </c>
      <c r="R239" s="8">
        <v>5</v>
      </c>
      <c r="S239" s="8">
        <v>5</v>
      </c>
      <c r="T239" s="8">
        <v>3</v>
      </c>
      <c r="U239" s="25">
        <f t="shared" si="78"/>
        <v>-660</v>
      </c>
      <c r="V239" s="25">
        <f t="shared" si="79"/>
        <v>-780</v>
      </c>
      <c r="W239" s="25">
        <f t="shared" si="80"/>
        <v>-591</v>
      </c>
      <c r="X239" s="15">
        <v>1.22</v>
      </c>
      <c r="Y239" s="7"/>
      <c r="Z239" s="21">
        <f t="shared" si="84"/>
        <v>2.1</v>
      </c>
      <c r="AA239" s="6"/>
      <c r="AB239" s="6"/>
    </row>
    <row r="240" spans="1:28" ht="13.8">
      <c r="A240" s="13">
        <v>229</v>
      </c>
      <c r="B240" s="185" t="s">
        <v>301</v>
      </c>
      <c r="C240" s="10">
        <f t="shared" si="73"/>
        <v>1069</v>
      </c>
      <c r="D240" s="9">
        <f t="shared" si="66"/>
        <v>1735</v>
      </c>
      <c r="E240" s="26">
        <f t="shared" si="74"/>
        <v>2804</v>
      </c>
      <c r="F240" s="8">
        <f t="shared" si="67"/>
        <v>689</v>
      </c>
      <c r="G240" s="8">
        <f t="shared" si="68"/>
        <v>799</v>
      </c>
      <c r="H240" s="8">
        <f t="shared" si="69"/>
        <v>538</v>
      </c>
      <c r="I240" s="6">
        <f t="shared" si="70"/>
        <v>2115</v>
      </c>
      <c r="J240" s="6">
        <f t="shared" si="71"/>
        <v>2005</v>
      </c>
      <c r="K240" s="6">
        <f t="shared" si="72"/>
        <v>2266</v>
      </c>
      <c r="L240" s="6">
        <f t="shared" si="81"/>
        <v>3000</v>
      </c>
      <c r="M240" s="6">
        <f t="shared" si="82"/>
        <v>3000</v>
      </c>
      <c r="N240" s="6">
        <f t="shared" si="83"/>
        <v>3000</v>
      </c>
      <c r="O240" s="6">
        <f t="shared" si="75"/>
        <v>-885</v>
      </c>
      <c r="P240" s="6">
        <f t="shared" si="76"/>
        <v>-995</v>
      </c>
      <c r="Q240" s="6">
        <f t="shared" si="77"/>
        <v>-734</v>
      </c>
      <c r="R240" s="8">
        <v>5</v>
      </c>
      <c r="S240" s="8">
        <v>5</v>
      </c>
      <c r="T240" s="8">
        <v>3</v>
      </c>
      <c r="U240" s="25">
        <f t="shared" si="78"/>
        <v>-665</v>
      </c>
      <c r="V240" s="25">
        <f t="shared" si="79"/>
        <v>-785</v>
      </c>
      <c r="W240" s="25">
        <f t="shared" si="80"/>
        <v>-594</v>
      </c>
      <c r="X240" s="15">
        <v>1.2150000000000001</v>
      </c>
      <c r="Y240" s="7"/>
      <c r="Z240" s="21">
        <f t="shared" si="84"/>
        <v>2.1</v>
      </c>
      <c r="AA240" s="6"/>
      <c r="AB240" s="6"/>
    </row>
    <row r="241" spans="1:28" ht="13.8">
      <c r="A241" s="13">
        <v>230</v>
      </c>
      <c r="B241" s="185" t="s">
        <v>302</v>
      </c>
      <c r="C241" s="10">
        <f t="shared" si="73"/>
        <v>1069</v>
      </c>
      <c r="D241" s="9">
        <f t="shared" si="66"/>
        <v>1737</v>
      </c>
      <c r="E241" s="26">
        <f t="shared" si="74"/>
        <v>2806</v>
      </c>
      <c r="F241" s="8">
        <f t="shared" si="67"/>
        <v>696</v>
      </c>
      <c r="G241" s="8">
        <f t="shared" si="68"/>
        <v>806</v>
      </c>
      <c r="H241" s="8">
        <f t="shared" si="69"/>
        <v>543</v>
      </c>
      <c r="I241" s="6">
        <f t="shared" si="70"/>
        <v>2110</v>
      </c>
      <c r="J241" s="6">
        <f t="shared" si="71"/>
        <v>2000</v>
      </c>
      <c r="K241" s="6">
        <f t="shared" si="72"/>
        <v>2263</v>
      </c>
      <c r="L241" s="6">
        <f t="shared" si="81"/>
        <v>3000</v>
      </c>
      <c r="M241" s="6">
        <f t="shared" si="82"/>
        <v>3000</v>
      </c>
      <c r="N241" s="6">
        <f t="shared" si="83"/>
        <v>3000</v>
      </c>
      <c r="O241" s="6">
        <f t="shared" si="75"/>
        <v>-890</v>
      </c>
      <c r="P241" s="6">
        <f t="shared" si="76"/>
        <v>-1000</v>
      </c>
      <c r="Q241" s="6">
        <f t="shared" si="77"/>
        <v>-737</v>
      </c>
      <c r="R241" s="8">
        <v>5</v>
      </c>
      <c r="S241" s="8">
        <v>5</v>
      </c>
      <c r="T241" s="8">
        <v>3</v>
      </c>
      <c r="U241" s="25">
        <f t="shared" si="78"/>
        <v>-670</v>
      </c>
      <c r="V241" s="25">
        <f t="shared" si="79"/>
        <v>-790</v>
      </c>
      <c r="W241" s="25">
        <f t="shared" si="80"/>
        <v>-597</v>
      </c>
      <c r="X241" s="15">
        <v>1.21</v>
      </c>
      <c r="Y241" s="7"/>
      <c r="Z241" s="21">
        <f t="shared" si="84"/>
        <v>2.1</v>
      </c>
      <c r="AA241" s="6"/>
      <c r="AB241" s="6"/>
    </row>
    <row r="242" spans="1:28" ht="13.8">
      <c r="A242" s="13">
        <v>231</v>
      </c>
      <c r="B242" s="185" t="s">
        <v>303</v>
      </c>
      <c r="C242" s="10">
        <f t="shared" si="73"/>
        <v>1069</v>
      </c>
      <c r="D242" s="9">
        <f t="shared" si="66"/>
        <v>1739</v>
      </c>
      <c r="E242" s="26">
        <f t="shared" si="74"/>
        <v>2808</v>
      </c>
      <c r="F242" s="8">
        <f t="shared" si="67"/>
        <v>703</v>
      </c>
      <c r="G242" s="8">
        <f t="shared" si="68"/>
        <v>813</v>
      </c>
      <c r="H242" s="8">
        <f t="shared" si="69"/>
        <v>548</v>
      </c>
      <c r="I242" s="6">
        <f t="shared" si="70"/>
        <v>2105</v>
      </c>
      <c r="J242" s="6">
        <f t="shared" si="71"/>
        <v>1995</v>
      </c>
      <c r="K242" s="6">
        <f t="shared" si="72"/>
        <v>2260</v>
      </c>
      <c r="L242" s="6">
        <f t="shared" si="81"/>
        <v>3000</v>
      </c>
      <c r="M242" s="6">
        <f t="shared" si="82"/>
        <v>3000</v>
      </c>
      <c r="N242" s="6">
        <f t="shared" si="83"/>
        <v>3000</v>
      </c>
      <c r="O242" s="6">
        <f t="shared" si="75"/>
        <v>-895</v>
      </c>
      <c r="P242" s="6">
        <f t="shared" si="76"/>
        <v>-1005</v>
      </c>
      <c r="Q242" s="6">
        <f t="shared" si="77"/>
        <v>-740</v>
      </c>
      <c r="R242" s="8">
        <v>5</v>
      </c>
      <c r="S242" s="8">
        <v>5</v>
      </c>
      <c r="T242" s="8">
        <v>3</v>
      </c>
      <c r="U242" s="25">
        <f t="shared" si="78"/>
        <v>-675</v>
      </c>
      <c r="V242" s="25">
        <f t="shared" si="79"/>
        <v>-795</v>
      </c>
      <c r="W242" s="25">
        <f t="shared" si="80"/>
        <v>-600</v>
      </c>
      <c r="X242" s="15">
        <v>1.2050000000000001</v>
      </c>
      <c r="Y242" s="7"/>
      <c r="Z242" s="21">
        <f t="shared" si="84"/>
        <v>2.1</v>
      </c>
      <c r="AA242" s="6"/>
      <c r="AB242" s="6"/>
    </row>
    <row r="243" spans="1:28" ht="13.8">
      <c r="A243" s="13">
        <v>232</v>
      </c>
      <c r="B243" s="185" t="s">
        <v>304</v>
      </c>
      <c r="C243" s="10">
        <f t="shared" si="73"/>
        <v>1069</v>
      </c>
      <c r="D243" s="9">
        <f t="shared" si="66"/>
        <v>1741</v>
      </c>
      <c r="E243" s="26">
        <f t="shared" si="74"/>
        <v>2810</v>
      </c>
      <c r="F243" s="8">
        <f t="shared" si="67"/>
        <v>710</v>
      </c>
      <c r="G243" s="8">
        <f t="shared" si="68"/>
        <v>820</v>
      </c>
      <c r="H243" s="8">
        <f t="shared" si="69"/>
        <v>553</v>
      </c>
      <c r="I243" s="6">
        <f t="shared" si="70"/>
        <v>2100</v>
      </c>
      <c r="J243" s="6">
        <f t="shared" si="71"/>
        <v>1990</v>
      </c>
      <c r="K243" s="6">
        <f t="shared" si="72"/>
        <v>2257</v>
      </c>
      <c r="L243" s="6">
        <f t="shared" si="81"/>
        <v>3000</v>
      </c>
      <c r="M243" s="6">
        <f t="shared" si="82"/>
        <v>3000</v>
      </c>
      <c r="N243" s="6">
        <f t="shared" si="83"/>
        <v>3000</v>
      </c>
      <c r="O243" s="6">
        <f t="shared" si="75"/>
        <v>-900</v>
      </c>
      <c r="P243" s="6">
        <f t="shared" si="76"/>
        <v>-1010</v>
      </c>
      <c r="Q243" s="6">
        <f t="shared" si="77"/>
        <v>-743</v>
      </c>
      <c r="R243" s="8">
        <v>5</v>
      </c>
      <c r="S243" s="8">
        <v>5</v>
      </c>
      <c r="T243" s="8">
        <v>3</v>
      </c>
      <c r="U243" s="25">
        <f t="shared" si="78"/>
        <v>-680</v>
      </c>
      <c r="V243" s="25">
        <f t="shared" si="79"/>
        <v>-800</v>
      </c>
      <c r="W243" s="25">
        <f t="shared" si="80"/>
        <v>-603</v>
      </c>
      <c r="X243" s="15">
        <v>1.2</v>
      </c>
      <c r="Y243" s="7"/>
      <c r="Z243" s="21">
        <f t="shared" si="84"/>
        <v>2.1</v>
      </c>
      <c r="AA243" s="6"/>
      <c r="AB243" s="6"/>
    </row>
    <row r="244" spans="1:28" ht="13.8">
      <c r="A244" s="13">
        <v>233</v>
      </c>
      <c r="B244" s="185" t="s">
        <v>305</v>
      </c>
      <c r="C244" s="10">
        <f t="shared" si="73"/>
        <v>1069</v>
      </c>
      <c r="D244" s="9">
        <f t="shared" si="66"/>
        <v>1743</v>
      </c>
      <c r="E244" s="26">
        <f t="shared" si="74"/>
        <v>2812</v>
      </c>
      <c r="F244" s="8">
        <f t="shared" si="67"/>
        <v>717</v>
      </c>
      <c r="G244" s="8">
        <f t="shared" si="68"/>
        <v>827</v>
      </c>
      <c r="H244" s="8">
        <f t="shared" si="69"/>
        <v>558</v>
      </c>
      <c r="I244" s="6">
        <f t="shared" si="70"/>
        <v>2095</v>
      </c>
      <c r="J244" s="6">
        <f t="shared" si="71"/>
        <v>1985</v>
      </c>
      <c r="K244" s="6">
        <f t="shared" si="72"/>
        <v>2254</v>
      </c>
      <c r="L244" s="6">
        <f t="shared" si="81"/>
        <v>3000</v>
      </c>
      <c r="M244" s="6">
        <f t="shared" si="82"/>
        <v>3000</v>
      </c>
      <c r="N244" s="6">
        <f t="shared" si="83"/>
        <v>3000</v>
      </c>
      <c r="O244" s="6">
        <f t="shared" si="75"/>
        <v>-905</v>
      </c>
      <c r="P244" s="6">
        <f t="shared" si="76"/>
        <v>-1015</v>
      </c>
      <c r="Q244" s="6">
        <f t="shared" si="77"/>
        <v>-746</v>
      </c>
      <c r="R244" s="8">
        <v>5</v>
      </c>
      <c r="S244" s="8">
        <v>5</v>
      </c>
      <c r="T244" s="8">
        <v>3</v>
      </c>
      <c r="U244" s="25">
        <f t="shared" si="78"/>
        <v>-685</v>
      </c>
      <c r="V244" s="25">
        <f t="shared" si="79"/>
        <v>-805</v>
      </c>
      <c r="W244" s="25">
        <f t="shared" si="80"/>
        <v>-606</v>
      </c>
      <c r="X244" s="15">
        <v>1.1950000000000001</v>
      </c>
      <c r="Y244" s="7"/>
      <c r="Z244" s="21">
        <f t="shared" si="84"/>
        <v>2.1</v>
      </c>
      <c r="AA244" s="6"/>
      <c r="AB244" s="6"/>
    </row>
    <row r="245" spans="1:28" ht="13.8">
      <c r="A245" s="13">
        <v>234</v>
      </c>
      <c r="B245" s="185" t="s">
        <v>306</v>
      </c>
      <c r="C245" s="10">
        <f t="shared" si="73"/>
        <v>1069</v>
      </c>
      <c r="D245" s="9">
        <f t="shared" si="66"/>
        <v>1745</v>
      </c>
      <c r="E245" s="26">
        <f t="shared" si="74"/>
        <v>2814</v>
      </c>
      <c r="F245" s="8">
        <f t="shared" si="67"/>
        <v>724</v>
      </c>
      <c r="G245" s="8">
        <f t="shared" si="68"/>
        <v>834</v>
      </c>
      <c r="H245" s="8">
        <f t="shared" si="69"/>
        <v>563</v>
      </c>
      <c r="I245" s="6">
        <f t="shared" si="70"/>
        <v>2090</v>
      </c>
      <c r="J245" s="6">
        <f t="shared" si="71"/>
        <v>1980</v>
      </c>
      <c r="K245" s="6">
        <f t="shared" si="72"/>
        <v>2251</v>
      </c>
      <c r="L245" s="6">
        <f t="shared" si="81"/>
        <v>3000</v>
      </c>
      <c r="M245" s="6">
        <f t="shared" si="82"/>
        <v>3000</v>
      </c>
      <c r="N245" s="6">
        <f t="shared" si="83"/>
        <v>3000</v>
      </c>
      <c r="O245" s="6">
        <f t="shared" si="75"/>
        <v>-910</v>
      </c>
      <c r="P245" s="6">
        <f t="shared" si="76"/>
        <v>-1020</v>
      </c>
      <c r="Q245" s="6">
        <f t="shared" si="77"/>
        <v>-749</v>
      </c>
      <c r="R245" s="8">
        <v>5</v>
      </c>
      <c r="S245" s="8">
        <v>5</v>
      </c>
      <c r="T245" s="8">
        <v>3</v>
      </c>
      <c r="U245" s="25">
        <f t="shared" si="78"/>
        <v>-690</v>
      </c>
      <c r="V245" s="25">
        <f t="shared" si="79"/>
        <v>-810</v>
      </c>
      <c r="W245" s="25">
        <f t="shared" si="80"/>
        <v>-609</v>
      </c>
      <c r="X245" s="15">
        <v>1.19</v>
      </c>
      <c r="Y245" s="7"/>
      <c r="Z245" s="21">
        <f t="shared" si="84"/>
        <v>2.1</v>
      </c>
      <c r="AA245" s="6"/>
      <c r="AB245" s="6"/>
    </row>
    <row r="246" spans="1:28" ht="13.8">
      <c r="A246" s="13">
        <v>235</v>
      </c>
      <c r="B246" s="185" t="s">
        <v>307</v>
      </c>
      <c r="C246" s="10">
        <f t="shared" si="73"/>
        <v>1069</v>
      </c>
      <c r="D246" s="9">
        <f t="shared" si="66"/>
        <v>1747</v>
      </c>
      <c r="E246" s="26">
        <f t="shared" si="74"/>
        <v>2816</v>
      </c>
      <c r="F246" s="8">
        <f t="shared" si="67"/>
        <v>731</v>
      </c>
      <c r="G246" s="8">
        <f t="shared" si="68"/>
        <v>841</v>
      </c>
      <c r="H246" s="8">
        <f t="shared" si="69"/>
        <v>567</v>
      </c>
      <c r="I246" s="6">
        <f t="shared" si="70"/>
        <v>2085</v>
      </c>
      <c r="J246" s="6">
        <f t="shared" si="71"/>
        <v>1975</v>
      </c>
      <c r="K246" s="6">
        <f t="shared" si="72"/>
        <v>2249</v>
      </c>
      <c r="L246" s="6">
        <f t="shared" si="81"/>
        <v>3000</v>
      </c>
      <c r="M246" s="6">
        <f t="shared" si="82"/>
        <v>3000</v>
      </c>
      <c r="N246" s="6">
        <f t="shared" si="83"/>
        <v>3000</v>
      </c>
      <c r="O246" s="6">
        <f t="shared" si="75"/>
        <v>-915</v>
      </c>
      <c r="P246" s="6">
        <f t="shared" si="76"/>
        <v>-1025</v>
      </c>
      <c r="Q246" s="6">
        <f t="shared" si="77"/>
        <v>-751</v>
      </c>
      <c r="R246" s="8">
        <v>5</v>
      </c>
      <c r="S246" s="8">
        <v>5</v>
      </c>
      <c r="T246" s="8">
        <v>2</v>
      </c>
      <c r="U246" s="25">
        <f t="shared" si="78"/>
        <v>-695</v>
      </c>
      <c r="V246" s="25">
        <f t="shared" si="79"/>
        <v>-815</v>
      </c>
      <c r="W246" s="25">
        <f t="shared" si="80"/>
        <v>-611</v>
      </c>
      <c r="X246" s="15">
        <v>1.1850000000000001</v>
      </c>
      <c r="Y246" s="7"/>
      <c r="Z246" s="21">
        <f t="shared" si="84"/>
        <v>2.1</v>
      </c>
      <c r="AA246" s="6"/>
      <c r="AB246" s="6"/>
    </row>
    <row r="247" spans="1:28" ht="13.8">
      <c r="A247" s="13">
        <v>236</v>
      </c>
      <c r="B247" s="185" t="s">
        <v>308</v>
      </c>
      <c r="C247" s="10">
        <f t="shared" si="73"/>
        <v>1069</v>
      </c>
      <c r="D247" s="9">
        <f t="shared" si="66"/>
        <v>1749</v>
      </c>
      <c r="E247" s="26">
        <f t="shared" si="74"/>
        <v>2818</v>
      </c>
      <c r="F247" s="8">
        <f t="shared" si="67"/>
        <v>738</v>
      </c>
      <c r="G247" s="8">
        <f t="shared" si="68"/>
        <v>848</v>
      </c>
      <c r="H247" s="8">
        <f t="shared" si="69"/>
        <v>571</v>
      </c>
      <c r="I247" s="6">
        <f t="shared" si="70"/>
        <v>2080</v>
      </c>
      <c r="J247" s="6">
        <f t="shared" si="71"/>
        <v>1970</v>
      </c>
      <c r="K247" s="6">
        <f t="shared" si="72"/>
        <v>2247</v>
      </c>
      <c r="L247" s="6">
        <f t="shared" si="81"/>
        <v>3000</v>
      </c>
      <c r="M247" s="6">
        <f t="shared" si="82"/>
        <v>3000</v>
      </c>
      <c r="N247" s="6">
        <f t="shared" si="83"/>
        <v>3000</v>
      </c>
      <c r="O247" s="6">
        <f t="shared" si="75"/>
        <v>-920</v>
      </c>
      <c r="P247" s="6">
        <f t="shared" si="76"/>
        <v>-1030</v>
      </c>
      <c r="Q247" s="6">
        <f t="shared" si="77"/>
        <v>-753</v>
      </c>
      <c r="R247" s="8">
        <v>5</v>
      </c>
      <c r="S247" s="8">
        <v>5</v>
      </c>
      <c r="T247" s="8">
        <v>2</v>
      </c>
      <c r="U247" s="25">
        <f t="shared" si="78"/>
        <v>-700</v>
      </c>
      <c r="V247" s="25">
        <f t="shared" si="79"/>
        <v>-820</v>
      </c>
      <c r="W247" s="25">
        <f t="shared" si="80"/>
        <v>-613</v>
      </c>
      <c r="X247" s="15">
        <v>1.18</v>
      </c>
      <c r="Y247" s="7"/>
      <c r="Z247" s="21">
        <f t="shared" si="84"/>
        <v>2.1</v>
      </c>
      <c r="AA247" s="6"/>
      <c r="AB247" s="6"/>
    </row>
    <row r="248" spans="1:28" ht="13.8">
      <c r="A248" s="13">
        <v>237</v>
      </c>
      <c r="B248" s="185" t="s">
        <v>309</v>
      </c>
      <c r="C248" s="10">
        <f t="shared" si="73"/>
        <v>1069</v>
      </c>
      <c r="D248" s="9">
        <f t="shared" si="66"/>
        <v>1751</v>
      </c>
      <c r="E248" s="26">
        <f t="shared" si="74"/>
        <v>2820</v>
      </c>
      <c r="F248" s="8">
        <f t="shared" si="67"/>
        <v>745</v>
      </c>
      <c r="G248" s="8">
        <f t="shared" si="68"/>
        <v>855</v>
      </c>
      <c r="H248" s="8">
        <f t="shared" si="69"/>
        <v>575</v>
      </c>
      <c r="I248" s="6">
        <f t="shared" si="70"/>
        <v>2075</v>
      </c>
      <c r="J248" s="6">
        <f t="shared" si="71"/>
        <v>1965</v>
      </c>
      <c r="K248" s="6">
        <f t="shared" si="72"/>
        <v>2245</v>
      </c>
      <c r="L248" s="6">
        <f t="shared" si="81"/>
        <v>3000</v>
      </c>
      <c r="M248" s="6">
        <f t="shared" si="82"/>
        <v>3000</v>
      </c>
      <c r="N248" s="6">
        <f t="shared" si="83"/>
        <v>3000</v>
      </c>
      <c r="O248" s="6">
        <f t="shared" si="75"/>
        <v>-925</v>
      </c>
      <c r="P248" s="6">
        <f t="shared" si="76"/>
        <v>-1035</v>
      </c>
      <c r="Q248" s="6">
        <f t="shared" si="77"/>
        <v>-755</v>
      </c>
      <c r="R248" s="8">
        <v>5</v>
      </c>
      <c r="S248" s="8">
        <v>5</v>
      </c>
      <c r="T248" s="8">
        <v>2</v>
      </c>
      <c r="U248" s="25">
        <f t="shared" si="78"/>
        <v>-705</v>
      </c>
      <c r="V248" s="25">
        <f t="shared" si="79"/>
        <v>-825</v>
      </c>
      <c r="W248" s="25">
        <f t="shared" si="80"/>
        <v>-615</v>
      </c>
      <c r="X248" s="15">
        <v>1.175</v>
      </c>
      <c r="Y248" s="7"/>
      <c r="Z248" s="21">
        <f t="shared" si="84"/>
        <v>2.1</v>
      </c>
      <c r="AA248" s="6"/>
      <c r="AB248" s="6"/>
    </row>
    <row r="249" spans="1:28" ht="13.8">
      <c r="A249" s="13">
        <v>238</v>
      </c>
      <c r="B249" s="185" t="s">
        <v>310</v>
      </c>
      <c r="C249" s="10">
        <f t="shared" si="73"/>
        <v>1069</v>
      </c>
      <c r="D249" s="9">
        <f t="shared" si="66"/>
        <v>1753</v>
      </c>
      <c r="E249" s="26">
        <f t="shared" si="74"/>
        <v>2822</v>
      </c>
      <c r="F249" s="8">
        <f t="shared" si="67"/>
        <v>752</v>
      </c>
      <c r="G249" s="8">
        <f t="shared" si="68"/>
        <v>862</v>
      </c>
      <c r="H249" s="8">
        <f t="shared" si="69"/>
        <v>579</v>
      </c>
      <c r="I249" s="6">
        <f t="shared" si="70"/>
        <v>2070</v>
      </c>
      <c r="J249" s="6">
        <f t="shared" si="71"/>
        <v>1960</v>
      </c>
      <c r="K249" s="6">
        <f t="shared" si="72"/>
        <v>2243</v>
      </c>
      <c r="L249" s="6">
        <f t="shared" si="81"/>
        <v>3000</v>
      </c>
      <c r="M249" s="6">
        <f t="shared" si="82"/>
        <v>3000</v>
      </c>
      <c r="N249" s="6">
        <f t="shared" si="83"/>
        <v>3000</v>
      </c>
      <c r="O249" s="6">
        <f t="shared" si="75"/>
        <v>-930</v>
      </c>
      <c r="P249" s="6">
        <f t="shared" si="76"/>
        <v>-1040</v>
      </c>
      <c r="Q249" s="6">
        <f t="shared" si="77"/>
        <v>-757</v>
      </c>
      <c r="R249" s="8">
        <v>5</v>
      </c>
      <c r="S249" s="8">
        <v>5</v>
      </c>
      <c r="T249" s="8">
        <v>2</v>
      </c>
      <c r="U249" s="25">
        <f t="shared" si="78"/>
        <v>-710</v>
      </c>
      <c r="V249" s="25">
        <f t="shared" si="79"/>
        <v>-830</v>
      </c>
      <c r="W249" s="25">
        <f t="shared" si="80"/>
        <v>-617</v>
      </c>
      <c r="X249" s="15">
        <v>1.17</v>
      </c>
      <c r="Y249" s="7"/>
      <c r="Z249" s="21">
        <f t="shared" si="84"/>
        <v>2.1</v>
      </c>
      <c r="AA249" s="6"/>
      <c r="AB249" s="6"/>
    </row>
    <row r="250" spans="1:28" ht="13.8">
      <c r="A250" s="13">
        <v>239</v>
      </c>
      <c r="B250" s="185" t="s">
        <v>311</v>
      </c>
      <c r="C250" s="10">
        <f t="shared" si="73"/>
        <v>1069</v>
      </c>
      <c r="D250" s="9">
        <f t="shared" si="66"/>
        <v>1755</v>
      </c>
      <c r="E250" s="26">
        <f t="shared" si="74"/>
        <v>2824</v>
      </c>
      <c r="F250" s="8">
        <f t="shared" si="67"/>
        <v>759</v>
      </c>
      <c r="G250" s="8">
        <f t="shared" si="68"/>
        <v>869</v>
      </c>
      <c r="H250" s="8">
        <f t="shared" si="69"/>
        <v>583</v>
      </c>
      <c r="I250" s="6">
        <f t="shared" si="70"/>
        <v>2065</v>
      </c>
      <c r="J250" s="6">
        <f t="shared" si="71"/>
        <v>1955</v>
      </c>
      <c r="K250" s="6">
        <f t="shared" si="72"/>
        <v>2241</v>
      </c>
      <c r="L250" s="6">
        <f t="shared" si="81"/>
        <v>3000</v>
      </c>
      <c r="M250" s="6">
        <f t="shared" si="82"/>
        <v>3000</v>
      </c>
      <c r="N250" s="6">
        <f t="shared" si="83"/>
        <v>3000</v>
      </c>
      <c r="O250" s="6">
        <f t="shared" si="75"/>
        <v>-935</v>
      </c>
      <c r="P250" s="6">
        <f t="shared" si="76"/>
        <v>-1045</v>
      </c>
      <c r="Q250" s="6">
        <f t="shared" si="77"/>
        <v>-759</v>
      </c>
      <c r="R250" s="8">
        <v>5</v>
      </c>
      <c r="S250" s="8">
        <v>5</v>
      </c>
      <c r="T250" s="8">
        <v>2</v>
      </c>
      <c r="U250" s="25">
        <f t="shared" si="78"/>
        <v>-715</v>
      </c>
      <c r="V250" s="25">
        <f t="shared" si="79"/>
        <v>-835</v>
      </c>
      <c r="W250" s="25">
        <f t="shared" si="80"/>
        <v>-619</v>
      </c>
      <c r="X250" s="15">
        <v>1.165</v>
      </c>
      <c r="Y250" s="7"/>
      <c r="Z250" s="21">
        <f t="shared" si="84"/>
        <v>2.1</v>
      </c>
      <c r="AA250" s="6"/>
      <c r="AB250" s="6"/>
    </row>
    <row r="251" spans="1:28" ht="13.8">
      <c r="A251" s="13">
        <v>240</v>
      </c>
      <c r="B251" s="185" t="s">
        <v>312</v>
      </c>
      <c r="C251" s="10">
        <f t="shared" si="73"/>
        <v>1069</v>
      </c>
      <c r="D251" s="9">
        <f t="shared" si="66"/>
        <v>1757</v>
      </c>
      <c r="E251" s="26">
        <f t="shared" si="74"/>
        <v>2826</v>
      </c>
      <c r="F251" s="8">
        <f t="shared" si="67"/>
        <v>766</v>
      </c>
      <c r="G251" s="8">
        <f t="shared" si="68"/>
        <v>876</v>
      </c>
      <c r="H251" s="8">
        <f t="shared" si="69"/>
        <v>587</v>
      </c>
      <c r="I251" s="6">
        <f t="shared" si="70"/>
        <v>2060</v>
      </c>
      <c r="J251" s="6">
        <f t="shared" si="71"/>
        <v>1950</v>
      </c>
      <c r="K251" s="6">
        <f t="shared" si="72"/>
        <v>2239</v>
      </c>
      <c r="L251" s="6">
        <f t="shared" si="81"/>
        <v>3000</v>
      </c>
      <c r="M251" s="6">
        <f t="shared" si="82"/>
        <v>3000</v>
      </c>
      <c r="N251" s="6">
        <f t="shared" si="83"/>
        <v>3000</v>
      </c>
      <c r="O251" s="6">
        <f t="shared" si="75"/>
        <v>-940</v>
      </c>
      <c r="P251" s="6">
        <f t="shared" si="76"/>
        <v>-1050</v>
      </c>
      <c r="Q251" s="6">
        <f t="shared" si="77"/>
        <v>-761</v>
      </c>
      <c r="R251" s="8">
        <v>5</v>
      </c>
      <c r="S251" s="8">
        <v>5</v>
      </c>
      <c r="T251" s="8">
        <v>2</v>
      </c>
      <c r="U251" s="25">
        <f t="shared" si="78"/>
        <v>-720</v>
      </c>
      <c r="V251" s="25">
        <f t="shared" si="79"/>
        <v>-840</v>
      </c>
      <c r="W251" s="25">
        <f t="shared" si="80"/>
        <v>-621</v>
      </c>
      <c r="X251" s="15">
        <v>1.1599999999999999</v>
      </c>
      <c r="Y251" s="7"/>
      <c r="Z251" s="21">
        <f t="shared" si="84"/>
        <v>2.1</v>
      </c>
      <c r="AA251" s="6"/>
      <c r="AB251" s="6"/>
    </row>
    <row r="252" spans="1:28" ht="13.8">
      <c r="A252" s="13">
        <v>241</v>
      </c>
      <c r="B252" s="185" t="s">
        <v>313</v>
      </c>
      <c r="C252" s="10">
        <f t="shared" si="73"/>
        <v>1069</v>
      </c>
      <c r="D252" s="9">
        <f t="shared" ref="D252:D315" si="85">D251+2</f>
        <v>1759</v>
      </c>
      <c r="E252" s="26">
        <f t="shared" si="74"/>
        <v>2828</v>
      </c>
      <c r="F252" s="8">
        <f t="shared" si="67"/>
        <v>773</v>
      </c>
      <c r="G252" s="8">
        <f t="shared" si="68"/>
        <v>883</v>
      </c>
      <c r="H252" s="8">
        <f t="shared" si="69"/>
        <v>591</v>
      </c>
      <c r="I252" s="6">
        <f t="shared" si="70"/>
        <v>2055</v>
      </c>
      <c r="J252" s="6">
        <f t="shared" si="71"/>
        <v>1945</v>
      </c>
      <c r="K252" s="6">
        <f t="shared" si="72"/>
        <v>2237</v>
      </c>
      <c r="L252" s="6">
        <f t="shared" si="81"/>
        <v>3000</v>
      </c>
      <c r="M252" s="6">
        <f t="shared" si="82"/>
        <v>3000</v>
      </c>
      <c r="N252" s="6">
        <f t="shared" si="83"/>
        <v>3000</v>
      </c>
      <c r="O252" s="6">
        <f t="shared" si="75"/>
        <v>-945</v>
      </c>
      <c r="P252" s="6">
        <f t="shared" si="76"/>
        <v>-1055</v>
      </c>
      <c r="Q252" s="6">
        <f t="shared" si="77"/>
        <v>-763</v>
      </c>
      <c r="R252" s="8">
        <v>5</v>
      </c>
      <c r="S252" s="8">
        <v>5</v>
      </c>
      <c r="T252" s="8">
        <v>2</v>
      </c>
      <c r="U252" s="25">
        <f t="shared" si="78"/>
        <v>-725</v>
      </c>
      <c r="V252" s="25">
        <f t="shared" si="79"/>
        <v>-845</v>
      </c>
      <c r="W252" s="25">
        <f t="shared" si="80"/>
        <v>-623</v>
      </c>
      <c r="X252" s="15">
        <v>1.155</v>
      </c>
      <c r="Y252" s="7"/>
      <c r="Z252" s="21">
        <f t="shared" si="84"/>
        <v>2.1</v>
      </c>
      <c r="AA252" s="6"/>
      <c r="AB252" s="6"/>
    </row>
    <row r="253" spans="1:28" ht="13.8">
      <c r="A253" s="13">
        <v>242</v>
      </c>
      <c r="B253" s="185" t="s">
        <v>314</v>
      </c>
      <c r="C253" s="10">
        <f t="shared" si="73"/>
        <v>1069</v>
      </c>
      <c r="D253" s="9">
        <f t="shared" si="85"/>
        <v>1761</v>
      </c>
      <c r="E253" s="26">
        <f t="shared" si="74"/>
        <v>2830</v>
      </c>
      <c r="F253" s="8">
        <f t="shared" si="67"/>
        <v>780</v>
      </c>
      <c r="G253" s="8">
        <f t="shared" si="68"/>
        <v>890</v>
      </c>
      <c r="H253" s="8">
        <f t="shared" si="69"/>
        <v>595</v>
      </c>
      <c r="I253" s="6">
        <f t="shared" si="70"/>
        <v>2050</v>
      </c>
      <c r="J253" s="6">
        <f t="shared" si="71"/>
        <v>1940</v>
      </c>
      <c r="K253" s="6">
        <f t="shared" si="72"/>
        <v>2235</v>
      </c>
      <c r="L253" s="6">
        <f t="shared" si="81"/>
        <v>3000</v>
      </c>
      <c r="M253" s="6">
        <f t="shared" si="82"/>
        <v>3000</v>
      </c>
      <c r="N253" s="6">
        <f t="shared" si="83"/>
        <v>3000</v>
      </c>
      <c r="O253" s="6">
        <f t="shared" si="75"/>
        <v>-950</v>
      </c>
      <c r="P253" s="6">
        <f t="shared" si="76"/>
        <v>-1060</v>
      </c>
      <c r="Q253" s="6">
        <f t="shared" si="77"/>
        <v>-765</v>
      </c>
      <c r="R253" s="8">
        <v>5</v>
      </c>
      <c r="S253" s="8">
        <v>5</v>
      </c>
      <c r="T253" s="8">
        <v>2</v>
      </c>
      <c r="U253" s="25">
        <f t="shared" si="78"/>
        <v>-730</v>
      </c>
      <c r="V253" s="25">
        <f t="shared" si="79"/>
        <v>-850</v>
      </c>
      <c r="W253" s="25">
        <f t="shared" si="80"/>
        <v>-625</v>
      </c>
      <c r="X253" s="15">
        <v>1.1499999999999999</v>
      </c>
      <c r="Y253" s="7"/>
      <c r="Z253" s="21">
        <f t="shared" si="84"/>
        <v>2.1</v>
      </c>
      <c r="AA253" s="6"/>
      <c r="AB253" s="6"/>
    </row>
    <row r="254" spans="1:28" ht="13.8">
      <c r="A254" s="13">
        <v>243</v>
      </c>
      <c r="B254" s="185" t="s">
        <v>315</v>
      </c>
      <c r="C254" s="10">
        <f t="shared" si="73"/>
        <v>1069</v>
      </c>
      <c r="D254" s="9">
        <f t="shared" si="85"/>
        <v>1763</v>
      </c>
      <c r="E254" s="26">
        <f t="shared" si="74"/>
        <v>2832</v>
      </c>
      <c r="F254" s="8">
        <f t="shared" si="67"/>
        <v>787</v>
      </c>
      <c r="G254" s="8">
        <f t="shared" si="68"/>
        <v>897</v>
      </c>
      <c r="H254" s="8">
        <f t="shared" si="69"/>
        <v>599</v>
      </c>
      <c r="I254" s="6">
        <f t="shared" si="70"/>
        <v>2045</v>
      </c>
      <c r="J254" s="6">
        <f t="shared" si="71"/>
        <v>1935</v>
      </c>
      <c r="K254" s="6">
        <f t="shared" si="72"/>
        <v>2233</v>
      </c>
      <c r="L254" s="6">
        <f t="shared" si="81"/>
        <v>3000</v>
      </c>
      <c r="M254" s="6">
        <f t="shared" si="82"/>
        <v>3000</v>
      </c>
      <c r="N254" s="6">
        <f t="shared" si="83"/>
        <v>3000</v>
      </c>
      <c r="O254" s="6">
        <f t="shared" si="75"/>
        <v>-955</v>
      </c>
      <c r="P254" s="6">
        <f t="shared" si="76"/>
        <v>-1065</v>
      </c>
      <c r="Q254" s="6">
        <f t="shared" si="77"/>
        <v>-767</v>
      </c>
      <c r="R254" s="8">
        <v>5</v>
      </c>
      <c r="S254" s="8">
        <v>5</v>
      </c>
      <c r="T254" s="8">
        <v>2</v>
      </c>
      <c r="U254" s="25">
        <f t="shared" si="78"/>
        <v>-735</v>
      </c>
      <c r="V254" s="25">
        <f t="shared" si="79"/>
        <v>-855</v>
      </c>
      <c r="W254" s="25">
        <f t="shared" si="80"/>
        <v>-627</v>
      </c>
      <c r="X254" s="15">
        <v>1.145</v>
      </c>
      <c r="Y254" s="7"/>
      <c r="Z254" s="21">
        <f t="shared" si="84"/>
        <v>2.1</v>
      </c>
      <c r="AA254" s="6"/>
      <c r="AB254" s="6"/>
    </row>
    <row r="255" spans="1:28" ht="13.8">
      <c r="A255" s="13">
        <v>244</v>
      </c>
      <c r="B255" s="185" t="s">
        <v>316</v>
      </c>
      <c r="C255" s="10">
        <f t="shared" si="73"/>
        <v>1069</v>
      </c>
      <c r="D255" s="9">
        <f t="shared" si="85"/>
        <v>1765</v>
      </c>
      <c r="E255" s="26">
        <f t="shared" si="74"/>
        <v>2834</v>
      </c>
      <c r="F255" s="8">
        <f t="shared" si="67"/>
        <v>794</v>
      </c>
      <c r="G255" s="8">
        <f t="shared" si="68"/>
        <v>905</v>
      </c>
      <c r="H255" s="8">
        <f t="shared" si="69"/>
        <v>603</v>
      </c>
      <c r="I255" s="6">
        <f t="shared" si="70"/>
        <v>2040</v>
      </c>
      <c r="J255" s="6">
        <f t="shared" si="71"/>
        <v>1929</v>
      </c>
      <c r="K255" s="6">
        <f t="shared" si="72"/>
        <v>2231</v>
      </c>
      <c r="L255" s="6">
        <f t="shared" si="81"/>
        <v>3000</v>
      </c>
      <c r="M255" s="6">
        <f t="shared" si="82"/>
        <v>3000</v>
      </c>
      <c r="N255" s="6">
        <f t="shared" si="83"/>
        <v>3000</v>
      </c>
      <c r="O255" s="6">
        <f t="shared" si="75"/>
        <v>-960</v>
      </c>
      <c r="P255" s="6">
        <f t="shared" si="76"/>
        <v>-1071</v>
      </c>
      <c r="Q255" s="6">
        <f t="shared" si="77"/>
        <v>-769</v>
      </c>
      <c r="R255" s="8">
        <v>5</v>
      </c>
      <c r="S255" s="8">
        <v>6</v>
      </c>
      <c r="T255" s="8">
        <v>2</v>
      </c>
      <c r="U255" s="25">
        <f t="shared" si="78"/>
        <v>-740</v>
      </c>
      <c r="V255" s="25">
        <f t="shared" si="79"/>
        <v>-861</v>
      </c>
      <c r="W255" s="25">
        <f t="shared" si="80"/>
        <v>-629</v>
      </c>
      <c r="X255" s="15">
        <v>1.139</v>
      </c>
      <c r="Y255" s="7"/>
      <c r="Z255" s="21">
        <f t="shared" si="84"/>
        <v>2.1</v>
      </c>
      <c r="AA255" s="6"/>
      <c r="AB255" s="6"/>
    </row>
    <row r="256" spans="1:28" ht="13.8">
      <c r="A256" s="13">
        <v>245</v>
      </c>
      <c r="B256" s="185" t="s">
        <v>317</v>
      </c>
      <c r="C256" s="10">
        <f t="shared" si="73"/>
        <v>1069</v>
      </c>
      <c r="D256" s="9">
        <f t="shared" si="85"/>
        <v>1767</v>
      </c>
      <c r="E256" s="26">
        <f t="shared" si="74"/>
        <v>2836</v>
      </c>
      <c r="F256" s="8">
        <f t="shared" si="67"/>
        <v>801</v>
      </c>
      <c r="G256" s="8">
        <f t="shared" si="68"/>
        <v>912</v>
      </c>
      <c r="H256" s="8">
        <f t="shared" si="69"/>
        <v>607</v>
      </c>
      <c r="I256" s="6">
        <f t="shared" si="70"/>
        <v>2035</v>
      </c>
      <c r="J256" s="6">
        <f t="shared" si="71"/>
        <v>1924</v>
      </c>
      <c r="K256" s="6">
        <f t="shared" si="72"/>
        <v>2229</v>
      </c>
      <c r="L256" s="6">
        <f t="shared" si="81"/>
        <v>3000</v>
      </c>
      <c r="M256" s="6">
        <f t="shared" si="82"/>
        <v>3000</v>
      </c>
      <c r="N256" s="6">
        <f t="shared" si="83"/>
        <v>3000</v>
      </c>
      <c r="O256" s="6">
        <f t="shared" si="75"/>
        <v>-965</v>
      </c>
      <c r="P256" s="6">
        <f t="shared" si="76"/>
        <v>-1076</v>
      </c>
      <c r="Q256" s="6">
        <f t="shared" si="77"/>
        <v>-771</v>
      </c>
      <c r="R256" s="8">
        <v>5</v>
      </c>
      <c r="S256" s="8">
        <v>5</v>
      </c>
      <c r="T256" s="8">
        <v>2</v>
      </c>
      <c r="U256" s="25">
        <f t="shared" si="78"/>
        <v>-745</v>
      </c>
      <c r="V256" s="25">
        <f t="shared" si="79"/>
        <v>-866</v>
      </c>
      <c r="W256" s="25">
        <f t="shared" si="80"/>
        <v>-631</v>
      </c>
      <c r="X256" s="15">
        <v>1.1339999999999999</v>
      </c>
      <c r="Y256" s="7"/>
      <c r="Z256" s="21">
        <f t="shared" si="84"/>
        <v>2.1</v>
      </c>
      <c r="AA256" s="6"/>
      <c r="AB256" s="6"/>
    </row>
    <row r="257" spans="1:28" ht="13.8">
      <c r="A257" s="13">
        <v>246</v>
      </c>
      <c r="B257" s="185" t="s">
        <v>318</v>
      </c>
      <c r="C257" s="10">
        <f t="shared" si="73"/>
        <v>1069</v>
      </c>
      <c r="D257" s="9">
        <f t="shared" si="85"/>
        <v>1769</v>
      </c>
      <c r="E257" s="26">
        <f t="shared" si="74"/>
        <v>2838</v>
      </c>
      <c r="F257" s="8">
        <f t="shared" si="67"/>
        <v>808</v>
      </c>
      <c r="G257" s="8">
        <f t="shared" si="68"/>
        <v>919</v>
      </c>
      <c r="H257" s="8">
        <f t="shared" si="69"/>
        <v>611</v>
      </c>
      <c r="I257" s="6">
        <f t="shared" si="70"/>
        <v>2030</v>
      </c>
      <c r="J257" s="6">
        <f t="shared" si="71"/>
        <v>1919</v>
      </c>
      <c r="K257" s="6">
        <f t="shared" si="72"/>
        <v>2227</v>
      </c>
      <c r="L257" s="6">
        <f t="shared" si="81"/>
        <v>3000</v>
      </c>
      <c r="M257" s="6">
        <f t="shared" si="82"/>
        <v>3000</v>
      </c>
      <c r="N257" s="6">
        <f t="shared" si="83"/>
        <v>3000</v>
      </c>
      <c r="O257" s="6">
        <f t="shared" si="75"/>
        <v>-970</v>
      </c>
      <c r="P257" s="6">
        <f t="shared" si="76"/>
        <v>-1081</v>
      </c>
      <c r="Q257" s="6">
        <f t="shared" si="77"/>
        <v>-773</v>
      </c>
      <c r="R257" s="8">
        <v>5</v>
      </c>
      <c r="S257" s="8">
        <v>5</v>
      </c>
      <c r="T257" s="8">
        <v>2</v>
      </c>
      <c r="U257" s="25">
        <f t="shared" si="78"/>
        <v>-750</v>
      </c>
      <c r="V257" s="25">
        <f t="shared" si="79"/>
        <v>-871</v>
      </c>
      <c r="W257" s="25">
        <f t="shared" si="80"/>
        <v>-633</v>
      </c>
      <c r="X257" s="15">
        <v>1.129</v>
      </c>
      <c r="Y257" s="7"/>
      <c r="Z257" s="21">
        <f t="shared" si="84"/>
        <v>2.1</v>
      </c>
      <c r="AA257" s="6"/>
      <c r="AB257" s="6"/>
    </row>
    <row r="258" spans="1:28" ht="13.8">
      <c r="A258" s="13">
        <v>247</v>
      </c>
      <c r="B258" s="185" t="s">
        <v>319</v>
      </c>
      <c r="C258" s="10">
        <f t="shared" si="73"/>
        <v>1069</v>
      </c>
      <c r="D258" s="9">
        <f t="shared" si="85"/>
        <v>1771</v>
      </c>
      <c r="E258" s="26">
        <f t="shared" si="74"/>
        <v>2840</v>
      </c>
      <c r="F258" s="8">
        <f t="shared" si="67"/>
        <v>814</v>
      </c>
      <c r="G258" s="8">
        <f t="shared" si="68"/>
        <v>926</v>
      </c>
      <c r="H258" s="8">
        <f t="shared" si="69"/>
        <v>615</v>
      </c>
      <c r="I258" s="6">
        <f t="shared" si="70"/>
        <v>2026</v>
      </c>
      <c r="J258" s="6">
        <f t="shared" si="71"/>
        <v>1914</v>
      </c>
      <c r="K258" s="6">
        <f t="shared" si="72"/>
        <v>2225</v>
      </c>
      <c r="L258" s="6">
        <f t="shared" si="81"/>
        <v>3000</v>
      </c>
      <c r="M258" s="6">
        <f t="shared" si="82"/>
        <v>3000</v>
      </c>
      <c r="N258" s="6">
        <f t="shared" si="83"/>
        <v>3000</v>
      </c>
      <c r="O258" s="6">
        <f t="shared" si="75"/>
        <v>-974</v>
      </c>
      <c r="P258" s="6">
        <f t="shared" si="76"/>
        <v>-1086</v>
      </c>
      <c r="Q258" s="6">
        <f t="shared" si="77"/>
        <v>-775</v>
      </c>
      <c r="R258" s="8">
        <v>4</v>
      </c>
      <c r="S258" s="8">
        <v>5</v>
      </c>
      <c r="T258" s="8">
        <v>2</v>
      </c>
      <c r="U258" s="25">
        <f t="shared" si="78"/>
        <v>-754</v>
      </c>
      <c r="V258" s="25">
        <f t="shared" si="79"/>
        <v>-876</v>
      </c>
      <c r="W258" s="25">
        <f t="shared" si="80"/>
        <v>-635</v>
      </c>
      <c r="X258" s="15">
        <v>1.1240000000000001</v>
      </c>
      <c r="Y258" s="7"/>
      <c r="Z258" s="21">
        <f t="shared" si="84"/>
        <v>2.1</v>
      </c>
      <c r="AA258" s="6"/>
      <c r="AB258" s="6"/>
    </row>
    <row r="259" spans="1:28" ht="13.8">
      <c r="A259" s="13">
        <v>248</v>
      </c>
      <c r="B259" s="185" t="s">
        <v>320</v>
      </c>
      <c r="C259" s="10">
        <f t="shared" si="73"/>
        <v>1069</v>
      </c>
      <c r="D259" s="9">
        <f t="shared" si="85"/>
        <v>1773</v>
      </c>
      <c r="E259" s="26">
        <f t="shared" si="74"/>
        <v>2842</v>
      </c>
      <c r="F259" s="8">
        <f t="shared" si="67"/>
        <v>820</v>
      </c>
      <c r="G259" s="8">
        <f t="shared" si="68"/>
        <v>933</v>
      </c>
      <c r="H259" s="8">
        <f t="shared" si="69"/>
        <v>619</v>
      </c>
      <c r="I259" s="6">
        <f t="shared" si="70"/>
        <v>2022</v>
      </c>
      <c r="J259" s="6">
        <f t="shared" si="71"/>
        <v>1909</v>
      </c>
      <c r="K259" s="6">
        <f t="shared" si="72"/>
        <v>2223</v>
      </c>
      <c r="L259" s="6">
        <f t="shared" si="81"/>
        <v>3000</v>
      </c>
      <c r="M259" s="6">
        <f t="shared" si="82"/>
        <v>3000</v>
      </c>
      <c r="N259" s="6">
        <f t="shared" si="83"/>
        <v>3000</v>
      </c>
      <c r="O259" s="6">
        <f t="shared" si="75"/>
        <v>-978</v>
      </c>
      <c r="P259" s="6">
        <f t="shared" si="76"/>
        <v>-1091</v>
      </c>
      <c r="Q259" s="6">
        <f t="shared" si="77"/>
        <v>-777</v>
      </c>
      <c r="R259" s="8">
        <v>4</v>
      </c>
      <c r="S259" s="8">
        <v>5</v>
      </c>
      <c r="T259" s="8">
        <v>2</v>
      </c>
      <c r="U259" s="25">
        <f t="shared" si="78"/>
        <v>-758</v>
      </c>
      <c r="V259" s="25">
        <f t="shared" si="79"/>
        <v>-881</v>
      </c>
      <c r="W259" s="25">
        <f t="shared" si="80"/>
        <v>-637</v>
      </c>
      <c r="X259" s="15">
        <v>1.119</v>
      </c>
      <c r="Y259" s="7"/>
      <c r="Z259" s="21">
        <f t="shared" si="84"/>
        <v>2.1</v>
      </c>
      <c r="AA259" s="6"/>
      <c r="AB259" s="6"/>
    </row>
    <row r="260" spans="1:28" ht="13.8">
      <c r="A260" s="13">
        <v>249</v>
      </c>
      <c r="B260" s="185" t="s">
        <v>321</v>
      </c>
      <c r="C260" s="10">
        <f t="shared" si="73"/>
        <v>1069</v>
      </c>
      <c r="D260" s="9">
        <f t="shared" si="85"/>
        <v>1775</v>
      </c>
      <c r="E260" s="26">
        <f t="shared" si="74"/>
        <v>2844</v>
      </c>
      <c r="F260" s="8">
        <f t="shared" si="67"/>
        <v>826</v>
      </c>
      <c r="G260" s="8">
        <f t="shared" si="68"/>
        <v>939</v>
      </c>
      <c r="H260" s="8">
        <f t="shared" si="69"/>
        <v>622</v>
      </c>
      <c r="I260" s="6">
        <f t="shared" si="70"/>
        <v>2018</v>
      </c>
      <c r="J260" s="6">
        <f t="shared" si="71"/>
        <v>1905</v>
      </c>
      <c r="K260" s="6">
        <f t="shared" si="72"/>
        <v>2222</v>
      </c>
      <c r="L260" s="6">
        <f t="shared" si="81"/>
        <v>3000</v>
      </c>
      <c r="M260" s="6">
        <f t="shared" si="82"/>
        <v>3000</v>
      </c>
      <c r="N260" s="6">
        <f t="shared" si="83"/>
        <v>3000</v>
      </c>
      <c r="O260" s="6">
        <f t="shared" si="75"/>
        <v>-982</v>
      </c>
      <c r="P260" s="6">
        <f t="shared" si="76"/>
        <v>-1095</v>
      </c>
      <c r="Q260" s="6">
        <f t="shared" si="77"/>
        <v>-778</v>
      </c>
      <c r="R260" s="8">
        <v>4</v>
      </c>
      <c r="S260" s="8">
        <v>4</v>
      </c>
      <c r="T260" s="8">
        <v>1</v>
      </c>
      <c r="U260" s="25">
        <f t="shared" si="78"/>
        <v>-762</v>
      </c>
      <c r="V260" s="25">
        <f t="shared" si="79"/>
        <v>-885</v>
      </c>
      <c r="W260" s="25">
        <f t="shared" si="80"/>
        <v>-638</v>
      </c>
      <c r="X260" s="15">
        <v>1.115</v>
      </c>
      <c r="Y260" s="7"/>
      <c r="Z260" s="21">
        <f t="shared" si="84"/>
        <v>2.1</v>
      </c>
      <c r="AA260" s="6"/>
      <c r="AB260" s="6"/>
    </row>
    <row r="261" spans="1:28" ht="13.8">
      <c r="A261" s="13">
        <v>250</v>
      </c>
      <c r="B261" s="185" t="s">
        <v>322</v>
      </c>
      <c r="C261" s="10">
        <f t="shared" si="73"/>
        <v>1069</v>
      </c>
      <c r="D261" s="9">
        <f t="shared" si="85"/>
        <v>1777</v>
      </c>
      <c r="E261" s="26">
        <f t="shared" si="74"/>
        <v>2846</v>
      </c>
      <c r="F261" s="8">
        <f t="shared" si="67"/>
        <v>831</v>
      </c>
      <c r="G261" s="8">
        <f t="shared" si="68"/>
        <v>945</v>
      </c>
      <c r="H261" s="8">
        <f t="shared" si="69"/>
        <v>625</v>
      </c>
      <c r="I261" s="6">
        <f t="shared" si="70"/>
        <v>2015</v>
      </c>
      <c r="J261" s="6">
        <f t="shared" si="71"/>
        <v>1901</v>
      </c>
      <c r="K261" s="6">
        <f t="shared" si="72"/>
        <v>2221</v>
      </c>
      <c r="L261" s="6">
        <f t="shared" si="81"/>
        <v>3000</v>
      </c>
      <c r="M261" s="6">
        <f t="shared" si="82"/>
        <v>3000</v>
      </c>
      <c r="N261" s="6">
        <f t="shared" si="83"/>
        <v>3000</v>
      </c>
      <c r="O261" s="6">
        <f t="shared" si="75"/>
        <v>-985</v>
      </c>
      <c r="P261" s="6">
        <f t="shared" si="76"/>
        <v>-1099</v>
      </c>
      <c r="Q261" s="6">
        <f t="shared" si="77"/>
        <v>-779</v>
      </c>
      <c r="R261" s="8">
        <v>3</v>
      </c>
      <c r="S261" s="8">
        <v>4</v>
      </c>
      <c r="T261" s="8">
        <v>1</v>
      </c>
      <c r="U261" s="25">
        <f t="shared" si="78"/>
        <v>-765</v>
      </c>
      <c r="V261" s="25">
        <f t="shared" si="79"/>
        <v>-889</v>
      </c>
      <c r="W261" s="25">
        <f t="shared" si="80"/>
        <v>-639</v>
      </c>
      <c r="X261" s="15">
        <v>1.111</v>
      </c>
      <c r="Y261" s="7"/>
      <c r="Z261" s="21">
        <f t="shared" si="84"/>
        <v>2.1</v>
      </c>
      <c r="AA261" s="6"/>
      <c r="AB261" s="6"/>
    </row>
    <row r="262" spans="1:28" ht="13.8">
      <c r="A262" s="13">
        <v>251</v>
      </c>
      <c r="B262" s="185" t="s">
        <v>323</v>
      </c>
      <c r="C262" s="10">
        <f t="shared" si="73"/>
        <v>1069</v>
      </c>
      <c r="D262" s="9">
        <f t="shared" si="85"/>
        <v>1779</v>
      </c>
      <c r="E262" s="26">
        <f t="shared" si="74"/>
        <v>2848</v>
      </c>
      <c r="F262" s="8">
        <f t="shared" si="67"/>
        <v>836</v>
      </c>
      <c r="G262" s="8">
        <f t="shared" si="68"/>
        <v>950</v>
      </c>
      <c r="H262" s="8">
        <f t="shared" si="69"/>
        <v>627</v>
      </c>
      <c r="I262" s="6">
        <f t="shared" si="70"/>
        <v>2012</v>
      </c>
      <c r="J262" s="6">
        <f t="shared" si="71"/>
        <v>1898</v>
      </c>
      <c r="K262" s="6">
        <f t="shared" si="72"/>
        <v>2221</v>
      </c>
      <c r="L262" s="6">
        <f t="shared" si="81"/>
        <v>3000</v>
      </c>
      <c r="M262" s="6">
        <f t="shared" si="82"/>
        <v>3000</v>
      </c>
      <c r="N262" s="6">
        <f t="shared" si="83"/>
        <v>3000</v>
      </c>
      <c r="O262" s="6">
        <f t="shared" si="75"/>
        <v>-988</v>
      </c>
      <c r="P262" s="6">
        <f t="shared" si="76"/>
        <v>-1102</v>
      </c>
      <c r="Q262" s="6">
        <f t="shared" si="77"/>
        <v>-779</v>
      </c>
      <c r="R262" s="8">
        <v>3</v>
      </c>
      <c r="S262" s="8">
        <v>3</v>
      </c>
      <c r="T262" s="8">
        <v>0</v>
      </c>
      <c r="U262" s="25">
        <f t="shared" si="78"/>
        <v>-768</v>
      </c>
      <c r="V262" s="25">
        <f t="shared" si="79"/>
        <v>-892</v>
      </c>
      <c r="W262" s="25">
        <f t="shared" si="80"/>
        <v>-639</v>
      </c>
      <c r="X262" s="15">
        <v>1.1080000000000001</v>
      </c>
      <c r="Y262" s="7"/>
      <c r="Z262" s="21">
        <f t="shared" si="84"/>
        <v>2.1</v>
      </c>
      <c r="AA262" s="6"/>
      <c r="AB262" s="6"/>
    </row>
    <row r="263" spans="1:28" ht="13.8">
      <c r="A263" s="13">
        <v>252</v>
      </c>
      <c r="B263" s="185" t="s">
        <v>324</v>
      </c>
      <c r="C263" s="10">
        <f t="shared" si="73"/>
        <v>1069</v>
      </c>
      <c r="D263" s="9">
        <f t="shared" si="85"/>
        <v>1781</v>
      </c>
      <c r="E263" s="26">
        <f t="shared" si="74"/>
        <v>2850</v>
      </c>
      <c r="F263" s="8">
        <f t="shared" si="67"/>
        <v>840</v>
      </c>
      <c r="G263" s="8">
        <f t="shared" si="68"/>
        <v>954</v>
      </c>
      <c r="H263" s="8">
        <f t="shared" si="69"/>
        <v>629</v>
      </c>
      <c r="I263" s="6">
        <f t="shared" si="70"/>
        <v>2010</v>
      </c>
      <c r="J263" s="6">
        <f t="shared" si="71"/>
        <v>1896</v>
      </c>
      <c r="K263" s="6">
        <f t="shared" si="72"/>
        <v>2221</v>
      </c>
      <c r="L263" s="6">
        <f t="shared" si="81"/>
        <v>3000</v>
      </c>
      <c r="M263" s="6">
        <f t="shared" si="82"/>
        <v>3000</v>
      </c>
      <c r="N263" s="6">
        <f t="shared" si="83"/>
        <v>3000</v>
      </c>
      <c r="O263" s="6">
        <f t="shared" si="75"/>
        <v>-990</v>
      </c>
      <c r="P263" s="6">
        <f t="shared" si="76"/>
        <v>-1104</v>
      </c>
      <c r="Q263" s="6">
        <f t="shared" si="77"/>
        <v>-779</v>
      </c>
      <c r="R263" s="8">
        <v>2</v>
      </c>
      <c r="S263" s="8">
        <v>2</v>
      </c>
      <c r="T263" s="8">
        <v>0</v>
      </c>
      <c r="U263" s="25">
        <f t="shared" si="78"/>
        <v>-770</v>
      </c>
      <c r="V263" s="25">
        <f t="shared" si="79"/>
        <v>-894</v>
      </c>
      <c r="W263" s="25">
        <f t="shared" si="80"/>
        <v>-639</v>
      </c>
      <c r="X263" s="15">
        <v>1.1060000000000001</v>
      </c>
      <c r="Y263" s="7"/>
      <c r="Z263" s="21">
        <f t="shared" si="84"/>
        <v>2.1</v>
      </c>
      <c r="AA263" s="6"/>
      <c r="AB263" s="6"/>
    </row>
    <row r="264" spans="1:28" ht="13.8">
      <c r="A264" s="13">
        <v>253</v>
      </c>
      <c r="B264" s="185" t="s">
        <v>325</v>
      </c>
      <c r="C264" s="10">
        <f t="shared" si="73"/>
        <v>1069</v>
      </c>
      <c r="D264" s="9">
        <f t="shared" si="85"/>
        <v>1783</v>
      </c>
      <c r="E264" s="26">
        <f t="shared" si="74"/>
        <v>2852</v>
      </c>
      <c r="F264" s="8">
        <f t="shared" si="67"/>
        <v>842</v>
      </c>
      <c r="G264" s="8">
        <f t="shared" si="68"/>
        <v>956</v>
      </c>
      <c r="H264" s="8">
        <f t="shared" si="69"/>
        <v>631</v>
      </c>
      <c r="I264" s="6">
        <f t="shared" si="70"/>
        <v>2010</v>
      </c>
      <c r="J264" s="6">
        <f t="shared" si="71"/>
        <v>1896</v>
      </c>
      <c r="K264" s="6">
        <f t="shared" si="72"/>
        <v>2221</v>
      </c>
      <c r="L264" s="6">
        <f t="shared" si="81"/>
        <v>3000</v>
      </c>
      <c r="M264" s="6">
        <f t="shared" si="82"/>
        <v>3000</v>
      </c>
      <c r="N264" s="6">
        <f t="shared" si="83"/>
        <v>3000</v>
      </c>
      <c r="O264" s="6">
        <f t="shared" si="75"/>
        <v>-990</v>
      </c>
      <c r="P264" s="6">
        <f t="shared" si="76"/>
        <v>-1104</v>
      </c>
      <c r="Q264" s="6">
        <f t="shared" si="77"/>
        <v>-779</v>
      </c>
      <c r="R264" s="8">
        <v>0</v>
      </c>
      <c r="S264" s="8">
        <v>0</v>
      </c>
      <c r="T264" s="8">
        <v>0</v>
      </c>
      <c r="U264" s="25">
        <f t="shared" si="78"/>
        <v>-770</v>
      </c>
      <c r="V264" s="25">
        <f t="shared" si="79"/>
        <v>-894</v>
      </c>
      <c r="W264" s="25">
        <f t="shared" si="80"/>
        <v>-639</v>
      </c>
      <c r="X264" s="15">
        <v>1.1060000000000001</v>
      </c>
      <c r="Y264" s="7"/>
      <c r="Z264" s="21">
        <f t="shared" si="84"/>
        <v>2.1</v>
      </c>
      <c r="AA264" s="6"/>
      <c r="AB264" s="6"/>
    </row>
    <row r="265" spans="1:28" ht="13.8">
      <c r="A265" s="13">
        <v>254</v>
      </c>
      <c r="B265" s="185" t="s">
        <v>326</v>
      </c>
      <c r="C265" s="10">
        <f t="shared" si="73"/>
        <v>1069</v>
      </c>
      <c r="D265" s="9">
        <f t="shared" si="85"/>
        <v>1785</v>
      </c>
      <c r="E265" s="26">
        <f t="shared" si="74"/>
        <v>2854</v>
      </c>
      <c r="F265" s="8">
        <f t="shared" si="67"/>
        <v>844</v>
      </c>
      <c r="G265" s="8">
        <f t="shared" si="68"/>
        <v>958</v>
      </c>
      <c r="H265" s="8">
        <f t="shared" si="69"/>
        <v>633</v>
      </c>
      <c r="I265" s="6">
        <f t="shared" si="70"/>
        <v>2010</v>
      </c>
      <c r="J265" s="6">
        <f t="shared" si="71"/>
        <v>1896</v>
      </c>
      <c r="K265" s="6">
        <f t="shared" si="72"/>
        <v>2221</v>
      </c>
      <c r="L265" s="6">
        <f t="shared" si="81"/>
        <v>3000</v>
      </c>
      <c r="M265" s="6">
        <f t="shared" si="82"/>
        <v>3000</v>
      </c>
      <c r="N265" s="6">
        <f t="shared" si="83"/>
        <v>3000</v>
      </c>
      <c r="O265" s="6">
        <f t="shared" si="75"/>
        <v>-990</v>
      </c>
      <c r="P265" s="6">
        <f t="shared" si="76"/>
        <v>-1104</v>
      </c>
      <c r="Q265" s="6">
        <f t="shared" si="77"/>
        <v>-779</v>
      </c>
      <c r="R265" s="8">
        <v>0</v>
      </c>
      <c r="S265" s="8">
        <v>0</v>
      </c>
      <c r="T265" s="8">
        <v>0</v>
      </c>
      <c r="U265" s="25">
        <f t="shared" si="78"/>
        <v>-770</v>
      </c>
      <c r="V265" s="25">
        <f t="shared" si="79"/>
        <v>-894</v>
      </c>
      <c r="W265" s="25">
        <f t="shared" si="80"/>
        <v>-639</v>
      </c>
      <c r="X265" s="15">
        <v>1.1060000000000001</v>
      </c>
      <c r="Y265" s="7"/>
      <c r="Z265" s="21">
        <f t="shared" si="84"/>
        <v>2.1</v>
      </c>
      <c r="AA265" s="6"/>
      <c r="AB265" s="6"/>
    </row>
    <row r="266" spans="1:28" ht="13.8">
      <c r="A266" s="13">
        <v>255</v>
      </c>
      <c r="B266" s="185" t="s">
        <v>327</v>
      </c>
      <c r="C266" s="10">
        <f t="shared" si="73"/>
        <v>1069</v>
      </c>
      <c r="D266" s="9">
        <f t="shared" si="85"/>
        <v>1787</v>
      </c>
      <c r="E266" s="26">
        <f t="shared" si="74"/>
        <v>2856</v>
      </c>
      <c r="F266" s="8">
        <f t="shared" si="67"/>
        <v>846</v>
      </c>
      <c r="G266" s="8">
        <f t="shared" si="68"/>
        <v>960</v>
      </c>
      <c r="H266" s="8">
        <f t="shared" si="69"/>
        <v>635</v>
      </c>
      <c r="I266" s="6">
        <f t="shared" si="70"/>
        <v>2010</v>
      </c>
      <c r="J266" s="6">
        <f t="shared" si="71"/>
        <v>1896</v>
      </c>
      <c r="K266" s="6">
        <f t="shared" si="72"/>
        <v>2221</v>
      </c>
      <c r="L266" s="6">
        <f t="shared" si="81"/>
        <v>3000</v>
      </c>
      <c r="M266" s="6">
        <f t="shared" si="82"/>
        <v>3000</v>
      </c>
      <c r="N266" s="6">
        <f t="shared" si="83"/>
        <v>3000</v>
      </c>
      <c r="O266" s="6">
        <f t="shared" si="75"/>
        <v>-990</v>
      </c>
      <c r="P266" s="6">
        <f t="shared" si="76"/>
        <v>-1104</v>
      </c>
      <c r="Q266" s="6">
        <f t="shared" si="77"/>
        <v>-779</v>
      </c>
      <c r="R266" s="8">
        <v>0</v>
      </c>
      <c r="S266" s="8">
        <v>0</v>
      </c>
      <c r="T266" s="8">
        <v>0</v>
      </c>
      <c r="U266" s="25">
        <f t="shared" si="78"/>
        <v>-770</v>
      </c>
      <c r="V266" s="25">
        <f t="shared" si="79"/>
        <v>-894</v>
      </c>
      <c r="W266" s="25">
        <f t="shared" si="80"/>
        <v>-639</v>
      </c>
      <c r="X266" s="15">
        <v>1.1060000000000001</v>
      </c>
      <c r="Y266" s="7"/>
      <c r="Z266" s="21">
        <f t="shared" si="84"/>
        <v>2.1</v>
      </c>
      <c r="AA266" s="6"/>
      <c r="AB266" s="6"/>
    </row>
    <row r="267" spans="1:28" ht="13.8">
      <c r="A267" s="13">
        <v>256</v>
      </c>
      <c r="B267" s="185" t="s">
        <v>328</v>
      </c>
      <c r="C267" s="10">
        <f t="shared" si="73"/>
        <v>1069</v>
      </c>
      <c r="D267" s="9">
        <f t="shared" si="85"/>
        <v>1789</v>
      </c>
      <c r="E267" s="26">
        <f t="shared" si="74"/>
        <v>2858</v>
      </c>
      <c r="F267" s="8">
        <f t="shared" ref="F267:F330" si="86">C267+D267-I267</f>
        <v>848</v>
      </c>
      <c r="G267" s="8">
        <f t="shared" ref="G267:G330" si="87">C267+D267-J267</f>
        <v>962</v>
      </c>
      <c r="H267" s="8">
        <f t="shared" ref="H267:H330" si="88">D267+C267-K267</f>
        <v>637</v>
      </c>
      <c r="I267" s="6">
        <f t="shared" ref="I267:I330" si="89">L267+O267</f>
        <v>2010</v>
      </c>
      <c r="J267" s="6">
        <f t="shared" ref="J267:J330" si="90">M267+P267</f>
        <v>1896</v>
      </c>
      <c r="K267" s="6">
        <f t="shared" ref="K267:K330" si="91">N267+Q267</f>
        <v>2221</v>
      </c>
      <c r="L267" s="6">
        <f t="shared" si="81"/>
        <v>3000</v>
      </c>
      <c r="M267" s="6">
        <f t="shared" si="82"/>
        <v>3000</v>
      </c>
      <c r="N267" s="6">
        <f t="shared" si="83"/>
        <v>3000</v>
      </c>
      <c r="O267" s="6">
        <f t="shared" si="75"/>
        <v>-990</v>
      </c>
      <c r="P267" s="6">
        <f t="shared" si="76"/>
        <v>-1104</v>
      </c>
      <c r="Q267" s="6">
        <f t="shared" si="77"/>
        <v>-779</v>
      </c>
      <c r="R267" s="8">
        <v>0</v>
      </c>
      <c r="S267" s="8">
        <v>0</v>
      </c>
      <c r="T267" s="8">
        <v>0</v>
      </c>
      <c r="U267" s="25">
        <f t="shared" si="78"/>
        <v>-770</v>
      </c>
      <c r="V267" s="25">
        <f t="shared" si="79"/>
        <v>-894</v>
      </c>
      <c r="W267" s="25">
        <f t="shared" si="80"/>
        <v>-639</v>
      </c>
      <c r="X267" s="15">
        <v>1.1060000000000001</v>
      </c>
      <c r="Y267" s="7"/>
      <c r="Z267" s="21">
        <f t="shared" si="84"/>
        <v>2.1</v>
      </c>
      <c r="AA267" s="6"/>
      <c r="AB267" s="6"/>
    </row>
    <row r="268" spans="1:28" ht="13.8">
      <c r="A268" s="13">
        <v>257</v>
      </c>
      <c r="B268" s="185" t="s">
        <v>329</v>
      </c>
      <c r="C268" s="10">
        <f t="shared" ref="C268:C331" si="92">C267</f>
        <v>1069</v>
      </c>
      <c r="D268" s="9">
        <f t="shared" si="85"/>
        <v>1791</v>
      </c>
      <c r="E268" s="26">
        <f t="shared" ref="E268:E331" si="93">C268+D268</f>
        <v>2860</v>
      </c>
      <c r="F268" s="8">
        <f t="shared" si="86"/>
        <v>850</v>
      </c>
      <c r="G268" s="8">
        <f t="shared" si="87"/>
        <v>964</v>
      </c>
      <c r="H268" s="8">
        <f t="shared" si="88"/>
        <v>639</v>
      </c>
      <c r="I268" s="6">
        <f t="shared" si="89"/>
        <v>2010</v>
      </c>
      <c r="J268" s="6">
        <f t="shared" si="90"/>
        <v>1896</v>
      </c>
      <c r="K268" s="6">
        <f t="shared" si="91"/>
        <v>2221</v>
      </c>
      <c r="L268" s="6">
        <f t="shared" si="81"/>
        <v>3000</v>
      </c>
      <c r="M268" s="6">
        <f t="shared" si="82"/>
        <v>3000</v>
      </c>
      <c r="N268" s="6">
        <f t="shared" si="83"/>
        <v>3000</v>
      </c>
      <c r="O268" s="6">
        <f t="shared" ref="O268:O331" si="94">O267-R268</f>
        <v>-990</v>
      </c>
      <c r="P268" s="6">
        <f t="shared" ref="P268:P331" si="95">P267-S268</f>
        <v>-1104</v>
      </c>
      <c r="Q268" s="6">
        <f t="shared" ref="Q268:Q331" si="96">Q267-T268</f>
        <v>-779</v>
      </c>
      <c r="R268" s="8">
        <v>0</v>
      </c>
      <c r="S268" s="8">
        <v>0</v>
      </c>
      <c r="T268" s="8">
        <v>0</v>
      </c>
      <c r="U268" s="25">
        <f t="shared" ref="U268:U331" si="97">U267-R268</f>
        <v>-770</v>
      </c>
      <c r="V268" s="25">
        <f t="shared" ref="V268:V331" si="98">V267-S268</f>
        <v>-894</v>
      </c>
      <c r="W268" s="25">
        <f t="shared" ref="W268:W331" si="99">W267-T268</f>
        <v>-639</v>
      </c>
      <c r="X268" s="15">
        <v>1.1060000000000001</v>
      </c>
      <c r="Y268" s="7"/>
      <c r="Z268" s="21">
        <f t="shared" si="84"/>
        <v>2.1</v>
      </c>
      <c r="AA268" s="6"/>
      <c r="AB268" s="6"/>
    </row>
    <row r="269" spans="1:28" ht="13.8">
      <c r="A269" s="13">
        <v>258</v>
      </c>
      <c r="B269" s="185" t="s">
        <v>330</v>
      </c>
      <c r="C269" s="10">
        <f t="shared" si="92"/>
        <v>1069</v>
      </c>
      <c r="D269" s="9">
        <f t="shared" si="85"/>
        <v>1793</v>
      </c>
      <c r="E269" s="26">
        <f t="shared" si="93"/>
        <v>2862</v>
      </c>
      <c r="F269" s="8">
        <f t="shared" si="86"/>
        <v>852</v>
      </c>
      <c r="G269" s="8">
        <f t="shared" si="87"/>
        <v>966</v>
      </c>
      <c r="H269" s="8">
        <f t="shared" si="88"/>
        <v>641</v>
      </c>
      <c r="I269" s="6">
        <f t="shared" si="89"/>
        <v>2010</v>
      </c>
      <c r="J269" s="6">
        <f t="shared" si="90"/>
        <v>1896</v>
      </c>
      <c r="K269" s="6">
        <f t="shared" si="91"/>
        <v>2221</v>
      </c>
      <c r="L269" s="6">
        <f t="shared" si="81"/>
        <v>3000</v>
      </c>
      <c r="M269" s="6">
        <f t="shared" si="82"/>
        <v>3000</v>
      </c>
      <c r="N269" s="6">
        <f t="shared" si="83"/>
        <v>3000</v>
      </c>
      <c r="O269" s="6">
        <f t="shared" si="94"/>
        <v>-990</v>
      </c>
      <c r="P269" s="6">
        <f t="shared" si="95"/>
        <v>-1104</v>
      </c>
      <c r="Q269" s="6">
        <f t="shared" si="96"/>
        <v>-779</v>
      </c>
      <c r="R269" s="8">
        <v>0</v>
      </c>
      <c r="S269" s="8">
        <v>0</v>
      </c>
      <c r="T269" s="8">
        <v>0</v>
      </c>
      <c r="U269" s="25">
        <f t="shared" si="97"/>
        <v>-770</v>
      </c>
      <c r="V269" s="25">
        <f t="shared" si="98"/>
        <v>-894</v>
      </c>
      <c r="W269" s="25">
        <f t="shared" si="99"/>
        <v>-639</v>
      </c>
      <c r="X269" s="15">
        <v>1.1060000000000001</v>
      </c>
      <c r="Y269" s="7"/>
      <c r="Z269" s="21">
        <f t="shared" si="84"/>
        <v>2.1</v>
      </c>
      <c r="AA269" s="6"/>
      <c r="AB269" s="6"/>
    </row>
    <row r="270" spans="1:28" ht="13.8">
      <c r="A270" s="13">
        <v>259</v>
      </c>
      <c r="B270" s="185" t="s">
        <v>331</v>
      </c>
      <c r="C270" s="10">
        <f t="shared" si="92"/>
        <v>1069</v>
      </c>
      <c r="D270" s="9">
        <f t="shared" si="85"/>
        <v>1795</v>
      </c>
      <c r="E270" s="26">
        <f t="shared" si="93"/>
        <v>2864</v>
      </c>
      <c r="F270" s="8">
        <f t="shared" si="86"/>
        <v>854</v>
      </c>
      <c r="G270" s="8">
        <f t="shared" si="87"/>
        <v>968</v>
      </c>
      <c r="H270" s="8">
        <f t="shared" si="88"/>
        <v>643</v>
      </c>
      <c r="I270" s="6">
        <f t="shared" si="89"/>
        <v>2010</v>
      </c>
      <c r="J270" s="6">
        <f t="shared" si="90"/>
        <v>1896</v>
      </c>
      <c r="K270" s="6">
        <f t="shared" si="91"/>
        <v>2221</v>
      </c>
      <c r="L270" s="6">
        <f t="shared" si="81"/>
        <v>3000</v>
      </c>
      <c r="M270" s="6">
        <f t="shared" si="82"/>
        <v>3000</v>
      </c>
      <c r="N270" s="6">
        <f t="shared" si="83"/>
        <v>3000</v>
      </c>
      <c r="O270" s="6">
        <f t="shared" si="94"/>
        <v>-990</v>
      </c>
      <c r="P270" s="6">
        <f t="shared" si="95"/>
        <v>-1104</v>
      </c>
      <c r="Q270" s="6">
        <f t="shared" si="96"/>
        <v>-779</v>
      </c>
      <c r="R270" s="8">
        <v>0</v>
      </c>
      <c r="S270" s="8">
        <v>0</v>
      </c>
      <c r="T270" s="8">
        <v>0</v>
      </c>
      <c r="U270" s="25">
        <f t="shared" si="97"/>
        <v>-770</v>
      </c>
      <c r="V270" s="25">
        <f t="shared" si="98"/>
        <v>-894</v>
      </c>
      <c r="W270" s="25">
        <f t="shared" si="99"/>
        <v>-639</v>
      </c>
      <c r="X270" s="15">
        <v>1.1060000000000001</v>
      </c>
      <c r="Y270" s="7"/>
      <c r="Z270" s="21">
        <f t="shared" si="84"/>
        <v>2.1</v>
      </c>
      <c r="AA270" s="6"/>
      <c r="AB270" s="6"/>
    </row>
    <row r="271" spans="1:28" ht="13.8">
      <c r="A271" s="13">
        <v>260</v>
      </c>
      <c r="B271" s="185" t="s">
        <v>332</v>
      </c>
      <c r="C271" s="10">
        <f t="shared" si="92"/>
        <v>1069</v>
      </c>
      <c r="D271" s="9">
        <f t="shared" si="85"/>
        <v>1797</v>
      </c>
      <c r="E271" s="26">
        <f t="shared" si="93"/>
        <v>2866</v>
      </c>
      <c r="F271" s="8">
        <f t="shared" si="86"/>
        <v>856</v>
      </c>
      <c r="G271" s="8">
        <f t="shared" si="87"/>
        <v>970</v>
      </c>
      <c r="H271" s="8">
        <f t="shared" si="88"/>
        <v>645</v>
      </c>
      <c r="I271" s="6">
        <f t="shared" si="89"/>
        <v>2010</v>
      </c>
      <c r="J271" s="6">
        <f t="shared" si="90"/>
        <v>1896</v>
      </c>
      <c r="K271" s="6">
        <f t="shared" si="91"/>
        <v>2221</v>
      </c>
      <c r="L271" s="6">
        <f t="shared" si="81"/>
        <v>3000</v>
      </c>
      <c r="M271" s="6">
        <f t="shared" si="82"/>
        <v>3000</v>
      </c>
      <c r="N271" s="6">
        <f t="shared" si="83"/>
        <v>3000</v>
      </c>
      <c r="O271" s="6">
        <f t="shared" si="94"/>
        <v>-990</v>
      </c>
      <c r="P271" s="6">
        <f t="shared" si="95"/>
        <v>-1104</v>
      </c>
      <c r="Q271" s="6">
        <f t="shared" si="96"/>
        <v>-779</v>
      </c>
      <c r="R271" s="8">
        <v>0</v>
      </c>
      <c r="S271" s="8">
        <v>0</v>
      </c>
      <c r="T271" s="8">
        <v>0</v>
      </c>
      <c r="U271" s="25">
        <f t="shared" si="97"/>
        <v>-770</v>
      </c>
      <c r="V271" s="25">
        <f t="shared" si="98"/>
        <v>-894</v>
      </c>
      <c r="W271" s="25">
        <f t="shared" si="99"/>
        <v>-639</v>
      </c>
      <c r="X271" s="15">
        <v>1.1060000000000001</v>
      </c>
      <c r="Y271" s="7"/>
      <c r="Z271" s="21">
        <f t="shared" si="84"/>
        <v>2.1</v>
      </c>
      <c r="AA271" s="6"/>
      <c r="AB271" s="6"/>
    </row>
    <row r="272" spans="1:28" ht="13.8">
      <c r="A272" s="13">
        <v>261</v>
      </c>
      <c r="B272" s="185" t="s">
        <v>333</v>
      </c>
      <c r="C272" s="10">
        <f t="shared" si="92"/>
        <v>1069</v>
      </c>
      <c r="D272" s="9">
        <f t="shared" si="85"/>
        <v>1799</v>
      </c>
      <c r="E272" s="26">
        <f t="shared" si="93"/>
        <v>2868</v>
      </c>
      <c r="F272" s="8">
        <f t="shared" si="86"/>
        <v>858</v>
      </c>
      <c r="G272" s="8">
        <f t="shared" si="87"/>
        <v>972</v>
      </c>
      <c r="H272" s="8">
        <f t="shared" si="88"/>
        <v>647</v>
      </c>
      <c r="I272" s="6">
        <f t="shared" si="89"/>
        <v>2010</v>
      </c>
      <c r="J272" s="6">
        <f t="shared" si="90"/>
        <v>1896</v>
      </c>
      <c r="K272" s="6">
        <f t="shared" si="91"/>
        <v>2221</v>
      </c>
      <c r="L272" s="6">
        <f t="shared" si="81"/>
        <v>3000</v>
      </c>
      <c r="M272" s="6">
        <f t="shared" si="82"/>
        <v>3000</v>
      </c>
      <c r="N272" s="6">
        <f t="shared" si="83"/>
        <v>3000</v>
      </c>
      <c r="O272" s="6">
        <f t="shared" si="94"/>
        <v>-990</v>
      </c>
      <c r="P272" s="6">
        <f t="shared" si="95"/>
        <v>-1104</v>
      </c>
      <c r="Q272" s="6">
        <f t="shared" si="96"/>
        <v>-779</v>
      </c>
      <c r="R272" s="8">
        <v>0</v>
      </c>
      <c r="S272" s="8">
        <v>0</v>
      </c>
      <c r="T272" s="8">
        <v>0</v>
      </c>
      <c r="U272" s="25">
        <f t="shared" si="97"/>
        <v>-770</v>
      </c>
      <c r="V272" s="25">
        <f t="shared" si="98"/>
        <v>-894</v>
      </c>
      <c r="W272" s="25">
        <f t="shared" si="99"/>
        <v>-639</v>
      </c>
      <c r="X272" s="15">
        <v>1.1060000000000001</v>
      </c>
      <c r="Y272" s="7"/>
      <c r="Z272" s="21">
        <f t="shared" si="84"/>
        <v>2.1</v>
      </c>
      <c r="AA272" s="6"/>
      <c r="AB272" s="6"/>
    </row>
    <row r="273" spans="1:28" ht="13.8">
      <c r="A273" s="13">
        <v>262</v>
      </c>
      <c r="B273" s="185" t="s">
        <v>334</v>
      </c>
      <c r="C273" s="10">
        <f t="shared" si="92"/>
        <v>1069</v>
      </c>
      <c r="D273" s="9">
        <f t="shared" si="85"/>
        <v>1801</v>
      </c>
      <c r="E273" s="26">
        <f t="shared" si="93"/>
        <v>2870</v>
      </c>
      <c r="F273" s="8">
        <f t="shared" si="86"/>
        <v>860</v>
      </c>
      <c r="G273" s="8">
        <f t="shared" si="87"/>
        <v>974</v>
      </c>
      <c r="H273" s="8">
        <f t="shared" si="88"/>
        <v>649</v>
      </c>
      <c r="I273" s="6">
        <f t="shared" si="89"/>
        <v>2010</v>
      </c>
      <c r="J273" s="6">
        <f t="shared" si="90"/>
        <v>1896</v>
      </c>
      <c r="K273" s="6">
        <f t="shared" si="91"/>
        <v>2221</v>
      </c>
      <c r="L273" s="6">
        <f t="shared" si="81"/>
        <v>3000</v>
      </c>
      <c r="M273" s="6">
        <f t="shared" si="82"/>
        <v>3000</v>
      </c>
      <c r="N273" s="6">
        <f t="shared" si="83"/>
        <v>3000</v>
      </c>
      <c r="O273" s="6">
        <f t="shared" si="94"/>
        <v>-990</v>
      </c>
      <c r="P273" s="6">
        <f t="shared" si="95"/>
        <v>-1104</v>
      </c>
      <c r="Q273" s="6">
        <f t="shared" si="96"/>
        <v>-779</v>
      </c>
      <c r="R273" s="8">
        <v>0</v>
      </c>
      <c r="S273" s="8">
        <v>0</v>
      </c>
      <c r="T273" s="8">
        <v>0</v>
      </c>
      <c r="U273" s="25">
        <f t="shared" si="97"/>
        <v>-770</v>
      </c>
      <c r="V273" s="25">
        <f t="shared" si="98"/>
        <v>-894</v>
      </c>
      <c r="W273" s="25">
        <f t="shared" si="99"/>
        <v>-639</v>
      </c>
      <c r="X273" s="15">
        <v>1.1060000000000001</v>
      </c>
      <c r="Y273" s="7"/>
      <c r="Z273" s="21">
        <f t="shared" si="84"/>
        <v>2.1</v>
      </c>
      <c r="AA273" s="6"/>
      <c r="AB273" s="6"/>
    </row>
    <row r="274" spans="1:28" ht="13.8">
      <c r="A274" s="13">
        <v>263</v>
      </c>
      <c r="B274" s="185" t="s">
        <v>335</v>
      </c>
      <c r="C274" s="10">
        <f t="shared" si="92"/>
        <v>1069</v>
      </c>
      <c r="D274" s="9">
        <f t="shared" si="85"/>
        <v>1803</v>
      </c>
      <c r="E274" s="26">
        <f t="shared" si="93"/>
        <v>2872</v>
      </c>
      <c r="F274" s="8">
        <f t="shared" si="86"/>
        <v>862</v>
      </c>
      <c r="G274" s="8">
        <f t="shared" si="87"/>
        <v>976</v>
      </c>
      <c r="H274" s="8">
        <f t="shared" si="88"/>
        <v>651</v>
      </c>
      <c r="I274" s="6">
        <f t="shared" si="89"/>
        <v>2010</v>
      </c>
      <c r="J274" s="6">
        <f t="shared" si="90"/>
        <v>1896</v>
      </c>
      <c r="K274" s="6">
        <f t="shared" si="91"/>
        <v>2221</v>
      </c>
      <c r="L274" s="6">
        <f t="shared" ref="L274:L337" si="100">L273</f>
        <v>3000</v>
      </c>
      <c r="M274" s="6">
        <f t="shared" ref="M274:M337" si="101">M273</f>
        <v>3000</v>
      </c>
      <c r="N274" s="6">
        <f t="shared" ref="N274:N337" si="102">N273</f>
        <v>3000</v>
      </c>
      <c r="O274" s="6">
        <f t="shared" si="94"/>
        <v>-990</v>
      </c>
      <c r="P274" s="6">
        <f t="shared" si="95"/>
        <v>-1104</v>
      </c>
      <c r="Q274" s="6">
        <f t="shared" si="96"/>
        <v>-779</v>
      </c>
      <c r="R274" s="8">
        <v>0</v>
      </c>
      <c r="S274" s="8">
        <v>0</v>
      </c>
      <c r="T274" s="8">
        <v>0</v>
      </c>
      <c r="U274" s="25">
        <f t="shared" si="97"/>
        <v>-770</v>
      </c>
      <c r="V274" s="25">
        <f t="shared" si="98"/>
        <v>-894</v>
      </c>
      <c r="W274" s="25">
        <f t="shared" si="99"/>
        <v>-639</v>
      </c>
      <c r="X274" s="15">
        <v>1.1060000000000001</v>
      </c>
      <c r="Y274" s="7"/>
      <c r="Z274" s="21">
        <f t="shared" si="84"/>
        <v>2.1</v>
      </c>
      <c r="AA274" s="6"/>
      <c r="AB274" s="6"/>
    </row>
    <row r="275" spans="1:28" ht="13.8">
      <c r="A275" s="13">
        <v>264</v>
      </c>
      <c r="B275" s="185" t="s">
        <v>336</v>
      </c>
      <c r="C275" s="10">
        <f t="shared" si="92"/>
        <v>1069</v>
      </c>
      <c r="D275" s="9">
        <f t="shared" si="85"/>
        <v>1805</v>
      </c>
      <c r="E275" s="26">
        <f t="shared" si="93"/>
        <v>2874</v>
      </c>
      <c r="F275" s="8">
        <f t="shared" si="86"/>
        <v>864</v>
      </c>
      <c r="G275" s="8">
        <f t="shared" si="87"/>
        <v>978</v>
      </c>
      <c r="H275" s="8">
        <f t="shared" si="88"/>
        <v>653</v>
      </c>
      <c r="I275" s="6">
        <f t="shared" si="89"/>
        <v>2010</v>
      </c>
      <c r="J275" s="6">
        <f t="shared" si="90"/>
        <v>1896</v>
      </c>
      <c r="K275" s="6">
        <f t="shared" si="91"/>
        <v>2221</v>
      </c>
      <c r="L275" s="6">
        <f t="shared" si="100"/>
        <v>3000</v>
      </c>
      <c r="M275" s="6">
        <f t="shared" si="101"/>
        <v>3000</v>
      </c>
      <c r="N275" s="6">
        <f t="shared" si="102"/>
        <v>3000</v>
      </c>
      <c r="O275" s="6">
        <f t="shared" si="94"/>
        <v>-990</v>
      </c>
      <c r="P275" s="6">
        <f t="shared" si="95"/>
        <v>-1104</v>
      </c>
      <c r="Q275" s="6">
        <f t="shared" si="96"/>
        <v>-779</v>
      </c>
      <c r="R275" s="8">
        <v>0</v>
      </c>
      <c r="S275" s="8">
        <v>0</v>
      </c>
      <c r="T275" s="8">
        <v>0</v>
      </c>
      <c r="U275" s="25">
        <f t="shared" si="97"/>
        <v>-770</v>
      </c>
      <c r="V275" s="25">
        <f t="shared" si="98"/>
        <v>-894</v>
      </c>
      <c r="W275" s="25">
        <f t="shared" si="99"/>
        <v>-639</v>
      </c>
      <c r="X275" s="15">
        <v>1.1060000000000001</v>
      </c>
      <c r="Y275" s="7"/>
      <c r="Z275" s="21">
        <f t="shared" si="84"/>
        <v>2.1</v>
      </c>
      <c r="AA275" s="6"/>
      <c r="AB275" s="6"/>
    </row>
    <row r="276" spans="1:28" ht="13.8">
      <c r="A276" s="13">
        <f t="shared" ref="A276:A339" si="103">+A275+1</f>
        <v>265</v>
      </c>
      <c r="B276" s="185" t="s">
        <v>337</v>
      </c>
      <c r="C276" s="10">
        <f t="shared" si="92"/>
        <v>1069</v>
      </c>
      <c r="D276" s="9">
        <f t="shared" si="85"/>
        <v>1807</v>
      </c>
      <c r="E276" s="26">
        <f t="shared" si="93"/>
        <v>2876</v>
      </c>
      <c r="F276" s="8">
        <f t="shared" si="86"/>
        <v>866</v>
      </c>
      <c r="G276" s="8">
        <f t="shared" si="87"/>
        <v>980</v>
      </c>
      <c r="H276" s="8">
        <f t="shared" si="88"/>
        <v>655</v>
      </c>
      <c r="I276" s="6">
        <f t="shared" si="89"/>
        <v>2010</v>
      </c>
      <c r="J276" s="6">
        <f t="shared" si="90"/>
        <v>1896</v>
      </c>
      <c r="K276" s="6">
        <f t="shared" si="91"/>
        <v>2221</v>
      </c>
      <c r="L276" s="6">
        <f t="shared" si="100"/>
        <v>3000</v>
      </c>
      <c r="M276" s="6">
        <f t="shared" si="101"/>
        <v>3000</v>
      </c>
      <c r="N276" s="6">
        <f t="shared" si="102"/>
        <v>3000</v>
      </c>
      <c r="O276" s="6">
        <f t="shared" si="94"/>
        <v>-990</v>
      </c>
      <c r="P276" s="6">
        <f t="shared" si="95"/>
        <v>-1104</v>
      </c>
      <c r="Q276" s="6">
        <f t="shared" si="96"/>
        <v>-779</v>
      </c>
      <c r="R276" s="8">
        <v>0</v>
      </c>
      <c r="S276" s="8">
        <v>0</v>
      </c>
      <c r="T276" s="8">
        <v>0</v>
      </c>
      <c r="U276" s="25">
        <f t="shared" si="97"/>
        <v>-770</v>
      </c>
      <c r="V276" s="25">
        <f t="shared" si="98"/>
        <v>-894</v>
      </c>
      <c r="W276" s="25">
        <f t="shared" si="99"/>
        <v>-639</v>
      </c>
      <c r="X276" s="15">
        <v>1.1060000000000001</v>
      </c>
      <c r="Y276" s="7"/>
      <c r="Z276" s="21">
        <f t="shared" si="84"/>
        <v>2.1</v>
      </c>
      <c r="AA276" s="6"/>
      <c r="AB276" s="6"/>
    </row>
    <row r="277" spans="1:28" ht="13.8">
      <c r="A277" s="13">
        <f t="shared" si="103"/>
        <v>266</v>
      </c>
      <c r="B277" s="185" t="s">
        <v>338</v>
      </c>
      <c r="C277" s="10">
        <f t="shared" si="92"/>
        <v>1069</v>
      </c>
      <c r="D277" s="9">
        <f t="shared" si="85"/>
        <v>1809</v>
      </c>
      <c r="E277" s="26">
        <f t="shared" si="93"/>
        <v>2878</v>
      </c>
      <c r="F277" s="8">
        <f t="shared" si="86"/>
        <v>868</v>
      </c>
      <c r="G277" s="8">
        <f t="shared" si="87"/>
        <v>982</v>
      </c>
      <c r="H277" s="8">
        <f t="shared" si="88"/>
        <v>657</v>
      </c>
      <c r="I277" s="6">
        <f t="shared" si="89"/>
        <v>2010</v>
      </c>
      <c r="J277" s="6">
        <f t="shared" si="90"/>
        <v>1896</v>
      </c>
      <c r="K277" s="6">
        <f t="shared" si="91"/>
        <v>2221</v>
      </c>
      <c r="L277" s="6">
        <f t="shared" si="100"/>
        <v>3000</v>
      </c>
      <c r="M277" s="6">
        <f t="shared" si="101"/>
        <v>3000</v>
      </c>
      <c r="N277" s="6">
        <f t="shared" si="102"/>
        <v>3000</v>
      </c>
      <c r="O277" s="6">
        <f t="shared" si="94"/>
        <v>-990</v>
      </c>
      <c r="P277" s="6">
        <f t="shared" si="95"/>
        <v>-1104</v>
      </c>
      <c r="Q277" s="6">
        <f t="shared" si="96"/>
        <v>-779</v>
      </c>
      <c r="R277" s="8">
        <v>0</v>
      </c>
      <c r="S277" s="8">
        <v>0</v>
      </c>
      <c r="T277" s="8">
        <v>0</v>
      </c>
      <c r="U277" s="25">
        <f t="shared" si="97"/>
        <v>-770</v>
      </c>
      <c r="V277" s="25">
        <f t="shared" si="98"/>
        <v>-894</v>
      </c>
      <c r="W277" s="25">
        <f t="shared" si="99"/>
        <v>-639</v>
      </c>
      <c r="X277" s="15">
        <v>1.1060000000000001</v>
      </c>
      <c r="Y277" s="7"/>
      <c r="Z277" s="21">
        <f t="shared" si="84"/>
        <v>2.1</v>
      </c>
      <c r="AA277" s="6"/>
      <c r="AB277" s="6"/>
    </row>
    <row r="278" spans="1:28" ht="13.8">
      <c r="A278" s="13">
        <f t="shared" si="103"/>
        <v>267</v>
      </c>
      <c r="B278" s="185" t="s">
        <v>339</v>
      </c>
      <c r="C278" s="10">
        <f t="shared" si="92"/>
        <v>1069</v>
      </c>
      <c r="D278" s="9">
        <f t="shared" si="85"/>
        <v>1811</v>
      </c>
      <c r="E278" s="26">
        <f t="shared" si="93"/>
        <v>2880</v>
      </c>
      <c r="F278" s="8">
        <f t="shared" si="86"/>
        <v>870</v>
      </c>
      <c r="G278" s="8">
        <f t="shared" si="87"/>
        <v>984</v>
      </c>
      <c r="H278" s="8">
        <f t="shared" si="88"/>
        <v>659</v>
      </c>
      <c r="I278" s="6">
        <f t="shared" si="89"/>
        <v>2010</v>
      </c>
      <c r="J278" s="6">
        <f t="shared" si="90"/>
        <v>1896</v>
      </c>
      <c r="K278" s="6">
        <f t="shared" si="91"/>
        <v>2221</v>
      </c>
      <c r="L278" s="6">
        <f t="shared" si="100"/>
        <v>3000</v>
      </c>
      <c r="M278" s="6">
        <f t="shared" si="101"/>
        <v>3000</v>
      </c>
      <c r="N278" s="6">
        <f t="shared" si="102"/>
        <v>3000</v>
      </c>
      <c r="O278" s="6">
        <f t="shared" si="94"/>
        <v>-990</v>
      </c>
      <c r="P278" s="6">
        <f t="shared" si="95"/>
        <v>-1104</v>
      </c>
      <c r="Q278" s="6">
        <f t="shared" si="96"/>
        <v>-779</v>
      </c>
      <c r="R278" s="8">
        <v>0</v>
      </c>
      <c r="S278" s="8">
        <v>0</v>
      </c>
      <c r="T278" s="8">
        <v>0</v>
      </c>
      <c r="U278" s="25">
        <f t="shared" si="97"/>
        <v>-770</v>
      </c>
      <c r="V278" s="25">
        <f t="shared" si="98"/>
        <v>-894</v>
      </c>
      <c r="W278" s="25">
        <f t="shared" si="99"/>
        <v>-639</v>
      </c>
      <c r="X278" s="15">
        <v>1.1060000000000001</v>
      </c>
      <c r="Y278" s="7"/>
      <c r="Z278" s="21">
        <f t="shared" si="84"/>
        <v>2.1</v>
      </c>
      <c r="AA278" s="6"/>
      <c r="AB278" s="6"/>
    </row>
    <row r="279" spans="1:28" ht="13.8">
      <c r="A279" s="13">
        <f t="shared" si="103"/>
        <v>268</v>
      </c>
      <c r="B279" s="185" t="s">
        <v>340</v>
      </c>
      <c r="C279" s="10">
        <f t="shared" si="92"/>
        <v>1069</v>
      </c>
      <c r="D279" s="9">
        <f t="shared" si="85"/>
        <v>1813</v>
      </c>
      <c r="E279" s="26">
        <f t="shared" si="93"/>
        <v>2882</v>
      </c>
      <c r="F279" s="8">
        <f t="shared" si="86"/>
        <v>872</v>
      </c>
      <c r="G279" s="8">
        <f t="shared" si="87"/>
        <v>986</v>
      </c>
      <c r="H279" s="8">
        <f t="shared" si="88"/>
        <v>661</v>
      </c>
      <c r="I279" s="6">
        <f t="shared" si="89"/>
        <v>2010</v>
      </c>
      <c r="J279" s="6">
        <f t="shared" si="90"/>
        <v>1896</v>
      </c>
      <c r="K279" s="6">
        <f t="shared" si="91"/>
        <v>2221</v>
      </c>
      <c r="L279" s="6">
        <f t="shared" si="100"/>
        <v>3000</v>
      </c>
      <c r="M279" s="6">
        <f t="shared" si="101"/>
        <v>3000</v>
      </c>
      <c r="N279" s="6">
        <f t="shared" si="102"/>
        <v>3000</v>
      </c>
      <c r="O279" s="6">
        <f t="shared" si="94"/>
        <v>-990</v>
      </c>
      <c r="P279" s="6">
        <f t="shared" si="95"/>
        <v>-1104</v>
      </c>
      <c r="Q279" s="6">
        <f t="shared" si="96"/>
        <v>-779</v>
      </c>
      <c r="R279" s="8">
        <v>0</v>
      </c>
      <c r="S279" s="8">
        <v>0</v>
      </c>
      <c r="T279" s="8">
        <v>0</v>
      </c>
      <c r="U279" s="25">
        <f t="shared" si="97"/>
        <v>-770</v>
      </c>
      <c r="V279" s="25">
        <f t="shared" si="98"/>
        <v>-894</v>
      </c>
      <c r="W279" s="25">
        <f t="shared" si="99"/>
        <v>-639</v>
      </c>
      <c r="X279" s="15">
        <v>1.1060000000000001</v>
      </c>
      <c r="Y279" s="7"/>
      <c r="Z279" s="21">
        <f t="shared" si="84"/>
        <v>2.1</v>
      </c>
      <c r="AA279" s="6"/>
      <c r="AB279" s="6"/>
    </row>
    <row r="280" spans="1:28" ht="13.8">
      <c r="A280" s="13">
        <f t="shared" si="103"/>
        <v>269</v>
      </c>
      <c r="B280" s="185" t="s">
        <v>341</v>
      </c>
      <c r="C280" s="10">
        <f t="shared" si="92"/>
        <v>1069</v>
      </c>
      <c r="D280" s="9">
        <f t="shared" si="85"/>
        <v>1815</v>
      </c>
      <c r="E280" s="26">
        <f t="shared" si="93"/>
        <v>2884</v>
      </c>
      <c r="F280" s="8">
        <f t="shared" si="86"/>
        <v>874</v>
      </c>
      <c r="G280" s="8">
        <f t="shared" si="87"/>
        <v>988</v>
      </c>
      <c r="H280" s="8">
        <f t="shared" si="88"/>
        <v>663</v>
      </c>
      <c r="I280" s="6">
        <f t="shared" si="89"/>
        <v>2010</v>
      </c>
      <c r="J280" s="6">
        <f t="shared" si="90"/>
        <v>1896</v>
      </c>
      <c r="K280" s="6">
        <f t="shared" si="91"/>
        <v>2221</v>
      </c>
      <c r="L280" s="6">
        <f t="shared" si="100"/>
        <v>3000</v>
      </c>
      <c r="M280" s="6">
        <f t="shared" si="101"/>
        <v>3000</v>
      </c>
      <c r="N280" s="6">
        <f t="shared" si="102"/>
        <v>3000</v>
      </c>
      <c r="O280" s="6">
        <f t="shared" si="94"/>
        <v>-990</v>
      </c>
      <c r="P280" s="6">
        <f t="shared" si="95"/>
        <v>-1104</v>
      </c>
      <c r="Q280" s="6">
        <f t="shared" si="96"/>
        <v>-779</v>
      </c>
      <c r="R280" s="8">
        <v>0</v>
      </c>
      <c r="S280" s="8">
        <v>0</v>
      </c>
      <c r="T280" s="8">
        <v>0</v>
      </c>
      <c r="U280" s="25">
        <f t="shared" si="97"/>
        <v>-770</v>
      </c>
      <c r="V280" s="25">
        <f t="shared" si="98"/>
        <v>-894</v>
      </c>
      <c r="W280" s="25">
        <f t="shared" si="99"/>
        <v>-639</v>
      </c>
      <c r="X280" s="15">
        <v>1.1060000000000001</v>
      </c>
      <c r="Y280" s="7"/>
      <c r="Z280" s="21">
        <f t="shared" si="84"/>
        <v>2.1</v>
      </c>
      <c r="AA280" s="6"/>
      <c r="AB280" s="6"/>
    </row>
    <row r="281" spans="1:28" ht="13.8">
      <c r="A281" s="13">
        <f t="shared" si="103"/>
        <v>270</v>
      </c>
      <c r="B281" s="185" t="s">
        <v>342</v>
      </c>
      <c r="C281" s="10">
        <f t="shared" si="92"/>
        <v>1069</v>
      </c>
      <c r="D281" s="9">
        <f t="shared" si="85"/>
        <v>1817</v>
      </c>
      <c r="E281" s="26">
        <f t="shared" si="93"/>
        <v>2886</v>
      </c>
      <c r="F281" s="8">
        <f t="shared" si="86"/>
        <v>876</v>
      </c>
      <c r="G281" s="8">
        <f t="shared" si="87"/>
        <v>990</v>
      </c>
      <c r="H281" s="8">
        <f t="shared" si="88"/>
        <v>665</v>
      </c>
      <c r="I281" s="6">
        <f t="shared" si="89"/>
        <v>2010</v>
      </c>
      <c r="J281" s="6">
        <f t="shared" si="90"/>
        <v>1896</v>
      </c>
      <c r="K281" s="6">
        <f t="shared" si="91"/>
        <v>2221</v>
      </c>
      <c r="L281" s="6">
        <f t="shared" si="100"/>
        <v>3000</v>
      </c>
      <c r="M281" s="6">
        <f t="shared" si="101"/>
        <v>3000</v>
      </c>
      <c r="N281" s="6">
        <f t="shared" si="102"/>
        <v>3000</v>
      </c>
      <c r="O281" s="6">
        <f t="shared" si="94"/>
        <v>-990</v>
      </c>
      <c r="P281" s="6">
        <f t="shared" si="95"/>
        <v>-1104</v>
      </c>
      <c r="Q281" s="6">
        <f t="shared" si="96"/>
        <v>-779</v>
      </c>
      <c r="R281" s="8">
        <v>0</v>
      </c>
      <c r="S281" s="8">
        <v>0</v>
      </c>
      <c r="T281" s="8">
        <v>0</v>
      </c>
      <c r="U281" s="25">
        <f t="shared" si="97"/>
        <v>-770</v>
      </c>
      <c r="V281" s="25">
        <f t="shared" si="98"/>
        <v>-894</v>
      </c>
      <c r="W281" s="25">
        <f t="shared" si="99"/>
        <v>-639</v>
      </c>
      <c r="X281" s="15">
        <v>1.1060000000000001</v>
      </c>
      <c r="Y281" s="7"/>
      <c r="Z281" s="21">
        <f t="shared" si="84"/>
        <v>2.1</v>
      </c>
      <c r="AA281" s="6"/>
      <c r="AB281" s="6"/>
    </row>
    <row r="282" spans="1:28" ht="13.8">
      <c r="A282" s="13">
        <f t="shared" si="103"/>
        <v>271</v>
      </c>
      <c r="B282" s="185" t="s">
        <v>343</v>
      </c>
      <c r="C282" s="10">
        <f t="shared" si="92"/>
        <v>1069</v>
      </c>
      <c r="D282" s="9">
        <f t="shared" si="85"/>
        <v>1819</v>
      </c>
      <c r="E282" s="26">
        <f t="shared" si="93"/>
        <v>2888</v>
      </c>
      <c r="F282" s="8">
        <f t="shared" si="86"/>
        <v>878</v>
      </c>
      <c r="G282" s="8">
        <f t="shared" si="87"/>
        <v>992</v>
      </c>
      <c r="H282" s="8">
        <f t="shared" si="88"/>
        <v>667</v>
      </c>
      <c r="I282" s="6">
        <f t="shared" si="89"/>
        <v>2010</v>
      </c>
      <c r="J282" s="6">
        <f t="shared" si="90"/>
        <v>1896</v>
      </c>
      <c r="K282" s="6">
        <f t="shared" si="91"/>
        <v>2221</v>
      </c>
      <c r="L282" s="6">
        <f t="shared" si="100"/>
        <v>3000</v>
      </c>
      <c r="M282" s="6">
        <f t="shared" si="101"/>
        <v>3000</v>
      </c>
      <c r="N282" s="6">
        <f t="shared" si="102"/>
        <v>3000</v>
      </c>
      <c r="O282" s="6">
        <f t="shared" si="94"/>
        <v>-990</v>
      </c>
      <c r="P282" s="6">
        <f t="shared" si="95"/>
        <v>-1104</v>
      </c>
      <c r="Q282" s="6">
        <f t="shared" si="96"/>
        <v>-779</v>
      </c>
      <c r="R282" s="8">
        <v>0</v>
      </c>
      <c r="S282" s="8">
        <v>0</v>
      </c>
      <c r="T282" s="8">
        <v>0</v>
      </c>
      <c r="U282" s="25">
        <f t="shared" si="97"/>
        <v>-770</v>
      </c>
      <c r="V282" s="25">
        <f t="shared" si="98"/>
        <v>-894</v>
      </c>
      <c r="W282" s="25">
        <f t="shared" si="99"/>
        <v>-639</v>
      </c>
      <c r="X282" s="15">
        <v>1.1060000000000001</v>
      </c>
      <c r="Y282" s="7"/>
      <c r="Z282" s="21">
        <f t="shared" si="84"/>
        <v>2.1</v>
      </c>
      <c r="AA282" s="6"/>
      <c r="AB282" s="6"/>
    </row>
    <row r="283" spans="1:28" ht="13.8">
      <c r="A283" s="13">
        <f t="shared" si="103"/>
        <v>272</v>
      </c>
      <c r="B283" s="185" t="s">
        <v>344</v>
      </c>
      <c r="C283" s="10">
        <f t="shared" si="92"/>
        <v>1069</v>
      </c>
      <c r="D283" s="9">
        <f t="shared" si="85"/>
        <v>1821</v>
      </c>
      <c r="E283" s="26">
        <f t="shared" si="93"/>
        <v>2890</v>
      </c>
      <c r="F283" s="8">
        <f t="shared" si="86"/>
        <v>880</v>
      </c>
      <c r="G283" s="8">
        <f t="shared" si="87"/>
        <v>994</v>
      </c>
      <c r="H283" s="8">
        <f t="shared" si="88"/>
        <v>669</v>
      </c>
      <c r="I283" s="6">
        <f t="shared" si="89"/>
        <v>2010</v>
      </c>
      <c r="J283" s="6">
        <f t="shared" si="90"/>
        <v>1896</v>
      </c>
      <c r="K283" s="6">
        <f t="shared" si="91"/>
        <v>2221</v>
      </c>
      <c r="L283" s="6">
        <f t="shared" si="100"/>
        <v>3000</v>
      </c>
      <c r="M283" s="6">
        <f t="shared" si="101"/>
        <v>3000</v>
      </c>
      <c r="N283" s="6">
        <f t="shared" si="102"/>
        <v>3000</v>
      </c>
      <c r="O283" s="6">
        <f t="shared" si="94"/>
        <v>-990</v>
      </c>
      <c r="P283" s="6">
        <f t="shared" si="95"/>
        <v>-1104</v>
      </c>
      <c r="Q283" s="6">
        <f t="shared" si="96"/>
        <v>-779</v>
      </c>
      <c r="R283" s="8">
        <v>0</v>
      </c>
      <c r="S283" s="8">
        <v>0</v>
      </c>
      <c r="T283" s="8">
        <v>0</v>
      </c>
      <c r="U283" s="25">
        <f t="shared" si="97"/>
        <v>-770</v>
      </c>
      <c r="V283" s="25">
        <f t="shared" si="98"/>
        <v>-894</v>
      </c>
      <c r="W283" s="25">
        <f t="shared" si="99"/>
        <v>-639</v>
      </c>
      <c r="X283" s="15">
        <v>1.1060000000000001</v>
      </c>
      <c r="Y283" s="7"/>
      <c r="Z283" s="21">
        <f t="shared" si="84"/>
        <v>2.1</v>
      </c>
      <c r="AA283" s="6"/>
      <c r="AB283" s="6"/>
    </row>
    <row r="284" spans="1:28" ht="13.8">
      <c r="A284" s="13">
        <f t="shared" si="103"/>
        <v>273</v>
      </c>
      <c r="B284" s="185" t="s">
        <v>345</v>
      </c>
      <c r="C284" s="10">
        <f t="shared" si="92"/>
        <v>1069</v>
      </c>
      <c r="D284" s="9">
        <f t="shared" si="85"/>
        <v>1823</v>
      </c>
      <c r="E284" s="26">
        <f t="shared" si="93"/>
        <v>2892</v>
      </c>
      <c r="F284" s="8">
        <f t="shared" si="86"/>
        <v>882</v>
      </c>
      <c r="G284" s="8">
        <f t="shared" si="87"/>
        <v>996</v>
      </c>
      <c r="H284" s="8">
        <f t="shared" si="88"/>
        <v>671</v>
      </c>
      <c r="I284" s="6">
        <f t="shared" si="89"/>
        <v>2010</v>
      </c>
      <c r="J284" s="6">
        <f t="shared" si="90"/>
        <v>1896</v>
      </c>
      <c r="K284" s="6">
        <f t="shared" si="91"/>
        <v>2221</v>
      </c>
      <c r="L284" s="6">
        <f t="shared" si="100"/>
        <v>3000</v>
      </c>
      <c r="M284" s="6">
        <f t="shared" si="101"/>
        <v>3000</v>
      </c>
      <c r="N284" s="6">
        <f t="shared" si="102"/>
        <v>3000</v>
      </c>
      <c r="O284" s="6">
        <f t="shared" si="94"/>
        <v>-990</v>
      </c>
      <c r="P284" s="6">
        <f t="shared" si="95"/>
        <v>-1104</v>
      </c>
      <c r="Q284" s="6">
        <f t="shared" si="96"/>
        <v>-779</v>
      </c>
      <c r="R284" s="8">
        <v>0</v>
      </c>
      <c r="S284" s="8">
        <v>0</v>
      </c>
      <c r="T284" s="8">
        <v>0</v>
      </c>
      <c r="U284" s="25">
        <f t="shared" si="97"/>
        <v>-770</v>
      </c>
      <c r="V284" s="25">
        <f t="shared" si="98"/>
        <v>-894</v>
      </c>
      <c r="W284" s="25">
        <f t="shared" si="99"/>
        <v>-639</v>
      </c>
      <c r="X284" s="15">
        <v>1.1060000000000001</v>
      </c>
      <c r="Y284" s="7"/>
      <c r="Z284" s="21">
        <f t="shared" si="84"/>
        <v>2.1</v>
      </c>
      <c r="AA284" s="6"/>
      <c r="AB284" s="6"/>
    </row>
    <row r="285" spans="1:28" ht="13.8">
      <c r="A285" s="13">
        <f t="shared" si="103"/>
        <v>274</v>
      </c>
      <c r="B285" s="185" t="s">
        <v>346</v>
      </c>
      <c r="C285" s="10">
        <f t="shared" si="92"/>
        <v>1069</v>
      </c>
      <c r="D285" s="9">
        <f t="shared" si="85"/>
        <v>1825</v>
      </c>
      <c r="E285" s="26">
        <f t="shared" si="93"/>
        <v>2894</v>
      </c>
      <c r="F285" s="8">
        <f t="shared" si="86"/>
        <v>884</v>
      </c>
      <c r="G285" s="8">
        <f t="shared" si="87"/>
        <v>998</v>
      </c>
      <c r="H285" s="8">
        <f t="shared" si="88"/>
        <v>673</v>
      </c>
      <c r="I285" s="6">
        <f t="shared" si="89"/>
        <v>2010</v>
      </c>
      <c r="J285" s="6">
        <f t="shared" si="90"/>
        <v>1896</v>
      </c>
      <c r="K285" s="6">
        <f t="shared" si="91"/>
        <v>2221</v>
      </c>
      <c r="L285" s="6">
        <f t="shared" si="100"/>
        <v>3000</v>
      </c>
      <c r="M285" s="6">
        <f t="shared" si="101"/>
        <v>3000</v>
      </c>
      <c r="N285" s="6">
        <f t="shared" si="102"/>
        <v>3000</v>
      </c>
      <c r="O285" s="6">
        <f t="shared" si="94"/>
        <v>-990</v>
      </c>
      <c r="P285" s="6">
        <f t="shared" si="95"/>
        <v>-1104</v>
      </c>
      <c r="Q285" s="6">
        <f t="shared" si="96"/>
        <v>-779</v>
      </c>
      <c r="R285" s="8">
        <v>0</v>
      </c>
      <c r="S285" s="8">
        <v>0</v>
      </c>
      <c r="T285" s="8">
        <v>0</v>
      </c>
      <c r="U285" s="25">
        <f t="shared" si="97"/>
        <v>-770</v>
      </c>
      <c r="V285" s="25">
        <f t="shared" si="98"/>
        <v>-894</v>
      </c>
      <c r="W285" s="25">
        <f t="shared" si="99"/>
        <v>-639</v>
      </c>
      <c r="X285" s="15">
        <v>1.1060000000000001</v>
      </c>
      <c r="Y285" s="7"/>
      <c r="Z285" s="21">
        <f t="shared" si="84"/>
        <v>2.1</v>
      </c>
      <c r="AA285" s="6"/>
      <c r="AB285" s="6"/>
    </row>
    <row r="286" spans="1:28" ht="13.8">
      <c r="A286" s="13">
        <f t="shared" si="103"/>
        <v>275</v>
      </c>
      <c r="B286" s="185" t="s">
        <v>347</v>
      </c>
      <c r="C286" s="10">
        <f t="shared" si="92"/>
        <v>1069</v>
      </c>
      <c r="D286" s="9">
        <f t="shared" si="85"/>
        <v>1827</v>
      </c>
      <c r="E286" s="26">
        <f t="shared" si="93"/>
        <v>2896</v>
      </c>
      <c r="F286" s="8">
        <f t="shared" si="86"/>
        <v>886</v>
      </c>
      <c r="G286" s="8">
        <f t="shared" si="87"/>
        <v>1000</v>
      </c>
      <c r="H286" s="8">
        <f t="shared" si="88"/>
        <v>675</v>
      </c>
      <c r="I286" s="6">
        <f t="shared" si="89"/>
        <v>2010</v>
      </c>
      <c r="J286" s="6">
        <f t="shared" si="90"/>
        <v>1896</v>
      </c>
      <c r="K286" s="6">
        <f t="shared" si="91"/>
        <v>2221</v>
      </c>
      <c r="L286" s="6">
        <f t="shared" si="100"/>
        <v>3000</v>
      </c>
      <c r="M286" s="6">
        <f t="shared" si="101"/>
        <v>3000</v>
      </c>
      <c r="N286" s="6">
        <f t="shared" si="102"/>
        <v>3000</v>
      </c>
      <c r="O286" s="6">
        <f t="shared" si="94"/>
        <v>-990</v>
      </c>
      <c r="P286" s="6">
        <f t="shared" si="95"/>
        <v>-1104</v>
      </c>
      <c r="Q286" s="6">
        <f t="shared" si="96"/>
        <v>-779</v>
      </c>
      <c r="R286" s="8">
        <v>0</v>
      </c>
      <c r="S286" s="8">
        <v>0</v>
      </c>
      <c r="T286" s="8">
        <v>0</v>
      </c>
      <c r="U286" s="25">
        <f t="shared" si="97"/>
        <v>-770</v>
      </c>
      <c r="V286" s="25">
        <f t="shared" si="98"/>
        <v>-894</v>
      </c>
      <c r="W286" s="25">
        <f t="shared" si="99"/>
        <v>-639</v>
      </c>
      <c r="X286" s="15">
        <v>1.1060000000000001</v>
      </c>
      <c r="Y286" s="7"/>
      <c r="Z286" s="21">
        <f t="shared" si="84"/>
        <v>2.1</v>
      </c>
      <c r="AA286" s="6"/>
      <c r="AB286" s="6"/>
    </row>
    <row r="287" spans="1:28" ht="13.8">
      <c r="A287" s="13">
        <f t="shared" si="103"/>
        <v>276</v>
      </c>
      <c r="B287" s="185" t="s">
        <v>348</v>
      </c>
      <c r="C287" s="10">
        <f t="shared" si="92"/>
        <v>1069</v>
      </c>
      <c r="D287" s="9">
        <f t="shared" si="85"/>
        <v>1829</v>
      </c>
      <c r="E287" s="26">
        <f t="shared" si="93"/>
        <v>2898</v>
      </c>
      <c r="F287" s="8">
        <f t="shared" si="86"/>
        <v>888</v>
      </c>
      <c r="G287" s="8">
        <f t="shared" si="87"/>
        <v>1002</v>
      </c>
      <c r="H287" s="8">
        <f t="shared" si="88"/>
        <v>677</v>
      </c>
      <c r="I287" s="6">
        <f t="shared" si="89"/>
        <v>2010</v>
      </c>
      <c r="J287" s="6">
        <f t="shared" si="90"/>
        <v>1896</v>
      </c>
      <c r="K287" s="6">
        <f t="shared" si="91"/>
        <v>2221</v>
      </c>
      <c r="L287" s="6">
        <f t="shared" si="100"/>
        <v>3000</v>
      </c>
      <c r="M287" s="6">
        <f t="shared" si="101"/>
        <v>3000</v>
      </c>
      <c r="N287" s="6">
        <f t="shared" si="102"/>
        <v>3000</v>
      </c>
      <c r="O287" s="6">
        <f t="shared" si="94"/>
        <v>-990</v>
      </c>
      <c r="P287" s="6">
        <f t="shared" si="95"/>
        <v>-1104</v>
      </c>
      <c r="Q287" s="6">
        <f t="shared" si="96"/>
        <v>-779</v>
      </c>
      <c r="R287" s="8">
        <v>0</v>
      </c>
      <c r="S287" s="8">
        <v>0</v>
      </c>
      <c r="T287" s="8">
        <v>0</v>
      </c>
      <c r="U287" s="25">
        <f t="shared" si="97"/>
        <v>-770</v>
      </c>
      <c r="V287" s="25">
        <f t="shared" si="98"/>
        <v>-894</v>
      </c>
      <c r="W287" s="25">
        <f t="shared" si="99"/>
        <v>-639</v>
      </c>
      <c r="X287" s="15">
        <v>1.1060000000000001</v>
      </c>
      <c r="Y287" s="7"/>
      <c r="Z287" s="21">
        <f t="shared" si="84"/>
        <v>2.1</v>
      </c>
      <c r="AA287" s="6"/>
      <c r="AB287" s="6"/>
    </row>
    <row r="288" spans="1:28" ht="13.8">
      <c r="A288" s="13">
        <f t="shared" si="103"/>
        <v>277</v>
      </c>
      <c r="B288" s="185" t="s">
        <v>349</v>
      </c>
      <c r="C288" s="10">
        <f t="shared" si="92"/>
        <v>1069</v>
      </c>
      <c r="D288" s="9">
        <f t="shared" si="85"/>
        <v>1831</v>
      </c>
      <c r="E288" s="26">
        <f t="shared" si="93"/>
        <v>2900</v>
      </c>
      <c r="F288" s="8">
        <f t="shared" si="86"/>
        <v>890</v>
      </c>
      <c r="G288" s="8">
        <f t="shared" si="87"/>
        <v>1004</v>
      </c>
      <c r="H288" s="8">
        <f t="shared" si="88"/>
        <v>679</v>
      </c>
      <c r="I288" s="6">
        <f t="shared" si="89"/>
        <v>2010</v>
      </c>
      <c r="J288" s="6">
        <f t="shared" si="90"/>
        <v>1896</v>
      </c>
      <c r="K288" s="6">
        <f t="shared" si="91"/>
        <v>2221</v>
      </c>
      <c r="L288" s="6">
        <f t="shared" si="100"/>
        <v>3000</v>
      </c>
      <c r="M288" s="6">
        <f t="shared" si="101"/>
        <v>3000</v>
      </c>
      <c r="N288" s="6">
        <f t="shared" si="102"/>
        <v>3000</v>
      </c>
      <c r="O288" s="6">
        <f t="shared" si="94"/>
        <v>-990</v>
      </c>
      <c r="P288" s="6">
        <f t="shared" si="95"/>
        <v>-1104</v>
      </c>
      <c r="Q288" s="6">
        <f t="shared" si="96"/>
        <v>-779</v>
      </c>
      <c r="R288" s="8">
        <v>0</v>
      </c>
      <c r="S288" s="8">
        <v>0</v>
      </c>
      <c r="T288" s="8">
        <v>0</v>
      </c>
      <c r="U288" s="25">
        <f t="shared" si="97"/>
        <v>-770</v>
      </c>
      <c r="V288" s="25">
        <f t="shared" si="98"/>
        <v>-894</v>
      </c>
      <c r="W288" s="25">
        <f t="shared" si="99"/>
        <v>-639</v>
      </c>
      <c r="X288" s="15">
        <v>1.1060000000000001</v>
      </c>
      <c r="Y288" s="7"/>
      <c r="Z288" s="21">
        <f t="shared" si="84"/>
        <v>2.1</v>
      </c>
      <c r="AA288" s="6"/>
      <c r="AB288" s="6"/>
    </row>
    <row r="289" spans="1:28" ht="13.8">
      <c r="A289" s="13">
        <f t="shared" si="103"/>
        <v>278</v>
      </c>
      <c r="B289" s="185" t="s">
        <v>350</v>
      </c>
      <c r="C289" s="10">
        <f t="shared" si="92"/>
        <v>1069</v>
      </c>
      <c r="D289" s="9">
        <f t="shared" si="85"/>
        <v>1833</v>
      </c>
      <c r="E289" s="26">
        <f t="shared" si="93"/>
        <v>2902</v>
      </c>
      <c r="F289" s="8">
        <f t="shared" si="86"/>
        <v>892</v>
      </c>
      <c r="G289" s="8">
        <f t="shared" si="87"/>
        <v>1006</v>
      </c>
      <c r="H289" s="8">
        <f t="shared" si="88"/>
        <v>681</v>
      </c>
      <c r="I289" s="6">
        <f t="shared" si="89"/>
        <v>2010</v>
      </c>
      <c r="J289" s="6">
        <f t="shared" si="90"/>
        <v>1896</v>
      </c>
      <c r="K289" s="6">
        <f t="shared" si="91"/>
        <v>2221</v>
      </c>
      <c r="L289" s="6">
        <f t="shared" si="100"/>
        <v>3000</v>
      </c>
      <c r="M289" s="6">
        <f t="shared" si="101"/>
        <v>3000</v>
      </c>
      <c r="N289" s="6">
        <f t="shared" si="102"/>
        <v>3000</v>
      </c>
      <c r="O289" s="6">
        <f t="shared" si="94"/>
        <v>-990</v>
      </c>
      <c r="P289" s="6">
        <f t="shared" si="95"/>
        <v>-1104</v>
      </c>
      <c r="Q289" s="6">
        <f t="shared" si="96"/>
        <v>-779</v>
      </c>
      <c r="R289" s="8">
        <v>0</v>
      </c>
      <c r="S289" s="8">
        <v>0</v>
      </c>
      <c r="T289" s="8">
        <v>0</v>
      </c>
      <c r="U289" s="25">
        <f t="shared" si="97"/>
        <v>-770</v>
      </c>
      <c r="V289" s="25">
        <f t="shared" si="98"/>
        <v>-894</v>
      </c>
      <c r="W289" s="25">
        <f t="shared" si="99"/>
        <v>-639</v>
      </c>
      <c r="X289" s="15">
        <v>1.1060000000000001</v>
      </c>
      <c r="Y289" s="7"/>
      <c r="Z289" s="21">
        <f t="shared" si="84"/>
        <v>2.1</v>
      </c>
      <c r="AA289" s="6"/>
      <c r="AB289" s="6"/>
    </row>
    <row r="290" spans="1:28" ht="13.8">
      <c r="A290" s="13">
        <f t="shared" si="103"/>
        <v>279</v>
      </c>
      <c r="B290" s="185" t="s">
        <v>351</v>
      </c>
      <c r="C290" s="10">
        <f t="shared" si="92"/>
        <v>1069</v>
      </c>
      <c r="D290" s="9">
        <f t="shared" si="85"/>
        <v>1835</v>
      </c>
      <c r="E290" s="26">
        <f t="shared" si="93"/>
        <v>2904</v>
      </c>
      <c r="F290" s="8">
        <f t="shared" si="86"/>
        <v>894</v>
      </c>
      <c r="G290" s="8">
        <f t="shared" si="87"/>
        <v>1008</v>
      </c>
      <c r="H290" s="8">
        <f t="shared" si="88"/>
        <v>683</v>
      </c>
      <c r="I290" s="6">
        <f t="shared" si="89"/>
        <v>2010</v>
      </c>
      <c r="J290" s="6">
        <f t="shared" si="90"/>
        <v>1896</v>
      </c>
      <c r="K290" s="6">
        <f t="shared" si="91"/>
        <v>2221</v>
      </c>
      <c r="L290" s="6">
        <f t="shared" si="100"/>
        <v>3000</v>
      </c>
      <c r="M290" s="6">
        <f t="shared" si="101"/>
        <v>3000</v>
      </c>
      <c r="N290" s="6">
        <f t="shared" si="102"/>
        <v>3000</v>
      </c>
      <c r="O290" s="6">
        <f t="shared" si="94"/>
        <v>-990</v>
      </c>
      <c r="P290" s="6">
        <f t="shared" si="95"/>
        <v>-1104</v>
      </c>
      <c r="Q290" s="6">
        <f t="shared" si="96"/>
        <v>-779</v>
      </c>
      <c r="R290" s="8">
        <v>0</v>
      </c>
      <c r="S290" s="8">
        <v>0</v>
      </c>
      <c r="T290" s="8">
        <v>0</v>
      </c>
      <c r="U290" s="25">
        <f t="shared" si="97"/>
        <v>-770</v>
      </c>
      <c r="V290" s="25">
        <f t="shared" si="98"/>
        <v>-894</v>
      </c>
      <c r="W290" s="25">
        <f t="shared" si="99"/>
        <v>-639</v>
      </c>
      <c r="X290" s="15">
        <v>1.1060000000000001</v>
      </c>
      <c r="Y290" s="7"/>
      <c r="Z290" s="21">
        <f t="shared" si="84"/>
        <v>2.1</v>
      </c>
      <c r="AA290" s="6"/>
      <c r="AB290" s="6"/>
    </row>
    <row r="291" spans="1:28" ht="13.8">
      <c r="A291" s="13">
        <f t="shared" si="103"/>
        <v>280</v>
      </c>
      <c r="B291" s="185" t="s">
        <v>352</v>
      </c>
      <c r="C291" s="10">
        <f t="shared" si="92"/>
        <v>1069</v>
      </c>
      <c r="D291" s="9">
        <f t="shared" si="85"/>
        <v>1837</v>
      </c>
      <c r="E291" s="26">
        <f t="shared" si="93"/>
        <v>2906</v>
      </c>
      <c r="F291" s="8">
        <f t="shared" si="86"/>
        <v>896</v>
      </c>
      <c r="G291" s="8">
        <f t="shared" si="87"/>
        <v>1010</v>
      </c>
      <c r="H291" s="8">
        <f t="shared" si="88"/>
        <v>685</v>
      </c>
      <c r="I291" s="6">
        <f t="shared" si="89"/>
        <v>2010</v>
      </c>
      <c r="J291" s="6">
        <f t="shared" si="90"/>
        <v>1896</v>
      </c>
      <c r="K291" s="6">
        <f t="shared" si="91"/>
        <v>2221</v>
      </c>
      <c r="L291" s="6">
        <f t="shared" si="100"/>
        <v>3000</v>
      </c>
      <c r="M291" s="6">
        <f t="shared" si="101"/>
        <v>3000</v>
      </c>
      <c r="N291" s="6">
        <f t="shared" si="102"/>
        <v>3000</v>
      </c>
      <c r="O291" s="6">
        <f t="shared" si="94"/>
        <v>-990</v>
      </c>
      <c r="P291" s="6">
        <f t="shared" si="95"/>
        <v>-1104</v>
      </c>
      <c r="Q291" s="6">
        <f t="shared" si="96"/>
        <v>-779</v>
      </c>
      <c r="R291" s="8">
        <v>0</v>
      </c>
      <c r="S291" s="8">
        <v>0</v>
      </c>
      <c r="T291" s="8">
        <v>0</v>
      </c>
      <c r="U291" s="25">
        <f t="shared" si="97"/>
        <v>-770</v>
      </c>
      <c r="V291" s="25">
        <f t="shared" si="98"/>
        <v>-894</v>
      </c>
      <c r="W291" s="25">
        <f t="shared" si="99"/>
        <v>-639</v>
      </c>
      <c r="X291" s="15">
        <v>1.1060000000000001</v>
      </c>
      <c r="Y291" s="7"/>
      <c r="Z291" s="21">
        <f t="shared" ref="Z291:Z354" si="104">Z290+Y291</f>
        <v>2.1</v>
      </c>
      <c r="AA291" s="6"/>
      <c r="AB291" s="6"/>
    </row>
    <row r="292" spans="1:28" ht="13.8">
      <c r="A292" s="13">
        <f t="shared" si="103"/>
        <v>281</v>
      </c>
      <c r="B292" s="185" t="s">
        <v>353</v>
      </c>
      <c r="C292" s="10">
        <f t="shared" si="92"/>
        <v>1069</v>
      </c>
      <c r="D292" s="9">
        <f t="shared" si="85"/>
        <v>1839</v>
      </c>
      <c r="E292" s="26">
        <f t="shared" si="93"/>
        <v>2908</v>
      </c>
      <c r="F292" s="8">
        <f t="shared" si="86"/>
        <v>898</v>
      </c>
      <c r="G292" s="8">
        <f t="shared" si="87"/>
        <v>1012</v>
      </c>
      <c r="H292" s="8">
        <f t="shared" si="88"/>
        <v>687</v>
      </c>
      <c r="I292" s="6">
        <f t="shared" si="89"/>
        <v>2010</v>
      </c>
      <c r="J292" s="6">
        <f t="shared" si="90"/>
        <v>1896</v>
      </c>
      <c r="K292" s="6">
        <f t="shared" si="91"/>
        <v>2221</v>
      </c>
      <c r="L292" s="6">
        <f t="shared" si="100"/>
        <v>3000</v>
      </c>
      <c r="M292" s="6">
        <f t="shared" si="101"/>
        <v>3000</v>
      </c>
      <c r="N292" s="6">
        <f t="shared" si="102"/>
        <v>3000</v>
      </c>
      <c r="O292" s="6">
        <f t="shared" si="94"/>
        <v>-990</v>
      </c>
      <c r="P292" s="6">
        <f t="shared" si="95"/>
        <v>-1104</v>
      </c>
      <c r="Q292" s="6">
        <f t="shared" si="96"/>
        <v>-779</v>
      </c>
      <c r="R292" s="8">
        <v>0</v>
      </c>
      <c r="S292" s="8">
        <v>0</v>
      </c>
      <c r="T292" s="8">
        <v>0</v>
      </c>
      <c r="U292" s="25">
        <f t="shared" si="97"/>
        <v>-770</v>
      </c>
      <c r="V292" s="25">
        <f t="shared" si="98"/>
        <v>-894</v>
      </c>
      <c r="W292" s="25">
        <f t="shared" si="99"/>
        <v>-639</v>
      </c>
      <c r="X292" s="15">
        <v>1.1060000000000001</v>
      </c>
      <c r="Y292" s="7"/>
      <c r="Z292" s="21">
        <f t="shared" si="104"/>
        <v>2.1</v>
      </c>
      <c r="AA292" s="6"/>
      <c r="AB292" s="6"/>
    </row>
    <row r="293" spans="1:28" ht="13.8">
      <c r="A293" s="13">
        <f t="shared" si="103"/>
        <v>282</v>
      </c>
      <c r="B293" s="185" t="s">
        <v>354</v>
      </c>
      <c r="C293" s="10">
        <f t="shared" si="92"/>
        <v>1069</v>
      </c>
      <c r="D293" s="9">
        <f t="shared" si="85"/>
        <v>1841</v>
      </c>
      <c r="E293" s="26">
        <f t="shared" si="93"/>
        <v>2910</v>
      </c>
      <c r="F293" s="8">
        <f t="shared" si="86"/>
        <v>900</v>
      </c>
      <c r="G293" s="8">
        <f t="shared" si="87"/>
        <v>1014</v>
      </c>
      <c r="H293" s="8">
        <f t="shared" si="88"/>
        <v>689</v>
      </c>
      <c r="I293" s="6">
        <f t="shared" si="89"/>
        <v>2010</v>
      </c>
      <c r="J293" s="6">
        <f t="shared" si="90"/>
        <v>1896</v>
      </c>
      <c r="K293" s="6">
        <f t="shared" si="91"/>
        <v>2221</v>
      </c>
      <c r="L293" s="6">
        <f t="shared" si="100"/>
        <v>3000</v>
      </c>
      <c r="M293" s="6">
        <f t="shared" si="101"/>
        <v>3000</v>
      </c>
      <c r="N293" s="6">
        <f t="shared" si="102"/>
        <v>3000</v>
      </c>
      <c r="O293" s="6">
        <f t="shared" si="94"/>
        <v>-990</v>
      </c>
      <c r="P293" s="6">
        <f t="shared" si="95"/>
        <v>-1104</v>
      </c>
      <c r="Q293" s="6">
        <f t="shared" si="96"/>
        <v>-779</v>
      </c>
      <c r="R293" s="8">
        <v>0</v>
      </c>
      <c r="S293" s="8">
        <v>0</v>
      </c>
      <c r="T293" s="8">
        <v>0</v>
      </c>
      <c r="U293" s="25">
        <f t="shared" si="97"/>
        <v>-770</v>
      </c>
      <c r="V293" s="25">
        <f t="shared" si="98"/>
        <v>-894</v>
      </c>
      <c r="W293" s="25">
        <f t="shared" si="99"/>
        <v>-639</v>
      </c>
      <c r="X293" s="15">
        <v>1.1060000000000001</v>
      </c>
      <c r="Y293" s="7"/>
      <c r="Z293" s="21">
        <f t="shared" si="104"/>
        <v>2.1</v>
      </c>
      <c r="AA293" s="6"/>
      <c r="AB293" s="6"/>
    </row>
    <row r="294" spans="1:28" ht="13.8">
      <c r="A294" s="13">
        <f t="shared" si="103"/>
        <v>283</v>
      </c>
      <c r="B294" s="185" t="s">
        <v>355</v>
      </c>
      <c r="C294" s="10">
        <f t="shared" si="92"/>
        <v>1069</v>
      </c>
      <c r="D294" s="9">
        <f t="shared" si="85"/>
        <v>1843</v>
      </c>
      <c r="E294" s="26">
        <f t="shared" si="93"/>
        <v>2912</v>
      </c>
      <c r="F294" s="8">
        <f t="shared" si="86"/>
        <v>902</v>
      </c>
      <c r="G294" s="8">
        <f t="shared" si="87"/>
        <v>1016</v>
      </c>
      <c r="H294" s="8">
        <f t="shared" si="88"/>
        <v>691</v>
      </c>
      <c r="I294" s="6">
        <f t="shared" si="89"/>
        <v>2010</v>
      </c>
      <c r="J294" s="6">
        <f t="shared" si="90"/>
        <v>1896</v>
      </c>
      <c r="K294" s="6">
        <f t="shared" si="91"/>
        <v>2221</v>
      </c>
      <c r="L294" s="6">
        <f t="shared" si="100"/>
        <v>3000</v>
      </c>
      <c r="M294" s="6">
        <f t="shared" si="101"/>
        <v>3000</v>
      </c>
      <c r="N294" s="6">
        <f t="shared" si="102"/>
        <v>3000</v>
      </c>
      <c r="O294" s="6">
        <f t="shared" si="94"/>
        <v>-990</v>
      </c>
      <c r="P294" s="6">
        <f t="shared" si="95"/>
        <v>-1104</v>
      </c>
      <c r="Q294" s="6">
        <f t="shared" si="96"/>
        <v>-779</v>
      </c>
      <c r="R294" s="8">
        <v>0</v>
      </c>
      <c r="S294" s="8">
        <v>0</v>
      </c>
      <c r="T294" s="8">
        <v>0</v>
      </c>
      <c r="U294" s="25">
        <f t="shared" si="97"/>
        <v>-770</v>
      </c>
      <c r="V294" s="25">
        <f t="shared" si="98"/>
        <v>-894</v>
      </c>
      <c r="W294" s="25">
        <f t="shared" si="99"/>
        <v>-639</v>
      </c>
      <c r="X294" s="15">
        <v>1.1060000000000001</v>
      </c>
      <c r="Y294" s="7"/>
      <c r="Z294" s="21">
        <f t="shared" si="104"/>
        <v>2.1</v>
      </c>
      <c r="AA294" s="6"/>
      <c r="AB294" s="6"/>
    </row>
    <row r="295" spans="1:28" ht="13.8">
      <c r="A295" s="13">
        <f t="shared" si="103"/>
        <v>284</v>
      </c>
      <c r="B295" s="185" t="s">
        <v>356</v>
      </c>
      <c r="C295" s="10">
        <f t="shared" si="92"/>
        <v>1069</v>
      </c>
      <c r="D295" s="9">
        <f t="shared" si="85"/>
        <v>1845</v>
      </c>
      <c r="E295" s="26">
        <f t="shared" si="93"/>
        <v>2914</v>
      </c>
      <c r="F295" s="8">
        <f t="shared" si="86"/>
        <v>904</v>
      </c>
      <c r="G295" s="8">
        <f t="shared" si="87"/>
        <v>1018</v>
      </c>
      <c r="H295" s="8">
        <f t="shared" si="88"/>
        <v>693</v>
      </c>
      <c r="I295" s="6">
        <f t="shared" si="89"/>
        <v>2010</v>
      </c>
      <c r="J295" s="6">
        <f t="shared" si="90"/>
        <v>1896</v>
      </c>
      <c r="K295" s="6">
        <f t="shared" si="91"/>
        <v>2221</v>
      </c>
      <c r="L295" s="6">
        <f t="shared" si="100"/>
        <v>3000</v>
      </c>
      <c r="M295" s="6">
        <f t="shared" si="101"/>
        <v>3000</v>
      </c>
      <c r="N295" s="6">
        <f t="shared" si="102"/>
        <v>3000</v>
      </c>
      <c r="O295" s="6">
        <f t="shared" si="94"/>
        <v>-990</v>
      </c>
      <c r="P295" s="6">
        <f t="shared" si="95"/>
        <v>-1104</v>
      </c>
      <c r="Q295" s="6">
        <f t="shared" si="96"/>
        <v>-779</v>
      </c>
      <c r="R295" s="8">
        <v>0</v>
      </c>
      <c r="S295" s="8">
        <v>0</v>
      </c>
      <c r="T295" s="8">
        <v>0</v>
      </c>
      <c r="U295" s="25">
        <f t="shared" si="97"/>
        <v>-770</v>
      </c>
      <c r="V295" s="25">
        <f t="shared" si="98"/>
        <v>-894</v>
      </c>
      <c r="W295" s="25">
        <f t="shared" si="99"/>
        <v>-639</v>
      </c>
      <c r="X295" s="15">
        <v>1.1060000000000001</v>
      </c>
      <c r="Y295" s="7"/>
      <c r="Z295" s="21">
        <f t="shared" si="104"/>
        <v>2.1</v>
      </c>
      <c r="AA295" s="6"/>
      <c r="AB295" s="6"/>
    </row>
    <row r="296" spans="1:28" ht="13.8">
      <c r="A296" s="13">
        <f t="shared" si="103"/>
        <v>285</v>
      </c>
      <c r="B296" s="185" t="s">
        <v>357</v>
      </c>
      <c r="C296" s="10">
        <f t="shared" si="92"/>
        <v>1069</v>
      </c>
      <c r="D296" s="9">
        <f t="shared" si="85"/>
        <v>1847</v>
      </c>
      <c r="E296" s="26">
        <f t="shared" si="93"/>
        <v>2916</v>
      </c>
      <c r="F296" s="8">
        <f t="shared" si="86"/>
        <v>906</v>
      </c>
      <c r="G296" s="8">
        <f t="shared" si="87"/>
        <v>1020</v>
      </c>
      <c r="H296" s="8">
        <f t="shared" si="88"/>
        <v>695</v>
      </c>
      <c r="I296" s="6">
        <f t="shared" si="89"/>
        <v>2010</v>
      </c>
      <c r="J296" s="6">
        <f t="shared" si="90"/>
        <v>1896</v>
      </c>
      <c r="K296" s="6">
        <f t="shared" si="91"/>
        <v>2221</v>
      </c>
      <c r="L296" s="6">
        <f t="shared" si="100"/>
        <v>3000</v>
      </c>
      <c r="M296" s="6">
        <f t="shared" si="101"/>
        <v>3000</v>
      </c>
      <c r="N296" s="6">
        <f t="shared" si="102"/>
        <v>3000</v>
      </c>
      <c r="O296" s="6">
        <f t="shared" si="94"/>
        <v>-990</v>
      </c>
      <c r="P296" s="6">
        <f t="shared" si="95"/>
        <v>-1104</v>
      </c>
      <c r="Q296" s="6">
        <f t="shared" si="96"/>
        <v>-779</v>
      </c>
      <c r="R296" s="8">
        <v>0</v>
      </c>
      <c r="S296" s="8">
        <v>0</v>
      </c>
      <c r="T296" s="8">
        <v>0</v>
      </c>
      <c r="U296" s="25">
        <f t="shared" si="97"/>
        <v>-770</v>
      </c>
      <c r="V296" s="25">
        <f t="shared" si="98"/>
        <v>-894</v>
      </c>
      <c r="W296" s="25">
        <f t="shared" si="99"/>
        <v>-639</v>
      </c>
      <c r="X296" s="15">
        <v>1.1060000000000001</v>
      </c>
      <c r="Y296" s="7"/>
      <c r="Z296" s="21">
        <f t="shared" si="104"/>
        <v>2.1</v>
      </c>
      <c r="AA296" s="6"/>
      <c r="AB296" s="6"/>
    </row>
    <row r="297" spans="1:28" ht="13.8">
      <c r="A297" s="13">
        <f t="shared" si="103"/>
        <v>286</v>
      </c>
      <c r="B297" s="185" t="s">
        <v>358</v>
      </c>
      <c r="C297" s="10">
        <f t="shared" si="92"/>
        <v>1069</v>
      </c>
      <c r="D297" s="9">
        <f t="shared" si="85"/>
        <v>1849</v>
      </c>
      <c r="E297" s="26">
        <f t="shared" si="93"/>
        <v>2918</v>
      </c>
      <c r="F297" s="8">
        <f t="shared" si="86"/>
        <v>908</v>
      </c>
      <c r="G297" s="8">
        <f t="shared" si="87"/>
        <v>1022</v>
      </c>
      <c r="H297" s="8">
        <f t="shared" si="88"/>
        <v>697</v>
      </c>
      <c r="I297" s="6">
        <f t="shared" si="89"/>
        <v>2010</v>
      </c>
      <c r="J297" s="6">
        <f t="shared" si="90"/>
        <v>1896</v>
      </c>
      <c r="K297" s="6">
        <f t="shared" si="91"/>
        <v>2221</v>
      </c>
      <c r="L297" s="6">
        <f t="shared" si="100"/>
        <v>3000</v>
      </c>
      <c r="M297" s="6">
        <f t="shared" si="101"/>
        <v>3000</v>
      </c>
      <c r="N297" s="6">
        <f t="shared" si="102"/>
        <v>3000</v>
      </c>
      <c r="O297" s="6">
        <f t="shared" si="94"/>
        <v>-990</v>
      </c>
      <c r="P297" s="6">
        <f t="shared" si="95"/>
        <v>-1104</v>
      </c>
      <c r="Q297" s="6">
        <f t="shared" si="96"/>
        <v>-779</v>
      </c>
      <c r="R297" s="8">
        <v>0</v>
      </c>
      <c r="S297" s="8">
        <v>0</v>
      </c>
      <c r="T297" s="8">
        <v>0</v>
      </c>
      <c r="U297" s="25">
        <f t="shared" si="97"/>
        <v>-770</v>
      </c>
      <c r="V297" s="25">
        <f t="shared" si="98"/>
        <v>-894</v>
      </c>
      <c r="W297" s="25">
        <f t="shared" si="99"/>
        <v>-639</v>
      </c>
      <c r="X297" s="15">
        <v>1.1060000000000001</v>
      </c>
      <c r="Y297" s="7"/>
      <c r="Z297" s="21">
        <f t="shared" si="104"/>
        <v>2.1</v>
      </c>
      <c r="AA297" s="6"/>
      <c r="AB297" s="6"/>
    </row>
    <row r="298" spans="1:28" ht="13.8">
      <c r="A298" s="13">
        <f t="shared" si="103"/>
        <v>287</v>
      </c>
      <c r="B298" s="185" t="s">
        <v>359</v>
      </c>
      <c r="C298" s="10">
        <f t="shared" si="92"/>
        <v>1069</v>
      </c>
      <c r="D298" s="9">
        <f t="shared" si="85"/>
        <v>1851</v>
      </c>
      <c r="E298" s="26">
        <f t="shared" si="93"/>
        <v>2920</v>
      </c>
      <c r="F298" s="8">
        <f t="shared" si="86"/>
        <v>910</v>
      </c>
      <c r="G298" s="8">
        <f t="shared" si="87"/>
        <v>1024</v>
      </c>
      <c r="H298" s="8">
        <f t="shared" si="88"/>
        <v>699</v>
      </c>
      <c r="I298" s="6">
        <f t="shared" si="89"/>
        <v>2010</v>
      </c>
      <c r="J298" s="6">
        <f t="shared" si="90"/>
        <v>1896</v>
      </c>
      <c r="K298" s="6">
        <f t="shared" si="91"/>
        <v>2221</v>
      </c>
      <c r="L298" s="6">
        <f t="shared" si="100"/>
        <v>3000</v>
      </c>
      <c r="M298" s="6">
        <f t="shared" si="101"/>
        <v>3000</v>
      </c>
      <c r="N298" s="6">
        <f t="shared" si="102"/>
        <v>3000</v>
      </c>
      <c r="O298" s="6">
        <f t="shared" si="94"/>
        <v>-990</v>
      </c>
      <c r="P298" s="6">
        <f t="shared" si="95"/>
        <v>-1104</v>
      </c>
      <c r="Q298" s="6">
        <f t="shared" si="96"/>
        <v>-779</v>
      </c>
      <c r="R298" s="8">
        <v>0</v>
      </c>
      <c r="S298" s="8">
        <v>0</v>
      </c>
      <c r="T298" s="8">
        <v>0</v>
      </c>
      <c r="U298" s="25">
        <f t="shared" si="97"/>
        <v>-770</v>
      </c>
      <c r="V298" s="25">
        <f t="shared" si="98"/>
        <v>-894</v>
      </c>
      <c r="W298" s="25">
        <f t="shared" si="99"/>
        <v>-639</v>
      </c>
      <c r="X298" s="15">
        <v>1.1060000000000001</v>
      </c>
      <c r="Y298" s="7"/>
      <c r="Z298" s="21">
        <f t="shared" si="104"/>
        <v>2.1</v>
      </c>
      <c r="AA298" s="6"/>
      <c r="AB298" s="6"/>
    </row>
    <row r="299" spans="1:28" ht="13.8">
      <c r="A299" s="13">
        <f t="shared" si="103"/>
        <v>288</v>
      </c>
      <c r="B299" s="185" t="s">
        <v>360</v>
      </c>
      <c r="C299" s="10">
        <f t="shared" si="92"/>
        <v>1069</v>
      </c>
      <c r="D299" s="9">
        <f t="shared" si="85"/>
        <v>1853</v>
      </c>
      <c r="E299" s="26">
        <f t="shared" si="93"/>
        <v>2922</v>
      </c>
      <c r="F299" s="8">
        <f t="shared" si="86"/>
        <v>912</v>
      </c>
      <c r="G299" s="8">
        <f t="shared" si="87"/>
        <v>1026</v>
      </c>
      <c r="H299" s="8">
        <f t="shared" si="88"/>
        <v>701</v>
      </c>
      <c r="I299" s="6">
        <f t="shared" si="89"/>
        <v>2010</v>
      </c>
      <c r="J299" s="6">
        <f t="shared" si="90"/>
        <v>1896</v>
      </c>
      <c r="K299" s="6">
        <f t="shared" si="91"/>
        <v>2221</v>
      </c>
      <c r="L299" s="6">
        <f t="shared" si="100"/>
        <v>3000</v>
      </c>
      <c r="M299" s="6">
        <f t="shared" si="101"/>
        <v>3000</v>
      </c>
      <c r="N299" s="6">
        <f t="shared" si="102"/>
        <v>3000</v>
      </c>
      <c r="O299" s="6">
        <f t="shared" si="94"/>
        <v>-990</v>
      </c>
      <c r="P299" s="6">
        <f t="shared" si="95"/>
        <v>-1104</v>
      </c>
      <c r="Q299" s="6">
        <f t="shared" si="96"/>
        <v>-779</v>
      </c>
      <c r="R299" s="8">
        <v>0</v>
      </c>
      <c r="S299" s="8">
        <v>0</v>
      </c>
      <c r="T299" s="8">
        <v>0</v>
      </c>
      <c r="U299" s="25">
        <f t="shared" si="97"/>
        <v>-770</v>
      </c>
      <c r="V299" s="25">
        <f t="shared" si="98"/>
        <v>-894</v>
      </c>
      <c r="W299" s="25">
        <f t="shared" si="99"/>
        <v>-639</v>
      </c>
      <c r="X299" s="15">
        <v>1.1060000000000001</v>
      </c>
      <c r="Y299" s="7"/>
      <c r="Z299" s="21">
        <f t="shared" si="104"/>
        <v>2.1</v>
      </c>
      <c r="AA299" s="6"/>
      <c r="AB299" s="6"/>
    </row>
    <row r="300" spans="1:28" ht="13.8">
      <c r="A300" s="13">
        <f t="shared" si="103"/>
        <v>289</v>
      </c>
      <c r="B300" s="185" t="s">
        <v>361</v>
      </c>
      <c r="C300" s="10">
        <f t="shared" si="92"/>
        <v>1069</v>
      </c>
      <c r="D300" s="9">
        <f t="shared" si="85"/>
        <v>1855</v>
      </c>
      <c r="E300" s="26">
        <f t="shared" si="93"/>
        <v>2924</v>
      </c>
      <c r="F300" s="8">
        <f t="shared" si="86"/>
        <v>914</v>
      </c>
      <c r="G300" s="8">
        <f t="shared" si="87"/>
        <v>1028</v>
      </c>
      <c r="H300" s="8">
        <f t="shared" si="88"/>
        <v>703</v>
      </c>
      <c r="I300" s="6">
        <f t="shared" si="89"/>
        <v>2010</v>
      </c>
      <c r="J300" s="6">
        <f t="shared" si="90"/>
        <v>1896</v>
      </c>
      <c r="K300" s="6">
        <f t="shared" si="91"/>
        <v>2221</v>
      </c>
      <c r="L300" s="6">
        <f t="shared" si="100"/>
        <v>3000</v>
      </c>
      <c r="M300" s="6">
        <f t="shared" si="101"/>
        <v>3000</v>
      </c>
      <c r="N300" s="6">
        <f t="shared" si="102"/>
        <v>3000</v>
      </c>
      <c r="O300" s="6">
        <f t="shared" si="94"/>
        <v>-990</v>
      </c>
      <c r="P300" s="6">
        <f t="shared" si="95"/>
        <v>-1104</v>
      </c>
      <c r="Q300" s="6">
        <f t="shared" si="96"/>
        <v>-779</v>
      </c>
      <c r="R300" s="8">
        <v>0</v>
      </c>
      <c r="S300" s="8">
        <v>0</v>
      </c>
      <c r="T300" s="8">
        <v>0</v>
      </c>
      <c r="U300" s="25">
        <f t="shared" si="97"/>
        <v>-770</v>
      </c>
      <c r="V300" s="25">
        <f t="shared" si="98"/>
        <v>-894</v>
      </c>
      <c r="W300" s="25">
        <f t="shared" si="99"/>
        <v>-639</v>
      </c>
      <c r="X300" s="15">
        <v>1.1060000000000001</v>
      </c>
      <c r="Y300" s="7"/>
      <c r="Z300" s="21">
        <f t="shared" si="104"/>
        <v>2.1</v>
      </c>
      <c r="AA300" s="6"/>
      <c r="AB300" s="6"/>
    </row>
    <row r="301" spans="1:28" ht="13.8">
      <c r="A301" s="13">
        <f t="shared" si="103"/>
        <v>290</v>
      </c>
      <c r="B301" s="185" t="s">
        <v>362</v>
      </c>
      <c r="C301" s="10">
        <f t="shared" si="92"/>
        <v>1069</v>
      </c>
      <c r="D301" s="9">
        <f t="shared" si="85"/>
        <v>1857</v>
      </c>
      <c r="E301" s="26">
        <f t="shared" si="93"/>
        <v>2926</v>
      </c>
      <c r="F301" s="8">
        <f t="shared" si="86"/>
        <v>916</v>
      </c>
      <c r="G301" s="8">
        <f t="shared" si="87"/>
        <v>1030</v>
      </c>
      <c r="H301" s="8">
        <f t="shared" si="88"/>
        <v>705</v>
      </c>
      <c r="I301" s="6">
        <f t="shared" si="89"/>
        <v>2010</v>
      </c>
      <c r="J301" s="6">
        <f t="shared" si="90"/>
        <v>1896</v>
      </c>
      <c r="K301" s="6">
        <f t="shared" si="91"/>
        <v>2221</v>
      </c>
      <c r="L301" s="6">
        <f t="shared" si="100"/>
        <v>3000</v>
      </c>
      <c r="M301" s="6">
        <f t="shared" si="101"/>
        <v>3000</v>
      </c>
      <c r="N301" s="6">
        <f t="shared" si="102"/>
        <v>3000</v>
      </c>
      <c r="O301" s="6">
        <f t="shared" si="94"/>
        <v>-990</v>
      </c>
      <c r="P301" s="6">
        <f t="shared" si="95"/>
        <v>-1104</v>
      </c>
      <c r="Q301" s="6">
        <f t="shared" si="96"/>
        <v>-779</v>
      </c>
      <c r="R301" s="8">
        <v>0</v>
      </c>
      <c r="S301" s="8">
        <v>0</v>
      </c>
      <c r="T301" s="8">
        <v>0</v>
      </c>
      <c r="U301" s="25">
        <f t="shared" si="97"/>
        <v>-770</v>
      </c>
      <c r="V301" s="25">
        <f t="shared" si="98"/>
        <v>-894</v>
      </c>
      <c r="W301" s="25">
        <f t="shared" si="99"/>
        <v>-639</v>
      </c>
      <c r="X301" s="15">
        <v>1.1060000000000001</v>
      </c>
      <c r="Y301" s="7"/>
      <c r="Z301" s="21">
        <f t="shared" si="104"/>
        <v>2.1</v>
      </c>
      <c r="AA301" s="6"/>
      <c r="AB301" s="6"/>
    </row>
    <row r="302" spans="1:28" ht="13.8">
      <c r="A302" s="13">
        <f t="shared" si="103"/>
        <v>291</v>
      </c>
      <c r="B302" s="185" t="s">
        <v>363</v>
      </c>
      <c r="C302" s="10">
        <f t="shared" si="92"/>
        <v>1069</v>
      </c>
      <c r="D302" s="9">
        <f t="shared" si="85"/>
        <v>1859</v>
      </c>
      <c r="E302" s="26">
        <f t="shared" si="93"/>
        <v>2928</v>
      </c>
      <c r="F302" s="8">
        <f t="shared" si="86"/>
        <v>918</v>
      </c>
      <c r="G302" s="8">
        <f t="shared" si="87"/>
        <v>1032</v>
      </c>
      <c r="H302" s="8">
        <f t="shared" si="88"/>
        <v>707</v>
      </c>
      <c r="I302" s="6">
        <f t="shared" si="89"/>
        <v>2010</v>
      </c>
      <c r="J302" s="6">
        <f t="shared" si="90"/>
        <v>1896</v>
      </c>
      <c r="K302" s="6">
        <f t="shared" si="91"/>
        <v>2221</v>
      </c>
      <c r="L302" s="6">
        <f t="shared" si="100"/>
        <v>3000</v>
      </c>
      <c r="M302" s="6">
        <f t="shared" si="101"/>
        <v>3000</v>
      </c>
      <c r="N302" s="6">
        <f t="shared" si="102"/>
        <v>3000</v>
      </c>
      <c r="O302" s="6">
        <f t="shared" si="94"/>
        <v>-990</v>
      </c>
      <c r="P302" s="6">
        <f t="shared" si="95"/>
        <v>-1104</v>
      </c>
      <c r="Q302" s="6">
        <f t="shared" si="96"/>
        <v>-779</v>
      </c>
      <c r="R302" s="8">
        <v>0</v>
      </c>
      <c r="S302" s="8">
        <v>0</v>
      </c>
      <c r="T302" s="8">
        <v>0</v>
      </c>
      <c r="U302" s="25">
        <f t="shared" si="97"/>
        <v>-770</v>
      </c>
      <c r="V302" s="25">
        <f t="shared" si="98"/>
        <v>-894</v>
      </c>
      <c r="W302" s="25">
        <f t="shared" si="99"/>
        <v>-639</v>
      </c>
      <c r="X302" s="15">
        <v>1.1060000000000001</v>
      </c>
      <c r="Y302" s="7"/>
      <c r="Z302" s="21">
        <f t="shared" si="104"/>
        <v>2.1</v>
      </c>
      <c r="AA302" s="6"/>
      <c r="AB302" s="6"/>
    </row>
    <row r="303" spans="1:28" ht="13.8">
      <c r="A303" s="13">
        <f t="shared" si="103"/>
        <v>292</v>
      </c>
      <c r="B303" s="185" t="s">
        <v>364</v>
      </c>
      <c r="C303" s="10">
        <f t="shared" si="92"/>
        <v>1069</v>
      </c>
      <c r="D303" s="9">
        <f t="shared" si="85"/>
        <v>1861</v>
      </c>
      <c r="E303" s="26">
        <f t="shared" si="93"/>
        <v>2930</v>
      </c>
      <c r="F303" s="8">
        <f t="shared" si="86"/>
        <v>920</v>
      </c>
      <c r="G303" s="8">
        <f t="shared" si="87"/>
        <v>1034</v>
      </c>
      <c r="H303" s="8">
        <f t="shared" si="88"/>
        <v>709</v>
      </c>
      <c r="I303" s="6">
        <f t="shared" si="89"/>
        <v>2010</v>
      </c>
      <c r="J303" s="6">
        <f t="shared" si="90"/>
        <v>1896</v>
      </c>
      <c r="K303" s="6">
        <f t="shared" si="91"/>
        <v>2221</v>
      </c>
      <c r="L303" s="6">
        <f t="shared" si="100"/>
        <v>3000</v>
      </c>
      <c r="M303" s="6">
        <f t="shared" si="101"/>
        <v>3000</v>
      </c>
      <c r="N303" s="6">
        <f t="shared" si="102"/>
        <v>3000</v>
      </c>
      <c r="O303" s="6">
        <f t="shared" si="94"/>
        <v>-990</v>
      </c>
      <c r="P303" s="6">
        <f t="shared" si="95"/>
        <v>-1104</v>
      </c>
      <c r="Q303" s="6">
        <f t="shared" si="96"/>
        <v>-779</v>
      </c>
      <c r="R303" s="8">
        <v>0</v>
      </c>
      <c r="S303" s="8">
        <v>0</v>
      </c>
      <c r="T303" s="8">
        <v>0</v>
      </c>
      <c r="U303" s="25">
        <f t="shared" si="97"/>
        <v>-770</v>
      </c>
      <c r="V303" s="25">
        <f t="shared" si="98"/>
        <v>-894</v>
      </c>
      <c r="W303" s="25">
        <f t="shared" si="99"/>
        <v>-639</v>
      </c>
      <c r="X303" s="15">
        <v>1.1060000000000001</v>
      </c>
      <c r="Y303" s="7"/>
      <c r="Z303" s="21">
        <f t="shared" si="104"/>
        <v>2.1</v>
      </c>
      <c r="AA303" s="6"/>
      <c r="AB303" s="6"/>
    </row>
    <row r="304" spans="1:28" ht="13.8">
      <c r="A304" s="13">
        <f t="shared" si="103"/>
        <v>293</v>
      </c>
      <c r="B304" s="185" t="s">
        <v>365</v>
      </c>
      <c r="C304" s="10">
        <f t="shared" si="92"/>
        <v>1069</v>
      </c>
      <c r="D304" s="9">
        <f t="shared" si="85"/>
        <v>1863</v>
      </c>
      <c r="E304" s="26">
        <f t="shared" si="93"/>
        <v>2932</v>
      </c>
      <c r="F304" s="8">
        <f t="shared" si="86"/>
        <v>922</v>
      </c>
      <c r="G304" s="8">
        <f t="shared" si="87"/>
        <v>1036</v>
      </c>
      <c r="H304" s="8">
        <f t="shared" si="88"/>
        <v>711</v>
      </c>
      <c r="I304" s="6">
        <f t="shared" si="89"/>
        <v>2010</v>
      </c>
      <c r="J304" s="6">
        <f t="shared" si="90"/>
        <v>1896</v>
      </c>
      <c r="K304" s="6">
        <f t="shared" si="91"/>
        <v>2221</v>
      </c>
      <c r="L304" s="6">
        <f t="shared" si="100"/>
        <v>3000</v>
      </c>
      <c r="M304" s="6">
        <f t="shared" si="101"/>
        <v>3000</v>
      </c>
      <c r="N304" s="6">
        <f t="shared" si="102"/>
        <v>3000</v>
      </c>
      <c r="O304" s="6">
        <f t="shared" si="94"/>
        <v>-990</v>
      </c>
      <c r="P304" s="6">
        <f t="shared" si="95"/>
        <v>-1104</v>
      </c>
      <c r="Q304" s="6">
        <f t="shared" si="96"/>
        <v>-779</v>
      </c>
      <c r="R304" s="8">
        <v>0</v>
      </c>
      <c r="S304" s="8">
        <v>0</v>
      </c>
      <c r="T304" s="8">
        <v>0</v>
      </c>
      <c r="U304" s="25">
        <f t="shared" si="97"/>
        <v>-770</v>
      </c>
      <c r="V304" s="25">
        <f t="shared" si="98"/>
        <v>-894</v>
      </c>
      <c r="W304" s="25">
        <f t="shared" si="99"/>
        <v>-639</v>
      </c>
      <c r="X304" s="15">
        <v>1.1060000000000001</v>
      </c>
      <c r="Y304" s="7"/>
      <c r="Z304" s="21">
        <f t="shared" si="104"/>
        <v>2.1</v>
      </c>
      <c r="AA304" s="6"/>
      <c r="AB304" s="6"/>
    </row>
    <row r="305" spans="1:28" ht="13.8">
      <c r="A305" s="13">
        <f t="shared" si="103"/>
        <v>294</v>
      </c>
      <c r="B305" s="185" t="s">
        <v>366</v>
      </c>
      <c r="C305" s="10">
        <f t="shared" si="92"/>
        <v>1069</v>
      </c>
      <c r="D305" s="9">
        <f t="shared" si="85"/>
        <v>1865</v>
      </c>
      <c r="E305" s="26">
        <f t="shared" si="93"/>
        <v>2934</v>
      </c>
      <c r="F305" s="8">
        <f t="shared" si="86"/>
        <v>924</v>
      </c>
      <c r="G305" s="8">
        <f t="shared" si="87"/>
        <v>1038</v>
      </c>
      <c r="H305" s="8">
        <f t="shared" si="88"/>
        <v>713</v>
      </c>
      <c r="I305" s="6">
        <f t="shared" si="89"/>
        <v>2010</v>
      </c>
      <c r="J305" s="6">
        <f t="shared" si="90"/>
        <v>1896</v>
      </c>
      <c r="K305" s="6">
        <f t="shared" si="91"/>
        <v>2221</v>
      </c>
      <c r="L305" s="6">
        <f t="shared" si="100"/>
        <v>3000</v>
      </c>
      <c r="M305" s="6">
        <f t="shared" si="101"/>
        <v>3000</v>
      </c>
      <c r="N305" s="6">
        <f t="shared" si="102"/>
        <v>3000</v>
      </c>
      <c r="O305" s="6">
        <f t="shared" si="94"/>
        <v>-990</v>
      </c>
      <c r="P305" s="6">
        <f t="shared" si="95"/>
        <v>-1104</v>
      </c>
      <c r="Q305" s="6">
        <f t="shared" si="96"/>
        <v>-779</v>
      </c>
      <c r="R305" s="8">
        <v>0</v>
      </c>
      <c r="S305" s="8">
        <v>0</v>
      </c>
      <c r="T305" s="8">
        <v>0</v>
      </c>
      <c r="U305" s="25">
        <f t="shared" si="97"/>
        <v>-770</v>
      </c>
      <c r="V305" s="25">
        <f t="shared" si="98"/>
        <v>-894</v>
      </c>
      <c r="W305" s="25">
        <f t="shared" si="99"/>
        <v>-639</v>
      </c>
      <c r="X305" s="15">
        <v>1.1060000000000001</v>
      </c>
      <c r="Y305" s="7"/>
      <c r="Z305" s="21">
        <f t="shared" si="104"/>
        <v>2.1</v>
      </c>
      <c r="AA305" s="6"/>
      <c r="AB305" s="6"/>
    </row>
    <row r="306" spans="1:28" ht="13.8">
      <c r="A306" s="13">
        <f t="shared" si="103"/>
        <v>295</v>
      </c>
      <c r="B306" s="185" t="s">
        <v>367</v>
      </c>
      <c r="C306" s="10">
        <f t="shared" si="92"/>
        <v>1069</v>
      </c>
      <c r="D306" s="9">
        <f t="shared" si="85"/>
        <v>1867</v>
      </c>
      <c r="E306" s="26">
        <f t="shared" si="93"/>
        <v>2936</v>
      </c>
      <c r="F306" s="8">
        <f t="shared" si="86"/>
        <v>926</v>
      </c>
      <c r="G306" s="8">
        <f t="shared" si="87"/>
        <v>1040</v>
      </c>
      <c r="H306" s="8">
        <f t="shared" si="88"/>
        <v>715</v>
      </c>
      <c r="I306" s="6">
        <f t="shared" si="89"/>
        <v>2010</v>
      </c>
      <c r="J306" s="6">
        <f t="shared" si="90"/>
        <v>1896</v>
      </c>
      <c r="K306" s="6">
        <f t="shared" si="91"/>
        <v>2221</v>
      </c>
      <c r="L306" s="6">
        <f t="shared" si="100"/>
        <v>3000</v>
      </c>
      <c r="M306" s="6">
        <f t="shared" si="101"/>
        <v>3000</v>
      </c>
      <c r="N306" s="6">
        <f t="shared" si="102"/>
        <v>3000</v>
      </c>
      <c r="O306" s="6">
        <f t="shared" si="94"/>
        <v>-990</v>
      </c>
      <c r="P306" s="6">
        <f t="shared" si="95"/>
        <v>-1104</v>
      </c>
      <c r="Q306" s="6">
        <f t="shared" si="96"/>
        <v>-779</v>
      </c>
      <c r="R306" s="8">
        <v>0</v>
      </c>
      <c r="S306" s="8">
        <v>0</v>
      </c>
      <c r="T306" s="8">
        <v>0</v>
      </c>
      <c r="U306" s="25">
        <f t="shared" si="97"/>
        <v>-770</v>
      </c>
      <c r="V306" s="25">
        <f t="shared" si="98"/>
        <v>-894</v>
      </c>
      <c r="W306" s="25">
        <f t="shared" si="99"/>
        <v>-639</v>
      </c>
      <c r="X306" s="15">
        <v>1.1060000000000001</v>
      </c>
      <c r="Y306" s="7"/>
      <c r="Z306" s="21">
        <f t="shared" si="104"/>
        <v>2.1</v>
      </c>
      <c r="AA306" s="6"/>
      <c r="AB306" s="6"/>
    </row>
    <row r="307" spans="1:28" ht="13.8">
      <c r="A307" s="13">
        <f t="shared" si="103"/>
        <v>296</v>
      </c>
      <c r="B307" s="185" t="s">
        <v>368</v>
      </c>
      <c r="C307" s="10">
        <f t="shared" si="92"/>
        <v>1069</v>
      </c>
      <c r="D307" s="9">
        <f t="shared" si="85"/>
        <v>1869</v>
      </c>
      <c r="E307" s="26">
        <f t="shared" si="93"/>
        <v>2938</v>
      </c>
      <c r="F307" s="8">
        <f t="shared" si="86"/>
        <v>928</v>
      </c>
      <c r="G307" s="8">
        <f t="shared" si="87"/>
        <v>1042</v>
      </c>
      <c r="H307" s="8">
        <f t="shared" si="88"/>
        <v>717</v>
      </c>
      <c r="I307" s="6">
        <f t="shared" si="89"/>
        <v>2010</v>
      </c>
      <c r="J307" s="6">
        <f t="shared" si="90"/>
        <v>1896</v>
      </c>
      <c r="K307" s="6">
        <f t="shared" si="91"/>
        <v>2221</v>
      </c>
      <c r="L307" s="6">
        <f t="shared" si="100"/>
        <v>3000</v>
      </c>
      <c r="M307" s="6">
        <f t="shared" si="101"/>
        <v>3000</v>
      </c>
      <c r="N307" s="6">
        <f t="shared" si="102"/>
        <v>3000</v>
      </c>
      <c r="O307" s="6">
        <f t="shared" si="94"/>
        <v>-990</v>
      </c>
      <c r="P307" s="6">
        <f t="shared" si="95"/>
        <v>-1104</v>
      </c>
      <c r="Q307" s="6">
        <f t="shared" si="96"/>
        <v>-779</v>
      </c>
      <c r="R307" s="8">
        <v>0</v>
      </c>
      <c r="S307" s="8">
        <v>0</v>
      </c>
      <c r="T307" s="8">
        <v>0</v>
      </c>
      <c r="U307" s="25">
        <f t="shared" si="97"/>
        <v>-770</v>
      </c>
      <c r="V307" s="25">
        <f t="shared" si="98"/>
        <v>-894</v>
      </c>
      <c r="W307" s="25">
        <f t="shared" si="99"/>
        <v>-639</v>
      </c>
      <c r="X307" s="15">
        <v>1.1060000000000001</v>
      </c>
      <c r="Y307" s="7"/>
      <c r="Z307" s="21">
        <f t="shared" si="104"/>
        <v>2.1</v>
      </c>
      <c r="AA307" s="6"/>
      <c r="AB307" s="6"/>
    </row>
    <row r="308" spans="1:28" ht="13.8">
      <c r="A308" s="13">
        <f t="shared" si="103"/>
        <v>297</v>
      </c>
      <c r="B308" s="185" t="s">
        <v>369</v>
      </c>
      <c r="C308" s="10">
        <f t="shared" si="92"/>
        <v>1069</v>
      </c>
      <c r="D308" s="9">
        <f t="shared" si="85"/>
        <v>1871</v>
      </c>
      <c r="E308" s="26">
        <f t="shared" si="93"/>
        <v>2940</v>
      </c>
      <c r="F308" s="8">
        <f t="shared" si="86"/>
        <v>930</v>
      </c>
      <c r="G308" s="8">
        <f t="shared" si="87"/>
        <v>1044</v>
      </c>
      <c r="H308" s="8">
        <f t="shared" si="88"/>
        <v>719</v>
      </c>
      <c r="I308" s="6">
        <f t="shared" si="89"/>
        <v>2010</v>
      </c>
      <c r="J308" s="6">
        <f t="shared" si="90"/>
        <v>1896</v>
      </c>
      <c r="K308" s="6">
        <f t="shared" si="91"/>
        <v>2221</v>
      </c>
      <c r="L308" s="6">
        <f t="shared" si="100"/>
        <v>3000</v>
      </c>
      <c r="M308" s="6">
        <f t="shared" si="101"/>
        <v>3000</v>
      </c>
      <c r="N308" s="6">
        <f t="shared" si="102"/>
        <v>3000</v>
      </c>
      <c r="O308" s="6">
        <f t="shared" si="94"/>
        <v>-990</v>
      </c>
      <c r="P308" s="6">
        <f t="shared" si="95"/>
        <v>-1104</v>
      </c>
      <c r="Q308" s="6">
        <f t="shared" si="96"/>
        <v>-779</v>
      </c>
      <c r="R308" s="8">
        <v>0</v>
      </c>
      <c r="S308" s="8">
        <v>0</v>
      </c>
      <c r="T308" s="8">
        <v>0</v>
      </c>
      <c r="U308" s="25">
        <f t="shared" si="97"/>
        <v>-770</v>
      </c>
      <c r="V308" s="25">
        <f t="shared" si="98"/>
        <v>-894</v>
      </c>
      <c r="W308" s="25">
        <f t="shared" si="99"/>
        <v>-639</v>
      </c>
      <c r="X308" s="15">
        <v>1.1060000000000001</v>
      </c>
      <c r="Y308" s="7"/>
      <c r="Z308" s="21">
        <f t="shared" si="104"/>
        <v>2.1</v>
      </c>
      <c r="AA308" s="6"/>
      <c r="AB308" s="6"/>
    </row>
    <row r="309" spans="1:28" ht="13.8">
      <c r="A309" s="13">
        <f t="shared" si="103"/>
        <v>298</v>
      </c>
      <c r="B309" s="185" t="s">
        <v>370</v>
      </c>
      <c r="C309" s="10">
        <f t="shared" si="92"/>
        <v>1069</v>
      </c>
      <c r="D309" s="9">
        <f t="shared" si="85"/>
        <v>1873</v>
      </c>
      <c r="E309" s="26">
        <f t="shared" si="93"/>
        <v>2942</v>
      </c>
      <c r="F309" s="8">
        <f t="shared" si="86"/>
        <v>932</v>
      </c>
      <c r="G309" s="8">
        <f t="shared" si="87"/>
        <v>1046</v>
      </c>
      <c r="H309" s="8">
        <f t="shared" si="88"/>
        <v>721</v>
      </c>
      <c r="I309" s="6">
        <f t="shared" si="89"/>
        <v>2010</v>
      </c>
      <c r="J309" s="6">
        <f t="shared" si="90"/>
        <v>1896</v>
      </c>
      <c r="K309" s="6">
        <f t="shared" si="91"/>
        <v>2221</v>
      </c>
      <c r="L309" s="6">
        <f t="shared" si="100"/>
        <v>3000</v>
      </c>
      <c r="M309" s="6">
        <f t="shared" si="101"/>
        <v>3000</v>
      </c>
      <c r="N309" s="6">
        <f t="shared" si="102"/>
        <v>3000</v>
      </c>
      <c r="O309" s="6">
        <f t="shared" si="94"/>
        <v>-990</v>
      </c>
      <c r="P309" s="6">
        <f t="shared" si="95"/>
        <v>-1104</v>
      </c>
      <c r="Q309" s="6">
        <f t="shared" si="96"/>
        <v>-779</v>
      </c>
      <c r="R309" s="8">
        <v>0</v>
      </c>
      <c r="S309" s="8">
        <v>0</v>
      </c>
      <c r="T309" s="8">
        <v>0</v>
      </c>
      <c r="U309" s="25">
        <f t="shared" si="97"/>
        <v>-770</v>
      </c>
      <c r="V309" s="25">
        <f t="shared" si="98"/>
        <v>-894</v>
      </c>
      <c r="W309" s="25">
        <f t="shared" si="99"/>
        <v>-639</v>
      </c>
      <c r="X309" s="15">
        <v>1.1060000000000001</v>
      </c>
      <c r="Y309" s="7"/>
      <c r="Z309" s="21">
        <f t="shared" si="104"/>
        <v>2.1</v>
      </c>
      <c r="AA309" s="6"/>
      <c r="AB309" s="6"/>
    </row>
    <row r="310" spans="1:28" ht="13.8">
      <c r="A310" s="13">
        <f t="shared" si="103"/>
        <v>299</v>
      </c>
      <c r="B310" s="185" t="s">
        <v>371</v>
      </c>
      <c r="C310" s="10">
        <f t="shared" si="92"/>
        <v>1069</v>
      </c>
      <c r="D310" s="9">
        <f t="shared" si="85"/>
        <v>1875</v>
      </c>
      <c r="E310" s="26">
        <f t="shared" si="93"/>
        <v>2944</v>
      </c>
      <c r="F310" s="8">
        <f t="shared" si="86"/>
        <v>934</v>
      </c>
      <c r="G310" s="8">
        <f t="shared" si="87"/>
        <v>1048</v>
      </c>
      <c r="H310" s="8">
        <f t="shared" si="88"/>
        <v>723</v>
      </c>
      <c r="I310" s="6">
        <f t="shared" si="89"/>
        <v>2010</v>
      </c>
      <c r="J310" s="6">
        <f t="shared" si="90"/>
        <v>1896</v>
      </c>
      <c r="K310" s="6">
        <f t="shared" si="91"/>
        <v>2221</v>
      </c>
      <c r="L310" s="6">
        <f t="shared" si="100"/>
        <v>3000</v>
      </c>
      <c r="M310" s="6">
        <f t="shared" si="101"/>
        <v>3000</v>
      </c>
      <c r="N310" s="6">
        <f t="shared" si="102"/>
        <v>3000</v>
      </c>
      <c r="O310" s="6">
        <f t="shared" si="94"/>
        <v>-990</v>
      </c>
      <c r="P310" s="6">
        <f t="shared" si="95"/>
        <v>-1104</v>
      </c>
      <c r="Q310" s="6">
        <f t="shared" si="96"/>
        <v>-779</v>
      </c>
      <c r="R310" s="8">
        <v>0</v>
      </c>
      <c r="S310" s="8">
        <v>0</v>
      </c>
      <c r="T310" s="8">
        <v>0</v>
      </c>
      <c r="U310" s="25">
        <f t="shared" si="97"/>
        <v>-770</v>
      </c>
      <c r="V310" s="25">
        <f t="shared" si="98"/>
        <v>-894</v>
      </c>
      <c r="W310" s="25">
        <f t="shared" si="99"/>
        <v>-639</v>
      </c>
      <c r="X310" s="15">
        <v>1.1060000000000001</v>
      </c>
      <c r="Y310" s="7"/>
      <c r="Z310" s="21">
        <f t="shared" si="104"/>
        <v>2.1</v>
      </c>
      <c r="AA310" s="6"/>
      <c r="AB310" s="6"/>
    </row>
    <row r="311" spans="1:28" ht="13.8">
      <c r="A311" s="13">
        <f t="shared" si="103"/>
        <v>300</v>
      </c>
      <c r="B311" s="185" t="s">
        <v>372</v>
      </c>
      <c r="C311" s="10">
        <f t="shared" si="92"/>
        <v>1069</v>
      </c>
      <c r="D311" s="9">
        <f t="shared" si="85"/>
        <v>1877</v>
      </c>
      <c r="E311" s="26">
        <f t="shared" si="93"/>
        <v>2946</v>
      </c>
      <c r="F311" s="8">
        <f t="shared" si="86"/>
        <v>936</v>
      </c>
      <c r="G311" s="8">
        <f t="shared" si="87"/>
        <v>1050</v>
      </c>
      <c r="H311" s="8">
        <f t="shared" si="88"/>
        <v>725</v>
      </c>
      <c r="I311" s="6">
        <f t="shared" si="89"/>
        <v>2010</v>
      </c>
      <c r="J311" s="6">
        <f t="shared" si="90"/>
        <v>1896</v>
      </c>
      <c r="K311" s="6">
        <f t="shared" si="91"/>
        <v>2221</v>
      </c>
      <c r="L311" s="6">
        <f t="shared" si="100"/>
        <v>3000</v>
      </c>
      <c r="M311" s="6">
        <f t="shared" si="101"/>
        <v>3000</v>
      </c>
      <c r="N311" s="6">
        <f t="shared" si="102"/>
        <v>3000</v>
      </c>
      <c r="O311" s="6">
        <f t="shared" si="94"/>
        <v>-990</v>
      </c>
      <c r="P311" s="6">
        <f t="shared" si="95"/>
        <v>-1104</v>
      </c>
      <c r="Q311" s="6">
        <f t="shared" si="96"/>
        <v>-779</v>
      </c>
      <c r="R311" s="8">
        <v>0</v>
      </c>
      <c r="S311" s="8">
        <v>0</v>
      </c>
      <c r="T311" s="8">
        <v>0</v>
      </c>
      <c r="U311" s="25">
        <f t="shared" si="97"/>
        <v>-770</v>
      </c>
      <c r="V311" s="25">
        <f t="shared" si="98"/>
        <v>-894</v>
      </c>
      <c r="W311" s="25">
        <f t="shared" si="99"/>
        <v>-639</v>
      </c>
      <c r="X311" s="15">
        <v>1.1060000000000001</v>
      </c>
      <c r="Y311" s="7"/>
      <c r="Z311" s="21">
        <f t="shared" si="104"/>
        <v>2.1</v>
      </c>
      <c r="AA311" s="6"/>
      <c r="AB311" s="6"/>
    </row>
    <row r="312" spans="1:28" ht="13.8">
      <c r="A312" s="13">
        <f t="shared" si="103"/>
        <v>301</v>
      </c>
      <c r="B312" s="185" t="s">
        <v>373</v>
      </c>
      <c r="C312" s="10">
        <f t="shared" si="92"/>
        <v>1069</v>
      </c>
      <c r="D312" s="9">
        <f t="shared" si="85"/>
        <v>1879</v>
      </c>
      <c r="E312" s="26">
        <f t="shared" si="93"/>
        <v>2948</v>
      </c>
      <c r="F312" s="8">
        <f t="shared" si="86"/>
        <v>938</v>
      </c>
      <c r="G312" s="8">
        <f t="shared" si="87"/>
        <v>1052</v>
      </c>
      <c r="H312" s="8">
        <f t="shared" si="88"/>
        <v>727</v>
      </c>
      <c r="I312" s="6">
        <f t="shared" si="89"/>
        <v>2010</v>
      </c>
      <c r="J312" s="6">
        <f t="shared" si="90"/>
        <v>1896</v>
      </c>
      <c r="K312" s="6">
        <f t="shared" si="91"/>
        <v>2221</v>
      </c>
      <c r="L312" s="6">
        <f t="shared" si="100"/>
        <v>3000</v>
      </c>
      <c r="M312" s="6">
        <f t="shared" si="101"/>
        <v>3000</v>
      </c>
      <c r="N312" s="6">
        <f t="shared" si="102"/>
        <v>3000</v>
      </c>
      <c r="O312" s="6">
        <f t="shared" si="94"/>
        <v>-990</v>
      </c>
      <c r="P312" s="6">
        <f t="shared" si="95"/>
        <v>-1104</v>
      </c>
      <c r="Q312" s="6">
        <f t="shared" si="96"/>
        <v>-779</v>
      </c>
      <c r="R312" s="8">
        <v>0</v>
      </c>
      <c r="S312" s="8">
        <v>0</v>
      </c>
      <c r="T312" s="8">
        <v>0</v>
      </c>
      <c r="U312" s="25">
        <f t="shared" si="97"/>
        <v>-770</v>
      </c>
      <c r="V312" s="25">
        <f t="shared" si="98"/>
        <v>-894</v>
      </c>
      <c r="W312" s="25">
        <f t="shared" si="99"/>
        <v>-639</v>
      </c>
      <c r="X312" s="15">
        <v>1.1060000000000001</v>
      </c>
      <c r="Y312" s="7"/>
      <c r="Z312" s="21">
        <f t="shared" si="104"/>
        <v>2.1</v>
      </c>
      <c r="AA312" s="6"/>
      <c r="AB312" s="6"/>
    </row>
    <row r="313" spans="1:28" ht="13.8">
      <c r="A313" s="13">
        <f t="shared" si="103"/>
        <v>302</v>
      </c>
      <c r="B313" s="185" t="s">
        <v>374</v>
      </c>
      <c r="C313" s="10">
        <f t="shared" si="92"/>
        <v>1069</v>
      </c>
      <c r="D313" s="9">
        <f t="shared" si="85"/>
        <v>1881</v>
      </c>
      <c r="E313" s="26">
        <f t="shared" si="93"/>
        <v>2950</v>
      </c>
      <c r="F313" s="8">
        <f t="shared" si="86"/>
        <v>940</v>
      </c>
      <c r="G313" s="8">
        <f t="shared" si="87"/>
        <v>1054</v>
      </c>
      <c r="H313" s="8">
        <f t="shared" si="88"/>
        <v>729</v>
      </c>
      <c r="I313" s="6">
        <f t="shared" si="89"/>
        <v>2010</v>
      </c>
      <c r="J313" s="6">
        <f t="shared" si="90"/>
        <v>1896</v>
      </c>
      <c r="K313" s="6">
        <f t="shared" si="91"/>
        <v>2221</v>
      </c>
      <c r="L313" s="6">
        <f t="shared" si="100"/>
        <v>3000</v>
      </c>
      <c r="M313" s="6">
        <f t="shared" si="101"/>
        <v>3000</v>
      </c>
      <c r="N313" s="6">
        <f t="shared" si="102"/>
        <v>3000</v>
      </c>
      <c r="O313" s="6">
        <f t="shared" si="94"/>
        <v>-990</v>
      </c>
      <c r="P313" s="6">
        <f t="shared" si="95"/>
        <v>-1104</v>
      </c>
      <c r="Q313" s="6">
        <f t="shared" si="96"/>
        <v>-779</v>
      </c>
      <c r="R313" s="8">
        <v>0</v>
      </c>
      <c r="S313" s="8">
        <v>0</v>
      </c>
      <c r="T313" s="8">
        <v>0</v>
      </c>
      <c r="U313" s="25">
        <f t="shared" si="97"/>
        <v>-770</v>
      </c>
      <c r="V313" s="25">
        <f t="shared" si="98"/>
        <v>-894</v>
      </c>
      <c r="W313" s="25">
        <f t="shared" si="99"/>
        <v>-639</v>
      </c>
      <c r="X313" s="15">
        <v>1.1060000000000001</v>
      </c>
      <c r="Y313" s="7"/>
      <c r="Z313" s="21">
        <f t="shared" si="104"/>
        <v>2.1</v>
      </c>
      <c r="AA313" s="6"/>
      <c r="AB313" s="6"/>
    </row>
    <row r="314" spans="1:28" ht="13.8">
      <c r="A314" s="13">
        <f t="shared" si="103"/>
        <v>303</v>
      </c>
      <c r="B314" s="185" t="s">
        <v>375</v>
      </c>
      <c r="C314" s="10">
        <f t="shared" si="92"/>
        <v>1069</v>
      </c>
      <c r="D314" s="9">
        <f t="shared" si="85"/>
        <v>1883</v>
      </c>
      <c r="E314" s="26">
        <f t="shared" si="93"/>
        <v>2952</v>
      </c>
      <c r="F314" s="8">
        <f t="shared" si="86"/>
        <v>942</v>
      </c>
      <c r="G314" s="8">
        <f t="shared" si="87"/>
        <v>1056</v>
      </c>
      <c r="H314" s="8">
        <f t="shared" si="88"/>
        <v>731</v>
      </c>
      <c r="I314" s="6">
        <f t="shared" si="89"/>
        <v>2010</v>
      </c>
      <c r="J314" s="6">
        <f t="shared" si="90"/>
        <v>1896</v>
      </c>
      <c r="K314" s="6">
        <f t="shared" si="91"/>
        <v>2221</v>
      </c>
      <c r="L314" s="6">
        <f t="shared" si="100"/>
        <v>3000</v>
      </c>
      <c r="M314" s="6">
        <f t="shared" si="101"/>
        <v>3000</v>
      </c>
      <c r="N314" s="6">
        <f t="shared" si="102"/>
        <v>3000</v>
      </c>
      <c r="O314" s="6">
        <f t="shared" si="94"/>
        <v>-990</v>
      </c>
      <c r="P314" s="6">
        <f t="shared" si="95"/>
        <v>-1104</v>
      </c>
      <c r="Q314" s="6">
        <f t="shared" si="96"/>
        <v>-779</v>
      </c>
      <c r="R314" s="8">
        <v>0</v>
      </c>
      <c r="S314" s="8">
        <v>0</v>
      </c>
      <c r="T314" s="8">
        <v>0</v>
      </c>
      <c r="U314" s="25">
        <f t="shared" si="97"/>
        <v>-770</v>
      </c>
      <c r="V314" s="25">
        <f t="shared" si="98"/>
        <v>-894</v>
      </c>
      <c r="W314" s="25">
        <f t="shared" si="99"/>
        <v>-639</v>
      </c>
      <c r="X314" s="15">
        <v>1.1060000000000001</v>
      </c>
      <c r="Y314" s="7"/>
      <c r="Z314" s="21">
        <f t="shared" si="104"/>
        <v>2.1</v>
      </c>
      <c r="AA314" s="6"/>
      <c r="AB314" s="6"/>
    </row>
    <row r="315" spans="1:28" ht="13.8">
      <c r="A315" s="13">
        <f t="shared" si="103"/>
        <v>304</v>
      </c>
      <c r="B315" s="185" t="s">
        <v>376</v>
      </c>
      <c r="C315" s="10">
        <f t="shared" si="92"/>
        <v>1069</v>
      </c>
      <c r="D315" s="9">
        <f t="shared" si="85"/>
        <v>1885</v>
      </c>
      <c r="E315" s="26">
        <f t="shared" si="93"/>
        <v>2954</v>
      </c>
      <c r="F315" s="8">
        <f t="shared" si="86"/>
        <v>944</v>
      </c>
      <c r="G315" s="8">
        <f t="shared" si="87"/>
        <v>1058</v>
      </c>
      <c r="H315" s="8">
        <f t="shared" si="88"/>
        <v>733</v>
      </c>
      <c r="I315" s="6">
        <f t="shared" si="89"/>
        <v>2010</v>
      </c>
      <c r="J315" s="6">
        <f t="shared" si="90"/>
        <v>1896</v>
      </c>
      <c r="K315" s="6">
        <f t="shared" si="91"/>
        <v>2221</v>
      </c>
      <c r="L315" s="6">
        <f t="shared" si="100"/>
        <v>3000</v>
      </c>
      <c r="M315" s="6">
        <f t="shared" si="101"/>
        <v>3000</v>
      </c>
      <c r="N315" s="6">
        <f t="shared" si="102"/>
        <v>3000</v>
      </c>
      <c r="O315" s="6">
        <f t="shared" si="94"/>
        <v>-990</v>
      </c>
      <c r="P315" s="6">
        <f t="shared" si="95"/>
        <v>-1104</v>
      </c>
      <c r="Q315" s="6">
        <f t="shared" si="96"/>
        <v>-779</v>
      </c>
      <c r="R315" s="8">
        <v>0</v>
      </c>
      <c r="S315" s="8">
        <v>0</v>
      </c>
      <c r="T315" s="8">
        <v>0</v>
      </c>
      <c r="U315" s="25">
        <f t="shared" si="97"/>
        <v>-770</v>
      </c>
      <c r="V315" s="25">
        <f t="shared" si="98"/>
        <v>-894</v>
      </c>
      <c r="W315" s="25">
        <f t="shared" si="99"/>
        <v>-639</v>
      </c>
      <c r="X315" s="15">
        <v>1.1060000000000001</v>
      </c>
      <c r="Y315" s="7"/>
      <c r="Z315" s="21">
        <f t="shared" si="104"/>
        <v>2.1</v>
      </c>
      <c r="AA315" s="6"/>
      <c r="AB315" s="6"/>
    </row>
    <row r="316" spans="1:28" ht="13.8">
      <c r="A316" s="13">
        <f t="shared" si="103"/>
        <v>305</v>
      </c>
      <c r="B316" s="185" t="s">
        <v>377</v>
      </c>
      <c r="C316" s="10">
        <f t="shared" si="92"/>
        <v>1069</v>
      </c>
      <c r="D316" s="9">
        <f t="shared" ref="D316:D379" si="105">D315+2</f>
        <v>1887</v>
      </c>
      <c r="E316" s="26">
        <f t="shared" si="93"/>
        <v>2956</v>
      </c>
      <c r="F316" s="8">
        <f t="shared" si="86"/>
        <v>946</v>
      </c>
      <c r="G316" s="8">
        <f t="shared" si="87"/>
        <v>1060</v>
      </c>
      <c r="H316" s="8">
        <f t="shared" si="88"/>
        <v>735</v>
      </c>
      <c r="I316" s="6">
        <f t="shared" si="89"/>
        <v>2010</v>
      </c>
      <c r="J316" s="6">
        <f t="shared" si="90"/>
        <v>1896</v>
      </c>
      <c r="K316" s="6">
        <f t="shared" si="91"/>
        <v>2221</v>
      </c>
      <c r="L316" s="6">
        <f t="shared" si="100"/>
        <v>3000</v>
      </c>
      <c r="M316" s="6">
        <f t="shared" si="101"/>
        <v>3000</v>
      </c>
      <c r="N316" s="6">
        <f t="shared" si="102"/>
        <v>3000</v>
      </c>
      <c r="O316" s="6">
        <f t="shared" si="94"/>
        <v>-990</v>
      </c>
      <c r="P316" s="6">
        <f t="shared" si="95"/>
        <v>-1104</v>
      </c>
      <c r="Q316" s="6">
        <f t="shared" si="96"/>
        <v>-779</v>
      </c>
      <c r="R316" s="8">
        <v>0</v>
      </c>
      <c r="S316" s="8">
        <v>0</v>
      </c>
      <c r="T316" s="8">
        <v>0</v>
      </c>
      <c r="U316" s="25">
        <f t="shared" si="97"/>
        <v>-770</v>
      </c>
      <c r="V316" s="25">
        <f t="shared" si="98"/>
        <v>-894</v>
      </c>
      <c r="W316" s="25">
        <f t="shared" si="99"/>
        <v>-639</v>
      </c>
      <c r="X316" s="15">
        <v>1.1060000000000001</v>
      </c>
      <c r="Y316" s="7"/>
      <c r="Z316" s="21">
        <f t="shared" si="104"/>
        <v>2.1</v>
      </c>
      <c r="AA316" s="6"/>
      <c r="AB316" s="6"/>
    </row>
    <row r="317" spans="1:28" ht="13.8">
      <c r="A317" s="13">
        <f t="shared" si="103"/>
        <v>306</v>
      </c>
      <c r="B317" s="185" t="s">
        <v>378</v>
      </c>
      <c r="C317" s="10">
        <f t="shared" si="92"/>
        <v>1069</v>
      </c>
      <c r="D317" s="9">
        <f t="shared" si="105"/>
        <v>1889</v>
      </c>
      <c r="E317" s="26">
        <f t="shared" si="93"/>
        <v>2958</v>
      </c>
      <c r="F317" s="8">
        <f t="shared" si="86"/>
        <v>948</v>
      </c>
      <c r="G317" s="8">
        <f t="shared" si="87"/>
        <v>1062</v>
      </c>
      <c r="H317" s="8">
        <f t="shared" si="88"/>
        <v>737</v>
      </c>
      <c r="I317" s="6">
        <f t="shared" si="89"/>
        <v>2010</v>
      </c>
      <c r="J317" s="6">
        <f t="shared" si="90"/>
        <v>1896</v>
      </c>
      <c r="K317" s="6">
        <f t="shared" si="91"/>
        <v>2221</v>
      </c>
      <c r="L317" s="6">
        <f t="shared" si="100"/>
        <v>3000</v>
      </c>
      <c r="M317" s="6">
        <f t="shared" si="101"/>
        <v>3000</v>
      </c>
      <c r="N317" s="6">
        <f t="shared" si="102"/>
        <v>3000</v>
      </c>
      <c r="O317" s="6">
        <f t="shared" si="94"/>
        <v>-990</v>
      </c>
      <c r="P317" s="6">
        <f t="shared" si="95"/>
        <v>-1104</v>
      </c>
      <c r="Q317" s="6">
        <f t="shared" si="96"/>
        <v>-779</v>
      </c>
      <c r="R317" s="8">
        <v>0</v>
      </c>
      <c r="S317" s="8">
        <v>0</v>
      </c>
      <c r="T317" s="8">
        <v>0</v>
      </c>
      <c r="U317" s="25">
        <f t="shared" si="97"/>
        <v>-770</v>
      </c>
      <c r="V317" s="25">
        <f t="shared" si="98"/>
        <v>-894</v>
      </c>
      <c r="W317" s="25">
        <f t="shared" si="99"/>
        <v>-639</v>
      </c>
      <c r="X317" s="15">
        <v>1.1060000000000001</v>
      </c>
      <c r="Y317" s="7"/>
      <c r="Z317" s="21">
        <f t="shared" si="104"/>
        <v>2.1</v>
      </c>
      <c r="AA317" s="6"/>
      <c r="AB317" s="6"/>
    </row>
    <row r="318" spans="1:28" ht="13.8">
      <c r="A318" s="13">
        <f t="shared" si="103"/>
        <v>307</v>
      </c>
      <c r="B318" s="185" t="s">
        <v>379</v>
      </c>
      <c r="C318" s="10">
        <f t="shared" si="92"/>
        <v>1069</v>
      </c>
      <c r="D318" s="9">
        <f t="shared" si="105"/>
        <v>1891</v>
      </c>
      <c r="E318" s="26">
        <f t="shared" si="93"/>
        <v>2960</v>
      </c>
      <c r="F318" s="8">
        <f t="shared" si="86"/>
        <v>950</v>
      </c>
      <c r="G318" s="8">
        <f t="shared" si="87"/>
        <v>1064</v>
      </c>
      <c r="H318" s="8">
        <f t="shared" si="88"/>
        <v>739</v>
      </c>
      <c r="I318" s="6">
        <f t="shared" si="89"/>
        <v>2010</v>
      </c>
      <c r="J318" s="6">
        <f t="shared" si="90"/>
        <v>1896</v>
      </c>
      <c r="K318" s="6">
        <f t="shared" si="91"/>
        <v>2221</v>
      </c>
      <c r="L318" s="6">
        <f t="shared" si="100"/>
        <v>3000</v>
      </c>
      <c r="M318" s="6">
        <f t="shared" si="101"/>
        <v>3000</v>
      </c>
      <c r="N318" s="6">
        <f t="shared" si="102"/>
        <v>3000</v>
      </c>
      <c r="O318" s="6">
        <f t="shared" si="94"/>
        <v>-990</v>
      </c>
      <c r="P318" s="6">
        <f t="shared" si="95"/>
        <v>-1104</v>
      </c>
      <c r="Q318" s="6">
        <f t="shared" si="96"/>
        <v>-779</v>
      </c>
      <c r="R318" s="8">
        <v>0</v>
      </c>
      <c r="S318" s="8">
        <v>0</v>
      </c>
      <c r="T318" s="8">
        <v>0</v>
      </c>
      <c r="U318" s="25">
        <f t="shared" si="97"/>
        <v>-770</v>
      </c>
      <c r="V318" s="25">
        <f t="shared" si="98"/>
        <v>-894</v>
      </c>
      <c r="W318" s="25">
        <f t="shared" si="99"/>
        <v>-639</v>
      </c>
      <c r="X318" s="15">
        <v>1.1060000000000001</v>
      </c>
      <c r="Y318" s="7"/>
      <c r="Z318" s="21">
        <f t="shared" si="104"/>
        <v>2.1</v>
      </c>
      <c r="AA318" s="6"/>
      <c r="AB318" s="6"/>
    </row>
    <row r="319" spans="1:28" ht="13.8">
      <c r="A319" s="13">
        <f t="shared" si="103"/>
        <v>308</v>
      </c>
      <c r="B319" s="185" t="s">
        <v>380</v>
      </c>
      <c r="C319" s="10">
        <f t="shared" si="92"/>
        <v>1069</v>
      </c>
      <c r="D319" s="9">
        <f t="shared" si="105"/>
        <v>1893</v>
      </c>
      <c r="E319" s="26">
        <f t="shared" si="93"/>
        <v>2962</v>
      </c>
      <c r="F319" s="8">
        <f t="shared" si="86"/>
        <v>952</v>
      </c>
      <c r="G319" s="8">
        <f t="shared" si="87"/>
        <v>1066</v>
      </c>
      <c r="H319" s="8">
        <f t="shared" si="88"/>
        <v>741</v>
      </c>
      <c r="I319" s="6">
        <f t="shared" si="89"/>
        <v>2010</v>
      </c>
      <c r="J319" s="6">
        <f t="shared" si="90"/>
        <v>1896</v>
      </c>
      <c r="K319" s="6">
        <f t="shared" si="91"/>
        <v>2221</v>
      </c>
      <c r="L319" s="6">
        <f t="shared" si="100"/>
        <v>3000</v>
      </c>
      <c r="M319" s="6">
        <f t="shared" si="101"/>
        <v>3000</v>
      </c>
      <c r="N319" s="6">
        <f t="shared" si="102"/>
        <v>3000</v>
      </c>
      <c r="O319" s="6">
        <f t="shared" si="94"/>
        <v>-990</v>
      </c>
      <c r="P319" s="6">
        <f t="shared" si="95"/>
        <v>-1104</v>
      </c>
      <c r="Q319" s="6">
        <f t="shared" si="96"/>
        <v>-779</v>
      </c>
      <c r="R319" s="8">
        <v>0</v>
      </c>
      <c r="S319" s="8">
        <v>0</v>
      </c>
      <c r="T319" s="8">
        <v>0</v>
      </c>
      <c r="U319" s="25">
        <f t="shared" si="97"/>
        <v>-770</v>
      </c>
      <c r="V319" s="25">
        <f t="shared" si="98"/>
        <v>-894</v>
      </c>
      <c r="W319" s="25">
        <f t="shared" si="99"/>
        <v>-639</v>
      </c>
      <c r="X319" s="15">
        <v>1.1060000000000001</v>
      </c>
      <c r="Y319" s="7"/>
      <c r="Z319" s="21">
        <f t="shared" si="104"/>
        <v>2.1</v>
      </c>
      <c r="AA319" s="6"/>
      <c r="AB319" s="6"/>
    </row>
    <row r="320" spans="1:28" ht="13.8">
      <c r="A320" s="13">
        <f t="shared" si="103"/>
        <v>309</v>
      </c>
      <c r="B320" s="185" t="s">
        <v>381</v>
      </c>
      <c r="C320" s="10">
        <f t="shared" si="92"/>
        <v>1069</v>
      </c>
      <c r="D320" s="9">
        <f t="shared" si="105"/>
        <v>1895</v>
      </c>
      <c r="E320" s="26">
        <f t="shared" si="93"/>
        <v>2964</v>
      </c>
      <c r="F320" s="8">
        <f t="shared" si="86"/>
        <v>954</v>
      </c>
      <c r="G320" s="8">
        <f t="shared" si="87"/>
        <v>1068</v>
      </c>
      <c r="H320" s="8">
        <f t="shared" si="88"/>
        <v>743</v>
      </c>
      <c r="I320" s="6">
        <f t="shared" si="89"/>
        <v>2010</v>
      </c>
      <c r="J320" s="6">
        <f t="shared" si="90"/>
        <v>1896</v>
      </c>
      <c r="K320" s="6">
        <f t="shared" si="91"/>
        <v>2221</v>
      </c>
      <c r="L320" s="6">
        <f t="shared" si="100"/>
        <v>3000</v>
      </c>
      <c r="M320" s="6">
        <f t="shared" si="101"/>
        <v>3000</v>
      </c>
      <c r="N320" s="6">
        <f t="shared" si="102"/>
        <v>3000</v>
      </c>
      <c r="O320" s="6">
        <f t="shared" si="94"/>
        <v>-990</v>
      </c>
      <c r="P320" s="6">
        <f t="shared" si="95"/>
        <v>-1104</v>
      </c>
      <c r="Q320" s="6">
        <f t="shared" si="96"/>
        <v>-779</v>
      </c>
      <c r="R320" s="8">
        <v>0</v>
      </c>
      <c r="S320" s="8">
        <v>0</v>
      </c>
      <c r="T320" s="8">
        <v>0</v>
      </c>
      <c r="U320" s="25">
        <f t="shared" si="97"/>
        <v>-770</v>
      </c>
      <c r="V320" s="25">
        <f t="shared" si="98"/>
        <v>-894</v>
      </c>
      <c r="W320" s="25">
        <f t="shared" si="99"/>
        <v>-639</v>
      </c>
      <c r="X320" s="15">
        <v>1.1060000000000001</v>
      </c>
      <c r="Y320" s="7"/>
      <c r="Z320" s="21">
        <f t="shared" si="104"/>
        <v>2.1</v>
      </c>
      <c r="AA320" s="6"/>
      <c r="AB320" s="6"/>
    </row>
    <row r="321" spans="1:28" ht="13.8">
      <c r="A321" s="13">
        <f t="shared" si="103"/>
        <v>310</v>
      </c>
      <c r="B321" s="185" t="s">
        <v>382</v>
      </c>
      <c r="C321" s="10">
        <f t="shared" si="92"/>
        <v>1069</v>
      </c>
      <c r="D321" s="9">
        <f t="shared" si="105"/>
        <v>1897</v>
      </c>
      <c r="E321" s="26">
        <f t="shared" si="93"/>
        <v>2966</v>
      </c>
      <c r="F321" s="8">
        <f t="shared" si="86"/>
        <v>956</v>
      </c>
      <c r="G321" s="8">
        <f t="shared" si="87"/>
        <v>1070</v>
      </c>
      <c r="H321" s="8">
        <f t="shared" si="88"/>
        <v>745</v>
      </c>
      <c r="I321" s="6">
        <f t="shared" si="89"/>
        <v>2010</v>
      </c>
      <c r="J321" s="6">
        <f t="shared" si="90"/>
        <v>1896</v>
      </c>
      <c r="K321" s="6">
        <f t="shared" si="91"/>
        <v>2221</v>
      </c>
      <c r="L321" s="6">
        <f t="shared" si="100"/>
        <v>3000</v>
      </c>
      <c r="M321" s="6">
        <f t="shared" si="101"/>
        <v>3000</v>
      </c>
      <c r="N321" s="6">
        <f t="shared" si="102"/>
        <v>3000</v>
      </c>
      <c r="O321" s="6">
        <f t="shared" si="94"/>
        <v>-990</v>
      </c>
      <c r="P321" s="6">
        <f t="shared" si="95"/>
        <v>-1104</v>
      </c>
      <c r="Q321" s="6">
        <f t="shared" si="96"/>
        <v>-779</v>
      </c>
      <c r="R321" s="8">
        <v>0</v>
      </c>
      <c r="S321" s="8">
        <v>0</v>
      </c>
      <c r="T321" s="8">
        <v>0</v>
      </c>
      <c r="U321" s="25">
        <f t="shared" si="97"/>
        <v>-770</v>
      </c>
      <c r="V321" s="25">
        <f t="shared" si="98"/>
        <v>-894</v>
      </c>
      <c r="W321" s="25">
        <f t="shared" si="99"/>
        <v>-639</v>
      </c>
      <c r="X321" s="15">
        <v>1.1060000000000001</v>
      </c>
      <c r="Y321" s="7"/>
      <c r="Z321" s="21">
        <f t="shared" si="104"/>
        <v>2.1</v>
      </c>
      <c r="AA321" s="6"/>
      <c r="AB321" s="6"/>
    </row>
    <row r="322" spans="1:28" ht="13.8">
      <c r="A322" s="13">
        <f t="shared" si="103"/>
        <v>311</v>
      </c>
      <c r="B322" s="185" t="s">
        <v>383</v>
      </c>
      <c r="C322" s="10">
        <f t="shared" si="92"/>
        <v>1069</v>
      </c>
      <c r="D322" s="9">
        <f t="shared" si="105"/>
        <v>1899</v>
      </c>
      <c r="E322" s="26">
        <f t="shared" si="93"/>
        <v>2968</v>
      </c>
      <c r="F322" s="8">
        <f t="shared" si="86"/>
        <v>958</v>
      </c>
      <c r="G322" s="8">
        <f t="shared" si="87"/>
        <v>1072</v>
      </c>
      <c r="H322" s="8">
        <f t="shared" si="88"/>
        <v>747</v>
      </c>
      <c r="I322" s="6">
        <f t="shared" si="89"/>
        <v>2010</v>
      </c>
      <c r="J322" s="6">
        <f t="shared" si="90"/>
        <v>1896</v>
      </c>
      <c r="K322" s="6">
        <f t="shared" si="91"/>
        <v>2221</v>
      </c>
      <c r="L322" s="6">
        <f t="shared" si="100"/>
        <v>3000</v>
      </c>
      <c r="M322" s="6">
        <f t="shared" si="101"/>
        <v>3000</v>
      </c>
      <c r="N322" s="6">
        <f t="shared" si="102"/>
        <v>3000</v>
      </c>
      <c r="O322" s="6">
        <f t="shared" si="94"/>
        <v>-990</v>
      </c>
      <c r="P322" s="6">
        <f t="shared" si="95"/>
        <v>-1104</v>
      </c>
      <c r="Q322" s="6">
        <f t="shared" si="96"/>
        <v>-779</v>
      </c>
      <c r="R322" s="8">
        <v>0</v>
      </c>
      <c r="S322" s="8">
        <v>0</v>
      </c>
      <c r="T322" s="8">
        <v>0</v>
      </c>
      <c r="U322" s="25">
        <f t="shared" si="97"/>
        <v>-770</v>
      </c>
      <c r="V322" s="25">
        <f t="shared" si="98"/>
        <v>-894</v>
      </c>
      <c r="W322" s="25">
        <f t="shared" si="99"/>
        <v>-639</v>
      </c>
      <c r="X322" s="15">
        <v>1.1060000000000001</v>
      </c>
      <c r="Y322" s="7"/>
      <c r="Z322" s="21">
        <f t="shared" si="104"/>
        <v>2.1</v>
      </c>
      <c r="AA322" s="6"/>
      <c r="AB322" s="6"/>
    </row>
    <row r="323" spans="1:28" ht="13.8">
      <c r="A323" s="13">
        <f t="shared" si="103"/>
        <v>312</v>
      </c>
      <c r="B323" s="185" t="s">
        <v>384</v>
      </c>
      <c r="C323" s="10">
        <f t="shared" si="92"/>
        <v>1069</v>
      </c>
      <c r="D323" s="9">
        <f t="shared" si="105"/>
        <v>1901</v>
      </c>
      <c r="E323" s="26">
        <f t="shared" si="93"/>
        <v>2970</v>
      </c>
      <c r="F323" s="8">
        <f t="shared" si="86"/>
        <v>960</v>
      </c>
      <c r="G323" s="8">
        <f t="shared" si="87"/>
        <v>1074</v>
      </c>
      <c r="H323" s="8">
        <f t="shared" si="88"/>
        <v>749</v>
      </c>
      <c r="I323" s="6">
        <f t="shared" si="89"/>
        <v>2010</v>
      </c>
      <c r="J323" s="6">
        <f t="shared" si="90"/>
        <v>1896</v>
      </c>
      <c r="K323" s="6">
        <f t="shared" si="91"/>
        <v>2221</v>
      </c>
      <c r="L323" s="6">
        <f t="shared" si="100"/>
        <v>3000</v>
      </c>
      <c r="M323" s="6">
        <f t="shared" si="101"/>
        <v>3000</v>
      </c>
      <c r="N323" s="6">
        <f t="shared" si="102"/>
        <v>3000</v>
      </c>
      <c r="O323" s="6">
        <f t="shared" si="94"/>
        <v>-990</v>
      </c>
      <c r="P323" s="6">
        <f t="shared" si="95"/>
        <v>-1104</v>
      </c>
      <c r="Q323" s="6">
        <f t="shared" si="96"/>
        <v>-779</v>
      </c>
      <c r="R323" s="8">
        <v>0</v>
      </c>
      <c r="S323" s="8">
        <v>0</v>
      </c>
      <c r="T323" s="8">
        <v>0</v>
      </c>
      <c r="U323" s="25">
        <f t="shared" si="97"/>
        <v>-770</v>
      </c>
      <c r="V323" s="25">
        <f t="shared" si="98"/>
        <v>-894</v>
      </c>
      <c r="W323" s="25">
        <f t="shared" si="99"/>
        <v>-639</v>
      </c>
      <c r="X323" s="15">
        <v>1.1060000000000001</v>
      </c>
      <c r="Y323" s="7"/>
      <c r="Z323" s="21">
        <f t="shared" si="104"/>
        <v>2.1</v>
      </c>
      <c r="AA323" s="6"/>
      <c r="AB323" s="6"/>
    </row>
    <row r="324" spans="1:28" ht="13.8">
      <c r="A324" s="13">
        <f t="shared" si="103"/>
        <v>313</v>
      </c>
      <c r="B324" s="185" t="s">
        <v>385</v>
      </c>
      <c r="C324" s="10">
        <f t="shared" si="92"/>
        <v>1069</v>
      </c>
      <c r="D324" s="9">
        <f t="shared" si="105"/>
        <v>1903</v>
      </c>
      <c r="E324" s="26">
        <f t="shared" si="93"/>
        <v>2972</v>
      </c>
      <c r="F324" s="8">
        <f t="shared" si="86"/>
        <v>962</v>
      </c>
      <c r="G324" s="8">
        <f t="shared" si="87"/>
        <v>1076</v>
      </c>
      <c r="H324" s="8">
        <f t="shared" si="88"/>
        <v>751</v>
      </c>
      <c r="I324" s="6">
        <f t="shared" si="89"/>
        <v>2010</v>
      </c>
      <c r="J324" s="6">
        <f t="shared" si="90"/>
        <v>1896</v>
      </c>
      <c r="K324" s="6">
        <f t="shared" si="91"/>
        <v>2221</v>
      </c>
      <c r="L324" s="6">
        <f t="shared" si="100"/>
        <v>3000</v>
      </c>
      <c r="M324" s="6">
        <f t="shared" si="101"/>
        <v>3000</v>
      </c>
      <c r="N324" s="6">
        <f t="shared" si="102"/>
        <v>3000</v>
      </c>
      <c r="O324" s="6">
        <f t="shared" si="94"/>
        <v>-990</v>
      </c>
      <c r="P324" s="6">
        <f t="shared" si="95"/>
        <v>-1104</v>
      </c>
      <c r="Q324" s="6">
        <f t="shared" si="96"/>
        <v>-779</v>
      </c>
      <c r="R324" s="8">
        <v>0</v>
      </c>
      <c r="S324" s="8">
        <v>0</v>
      </c>
      <c r="T324" s="8">
        <v>0</v>
      </c>
      <c r="U324" s="25">
        <f t="shared" si="97"/>
        <v>-770</v>
      </c>
      <c r="V324" s="25">
        <f t="shared" si="98"/>
        <v>-894</v>
      </c>
      <c r="W324" s="25">
        <f t="shared" si="99"/>
        <v>-639</v>
      </c>
      <c r="X324" s="15">
        <v>1.1060000000000001</v>
      </c>
      <c r="Y324" s="7"/>
      <c r="Z324" s="21">
        <f t="shared" si="104"/>
        <v>2.1</v>
      </c>
      <c r="AA324" s="6"/>
      <c r="AB324" s="6"/>
    </row>
    <row r="325" spans="1:28" ht="13.8">
      <c r="A325" s="13">
        <f t="shared" si="103"/>
        <v>314</v>
      </c>
      <c r="B325" s="185" t="s">
        <v>386</v>
      </c>
      <c r="C325" s="10">
        <f t="shared" si="92"/>
        <v>1069</v>
      </c>
      <c r="D325" s="9">
        <f t="shared" si="105"/>
        <v>1905</v>
      </c>
      <c r="E325" s="26">
        <f t="shared" si="93"/>
        <v>2974</v>
      </c>
      <c r="F325" s="8">
        <f t="shared" si="86"/>
        <v>964</v>
      </c>
      <c r="G325" s="8">
        <f t="shared" si="87"/>
        <v>1078</v>
      </c>
      <c r="H325" s="8">
        <f t="shared" si="88"/>
        <v>753</v>
      </c>
      <c r="I325" s="6">
        <f t="shared" si="89"/>
        <v>2010</v>
      </c>
      <c r="J325" s="6">
        <f t="shared" si="90"/>
        <v>1896</v>
      </c>
      <c r="K325" s="6">
        <f t="shared" si="91"/>
        <v>2221</v>
      </c>
      <c r="L325" s="6">
        <f t="shared" si="100"/>
        <v>3000</v>
      </c>
      <c r="M325" s="6">
        <f t="shared" si="101"/>
        <v>3000</v>
      </c>
      <c r="N325" s="6">
        <f t="shared" si="102"/>
        <v>3000</v>
      </c>
      <c r="O325" s="6">
        <f t="shared" si="94"/>
        <v>-990</v>
      </c>
      <c r="P325" s="6">
        <f t="shared" si="95"/>
        <v>-1104</v>
      </c>
      <c r="Q325" s="6">
        <f t="shared" si="96"/>
        <v>-779</v>
      </c>
      <c r="R325" s="8">
        <v>0</v>
      </c>
      <c r="S325" s="8">
        <v>0</v>
      </c>
      <c r="T325" s="8">
        <v>0</v>
      </c>
      <c r="U325" s="25">
        <f t="shared" si="97"/>
        <v>-770</v>
      </c>
      <c r="V325" s="25">
        <f t="shared" si="98"/>
        <v>-894</v>
      </c>
      <c r="W325" s="25">
        <f t="shared" si="99"/>
        <v>-639</v>
      </c>
      <c r="X325" s="15">
        <v>1.1060000000000001</v>
      </c>
      <c r="Y325" s="7"/>
      <c r="Z325" s="21">
        <f t="shared" si="104"/>
        <v>2.1</v>
      </c>
      <c r="AA325" s="6"/>
      <c r="AB325" s="6"/>
    </row>
    <row r="326" spans="1:28" ht="13.8">
      <c r="A326" s="13">
        <f t="shared" si="103"/>
        <v>315</v>
      </c>
      <c r="B326" s="185" t="s">
        <v>387</v>
      </c>
      <c r="C326" s="10">
        <f t="shared" si="92"/>
        <v>1069</v>
      </c>
      <c r="D326" s="9">
        <f t="shared" si="105"/>
        <v>1907</v>
      </c>
      <c r="E326" s="26">
        <f t="shared" si="93"/>
        <v>2976</v>
      </c>
      <c r="F326" s="8">
        <f t="shared" si="86"/>
        <v>966</v>
      </c>
      <c r="G326" s="8">
        <f t="shared" si="87"/>
        <v>1080</v>
      </c>
      <c r="H326" s="8">
        <f t="shared" si="88"/>
        <v>755</v>
      </c>
      <c r="I326" s="6">
        <f t="shared" si="89"/>
        <v>2010</v>
      </c>
      <c r="J326" s="6">
        <f t="shared" si="90"/>
        <v>1896</v>
      </c>
      <c r="K326" s="6">
        <f t="shared" si="91"/>
        <v>2221</v>
      </c>
      <c r="L326" s="6">
        <f t="shared" si="100"/>
        <v>3000</v>
      </c>
      <c r="M326" s="6">
        <f t="shared" si="101"/>
        <v>3000</v>
      </c>
      <c r="N326" s="6">
        <f t="shared" si="102"/>
        <v>3000</v>
      </c>
      <c r="O326" s="6">
        <f t="shared" si="94"/>
        <v>-990</v>
      </c>
      <c r="P326" s="6">
        <f t="shared" si="95"/>
        <v>-1104</v>
      </c>
      <c r="Q326" s="6">
        <f t="shared" si="96"/>
        <v>-779</v>
      </c>
      <c r="R326" s="8">
        <v>0</v>
      </c>
      <c r="S326" s="8">
        <v>0</v>
      </c>
      <c r="T326" s="8">
        <v>0</v>
      </c>
      <c r="U326" s="25">
        <f t="shared" si="97"/>
        <v>-770</v>
      </c>
      <c r="V326" s="25">
        <f t="shared" si="98"/>
        <v>-894</v>
      </c>
      <c r="W326" s="25">
        <f t="shared" si="99"/>
        <v>-639</v>
      </c>
      <c r="X326" s="15">
        <v>1.1060000000000001</v>
      </c>
      <c r="Y326" s="7"/>
      <c r="Z326" s="21">
        <f t="shared" si="104"/>
        <v>2.1</v>
      </c>
      <c r="AA326" s="6"/>
      <c r="AB326" s="6"/>
    </row>
    <row r="327" spans="1:28" ht="13.8">
      <c r="A327" s="13">
        <f t="shared" si="103"/>
        <v>316</v>
      </c>
      <c r="B327" s="185" t="s">
        <v>388</v>
      </c>
      <c r="C327" s="10">
        <f t="shared" si="92"/>
        <v>1069</v>
      </c>
      <c r="D327" s="9">
        <f t="shared" si="105"/>
        <v>1909</v>
      </c>
      <c r="E327" s="26">
        <f t="shared" si="93"/>
        <v>2978</v>
      </c>
      <c r="F327" s="8">
        <f t="shared" si="86"/>
        <v>968</v>
      </c>
      <c r="G327" s="8">
        <f t="shared" si="87"/>
        <v>1082</v>
      </c>
      <c r="H327" s="8">
        <f t="shared" si="88"/>
        <v>757</v>
      </c>
      <c r="I327" s="6">
        <f t="shared" si="89"/>
        <v>2010</v>
      </c>
      <c r="J327" s="6">
        <f t="shared" si="90"/>
        <v>1896</v>
      </c>
      <c r="K327" s="6">
        <f t="shared" si="91"/>
        <v>2221</v>
      </c>
      <c r="L327" s="6">
        <f t="shared" si="100"/>
        <v>3000</v>
      </c>
      <c r="M327" s="6">
        <f t="shared" si="101"/>
        <v>3000</v>
      </c>
      <c r="N327" s="6">
        <f t="shared" si="102"/>
        <v>3000</v>
      </c>
      <c r="O327" s="6">
        <f t="shared" si="94"/>
        <v>-990</v>
      </c>
      <c r="P327" s="6">
        <f t="shared" si="95"/>
        <v>-1104</v>
      </c>
      <c r="Q327" s="6">
        <f t="shared" si="96"/>
        <v>-779</v>
      </c>
      <c r="R327" s="8">
        <v>0</v>
      </c>
      <c r="S327" s="8">
        <v>0</v>
      </c>
      <c r="T327" s="8">
        <v>0</v>
      </c>
      <c r="U327" s="25">
        <f t="shared" si="97"/>
        <v>-770</v>
      </c>
      <c r="V327" s="25">
        <f t="shared" si="98"/>
        <v>-894</v>
      </c>
      <c r="W327" s="25">
        <f t="shared" si="99"/>
        <v>-639</v>
      </c>
      <c r="X327" s="15">
        <v>1.1060000000000001</v>
      </c>
      <c r="Y327" s="7"/>
      <c r="Z327" s="21">
        <f t="shared" si="104"/>
        <v>2.1</v>
      </c>
      <c r="AA327" s="6"/>
      <c r="AB327" s="6"/>
    </row>
    <row r="328" spans="1:28" ht="13.8">
      <c r="A328" s="13">
        <f t="shared" si="103"/>
        <v>317</v>
      </c>
      <c r="B328" s="185" t="s">
        <v>389</v>
      </c>
      <c r="C328" s="10">
        <f t="shared" si="92"/>
        <v>1069</v>
      </c>
      <c r="D328" s="9">
        <f t="shared" si="105"/>
        <v>1911</v>
      </c>
      <c r="E328" s="26">
        <f t="shared" si="93"/>
        <v>2980</v>
      </c>
      <c r="F328" s="8">
        <f t="shared" si="86"/>
        <v>970</v>
      </c>
      <c r="G328" s="8">
        <f t="shared" si="87"/>
        <v>1084</v>
      </c>
      <c r="H328" s="8">
        <f t="shared" si="88"/>
        <v>759</v>
      </c>
      <c r="I328" s="6">
        <f t="shared" si="89"/>
        <v>2010</v>
      </c>
      <c r="J328" s="6">
        <f t="shared" si="90"/>
        <v>1896</v>
      </c>
      <c r="K328" s="6">
        <f t="shared" si="91"/>
        <v>2221</v>
      </c>
      <c r="L328" s="6">
        <f t="shared" si="100"/>
        <v>3000</v>
      </c>
      <c r="M328" s="6">
        <f t="shared" si="101"/>
        <v>3000</v>
      </c>
      <c r="N328" s="6">
        <f t="shared" si="102"/>
        <v>3000</v>
      </c>
      <c r="O328" s="6">
        <f t="shared" si="94"/>
        <v>-990</v>
      </c>
      <c r="P328" s="6">
        <f t="shared" si="95"/>
        <v>-1104</v>
      </c>
      <c r="Q328" s="6">
        <f t="shared" si="96"/>
        <v>-779</v>
      </c>
      <c r="R328" s="8">
        <v>0</v>
      </c>
      <c r="S328" s="8">
        <v>0</v>
      </c>
      <c r="T328" s="8">
        <v>0</v>
      </c>
      <c r="U328" s="25">
        <f t="shared" si="97"/>
        <v>-770</v>
      </c>
      <c r="V328" s="25">
        <f t="shared" si="98"/>
        <v>-894</v>
      </c>
      <c r="W328" s="25">
        <f t="shared" si="99"/>
        <v>-639</v>
      </c>
      <c r="X328" s="15">
        <v>1.1060000000000001</v>
      </c>
      <c r="Y328" s="7"/>
      <c r="Z328" s="21">
        <f t="shared" si="104"/>
        <v>2.1</v>
      </c>
      <c r="AA328" s="6"/>
      <c r="AB328" s="6"/>
    </row>
    <row r="329" spans="1:28" ht="13.8">
      <c r="A329" s="13">
        <f t="shared" si="103"/>
        <v>318</v>
      </c>
      <c r="B329" s="185" t="s">
        <v>390</v>
      </c>
      <c r="C329" s="10">
        <f t="shared" si="92"/>
        <v>1069</v>
      </c>
      <c r="D329" s="9">
        <f t="shared" si="105"/>
        <v>1913</v>
      </c>
      <c r="E329" s="26">
        <f t="shared" si="93"/>
        <v>2982</v>
      </c>
      <c r="F329" s="8">
        <f t="shared" si="86"/>
        <v>972</v>
      </c>
      <c r="G329" s="8">
        <f t="shared" si="87"/>
        <v>1086</v>
      </c>
      <c r="H329" s="8">
        <f t="shared" si="88"/>
        <v>761</v>
      </c>
      <c r="I329" s="6">
        <f t="shared" si="89"/>
        <v>2010</v>
      </c>
      <c r="J329" s="6">
        <f t="shared" si="90"/>
        <v>1896</v>
      </c>
      <c r="K329" s="6">
        <f t="shared" si="91"/>
        <v>2221</v>
      </c>
      <c r="L329" s="6">
        <f t="shared" si="100"/>
        <v>3000</v>
      </c>
      <c r="M329" s="6">
        <f t="shared" si="101"/>
        <v>3000</v>
      </c>
      <c r="N329" s="6">
        <f t="shared" si="102"/>
        <v>3000</v>
      </c>
      <c r="O329" s="6">
        <f t="shared" si="94"/>
        <v>-990</v>
      </c>
      <c r="P329" s="6">
        <f t="shared" si="95"/>
        <v>-1104</v>
      </c>
      <c r="Q329" s="6">
        <f t="shared" si="96"/>
        <v>-779</v>
      </c>
      <c r="R329" s="8">
        <v>0</v>
      </c>
      <c r="S329" s="8">
        <v>0</v>
      </c>
      <c r="T329" s="8">
        <v>0</v>
      </c>
      <c r="U329" s="25">
        <f t="shared" si="97"/>
        <v>-770</v>
      </c>
      <c r="V329" s="25">
        <f t="shared" si="98"/>
        <v>-894</v>
      </c>
      <c r="W329" s="25">
        <f t="shared" si="99"/>
        <v>-639</v>
      </c>
      <c r="X329" s="15">
        <v>1.1060000000000001</v>
      </c>
      <c r="Y329" s="7"/>
      <c r="Z329" s="21">
        <f t="shared" si="104"/>
        <v>2.1</v>
      </c>
      <c r="AA329" s="6"/>
      <c r="AB329" s="6"/>
    </row>
    <row r="330" spans="1:28" ht="13.8">
      <c r="A330" s="13">
        <f t="shared" si="103"/>
        <v>319</v>
      </c>
      <c r="B330" s="185" t="s">
        <v>391</v>
      </c>
      <c r="C330" s="10">
        <f t="shared" si="92"/>
        <v>1069</v>
      </c>
      <c r="D330" s="9">
        <f t="shared" si="105"/>
        <v>1915</v>
      </c>
      <c r="E330" s="26">
        <f t="shared" si="93"/>
        <v>2984</v>
      </c>
      <c r="F330" s="8">
        <f t="shared" si="86"/>
        <v>974</v>
      </c>
      <c r="G330" s="8">
        <f t="shared" si="87"/>
        <v>1088</v>
      </c>
      <c r="H330" s="8">
        <f t="shared" si="88"/>
        <v>763</v>
      </c>
      <c r="I330" s="6">
        <f t="shared" si="89"/>
        <v>2010</v>
      </c>
      <c r="J330" s="6">
        <f t="shared" si="90"/>
        <v>1896</v>
      </c>
      <c r="K330" s="6">
        <f t="shared" si="91"/>
        <v>2221</v>
      </c>
      <c r="L330" s="6">
        <f t="shared" si="100"/>
        <v>3000</v>
      </c>
      <c r="M330" s="6">
        <f t="shared" si="101"/>
        <v>3000</v>
      </c>
      <c r="N330" s="6">
        <f t="shared" si="102"/>
        <v>3000</v>
      </c>
      <c r="O330" s="6">
        <f t="shared" si="94"/>
        <v>-990</v>
      </c>
      <c r="P330" s="6">
        <f t="shared" si="95"/>
        <v>-1104</v>
      </c>
      <c r="Q330" s="6">
        <f t="shared" si="96"/>
        <v>-779</v>
      </c>
      <c r="R330" s="8">
        <v>0</v>
      </c>
      <c r="S330" s="8">
        <v>0</v>
      </c>
      <c r="T330" s="8">
        <v>0</v>
      </c>
      <c r="U330" s="25">
        <f t="shared" si="97"/>
        <v>-770</v>
      </c>
      <c r="V330" s="25">
        <f t="shared" si="98"/>
        <v>-894</v>
      </c>
      <c r="W330" s="25">
        <f t="shared" si="99"/>
        <v>-639</v>
      </c>
      <c r="X330" s="15">
        <v>1.1060000000000001</v>
      </c>
      <c r="Y330" s="7"/>
      <c r="Z330" s="21">
        <f t="shared" si="104"/>
        <v>2.1</v>
      </c>
      <c r="AA330" s="6"/>
      <c r="AB330" s="6"/>
    </row>
    <row r="331" spans="1:28" ht="13.8">
      <c r="A331" s="13">
        <f t="shared" si="103"/>
        <v>320</v>
      </c>
      <c r="B331" s="185" t="s">
        <v>392</v>
      </c>
      <c r="C331" s="10">
        <f t="shared" si="92"/>
        <v>1069</v>
      </c>
      <c r="D331" s="9">
        <f t="shared" si="105"/>
        <v>1917</v>
      </c>
      <c r="E331" s="26">
        <f t="shared" si="93"/>
        <v>2986</v>
      </c>
      <c r="F331" s="8">
        <f t="shared" ref="F331:F394" si="106">C331+D331-I331</f>
        <v>976</v>
      </c>
      <c r="G331" s="8">
        <f t="shared" ref="G331:G394" si="107">C331+D331-J331</f>
        <v>1090</v>
      </c>
      <c r="H331" s="8">
        <f t="shared" ref="H331:H394" si="108">D331+C331-K331</f>
        <v>765</v>
      </c>
      <c r="I331" s="6">
        <f t="shared" ref="I331:I394" si="109">L331+O331</f>
        <v>2010</v>
      </c>
      <c r="J331" s="6">
        <f t="shared" ref="J331:J394" si="110">M331+P331</f>
        <v>1896</v>
      </c>
      <c r="K331" s="6">
        <f t="shared" ref="K331:K394" si="111">N331+Q331</f>
        <v>2221</v>
      </c>
      <c r="L331" s="6">
        <f t="shared" si="100"/>
        <v>3000</v>
      </c>
      <c r="M331" s="6">
        <f t="shared" si="101"/>
        <v>3000</v>
      </c>
      <c r="N331" s="6">
        <f t="shared" si="102"/>
        <v>3000</v>
      </c>
      <c r="O331" s="6">
        <f t="shared" si="94"/>
        <v>-990</v>
      </c>
      <c r="P331" s="6">
        <f t="shared" si="95"/>
        <v>-1104</v>
      </c>
      <c r="Q331" s="6">
        <f t="shared" si="96"/>
        <v>-779</v>
      </c>
      <c r="R331" s="8">
        <v>0</v>
      </c>
      <c r="S331" s="8">
        <v>0</v>
      </c>
      <c r="T331" s="8">
        <v>0</v>
      </c>
      <c r="U331" s="25">
        <f t="shared" si="97"/>
        <v>-770</v>
      </c>
      <c r="V331" s="25">
        <f t="shared" si="98"/>
        <v>-894</v>
      </c>
      <c r="W331" s="25">
        <f t="shared" si="99"/>
        <v>-639</v>
      </c>
      <c r="X331" s="15">
        <v>1.1060000000000001</v>
      </c>
      <c r="Y331" s="7"/>
      <c r="Z331" s="21">
        <f t="shared" si="104"/>
        <v>2.1</v>
      </c>
      <c r="AA331" s="6"/>
      <c r="AB331" s="6"/>
    </row>
    <row r="332" spans="1:28" ht="13.8">
      <c r="A332" s="13">
        <f t="shared" si="103"/>
        <v>321</v>
      </c>
      <c r="B332" s="185" t="s">
        <v>393</v>
      </c>
      <c r="C332" s="10">
        <f t="shared" ref="C332:C395" si="112">C331</f>
        <v>1069</v>
      </c>
      <c r="D332" s="9">
        <f t="shared" si="105"/>
        <v>1919</v>
      </c>
      <c r="E332" s="26">
        <f t="shared" ref="E332:E395" si="113">C332+D332</f>
        <v>2988</v>
      </c>
      <c r="F332" s="8">
        <f t="shared" si="106"/>
        <v>978</v>
      </c>
      <c r="G332" s="8">
        <f t="shared" si="107"/>
        <v>1092</v>
      </c>
      <c r="H332" s="8">
        <f t="shared" si="108"/>
        <v>767</v>
      </c>
      <c r="I332" s="6">
        <f t="shared" si="109"/>
        <v>2010</v>
      </c>
      <c r="J332" s="6">
        <f t="shared" si="110"/>
        <v>1896</v>
      </c>
      <c r="K332" s="6">
        <f t="shared" si="111"/>
        <v>2221</v>
      </c>
      <c r="L332" s="6">
        <f t="shared" si="100"/>
        <v>3000</v>
      </c>
      <c r="M332" s="6">
        <f t="shared" si="101"/>
        <v>3000</v>
      </c>
      <c r="N332" s="6">
        <f t="shared" si="102"/>
        <v>3000</v>
      </c>
      <c r="O332" s="6">
        <f t="shared" ref="O332:O395" si="114">O331-R332</f>
        <v>-990</v>
      </c>
      <c r="P332" s="6">
        <f t="shared" ref="P332:P395" si="115">P331-S332</f>
        <v>-1104</v>
      </c>
      <c r="Q332" s="6">
        <f t="shared" ref="Q332:Q395" si="116">Q331-T332</f>
        <v>-779</v>
      </c>
      <c r="R332" s="8">
        <v>0</v>
      </c>
      <c r="S332" s="8">
        <v>0</v>
      </c>
      <c r="T332" s="8">
        <v>0</v>
      </c>
      <c r="U332" s="25">
        <f t="shared" ref="U332:U395" si="117">U331-R332</f>
        <v>-770</v>
      </c>
      <c r="V332" s="25">
        <f t="shared" ref="V332:V395" si="118">V331-S332</f>
        <v>-894</v>
      </c>
      <c r="W332" s="25">
        <f t="shared" ref="W332:W395" si="119">W331-T332</f>
        <v>-639</v>
      </c>
      <c r="X332" s="15">
        <v>1.1060000000000001</v>
      </c>
      <c r="Y332" s="7"/>
      <c r="Z332" s="21">
        <f t="shared" si="104"/>
        <v>2.1</v>
      </c>
      <c r="AA332" s="6"/>
      <c r="AB332" s="6"/>
    </row>
    <row r="333" spans="1:28" ht="13.8">
      <c r="A333" s="13">
        <f t="shared" si="103"/>
        <v>322</v>
      </c>
      <c r="B333" s="185" t="s">
        <v>394</v>
      </c>
      <c r="C333" s="10">
        <f t="shared" si="112"/>
        <v>1069</v>
      </c>
      <c r="D333" s="9">
        <f t="shared" si="105"/>
        <v>1921</v>
      </c>
      <c r="E333" s="26">
        <f t="shared" si="113"/>
        <v>2990</v>
      </c>
      <c r="F333" s="8">
        <f t="shared" si="106"/>
        <v>980</v>
      </c>
      <c r="G333" s="8">
        <f t="shared" si="107"/>
        <v>1094</v>
      </c>
      <c r="H333" s="8">
        <f t="shared" si="108"/>
        <v>769</v>
      </c>
      <c r="I333" s="6">
        <f t="shared" si="109"/>
        <v>2010</v>
      </c>
      <c r="J333" s="6">
        <f t="shared" si="110"/>
        <v>1896</v>
      </c>
      <c r="K333" s="6">
        <f t="shared" si="111"/>
        <v>2221</v>
      </c>
      <c r="L333" s="6">
        <f t="shared" si="100"/>
        <v>3000</v>
      </c>
      <c r="M333" s="6">
        <f t="shared" si="101"/>
        <v>3000</v>
      </c>
      <c r="N333" s="6">
        <f t="shared" si="102"/>
        <v>3000</v>
      </c>
      <c r="O333" s="6">
        <f t="shared" si="114"/>
        <v>-990</v>
      </c>
      <c r="P333" s="6">
        <f t="shared" si="115"/>
        <v>-1104</v>
      </c>
      <c r="Q333" s="6">
        <f t="shared" si="116"/>
        <v>-779</v>
      </c>
      <c r="R333" s="8">
        <v>0</v>
      </c>
      <c r="S333" s="8">
        <v>0</v>
      </c>
      <c r="T333" s="8">
        <v>0</v>
      </c>
      <c r="U333" s="25">
        <f t="shared" si="117"/>
        <v>-770</v>
      </c>
      <c r="V333" s="25">
        <f t="shared" si="118"/>
        <v>-894</v>
      </c>
      <c r="W333" s="25">
        <f t="shared" si="119"/>
        <v>-639</v>
      </c>
      <c r="X333" s="15">
        <v>1.1060000000000001</v>
      </c>
      <c r="Y333" s="7"/>
      <c r="Z333" s="21">
        <f t="shared" si="104"/>
        <v>2.1</v>
      </c>
      <c r="AA333" s="6"/>
      <c r="AB333" s="6"/>
    </row>
    <row r="334" spans="1:28" ht="13.8">
      <c r="A334" s="13">
        <f t="shared" si="103"/>
        <v>323</v>
      </c>
      <c r="B334" s="185" t="s">
        <v>395</v>
      </c>
      <c r="C334" s="10">
        <f t="shared" si="112"/>
        <v>1069</v>
      </c>
      <c r="D334" s="9">
        <f t="shared" si="105"/>
        <v>1923</v>
      </c>
      <c r="E334" s="26">
        <f t="shared" si="113"/>
        <v>2992</v>
      </c>
      <c r="F334" s="8">
        <f t="shared" si="106"/>
        <v>982</v>
      </c>
      <c r="G334" s="8">
        <f t="shared" si="107"/>
        <v>1096</v>
      </c>
      <c r="H334" s="8">
        <f t="shared" si="108"/>
        <v>771</v>
      </c>
      <c r="I334" s="6">
        <f t="shared" si="109"/>
        <v>2010</v>
      </c>
      <c r="J334" s="6">
        <f t="shared" si="110"/>
        <v>1896</v>
      </c>
      <c r="K334" s="6">
        <f t="shared" si="111"/>
        <v>2221</v>
      </c>
      <c r="L334" s="6">
        <f t="shared" si="100"/>
        <v>3000</v>
      </c>
      <c r="M334" s="6">
        <f t="shared" si="101"/>
        <v>3000</v>
      </c>
      <c r="N334" s="6">
        <f t="shared" si="102"/>
        <v>3000</v>
      </c>
      <c r="O334" s="6">
        <f t="shared" si="114"/>
        <v>-990</v>
      </c>
      <c r="P334" s="6">
        <f t="shared" si="115"/>
        <v>-1104</v>
      </c>
      <c r="Q334" s="6">
        <f t="shared" si="116"/>
        <v>-779</v>
      </c>
      <c r="R334" s="8">
        <v>0</v>
      </c>
      <c r="S334" s="8">
        <v>0</v>
      </c>
      <c r="T334" s="8">
        <v>0</v>
      </c>
      <c r="U334" s="25">
        <f t="shared" si="117"/>
        <v>-770</v>
      </c>
      <c r="V334" s="25">
        <f t="shared" si="118"/>
        <v>-894</v>
      </c>
      <c r="W334" s="25">
        <f t="shared" si="119"/>
        <v>-639</v>
      </c>
      <c r="X334" s="15">
        <v>1.1060000000000001</v>
      </c>
      <c r="Y334" s="7"/>
      <c r="Z334" s="21">
        <f t="shared" si="104"/>
        <v>2.1</v>
      </c>
      <c r="AA334" s="6"/>
      <c r="AB334" s="6"/>
    </row>
    <row r="335" spans="1:28" ht="13.8">
      <c r="A335" s="13">
        <f t="shared" si="103"/>
        <v>324</v>
      </c>
      <c r="B335" s="185" t="s">
        <v>396</v>
      </c>
      <c r="C335" s="10">
        <f t="shared" si="112"/>
        <v>1069</v>
      </c>
      <c r="D335" s="9">
        <f t="shared" si="105"/>
        <v>1925</v>
      </c>
      <c r="E335" s="26">
        <f t="shared" si="113"/>
        <v>2994</v>
      </c>
      <c r="F335" s="8">
        <f t="shared" si="106"/>
        <v>984</v>
      </c>
      <c r="G335" s="8">
        <f t="shared" si="107"/>
        <v>1098</v>
      </c>
      <c r="H335" s="8">
        <f t="shared" si="108"/>
        <v>773</v>
      </c>
      <c r="I335" s="6">
        <f t="shared" si="109"/>
        <v>2010</v>
      </c>
      <c r="J335" s="6">
        <f t="shared" si="110"/>
        <v>1896</v>
      </c>
      <c r="K335" s="6">
        <f t="shared" si="111"/>
        <v>2221</v>
      </c>
      <c r="L335" s="6">
        <f t="shared" si="100"/>
        <v>3000</v>
      </c>
      <c r="M335" s="6">
        <f t="shared" si="101"/>
        <v>3000</v>
      </c>
      <c r="N335" s="6">
        <f t="shared" si="102"/>
        <v>3000</v>
      </c>
      <c r="O335" s="6">
        <f t="shared" si="114"/>
        <v>-990</v>
      </c>
      <c r="P335" s="6">
        <f t="shared" si="115"/>
        <v>-1104</v>
      </c>
      <c r="Q335" s="6">
        <f t="shared" si="116"/>
        <v>-779</v>
      </c>
      <c r="R335" s="8">
        <v>0</v>
      </c>
      <c r="S335" s="8">
        <v>0</v>
      </c>
      <c r="T335" s="8">
        <v>0</v>
      </c>
      <c r="U335" s="25">
        <f t="shared" si="117"/>
        <v>-770</v>
      </c>
      <c r="V335" s="25">
        <f t="shared" si="118"/>
        <v>-894</v>
      </c>
      <c r="W335" s="25">
        <f t="shared" si="119"/>
        <v>-639</v>
      </c>
      <c r="X335" s="15">
        <v>1.1060000000000001</v>
      </c>
      <c r="Y335" s="7"/>
      <c r="Z335" s="21">
        <f t="shared" si="104"/>
        <v>2.1</v>
      </c>
      <c r="AA335" s="6"/>
      <c r="AB335" s="6"/>
    </row>
    <row r="336" spans="1:28" ht="13.8">
      <c r="A336" s="13">
        <f t="shared" si="103"/>
        <v>325</v>
      </c>
      <c r="B336" s="185" t="s">
        <v>397</v>
      </c>
      <c r="C336" s="10">
        <f t="shared" si="112"/>
        <v>1069</v>
      </c>
      <c r="D336" s="9">
        <f t="shared" si="105"/>
        <v>1927</v>
      </c>
      <c r="E336" s="26">
        <f t="shared" si="113"/>
        <v>2996</v>
      </c>
      <c r="F336" s="8">
        <f t="shared" si="106"/>
        <v>986</v>
      </c>
      <c r="G336" s="8">
        <f t="shared" si="107"/>
        <v>1100</v>
      </c>
      <c r="H336" s="8">
        <f t="shared" si="108"/>
        <v>775</v>
      </c>
      <c r="I336" s="6">
        <f t="shared" si="109"/>
        <v>2010</v>
      </c>
      <c r="J336" s="6">
        <f t="shared" si="110"/>
        <v>1896</v>
      </c>
      <c r="K336" s="6">
        <f t="shared" si="111"/>
        <v>2221</v>
      </c>
      <c r="L336" s="6">
        <f t="shared" si="100"/>
        <v>3000</v>
      </c>
      <c r="M336" s="6">
        <f t="shared" si="101"/>
        <v>3000</v>
      </c>
      <c r="N336" s="6">
        <f t="shared" si="102"/>
        <v>3000</v>
      </c>
      <c r="O336" s="6">
        <f t="shared" si="114"/>
        <v>-990</v>
      </c>
      <c r="P336" s="6">
        <f t="shared" si="115"/>
        <v>-1104</v>
      </c>
      <c r="Q336" s="6">
        <f t="shared" si="116"/>
        <v>-779</v>
      </c>
      <c r="R336" s="8">
        <v>0</v>
      </c>
      <c r="S336" s="8">
        <v>0</v>
      </c>
      <c r="T336" s="8">
        <v>0</v>
      </c>
      <c r="U336" s="25">
        <f t="shared" si="117"/>
        <v>-770</v>
      </c>
      <c r="V336" s="25">
        <f t="shared" si="118"/>
        <v>-894</v>
      </c>
      <c r="W336" s="25">
        <f t="shared" si="119"/>
        <v>-639</v>
      </c>
      <c r="X336" s="15">
        <v>1.1060000000000001</v>
      </c>
      <c r="Y336" s="7"/>
      <c r="Z336" s="21">
        <f t="shared" si="104"/>
        <v>2.1</v>
      </c>
      <c r="AA336" s="6"/>
      <c r="AB336" s="6"/>
    </row>
    <row r="337" spans="1:28" ht="13.8">
      <c r="A337" s="13">
        <f t="shared" si="103"/>
        <v>326</v>
      </c>
      <c r="B337" s="185" t="s">
        <v>398</v>
      </c>
      <c r="C337" s="10">
        <f t="shared" si="112"/>
        <v>1069</v>
      </c>
      <c r="D337" s="9">
        <f t="shared" si="105"/>
        <v>1929</v>
      </c>
      <c r="E337" s="26">
        <f t="shared" si="113"/>
        <v>2998</v>
      </c>
      <c r="F337" s="8">
        <f t="shared" si="106"/>
        <v>988</v>
      </c>
      <c r="G337" s="8">
        <f t="shared" si="107"/>
        <v>1102</v>
      </c>
      <c r="H337" s="8">
        <f t="shared" si="108"/>
        <v>777</v>
      </c>
      <c r="I337" s="6">
        <f t="shared" si="109"/>
        <v>2010</v>
      </c>
      <c r="J337" s="6">
        <f t="shared" si="110"/>
        <v>1896</v>
      </c>
      <c r="K337" s="6">
        <f t="shared" si="111"/>
        <v>2221</v>
      </c>
      <c r="L337" s="6">
        <f t="shared" si="100"/>
        <v>3000</v>
      </c>
      <c r="M337" s="6">
        <f t="shared" si="101"/>
        <v>3000</v>
      </c>
      <c r="N337" s="6">
        <f t="shared" si="102"/>
        <v>3000</v>
      </c>
      <c r="O337" s="6">
        <f t="shared" si="114"/>
        <v>-990</v>
      </c>
      <c r="P337" s="6">
        <f t="shared" si="115"/>
        <v>-1104</v>
      </c>
      <c r="Q337" s="6">
        <f t="shared" si="116"/>
        <v>-779</v>
      </c>
      <c r="R337" s="8">
        <v>0</v>
      </c>
      <c r="S337" s="8">
        <v>0</v>
      </c>
      <c r="T337" s="8">
        <v>0</v>
      </c>
      <c r="U337" s="25">
        <f t="shared" si="117"/>
        <v>-770</v>
      </c>
      <c r="V337" s="25">
        <f t="shared" si="118"/>
        <v>-894</v>
      </c>
      <c r="W337" s="25">
        <f t="shared" si="119"/>
        <v>-639</v>
      </c>
      <c r="X337" s="15">
        <v>1.1060000000000001</v>
      </c>
      <c r="Y337" s="7"/>
      <c r="Z337" s="21">
        <f t="shared" si="104"/>
        <v>2.1</v>
      </c>
      <c r="AA337" s="6"/>
      <c r="AB337" s="6"/>
    </row>
    <row r="338" spans="1:28" ht="13.8">
      <c r="A338" s="13">
        <f t="shared" si="103"/>
        <v>327</v>
      </c>
      <c r="B338" s="185" t="s">
        <v>399</v>
      </c>
      <c r="C338" s="10">
        <f t="shared" si="112"/>
        <v>1069</v>
      </c>
      <c r="D338" s="9">
        <f t="shared" si="105"/>
        <v>1931</v>
      </c>
      <c r="E338" s="26">
        <f t="shared" si="113"/>
        <v>3000</v>
      </c>
      <c r="F338" s="8">
        <f t="shared" si="106"/>
        <v>990</v>
      </c>
      <c r="G338" s="8">
        <f t="shared" si="107"/>
        <v>1104</v>
      </c>
      <c r="H338" s="8">
        <f t="shared" si="108"/>
        <v>779</v>
      </c>
      <c r="I338" s="6">
        <f t="shared" si="109"/>
        <v>2010</v>
      </c>
      <c r="J338" s="6">
        <f t="shared" si="110"/>
        <v>1896</v>
      </c>
      <c r="K338" s="6">
        <f t="shared" si="111"/>
        <v>2221</v>
      </c>
      <c r="L338" s="6">
        <f t="shared" ref="L338:L401" si="120">L337</f>
        <v>3000</v>
      </c>
      <c r="M338" s="6">
        <f t="shared" ref="M338:M401" si="121">M337</f>
        <v>3000</v>
      </c>
      <c r="N338" s="6">
        <f t="shared" ref="N338:N401" si="122">N337</f>
        <v>3000</v>
      </c>
      <c r="O338" s="6">
        <f t="shared" si="114"/>
        <v>-990</v>
      </c>
      <c r="P338" s="6">
        <f t="shared" si="115"/>
        <v>-1104</v>
      </c>
      <c r="Q338" s="6">
        <f t="shared" si="116"/>
        <v>-779</v>
      </c>
      <c r="R338" s="8">
        <v>0</v>
      </c>
      <c r="S338" s="8">
        <v>0</v>
      </c>
      <c r="T338" s="8">
        <v>0</v>
      </c>
      <c r="U338" s="25">
        <f t="shared" si="117"/>
        <v>-770</v>
      </c>
      <c r="V338" s="25">
        <f t="shared" si="118"/>
        <v>-894</v>
      </c>
      <c r="W338" s="25">
        <f t="shared" si="119"/>
        <v>-639</v>
      </c>
      <c r="X338" s="15">
        <v>1.1060000000000001</v>
      </c>
      <c r="Y338" s="7"/>
      <c r="Z338" s="21">
        <f t="shared" si="104"/>
        <v>2.1</v>
      </c>
      <c r="AA338" s="6"/>
      <c r="AB338" s="6"/>
    </row>
    <row r="339" spans="1:28" ht="13.8">
      <c r="A339" s="13">
        <f t="shared" si="103"/>
        <v>328</v>
      </c>
      <c r="B339" s="185" t="s">
        <v>400</v>
      </c>
      <c r="C339" s="10">
        <f t="shared" si="112"/>
        <v>1069</v>
      </c>
      <c r="D339" s="9">
        <f t="shared" si="105"/>
        <v>1933</v>
      </c>
      <c r="E339" s="26">
        <f t="shared" si="113"/>
        <v>3002</v>
      </c>
      <c r="F339" s="8">
        <f t="shared" si="106"/>
        <v>992</v>
      </c>
      <c r="G339" s="8">
        <f t="shared" si="107"/>
        <v>1106</v>
      </c>
      <c r="H339" s="8">
        <f t="shared" si="108"/>
        <v>781</v>
      </c>
      <c r="I339" s="6">
        <f t="shared" si="109"/>
        <v>2010</v>
      </c>
      <c r="J339" s="6">
        <f t="shared" si="110"/>
        <v>1896</v>
      </c>
      <c r="K339" s="6">
        <f t="shared" si="111"/>
        <v>2221</v>
      </c>
      <c r="L339" s="6">
        <f t="shared" si="120"/>
        <v>3000</v>
      </c>
      <c r="M339" s="6">
        <f t="shared" si="121"/>
        <v>3000</v>
      </c>
      <c r="N339" s="6">
        <f t="shared" si="122"/>
        <v>3000</v>
      </c>
      <c r="O339" s="6">
        <f t="shared" si="114"/>
        <v>-990</v>
      </c>
      <c r="P339" s="6">
        <f t="shared" si="115"/>
        <v>-1104</v>
      </c>
      <c r="Q339" s="6">
        <f t="shared" si="116"/>
        <v>-779</v>
      </c>
      <c r="R339" s="8">
        <v>0</v>
      </c>
      <c r="S339" s="8">
        <v>0</v>
      </c>
      <c r="T339" s="8">
        <v>0</v>
      </c>
      <c r="U339" s="25">
        <f t="shared" si="117"/>
        <v>-770</v>
      </c>
      <c r="V339" s="25">
        <f t="shared" si="118"/>
        <v>-894</v>
      </c>
      <c r="W339" s="25">
        <f t="shared" si="119"/>
        <v>-639</v>
      </c>
      <c r="X339" s="15">
        <v>1.1060000000000001</v>
      </c>
      <c r="Y339" s="7"/>
      <c r="Z339" s="21">
        <f t="shared" si="104"/>
        <v>2.1</v>
      </c>
      <c r="AA339" s="6"/>
      <c r="AB339" s="6"/>
    </row>
    <row r="340" spans="1:28" ht="13.8">
      <c r="A340" s="13">
        <f t="shared" ref="A340:A403" si="123">+A339+1</f>
        <v>329</v>
      </c>
      <c r="B340" s="185" t="s">
        <v>401</v>
      </c>
      <c r="C340" s="10">
        <f t="shared" si="112"/>
        <v>1069</v>
      </c>
      <c r="D340" s="9">
        <f t="shared" si="105"/>
        <v>1935</v>
      </c>
      <c r="E340" s="26">
        <f t="shared" si="113"/>
        <v>3004</v>
      </c>
      <c r="F340" s="8">
        <f t="shared" si="106"/>
        <v>994</v>
      </c>
      <c r="G340" s="8">
        <f t="shared" si="107"/>
        <v>1108</v>
      </c>
      <c r="H340" s="8">
        <f t="shared" si="108"/>
        <v>783</v>
      </c>
      <c r="I340" s="6">
        <f t="shared" si="109"/>
        <v>2010</v>
      </c>
      <c r="J340" s="6">
        <f t="shared" si="110"/>
        <v>1896</v>
      </c>
      <c r="K340" s="6">
        <f t="shared" si="111"/>
        <v>2221</v>
      </c>
      <c r="L340" s="6">
        <f t="shared" si="120"/>
        <v>3000</v>
      </c>
      <c r="M340" s="6">
        <f t="shared" si="121"/>
        <v>3000</v>
      </c>
      <c r="N340" s="6">
        <f t="shared" si="122"/>
        <v>3000</v>
      </c>
      <c r="O340" s="6">
        <f t="shared" si="114"/>
        <v>-990</v>
      </c>
      <c r="P340" s="6">
        <f t="shared" si="115"/>
        <v>-1104</v>
      </c>
      <c r="Q340" s="6">
        <f t="shared" si="116"/>
        <v>-779</v>
      </c>
      <c r="R340" s="8">
        <v>0</v>
      </c>
      <c r="S340" s="8">
        <v>0</v>
      </c>
      <c r="T340" s="8">
        <v>0</v>
      </c>
      <c r="U340" s="25">
        <f t="shared" si="117"/>
        <v>-770</v>
      </c>
      <c r="V340" s="25">
        <f t="shared" si="118"/>
        <v>-894</v>
      </c>
      <c r="W340" s="25">
        <f t="shared" si="119"/>
        <v>-639</v>
      </c>
      <c r="X340" s="15">
        <v>1.1060000000000001</v>
      </c>
      <c r="Y340" s="7"/>
      <c r="Z340" s="21">
        <f t="shared" si="104"/>
        <v>2.1</v>
      </c>
      <c r="AA340" s="6"/>
      <c r="AB340" s="6"/>
    </row>
    <row r="341" spans="1:28" ht="13.8">
      <c r="A341" s="13">
        <f t="shared" si="123"/>
        <v>330</v>
      </c>
      <c r="B341" s="185" t="s">
        <v>402</v>
      </c>
      <c r="C341" s="10">
        <f t="shared" si="112"/>
        <v>1069</v>
      </c>
      <c r="D341" s="9">
        <f t="shared" si="105"/>
        <v>1937</v>
      </c>
      <c r="E341" s="26">
        <f t="shared" si="113"/>
        <v>3006</v>
      </c>
      <c r="F341" s="8">
        <f t="shared" si="106"/>
        <v>996</v>
      </c>
      <c r="G341" s="8">
        <f t="shared" si="107"/>
        <v>1110</v>
      </c>
      <c r="H341" s="8">
        <f t="shared" si="108"/>
        <v>785</v>
      </c>
      <c r="I341" s="6">
        <f t="shared" si="109"/>
        <v>2010</v>
      </c>
      <c r="J341" s="6">
        <f t="shared" si="110"/>
        <v>1896</v>
      </c>
      <c r="K341" s="6">
        <f t="shared" si="111"/>
        <v>2221</v>
      </c>
      <c r="L341" s="6">
        <f t="shared" si="120"/>
        <v>3000</v>
      </c>
      <c r="M341" s="6">
        <f t="shared" si="121"/>
        <v>3000</v>
      </c>
      <c r="N341" s="6">
        <f t="shared" si="122"/>
        <v>3000</v>
      </c>
      <c r="O341" s="6">
        <f t="shared" si="114"/>
        <v>-990</v>
      </c>
      <c r="P341" s="6">
        <f t="shared" si="115"/>
        <v>-1104</v>
      </c>
      <c r="Q341" s="6">
        <f t="shared" si="116"/>
        <v>-779</v>
      </c>
      <c r="R341" s="8">
        <v>0</v>
      </c>
      <c r="S341" s="8">
        <v>0</v>
      </c>
      <c r="T341" s="8">
        <v>0</v>
      </c>
      <c r="U341" s="25">
        <f t="shared" si="117"/>
        <v>-770</v>
      </c>
      <c r="V341" s="25">
        <f t="shared" si="118"/>
        <v>-894</v>
      </c>
      <c r="W341" s="25">
        <f t="shared" si="119"/>
        <v>-639</v>
      </c>
      <c r="X341" s="15">
        <v>1.1060000000000001</v>
      </c>
      <c r="Y341" s="7"/>
      <c r="Z341" s="21">
        <f t="shared" si="104"/>
        <v>2.1</v>
      </c>
      <c r="AA341" s="6"/>
      <c r="AB341" s="6"/>
    </row>
    <row r="342" spans="1:28" ht="13.8">
      <c r="A342" s="13">
        <f t="shared" si="123"/>
        <v>331</v>
      </c>
      <c r="B342" s="185" t="s">
        <v>403</v>
      </c>
      <c r="C342" s="10">
        <f t="shared" si="112"/>
        <v>1069</v>
      </c>
      <c r="D342" s="9">
        <f t="shared" si="105"/>
        <v>1939</v>
      </c>
      <c r="E342" s="26">
        <f t="shared" si="113"/>
        <v>3008</v>
      </c>
      <c r="F342" s="8">
        <f t="shared" si="106"/>
        <v>998</v>
      </c>
      <c r="G342" s="8">
        <f t="shared" si="107"/>
        <v>1112</v>
      </c>
      <c r="H342" s="8">
        <f t="shared" si="108"/>
        <v>787</v>
      </c>
      <c r="I342" s="6">
        <f t="shared" si="109"/>
        <v>2010</v>
      </c>
      <c r="J342" s="6">
        <f t="shared" si="110"/>
        <v>1896</v>
      </c>
      <c r="K342" s="6">
        <f t="shared" si="111"/>
        <v>2221</v>
      </c>
      <c r="L342" s="6">
        <f t="shared" si="120"/>
        <v>3000</v>
      </c>
      <c r="M342" s="6">
        <f t="shared" si="121"/>
        <v>3000</v>
      </c>
      <c r="N342" s="6">
        <f t="shared" si="122"/>
        <v>3000</v>
      </c>
      <c r="O342" s="6">
        <f t="shared" si="114"/>
        <v>-990</v>
      </c>
      <c r="P342" s="6">
        <f t="shared" si="115"/>
        <v>-1104</v>
      </c>
      <c r="Q342" s="6">
        <f t="shared" si="116"/>
        <v>-779</v>
      </c>
      <c r="R342" s="8">
        <v>0</v>
      </c>
      <c r="S342" s="8">
        <v>0</v>
      </c>
      <c r="T342" s="8">
        <v>0</v>
      </c>
      <c r="U342" s="25">
        <f t="shared" si="117"/>
        <v>-770</v>
      </c>
      <c r="V342" s="25">
        <f t="shared" si="118"/>
        <v>-894</v>
      </c>
      <c r="W342" s="25">
        <f t="shared" si="119"/>
        <v>-639</v>
      </c>
      <c r="X342" s="15">
        <v>1.1060000000000001</v>
      </c>
      <c r="Y342" s="7"/>
      <c r="Z342" s="21">
        <f t="shared" si="104"/>
        <v>2.1</v>
      </c>
      <c r="AA342" s="6"/>
      <c r="AB342" s="6"/>
    </row>
    <row r="343" spans="1:28" ht="13.8">
      <c r="A343" s="13">
        <f t="shared" si="123"/>
        <v>332</v>
      </c>
      <c r="B343" s="185" t="s">
        <v>404</v>
      </c>
      <c r="C343" s="10">
        <f t="shared" si="112"/>
        <v>1069</v>
      </c>
      <c r="D343" s="9">
        <f t="shared" si="105"/>
        <v>1941</v>
      </c>
      <c r="E343" s="26">
        <f t="shared" si="113"/>
        <v>3010</v>
      </c>
      <c r="F343" s="8">
        <f t="shared" si="106"/>
        <v>1000</v>
      </c>
      <c r="G343" s="8">
        <f t="shared" si="107"/>
        <v>1114</v>
      </c>
      <c r="H343" s="8">
        <f t="shared" si="108"/>
        <v>789</v>
      </c>
      <c r="I343" s="6">
        <f t="shared" si="109"/>
        <v>2010</v>
      </c>
      <c r="J343" s="6">
        <f t="shared" si="110"/>
        <v>1896</v>
      </c>
      <c r="K343" s="6">
        <f t="shared" si="111"/>
        <v>2221</v>
      </c>
      <c r="L343" s="6">
        <f t="shared" si="120"/>
        <v>3000</v>
      </c>
      <c r="M343" s="6">
        <f t="shared" si="121"/>
        <v>3000</v>
      </c>
      <c r="N343" s="6">
        <f t="shared" si="122"/>
        <v>3000</v>
      </c>
      <c r="O343" s="6">
        <f t="shared" si="114"/>
        <v>-990</v>
      </c>
      <c r="P343" s="6">
        <f t="shared" si="115"/>
        <v>-1104</v>
      </c>
      <c r="Q343" s="6">
        <f t="shared" si="116"/>
        <v>-779</v>
      </c>
      <c r="R343" s="8">
        <v>0</v>
      </c>
      <c r="S343" s="8">
        <v>0</v>
      </c>
      <c r="T343" s="8">
        <v>0</v>
      </c>
      <c r="U343" s="25">
        <f t="shared" si="117"/>
        <v>-770</v>
      </c>
      <c r="V343" s="25">
        <f t="shared" si="118"/>
        <v>-894</v>
      </c>
      <c r="W343" s="25">
        <f t="shared" si="119"/>
        <v>-639</v>
      </c>
      <c r="X343" s="15">
        <v>1.1060000000000001</v>
      </c>
      <c r="Y343" s="7"/>
      <c r="Z343" s="21">
        <f t="shared" si="104"/>
        <v>2.1</v>
      </c>
      <c r="AA343" s="6"/>
      <c r="AB343" s="6"/>
    </row>
    <row r="344" spans="1:28" ht="13.8">
      <c r="A344" s="13">
        <f t="shared" si="123"/>
        <v>333</v>
      </c>
      <c r="B344" s="185" t="s">
        <v>405</v>
      </c>
      <c r="C344" s="10">
        <f t="shared" si="112"/>
        <v>1069</v>
      </c>
      <c r="D344" s="9">
        <f t="shared" si="105"/>
        <v>1943</v>
      </c>
      <c r="E344" s="26">
        <f t="shared" si="113"/>
        <v>3012</v>
      </c>
      <c r="F344" s="8">
        <f t="shared" si="106"/>
        <v>1002</v>
      </c>
      <c r="G344" s="8">
        <f t="shared" si="107"/>
        <v>1116</v>
      </c>
      <c r="H344" s="8">
        <f t="shared" si="108"/>
        <v>791</v>
      </c>
      <c r="I344" s="6">
        <f t="shared" si="109"/>
        <v>2010</v>
      </c>
      <c r="J344" s="6">
        <f t="shared" si="110"/>
        <v>1896</v>
      </c>
      <c r="K344" s="6">
        <f t="shared" si="111"/>
        <v>2221</v>
      </c>
      <c r="L344" s="6">
        <f t="shared" si="120"/>
        <v>3000</v>
      </c>
      <c r="M344" s="6">
        <f t="shared" si="121"/>
        <v>3000</v>
      </c>
      <c r="N344" s="6">
        <f t="shared" si="122"/>
        <v>3000</v>
      </c>
      <c r="O344" s="6">
        <f t="shared" si="114"/>
        <v>-990</v>
      </c>
      <c r="P344" s="6">
        <f t="shared" si="115"/>
        <v>-1104</v>
      </c>
      <c r="Q344" s="6">
        <f t="shared" si="116"/>
        <v>-779</v>
      </c>
      <c r="R344" s="8">
        <v>0</v>
      </c>
      <c r="S344" s="8">
        <v>0</v>
      </c>
      <c r="T344" s="8">
        <v>0</v>
      </c>
      <c r="U344" s="25">
        <f t="shared" si="117"/>
        <v>-770</v>
      </c>
      <c r="V344" s="25">
        <f t="shared" si="118"/>
        <v>-894</v>
      </c>
      <c r="W344" s="25">
        <f t="shared" si="119"/>
        <v>-639</v>
      </c>
      <c r="X344" s="15">
        <v>1.1060000000000001</v>
      </c>
      <c r="Y344" s="7"/>
      <c r="Z344" s="21">
        <f t="shared" si="104"/>
        <v>2.1</v>
      </c>
      <c r="AA344" s="6"/>
      <c r="AB344" s="6"/>
    </row>
    <row r="345" spans="1:28" ht="13.8">
      <c r="A345" s="13">
        <f t="shared" si="123"/>
        <v>334</v>
      </c>
      <c r="B345" s="185" t="s">
        <v>406</v>
      </c>
      <c r="C345" s="10">
        <f t="shared" si="112"/>
        <v>1069</v>
      </c>
      <c r="D345" s="9">
        <f t="shared" si="105"/>
        <v>1945</v>
      </c>
      <c r="E345" s="26">
        <f t="shared" si="113"/>
        <v>3014</v>
      </c>
      <c r="F345" s="8">
        <f t="shared" si="106"/>
        <v>1004</v>
      </c>
      <c r="G345" s="8">
        <f t="shared" si="107"/>
        <v>1118</v>
      </c>
      <c r="H345" s="8">
        <f t="shared" si="108"/>
        <v>793</v>
      </c>
      <c r="I345" s="6">
        <f t="shared" si="109"/>
        <v>2010</v>
      </c>
      <c r="J345" s="6">
        <f t="shared" si="110"/>
        <v>1896</v>
      </c>
      <c r="K345" s="6">
        <f t="shared" si="111"/>
        <v>2221</v>
      </c>
      <c r="L345" s="6">
        <f t="shared" si="120"/>
        <v>3000</v>
      </c>
      <c r="M345" s="6">
        <f t="shared" si="121"/>
        <v>3000</v>
      </c>
      <c r="N345" s="6">
        <f t="shared" si="122"/>
        <v>3000</v>
      </c>
      <c r="O345" s="6">
        <f t="shared" si="114"/>
        <v>-990</v>
      </c>
      <c r="P345" s="6">
        <f t="shared" si="115"/>
        <v>-1104</v>
      </c>
      <c r="Q345" s="6">
        <f t="shared" si="116"/>
        <v>-779</v>
      </c>
      <c r="R345" s="8">
        <v>0</v>
      </c>
      <c r="S345" s="8">
        <v>0</v>
      </c>
      <c r="T345" s="8">
        <v>0</v>
      </c>
      <c r="U345" s="25">
        <f t="shared" si="117"/>
        <v>-770</v>
      </c>
      <c r="V345" s="25">
        <f t="shared" si="118"/>
        <v>-894</v>
      </c>
      <c r="W345" s="25">
        <f t="shared" si="119"/>
        <v>-639</v>
      </c>
      <c r="X345" s="15">
        <v>1.1060000000000001</v>
      </c>
      <c r="Y345" s="7"/>
      <c r="Z345" s="21">
        <f t="shared" si="104"/>
        <v>2.1</v>
      </c>
      <c r="AA345" s="6"/>
      <c r="AB345" s="6"/>
    </row>
    <row r="346" spans="1:28" ht="13.8">
      <c r="A346" s="13">
        <f t="shared" si="123"/>
        <v>335</v>
      </c>
      <c r="B346" s="185" t="s">
        <v>407</v>
      </c>
      <c r="C346" s="10">
        <f t="shared" si="112"/>
        <v>1069</v>
      </c>
      <c r="D346" s="9">
        <f t="shared" si="105"/>
        <v>1947</v>
      </c>
      <c r="E346" s="26">
        <f t="shared" si="113"/>
        <v>3016</v>
      </c>
      <c r="F346" s="8">
        <f t="shared" si="106"/>
        <v>1006</v>
      </c>
      <c r="G346" s="8">
        <f t="shared" si="107"/>
        <v>1120</v>
      </c>
      <c r="H346" s="8">
        <f t="shared" si="108"/>
        <v>795</v>
      </c>
      <c r="I346" s="6">
        <f t="shared" si="109"/>
        <v>2010</v>
      </c>
      <c r="J346" s="6">
        <f t="shared" si="110"/>
        <v>1896</v>
      </c>
      <c r="K346" s="6">
        <f t="shared" si="111"/>
        <v>2221</v>
      </c>
      <c r="L346" s="6">
        <f t="shared" si="120"/>
        <v>3000</v>
      </c>
      <c r="M346" s="6">
        <f t="shared" si="121"/>
        <v>3000</v>
      </c>
      <c r="N346" s="6">
        <f t="shared" si="122"/>
        <v>3000</v>
      </c>
      <c r="O346" s="6">
        <f t="shared" si="114"/>
        <v>-990</v>
      </c>
      <c r="P346" s="6">
        <f t="shared" si="115"/>
        <v>-1104</v>
      </c>
      <c r="Q346" s="6">
        <f t="shared" si="116"/>
        <v>-779</v>
      </c>
      <c r="R346" s="8">
        <v>0</v>
      </c>
      <c r="S346" s="8">
        <v>0</v>
      </c>
      <c r="T346" s="8">
        <v>0</v>
      </c>
      <c r="U346" s="25">
        <f t="shared" si="117"/>
        <v>-770</v>
      </c>
      <c r="V346" s="25">
        <f t="shared" si="118"/>
        <v>-894</v>
      </c>
      <c r="W346" s="25">
        <f t="shared" si="119"/>
        <v>-639</v>
      </c>
      <c r="X346" s="15">
        <v>1.1060000000000001</v>
      </c>
      <c r="Y346" s="7"/>
      <c r="Z346" s="21">
        <f t="shared" si="104"/>
        <v>2.1</v>
      </c>
      <c r="AA346" s="6"/>
      <c r="AB346" s="6"/>
    </row>
    <row r="347" spans="1:28" ht="13.8">
      <c r="A347" s="13">
        <f t="shared" si="123"/>
        <v>336</v>
      </c>
      <c r="B347" s="185" t="s">
        <v>408</v>
      </c>
      <c r="C347" s="10">
        <f t="shared" si="112"/>
        <v>1069</v>
      </c>
      <c r="D347" s="9">
        <f t="shared" si="105"/>
        <v>1949</v>
      </c>
      <c r="E347" s="26">
        <f t="shared" si="113"/>
        <v>3018</v>
      </c>
      <c r="F347" s="8">
        <f t="shared" si="106"/>
        <v>1008</v>
      </c>
      <c r="G347" s="8">
        <f t="shared" si="107"/>
        <v>1122</v>
      </c>
      <c r="H347" s="8">
        <f t="shared" si="108"/>
        <v>797</v>
      </c>
      <c r="I347" s="6">
        <f t="shared" si="109"/>
        <v>2010</v>
      </c>
      <c r="J347" s="6">
        <f t="shared" si="110"/>
        <v>1896</v>
      </c>
      <c r="K347" s="6">
        <f t="shared" si="111"/>
        <v>2221</v>
      </c>
      <c r="L347" s="6">
        <f t="shared" si="120"/>
        <v>3000</v>
      </c>
      <c r="M347" s="6">
        <f t="shared" si="121"/>
        <v>3000</v>
      </c>
      <c r="N347" s="6">
        <f t="shared" si="122"/>
        <v>3000</v>
      </c>
      <c r="O347" s="6">
        <f t="shared" si="114"/>
        <v>-990</v>
      </c>
      <c r="P347" s="6">
        <f t="shared" si="115"/>
        <v>-1104</v>
      </c>
      <c r="Q347" s="6">
        <f t="shared" si="116"/>
        <v>-779</v>
      </c>
      <c r="R347" s="8">
        <v>0</v>
      </c>
      <c r="S347" s="8">
        <v>0</v>
      </c>
      <c r="T347" s="8">
        <v>0</v>
      </c>
      <c r="U347" s="25">
        <f t="shared" si="117"/>
        <v>-770</v>
      </c>
      <c r="V347" s="25">
        <f t="shared" si="118"/>
        <v>-894</v>
      </c>
      <c r="W347" s="25">
        <f t="shared" si="119"/>
        <v>-639</v>
      </c>
      <c r="X347" s="15">
        <v>1.1060000000000001</v>
      </c>
      <c r="Y347" s="7"/>
      <c r="Z347" s="21">
        <f t="shared" si="104"/>
        <v>2.1</v>
      </c>
      <c r="AA347" s="6"/>
      <c r="AB347" s="6"/>
    </row>
    <row r="348" spans="1:28" ht="13.8">
      <c r="A348" s="13">
        <f t="shared" si="123"/>
        <v>337</v>
      </c>
      <c r="B348" s="185" t="s">
        <v>409</v>
      </c>
      <c r="C348" s="10">
        <f t="shared" si="112"/>
        <v>1069</v>
      </c>
      <c r="D348" s="9">
        <f t="shared" si="105"/>
        <v>1951</v>
      </c>
      <c r="E348" s="26">
        <f t="shared" si="113"/>
        <v>3020</v>
      </c>
      <c r="F348" s="8">
        <f t="shared" si="106"/>
        <v>1010</v>
      </c>
      <c r="G348" s="8">
        <f t="shared" si="107"/>
        <v>1124</v>
      </c>
      <c r="H348" s="8">
        <f t="shared" si="108"/>
        <v>799</v>
      </c>
      <c r="I348" s="6">
        <f t="shared" si="109"/>
        <v>2010</v>
      </c>
      <c r="J348" s="6">
        <f t="shared" si="110"/>
        <v>1896</v>
      </c>
      <c r="K348" s="6">
        <f t="shared" si="111"/>
        <v>2221</v>
      </c>
      <c r="L348" s="6">
        <f t="shared" si="120"/>
        <v>3000</v>
      </c>
      <c r="M348" s="6">
        <f t="shared" si="121"/>
        <v>3000</v>
      </c>
      <c r="N348" s="6">
        <f t="shared" si="122"/>
        <v>3000</v>
      </c>
      <c r="O348" s="6">
        <f t="shared" si="114"/>
        <v>-990</v>
      </c>
      <c r="P348" s="6">
        <f t="shared" si="115"/>
        <v>-1104</v>
      </c>
      <c r="Q348" s="6">
        <f t="shared" si="116"/>
        <v>-779</v>
      </c>
      <c r="R348" s="8">
        <v>0</v>
      </c>
      <c r="S348" s="8">
        <v>0</v>
      </c>
      <c r="T348" s="8">
        <v>0</v>
      </c>
      <c r="U348" s="25">
        <f t="shared" si="117"/>
        <v>-770</v>
      </c>
      <c r="V348" s="25">
        <f t="shared" si="118"/>
        <v>-894</v>
      </c>
      <c r="W348" s="25">
        <f t="shared" si="119"/>
        <v>-639</v>
      </c>
      <c r="X348" s="15">
        <v>1.1060000000000001</v>
      </c>
      <c r="Y348" s="7"/>
      <c r="Z348" s="21">
        <f t="shared" si="104"/>
        <v>2.1</v>
      </c>
      <c r="AA348" s="6"/>
      <c r="AB348" s="6"/>
    </row>
    <row r="349" spans="1:28" ht="13.8">
      <c r="A349" s="13">
        <f t="shared" si="123"/>
        <v>338</v>
      </c>
      <c r="B349" s="185" t="s">
        <v>410</v>
      </c>
      <c r="C349" s="10">
        <f t="shared" si="112"/>
        <v>1069</v>
      </c>
      <c r="D349" s="9">
        <f t="shared" si="105"/>
        <v>1953</v>
      </c>
      <c r="E349" s="26">
        <f t="shared" si="113"/>
        <v>3022</v>
      </c>
      <c r="F349" s="8">
        <f t="shared" si="106"/>
        <v>1012</v>
      </c>
      <c r="G349" s="8">
        <f t="shared" si="107"/>
        <v>1126</v>
      </c>
      <c r="H349" s="8">
        <f t="shared" si="108"/>
        <v>801</v>
      </c>
      <c r="I349" s="6">
        <f t="shared" si="109"/>
        <v>2010</v>
      </c>
      <c r="J349" s="6">
        <f t="shared" si="110"/>
        <v>1896</v>
      </c>
      <c r="K349" s="6">
        <f t="shared" si="111"/>
        <v>2221</v>
      </c>
      <c r="L349" s="6">
        <f t="shared" si="120"/>
        <v>3000</v>
      </c>
      <c r="M349" s="6">
        <f t="shared" si="121"/>
        <v>3000</v>
      </c>
      <c r="N349" s="6">
        <f t="shared" si="122"/>
        <v>3000</v>
      </c>
      <c r="O349" s="6">
        <f t="shared" si="114"/>
        <v>-990</v>
      </c>
      <c r="P349" s="6">
        <f t="shared" si="115"/>
        <v>-1104</v>
      </c>
      <c r="Q349" s="6">
        <f t="shared" si="116"/>
        <v>-779</v>
      </c>
      <c r="R349" s="8">
        <v>0</v>
      </c>
      <c r="S349" s="8">
        <v>0</v>
      </c>
      <c r="T349" s="8">
        <v>0</v>
      </c>
      <c r="U349" s="25">
        <f t="shared" si="117"/>
        <v>-770</v>
      </c>
      <c r="V349" s="25">
        <f t="shared" si="118"/>
        <v>-894</v>
      </c>
      <c r="W349" s="25">
        <f t="shared" si="119"/>
        <v>-639</v>
      </c>
      <c r="X349" s="15">
        <v>1.1060000000000001</v>
      </c>
      <c r="Y349" s="7"/>
      <c r="Z349" s="21">
        <f t="shared" si="104"/>
        <v>2.1</v>
      </c>
      <c r="AA349" s="6"/>
      <c r="AB349" s="6"/>
    </row>
    <row r="350" spans="1:28" ht="13.8">
      <c r="A350" s="13">
        <f t="shared" si="123"/>
        <v>339</v>
      </c>
      <c r="B350" s="185" t="s">
        <v>411</v>
      </c>
      <c r="C350" s="10">
        <f t="shared" si="112"/>
        <v>1069</v>
      </c>
      <c r="D350" s="9">
        <f t="shared" si="105"/>
        <v>1955</v>
      </c>
      <c r="E350" s="26">
        <f t="shared" si="113"/>
        <v>3024</v>
      </c>
      <c r="F350" s="8">
        <f t="shared" si="106"/>
        <v>1014</v>
      </c>
      <c r="G350" s="8">
        <f t="shared" si="107"/>
        <v>1128</v>
      </c>
      <c r="H350" s="8">
        <f t="shared" si="108"/>
        <v>803</v>
      </c>
      <c r="I350" s="6">
        <f t="shared" si="109"/>
        <v>2010</v>
      </c>
      <c r="J350" s="6">
        <f t="shared" si="110"/>
        <v>1896</v>
      </c>
      <c r="K350" s="6">
        <f t="shared" si="111"/>
        <v>2221</v>
      </c>
      <c r="L350" s="6">
        <f t="shared" si="120"/>
        <v>3000</v>
      </c>
      <c r="M350" s="6">
        <f t="shared" si="121"/>
        <v>3000</v>
      </c>
      <c r="N350" s="6">
        <f t="shared" si="122"/>
        <v>3000</v>
      </c>
      <c r="O350" s="6">
        <f t="shared" si="114"/>
        <v>-990</v>
      </c>
      <c r="P350" s="6">
        <f t="shared" si="115"/>
        <v>-1104</v>
      </c>
      <c r="Q350" s="6">
        <f t="shared" si="116"/>
        <v>-779</v>
      </c>
      <c r="R350" s="8">
        <v>0</v>
      </c>
      <c r="S350" s="8">
        <v>0</v>
      </c>
      <c r="T350" s="8">
        <v>0</v>
      </c>
      <c r="U350" s="25">
        <f t="shared" si="117"/>
        <v>-770</v>
      </c>
      <c r="V350" s="25">
        <f t="shared" si="118"/>
        <v>-894</v>
      </c>
      <c r="W350" s="25">
        <f t="shared" si="119"/>
        <v>-639</v>
      </c>
      <c r="X350" s="15">
        <v>1.1060000000000001</v>
      </c>
      <c r="Y350" s="7"/>
      <c r="Z350" s="21">
        <f t="shared" si="104"/>
        <v>2.1</v>
      </c>
      <c r="AA350" s="6"/>
      <c r="AB350" s="6"/>
    </row>
    <row r="351" spans="1:28" ht="13.8">
      <c r="A351" s="13">
        <f t="shared" si="123"/>
        <v>340</v>
      </c>
      <c r="B351" s="185" t="s">
        <v>412</v>
      </c>
      <c r="C351" s="10">
        <f t="shared" si="112"/>
        <v>1069</v>
      </c>
      <c r="D351" s="9">
        <f t="shared" si="105"/>
        <v>1957</v>
      </c>
      <c r="E351" s="26">
        <f t="shared" si="113"/>
        <v>3026</v>
      </c>
      <c r="F351" s="8">
        <f t="shared" si="106"/>
        <v>1016</v>
      </c>
      <c r="G351" s="8">
        <f t="shared" si="107"/>
        <v>1130</v>
      </c>
      <c r="H351" s="8">
        <f t="shared" si="108"/>
        <v>805</v>
      </c>
      <c r="I351" s="6">
        <f t="shared" si="109"/>
        <v>2010</v>
      </c>
      <c r="J351" s="6">
        <f t="shared" si="110"/>
        <v>1896</v>
      </c>
      <c r="K351" s="6">
        <f t="shared" si="111"/>
        <v>2221</v>
      </c>
      <c r="L351" s="6">
        <f t="shared" si="120"/>
        <v>3000</v>
      </c>
      <c r="M351" s="6">
        <f t="shared" si="121"/>
        <v>3000</v>
      </c>
      <c r="N351" s="6">
        <f t="shared" si="122"/>
        <v>3000</v>
      </c>
      <c r="O351" s="6">
        <f t="shared" si="114"/>
        <v>-990</v>
      </c>
      <c r="P351" s="6">
        <f t="shared" si="115"/>
        <v>-1104</v>
      </c>
      <c r="Q351" s="6">
        <f t="shared" si="116"/>
        <v>-779</v>
      </c>
      <c r="R351" s="8">
        <v>0</v>
      </c>
      <c r="S351" s="8">
        <v>0</v>
      </c>
      <c r="T351" s="8">
        <v>0</v>
      </c>
      <c r="U351" s="25">
        <f t="shared" si="117"/>
        <v>-770</v>
      </c>
      <c r="V351" s="25">
        <f t="shared" si="118"/>
        <v>-894</v>
      </c>
      <c r="W351" s="25">
        <f t="shared" si="119"/>
        <v>-639</v>
      </c>
      <c r="X351" s="15">
        <v>1.1060000000000001</v>
      </c>
      <c r="Y351" s="7"/>
      <c r="Z351" s="21">
        <f t="shared" si="104"/>
        <v>2.1</v>
      </c>
      <c r="AA351" s="6"/>
      <c r="AB351" s="6"/>
    </row>
    <row r="352" spans="1:28" ht="13.8">
      <c r="A352" s="13">
        <f t="shared" si="123"/>
        <v>341</v>
      </c>
      <c r="B352" s="185" t="s">
        <v>413</v>
      </c>
      <c r="C352" s="10">
        <f t="shared" si="112"/>
        <v>1069</v>
      </c>
      <c r="D352" s="9">
        <f t="shared" si="105"/>
        <v>1959</v>
      </c>
      <c r="E352" s="26">
        <f t="shared" si="113"/>
        <v>3028</v>
      </c>
      <c r="F352" s="8">
        <f t="shared" si="106"/>
        <v>1018</v>
      </c>
      <c r="G352" s="8">
        <f t="shared" si="107"/>
        <v>1132</v>
      </c>
      <c r="H352" s="8">
        <f t="shared" si="108"/>
        <v>807</v>
      </c>
      <c r="I352" s="6">
        <f t="shared" si="109"/>
        <v>2010</v>
      </c>
      <c r="J352" s="6">
        <f t="shared" si="110"/>
        <v>1896</v>
      </c>
      <c r="K352" s="6">
        <f t="shared" si="111"/>
        <v>2221</v>
      </c>
      <c r="L352" s="6">
        <f t="shared" si="120"/>
        <v>3000</v>
      </c>
      <c r="M352" s="6">
        <f t="shared" si="121"/>
        <v>3000</v>
      </c>
      <c r="N352" s="6">
        <f t="shared" si="122"/>
        <v>3000</v>
      </c>
      <c r="O352" s="6">
        <f t="shared" si="114"/>
        <v>-990</v>
      </c>
      <c r="P352" s="6">
        <f t="shared" si="115"/>
        <v>-1104</v>
      </c>
      <c r="Q352" s="6">
        <f t="shared" si="116"/>
        <v>-779</v>
      </c>
      <c r="R352" s="8">
        <v>0</v>
      </c>
      <c r="S352" s="8">
        <v>0</v>
      </c>
      <c r="T352" s="8">
        <v>0</v>
      </c>
      <c r="U352" s="25">
        <f t="shared" si="117"/>
        <v>-770</v>
      </c>
      <c r="V352" s="25">
        <f t="shared" si="118"/>
        <v>-894</v>
      </c>
      <c r="W352" s="25">
        <f t="shared" si="119"/>
        <v>-639</v>
      </c>
      <c r="X352" s="15">
        <v>1.1060000000000001</v>
      </c>
      <c r="Y352" s="7"/>
      <c r="Z352" s="21">
        <f t="shared" si="104"/>
        <v>2.1</v>
      </c>
      <c r="AA352" s="6"/>
      <c r="AB352" s="6"/>
    </row>
    <row r="353" spans="1:28" ht="13.8">
      <c r="A353" s="13">
        <f t="shared" si="123"/>
        <v>342</v>
      </c>
      <c r="B353" s="185" t="s">
        <v>414</v>
      </c>
      <c r="C353" s="10">
        <f t="shared" si="112"/>
        <v>1069</v>
      </c>
      <c r="D353" s="9">
        <f t="shared" si="105"/>
        <v>1961</v>
      </c>
      <c r="E353" s="26">
        <f t="shared" si="113"/>
        <v>3030</v>
      </c>
      <c r="F353" s="8">
        <f t="shared" si="106"/>
        <v>1020</v>
      </c>
      <c r="G353" s="8">
        <f t="shared" si="107"/>
        <v>1134</v>
      </c>
      <c r="H353" s="8">
        <f t="shared" si="108"/>
        <v>809</v>
      </c>
      <c r="I353" s="6">
        <f t="shared" si="109"/>
        <v>2010</v>
      </c>
      <c r="J353" s="6">
        <f t="shared" si="110"/>
        <v>1896</v>
      </c>
      <c r="K353" s="6">
        <f t="shared" si="111"/>
        <v>2221</v>
      </c>
      <c r="L353" s="6">
        <f t="shared" si="120"/>
        <v>3000</v>
      </c>
      <c r="M353" s="6">
        <f t="shared" si="121"/>
        <v>3000</v>
      </c>
      <c r="N353" s="6">
        <f t="shared" si="122"/>
        <v>3000</v>
      </c>
      <c r="O353" s="6">
        <f t="shared" si="114"/>
        <v>-990</v>
      </c>
      <c r="P353" s="6">
        <f t="shared" si="115"/>
        <v>-1104</v>
      </c>
      <c r="Q353" s="6">
        <f t="shared" si="116"/>
        <v>-779</v>
      </c>
      <c r="R353" s="8">
        <v>0</v>
      </c>
      <c r="S353" s="8">
        <v>0</v>
      </c>
      <c r="T353" s="8">
        <v>0</v>
      </c>
      <c r="U353" s="25">
        <f t="shared" si="117"/>
        <v>-770</v>
      </c>
      <c r="V353" s="25">
        <f t="shared" si="118"/>
        <v>-894</v>
      </c>
      <c r="W353" s="25">
        <f t="shared" si="119"/>
        <v>-639</v>
      </c>
      <c r="X353" s="15">
        <v>1.1060000000000001</v>
      </c>
      <c r="Y353" s="7"/>
      <c r="Z353" s="21">
        <f t="shared" si="104"/>
        <v>2.1</v>
      </c>
      <c r="AA353" s="6"/>
      <c r="AB353" s="6"/>
    </row>
    <row r="354" spans="1:28" ht="13.8">
      <c r="A354" s="13">
        <f t="shared" si="123"/>
        <v>343</v>
      </c>
      <c r="B354" s="185" t="s">
        <v>415</v>
      </c>
      <c r="C354" s="10">
        <f t="shared" si="112"/>
        <v>1069</v>
      </c>
      <c r="D354" s="9">
        <f t="shared" si="105"/>
        <v>1963</v>
      </c>
      <c r="E354" s="26">
        <f t="shared" si="113"/>
        <v>3032</v>
      </c>
      <c r="F354" s="8">
        <f t="shared" si="106"/>
        <v>1022</v>
      </c>
      <c r="G354" s="8">
        <f t="shared" si="107"/>
        <v>1136</v>
      </c>
      <c r="H354" s="8">
        <f t="shared" si="108"/>
        <v>811</v>
      </c>
      <c r="I354" s="6">
        <f t="shared" si="109"/>
        <v>2010</v>
      </c>
      <c r="J354" s="6">
        <f t="shared" si="110"/>
        <v>1896</v>
      </c>
      <c r="K354" s="6">
        <f t="shared" si="111"/>
        <v>2221</v>
      </c>
      <c r="L354" s="6">
        <f t="shared" si="120"/>
        <v>3000</v>
      </c>
      <c r="M354" s="6">
        <f t="shared" si="121"/>
        <v>3000</v>
      </c>
      <c r="N354" s="6">
        <f t="shared" si="122"/>
        <v>3000</v>
      </c>
      <c r="O354" s="6">
        <f t="shared" si="114"/>
        <v>-990</v>
      </c>
      <c r="P354" s="6">
        <f t="shared" si="115"/>
        <v>-1104</v>
      </c>
      <c r="Q354" s="6">
        <f t="shared" si="116"/>
        <v>-779</v>
      </c>
      <c r="R354" s="8">
        <v>0</v>
      </c>
      <c r="S354" s="8">
        <v>0</v>
      </c>
      <c r="T354" s="8">
        <v>0</v>
      </c>
      <c r="U354" s="25">
        <f t="shared" si="117"/>
        <v>-770</v>
      </c>
      <c r="V354" s="25">
        <f t="shared" si="118"/>
        <v>-894</v>
      </c>
      <c r="W354" s="25">
        <f t="shared" si="119"/>
        <v>-639</v>
      </c>
      <c r="X354" s="15">
        <v>1.1060000000000001</v>
      </c>
      <c r="Y354" s="7"/>
      <c r="Z354" s="21">
        <f t="shared" si="104"/>
        <v>2.1</v>
      </c>
      <c r="AA354" s="6"/>
      <c r="AB354" s="6"/>
    </row>
    <row r="355" spans="1:28" ht="13.8">
      <c r="A355" s="13">
        <f t="shared" si="123"/>
        <v>344</v>
      </c>
      <c r="B355" s="185" t="s">
        <v>416</v>
      </c>
      <c r="C355" s="10">
        <f t="shared" si="112"/>
        <v>1069</v>
      </c>
      <c r="D355" s="9">
        <f t="shared" si="105"/>
        <v>1965</v>
      </c>
      <c r="E355" s="26">
        <f t="shared" si="113"/>
        <v>3034</v>
      </c>
      <c r="F355" s="8">
        <f t="shared" si="106"/>
        <v>1024</v>
      </c>
      <c r="G355" s="8">
        <f t="shared" si="107"/>
        <v>1138</v>
      </c>
      <c r="H355" s="8">
        <f t="shared" si="108"/>
        <v>813</v>
      </c>
      <c r="I355" s="6">
        <f t="shared" si="109"/>
        <v>2010</v>
      </c>
      <c r="J355" s="6">
        <f t="shared" si="110"/>
        <v>1896</v>
      </c>
      <c r="K355" s="6">
        <f t="shared" si="111"/>
        <v>2221</v>
      </c>
      <c r="L355" s="6">
        <f t="shared" si="120"/>
        <v>3000</v>
      </c>
      <c r="M355" s="6">
        <f t="shared" si="121"/>
        <v>3000</v>
      </c>
      <c r="N355" s="6">
        <f t="shared" si="122"/>
        <v>3000</v>
      </c>
      <c r="O355" s="6">
        <f t="shared" si="114"/>
        <v>-990</v>
      </c>
      <c r="P355" s="6">
        <f t="shared" si="115"/>
        <v>-1104</v>
      </c>
      <c r="Q355" s="6">
        <f t="shared" si="116"/>
        <v>-779</v>
      </c>
      <c r="R355" s="8">
        <v>0</v>
      </c>
      <c r="S355" s="8">
        <v>0</v>
      </c>
      <c r="T355" s="8">
        <v>0</v>
      </c>
      <c r="U355" s="25">
        <f t="shared" si="117"/>
        <v>-770</v>
      </c>
      <c r="V355" s="25">
        <f t="shared" si="118"/>
        <v>-894</v>
      </c>
      <c r="W355" s="25">
        <f t="shared" si="119"/>
        <v>-639</v>
      </c>
      <c r="X355" s="15">
        <v>1.1060000000000001</v>
      </c>
      <c r="Y355" s="7"/>
      <c r="Z355" s="21">
        <f t="shared" ref="Z355:Z418" si="124">Z354+Y355</f>
        <v>2.1</v>
      </c>
      <c r="AA355" s="6"/>
      <c r="AB355" s="6"/>
    </row>
    <row r="356" spans="1:28" ht="13.8">
      <c r="A356" s="13">
        <f t="shared" si="123"/>
        <v>345</v>
      </c>
      <c r="B356" s="185" t="s">
        <v>417</v>
      </c>
      <c r="C356" s="10">
        <f t="shared" si="112"/>
        <v>1069</v>
      </c>
      <c r="D356" s="9">
        <f t="shared" si="105"/>
        <v>1967</v>
      </c>
      <c r="E356" s="26">
        <f t="shared" si="113"/>
        <v>3036</v>
      </c>
      <c r="F356" s="8">
        <f t="shared" si="106"/>
        <v>1026</v>
      </c>
      <c r="G356" s="8">
        <f t="shared" si="107"/>
        <v>1140</v>
      </c>
      <c r="H356" s="8">
        <f t="shared" si="108"/>
        <v>815</v>
      </c>
      <c r="I356" s="6">
        <f t="shared" si="109"/>
        <v>2010</v>
      </c>
      <c r="J356" s="6">
        <f t="shared" si="110"/>
        <v>1896</v>
      </c>
      <c r="K356" s="6">
        <f t="shared" si="111"/>
        <v>2221</v>
      </c>
      <c r="L356" s="6">
        <f t="shared" si="120"/>
        <v>3000</v>
      </c>
      <c r="M356" s="6">
        <f t="shared" si="121"/>
        <v>3000</v>
      </c>
      <c r="N356" s="6">
        <f t="shared" si="122"/>
        <v>3000</v>
      </c>
      <c r="O356" s="6">
        <f t="shared" si="114"/>
        <v>-990</v>
      </c>
      <c r="P356" s="6">
        <f t="shared" si="115"/>
        <v>-1104</v>
      </c>
      <c r="Q356" s="6">
        <f t="shared" si="116"/>
        <v>-779</v>
      </c>
      <c r="R356" s="8">
        <v>0</v>
      </c>
      <c r="S356" s="8">
        <v>0</v>
      </c>
      <c r="T356" s="8">
        <v>0</v>
      </c>
      <c r="U356" s="25">
        <f t="shared" si="117"/>
        <v>-770</v>
      </c>
      <c r="V356" s="25">
        <f t="shared" si="118"/>
        <v>-894</v>
      </c>
      <c r="W356" s="25">
        <f t="shared" si="119"/>
        <v>-639</v>
      </c>
      <c r="X356" s="15">
        <v>1.1060000000000001</v>
      </c>
      <c r="Y356" s="7"/>
      <c r="Z356" s="21">
        <f t="shared" si="124"/>
        <v>2.1</v>
      </c>
      <c r="AA356" s="6"/>
      <c r="AB356" s="6"/>
    </row>
    <row r="357" spans="1:28" ht="13.8">
      <c r="A357" s="13">
        <f t="shared" si="123"/>
        <v>346</v>
      </c>
      <c r="B357" s="185" t="s">
        <v>418</v>
      </c>
      <c r="C357" s="10">
        <f t="shared" si="112"/>
        <v>1069</v>
      </c>
      <c r="D357" s="9">
        <f t="shared" si="105"/>
        <v>1969</v>
      </c>
      <c r="E357" s="26">
        <f t="shared" si="113"/>
        <v>3038</v>
      </c>
      <c r="F357" s="8">
        <f t="shared" si="106"/>
        <v>1028</v>
      </c>
      <c r="G357" s="8">
        <f t="shared" si="107"/>
        <v>1142</v>
      </c>
      <c r="H357" s="8">
        <f t="shared" si="108"/>
        <v>817</v>
      </c>
      <c r="I357" s="6">
        <f t="shared" si="109"/>
        <v>2010</v>
      </c>
      <c r="J357" s="6">
        <f t="shared" si="110"/>
        <v>1896</v>
      </c>
      <c r="K357" s="6">
        <f t="shared" si="111"/>
        <v>2221</v>
      </c>
      <c r="L357" s="6">
        <f t="shared" si="120"/>
        <v>3000</v>
      </c>
      <c r="M357" s="6">
        <f t="shared" si="121"/>
        <v>3000</v>
      </c>
      <c r="N357" s="6">
        <f t="shared" si="122"/>
        <v>3000</v>
      </c>
      <c r="O357" s="6">
        <f t="shared" si="114"/>
        <v>-990</v>
      </c>
      <c r="P357" s="6">
        <f t="shared" si="115"/>
        <v>-1104</v>
      </c>
      <c r="Q357" s="6">
        <f t="shared" si="116"/>
        <v>-779</v>
      </c>
      <c r="R357" s="8">
        <v>0</v>
      </c>
      <c r="S357" s="8">
        <v>0</v>
      </c>
      <c r="T357" s="8">
        <v>0</v>
      </c>
      <c r="U357" s="25">
        <f t="shared" si="117"/>
        <v>-770</v>
      </c>
      <c r="V357" s="25">
        <f t="shared" si="118"/>
        <v>-894</v>
      </c>
      <c r="W357" s="25">
        <f t="shared" si="119"/>
        <v>-639</v>
      </c>
      <c r="X357" s="15">
        <v>1.1060000000000001</v>
      </c>
      <c r="Y357" s="7"/>
      <c r="Z357" s="21">
        <f t="shared" si="124"/>
        <v>2.1</v>
      </c>
      <c r="AA357" s="6"/>
      <c r="AB357" s="6"/>
    </row>
    <row r="358" spans="1:28" ht="13.8">
      <c r="A358" s="13">
        <f t="shared" si="123"/>
        <v>347</v>
      </c>
      <c r="B358" s="185" t="s">
        <v>419</v>
      </c>
      <c r="C358" s="10">
        <f t="shared" si="112"/>
        <v>1069</v>
      </c>
      <c r="D358" s="9">
        <f t="shared" si="105"/>
        <v>1971</v>
      </c>
      <c r="E358" s="26">
        <f t="shared" si="113"/>
        <v>3040</v>
      </c>
      <c r="F358" s="8">
        <f t="shared" si="106"/>
        <v>1030</v>
      </c>
      <c r="G358" s="8">
        <f t="shared" si="107"/>
        <v>1144</v>
      </c>
      <c r="H358" s="8">
        <f t="shared" si="108"/>
        <v>819</v>
      </c>
      <c r="I358" s="6">
        <f t="shared" si="109"/>
        <v>2010</v>
      </c>
      <c r="J358" s="6">
        <f t="shared" si="110"/>
        <v>1896</v>
      </c>
      <c r="K358" s="6">
        <f t="shared" si="111"/>
        <v>2221</v>
      </c>
      <c r="L358" s="6">
        <f t="shared" si="120"/>
        <v>3000</v>
      </c>
      <c r="M358" s="6">
        <f t="shared" si="121"/>
        <v>3000</v>
      </c>
      <c r="N358" s="6">
        <f t="shared" si="122"/>
        <v>3000</v>
      </c>
      <c r="O358" s="6">
        <f t="shared" si="114"/>
        <v>-990</v>
      </c>
      <c r="P358" s="6">
        <f t="shared" si="115"/>
        <v>-1104</v>
      </c>
      <c r="Q358" s="6">
        <f t="shared" si="116"/>
        <v>-779</v>
      </c>
      <c r="R358" s="8">
        <v>0</v>
      </c>
      <c r="S358" s="8">
        <v>0</v>
      </c>
      <c r="T358" s="8">
        <v>0</v>
      </c>
      <c r="U358" s="25">
        <f t="shared" si="117"/>
        <v>-770</v>
      </c>
      <c r="V358" s="25">
        <f t="shared" si="118"/>
        <v>-894</v>
      </c>
      <c r="W358" s="25">
        <f t="shared" si="119"/>
        <v>-639</v>
      </c>
      <c r="X358" s="15">
        <v>1.1060000000000001</v>
      </c>
      <c r="Y358" s="7"/>
      <c r="Z358" s="21">
        <f t="shared" si="124"/>
        <v>2.1</v>
      </c>
      <c r="AA358" s="6"/>
      <c r="AB358" s="6"/>
    </row>
    <row r="359" spans="1:28" ht="13.8">
      <c r="A359" s="13">
        <f t="shared" si="123"/>
        <v>348</v>
      </c>
      <c r="B359" s="185" t="s">
        <v>420</v>
      </c>
      <c r="C359" s="10">
        <f t="shared" si="112"/>
        <v>1069</v>
      </c>
      <c r="D359" s="9">
        <f t="shared" si="105"/>
        <v>1973</v>
      </c>
      <c r="E359" s="26">
        <f t="shared" si="113"/>
        <v>3042</v>
      </c>
      <c r="F359" s="8">
        <f t="shared" si="106"/>
        <v>1032</v>
      </c>
      <c r="G359" s="8">
        <f t="shared" si="107"/>
        <v>1146</v>
      </c>
      <c r="H359" s="8">
        <f t="shared" si="108"/>
        <v>821</v>
      </c>
      <c r="I359" s="6">
        <f t="shared" si="109"/>
        <v>2010</v>
      </c>
      <c r="J359" s="6">
        <f t="shared" si="110"/>
        <v>1896</v>
      </c>
      <c r="K359" s="6">
        <f t="shared" si="111"/>
        <v>2221</v>
      </c>
      <c r="L359" s="6">
        <f t="shared" si="120"/>
        <v>3000</v>
      </c>
      <c r="M359" s="6">
        <f t="shared" si="121"/>
        <v>3000</v>
      </c>
      <c r="N359" s="6">
        <f t="shared" si="122"/>
        <v>3000</v>
      </c>
      <c r="O359" s="6">
        <f t="shared" si="114"/>
        <v>-990</v>
      </c>
      <c r="P359" s="6">
        <f t="shared" si="115"/>
        <v>-1104</v>
      </c>
      <c r="Q359" s="6">
        <f t="shared" si="116"/>
        <v>-779</v>
      </c>
      <c r="R359" s="8">
        <v>0</v>
      </c>
      <c r="S359" s="8">
        <v>0</v>
      </c>
      <c r="T359" s="8">
        <v>0</v>
      </c>
      <c r="U359" s="25">
        <f t="shared" si="117"/>
        <v>-770</v>
      </c>
      <c r="V359" s="25">
        <f t="shared" si="118"/>
        <v>-894</v>
      </c>
      <c r="W359" s="25">
        <f t="shared" si="119"/>
        <v>-639</v>
      </c>
      <c r="X359" s="15">
        <v>1.1060000000000001</v>
      </c>
      <c r="Y359" s="7"/>
      <c r="Z359" s="21">
        <f t="shared" si="124"/>
        <v>2.1</v>
      </c>
      <c r="AA359" s="6"/>
      <c r="AB359" s="6"/>
    </row>
    <row r="360" spans="1:28" ht="13.8">
      <c r="A360" s="13">
        <f t="shared" si="123"/>
        <v>349</v>
      </c>
      <c r="B360" s="185" t="s">
        <v>421</v>
      </c>
      <c r="C360" s="10">
        <f t="shared" si="112"/>
        <v>1069</v>
      </c>
      <c r="D360" s="9">
        <f t="shared" si="105"/>
        <v>1975</v>
      </c>
      <c r="E360" s="26">
        <f t="shared" si="113"/>
        <v>3044</v>
      </c>
      <c r="F360" s="8">
        <f t="shared" si="106"/>
        <v>1034</v>
      </c>
      <c r="G360" s="8">
        <f t="shared" si="107"/>
        <v>1148</v>
      </c>
      <c r="H360" s="8">
        <f t="shared" si="108"/>
        <v>823</v>
      </c>
      <c r="I360" s="6">
        <f t="shared" si="109"/>
        <v>2010</v>
      </c>
      <c r="J360" s="6">
        <f t="shared" si="110"/>
        <v>1896</v>
      </c>
      <c r="K360" s="6">
        <f t="shared" si="111"/>
        <v>2221</v>
      </c>
      <c r="L360" s="6">
        <f t="shared" si="120"/>
        <v>3000</v>
      </c>
      <c r="M360" s="6">
        <f t="shared" si="121"/>
        <v>3000</v>
      </c>
      <c r="N360" s="6">
        <f t="shared" si="122"/>
        <v>3000</v>
      </c>
      <c r="O360" s="6">
        <f t="shared" si="114"/>
        <v>-990</v>
      </c>
      <c r="P360" s="6">
        <f t="shared" si="115"/>
        <v>-1104</v>
      </c>
      <c r="Q360" s="6">
        <f t="shared" si="116"/>
        <v>-779</v>
      </c>
      <c r="R360" s="8">
        <v>0</v>
      </c>
      <c r="S360" s="8">
        <v>0</v>
      </c>
      <c r="T360" s="8">
        <v>0</v>
      </c>
      <c r="U360" s="25">
        <f t="shared" si="117"/>
        <v>-770</v>
      </c>
      <c r="V360" s="25">
        <f t="shared" si="118"/>
        <v>-894</v>
      </c>
      <c r="W360" s="25">
        <f t="shared" si="119"/>
        <v>-639</v>
      </c>
      <c r="X360" s="15">
        <v>1.1060000000000001</v>
      </c>
      <c r="Y360" s="7"/>
      <c r="Z360" s="21">
        <f t="shared" si="124"/>
        <v>2.1</v>
      </c>
      <c r="AA360" s="6"/>
      <c r="AB360" s="6"/>
    </row>
    <row r="361" spans="1:28" ht="13.8">
      <c r="A361" s="13">
        <f t="shared" si="123"/>
        <v>350</v>
      </c>
      <c r="B361" s="185" t="s">
        <v>422</v>
      </c>
      <c r="C361" s="10">
        <f t="shared" si="112"/>
        <v>1069</v>
      </c>
      <c r="D361" s="9">
        <f t="shared" si="105"/>
        <v>1977</v>
      </c>
      <c r="E361" s="26">
        <f t="shared" si="113"/>
        <v>3046</v>
      </c>
      <c r="F361" s="8">
        <f t="shared" si="106"/>
        <v>1036</v>
      </c>
      <c r="G361" s="8">
        <f t="shared" si="107"/>
        <v>1150</v>
      </c>
      <c r="H361" s="8">
        <f t="shared" si="108"/>
        <v>825</v>
      </c>
      <c r="I361" s="6">
        <f t="shared" si="109"/>
        <v>2010</v>
      </c>
      <c r="J361" s="6">
        <f t="shared" si="110"/>
        <v>1896</v>
      </c>
      <c r="K361" s="6">
        <f t="shared" si="111"/>
        <v>2221</v>
      </c>
      <c r="L361" s="6">
        <f t="shared" si="120"/>
        <v>3000</v>
      </c>
      <c r="M361" s="6">
        <f t="shared" si="121"/>
        <v>3000</v>
      </c>
      <c r="N361" s="6">
        <f t="shared" si="122"/>
        <v>3000</v>
      </c>
      <c r="O361" s="6">
        <f t="shared" si="114"/>
        <v>-990</v>
      </c>
      <c r="P361" s="6">
        <f t="shared" si="115"/>
        <v>-1104</v>
      </c>
      <c r="Q361" s="6">
        <f t="shared" si="116"/>
        <v>-779</v>
      </c>
      <c r="R361" s="8">
        <v>0</v>
      </c>
      <c r="S361" s="8">
        <v>0</v>
      </c>
      <c r="T361" s="8">
        <v>0</v>
      </c>
      <c r="U361" s="25">
        <f t="shared" si="117"/>
        <v>-770</v>
      </c>
      <c r="V361" s="25">
        <f t="shared" si="118"/>
        <v>-894</v>
      </c>
      <c r="W361" s="25">
        <f t="shared" si="119"/>
        <v>-639</v>
      </c>
      <c r="X361" s="15">
        <v>1.1060000000000001</v>
      </c>
      <c r="Y361" s="7"/>
      <c r="Z361" s="21">
        <f t="shared" si="124"/>
        <v>2.1</v>
      </c>
      <c r="AA361" s="6"/>
      <c r="AB361" s="6"/>
    </row>
    <row r="362" spans="1:28" ht="13.8">
      <c r="A362" s="13">
        <f t="shared" si="123"/>
        <v>351</v>
      </c>
      <c r="B362" s="185" t="s">
        <v>423</v>
      </c>
      <c r="C362" s="10">
        <f t="shared" si="112"/>
        <v>1069</v>
      </c>
      <c r="D362" s="9">
        <f t="shared" si="105"/>
        <v>1979</v>
      </c>
      <c r="E362" s="26">
        <f t="shared" si="113"/>
        <v>3048</v>
      </c>
      <c r="F362" s="8">
        <f t="shared" si="106"/>
        <v>1038</v>
      </c>
      <c r="G362" s="8">
        <f t="shared" si="107"/>
        <v>1152</v>
      </c>
      <c r="H362" s="8">
        <f t="shared" si="108"/>
        <v>827</v>
      </c>
      <c r="I362" s="6">
        <f t="shared" si="109"/>
        <v>2010</v>
      </c>
      <c r="J362" s="6">
        <f t="shared" si="110"/>
        <v>1896</v>
      </c>
      <c r="K362" s="6">
        <f t="shared" si="111"/>
        <v>2221</v>
      </c>
      <c r="L362" s="6">
        <f t="shared" si="120"/>
        <v>3000</v>
      </c>
      <c r="M362" s="6">
        <f t="shared" si="121"/>
        <v>3000</v>
      </c>
      <c r="N362" s="6">
        <f t="shared" si="122"/>
        <v>3000</v>
      </c>
      <c r="O362" s="6">
        <f t="shared" si="114"/>
        <v>-990</v>
      </c>
      <c r="P362" s="6">
        <f t="shared" si="115"/>
        <v>-1104</v>
      </c>
      <c r="Q362" s="6">
        <f t="shared" si="116"/>
        <v>-779</v>
      </c>
      <c r="R362" s="8">
        <v>0</v>
      </c>
      <c r="S362" s="8">
        <v>0</v>
      </c>
      <c r="T362" s="8">
        <v>0</v>
      </c>
      <c r="U362" s="25">
        <f t="shared" si="117"/>
        <v>-770</v>
      </c>
      <c r="V362" s="25">
        <f t="shared" si="118"/>
        <v>-894</v>
      </c>
      <c r="W362" s="25">
        <f t="shared" si="119"/>
        <v>-639</v>
      </c>
      <c r="X362" s="15">
        <v>1.1060000000000001</v>
      </c>
      <c r="Y362" s="7"/>
      <c r="Z362" s="21">
        <f t="shared" si="124"/>
        <v>2.1</v>
      </c>
      <c r="AA362" s="6"/>
      <c r="AB362" s="6"/>
    </row>
    <row r="363" spans="1:28" ht="13.8">
      <c r="A363" s="13">
        <f t="shared" si="123"/>
        <v>352</v>
      </c>
      <c r="B363" s="185" t="s">
        <v>424</v>
      </c>
      <c r="C363" s="10">
        <f t="shared" si="112"/>
        <v>1069</v>
      </c>
      <c r="D363" s="9">
        <f t="shared" si="105"/>
        <v>1981</v>
      </c>
      <c r="E363" s="26">
        <f t="shared" si="113"/>
        <v>3050</v>
      </c>
      <c r="F363" s="8">
        <f t="shared" si="106"/>
        <v>1040</v>
      </c>
      <c r="G363" s="8">
        <f t="shared" si="107"/>
        <v>1154</v>
      </c>
      <c r="H363" s="8">
        <f t="shared" si="108"/>
        <v>829</v>
      </c>
      <c r="I363" s="6">
        <f t="shared" si="109"/>
        <v>2010</v>
      </c>
      <c r="J363" s="6">
        <f t="shared" si="110"/>
        <v>1896</v>
      </c>
      <c r="K363" s="6">
        <f t="shared" si="111"/>
        <v>2221</v>
      </c>
      <c r="L363" s="6">
        <f t="shared" si="120"/>
        <v>3000</v>
      </c>
      <c r="M363" s="6">
        <f t="shared" si="121"/>
        <v>3000</v>
      </c>
      <c r="N363" s="6">
        <f t="shared" si="122"/>
        <v>3000</v>
      </c>
      <c r="O363" s="6">
        <f t="shared" si="114"/>
        <v>-990</v>
      </c>
      <c r="P363" s="6">
        <f t="shared" si="115"/>
        <v>-1104</v>
      </c>
      <c r="Q363" s="6">
        <f t="shared" si="116"/>
        <v>-779</v>
      </c>
      <c r="R363" s="8">
        <v>0</v>
      </c>
      <c r="S363" s="8">
        <v>0</v>
      </c>
      <c r="T363" s="8">
        <v>0</v>
      </c>
      <c r="U363" s="25">
        <f t="shared" si="117"/>
        <v>-770</v>
      </c>
      <c r="V363" s="25">
        <f t="shared" si="118"/>
        <v>-894</v>
      </c>
      <c r="W363" s="25">
        <f t="shared" si="119"/>
        <v>-639</v>
      </c>
      <c r="X363" s="15">
        <v>1.1060000000000001</v>
      </c>
      <c r="Y363" s="7"/>
      <c r="Z363" s="21">
        <f t="shared" si="124"/>
        <v>2.1</v>
      </c>
      <c r="AA363" s="6"/>
      <c r="AB363" s="6"/>
    </row>
    <row r="364" spans="1:28" ht="13.8">
      <c r="A364" s="13">
        <f t="shared" si="123"/>
        <v>353</v>
      </c>
      <c r="B364" s="185" t="s">
        <v>425</v>
      </c>
      <c r="C364" s="10">
        <f t="shared" si="112"/>
        <v>1069</v>
      </c>
      <c r="D364" s="9">
        <f t="shared" si="105"/>
        <v>1983</v>
      </c>
      <c r="E364" s="26">
        <f t="shared" si="113"/>
        <v>3052</v>
      </c>
      <c r="F364" s="8">
        <f t="shared" si="106"/>
        <v>1042</v>
      </c>
      <c r="G364" s="8">
        <f t="shared" si="107"/>
        <v>1156</v>
      </c>
      <c r="H364" s="8">
        <f t="shared" si="108"/>
        <v>831</v>
      </c>
      <c r="I364" s="6">
        <f t="shared" si="109"/>
        <v>2010</v>
      </c>
      <c r="J364" s="6">
        <f t="shared" si="110"/>
        <v>1896</v>
      </c>
      <c r="K364" s="6">
        <f t="shared" si="111"/>
        <v>2221</v>
      </c>
      <c r="L364" s="6">
        <f t="shared" si="120"/>
        <v>3000</v>
      </c>
      <c r="M364" s="6">
        <f t="shared" si="121"/>
        <v>3000</v>
      </c>
      <c r="N364" s="6">
        <f t="shared" si="122"/>
        <v>3000</v>
      </c>
      <c r="O364" s="6">
        <f t="shared" si="114"/>
        <v>-990</v>
      </c>
      <c r="P364" s="6">
        <f t="shared" si="115"/>
        <v>-1104</v>
      </c>
      <c r="Q364" s="6">
        <f t="shared" si="116"/>
        <v>-779</v>
      </c>
      <c r="R364" s="8">
        <v>0</v>
      </c>
      <c r="S364" s="8">
        <v>0</v>
      </c>
      <c r="T364" s="8">
        <v>0</v>
      </c>
      <c r="U364" s="25">
        <f t="shared" si="117"/>
        <v>-770</v>
      </c>
      <c r="V364" s="25">
        <f t="shared" si="118"/>
        <v>-894</v>
      </c>
      <c r="W364" s="25">
        <f t="shared" si="119"/>
        <v>-639</v>
      </c>
      <c r="X364" s="15">
        <v>1.1060000000000001</v>
      </c>
      <c r="Y364" s="7"/>
      <c r="Z364" s="21">
        <f t="shared" si="124"/>
        <v>2.1</v>
      </c>
      <c r="AA364" s="6"/>
      <c r="AB364" s="6"/>
    </row>
    <row r="365" spans="1:28" ht="13.8">
      <c r="A365" s="13">
        <f t="shared" si="123"/>
        <v>354</v>
      </c>
      <c r="B365" s="185" t="s">
        <v>426</v>
      </c>
      <c r="C365" s="10">
        <f t="shared" si="112"/>
        <v>1069</v>
      </c>
      <c r="D365" s="9">
        <f t="shared" si="105"/>
        <v>1985</v>
      </c>
      <c r="E365" s="26">
        <f t="shared" si="113"/>
        <v>3054</v>
      </c>
      <c r="F365" s="8">
        <f t="shared" si="106"/>
        <v>1044</v>
      </c>
      <c r="G365" s="8">
        <f t="shared" si="107"/>
        <v>1158</v>
      </c>
      <c r="H365" s="8">
        <f t="shared" si="108"/>
        <v>833</v>
      </c>
      <c r="I365" s="6">
        <f t="shared" si="109"/>
        <v>2010</v>
      </c>
      <c r="J365" s="6">
        <f t="shared" si="110"/>
        <v>1896</v>
      </c>
      <c r="K365" s="6">
        <f t="shared" si="111"/>
        <v>2221</v>
      </c>
      <c r="L365" s="6">
        <f t="shared" si="120"/>
        <v>3000</v>
      </c>
      <c r="M365" s="6">
        <f t="shared" si="121"/>
        <v>3000</v>
      </c>
      <c r="N365" s="6">
        <f t="shared" si="122"/>
        <v>3000</v>
      </c>
      <c r="O365" s="6">
        <f t="shared" si="114"/>
        <v>-990</v>
      </c>
      <c r="P365" s="6">
        <f t="shared" si="115"/>
        <v>-1104</v>
      </c>
      <c r="Q365" s="6">
        <f t="shared" si="116"/>
        <v>-779</v>
      </c>
      <c r="R365" s="8">
        <v>0</v>
      </c>
      <c r="S365" s="8">
        <v>0</v>
      </c>
      <c r="T365" s="8">
        <v>0</v>
      </c>
      <c r="U365" s="25">
        <f t="shared" si="117"/>
        <v>-770</v>
      </c>
      <c r="V365" s="25">
        <f t="shared" si="118"/>
        <v>-894</v>
      </c>
      <c r="W365" s="25">
        <f t="shared" si="119"/>
        <v>-639</v>
      </c>
      <c r="X365" s="15">
        <v>1.1060000000000001</v>
      </c>
      <c r="Y365" s="7"/>
      <c r="Z365" s="21">
        <f t="shared" si="124"/>
        <v>2.1</v>
      </c>
      <c r="AA365" s="6"/>
      <c r="AB365" s="6"/>
    </row>
    <row r="366" spans="1:28" ht="13.8">
      <c r="A366" s="13">
        <f t="shared" si="123"/>
        <v>355</v>
      </c>
      <c r="B366" s="185" t="s">
        <v>427</v>
      </c>
      <c r="C366" s="10">
        <f t="shared" si="112"/>
        <v>1069</v>
      </c>
      <c r="D366" s="9">
        <f t="shared" si="105"/>
        <v>1987</v>
      </c>
      <c r="E366" s="26">
        <f t="shared" si="113"/>
        <v>3056</v>
      </c>
      <c r="F366" s="8">
        <f t="shared" si="106"/>
        <v>1046</v>
      </c>
      <c r="G366" s="8">
        <f t="shared" si="107"/>
        <v>1160</v>
      </c>
      <c r="H366" s="8">
        <f t="shared" si="108"/>
        <v>835</v>
      </c>
      <c r="I366" s="6">
        <f t="shared" si="109"/>
        <v>2010</v>
      </c>
      <c r="J366" s="6">
        <f t="shared" si="110"/>
        <v>1896</v>
      </c>
      <c r="K366" s="6">
        <f t="shared" si="111"/>
        <v>2221</v>
      </c>
      <c r="L366" s="6">
        <f t="shared" si="120"/>
        <v>3000</v>
      </c>
      <c r="M366" s="6">
        <f t="shared" si="121"/>
        <v>3000</v>
      </c>
      <c r="N366" s="6">
        <f t="shared" si="122"/>
        <v>3000</v>
      </c>
      <c r="O366" s="6">
        <f t="shared" si="114"/>
        <v>-990</v>
      </c>
      <c r="P366" s="6">
        <f t="shared" si="115"/>
        <v>-1104</v>
      </c>
      <c r="Q366" s="6">
        <f t="shared" si="116"/>
        <v>-779</v>
      </c>
      <c r="R366" s="8">
        <v>0</v>
      </c>
      <c r="S366" s="8">
        <v>0</v>
      </c>
      <c r="T366" s="8">
        <v>0</v>
      </c>
      <c r="U366" s="25">
        <f t="shared" si="117"/>
        <v>-770</v>
      </c>
      <c r="V366" s="25">
        <f t="shared" si="118"/>
        <v>-894</v>
      </c>
      <c r="W366" s="25">
        <f t="shared" si="119"/>
        <v>-639</v>
      </c>
      <c r="X366" s="15">
        <v>1.1060000000000001</v>
      </c>
      <c r="Y366" s="7"/>
      <c r="Z366" s="21">
        <f t="shared" si="124"/>
        <v>2.1</v>
      </c>
      <c r="AA366" s="6"/>
      <c r="AB366" s="6"/>
    </row>
    <row r="367" spans="1:28" ht="13.8">
      <c r="A367" s="13">
        <f t="shared" si="123"/>
        <v>356</v>
      </c>
      <c r="B367" s="185" t="s">
        <v>428</v>
      </c>
      <c r="C367" s="10">
        <f t="shared" si="112"/>
        <v>1069</v>
      </c>
      <c r="D367" s="9">
        <f t="shared" si="105"/>
        <v>1989</v>
      </c>
      <c r="E367" s="26">
        <f t="shared" si="113"/>
        <v>3058</v>
      </c>
      <c r="F367" s="8">
        <f t="shared" si="106"/>
        <v>1048</v>
      </c>
      <c r="G367" s="8">
        <f t="shared" si="107"/>
        <v>1162</v>
      </c>
      <c r="H367" s="8">
        <f t="shared" si="108"/>
        <v>837</v>
      </c>
      <c r="I367" s="6">
        <f t="shared" si="109"/>
        <v>2010</v>
      </c>
      <c r="J367" s="6">
        <f t="shared" si="110"/>
        <v>1896</v>
      </c>
      <c r="K367" s="6">
        <f t="shared" si="111"/>
        <v>2221</v>
      </c>
      <c r="L367" s="6">
        <f t="shared" si="120"/>
        <v>3000</v>
      </c>
      <c r="M367" s="6">
        <f t="shared" si="121"/>
        <v>3000</v>
      </c>
      <c r="N367" s="6">
        <f t="shared" si="122"/>
        <v>3000</v>
      </c>
      <c r="O367" s="6">
        <f t="shared" si="114"/>
        <v>-990</v>
      </c>
      <c r="P367" s="6">
        <f t="shared" si="115"/>
        <v>-1104</v>
      </c>
      <c r="Q367" s="6">
        <f t="shared" si="116"/>
        <v>-779</v>
      </c>
      <c r="R367" s="8">
        <v>0</v>
      </c>
      <c r="S367" s="8">
        <v>0</v>
      </c>
      <c r="T367" s="8">
        <v>0</v>
      </c>
      <c r="U367" s="25">
        <f t="shared" si="117"/>
        <v>-770</v>
      </c>
      <c r="V367" s="25">
        <f t="shared" si="118"/>
        <v>-894</v>
      </c>
      <c r="W367" s="25">
        <f t="shared" si="119"/>
        <v>-639</v>
      </c>
      <c r="X367" s="15">
        <v>1.1060000000000001</v>
      </c>
      <c r="Y367" s="7"/>
      <c r="Z367" s="21">
        <f t="shared" si="124"/>
        <v>2.1</v>
      </c>
      <c r="AA367" s="6"/>
      <c r="AB367" s="6"/>
    </row>
    <row r="368" spans="1:28" ht="13.8">
      <c r="A368" s="13">
        <f t="shared" si="123"/>
        <v>357</v>
      </c>
      <c r="B368" s="185" t="s">
        <v>429</v>
      </c>
      <c r="C368" s="10">
        <f t="shared" si="112"/>
        <v>1069</v>
      </c>
      <c r="D368" s="9">
        <f t="shared" si="105"/>
        <v>1991</v>
      </c>
      <c r="E368" s="26">
        <f t="shared" si="113"/>
        <v>3060</v>
      </c>
      <c r="F368" s="8">
        <f t="shared" si="106"/>
        <v>1050</v>
      </c>
      <c r="G368" s="8">
        <f t="shared" si="107"/>
        <v>1164</v>
      </c>
      <c r="H368" s="8">
        <f t="shared" si="108"/>
        <v>839</v>
      </c>
      <c r="I368" s="6">
        <f t="shared" si="109"/>
        <v>2010</v>
      </c>
      <c r="J368" s="6">
        <f t="shared" si="110"/>
        <v>1896</v>
      </c>
      <c r="K368" s="6">
        <f t="shared" si="111"/>
        <v>2221</v>
      </c>
      <c r="L368" s="6">
        <f t="shared" si="120"/>
        <v>3000</v>
      </c>
      <c r="M368" s="6">
        <f t="shared" si="121"/>
        <v>3000</v>
      </c>
      <c r="N368" s="6">
        <f t="shared" si="122"/>
        <v>3000</v>
      </c>
      <c r="O368" s="6">
        <f t="shared" si="114"/>
        <v>-990</v>
      </c>
      <c r="P368" s="6">
        <f t="shared" si="115"/>
        <v>-1104</v>
      </c>
      <c r="Q368" s="6">
        <f t="shared" si="116"/>
        <v>-779</v>
      </c>
      <c r="R368" s="8">
        <v>0</v>
      </c>
      <c r="S368" s="8">
        <v>0</v>
      </c>
      <c r="T368" s="8">
        <v>0</v>
      </c>
      <c r="U368" s="25">
        <f t="shared" si="117"/>
        <v>-770</v>
      </c>
      <c r="V368" s="25">
        <f t="shared" si="118"/>
        <v>-894</v>
      </c>
      <c r="W368" s="25">
        <f t="shared" si="119"/>
        <v>-639</v>
      </c>
      <c r="X368" s="15">
        <v>1.1060000000000001</v>
      </c>
      <c r="Y368" s="7"/>
      <c r="Z368" s="21">
        <f t="shared" si="124"/>
        <v>2.1</v>
      </c>
      <c r="AA368" s="6"/>
      <c r="AB368" s="6"/>
    </row>
    <row r="369" spans="1:28" ht="13.8">
      <c r="A369" s="13">
        <f t="shared" si="123"/>
        <v>358</v>
      </c>
      <c r="B369" s="185" t="s">
        <v>430</v>
      </c>
      <c r="C369" s="10">
        <f t="shared" si="112"/>
        <v>1069</v>
      </c>
      <c r="D369" s="9">
        <f t="shared" si="105"/>
        <v>1993</v>
      </c>
      <c r="E369" s="26">
        <f t="shared" si="113"/>
        <v>3062</v>
      </c>
      <c r="F369" s="8">
        <f t="shared" si="106"/>
        <v>1052</v>
      </c>
      <c r="G369" s="8">
        <f t="shared" si="107"/>
        <v>1166</v>
      </c>
      <c r="H369" s="8">
        <f t="shared" si="108"/>
        <v>841</v>
      </c>
      <c r="I369" s="6">
        <f t="shared" si="109"/>
        <v>2010</v>
      </c>
      <c r="J369" s="6">
        <f t="shared" si="110"/>
        <v>1896</v>
      </c>
      <c r="K369" s="6">
        <f t="shared" si="111"/>
        <v>2221</v>
      </c>
      <c r="L369" s="6">
        <f t="shared" si="120"/>
        <v>3000</v>
      </c>
      <c r="M369" s="6">
        <f t="shared" si="121"/>
        <v>3000</v>
      </c>
      <c r="N369" s="6">
        <f t="shared" si="122"/>
        <v>3000</v>
      </c>
      <c r="O369" s="6">
        <f t="shared" si="114"/>
        <v>-990</v>
      </c>
      <c r="P369" s="6">
        <f t="shared" si="115"/>
        <v>-1104</v>
      </c>
      <c r="Q369" s="6">
        <f t="shared" si="116"/>
        <v>-779</v>
      </c>
      <c r="R369" s="8">
        <v>0</v>
      </c>
      <c r="S369" s="8">
        <v>0</v>
      </c>
      <c r="T369" s="8">
        <v>0</v>
      </c>
      <c r="U369" s="25">
        <f t="shared" si="117"/>
        <v>-770</v>
      </c>
      <c r="V369" s="25">
        <f t="shared" si="118"/>
        <v>-894</v>
      </c>
      <c r="W369" s="25">
        <f t="shared" si="119"/>
        <v>-639</v>
      </c>
      <c r="X369" s="15">
        <v>1.1060000000000001</v>
      </c>
      <c r="Y369" s="7"/>
      <c r="Z369" s="21">
        <f t="shared" si="124"/>
        <v>2.1</v>
      </c>
      <c r="AA369" s="6"/>
      <c r="AB369" s="6"/>
    </row>
    <row r="370" spans="1:28" ht="13.8">
      <c r="A370" s="13">
        <f t="shared" si="123"/>
        <v>359</v>
      </c>
      <c r="B370" s="185" t="s">
        <v>431</v>
      </c>
      <c r="C370" s="10">
        <f t="shared" si="112"/>
        <v>1069</v>
      </c>
      <c r="D370" s="9">
        <f t="shared" si="105"/>
        <v>1995</v>
      </c>
      <c r="E370" s="26">
        <f t="shared" si="113"/>
        <v>3064</v>
      </c>
      <c r="F370" s="8">
        <f t="shared" si="106"/>
        <v>1054</v>
      </c>
      <c r="G370" s="8">
        <f t="shared" si="107"/>
        <v>1168</v>
      </c>
      <c r="H370" s="8">
        <f t="shared" si="108"/>
        <v>843</v>
      </c>
      <c r="I370" s="6">
        <f t="shared" si="109"/>
        <v>2010</v>
      </c>
      <c r="J370" s="6">
        <f t="shared" si="110"/>
        <v>1896</v>
      </c>
      <c r="K370" s="6">
        <f t="shared" si="111"/>
        <v>2221</v>
      </c>
      <c r="L370" s="6">
        <f t="shared" si="120"/>
        <v>3000</v>
      </c>
      <c r="M370" s="6">
        <f t="shared" si="121"/>
        <v>3000</v>
      </c>
      <c r="N370" s="6">
        <f t="shared" si="122"/>
        <v>3000</v>
      </c>
      <c r="O370" s="6">
        <f t="shared" si="114"/>
        <v>-990</v>
      </c>
      <c r="P370" s="6">
        <f t="shared" si="115"/>
        <v>-1104</v>
      </c>
      <c r="Q370" s="6">
        <f t="shared" si="116"/>
        <v>-779</v>
      </c>
      <c r="R370" s="8">
        <v>0</v>
      </c>
      <c r="S370" s="8">
        <v>0</v>
      </c>
      <c r="T370" s="8">
        <v>0</v>
      </c>
      <c r="U370" s="25">
        <f t="shared" si="117"/>
        <v>-770</v>
      </c>
      <c r="V370" s="25">
        <f t="shared" si="118"/>
        <v>-894</v>
      </c>
      <c r="W370" s="25">
        <f t="shared" si="119"/>
        <v>-639</v>
      </c>
      <c r="X370" s="15">
        <v>1.1060000000000001</v>
      </c>
      <c r="Y370" s="7"/>
      <c r="Z370" s="21">
        <f t="shared" si="124"/>
        <v>2.1</v>
      </c>
      <c r="AA370" s="6"/>
      <c r="AB370" s="6"/>
    </row>
    <row r="371" spans="1:28" ht="13.8">
      <c r="A371" s="13">
        <f t="shared" si="123"/>
        <v>360</v>
      </c>
      <c r="B371" s="185" t="s">
        <v>432</v>
      </c>
      <c r="C371" s="10">
        <f t="shared" si="112"/>
        <v>1069</v>
      </c>
      <c r="D371" s="9">
        <f t="shared" si="105"/>
        <v>1997</v>
      </c>
      <c r="E371" s="26">
        <f t="shared" si="113"/>
        <v>3066</v>
      </c>
      <c r="F371" s="8">
        <f t="shared" si="106"/>
        <v>1056</v>
      </c>
      <c r="G371" s="8">
        <f t="shared" si="107"/>
        <v>1170</v>
      </c>
      <c r="H371" s="8">
        <f t="shared" si="108"/>
        <v>845</v>
      </c>
      <c r="I371" s="6">
        <f t="shared" si="109"/>
        <v>2010</v>
      </c>
      <c r="J371" s="6">
        <f t="shared" si="110"/>
        <v>1896</v>
      </c>
      <c r="K371" s="6">
        <f t="shared" si="111"/>
        <v>2221</v>
      </c>
      <c r="L371" s="6">
        <f t="shared" si="120"/>
        <v>3000</v>
      </c>
      <c r="M371" s="6">
        <f t="shared" si="121"/>
        <v>3000</v>
      </c>
      <c r="N371" s="6">
        <f t="shared" si="122"/>
        <v>3000</v>
      </c>
      <c r="O371" s="6">
        <f t="shared" si="114"/>
        <v>-990</v>
      </c>
      <c r="P371" s="6">
        <f t="shared" si="115"/>
        <v>-1104</v>
      </c>
      <c r="Q371" s="6">
        <f t="shared" si="116"/>
        <v>-779</v>
      </c>
      <c r="R371" s="8">
        <v>0</v>
      </c>
      <c r="S371" s="8">
        <v>0</v>
      </c>
      <c r="T371" s="8">
        <v>0</v>
      </c>
      <c r="U371" s="25">
        <f t="shared" si="117"/>
        <v>-770</v>
      </c>
      <c r="V371" s="25">
        <f t="shared" si="118"/>
        <v>-894</v>
      </c>
      <c r="W371" s="25">
        <f t="shared" si="119"/>
        <v>-639</v>
      </c>
      <c r="X371" s="15">
        <v>1.1060000000000001</v>
      </c>
      <c r="Y371" s="7"/>
      <c r="Z371" s="21">
        <f t="shared" si="124"/>
        <v>2.1</v>
      </c>
      <c r="AA371" s="6"/>
      <c r="AB371" s="6"/>
    </row>
    <row r="372" spans="1:28" ht="13.8">
      <c r="A372" s="13">
        <f t="shared" si="123"/>
        <v>361</v>
      </c>
      <c r="B372" s="185" t="s">
        <v>433</v>
      </c>
      <c r="C372" s="10">
        <f t="shared" si="112"/>
        <v>1069</v>
      </c>
      <c r="D372" s="9">
        <f t="shared" si="105"/>
        <v>1999</v>
      </c>
      <c r="E372" s="26">
        <f t="shared" si="113"/>
        <v>3068</v>
      </c>
      <c r="F372" s="8">
        <f t="shared" si="106"/>
        <v>1058</v>
      </c>
      <c r="G372" s="8">
        <f t="shared" si="107"/>
        <v>1172</v>
      </c>
      <c r="H372" s="8">
        <f t="shared" si="108"/>
        <v>847</v>
      </c>
      <c r="I372" s="6">
        <f t="shared" si="109"/>
        <v>2010</v>
      </c>
      <c r="J372" s="6">
        <f t="shared" si="110"/>
        <v>1896</v>
      </c>
      <c r="K372" s="6">
        <f t="shared" si="111"/>
        <v>2221</v>
      </c>
      <c r="L372" s="6">
        <f t="shared" si="120"/>
        <v>3000</v>
      </c>
      <c r="M372" s="6">
        <f t="shared" si="121"/>
        <v>3000</v>
      </c>
      <c r="N372" s="6">
        <f t="shared" si="122"/>
        <v>3000</v>
      </c>
      <c r="O372" s="6">
        <f t="shared" si="114"/>
        <v>-990</v>
      </c>
      <c r="P372" s="6">
        <f t="shared" si="115"/>
        <v>-1104</v>
      </c>
      <c r="Q372" s="6">
        <f t="shared" si="116"/>
        <v>-779</v>
      </c>
      <c r="R372" s="8">
        <v>0</v>
      </c>
      <c r="S372" s="8">
        <v>0</v>
      </c>
      <c r="T372" s="8">
        <v>0</v>
      </c>
      <c r="U372" s="25">
        <f t="shared" si="117"/>
        <v>-770</v>
      </c>
      <c r="V372" s="25">
        <f t="shared" si="118"/>
        <v>-894</v>
      </c>
      <c r="W372" s="25">
        <f t="shared" si="119"/>
        <v>-639</v>
      </c>
      <c r="X372" s="15">
        <v>1.1060000000000001</v>
      </c>
      <c r="Y372" s="7"/>
      <c r="Z372" s="21">
        <f t="shared" si="124"/>
        <v>2.1</v>
      </c>
      <c r="AA372" s="6"/>
      <c r="AB372" s="6"/>
    </row>
    <row r="373" spans="1:28" ht="13.8">
      <c r="A373" s="13">
        <f t="shared" si="123"/>
        <v>362</v>
      </c>
      <c r="B373" s="185" t="s">
        <v>434</v>
      </c>
      <c r="C373" s="10">
        <f t="shared" si="112"/>
        <v>1069</v>
      </c>
      <c r="D373" s="9">
        <f t="shared" si="105"/>
        <v>2001</v>
      </c>
      <c r="E373" s="26">
        <f t="shared" si="113"/>
        <v>3070</v>
      </c>
      <c r="F373" s="8">
        <f t="shared" si="106"/>
        <v>1060</v>
      </c>
      <c r="G373" s="8">
        <f t="shared" si="107"/>
        <v>1174</v>
      </c>
      <c r="H373" s="8">
        <f t="shared" si="108"/>
        <v>849</v>
      </c>
      <c r="I373" s="6">
        <f t="shared" si="109"/>
        <v>2010</v>
      </c>
      <c r="J373" s="6">
        <f t="shared" si="110"/>
        <v>1896</v>
      </c>
      <c r="K373" s="6">
        <f t="shared" si="111"/>
        <v>2221</v>
      </c>
      <c r="L373" s="6">
        <f t="shared" si="120"/>
        <v>3000</v>
      </c>
      <c r="M373" s="6">
        <f t="shared" si="121"/>
        <v>3000</v>
      </c>
      <c r="N373" s="6">
        <f t="shared" si="122"/>
        <v>3000</v>
      </c>
      <c r="O373" s="6">
        <f t="shared" si="114"/>
        <v>-990</v>
      </c>
      <c r="P373" s="6">
        <f t="shared" si="115"/>
        <v>-1104</v>
      </c>
      <c r="Q373" s="6">
        <f t="shared" si="116"/>
        <v>-779</v>
      </c>
      <c r="R373" s="8">
        <v>0</v>
      </c>
      <c r="S373" s="8">
        <v>0</v>
      </c>
      <c r="T373" s="8">
        <v>0</v>
      </c>
      <c r="U373" s="25">
        <f t="shared" si="117"/>
        <v>-770</v>
      </c>
      <c r="V373" s="25">
        <f t="shared" si="118"/>
        <v>-894</v>
      </c>
      <c r="W373" s="25">
        <f t="shared" si="119"/>
        <v>-639</v>
      </c>
      <c r="X373" s="15">
        <v>1.1060000000000001</v>
      </c>
      <c r="Y373" s="7"/>
      <c r="Z373" s="21">
        <f t="shared" si="124"/>
        <v>2.1</v>
      </c>
      <c r="AA373" s="6"/>
      <c r="AB373" s="11"/>
    </row>
    <row r="374" spans="1:28" ht="13.8">
      <c r="A374" s="13">
        <f t="shared" si="123"/>
        <v>363</v>
      </c>
      <c r="B374" s="185" t="s">
        <v>435</v>
      </c>
      <c r="C374" s="10">
        <f t="shared" si="112"/>
        <v>1069</v>
      </c>
      <c r="D374" s="9">
        <f t="shared" si="105"/>
        <v>2003</v>
      </c>
      <c r="E374" s="26">
        <f t="shared" si="113"/>
        <v>3072</v>
      </c>
      <c r="F374" s="8">
        <f t="shared" si="106"/>
        <v>1062</v>
      </c>
      <c r="G374" s="8">
        <f t="shared" si="107"/>
        <v>1176</v>
      </c>
      <c r="H374" s="8">
        <f t="shared" si="108"/>
        <v>851</v>
      </c>
      <c r="I374" s="6">
        <f t="shared" si="109"/>
        <v>2010</v>
      </c>
      <c r="J374" s="6">
        <f t="shared" si="110"/>
        <v>1896</v>
      </c>
      <c r="K374" s="6">
        <f t="shared" si="111"/>
        <v>2221</v>
      </c>
      <c r="L374" s="6">
        <f t="shared" si="120"/>
        <v>3000</v>
      </c>
      <c r="M374" s="6">
        <f t="shared" si="121"/>
        <v>3000</v>
      </c>
      <c r="N374" s="6">
        <f t="shared" si="122"/>
        <v>3000</v>
      </c>
      <c r="O374" s="6">
        <f t="shared" si="114"/>
        <v>-990</v>
      </c>
      <c r="P374" s="6">
        <f t="shared" si="115"/>
        <v>-1104</v>
      </c>
      <c r="Q374" s="6">
        <f t="shared" si="116"/>
        <v>-779</v>
      </c>
      <c r="R374" s="8">
        <v>0</v>
      </c>
      <c r="S374" s="8">
        <v>0</v>
      </c>
      <c r="T374" s="8">
        <v>0</v>
      </c>
      <c r="U374" s="25">
        <f t="shared" si="117"/>
        <v>-770</v>
      </c>
      <c r="V374" s="25">
        <f t="shared" si="118"/>
        <v>-894</v>
      </c>
      <c r="W374" s="25">
        <f t="shared" si="119"/>
        <v>-639</v>
      </c>
      <c r="X374" s="15">
        <v>1.1060000000000001</v>
      </c>
      <c r="Y374" s="7"/>
      <c r="Z374" s="21">
        <f t="shared" si="124"/>
        <v>2.1</v>
      </c>
      <c r="AA374" s="6"/>
      <c r="AB374" s="11"/>
    </row>
    <row r="375" spans="1:28" ht="13.8">
      <c r="A375" s="13">
        <f t="shared" si="123"/>
        <v>364</v>
      </c>
      <c r="B375" s="185" t="s">
        <v>436</v>
      </c>
      <c r="C375" s="10">
        <f t="shared" si="112"/>
        <v>1069</v>
      </c>
      <c r="D375" s="9">
        <f t="shared" si="105"/>
        <v>2005</v>
      </c>
      <c r="E375" s="26">
        <f t="shared" si="113"/>
        <v>3074</v>
      </c>
      <c r="F375" s="8">
        <f t="shared" si="106"/>
        <v>1064</v>
      </c>
      <c r="G375" s="8">
        <f t="shared" si="107"/>
        <v>1178</v>
      </c>
      <c r="H375" s="8">
        <f t="shared" si="108"/>
        <v>853</v>
      </c>
      <c r="I375" s="6">
        <f t="shared" si="109"/>
        <v>2010</v>
      </c>
      <c r="J375" s="6">
        <f t="shared" si="110"/>
        <v>1896</v>
      </c>
      <c r="K375" s="6">
        <f t="shared" si="111"/>
        <v>2221</v>
      </c>
      <c r="L375" s="6">
        <f t="shared" si="120"/>
        <v>3000</v>
      </c>
      <c r="M375" s="6">
        <f t="shared" si="121"/>
        <v>3000</v>
      </c>
      <c r="N375" s="6">
        <f t="shared" si="122"/>
        <v>3000</v>
      </c>
      <c r="O375" s="6">
        <f t="shared" si="114"/>
        <v>-990</v>
      </c>
      <c r="P375" s="6">
        <f t="shared" si="115"/>
        <v>-1104</v>
      </c>
      <c r="Q375" s="6">
        <f t="shared" si="116"/>
        <v>-779</v>
      </c>
      <c r="R375" s="8">
        <v>0</v>
      </c>
      <c r="S375" s="8">
        <v>0</v>
      </c>
      <c r="T375" s="8">
        <v>0</v>
      </c>
      <c r="U375" s="25">
        <f t="shared" si="117"/>
        <v>-770</v>
      </c>
      <c r="V375" s="25">
        <f t="shared" si="118"/>
        <v>-894</v>
      </c>
      <c r="W375" s="25">
        <f t="shared" si="119"/>
        <v>-639</v>
      </c>
      <c r="X375" s="15">
        <v>1.1060000000000001</v>
      </c>
      <c r="Y375" s="7"/>
      <c r="Z375" s="21">
        <f t="shared" si="124"/>
        <v>2.1</v>
      </c>
      <c r="AA375" s="6"/>
      <c r="AB375" s="11"/>
    </row>
    <row r="376" spans="1:28" ht="13.8">
      <c r="A376" s="13">
        <f t="shared" si="123"/>
        <v>365</v>
      </c>
      <c r="B376" s="185" t="s">
        <v>437</v>
      </c>
      <c r="C376" s="10">
        <f t="shared" si="112"/>
        <v>1069</v>
      </c>
      <c r="D376" s="9">
        <f t="shared" si="105"/>
        <v>2007</v>
      </c>
      <c r="E376" s="26">
        <f t="shared" si="113"/>
        <v>3076</v>
      </c>
      <c r="F376" s="8">
        <f t="shared" si="106"/>
        <v>1066</v>
      </c>
      <c r="G376" s="8">
        <f t="shared" si="107"/>
        <v>1180</v>
      </c>
      <c r="H376" s="8">
        <f t="shared" si="108"/>
        <v>855</v>
      </c>
      <c r="I376" s="6">
        <f t="shared" si="109"/>
        <v>2010</v>
      </c>
      <c r="J376" s="6">
        <f t="shared" si="110"/>
        <v>1896</v>
      </c>
      <c r="K376" s="6">
        <f t="shared" si="111"/>
        <v>2221</v>
      </c>
      <c r="L376" s="6">
        <f t="shared" si="120"/>
        <v>3000</v>
      </c>
      <c r="M376" s="6">
        <f t="shared" si="121"/>
        <v>3000</v>
      </c>
      <c r="N376" s="6">
        <f t="shared" si="122"/>
        <v>3000</v>
      </c>
      <c r="O376" s="6">
        <f t="shared" si="114"/>
        <v>-990</v>
      </c>
      <c r="P376" s="6">
        <f t="shared" si="115"/>
        <v>-1104</v>
      </c>
      <c r="Q376" s="6">
        <f t="shared" si="116"/>
        <v>-779</v>
      </c>
      <c r="R376" s="8">
        <v>0</v>
      </c>
      <c r="S376" s="8">
        <v>0</v>
      </c>
      <c r="T376" s="8">
        <v>0</v>
      </c>
      <c r="U376" s="25">
        <f t="shared" si="117"/>
        <v>-770</v>
      </c>
      <c r="V376" s="25">
        <f t="shared" si="118"/>
        <v>-894</v>
      </c>
      <c r="W376" s="25">
        <f t="shared" si="119"/>
        <v>-639</v>
      </c>
      <c r="X376" s="15">
        <v>1.1060000000000001</v>
      </c>
      <c r="Y376" s="7"/>
      <c r="Z376" s="21">
        <f t="shared" si="124"/>
        <v>2.1</v>
      </c>
      <c r="AA376" s="6"/>
      <c r="AB376" s="11"/>
    </row>
    <row r="377" spans="1:28" ht="13.8">
      <c r="A377" s="13">
        <f t="shared" si="123"/>
        <v>366</v>
      </c>
      <c r="B377" s="185" t="s">
        <v>438</v>
      </c>
      <c r="C377" s="10">
        <f t="shared" si="112"/>
        <v>1069</v>
      </c>
      <c r="D377" s="9">
        <f t="shared" si="105"/>
        <v>2009</v>
      </c>
      <c r="E377" s="26">
        <f t="shared" si="113"/>
        <v>3078</v>
      </c>
      <c r="F377" s="8">
        <f t="shared" si="106"/>
        <v>1068</v>
      </c>
      <c r="G377" s="8">
        <f t="shared" si="107"/>
        <v>1182</v>
      </c>
      <c r="H377" s="8">
        <f t="shared" si="108"/>
        <v>857</v>
      </c>
      <c r="I377" s="6">
        <f t="shared" si="109"/>
        <v>2010</v>
      </c>
      <c r="J377" s="6">
        <f t="shared" si="110"/>
        <v>1896</v>
      </c>
      <c r="K377" s="6">
        <f t="shared" si="111"/>
        <v>2221</v>
      </c>
      <c r="L377" s="6">
        <f t="shared" si="120"/>
        <v>3000</v>
      </c>
      <c r="M377" s="6">
        <f t="shared" si="121"/>
        <v>3000</v>
      </c>
      <c r="N377" s="6">
        <f t="shared" si="122"/>
        <v>3000</v>
      </c>
      <c r="O377" s="6">
        <f t="shared" si="114"/>
        <v>-990</v>
      </c>
      <c r="P377" s="6">
        <f t="shared" si="115"/>
        <v>-1104</v>
      </c>
      <c r="Q377" s="6">
        <f t="shared" si="116"/>
        <v>-779</v>
      </c>
      <c r="R377" s="8">
        <v>0</v>
      </c>
      <c r="S377" s="8">
        <v>0</v>
      </c>
      <c r="T377" s="8">
        <v>0</v>
      </c>
      <c r="U377" s="25">
        <f t="shared" si="117"/>
        <v>-770</v>
      </c>
      <c r="V377" s="25">
        <f t="shared" si="118"/>
        <v>-894</v>
      </c>
      <c r="W377" s="25">
        <f t="shared" si="119"/>
        <v>-639</v>
      </c>
      <c r="X377" s="15">
        <v>1.1060000000000001</v>
      </c>
      <c r="Y377" s="7"/>
      <c r="Z377" s="21">
        <f t="shared" si="124"/>
        <v>2.1</v>
      </c>
      <c r="AA377" s="6"/>
      <c r="AB377" s="11"/>
    </row>
    <row r="378" spans="1:28" ht="13.8">
      <c r="A378" s="13">
        <f t="shared" si="123"/>
        <v>367</v>
      </c>
      <c r="B378" s="185" t="s">
        <v>439</v>
      </c>
      <c r="C378" s="10">
        <f t="shared" si="112"/>
        <v>1069</v>
      </c>
      <c r="D378" s="9">
        <f t="shared" si="105"/>
        <v>2011</v>
      </c>
      <c r="E378" s="26">
        <f t="shared" si="113"/>
        <v>3080</v>
      </c>
      <c r="F378" s="8">
        <f t="shared" si="106"/>
        <v>1070</v>
      </c>
      <c r="G378" s="8">
        <f t="shared" si="107"/>
        <v>1184</v>
      </c>
      <c r="H378" s="8">
        <f t="shared" si="108"/>
        <v>859</v>
      </c>
      <c r="I378" s="6">
        <f t="shared" si="109"/>
        <v>2010</v>
      </c>
      <c r="J378" s="6">
        <f t="shared" si="110"/>
        <v>1896</v>
      </c>
      <c r="K378" s="6">
        <f t="shared" si="111"/>
        <v>2221</v>
      </c>
      <c r="L378" s="6">
        <f t="shared" si="120"/>
        <v>3000</v>
      </c>
      <c r="M378" s="6">
        <f t="shared" si="121"/>
        <v>3000</v>
      </c>
      <c r="N378" s="6">
        <f t="shared" si="122"/>
        <v>3000</v>
      </c>
      <c r="O378" s="6">
        <f t="shared" si="114"/>
        <v>-990</v>
      </c>
      <c r="P378" s="6">
        <f t="shared" si="115"/>
        <v>-1104</v>
      </c>
      <c r="Q378" s="6">
        <f t="shared" si="116"/>
        <v>-779</v>
      </c>
      <c r="R378" s="8">
        <v>0</v>
      </c>
      <c r="S378" s="8">
        <v>0</v>
      </c>
      <c r="T378" s="8">
        <v>0</v>
      </c>
      <c r="U378" s="25">
        <f t="shared" si="117"/>
        <v>-770</v>
      </c>
      <c r="V378" s="25">
        <f t="shared" si="118"/>
        <v>-894</v>
      </c>
      <c r="W378" s="25">
        <f t="shared" si="119"/>
        <v>-639</v>
      </c>
      <c r="X378" s="15">
        <v>1.1060000000000001</v>
      </c>
      <c r="Y378" s="7"/>
      <c r="Z378" s="21">
        <f t="shared" si="124"/>
        <v>2.1</v>
      </c>
      <c r="AA378" s="6"/>
      <c r="AB378" s="11"/>
    </row>
    <row r="379" spans="1:28" ht="13.8">
      <c r="A379" s="13">
        <f t="shared" si="123"/>
        <v>368</v>
      </c>
      <c r="B379" s="185" t="s">
        <v>440</v>
      </c>
      <c r="C379" s="10">
        <f t="shared" si="112"/>
        <v>1069</v>
      </c>
      <c r="D379" s="9">
        <f t="shared" si="105"/>
        <v>2013</v>
      </c>
      <c r="E379" s="26">
        <f t="shared" si="113"/>
        <v>3082</v>
      </c>
      <c r="F379" s="8">
        <f t="shared" si="106"/>
        <v>1072</v>
      </c>
      <c r="G379" s="8">
        <f t="shared" si="107"/>
        <v>1186</v>
      </c>
      <c r="H379" s="8">
        <f t="shared" si="108"/>
        <v>861</v>
      </c>
      <c r="I379" s="6">
        <f t="shared" si="109"/>
        <v>2010</v>
      </c>
      <c r="J379" s="6">
        <f t="shared" si="110"/>
        <v>1896</v>
      </c>
      <c r="K379" s="6">
        <f t="shared" si="111"/>
        <v>2221</v>
      </c>
      <c r="L379" s="6">
        <f t="shared" si="120"/>
        <v>3000</v>
      </c>
      <c r="M379" s="6">
        <f t="shared" si="121"/>
        <v>3000</v>
      </c>
      <c r="N379" s="6">
        <f t="shared" si="122"/>
        <v>3000</v>
      </c>
      <c r="O379" s="6">
        <f t="shared" si="114"/>
        <v>-990</v>
      </c>
      <c r="P379" s="6">
        <f t="shared" si="115"/>
        <v>-1104</v>
      </c>
      <c r="Q379" s="6">
        <f t="shared" si="116"/>
        <v>-779</v>
      </c>
      <c r="R379" s="8">
        <v>0</v>
      </c>
      <c r="S379" s="8">
        <v>0</v>
      </c>
      <c r="T379" s="8">
        <v>0</v>
      </c>
      <c r="U379" s="25">
        <f t="shared" si="117"/>
        <v>-770</v>
      </c>
      <c r="V379" s="25">
        <f t="shared" si="118"/>
        <v>-894</v>
      </c>
      <c r="W379" s="25">
        <f t="shared" si="119"/>
        <v>-639</v>
      </c>
      <c r="X379" s="15">
        <v>1.1060000000000001</v>
      </c>
      <c r="Y379" s="7"/>
      <c r="Z379" s="21">
        <f t="shared" si="124"/>
        <v>2.1</v>
      </c>
      <c r="AA379" s="6"/>
      <c r="AB379" s="11"/>
    </row>
    <row r="380" spans="1:28" ht="13.8">
      <c r="A380" s="13">
        <f t="shared" si="123"/>
        <v>369</v>
      </c>
      <c r="B380" s="185" t="s">
        <v>441</v>
      </c>
      <c r="C380" s="10">
        <f t="shared" si="112"/>
        <v>1069</v>
      </c>
      <c r="D380" s="9">
        <f t="shared" ref="D380:D443" si="125">D379+2</f>
        <v>2015</v>
      </c>
      <c r="E380" s="26">
        <f t="shared" si="113"/>
        <v>3084</v>
      </c>
      <c r="F380" s="8">
        <f t="shared" si="106"/>
        <v>1074</v>
      </c>
      <c r="G380" s="8">
        <f t="shared" si="107"/>
        <v>1188</v>
      </c>
      <c r="H380" s="8">
        <f t="shared" si="108"/>
        <v>863</v>
      </c>
      <c r="I380" s="6">
        <f t="shared" si="109"/>
        <v>2010</v>
      </c>
      <c r="J380" s="6">
        <f t="shared" si="110"/>
        <v>1896</v>
      </c>
      <c r="K380" s="6">
        <f t="shared" si="111"/>
        <v>2221</v>
      </c>
      <c r="L380" s="6">
        <f t="shared" si="120"/>
        <v>3000</v>
      </c>
      <c r="M380" s="6">
        <f t="shared" si="121"/>
        <v>3000</v>
      </c>
      <c r="N380" s="6">
        <f t="shared" si="122"/>
        <v>3000</v>
      </c>
      <c r="O380" s="6">
        <f t="shared" si="114"/>
        <v>-990</v>
      </c>
      <c r="P380" s="6">
        <f t="shared" si="115"/>
        <v>-1104</v>
      </c>
      <c r="Q380" s="6">
        <f t="shared" si="116"/>
        <v>-779</v>
      </c>
      <c r="R380" s="8">
        <v>0</v>
      </c>
      <c r="S380" s="8">
        <v>0</v>
      </c>
      <c r="T380" s="8">
        <v>0</v>
      </c>
      <c r="U380" s="25">
        <f t="shared" si="117"/>
        <v>-770</v>
      </c>
      <c r="V380" s="25">
        <f t="shared" si="118"/>
        <v>-894</v>
      </c>
      <c r="W380" s="25">
        <f t="shared" si="119"/>
        <v>-639</v>
      </c>
      <c r="X380" s="15">
        <v>1.1060000000000001</v>
      </c>
      <c r="Y380" s="7"/>
      <c r="Z380" s="21">
        <f t="shared" si="124"/>
        <v>2.1</v>
      </c>
      <c r="AA380" s="6"/>
      <c r="AB380" s="11"/>
    </row>
    <row r="381" spans="1:28" ht="13.8">
      <c r="A381" s="13">
        <f t="shared" si="123"/>
        <v>370</v>
      </c>
      <c r="B381" s="185" t="s">
        <v>442</v>
      </c>
      <c r="C381" s="10">
        <f t="shared" si="112"/>
        <v>1069</v>
      </c>
      <c r="D381" s="9">
        <f t="shared" si="125"/>
        <v>2017</v>
      </c>
      <c r="E381" s="26">
        <f t="shared" si="113"/>
        <v>3086</v>
      </c>
      <c r="F381" s="8">
        <f t="shared" si="106"/>
        <v>1076</v>
      </c>
      <c r="G381" s="8">
        <f t="shared" si="107"/>
        <v>1190</v>
      </c>
      <c r="H381" s="8">
        <f t="shared" si="108"/>
        <v>865</v>
      </c>
      <c r="I381" s="6">
        <f t="shared" si="109"/>
        <v>2010</v>
      </c>
      <c r="J381" s="6">
        <f t="shared" si="110"/>
        <v>1896</v>
      </c>
      <c r="K381" s="6">
        <f t="shared" si="111"/>
        <v>2221</v>
      </c>
      <c r="L381" s="6">
        <f t="shared" si="120"/>
        <v>3000</v>
      </c>
      <c r="M381" s="6">
        <f t="shared" si="121"/>
        <v>3000</v>
      </c>
      <c r="N381" s="6">
        <f t="shared" si="122"/>
        <v>3000</v>
      </c>
      <c r="O381" s="6">
        <f t="shared" si="114"/>
        <v>-990</v>
      </c>
      <c r="P381" s="6">
        <f t="shared" si="115"/>
        <v>-1104</v>
      </c>
      <c r="Q381" s="6">
        <f t="shared" si="116"/>
        <v>-779</v>
      </c>
      <c r="R381" s="8">
        <v>0</v>
      </c>
      <c r="S381" s="8">
        <v>0</v>
      </c>
      <c r="T381" s="8">
        <v>0</v>
      </c>
      <c r="U381" s="25">
        <f t="shared" si="117"/>
        <v>-770</v>
      </c>
      <c r="V381" s="25">
        <f t="shared" si="118"/>
        <v>-894</v>
      </c>
      <c r="W381" s="25">
        <f t="shared" si="119"/>
        <v>-639</v>
      </c>
      <c r="X381" s="15">
        <v>1.1060000000000001</v>
      </c>
      <c r="Y381" s="7"/>
      <c r="Z381" s="21">
        <f t="shared" si="124"/>
        <v>2.1</v>
      </c>
      <c r="AA381" s="6"/>
      <c r="AB381" s="11"/>
    </row>
    <row r="382" spans="1:28" ht="13.8">
      <c r="A382" s="13">
        <f t="shared" si="123"/>
        <v>371</v>
      </c>
      <c r="B382" s="185" t="s">
        <v>443</v>
      </c>
      <c r="C382" s="10">
        <f t="shared" si="112"/>
        <v>1069</v>
      </c>
      <c r="D382" s="9">
        <f t="shared" si="125"/>
        <v>2019</v>
      </c>
      <c r="E382" s="26">
        <f t="shared" si="113"/>
        <v>3088</v>
      </c>
      <c r="F382" s="8">
        <f t="shared" si="106"/>
        <v>1078</v>
      </c>
      <c r="G382" s="8">
        <f t="shared" si="107"/>
        <v>1192</v>
      </c>
      <c r="H382" s="8">
        <f t="shared" si="108"/>
        <v>867</v>
      </c>
      <c r="I382" s="6">
        <f t="shared" si="109"/>
        <v>2010</v>
      </c>
      <c r="J382" s="6">
        <f t="shared" si="110"/>
        <v>1896</v>
      </c>
      <c r="K382" s="6">
        <f t="shared" si="111"/>
        <v>2221</v>
      </c>
      <c r="L382" s="6">
        <f t="shared" si="120"/>
        <v>3000</v>
      </c>
      <c r="M382" s="6">
        <f t="shared" si="121"/>
        <v>3000</v>
      </c>
      <c r="N382" s="6">
        <f t="shared" si="122"/>
        <v>3000</v>
      </c>
      <c r="O382" s="6">
        <f t="shared" si="114"/>
        <v>-990</v>
      </c>
      <c r="P382" s="6">
        <f t="shared" si="115"/>
        <v>-1104</v>
      </c>
      <c r="Q382" s="6">
        <f t="shared" si="116"/>
        <v>-779</v>
      </c>
      <c r="R382" s="8">
        <v>0</v>
      </c>
      <c r="S382" s="8">
        <v>0</v>
      </c>
      <c r="T382" s="8">
        <v>0</v>
      </c>
      <c r="U382" s="25">
        <f t="shared" si="117"/>
        <v>-770</v>
      </c>
      <c r="V382" s="25">
        <f t="shared" si="118"/>
        <v>-894</v>
      </c>
      <c r="W382" s="25">
        <f t="shared" si="119"/>
        <v>-639</v>
      </c>
      <c r="X382" s="15">
        <v>1.1060000000000001</v>
      </c>
      <c r="Y382" s="7"/>
      <c r="Z382" s="21">
        <f t="shared" si="124"/>
        <v>2.1</v>
      </c>
      <c r="AA382" s="6"/>
      <c r="AB382" s="11"/>
    </row>
    <row r="383" spans="1:28" ht="13.8">
      <c r="A383" s="13">
        <f t="shared" si="123"/>
        <v>372</v>
      </c>
      <c r="B383" s="185" t="s">
        <v>444</v>
      </c>
      <c r="C383" s="10">
        <f t="shared" si="112"/>
        <v>1069</v>
      </c>
      <c r="D383" s="9">
        <f t="shared" si="125"/>
        <v>2021</v>
      </c>
      <c r="E383" s="26">
        <f t="shared" si="113"/>
        <v>3090</v>
      </c>
      <c r="F383" s="8">
        <f t="shared" si="106"/>
        <v>1088</v>
      </c>
      <c r="G383" s="8">
        <f t="shared" si="107"/>
        <v>1201</v>
      </c>
      <c r="H383" s="8">
        <f t="shared" si="108"/>
        <v>877</v>
      </c>
      <c r="I383" s="6">
        <f t="shared" si="109"/>
        <v>2002</v>
      </c>
      <c r="J383" s="6">
        <f t="shared" si="110"/>
        <v>1889</v>
      </c>
      <c r="K383" s="6">
        <f t="shared" si="111"/>
        <v>2213</v>
      </c>
      <c r="L383" s="6">
        <f t="shared" si="120"/>
        <v>3000</v>
      </c>
      <c r="M383" s="6">
        <f t="shared" si="121"/>
        <v>3000</v>
      </c>
      <c r="N383" s="6">
        <f t="shared" si="122"/>
        <v>3000</v>
      </c>
      <c r="O383" s="6">
        <f t="shared" si="114"/>
        <v>-998</v>
      </c>
      <c r="P383" s="6">
        <f t="shared" si="115"/>
        <v>-1111</v>
      </c>
      <c r="Q383" s="6">
        <f t="shared" si="116"/>
        <v>-787</v>
      </c>
      <c r="R383" s="8">
        <v>8</v>
      </c>
      <c r="S383" s="8">
        <v>7</v>
      </c>
      <c r="T383" s="8">
        <v>8</v>
      </c>
      <c r="U383" s="25">
        <f t="shared" si="117"/>
        <v>-778</v>
      </c>
      <c r="V383" s="25">
        <f t="shared" si="118"/>
        <v>-901</v>
      </c>
      <c r="W383" s="25">
        <f t="shared" si="119"/>
        <v>-647</v>
      </c>
      <c r="X383" s="15">
        <v>1.2290000000000001</v>
      </c>
      <c r="Y383" s="12">
        <v>0.13</v>
      </c>
      <c r="Z383" s="21">
        <f t="shared" si="124"/>
        <v>2.23</v>
      </c>
      <c r="AA383" s="6"/>
      <c r="AB383" s="11" t="s">
        <v>3</v>
      </c>
    </row>
    <row r="384" spans="1:28" ht="13.8">
      <c r="A384" s="13">
        <f t="shared" si="123"/>
        <v>373</v>
      </c>
      <c r="B384" s="185" t="s">
        <v>445</v>
      </c>
      <c r="C384" s="10">
        <f t="shared" si="112"/>
        <v>1069</v>
      </c>
      <c r="D384" s="9">
        <f t="shared" si="125"/>
        <v>2023</v>
      </c>
      <c r="E384" s="26">
        <f t="shared" si="113"/>
        <v>3092</v>
      </c>
      <c r="F384" s="8">
        <f t="shared" si="106"/>
        <v>1099</v>
      </c>
      <c r="G384" s="8">
        <f t="shared" si="107"/>
        <v>1211</v>
      </c>
      <c r="H384" s="8">
        <f t="shared" si="108"/>
        <v>885</v>
      </c>
      <c r="I384" s="6">
        <f t="shared" si="109"/>
        <v>1993</v>
      </c>
      <c r="J384" s="6">
        <f t="shared" si="110"/>
        <v>1881</v>
      </c>
      <c r="K384" s="6">
        <f t="shared" si="111"/>
        <v>2207</v>
      </c>
      <c r="L384" s="6">
        <f t="shared" si="120"/>
        <v>3000</v>
      </c>
      <c r="M384" s="6">
        <f t="shared" si="121"/>
        <v>3000</v>
      </c>
      <c r="N384" s="6">
        <f t="shared" si="122"/>
        <v>3000</v>
      </c>
      <c r="O384" s="6">
        <f t="shared" si="114"/>
        <v>-1007</v>
      </c>
      <c r="P384" s="6">
        <f t="shared" si="115"/>
        <v>-1119</v>
      </c>
      <c r="Q384" s="6">
        <f t="shared" si="116"/>
        <v>-793</v>
      </c>
      <c r="R384" s="8">
        <v>9</v>
      </c>
      <c r="S384" s="8">
        <v>8</v>
      </c>
      <c r="T384" s="8">
        <v>6</v>
      </c>
      <c r="U384" s="25">
        <f t="shared" si="117"/>
        <v>-787</v>
      </c>
      <c r="V384" s="25">
        <f t="shared" si="118"/>
        <v>-909</v>
      </c>
      <c r="W384" s="25">
        <f t="shared" si="119"/>
        <v>-653</v>
      </c>
      <c r="X384" s="15">
        <v>1.2210000000000001</v>
      </c>
      <c r="Y384" s="7"/>
      <c r="Z384" s="21">
        <f t="shared" si="124"/>
        <v>2.23</v>
      </c>
      <c r="AA384" s="6"/>
      <c r="AB384" s="11"/>
    </row>
    <row r="385" spans="1:28" ht="13.8">
      <c r="A385" s="13">
        <f t="shared" si="123"/>
        <v>374</v>
      </c>
      <c r="B385" s="185" t="s">
        <v>446</v>
      </c>
      <c r="C385" s="10">
        <f t="shared" si="112"/>
        <v>1069</v>
      </c>
      <c r="D385" s="9">
        <f t="shared" si="125"/>
        <v>2025</v>
      </c>
      <c r="E385" s="26">
        <f t="shared" si="113"/>
        <v>3094</v>
      </c>
      <c r="F385" s="8">
        <f t="shared" si="106"/>
        <v>1107</v>
      </c>
      <c r="G385" s="8">
        <f t="shared" si="107"/>
        <v>1222</v>
      </c>
      <c r="H385" s="8">
        <f t="shared" si="108"/>
        <v>894</v>
      </c>
      <c r="I385" s="6">
        <f t="shared" si="109"/>
        <v>1987</v>
      </c>
      <c r="J385" s="6">
        <f t="shared" si="110"/>
        <v>1872</v>
      </c>
      <c r="K385" s="6">
        <f t="shared" si="111"/>
        <v>2200</v>
      </c>
      <c r="L385" s="6">
        <f t="shared" si="120"/>
        <v>3000</v>
      </c>
      <c r="M385" s="6">
        <f t="shared" si="121"/>
        <v>3000</v>
      </c>
      <c r="N385" s="6">
        <f t="shared" si="122"/>
        <v>3000</v>
      </c>
      <c r="O385" s="6">
        <f t="shared" si="114"/>
        <v>-1013</v>
      </c>
      <c r="P385" s="6">
        <f t="shared" si="115"/>
        <v>-1128</v>
      </c>
      <c r="Q385" s="6">
        <f t="shared" si="116"/>
        <v>-800</v>
      </c>
      <c r="R385" s="8">
        <v>6</v>
      </c>
      <c r="S385" s="8">
        <v>9</v>
      </c>
      <c r="T385" s="8">
        <v>7</v>
      </c>
      <c r="U385" s="25">
        <f t="shared" si="117"/>
        <v>-793</v>
      </c>
      <c r="V385" s="25">
        <f t="shared" si="118"/>
        <v>-918</v>
      </c>
      <c r="W385" s="25">
        <f t="shared" si="119"/>
        <v>-660</v>
      </c>
      <c r="X385" s="15">
        <v>1.212</v>
      </c>
      <c r="Y385" s="7"/>
      <c r="Z385" s="21">
        <f t="shared" si="124"/>
        <v>2.23</v>
      </c>
      <c r="AA385" s="6"/>
      <c r="AB385" s="11"/>
    </row>
    <row r="386" spans="1:28" ht="13.8">
      <c r="A386" s="13">
        <f t="shared" si="123"/>
        <v>375</v>
      </c>
      <c r="B386" s="185" t="s">
        <v>447</v>
      </c>
      <c r="C386" s="10">
        <f t="shared" si="112"/>
        <v>1069</v>
      </c>
      <c r="D386" s="9">
        <f t="shared" si="125"/>
        <v>2027</v>
      </c>
      <c r="E386" s="26">
        <f t="shared" si="113"/>
        <v>3096</v>
      </c>
      <c r="F386" s="8">
        <f t="shared" si="106"/>
        <v>1116</v>
      </c>
      <c r="G386" s="8">
        <f t="shared" si="107"/>
        <v>1230</v>
      </c>
      <c r="H386" s="8">
        <f t="shared" si="108"/>
        <v>904</v>
      </c>
      <c r="I386" s="6">
        <f t="shared" si="109"/>
        <v>1980</v>
      </c>
      <c r="J386" s="6">
        <f t="shared" si="110"/>
        <v>1866</v>
      </c>
      <c r="K386" s="6">
        <f t="shared" si="111"/>
        <v>2192</v>
      </c>
      <c r="L386" s="6">
        <f t="shared" si="120"/>
        <v>3000</v>
      </c>
      <c r="M386" s="6">
        <f t="shared" si="121"/>
        <v>3000</v>
      </c>
      <c r="N386" s="6">
        <f t="shared" si="122"/>
        <v>3000</v>
      </c>
      <c r="O386" s="6">
        <f t="shared" si="114"/>
        <v>-1020</v>
      </c>
      <c r="P386" s="6">
        <f t="shared" si="115"/>
        <v>-1134</v>
      </c>
      <c r="Q386" s="6">
        <f t="shared" si="116"/>
        <v>-808</v>
      </c>
      <c r="R386" s="8">
        <v>7</v>
      </c>
      <c r="S386" s="8">
        <v>6</v>
      </c>
      <c r="T386" s="8">
        <v>8</v>
      </c>
      <c r="U386" s="25">
        <f t="shared" si="117"/>
        <v>-800</v>
      </c>
      <c r="V386" s="25">
        <f t="shared" si="118"/>
        <v>-924</v>
      </c>
      <c r="W386" s="25">
        <f t="shared" si="119"/>
        <v>-668</v>
      </c>
      <c r="X386" s="15">
        <v>1.206</v>
      </c>
      <c r="Y386" s="7"/>
      <c r="Z386" s="21">
        <f t="shared" si="124"/>
        <v>2.23</v>
      </c>
      <c r="AA386" s="6"/>
      <c r="AB386" s="11"/>
    </row>
    <row r="387" spans="1:28" ht="13.8">
      <c r="A387" s="13">
        <f t="shared" si="123"/>
        <v>376</v>
      </c>
      <c r="B387" s="185" t="s">
        <v>448</v>
      </c>
      <c r="C387" s="10">
        <f t="shared" si="112"/>
        <v>1069</v>
      </c>
      <c r="D387" s="9">
        <f t="shared" si="125"/>
        <v>2029</v>
      </c>
      <c r="E387" s="26">
        <f t="shared" si="113"/>
        <v>3098</v>
      </c>
      <c r="F387" s="8">
        <f t="shared" si="106"/>
        <v>1126</v>
      </c>
      <c r="G387" s="8">
        <f t="shared" si="107"/>
        <v>1239</v>
      </c>
      <c r="H387" s="8">
        <f t="shared" si="108"/>
        <v>911</v>
      </c>
      <c r="I387" s="6">
        <f t="shared" si="109"/>
        <v>1972</v>
      </c>
      <c r="J387" s="6">
        <f t="shared" si="110"/>
        <v>1859</v>
      </c>
      <c r="K387" s="6">
        <f t="shared" si="111"/>
        <v>2187</v>
      </c>
      <c r="L387" s="6">
        <f t="shared" si="120"/>
        <v>3000</v>
      </c>
      <c r="M387" s="6">
        <f t="shared" si="121"/>
        <v>3000</v>
      </c>
      <c r="N387" s="6">
        <f t="shared" si="122"/>
        <v>3000</v>
      </c>
      <c r="O387" s="6">
        <f t="shared" si="114"/>
        <v>-1028</v>
      </c>
      <c r="P387" s="6">
        <f t="shared" si="115"/>
        <v>-1141</v>
      </c>
      <c r="Q387" s="6">
        <f t="shared" si="116"/>
        <v>-813</v>
      </c>
      <c r="R387" s="8">
        <v>8</v>
      </c>
      <c r="S387" s="8">
        <v>7</v>
      </c>
      <c r="T387" s="8">
        <v>5</v>
      </c>
      <c r="U387" s="25">
        <f t="shared" si="117"/>
        <v>-808</v>
      </c>
      <c r="V387" s="25">
        <f t="shared" si="118"/>
        <v>-931</v>
      </c>
      <c r="W387" s="25">
        <f t="shared" si="119"/>
        <v>-673</v>
      </c>
      <c r="X387" s="15">
        <v>1.1990000000000001</v>
      </c>
      <c r="Y387" s="7"/>
      <c r="Z387" s="21">
        <f t="shared" si="124"/>
        <v>2.23</v>
      </c>
      <c r="AA387" s="6"/>
      <c r="AB387" s="11"/>
    </row>
    <row r="388" spans="1:28" ht="13.8">
      <c r="A388" s="13">
        <f t="shared" si="123"/>
        <v>377</v>
      </c>
      <c r="B388" s="185" t="s">
        <v>449</v>
      </c>
      <c r="C388" s="10">
        <f t="shared" si="112"/>
        <v>1069</v>
      </c>
      <c r="D388" s="9">
        <f t="shared" si="125"/>
        <v>2031</v>
      </c>
      <c r="E388" s="26">
        <f t="shared" si="113"/>
        <v>3100</v>
      </c>
      <c r="F388" s="8">
        <f t="shared" si="106"/>
        <v>1137</v>
      </c>
      <c r="G388" s="8">
        <f t="shared" si="107"/>
        <v>1249</v>
      </c>
      <c r="H388" s="8">
        <f t="shared" si="108"/>
        <v>919</v>
      </c>
      <c r="I388" s="6">
        <f t="shared" si="109"/>
        <v>1963</v>
      </c>
      <c r="J388" s="6">
        <f t="shared" si="110"/>
        <v>1851</v>
      </c>
      <c r="K388" s="6">
        <f t="shared" si="111"/>
        <v>2181</v>
      </c>
      <c r="L388" s="6">
        <f t="shared" si="120"/>
        <v>3000</v>
      </c>
      <c r="M388" s="6">
        <f t="shared" si="121"/>
        <v>3000</v>
      </c>
      <c r="N388" s="6">
        <f t="shared" si="122"/>
        <v>3000</v>
      </c>
      <c r="O388" s="6">
        <f t="shared" si="114"/>
        <v>-1037</v>
      </c>
      <c r="P388" s="6">
        <f t="shared" si="115"/>
        <v>-1149</v>
      </c>
      <c r="Q388" s="6">
        <f t="shared" si="116"/>
        <v>-819</v>
      </c>
      <c r="R388" s="8">
        <v>9</v>
      </c>
      <c r="S388" s="8">
        <v>8</v>
      </c>
      <c r="T388" s="8">
        <v>6</v>
      </c>
      <c r="U388" s="25">
        <f t="shared" si="117"/>
        <v>-817</v>
      </c>
      <c r="V388" s="25">
        <f t="shared" si="118"/>
        <v>-939</v>
      </c>
      <c r="W388" s="25">
        <f t="shared" si="119"/>
        <v>-679</v>
      </c>
      <c r="X388" s="15">
        <v>1.391</v>
      </c>
      <c r="Y388" s="12">
        <v>0.2</v>
      </c>
      <c r="Z388" s="21">
        <f t="shared" si="124"/>
        <v>2.4300000000000002</v>
      </c>
      <c r="AA388" s="6"/>
      <c r="AB388" s="11" t="s">
        <v>2</v>
      </c>
    </row>
    <row r="389" spans="1:28" ht="13.8">
      <c r="A389" s="13">
        <f t="shared" si="123"/>
        <v>378</v>
      </c>
      <c r="B389" s="185" t="s">
        <v>450</v>
      </c>
      <c r="C389" s="10">
        <f t="shared" si="112"/>
        <v>1069</v>
      </c>
      <c r="D389" s="9">
        <f t="shared" si="125"/>
        <v>2033</v>
      </c>
      <c r="E389" s="26">
        <f t="shared" si="113"/>
        <v>3102</v>
      </c>
      <c r="F389" s="8">
        <f t="shared" si="106"/>
        <v>1144</v>
      </c>
      <c r="G389" s="8">
        <f t="shared" si="107"/>
        <v>1260</v>
      </c>
      <c r="H389" s="8">
        <f t="shared" si="108"/>
        <v>925</v>
      </c>
      <c r="I389" s="6">
        <f t="shared" si="109"/>
        <v>1958</v>
      </c>
      <c r="J389" s="6">
        <f t="shared" si="110"/>
        <v>1842</v>
      </c>
      <c r="K389" s="6">
        <f t="shared" si="111"/>
        <v>2177</v>
      </c>
      <c r="L389" s="6">
        <f t="shared" si="120"/>
        <v>3000</v>
      </c>
      <c r="M389" s="6">
        <f t="shared" si="121"/>
        <v>3000</v>
      </c>
      <c r="N389" s="6">
        <f t="shared" si="122"/>
        <v>3000</v>
      </c>
      <c r="O389" s="6">
        <f t="shared" si="114"/>
        <v>-1042</v>
      </c>
      <c r="P389" s="6">
        <f t="shared" si="115"/>
        <v>-1158</v>
      </c>
      <c r="Q389" s="6">
        <f t="shared" si="116"/>
        <v>-823</v>
      </c>
      <c r="R389" s="8">
        <v>5</v>
      </c>
      <c r="S389" s="8">
        <v>9</v>
      </c>
      <c r="T389" s="8">
        <v>4</v>
      </c>
      <c r="U389" s="25">
        <f t="shared" si="117"/>
        <v>-822</v>
      </c>
      <c r="V389" s="25">
        <f t="shared" si="118"/>
        <v>-948</v>
      </c>
      <c r="W389" s="25">
        <f t="shared" si="119"/>
        <v>-683</v>
      </c>
      <c r="X389" s="15">
        <v>1.3819999999999999</v>
      </c>
      <c r="Y389" s="7"/>
      <c r="Z389" s="21">
        <f t="shared" si="124"/>
        <v>2.4300000000000002</v>
      </c>
      <c r="AA389" s="6"/>
      <c r="AB389" s="11"/>
    </row>
    <row r="390" spans="1:28" ht="13.8">
      <c r="A390" s="13">
        <f t="shared" si="123"/>
        <v>379</v>
      </c>
      <c r="B390" s="185" t="s">
        <v>451</v>
      </c>
      <c r="C390" s="10">
        <f t="shared" si="112"/>
        <v>1069</v>
      </c>
      <c r="D390" s="9">
        <f t="shared" si="125"/>
        <v>2035</v>
      </c>
      <c r="E390" s="26">
        <f t="shared" si="113"/>
        <v>3104</v>
      </c>
      <c r="F390" s="8">
        <f t="shared" si="106"/>
        <v>1152</v>
      </c>
      <c r="G390" s="8">
        <f t="shared" si="107"/>
        <v>1271</v>
      </c>
      <c r="H390" s="8">
        <f t="shared" si="108"/>
        <v>932</v>
      </c>
      <c r="I390" s="6">
        <f t="shared" si="109"/>
        <v>1952</v>
      </c>
      <c r="J390" s="6">
        <f t="shared" si="110"/>
        <v>1833</v>
      </c>
      <c r="K390" s="6">
        <f t="shared" si="111"/>
        <v>2172</v>
      </c>
      <c r="L390" s="6">
        <f t="shared" si="120"/>
        <v>3000</v>
      </c>
      <c r="M390" s="6">
        <f t="shared" si="121"/>
        <v>3000</v>
      </c>
      <c r="N390" s="6">
        <f t="shared" si="122"/>
        <v>3000</v>
      </c>
      <c r="O390" s="6">
        <f t="shared" si="114"/>
        <v>-1048</v>
      </c>
      <c r="P390" s="6">
        <f t="shared" si="115"/>
        <v>-1167</v>
      </c>
      <c r="Q390" s="6">
        <f t="shared" si="116"/>
        <v>-828</v>
      </c>
      <c r="R390" s="8">
        <v>6</v>
      </c>
      <c r="S390" s="8">
        <v>9</v>
      </c>
      <c r="T390" s="8">
        <v>5</v>
      </c>
      <c r="U390" s="25">
        <f t="shared" si="117"/>
        <v>-828</v>
      </c>
      <c r="V390" s="25">
        <f t="shared" si="118"/>
        <v>-957</v>
      </c>
      <c r="W390" s="25">
        <f t="shared" si="119"/>
        <v>-688</v>
      </c>
      <c r="X390" s="15">
        <v>1.373</v>
      </c>
      <c r="Y390" s="7"/>
      <c r="Z390" s="21">
        <f t="shared" si="124"/>
        <v>2.4300000000000002</v>
      </c>
      <c r="AA390" s="6"/>
      <c r="AB390" s="11"/>
    </row>
    <row r="391" spans="1:28" ht="13.8">
      <c r="A391" s="13">
        <f t="shared" si="123"/>
        <v>380</v>
      </c>
      <c r="B391" s="185" t="s">
        <v>452</v>
      </c>
      <c r="C391" s="10">
        <f t="shared" si="112"/>
        <v>1069</v>
      </c>
      <c r="D391" s="9">
        <f t="shared" si="125"/>
        <v>2037</v>
      </c>
      <c r="E391" s="26">
        <f t="shared" si="113"/>
        <v>3106</v>
      </c>
      <c r="F391" s="8">
        <f t="shared" si="106"/>
        <v>1161</v>
      </c>
      <c r="G391" s="8">
        <f t="shared" si="107"/>
        <v>1274</v>
      </c>
      <c r="H391" s="8">
        <f t="shared" si="108"/>
        <v>940</v>
      </c>
      <c r="I391" s="6">
        <f t="shared" si="109"/>
        <v>1945</v>
      </c>
      <c r="J391" s="6">
        <f t="shared" si="110"/>
        <v>1832</v>
      </c>
      <c r="K391" s="6">
        <f t="shared" si="111"/>
        <v>2166</v>
      </c>
      <c r="L391" s="6">
        <f t="shared" si="120"/>
        <v>3000</v>
      </c>
      <c r="M391" s="6">
        <f t="shared" si="121"/>
        <v>3000</v>
      </c>
      <c r="N391" s="6">
        <f t="shared" si="122"/>
        <v>3000</v>
      </c>
      <c r="O391" s="6">
        <f t="shared" si="114"/>
        <v>-1055</v>
      </c>
      <c r="P391" s="6">
        <f t="shared" si="115"/>
        <v>-1168</v>
      </c>
      <c r="Q391" s="6">
        <f t="shared" si="116"/>
        <v>-834</v>
      </c>
      <c r="R391" s="8">
        <v>7</v>
      </c>
      <c r="S391" s="8">
        <v>1</v>
      </c>
      <c r="T391" s="8">
        <v>6</v>
      </c>
      <c r="U391" s="25">
        <f t="shared" si="117"/>
        <v>-835</v>
      </c>
      <c r="V391" s="25">
        <f t="shared" si="118"/>
        <v>-958</v>
      </c>
      <c r="W391" s="25">
        <f t="shared" si="119"/>
        <v>-694</v>
      </c>
      <c r="X391" s="15">
        <v>1.3720000000000001</v>
      </c>
      <c r="Y391" s="7"/>
      <c r="Z391" s="21">
        <f t="shared" si="124"/>
        <v>2.4300000000000002</v>
      </c>
      <c r="AA391" s="6"/>
      <c r="AB391" s="11"/>
    </row>
    <row r="392" spans="1:28" ht="13.8">
      <c r="A392" s="13">
        <f t="shared" si="123"/>
        <v>381</v>
      </c>
      <c r="B392" s="185" t="s">
        <v>453</v>
      </c>
      <c r="C392" s="10">
        <f t="shared" si="112"/>
        <v>1069</v>
      </c>
      <c r="D392" s="9">
        <f t="shared" si="125"/>
        <v>2039</v>
      </c>
      <c r="E392" s="26">
        <f t="shared" si="113"/>
        <v>3108</v>
      </c>
      <c r="F392" s="8">
        <f t="shared" si="106"/>
        <v>1171</v>
      </c>
      <c r="G392" s="8">
        <f t="shared" si="107"/>
        <v>1279</v>
      </c>
      <c r="H392" s="8">
        <f t="shared" si="108"/>
        <v>946</v>
      </c>
      <c r="I392" s="6">
        <f t="shared" si="109"/>
        <v>1937</v>
      </c>
      <c r="J392" s="6">
        <f t="shared" si="110"/>
        <v>1829</v>
      </c>
      <c r="K392" s="6">
        <f t="shared" si="111"/>
        <v>2162</v>
      </c>
      <c r="L392" s="6">
        <f t="shared" si="120"/>
        <v>3000</v>
      </c>
      <c r="M392" s="6">
        <f t="shared" si="121"/>
        <v>3000</v>
      </c>
      <c r="N392" s="6">
        <f t="shared" si="122"/>
        <v>3000</v>
      </c>
      <c r="O392" s="6">
        <f t="shared" si="114"/>
        <v>-1063</v>
      </c>
      <c r="P392" s="6">
        <f t="shared" si="115"/>
        <v>-1171</v>
      </c>
      <c r="Q392" s="6">
        <f t="shared" si="116"/>
        <v>-838</v>
      </c>
      <c r="R392" s="8">
        <v>8</v>
      </c>
      <c r="S392" s="8">
        <v>3</v>
      </c>
      <c r="T392" s="8">
        <v>4</v>
      </c>
      <c r="U392" s="25">
        <f t="shared" si="117"/>
        <v>-843</v>
      </c>
      <c r="V392" s="25">
        <f t="shared" si="118"/>
        <v>-961</v>
      </c>
      <c r="W392" s="25">
        <f t="shared" si="119"/>
        <v>-698</v>
      </c>
      <c r="X392" s="15">
        <v>1.369</v>
      </c>
      <c r="Y392" s="7"/>
      <c r="Z392" s="21">
        <f t="shared" si="124"/>
        <v>2.4300000000000002</v>
      </c>
      <c r="AA392" s="6"/>
      <c r="AB392" s="11"/>
    </row>
    <row r="393" spans="1:28" ht="13.8">
      <c r="A393" s="13">
        <f t="shared" si="123"/>
        <v>382</v>
      </c>
      <c r="B393" s="185" t="s">
        <v>454</v>
      </c>
      <c r="C393" s="10">
        <f t="shared" si="112"/>
        <v>1069</v>
      </c>
      <c r="D393" s="9">
        <f t="shared" si="125"/>
        <v>2041</v>
      </c>
      <c r="E393" s="26">
        <f t="shared" si="113"/>
        <v>3110</v>
      </c>
      <c r="F393" s="8">
        <f t="shared" si="106"/>
        <v>1182</v>
      </c>
      <c r="G393" s="8">
        <f t="shared" si="107"/>
        <v>1286</v>
      </c>
      <c r="H393" s="8">
        <f t="shared" si="108"/>
        <v>955</v>
      </c>
      <c r="I393" s="6">
        <f t="shared" si="109"/>
        <v>1928</v>
      </c>
      <c r="J393" s="6">
        <f t="shared" si="110"/>
        <v>1824</v>
      </c>
      <c r="K393" s="6">
        <f t="shared" si="111"/>
        <v>2155</v>
      </c>
      <c r="L393" s="6">
        <f t="shared" si="120"/>
        <v>3000</v>
      </c>
      <c r="M393" s="6">
        <f t="shared" si="121"/>
        <v>3000</v>
      </c>
      <c r="N393" s="6">
        <f t="shared" si="122"/>
        <v>3000</v>
      </c>
      <c r="O393" s="6">
        <f t="shared" si="114"/>
        <v>-1072</v>
      </c>
      <c r="P393" s="6">
        <f t="shared" si="115"/>
        <v>-1176</v>
      </c>
      <c r="Q393" s="6">
        <f t="shared" si="116"/>
        <v>-845</v>
      </c>
      <c r="R393" s="8">
        <v>9</v>
      </c>
      <c r="S393" s="8">
        <v>5</v>
      </c>
      <c r="T393" s="8">
        <v>7</v>
      </c>
      <c r="U393" s="25">
        <f t="shared" si="117"/>
        <v>-852</v>
      </c>
      <c r="V393" s="25">
        <f t="shared" si="118"/>
        <v>-966</v>
      </c>
      <c r="W393" s="25">
        <f t="shared" si="119"/>
        <v>-705</v>
      </c>
      <c r="X393" s="15">
        <v>1.6639999999999999</v>
      </c>
      <c r="Y393" s="12">
        <v>0.3</v>
      </c>
      <c r="Z393" s="21">
        <f t="shared" si="124"/>
        <v>2.73</v>
      </c>
      <c r="AA393" s="6"/>
      <c r="AB393" s="11" t="s">
        <v>1</v>
      </c>
    </row>
    <row r="394" spans="1:28" ht="13.8">
      <c r="A394" s="13">
        <f t="shared" si="123"/>
        <v>383</v>
      </c>
      <c r="B394" s="185" t="s">
        <v>455</v>
      </c>
      <c r="C394" s="10">
        <f t="shared" si="112"/>
        <v>1069</v>
      </c>
      <c r="D394" s="9">
        <f t="shared" si="125"/>
        <v>2043</v>
      </c>
      <c r="E394" s="26">
        <f t="shared" si="113"/>
        <v>3112</v>
      </c>
      <c r="F394" s="8">
        <f t="shared" si="106"/>
        <v>1190</v>
      </c>
      <c r="G394" s="8">
        <f t="shared" si="107"/>
        <v>1292</v>
      </c>
      <c r="H394" s="8">
        <f t="shared" si="108"/>
        <v>965</v>
      </c>
      <c r="I394" s="6">
        <f t="shared" si="109"/>
        <v>1922</v>
      </c>
      <c r="J394" s="6">
        <f t="shared" si="110"/>
        <v>1820</v>
      </c>
      <c r="K394" s="6">
        <f t="shared" si="111"/>
        <v>2147</v>
      </c>
      <c r="L394" s="6">
        <f t="shared" si="120"/>
        <v>3000</v>
      </c>
      <c r="M394" s="6">
        <f t="shared" si="121"/>
        <v>3000</v>
      </c>
      <c r="N394" s="6">
        <f t="shared" si="122"/>
        <v>3000</v>
      </c>
      <c r="O394" s="6">
        <f t="shared" si="114"/>
        <v>-1078</v>
      </c>
      <c r="P394" s="6">
        <f t="shared" si="115"/>
        <v>-1180</v>
      </c>
      <c r="Q394" s="6">
        <f t="shared" si="116"/>
        <v>-853</v>
      </c>
      <c r="R394" s="8">
        <v>6</v>
      </c>
      <c r="S394" s="8">
        <v>4</v>
      </c>
      <c r="T394" s="8">
        <v>8</v>
      </c>
      <c r="U394" s="25">
        <f t="shared" si="117"/>
        <v>-858</v>
      </c>
      <c r="V394" s="25">
        <f t="shared" si="118"/>
        <v>-970</v>
      </c>
      <c r="W394" s="25">
        <f t="shared" si="119"/>
        <v>-713</v>
      </c>
      <c r="X394" s="15">
        <v>1.66</v>
      </c>
      <c r="Y394" s="7"/>
      <c r="Z394" s="21">
        <f t="shared" si="124"/>
        <v>2.73</v>
      </c>
      <c r="AA394" s="6"/>
      <c r="AB394" s="11"/>
    </row>
    <row r="395" spans="1:28" ht="13.8">
      <c r="A395" s="13">
        <f t="shared" si="123"/>
        <v>384</v>
      </c>
      <c r="B395" s="185" t="s">
        <v>456</v>
      </c>
      <c r="C395" s="10">
        <f t="shared" si="112"/>
        <v>1069</v>
      </c>
      <c r="D395" s="9">
        <f t="shared" si="125"/>
        <v>2045</v>
      </c>
      <c r="E395" s="26">
        <f t="shared" si="113"/>
        <v>3114</v>
      </c>
      <c r="F395" s="8">
        <f t="shared" ref="F395:F458" si="126">C395+D395-I395</f>
        <v>1194</v>
      </c>
      <c r="G395" s="8">
        <f t="shared" ref="G395:G458" si="127">C395+D395-J395</f>
        <v>1297</v>
      </c>
      <c r="H395" s="8">
        <f t="shared" ref="H395:H458" si="128">D395+C395-K395</f>
        <v>973</v>
      </c>
      <c r="I395" s="6">
        <f t="shared" ref="I395:I458" si="129">L395+O395</f>
        <v>1920</v>
      </c>
      <c r="J395" s="6">
        <f t="shared" ref="J395:J458" si="130">M395+P395</f>
        <v>1817</v>
      </c>
      <c r="K395" s="6">
        <f t="shared" ref="K395:K458" si="131">N395+Q395</f>
        <v>2141</v>
      </c>
      <c r="L395" s="6">
        <f t="shared" si="120"/>
        <v>3000</v>
      </c>
      <c r="M395" s="6">
        <f t="shared" si="121"/>
        <v>3000</v>
      </c>
      <c r="N395" s="6">
        <f t="shared" si="122"/>
        <v>3000</v>
      </c>
      <c r="O395" s="6">
        <f t="shared" si="114"/>
        <v>-1080</v>
      </c>
      <c r="P395" s="6">
        <f t="shared" si="115"/>
        <v>-1183</v>
      </c>
      <c r="Q395" s="6">
        <f t="shared" si="116"/>
        <v>-859</v>
      </c>
      <c r="R395" s="8">
        <v>2</v>
      </c>
      <c r="S395" s="8">
        <v>3</v>
      </c>
      <c r="T395" s="8">
        <v>6</v>
      </c>
      <c r="U395" s="25">
        <f t="shared" si="117"/>
        <v>-860</v>
      </c>
      <c r="V395" s="25">
        <f t="shared" si="118"/>
        <v>-973</v>
      </c>
      <c r="W395" s="25">
        <f t="shared" si="119"/>
        <v>-719</v>
      </c>
      <c r="X395" s="15">
        <v>1.657</v>
      </c>
      <c r="Y395" s="7"/>
      <c r="Z395" s="21">
        <f t="shared" si="124"/>
        <v>2.73</v>
      </c>
      <c r="AA395" s="6"/>
      <c r="AB395" s="11"/>
    </row>
    <row r="396" spans="1:28" ht="13.8">
      <c r="A396" s="13">
        <f t="shared" si="123"/>
        <v>385</v>
      </c>
      <c r="B396" s="185" t="s">
        <v>457</v>
      </c>
      <c r="C396" s="10">
        <f t="shared" ref="C396:C459" si="132">C395</f>
        <v>1069</v>
      </c>
      <c r="D396" s="9">
        <f t="shared" si="125"/>
        <v>2047</v>
      </c>
      <c r="E396" s="26">
        <f t="shared" ref="E396:E459" si="133">C396+D396</f>
        <v>3116</v>
      </c>
      <c r="F396" s="8">
        <f t="shared" si="126"/>
        <v>1198</v>
      </c>
      <c r="G396" s="8">
        <f t="shared" si="127"/>
        <v>1300</v>
      </c>
      <c r="H396" s="8">
        <f t="shared" si="128"/>
        <v>976</v>
      </c>
      <c r="I396" s="6">
        <f t="shared" si="129"/>
        <v>1918</v>
      </c>
      <c r="J396" s="6">
        <f t="shared" si="130"/>
        <v>1816</v>
      </c>
      <c r="K396" s="6">
        <f t="shared" si="131"/>
        <v>2140</v>
      </c>
      <c r="L396" s="6">
        <f t="shared" si="120"/>
        <v>3000</v>
      </c>
      <c r="M396" s="6">
        <f t="shared" si="121"/>
        <v>3000</v>
      </c>
      <c r="N396" s="6">
        <f t="shared" si="122"/>
        <v>3000</v>
      </c>
      <c r="O396" s="6">
        <f t="shared" ref="O396:O459" si="134">O395-R396</f>
        <v>-1082</v>
      </c>
      <c r="P396" s="6">
        <f t="shared" ref="P396:P459" si="135">P395-S396</f>
        <v>-1184</v>
      </c>
      <c r="Q396" s="6">
        <f t="shared" ref="Q396:Q459" si="136">Q395-T396</f>
        <v>-860</v>
      </c>
      <c r="R396" s="8">
        <v>2</v>
      </c>
      <c r="S396" s="8">
        <v>1</v>
      </c>
      <c r="T396" s="8">
        <v>1</v>
      </c>
      <c r="U396" s="25">
        <f t="shared" ref="U396:U459" si="137">U395-R396</f>
        <v>-862</v>
      </c>
      <c r="V396" s="25">
        <f t="shared" ref="V396:V459" si="138">V395-S396</f>
        <v>-974</v>
      </c>
      <c r="W396" s="25">
        <f t="shared" ref="W396:W459" si="139">W395-T396</f>
        <v>-720</v>
      </c>
      <c r="X396" s="15">
        <v>1.6559999999999999</v>
      </c>
      <c r="Y396" s="7"/>
      <c r="Z396" s="21">
        <f t="shared" si="124"/>
        <v>2.73</v>
      </c>
      <c r="AA396" s="6"/>
      <c r="AB396" s="11"/>
    </row>
    <row r="397" spans="1:28" ht="13.8">
      <c r="A397" s="13">
        <f t="shared" si="123"/>
        <v>386</v>
      </c>
      <c r="B397" s="185" t="s">
        <v>458</v>
      </c>
      <c r="C397" s="10">
        <f t="shared" si="132"/>
        <v>1069</v>
      </c>
      <c r="D397" s="9">
        <f t="shared" si="125"/>
        <v>2049</v>
      </c>
      <c r="E397" s="26">
        <f t="shared" si="133"/>
        <v>3118</v>
      </c>
      <c r="F397" s="8">
        <f t="shared" si="126"/>
        <v>1200</v>
      </c>
      <c r="G397" s="8">
        <f t="shared" si="127"/>
        <v>1302</v>
      </c>
      <c r="H397" s="8">
        <f t="shared" si="128"/>
        <v>980</v>
      </c>
      <c r="I397" s="6">
        <f t="shared" si="129"/>
        <v>1918</v>
      </c>
      <c r="J397" s="6">
        <f t="shared" si="130"/>
        <v>1816</v>
      </c>
      <c r="K397" s="6">
        <f t="shared" si="131"/>
        <v>2138</v>
      </c>
      <c r="L397" s="6">
        <f t="shared" si="120"/>
        <v>3000</v>
      </c>
      <c r="M397" s="6">
        <f t="shared" si="121"/>
        <v>3000</v>
      </c>
      <c r="N397" s="6">
        <f t="shared" si="122"/>
        <v>3000</v>
      </c>
      <c r="O397" s="6">
        <f t="shared" si="134"/>
        <v>-1082</v>
      </c>
      <c r="P397" s="6">
        <f t="shared" si="135"/>
        <v>-1184</v>
      </c>
      <c r="Q397" s="6">
        <f t="shared" si="136"/>
        <v>-862</v>
      </c>
      <c r="R397" s="8">
        <v>0</v>
      </c>
      <c r="S397" s="8">
        <v>0</v>
      </c>
      <c r="T397" s="8">
        <v>2</v>
      </c>
      <c r="U397" s="25">
        <f t="shared" si="137"/>
        <v>-862</v>
      </c>
      <c r="V397" s="25">
        <f t="shared" si="138"/>
        <v>-974</v>
      </c>
      <c r="W397" s="25">
        <f t="shared" si="139"/>
        <v>-722</v>
      </c>
      <c r="X397" s="15">
        <v>1.6559999999999999</v>
      </c>
      <c r="Y397" s="7"/>
      <c r="Z397" s="21">
        <f t="shared" si="124"/>
        <v>2.73</v>
      </c>
      <c r="AA397" s="6"/>
      <c r="AB397" s="11"/>
    </row>
    <row r="398" spans="1:28" ht="13.8">
      <c r="A398" s="10">
        <f t="shared" si="123"/>
        <v>387</v>
      </c>
      <c r="B398" s="185" t="s">
        <v>459</v>
      </c>
      <c r="C398" s="10">
        <f t="shared" si="132"/>
        <v>1069</v>
      </c>
      <c r="D398" s="9">
        <f t="shared" si="125"/>
        <v>2051</v>
      </c>
      <c r="E398" s="26">
        <f t="shared" si="133"/>
        <v>3120</v>
      </c>
      <c r="F398" s="8">
        <f t="shared" si="126"/>
        <v>1207</v>
      </c>
      <c r="G398" s="8">
        <f t="shared" si="127"/>
        <v>1309</v>
      </c>
      <c r="H398" s="8">
        <f t="shared" si="128"/>
        <v>986</v>
      </c>
      <c r="I398" s="6">
        <f t="shared" si="129"/>
        <v>1913</v>
      </c>
      <c r="J398" s="6">
        <f t="shared" si="130"/>
        <v>1811</v>
      </c>
      <c r="K398" s="6">
        <f t="shared" si="131"/>
        <v>2134</v>
      </c>
      <c r="L398" s="6">
        <f t="shared" si="120"/>
        <v>3000</v>
      </c>
      <c r="M398" s="6">
        <f t="shared" si="121"/>
        <v>3000</v>
      </c>
      <c r="N398" s="6">
        <f t="shared" si="122"/>
        <v>3000</v>
      </c>
      <c r="O398" s="6">
        <f t="shared" si="134"/>
        <v>-1087</v>
      </c>
      <c r="P398" s="6">
        <f t="shared" si="135"/>
        <v>-1189</v>
      </c>
      <c r="Q398" s="6">
        <f t="shared" si="136"/>
        <v>-866</v>
      </c>
      <c r="R398" s="8">
        <v>5</v>
      </c>
      <c r="S398" s="8">
        <v>5</v>
      </c>
      <c r="T398" s="8">
        <v>4</v>
      </c>
      <c r="U398" s="25">
        <f t="shared" si="137"/>
        <v>-867</v>
      </c>
      <c r="V398" s="25">
        <f t="shared" si="138"/>
        <v>-979</v>
      </c>
      <c r="W398" s="25">
        <f t="shared" si="139"/>
        <v>-726</v>
      </c>
      <c r="X398" s="15">
        <v>1.9510000000000001</v>
      </c>
      <c r="Y398" s="12">
        <v>0.3</v>
      </c>
      <c r="Z398" s="21">
        <f t="shared" si="124"/>
        <v>3.03</v>
      </c>
      <c r="AA398" s="6"/>
      <c r="AB398" s="11" t="s">
        <v>0</v>
      </c>
    </row>
    <row r="399" spans="1:28" ht="13.2" customHeight="1">
      <c r="A399" s="10">
        <f t="shared" si="123"/>
        <v>388</v>
      </c>
      <c r="B399" s="185" t="s">
        <v>460</v>
      </c>
      <c r="C399" s="10">
        <f t="shared" si="132"/>
        <v>1069</v>
      </c>
      <c r="D399" s="9">
        <f t="shared" si="125"/>
        <v>2053</v>
      </c>
      <c r="E399" s="26">
        <f t="shared" si="133"/>
        <v>3122</v>
      </c>
      <c r="F399" s="8">
        <f t="shared" si="126"/>
        <v>1214</v>
      </c>
      <c r="G399" s="8">
        <f t="shared" si="127"/>
        <v>1316</v>
      </c>
      <c r="H399" s="8">
        <f t="shared" si="128"/>
        <v>992</v>
      </c>
      <c r="I399" s="6">
        <f t="shared" si="129"/>
        <v>1908</v>
      </c>
      <c r="J399" s="6">
        <f t="shared" si="130"/>
        <v>1806</v>
      </c>
      <c r="K399" s="6">
        <f t="shared" si="131"/>
        <v>2130</v>
      </c>
      <c r="L399" s="6">
        <f t="shared" si="120"/>
        <v>3000</v>
      </c>
      <c r="M399" s="6">
        <f t="shared" si="121"/>
        <v>3000</v>
      </c>
      <c r="N399" s="6">
        <f t="shared" si="122"/>
        <v>3000</v>
      </c>
      <c r="O399" s="6">
        <f t="shared" si="134"/>
        <v>-1092</v>
      </c>
      <c r="P399" s="6">
        <f t="shared" si="135"/>
        <v>-1194</v>
      </c>
      <c r="Q399" s="6">
        <f t="shared" si="136"/>
        <v>-870</v>
      </c>
      <c r="R399" s="8">
        <v>5</v>
      </c>
      <c r="S399" s="8">
        <v>5</v>
      </c>
      <c r="T399" s="8">
        <v>4</v>
      </c>
      <c r="U399" s="25">
        <f t="shared" si="137"/>
        <v>-872</v>
      </c>
      <c r="V399" s="25">
        <f t="shared" si="138"/>
        <v>-984</v>
      </c>
      <c r="W399" s="25">
        <f t="shared" si="139"/>
        <v>-730</v>
      </c>
      <c r="X399" s="15">
        <v>1.946</v>
      </c>
      <c r="Y399" s="6"/>
      <c r="Z399" s="21">
        <f t="shared" si="124"/>
        <v>3.03</v>
      </c>
      <c r="AA399" s="6"/>
      <c r="AB399" s="6"/>
    </row>
    <row r="400" spans="1:28" ht="13.2" customHeight="1">
      <c r="A400" s="10">
        <f t="shared" si="123"/>
        <v>389</v>
      </c>
      <c r="B400" s="185" t="s">
        <v>461</v>
      </c>
      <c r="C400" s="10">
        <f t="shared" si="132"/>
        <v>1069</v>
      </c>
      <c r="D400" s="9">
        <f t="shared" si="125"/>
        <v>2055</v>
      </c>
      <c r="E400" s="26">
        <f t="shared" si="133"/>
        <v>3124</v>
      </c>
      <c r="F400" s="8">
        <f t="shared" si="126"/>
        <v>1221</v>
      </c>
      <c r="G400" s="8">
        <f t="shared" si="127"/>
        <v>1323</v>
      </c>
      <c r="H400" s="8">
        <f t="shared" si="128"/>
        <v>996</v>
      </c>
      <c r="I400" s="6">
        <f t="shared" si="129"/>
        <v>1903</v>
      </c>
      <c r="J400" s="6">
        <f t="shared" si="130"/>
        <v>1801</v>
      </c>
      <c r="K400" s="6">
        <f t="shared" si="131"/>
        <v>2128</v>
      </c>
      <c r="L400" s="6">
        <f t="shared" si="120"/>
        <v>3000</v>
      </c>
      <c r="M400" s="6">
        <f t="shared" si="121"/>
        <v>3000</v>
      </c>
      <c r="N400" s="6">
        <f t="shared" si="122"/>
        <v>3000</v>
      </c>
      <c r="O400" s="6">
        <f t="shared" si="134"/>
        <v>-1097</v>
      </c>
      <c r="P400" s="6">
        <f t="shared" si="135"/>
        <v>-1199</v>
      </c>
      <c r="Q400" s="6">
        <f t="shared" si="136"/>
        <v>-872</v>
      </c>
      <c r="R400" s="8">
        <v>5</v>
      </c>
      <c r="S400" s="8">
        <v>5</v>
      </c>
      <c r="T400" s="8">
        <v>2</v>
      </c>
      <c r="U400" s="25">
        <f t="shared" si="137"/>
        <v>-877</v>
      </c>
      <c r="V400" s="25">
        <f t="shared" si="138"/>
        <v>-989</v>
      </c>
      <c r="W400" s="25">
        <f t="shared" si="139"/>
        <v>-732</v>
      </c>
      <c r="X400" s="15">
        <v>1.9410000000000001</v>
      </c>
      <c r="Y400" s="6"/>
      <c r="Z400" s="21">
        <f t="shared" si="124"/>
        <v>3.03</v>
      </c>
      <c r="AA400" s="6"/>
      <c r="AB400" s="6"/>
    </row>
    <row r="401" spans="1:28" ht="13.2" customHeight="1">
      <c r="A401" s="10">
        <f t="shared" si="123"/>
        <v>390</v>
      </c>
      <c r="B401" s="185" t="s">
        <v>462</v>
      </c>
      <c r="C401" s="10">
        <f t="shared" si="132"/>
        <v>1069</v>
      </c>
      <c r="D401" s="9">
        <f t="shared" si="125"/>
        <v>2057</v>
      </c>
      <c r="E401" s="26">
        <f t="shared" si="133"/>
        <v>3126</v>
      </c>
      <c r="F401" s="8">
        <f t="shared" si="126"/>
        <v>1228</v>
      </c>
      <c r="G401" s="8">
        <f t="shared" si="127"/>
        <v>1330</v>
      </c>
      <c r="H401" s="8">
        <f t="shared" si="128"/>
        <v>1002</v>
      </c>
      <c r="I401" s="6">
        <f t="shared" si="129"/>
        <v>1898</v>
      </c>
      <c r="J401" s="6">
        <f t="shared" si="130"/>
        <v>1796</v>
      </c>
      <c r="K401" s="6">
        <f t="shared" si="131"/>
        <v>2124</v>
      </c>
      <c r="L401" s="6">
        <f t="shared" si="120"/>
        <v>3000</v>
      </c>
      <c r="M401" s="6">
        <f t="shared" si="121"/>
        <v>3000</v>
      </c>
      <c r="N401" s="6">
        <f t="shared" si="122"/>
        <v>3000</v>
      </c>
      <c r="O401" s="6">
        <f t="shared" si="134"/>
        <v>-1102</v>
      </c>
      <c r="P401" s="6">
        <f t="shared" si="135"/>
        <v>-1204</v>
      </c>
      <c r="Q401" s="6">
        <f t="shared" si="136"/>
        <v>-876</v>
      </c>
      <c r="R401" s="8">
        <v>5</v>
      </c>
      <c r="S401" s="8">
        <v>5</v>
      </c>
      <c r="T401" s="8">
        <v>4</v>
      </c>
      <c r="U401" s="25">
        <f t="shared" si="137"/>
        <v>-882</v>
      </c>
      <c r="V401" s="25">
        <f t="shared" si="138"/>
        <v>-994</v>
      </c>
      <c r="W401" s="25">
        <f t="shared" si="139"/>
        <v>-736</v>
      </c>
      <c r="X401" s="15">
        <v>1.9359999999999999</v>
      </c>
      <c r="Y401" s="6"/>
      <c r="Z401" s="21">
        <f t="shared" si="124"/>
        <v>3.03</v>
      </c>
      <c r="AA401" s="6"/>
      <c r="AB401" s="6"/>
    </row>
    <row r="402" spans="1:28" ht="13.2" customHeight="1">
      <c r="A402" s="10">
        <f t="shared" si="123"/>
        <v>391</v>
      </c>
      <c r="B402" s="185" t="s">
        <v>463</v>
      </c>
      <c r="C402" s="10">
        <f t="shared" si="132"/>
        <v>1069</v>
      </c>
      <c r="D402" s="9">
        <f t="shared" si="125"/>
        <v>2059</v>
      </c>
      <c r="E402" s="26">
        <f t="shared" si="133"/>
        <v>3128</v>
      </c>
      <c r="F402" s="8">
        <f t="shared" si="126"/>
        <v>1235</v>
      </c>
      <c r="G402" s="8">
        <f t="shared" si="127"/>
        <v>1337</v>
      </c>
      <c r="H402" s="8">
        <f t="shared" si="128"/>
        <v>1008</v>
      </c>
      <c r="I402" s="6">
        <f t="shared" si="129"/>
        <v>1893</v>
      </c>
      <c r="J402" s="6">
        <f t="shared" si="130"/>
        <v>1791</v>
      </c>
      <c r="K402" s="6">
        <f t="shared" si="131"/>
        <v>2120</v>
      </c>
      <c r="L402" s="6">
        <f t="shared" ref="L402:L465" si="140">L401</f>
        <v>3000</v>
      </c>
      <c r="M402" s="6">
        <f t="shared" ref="M402:M465" si="141">M401</f>
        <v>3000</v>
      </c>
      <c r="N402" s="6">
        <f t="shared" ref="N402:N465" si="142">N401</f>
        <v>3000</v>
      </c>
      <c r="O402" s="6">
        <f t="shared" si="134"/>
        <v>-1107</v>
      </c>
      <c r="P402" s="6">
        <f t="shared" si="135"/>
        <v>-1209</v>
      </c>
      <c r="Q402" s="6">
        <f t="shared" si="136"/>
        <v>-880</v>
      </c>
      <c r="R402" s="8">
        <v>5</v>
      </c>
      <c r="S402" s="8">
        <v>5</v>
      </c>
      <c r="T402" s="8">
        <v>4</v>
      </c>
      <c r="U402" s="25">
        <f t="shared" si="137"/>
        <v>-887</v>
      </c>
      <c r="V402" s="25">
        <f t="shared" si="138"/>
        <v>-999</v>
      </c>
      <c r="W402" s="25">
        <f t="shared" si="139"/>
        <v>-740</v>
      </c>
      <c r="X402" s="15">
        <v>1.931</v>
      </c>
      <c r="Y402" s="6"/>
      <c r="Z402" s="21">
        <f t="shared" si="124"/>
        <v>3.03</v>
      </c>
      <c r="AA402" s="6"/>
      <c r="AB402" s="6"/>
    </row>
    <row r="403" spans="1:28" ht="13.2" customHeight="1">
      <c r="A403" s="10">
        <f t="shared" si="123"/>
        <v>392</v>
      </c>
      <c r="B403" s="185" t="s">
        <v>464</v>
      </c>
      <c r="C403" s="10">
        <f t="shared" si="132"/>
        <v>1069</v>
      </c>
      <c r="D403" s="9">
        <f t="shared" si="125"/>
        <v>2061</v>
      </c>
      <c r="E403" s="26">
        <f t="shared" si="133"/>
        <v>3130</v>
      </c>
      <c r="F403" s="8">
        <f t="shared" si="126"/>
        <v>1242</v>
      </c>
      <c r="G403" s="8">
        <f t="shared" si="127"/>
        <v>1344</v>
      </c>
      <c r="H403" s="8">
        <f t="shared" si="128"/>
        <v>1011</v>
      </c>
      <c r="I403" s="6">
        <f t="shared" si="129"/>
        <v>1888</v>
      </c>
      <c r="J403" s="6">
        <f t="shared" si="130"/>
        <v>1786</v>
      </c>
      <c r="K403" s="6">
        <f t="shared" si="131"/>
        <v>2119</v>
      </c>
      <c r="L403" s="6">
        <f t="shared" si="140"/>
        <v>3000</v>
      </c>
      <c r="M403" s="6">
        <f t="shared" si="141"/>
        <v>3000</v>
      </c>
      <c r="N403" s="6">
        <f t="shared" si="142"/>
        <v>3000</v>
      </c>
      <c r="O403" s="6">
        <f t="shared" si="134"/>
        <v>-1112</v>
      </c>
      <c r="P403" s="6">
        <f t="shared" si="135"/>
        <v>-1214</v>
      </c>
      <c r="Q403" s="6">
        <f t="shared" si="136"/>
        <v>-881</v>
      </c>
      <c r="R403" s="8">
        <v>5</v>
      </c>
      <c r="S403" s="8">
        <v>5</v>
      </c>
      <c r="T403" s="8">
        <v>1</v>
      </c>
      <c r="U403" s="25">
        <f t="shared" si="137"/>
        <v>-892</v>
      </c>
      <c r="V403" s="25">
        <f t="shared" si="138"/>
        <v>-1004</v>
      </c>
      <c r="W403" s="25">
        <f t="shared" si="139"/>
        <v>-741</v>
      </c>
      <c r="X403" s="15">
        <v>1.9259999999999999</v>
      </c>
      <c r="Y403" s="6"/>
      <c r="Z403" s="21">
        <f t="shared" si="124"/>
        <v>3.03</v>
      </c>
      <c r="AA403" s="6"/>
      <c r="AB403" s="6"/>
    </row>
    <row r="404" spans="1:28" ht="13.2" customHeight="1">
      <c r="A404" s="10">
        <f t="shared" ref="A404:A467" si="143">+A403+1</f>
        <v>393</v>
      </c>
      <c r="B404" s="185" t="s">
        <v>465</v>
      </c>
      <c r="C404" s="10">
        <f t="shared" si="132"/>
        <v>1069</v>
      </c>
      <c r="D404" s="9">
        <f t="shared" si="125"/>
        <v>2063</v>
      </c>
      <c r="E404" s="26">
        <f t="shared" si="133"/>
        <v>3132</v>
      </c>
      <c r="F404" s="8">
        <f t="shared" si="126"/>
        <v>1249</v>
      </c>
      <c r="G404" s="8">
        <f t="shared" si="127"/>
        <v>1351</v>
      </c>
      <c r="H404" s="8">
        <f t="shared" si="128"/>
        <v>1017</v>
      </c>
      <c r="I404" s="6">
        <f t="shared" si="129"/>
        <v>1883</v>
      </c>
      <c r="J404" s="6">
        <f t="shared" si="130"/>
        <v>1781</v>
      </c>
      <c r="K404" s="6">
        <f t="shared" si="131"/>
        <v>2115</v>
      </c>
      <c r="L404" s="6">
        <f t="shared" si="140"/>
        <v>3000</v>
      </c>
      <c r="M404" s="6">
        <f t="shared" si="141"/>
        <v>3000</v>
      </c>
      <c r="N404" s="6">
        <f t="shared" si="142"/>
        <v>3000</v>
      </c>
      <c r="O404" s="6">
        <f t="shared" si="134"/>
        <v>-1117</v>
      </c>
      <c r="P404" s="6">
        <f t="shared" si="135"/>
        <v>-1219</v>
      </c>
      <c r="Q404" s="6">
        <f t="shared" si="136"/>
        <v>-885</v>
      </c>
      <c r="R404" s="8">
        <v>5</v>
      </c>
      <c r="S404" s="8">
        <v>5</v>
      </c>
      <c r="T404" s="8">
        <v>4</v>
      </c>
      <c r="U404" s="25">
        <f t="shared" si="137"/>
        <v>-897</v>
      </c>
      <c r="V404" s="25">
        <f t="shared" si="138"/>
        <v>-1009</v>
      </c>
      <c r="W404" s="25">
        <f t="shared" si="139"/>
        <v>-745</v>
      </c>
      <c r="X404" s="15">
        <v>1.921</v>
      </c>
      <c r="Y404" s="6"/>
      <c r="Z404" s="21">
        <f t="shared" si="124"/>
        <v>3.03</v>
      </c>
      <c r="AA404" s="6"/>
      <c r="AB404" s="6"/>
    </row>
    <row r="405" spans="1:28" ht="13.2" customHeight="1">
      <c r="A405" s="10">
        <f t="shared" si="143"/>
        <v>394</v>
      </c>
      <c r="B405" s="185" t="s">
        <v>466</v>
      </c>
      <c r="C405" s="10">
        <f t="shared" si="132"/>
        <v>1069</v>
      </c>
      <c r="D405" s="9">
        <f t="shared" si="125"/>
        <v>2065</v>
      </c>
      <c r="E405" s="26">
        <f t="shared" si="133"/>
        <v>3134</v>
      </c>
      <c r="F405" s="8">
        <f t="shared" si="126"/>
        <v>1256</v>
      </c>
      <c r="G405" s="8">
        <f t="shared" si="127"/>
        <v>1358</v>
      </c>
      <c r="H405" s="8">
        <f t="shared" si="128"/>
        <v>1023</v>
      </c>
      <c r="I405" s="6">
        <f t="shared" si="129"/>
        <v>1878</v>
      </c>
      <c r="J405" s="6">
        <f t="shared" si="130"/>
        <v>1776</v>
      </c>
      <c r="K405" s="6">
        <f t="shared" si="131"/>
        <v>2111</v>
      </c>
      <c r="L405" s="6">
        <f t="shared" si="140"/>
        <v>3000</v>
      </c>
      <c r="M405" s="6">
        <f t="shared" si="141"/>
        <v>3000</v>
      </c>
      <c r="N405" s="6">
        <f t="shared" si="142"/>
        <v>3000</v>
      </c>
      <c r="O405" s="6">
        <f t="shared" si="134"/>
        <v>-1122</v>
      </c>
      <c r="P405" s="6">
        <f t="shared" si="135"/>
        <v>-1224</v>
      </c>
      <c r="Q405" s="6">
        <f t="shared" si="136"/>
        <v>-889</v>
      </c>
      <c r="R405" s="8">
        <v>5</v>
      </c>
      <c r="S405" s="8">
        <v>5</v>
      </c>
      <c r="T405" s="8">
        <v>4</v>
      </c>
      <c r="U405" s="25">
        <f t="shared" si="137"/>
        <v>-902</v>
      </c>
      <c r="V405" s="25">
        <f t="shared" si="138"/>
        <v>-1014</v>
      </c>
      <c r="W405" s="25">
        <f t="shared" si="139"/>
        <v>-749</v>
      </c>
      <c r="X405" s="15">
        <v>1.9159999999999999</v>
      </c>
      <c r="Y405" s="6"/>
      <c r="Z405" s="21">
        <f t="shared" si="124"/>
        <v>3.03</v>
      </c>
      <c r="AA405" s="6"/>
      <c r="AB405" s="6"/>
    </row>
    <row r="406" spans="1:28" ht="13.2" customHeight="1">
      <c r="A406" s="10">
        <f t="shared" si="143"/>
        <v>395</v>
      </c>
      <c r="B406" s="185" t="s">
        <v>467</v>
      </c>
      <c r="C406" s="10">
        <f t="shared" si="132"/>
        <v>1069</v>
      </c>
      <c r="D406" s="9">
        <f t="shared" si="125"/>
        <v>2067</v>
      </c>
      <c r="E406" s="26">
        <f t="shared" si="133"/>
        <v>3136</v>
      </c>
      <c r="F406" s="8">
        <f t="shared" si="126"/>
        <v>1263</v>
      </c>
      <c r="G406" s="8">
        <f t="shared" si="127"/>
        <v>1365</v>
      </c>
      <c r="H406" s="8">
        <f t="shared" si="128"/>
        <v>1029</v>
      </c>
      <c r="I406" s="6">
        <f t="shared" si="129"/>
        <v>1873</v>
      </c>
      <c r="J406" s="6">
        <f t="shared" si="130"/>
        <v>1771</v>
      </c>
      <c r="K406" s="6">
        <f t="shared" si="131"/>
        <v>2107</v>
      </c>
      <c r="L406" s="6">
        <f t="shared" si="140"/>
        <v>3000</v>
      </c>
      <c r="M406" s="6">
        <f t="shared" si="141"/>
        <v>3000</v>
      </c>
      <c r="N406" s="6">
        <f t="shared" si="142"/>
        <v>3000</v>
      </c>
      <c r="O406" s="6">
        <f t="shared" si="134"/>
        <v>-1127</v>
      </c>
      <c r="P406" s="6">
        <f t="shared" si="135"/>
        <v>-1229</v>
      </c>
      <c r="Q406" s="6">
        <f t="shared" si="136"/>
        <v>-893</v>
      </c>
      <c r="R406" s="8">
        <v>5</v>
      </c>
      <c r="S406" s="8">
        <v>5</v>
      </c>
      <c r="T406" s="8">
        <v>4</v>
      </c>
      <c r="U406" s="25">
        <f t="shared" si="137"/>
        <v>-907</v>
      </c>
      <c r="V406" s="25">
        <f t="shared" si="138"/>
        <v>-1019</v>
      </c>
      <c r="W406" s="25">
        <f t="shared" si="139"/>
        <v>-753</v>
      </c>
      <c r="X406" s="15">
        <v>1.911</v>
      </c>
      <c r="Y406" s="6"/>
      <c r="Z406" s="21">
        <f t="shared" si="124"/>
        <v>3.03</v>
      </c>
      <c r="AA406" s="6"/>
      <c r="AB406" s="6"/>
    </row>
    <row r="407" spans="1:28" ht="13.2" customHeight="1">
      <c r="A407" s="10">
        <f t="shared" si="143"/>
        <v>396</v>
      </c>
      <c r="B407" s="185" t="s">
        <v>468</v>
      </c>
      <c r="C407" s="10">
        <f t="shared" si="132"/>
        <v>1069</v>
      </c>
      <c r="D407" s="9">
        <f t="shared" si="125"/>
        <v>2069</v>
      </c>
      <c r="E407" s="26">
        <f t="shared" si="133"/>
        <v>3138</v>
      </c>
      <c r="F407" s="8">
        <f t="shared" si="126"/>
        <v>1270</v>
      </c>
      <c r="G407" s="8">
        <f t="shared" si="127"/>
        <v>1372</v>
      </c>
      <c r="H407" s="8">
        <f t="shared" si="128"/>
        <v>1032</v>
      </c>
      <c r="I407" s="6">
        <f t="shared" si="129"/>
        <v>1868</v>
      </c>
      <c r="J407" s="6">
        <f t="shared" si="130"/>
        <v>1766</v>
      </c>
      <c r="K407" s="6">
        <f t="shared" si="131"/>
        <v>2106</v>
      </c>
      <c r="L407" s="6">
        <f t="shared" si="140"/>
        <v>3000</v>
      </c>
      <c r="M407" s="6">
        <f t="shared" si="141"/>
        <v>3000</v>
      </c>
      <c r="N407" s="6">
        <f t="shared" si="142"/>
        <v>3000</v>
      </c>
      <c r="O407" s="6">
        <f t="shared" si="134"/>
        <v>-1132</v>
      </c>
      <c r="P407" s="6">
        <f t="shared" si="135"/>
        <v>-1234</v>
      </c>
      <c r="Q407" s="6">
        <f t="shared" si="136"/>
        <v>-894</v>
      </c>
      <c r="R407" s="8">
        <v>5</v>
      </c>
      <c r="S407" s="8">
        <v>5</v>
      </c>
      <c r="T407" s="8">
        <v>1</v>
      </c>
      <c r="U407" s="25">
        <f t="shared" si="137"/>
        <v>-912</v>
      </c>
      <c r="V407" s="25">
        <f t="shared" si="138"/>
        <v>-1024</v>
      </c>
      <c r="W407" s="25">
        <f t="shared" si="139"/>
        <v>-754</v>
      </c>
      <c r="X407" s="15">
        <v>1.9059999999999999</v>
      </c>
      <c r="Y407" s="6"/>
      <c r="Z407" s="21">
        <f t="shared" si="124"/>
        <v>3.03</v>
      </c>
      <c r="AA407" s="6"/>
      <c r="AB407" s="6"/>
    </row>
    <row r="408" spans="1:28" ht="13.2" customHeight="1">
      <c r="A408" s="10">
        <f t="shared" si="143"/>
        <v>397</v>
      </c>
      <c r="B408" s="185" t="s">
        <v>469</v>
      </c>
      <c r="C408" s="10">
        <f t="shared" si="132"/>
        <v>1069</v>
      </c>
      <c r="D408" s="9">
        <f t="shared" si="125"/>
        <v>2071</v>
      </c>
      <c r="E408" s="26">
        <f t="shared" si="133"/>
        <v>3140</v>
      </c>
      <c r="F408" s="8">
        <f t="shared" si="126"/>
        <v>1277</v>
      </c>
      <c r="G408" s="8">
        <f t="shared" si="127"/>
        <v>1379</v>
      </c>
      <c r="H408" s="8">
        <f t="shared" si="128"/>
        <v>1038</v>
      </c>
      <c r="I408" s="6">
        <f t="shared" si="129"/>
        <v>1863</v>
      </c>
      <c r="J408" s="6">
        <f t="shared" si="130"/>
        <v>1761</v>
      </c>
      <c r="K408" s="6">
        <f t="shared" si="131"/>
        <v>2102</v>
      </c>
      <c r="L408" s="6">
        <f t="shared" si="140"/>
        <v>3000</v>
      </c>
      <c r="M408" s="6">
        <f t="shared" si="141"/>
        <v>3000</v>
      </c>
      <c r="N408" s="6">
        <f t="shared" si="142"/>
        <v>3000</v>
      </c>
      <c r="O408" s="6">
        <f t="shared" si="134"/>
        <v>-1137</v>
      </c>
      <c r="P408" s="6">
        <f t="shared" si="135"/>
        <v>-1239</v>
      </c>
      <c r="Q408" s="6">
        <f t="shared" si="136"/>
        <v>-898</v>
      </c>
      <c r="R408" s="8">
        <v>5</v>
      </c>
      <c r="S408" s="8">
        <v>5</v>
      </c>
      <c r="T408" s="8">
        <v>4</v>
      </c>
      <c r="U408" s="25">
        <f t="shared" si="137"/>
        <v>-917</v>
      </c>
      <c r="V408" s="25">
        <f t="shared" si="138"/>
        <v>-1029</v>
      </c>
      <c r="W408" s="25">
        <f t="shared" si="139"/>
        <v>-758</v>
      </c>
      <c r="X408" s="15">
        <v>1.901</v>
      </c>
      <c r="Y408" s="6"/>
      <c r="Z408" s="21">
        <f t="shared" si="124"/>
        <v>3.03</v>
      </c>
      <c r="AA408" s="6"/>
      <c r="AB408" s="6"/>
    </row>
    <row r="409" spans="1:28" ht="13.2" customHeight="1">
      <c r="A409" s="10">
        <f t="shared" si="143"/>
        <v>398</v>
      </c>
      <c r="B409" s="185" t="s">
        <v>470</v>
      </c>
      <c r="C409" s="10">
        <f t="shared" si="132"/>
        <v>1069</v>
      </c>
      <c r="D409" s="9">
        <f t="shared" si="125"/>
        <v>2073</v>
      </c>
      <c r="E409" s="26">
        <f t="shared" si="133"/>
        <v>3142</v>
      </c>
      <c r="F409" s="8">
        <f t="shared" si="126"/>
        <v>1284</v>
      </c>
      <c r="G409" s="8">
        <f t="shared" si="127"/>
        <v>1386</v>
      </c>
      <c r="H409" s="8">
        <f t="shared" si="128"/>
        <v>1041</v>
      </c>
      <c r="I409" s="6">
        <f t="shared" si="129"/>
        <v>1858</v>
      </c>
      <c r="J409" s="6">
        <f t="shared" si="130"/>
        <v>1756</v>
      </c>
      <c r="K409" s="6">
        <f t="shared" si="131"/>
        <v>2101</v>
      </c>
      <c r="L409" s="6">
        <f t="shared" si="140"/>
        <v>3000</v>
      </c>
      <c r="M409" s="6">
        <f t="shared" si="141"/>
        <v>3000</v>
      </c>
      <c r="N409" s="6">
        <f t="shared" si="142"/>
        <v>3000</v>
      </c>
      <c r="O409" s="6">
        <f t="shared" si="134"/>
        <v>-1142</v>
      </c>
      <c r="P409" s="6">
        <f t="shared" si="135"/>
        <v>-1244</v>
      </c>
      <c r="Q409" s="6">
        <f t="shared" si="136"/>
        <v>-899</v>
      </c>
      <c r="R409" s="8">
        <v>5</v>
      </c>
      <c r="S409" s="8">
        <v>5</v>
      </c>
      <c r="T409" s="8">
        <v>1</v>
      </c>
      <c r="U409" s="25">
        <f t="shared" si="137"/>
        <v>-922</v>
      </c>
      <c r="V409" s="25">
        <f t="shared" si="138"/>
        <v>-1034</v>
      </c>
      <c r="W409" s="25">
        <f t="shared" si="139"/>
        <v>-759</v>
      </c>
      <c r="X409" s="15">
        <v>1.8959999999999999</v>
      </c>
      <c r="Y409" s="6"/>
      <c r="Z409" s="21">
        <f t="shared" si="124"/>
        <v>3.03</v>
      </c>
      <c r="AA409" s="6"/>
      <c r="AB409" s="6"/>
    </row>
    <row r="410" spans="1:28" ht="13.2" customHeight="1">
      <c r="A410" s="10">
        <f t="shared" si="143"/>
        <v>399</v>
      </c>
      <c r="B410" s="185" t="s">
        <v>471</v>
      </c>
      <c r="C410" s="10">
        <f t="shared" si="132"/>
        <v>1069</v>
      </c>
      <c r="D410" s="9">
        <f t="shared" si="125"/>
        <v>2075</v>
      </c>
      <c r="E410" s="26">
        <f t="shared" si="133"/>
        <v>3144</v>
      </c>
      <c r="F410" s="8">
        <f t="shared" si="126"/>
        <v>1291</v>
      </c>
      <c r="G410" s="8">
        <f t="shared" si="127"/>
        <v>1393</v>
      </c>
      <c r="H410" s="8">
        <f t="shared" si="128"/>
        <v>1047</v>
      </c>
      <c r="I410" s="6">
        <f t="shared" si="129"/>
        <v>1853</v>
      </c>
      <c r="J410" s="6">
        <f t="shared" si="130"/>
        <v>1751</v>
      </c>
      <c r="K410" s="6">
        <f t="shared" si="131"/>
        <v>2097</v>
      </c>
      <c r="L410" s="6">
        <f t="shared" si="140"/>
        <v>3000</v>
      </c>
      <c r="M410" s="6">
        <f t="shared" si="141"/>
        <v>3000</v>
      </c>
      <c r="N410" s="6">
        <f t="shared" si="142"/>
        <v>3000</v>
      </c>
      <c r="O410" s="6">
        <f t="shared" si="134"/>
        <v>-1147</v>
      </c>
      <c r="P410" s="6">
        <f t="shared" si="135"/>
        <v>-1249</v>
      </c>
      <c r="Q410" s="6">
        <f t="shared" si="136"/>
        <v>-903</v>
      </c>
      <c r="R410" s="8">
        <v>5</v>
      </c>
      <c r="S410" s="8">
        <v>5</v>
      </c>
      <c r="T410" s="8">
        <v>4</v>
      </c>
      <c r="U410" s="25">
        <f t="shared" si="137"/>
        <v>-927</v>
      </c>
      <c r="V410" s="25">
        <f t="shared" si="138"/>
        <v>-1039</v>
      </c>
      <c r="W410" s="25">
        <f t="shared" si="139"/>
        <v>-763</v>
      </c>
      <c r="X410" s="15">
        <v>1.891</v>
      </c>
      <c r="Y410" s="6"/>
      <c r="Z410" s="21">
        <f t="shared" si="124"/>
        <v>3.03</v>
      </c>
      <c r="AA410" s="6"/>
      <c r="AB410" s="6"/>
    </row>
    <row r="411" spans="1:28" ht="13.2" customHeight="1">
      <c r="A411" s="10">
        <f t="shared" si="143"/>
        <v>400</v>
      </c>
      <c r="B411" s="185" t="s">
        <v>472</v>
      </c>
      <c r="C411" s="10">
        <f t="shared" si="132"/>
        <v>1069</v>
      </c>
      <c r="D411" s="9">
        <f t="shared" si="125"/>
        <v>2077</v>
      </c>
      <c r="E411" s="26">
        <f t="shared" si="133"/>
        <v>3146</v>
      </c>
      <c r="F411" s="8">
        <f t="shared" si="126"/>
        <v>1298</v>
      </c>
      <c r="G411" s="8">
        <f t="shared" si="127"/>
        <v>1400</v>
      </c>
      <c r="H411" s="8">
        <f t="shared" si="128"/>
        <v>1053</v>
      </c>
      <c r="I411" s="6">
        <f t="shared" si="129"/>
        <v>1848</v>
      </c>
      <c r="J411" s="6">
        <f t="shared" si="130"/>
        <v>1746</v>
      </c>
      <c r="K411" s="6">
        <f t="shared" si="131"/>
        <v>2093</v>
      </c>
      <c r="L411" s="6">
        <f t="shared" si="140"/>
        <v>3000</v>
      </c>
      <c r="M411" s="6">
        <f t="shared" si="141"/>
        <v>3000</v>
      </c>
      <c r="N411" s="6">
        <f t="shared" si="142"/>
        <v>3000</v>
      </c>
      <c r="O411" s="6">
        <f t="shared" si="134"/>
        <v>-1152</v>
      </c>
      <c r="P411" s="6">
        <f t="shared" si="135"/>
        <v>-1254</v>
      </c>
      <c r="Q411" s="6">
        <f t="shared" si="136"/>
        <v>-907</v>
      </c>
      <c r="R411" s="8">
        <v>5</v>
      </c>
      <c r="S411" s="8">
        <v>5</v>
      </c>
      <c r="T411" s="8">
        <v>4</v>
      </c>
      <c r="U411" s="25">
        <f t="shared" si="137"/>
        <v>-932</v>
      </c>
      <c r="V411" s="25">
        <f t="shared" si="138"/>
        <v>-1044</v>
      </c>
      <c r="W411" s="25">
        <f t="shared" si="139"/>
        <v>-767</v>
      </c>
      <c r="X411" s="15">
        <v>1.8859999999999999</v>
      </c>
      <c r="Y411" s="6"/>
      <c r="Z411" s="21">
        <f t="shared" si="124"/>
        <v>3.03</v>
      </c>
      <c r="AA411" s="6"/>
      <c r="AB411" s="6"/>
    </row>
    <row r="412" spans="1:28" ht="13.2" customHeight="1">
      <c r="A412" s="10">
        <f t="shared" si="143"/>
        <v>401</v>
      </c>
      <c r="B412" s="185" t="s">
        <v>473</v>
      </c>
      <c r="C412" s="10">
        <f t="shared" si="132"/>
        <v>1069</v>
      </c>
      <c r="D412" s="9">
        <f t="shared" si="125"/>
        <v>2079</v>
      </c>
      <c r="E412" s="26">
        <f t="shared" si="133"/>
        <v>3148</v>
      </c>
      <c r="F412" s="8">
        <f t="shared" si="126"/>
        <v>1305</v>
      </c>
      <c r="G412" s="8">
        <f t="shared" si="127"/>
        <v>1407</v>
      </c>
      <c r="H412" s="8">
        <f t="shared" si="128"/>
        <v>1057</v>
      </c>
      <c r="I412" s="6">
        <f t="shared" si="129"/>
        <v>1843</v>
      </c>
      <c r="J412" s="6">
        <f t="shared" si="130"/>
        <v>1741</v>
      </c>
      <c r="K412" s="6">
        <f t="shared" si="131"/>
        <v>2091</v>
      </c>
      <c r="L412" s="6">
        <f t="shared" si="140"/>
        <v>3000</v>
      </c>
      <c r="M412" s="6">
        <f t="shared" si="141"/>
        <v>3000</v>
      </c>
      <c r="N412" s="6">
        <f t="shared" si="142"/>
        <v>3000</v>
      </c>
      <c r="O412" s="6">
        <f t="shared" si="134"/>
        <v>-1157</v>
      </c>
      <c r="P412" s="6">
        <f t="shared" si="135"/>
        <v>-1259</v>
      </c>
      <c r="Q412" s="6">
        <f t="shared" si="136"/>
        <v>-909</v>
      </c>
      <c r="R412" s="8">
        <v>5</v>
      </c>
      <c r="S412" s="8">
        <v>5</v>
      </c>
      <c r="T412" s="8">
        <v>2</v>
      </c>
      <c r="U412" s="25">
        <f t="shared" si="137"/>
        <v>-937</v>
      </c>
      <c r="V412" s="25">
        <f t="shared" si="138"/>
        <v>-1049</v>
      </c>
      <c r="W412" s="25">
        <f t="shared" si="139"/>
        <v>-769</v>
      </c>
      <c r="X412" s="15">
        <v>1.881</v>
      </c>
      <c r="Y412" s="6"/>
      <c r="Z412" s="21">
        <f t="shared" si="124"/>
        <v>3.03</v>
      </c>
      <c r="AA412" s="6"/>
      <c r="AB412" s="6"/>
    </row>
    <row r="413" spans="1:28" ht="13.2" customHeight="1">
      <c r="A413" s="10">
        <f t="shared" si="143"/>
        <v>402</v>
      </c>
      <c r="B413" s="185" t="s">
        <v>474</v>
      </c>
      <c r="C413" s="10">
        <f t="shared" si="132"/>
        <v>1069</v>
      </c>
      <c r="D413" s="9">
        <f t="shared" si="125"/>
        <v>2081</v>
      </c>
      <c r="E413" s="26">
        <f t="shared" si="133"/>
        <v>3150</v>
      </c>
      <c r="F413" s="8">
        <f t="shared" si="126"/>
        <v>1312</v>
      </c>
      <c r="G413" s="8">
        <f t="shared" si="127"/>
        <v>1414</v>
      </c>
      <c r="H413" s="8">
        <f t="shared" si="128"/>
        <v>1063</v>
      </c>
      <c r="I413" s="6">
        <f t="shared" si="129"/>
        <v>1838</v>
      </c>
      <c r="J413" s="6">
        <f t="shared" si="130"/>
        <v>1736</v>
      </c>
      <c r="K413" s="6">
        <f t="shared" si="131"/>
        <v>2087</v>
      </c>
      <c r="L413" s="6">
        <f t="shared" si="140"/>
        <v>3000</v>
      </c>
      <c r="M413" s="6">
        <f t="shared" si="141"/>
        <v>3000</v>
      </c>
      <c r="N413" s="6">
        <f t="shared" si="142"/>
        <v>3000</v>
      </c>
      <c r="O413" s="6">
        <f t="shared" si="134"/>
        <v>-1162</v>
      </c>
      <c r="P413" s="6">
        <f t="shared" si="135"/>
        <v>-1264</v>
      </c>
      <c r="Q413" s="6">
        <f t="shared" si="136"/>
        <v>-913</v>
      </c>
      <c r="R413" s="8">
        <v>5</v>
      </c>
      <c r="S413" s="8">
        <v>5</v>
      </c>
      <c r="T413" s="8">
        <v>4</v>
      </c>
      <c r="U413" s="25">
        <f t="shared" si="137"/>
        <v>-942</v>
      </c>
      <c r="V413" s="25">
        <f t="shared" si="138"/>
        <v>-1054</v>
      </c>
      <c r="W413" s="25">
        <f t="shared" si="139"/>
        <v>-773</v>
      </c>
      <c r="X413" s="15">
        <v>1.8759999999999999</v>
      </c>
      <c r="Y413" s="6"/>
      <c r="Z413" s="21">
        <f t="shared" si="124"/>
        <v>3.03</v>
      </c>
      <c r="AA413" s="6"/>
      <c r="AB413" s="6"/>
    </row>
    <row r="414" spans="1:28" ht="13.2" customHeight="1">
      <c r="A414" s="10">
        <f t="shared" si="143"/>
        <v>403</v>
      </c>
      <c r="B414" s="185" t="s">
        <v>475</v>
      </c>
      <c r="C414" s="10">
        <f t="shared" si="132"/>
        <v>1069</v>
      </c>
      <c r="D414" s="9">
        <f t="shared" si="125"/>
        <v>2083</v>
      </c>
      <c r="E414" s="26">
        <f t="shared" si="133"/>
        <v>3152</v>
      </c>
      <c r="F414" s="8">
        <f t="shared" si="126"/>
        <v>1319</v>
      </c>
      <c r="G414" s="8">
        <f t="shared" si="127"/>
        <v>1421</v>
      </c>
      <c r="H414" s="8">
        <f t="shared" si="128"/>
        <v>1069</v>
      </c>
      <c r="I414" s="6">
        <f t="shared" si="129"/>
        <v>1833</v>
      </c>
      <c r="J414" s="6">
        <f t="shared" si="130"/>
        <v>1731</v>
      </c>
      <c r="K414" s="6">
        <f t="shared" si="131"/>
        <v>2083</v>
      </c>
      <c r="L414" s="6">
        <f t="shared" si="140"/>
        <v>3000</v>
      </c>
      <c r="M414" s="6">
        <f t="shared" si="141"/>
        <v>3000</v>
      </c>
      <c r="N414" s="6">
        <f t="shared" si="142"/>
        <v>3000</v>
      </c>
      <c r="O414" s="6">
        <f t="shared" si="134"/>
        <v>-1167</v>
      </c>
      <c r="P414" s="6">
        <f t="shared" si="135"/>
        <v>-1269</v>
      </c>
      <c r="Q414" s="6">
        <f t="shared" si="136"/>
        <v>-917</v>
      </c>
      <c r="R414" s="8">
        <v>5</v>
      </c>
      <c r="S414" s="8">
        <v>5</v>
      </c>
      <c r="T414" s="8">
        <v>4</v>
      </c>
      <c r="U414" s="25">
        <f t="shared" si="137"/>
        <v>-947</v>
      </c>
      <c r="V414" s="25">
        <f t="shared" si="138"/>
        <v>-1059</v>
      </c>
      <c r="W414" s="25">
        <f t="shared" si="139"/>
        <v>-777</v>
      </c>
      <c r="X414" s="15">
        <v>1.871</v>
      </c>
      <c r="Y414" s="6"/>
      <c r="Z414" s="21">
        <f t="shared" si="124"/>
        <v>3.03</v>
      </c>
      <c r="AA414" s="6"/>
      <c r="AB414" s="6"/>
    </row>
    <row r="415" spans="1:28" ht="13.2" customHeight="1">
      <c r="A415" s="10">
        <f t="shared" si="143"/>
        <v>404</v>
      </c>
      <c r="B415" s="185" t="s">
        <v>476</v>
      </c>
      <c r="C415" s="10">
        <f t="shared" si="132"/>
        <v>1069</v>
      </c>
      <c r="D415" s="9">
        <f t="shared" si="125"/>
        <v>2085</v>
      </c>
      <c r="E415" s="26">
        <f t="shared" si="133"/>
        <v>3154</v>
      </c>
      <c r="F415" s="8">
        <f t="shared" si="126"/>
        <v>1326</v>
      </c>
      <c r="G415" s="8">
        <f t="shared" si="127"/>
        <v>1428</v>
      </c>
      <c r="H415" s="8">
        <f t="shared" si="128"/>
        <v>1075</v>
      </c>
      <c r="I415" s="6">
        <f t="shared" si="129"/>
        <v>1828</v>
      </c>
      <c r="J415" s="6">
        <f t="shared" si="130"/>
        <v>1726</v>
      </c>
      <c r="K415" s="6">
        <f t="shared" si="131"/>
        <v>2079</v>
      </c>
      <c r="L415" s="6">
        <f t="shared" si="140"/>
        <v>3000</v>
      </c>
      <c r="M415" s="6">
        <f t="shared" si="141"/>
        <v>3000</v>
      </c>
      <c r="N415" s="6">
        <f t="shared" si="142"/>
        <v>3000</v>
      </c>
      <c r="O415" s="6">
        <f t="shared" si="134"/>
        <v>-1172</v>
      </c>
      <c r="P415" s="6">
        <f t="shared" si="135"/>
        <v>-1274</v>
      </c>
      <c r="Q415" s="6">
        <f t="shared" si="136"/>
        <v>-921</v>
      </c>
      <c r="R415" s="8">
        <v>5</v>
      </c>
      <c r="S415" s="8">
        <v>5</v>
      </c>
      <c r="T415" s="8">
        <v>4</v>
      </c>
      <c r="U415" s="25">
        <f t="shared" si="137"/>
        <v>-952</v>
      </c>
      <c r="V415" s="25">
        <f t="shared" si="138"/>
        <v>-1064</v>
      </c>
      <c r="W415" s="25">
        <f t="shared" si="139"/>
        <v>-781</v>
      </c>
      <c r="X415" s="15">
        <v>1.8660000000000001</v>
      </c>
      <c r="Y415" s="6"/>
      <c r="Z415" s="21">
        <f t="shared" si="124"/>
        <v>3.03</v>
      </c>
      <c r="AA415" s="6"/>
      <c r="AB415" s="6"/>
    </row>
    <row r="416" spans="1:28" ht="13.2" customHeight="1">
      <c r="A416" s="10">
        <f t="shared" si="143"/>
        <v>405</v>
      </c>
      <c r="B416" s="185" t="s">
        <v>477</v>
      </c>
      <c r="C416" s="10">
        <f t="shared" si="132"/>
        <v>1069</v>
      </c>
      <c r="D416" s="9">
        <f t="shared" si="125"/>
        <v>2087</v>
      </c>
      <c r="E416" s="26">
        <f t="shared" si="133"/>
        <v>3156</v>
      </c>
      <c r="F416" s="8">
        <f t="shared" si="126"/>
        <v>1333</v>
      </c>
      <c r="G416" s="8">
        <f t="shared" si="127"/>
        <v>1435</v>
      </c>
      <c r="H416" s="8">
        <f t="shared" si="128"/>
        <v>1081</v>
      </c>
      <c r="I416" s="6">
        <f t="shared" si="129"/>
        <v>1823</v>
      </c>
      <c r="J416" s="6">
        <f t="shared" si="130"/>
        <v>1721</v>
      </c>
      <c r="K416" s="6">
        <f t="shared" si="131"/>
        <v>2075</v>
      </c>
      <c r="L416" s="6">
        <f t="shared" si="140"/>
        <v>3000</v>
      </c>
      <c r="M416" s="6">
        <f t="shared" si="141"/>
        <v>3000</v>
      </c>
      <c r="N416" s="6">
        <f t="shared" si="142"/>
        <v>3000</v>
      </c>
      <c r="O416" s="6">
        <f t="shared" si="134"/>
        <v>-1177</v>
      </c>
      <c r="P416" s="6">
        <f t="shared" si="135"/>
        <v>-1279</v>
      </c>
      <c r="Q416" s="6">
        <f t="shared" si="136"/>
        <v>-925</v>
      </c>
      <c r="R416" s="8">
        <v>5</v>
      </c>
      <c r="S416" s="8">
        <v>5</v>
      </c>
      <c r="T416" s="8">
        <v>4</v>
      </c>
      <c r="U416" s="25">
        <f t="shared" si="137"/>
        <v>-957</v>
      </c>
      <c r="V416" s="25">
        <f t="shared" si="138"/>
        <v>-1069</v>
      </c>
      <c r="W416" s="25">
        <f t="shared" si="139"/>
        <v>-785</v>
      </c>
      <c r="X416" s="15">
        <v>1.861</v>
      </c>
      <c r="Y416" s="6"/>
      <c r="Z416" s="21">
        <f t="shared" si="124"/>
        <v>3.03</v>
      </c>
      <c r="AA416" s="6"/>
      <c r="AB416" s="6"/>
    </row>
    <row r="417" spans="1:28" ht="13.2" customHeight="1">
      <c r="A417" s="10">
        <f t="shared" si="143"/>
        <v>406</v>
      </c>
      <c r="B417" s="185" t="s">
        <v>478</v>
      </c>
      <c r="C417" s="10">
        <f t="shared" si="132"/>
        <v>1069</v>
      </c>
      <c r="D417" s="9">
        <f t="shared" si="125"/>
        <v>2089</v>
      </c>
      <c r="E417" s="26">
        <f t="shared" si="133"/>
        <v>3158</v>
      </c>
      <c r="F417" s="8">
        <f t="shared" si="126"/>
        <v>1340</v>
      </c>
      <c r="G417" s="8">
        <f t="shared" si="127"/>
        <v>1442</v>
      </c>
      <c r="H417" s="8">
        <f t="shared" si="128"/>
        <v>1087</v>
      </c>
      <c r="I417" s="6">
        <f t="shared" si="129"/>
        <v>1818</v>
      </c>
      <c r="J417" s="6">
        <f t="shared" si="130"/>
        <v>1716</v>
      </c>
      <c r="K417" s="6">
        <f t="shared" si="131"/>
        <v>2071</v>
      </c>
      <c r="L417" s="6">
        <f t="shared" si="140"/>
        <v>3000</v>
      </c>
      <c r="M417" s="6">
        <f t="shared" si="141"/>
        <v>3000</v>
      </c>
      <c r="N417" s="6">
        <f t="shared" si="142"/>
        <v>3000</v>
      </c>
      <c r="O417" s="6">
        <f t="shared" si="134"/>
        <v>-1182</v>
      </c>
      <c r="P417" s="6">
        <f t="shared" si="135"/>
        <v>-1284</v>
      </c>
      <c r="Q417" s="6">
        <f t="shared" si="136"/>
        <v>-929</v>
      </c>
      <c r="R417" s="8">
        <v>5</v>
      </c>
      <c r="S417" s="8">
        <v>5</v>
      </c>
      <c r="T417" s="8">
        <v>4</v>
      </c>
      <c r="U417" s="25">
        <f t="shared" si="137"/>
        <v>-962</v>
      </c>
      <c r="V417" s="25">
        <f t="shared" si="138"/>
        <v>-1074</v>
      </c>
      <c r="W417" s="25">
        <f t="shared" si="139"/>
        <v>-789</v>
      </c>
      <c r="X417" s="15">
        <v>1.8560000000000001</v>
      </c>
      <c r="Y417" s="6"/>
      <c r="Z417" s="21">
        <f t="shared" si="124"/>
        <v>3.03</v>
      </c>
      <c r="AA417" s="6"/>
      <c r="AB417" s="6"/>
    </row>
    <row r="418" spans="1:28" ht="13.2" customHeight="1">
      <c r="A418" s="10">
        <f t="shared" si="143"/>
        <v>407</v>
      </c>
      <c r="B418" s="185" t="s">
        <v>479</v>
      </c>
      <c r="C418" s="10">
        <f t="shared" si="132"/>
        <v>1069</v>
      </c>
      <c r="D418" s="9">
        <f t="shared" si="125"/>
        <v>2091</v>
      </c>
      <c r="E418" s="26">
        <f t="shared" si="133"/>
        <v>3160</v>
      </c>
      <c r="F418" s="8">
        <f t="shared" si="126"/>
        <v>1347</v>
      </c>
      <c r="G418" s="8">
        <f t="shared" si="127"/>
        <v>1449</v>
      </c>
      <c r="H418" s="8">
        <f t="shared" si="128"/>
        <v>1093</v>
      </c>
      <c r="I418" s="6">
        <f t="shared" si="129"/>
        <v>1813</v>
      </c>
      <c r="J418" s="6">
        <f t="shared" si="130"/>
        <v>1711</v>
      </c>
      <c r="K418" s="6">
        <f t="shared" si="131"/>
        <v>2067</v>
      </c>
      <c r="L418" s="6">
        <f t="shared" si="140"/>
        <v>3000</v>
      </c>
      <c r="M418" s="6">
        <f t="shared" si="141"/>
        <v>3000</v>
      </c>
      <c r="N418" s="6">
        <f t="shared" si="142"/>
        <v>3000</v>
      </c>
      <c r="O418" s="6">
        <f t="shared" si="134"/>
        <v>-1187</v>
      </c>
      <c r="P418" s="6">
        <f t="shared" si="135"/>
        <v>-1289</v>
      </c>
      <c r="Q418" s="6">
        <f t="shared" si="136"/>
        <v>-933</v>
      </c>
      <c r="R418" s="8">
        <v>5</v>
      </c>
      <c r="S418" s="8">
        <v>5</v>
      </c>
      <c r="T418" s="8">
        <v>4</v>
      </c>
      <c r="U418" s="25">
        <f t="shared" si="137"/>
        <v>-967</v>
      </c>
      <c r="V418" s="25">
        <f t="shared" si="138"/>
        <v>-1079</v>
      </c>
      <c r="W418" s="25">
        <f t="shared" si="139"/>
        <v>-793</v>
      </c>
      <c r="X418" s="15">
        <v>1.851</v>
      </c>
      <c r="Y418" s="6"/>
      <c r="Z418" s="21">
        <f t="shared" si="124"/>
        <v>3.03</v>
      </c>
      <c r="AA418" s="6"/>
      <c r="AB418" s="6"/>
    </row>
    <row r="419" spans="1:28" ht="13.2" customHeight="1">
      <c r="A419" s="10">
        <f t="shared" si="143"/>
        <v>408</v>
      </c>
      <c r="B419" s="185" t="s">
        <v>480</v>
      </c>
      <c r="C419" s="10">
        <f t="shared" si="132"/>
        <v>1069</v>
      </c>
      <c r="D419" s="9">
        <f t="shared" si="125"/>
        <v>2093</v>
      </c>
      <c r="E419" s="26">
        <f t="shared" si="133"/>
        <v>3162</v>
      </c>
      <c r="F419" s="8">
        <f t="shared" si="126"/>
        <v>1352</v>
      </c>
      <c r="G419" s="8">
        <f t="shared" si="127"/>
        <v>1456</v>
      </c>
      <c r="H419" s="8">
        <f t="shared" si="128"/>
        <v>1099</v>
      </c>
      <c r="I419" s="6">
        <f t="shared" si="129"/>
        <v>1810</v>
      </c>
      <c r="J419" s="6">
        <f t="shared" si="130"/>
        <v>1706</v>
      </c>
      <c r="K419" s="6">
        <f t="shared" si="131"/>
        <v>2063</v>
      </c>
      <c r="L419" s="6">
        <f t="shared" si="140"/>
        <v>3000</v>
      </c>
      <c r="M419" s="6">
        <f t="shared" si="141"/>
        <v>3000</v>
      </c>
      <c r="N419" s="6">
        <f t="shared" si="142"/>
        <v>3000</v>
      </c>
      <c r="O419" s="6">
        <f t="shared" si="134"/>
        <v>-1190</v>
      </c>
      <c r="P419" s="6">
        <f t="shared" si="135"/>
        <v>-1294</v>
      </c>
      <c r="Q419" s="6">
        <f t="shared" si="136"/>
        <v>-937</v>
      </c>
      <c r="R419" s="8">
        <v>3</v>
      </c>
      <c r="S419" s="8">
        <v>5</v>
      </c>
      <c r="T419" s="8">
        <v>4</v>
      </c>
      <c r="U419" s="25">
        <f t="shared" si="137"/>
        <v>-970</v>
      </c>
      <c r="V419" s="25">
        <f t="shared" si="138"/>
        <v>-1084</v>
      </c>
      <c r="W419" s="25">
        <f t="shared" si="139"/>
        <v>-797</v>
      </c>
      <c r="X419" s="15">
        <v>1.8460000000000001</v>
      </c>
      <c r="Y419" s="6"/>
      <c r="Z419" s="21">
        <f t="shared" ref="Z419:Z482" si="144">Z418+Y419</f>
        <v>3.03</v>
      </c>
      <c r="AA419" s="6"/>
      <c r="AB419" s="6"/>
    </row>
    <row r="420" spans="1:28" ht="13.2" customHeight="1">
      <c r="A420" s="10">
        <f t="shared" si="143"/>
        <v>409</v>
      </c>
      <c r="B420" s="185" t="s">
        <v>481</v>
      </c>
      <c r="C420" s="10">
        <f t="shared" si="132"/>
        <v>1069</v>
      </c>
      <c r="D420" s="9">
        <f t="shared" si="125"/>
        <v>2095</v>
      </c>
      <c r="E420" s="26">
        <f t="shared" si="133"/>
        <v>3164</v>
      </c>
      <c r="F420" s="8">
        <f t="shared" si="126"/>
        <v>1357</v>
      </c>
      <c r="G420" s="8">
        <f t="shared" si="127"/>
        <v>1463</v>
      </c>
      <c r="H420" s="8">
        <f t="shared" si="128"/>
        <v>1105</v>
      </c>
      <c r="I420" s="6">
        <f t="shared" si="129"/>
        <v>1807</v>
      </c>
      <c r="J420" s="6">
        <f t="shared" si="130"/>
        <v>1701</v>
      </c>
      <c r="K420" s="6">
        <f t="shared" si="131"/>
        <v>2059</v>
      </c>
      <c r="L420" s="6">
        <f t="shared" si="140"/>
        <v>3000</v>
      </c>
      <c r="M420" s="6">
        <f t="shared" si="141"/>
        <v>3000</v>
      </c>
      <c r="N420" s="6">
        <f t="shared" si="142"/>
        <v>3000</v>
      </c>
      <c r="O420" s="6">
        <f t="shared" si="134"/>
        <v>-1193</v>
      </c>
      <c r="P420" s="6">
        <f t="shared" si="135"/>
        <v>-1299</v>
      </c>
      <c r="Q420" s="6">
        <f t="shared" si="136"/>
        <v>-941</v>
      </c>
      <c r="R420" s="8">
        <v>3</v>
      </c>
      <c r="S420" s="8">
        <v>5</v>
      </c>
      <c r="T420" s="8">
        <v>4</v>
      </c>
      <c r="U420" s="25">
        <f t="shared" si="137"/>
        <v>-973</v>
      </c>
      <c r="V420" s="25">
        <f t="shared" si="138"/>
        <v>-1089</v>
      </c>
      <c r="W420" s="25">
        <f t="shared" si="139"/>
        <v>-801</v>
      </c>
      <c r="X420" s="15">
        <v>1.841</v>
      </c>
      <c r="Y420" s="6"/>
      <c r="Z420" s="21">
        <f t="shared" si="144"/>
        <v>3.03</v>
      </c>
      <c r="AA420" s="6"/>
      <c r="AB420" s="6"/>
    </row>
    <row r="421" spans="1:28" ht="13.2" customHeight="1">
      <c r="A421" s="10">
        <f t="shared" si="143"/>
        <v>410</v>
      </c>
      <c r="B421" s="185" t="s">
        <v>482</v>
      </c>
      <c r="C421" s="10">
        <f t="shared" si="132"/>
        <v>1069</v>
      </c>
      <c r="D421" s="9">
        <f t="shared" si="125"/>
        <v>2097</v>
      </c>
      <c r="E421" s="26">
        <f t="shared" si="133"/>
        <v>3166</v>
      </c>
      <c r="F421" s="8">
        <f t="shared" si="126"/>
        <v>1361</v>
      </c>
      <c r="G421" s="8">
        <f t="shared" si="127"/>
        <v>1470</v>
      </c>
      <c r="H421" s="8">
        <f t="shared" si="128"/>
        <v>1109</v>
      </c>
      <c r="I421" s="6">
        <f t="shared" si="129"/>
        <v>1805</v>
      </c>
      <c r="J421" s="6">
        <f t="shared" si="130"/>
        <v>1696</v>
      </c>
      <c r="K421" s="6">
        <f t="shared" si="131"/>
        <v>2057</v>
      </c>
      <c r="L421" s="6">
        <f t="shared" si="140"/>
        <v>3000</v>
      </c>
      <c r="M421" s="6">
        <f t="shared" si="141"/>
        <v>3000</v>
      </c>
      <c r="N421" s="6">
        <f t="shared" si="142"/>
        <v>3000</v>
      </c>
      <c r="O421" s="6">
        <f t="shared" si="134"/>
        <v>-1195</v>
      </c>
      <c r="P421" s="6">
        <f t="shared" si="135"/>
        <v>-1304</v>
      </c>
      <c r="Q421" s="6">
        <f t="shared" si="136"/>
        <v>-943</v>
      </c>
      <c r="R421" s="8">
        <v>2</v>
      </c>
      <c r="S421" s="8">
        <v>5</v>
      </c>
      <c r="T421" s="8">
        <v>2</v>
      </c>
      <c r="U421" s="25">
        <f t="shared" si="137"/>
        <v>-975</v>
      </c>
      <c r="V421" s="25">
        <f t="shared" si="138"/>
        <v>-1094</v>
      </c>
      <c r="W421" s="25">
        <f t="shared" si="139"/>
        <v>-803</v>
      </c>
      <c r="X421" s="15">
        <v>1.8360000000000001</v>
      </c>
      <c r="Y421" s="6"/>
      <c r="Z421" s="21">
        <f t="shared" si="144"/>
        <v>3.03</v>
      </c>
      <c r="AA421" s="6"/>
      <c r="AB421" s="6"/>
    </row>
    <row r="422" spans="1:28" ht="13.2" customHeight="1">
      <c r="A422" s="10">
        <f t="shared" si="143"/>
        <v>411</v>
      </c>
      <c r="B422" s="185" t="s">
        <v>483</v>
      </c>
      <c r="C422" s="10">
        <f t="shared" si="132"/>
        <v>1069</v>
      </c>
      <c r="D422" s="9">
        <f t="shared" si="125"/>
        <v>2099</v>
      </c>
      <c r="E422" s="26">
        <f t="shared" si="133"/>
        <v>3168</v>
      </c>
      <c r="F422" s="8">
        <f t="shared" si="126"/>
        <v>1364</v>
      </c>
      <c r="G422" s="8">
        <f t="shared" si="127"/>
        <v>1477</v>
      </c>
      <c r="H422" s="8">
        <f t="shared" si="128"/>
        <v>1115</v>
      </c>
      <c r="I422" s="6">
        <f t="shared" si="129"/>
        <v>1804</v>
      </c>
      <c r="J422" s="6">
        <f t="shared" si="130"/>
        <v>1691</v>
      </c>
      <c r="K422" s="6">
        <f t="shared" si="131"/>
        <v>2053</v>
      </c>
      <c r="L422" s="6">
        <f t="shared" si="140"/>
        <v>3000</v>
      </c>
      <c r="M422" s="6">
        <f t="shared" si="141"/>
        <v>3000</v>
      </c>
      <c r="N422" s="6">
        <f t="shared" si="142"/>
        <v>3000</v>
      </c>
      <c r="O422" s="6">
        <f t="shared" si="134"/>
        <v>-1196</v>
      </c>
      <c r="P422" s="6">
        <f t="shared" si="135"/>
        <v>-1309</v>
      </c>
      <c r="Q422" s="6">
        <f t="shared" si="136"/>
        <v>-947</v>
      </c>
      <c r="R422" s="8">
        <v>1</v>
      </c>
      <c r="S422" s="8">
        <v>5</v>
      </c>
      <c r="T422" s="8">
        <v>4</v>
      </c>
      <c r="U422" s="25">
        <f t="shared" si="137"/>
        <v>-976</v>
      </c>
      <c r="V422" s="25">
        <f t="shared" si="138"/>
        <v>-1099</v>
      </c>
      <c r="W422" s="25">
        <f t="shared" si="139"/>
        <v>-807</v>
      </c>
      <c r="X422" s="15">
        <v>1.831</v>
      </c>
      <c r="Y422" s="6"/>
      <c r="Z422" s="21">
        <f t="shared" si="144"/>
        <v>3.03</v>
      </c>
      <c r="AA422" s="6"/>
      <c r="AB422" s="6"/>
    </row>
    <row r="423" spans="1:28" ht="13.2" customHeight="1">
      <c r="A423" s="10">
        <f t="shared" si="143"/>
        <v>412</v>
      </c>
      <c r="B423" s="185" t="s">
        <v>484</v>
      </c>
      <c r="C423" s="10">
        <f t="shared" si="132"/>
        <v>1069</v>
      </c>
      <c r="D423" s="9">
        <f t="shared" si="125"/>
        <v>2101</v>
      </c>
      <c r="E423" s="26">
        <f t="shared" si="133"/>
        <v>3170</v>
      </c>
      <c r="F423" s="8">
        <f t="shared" si="126"/>
        <v>1366</v>
      </c>
      <c r="G423" s="8">
        <f t="shared" si="127"/>
        <v>1484</v>
      </c>
      <c r="H423" s="8">
        <f t="shared" si="128"/>
        <v>1121</v>
      </c>
      <c r="I423" s="6">
        <f t="shared" si="129"/>
        <v>1804</v>
      </c>
      <c r="J423" s="6">
        <f t="shared" si="130"/>
        <v>1686</v>
      </c>
      <c r="K423" s="6">
        <f t="shared" si="131"/>
        <v>2049</v>
      </c>
      <c r="L423" s="6">
        <f t="shared" si="140"/>
        <v>3000</v>
      </c>
      <c r="M423" s="6">
        <f t="shared" si="141"/>
        <v>3000</v>
      </c>
      <c r="N423" s="6">
        <f t="shared" si="142"/>
        <v>3000</v>
      </c>
      <c r="O423" s="6">
        <f t="shared" si="134"/>
        <v>-1196</v>
      </c>
      <c r="P423" s="6">
        <f t="shared" si="135"/>
        <v>-1314</v>
      </c>
      <c r="Q423" s="6">
        <f t="shared" si="136"/>
        <v>-951</v>
      </c>
      <c r="R423" s="8">
        <v>0</v>
      </c>
      <c r="S423" s="8">
        <v>5</v>
      </c>
      <c r="T423" s="8">
        <v>4</v>
      </c>
      <c r="U423" s="25">
        <f t="shared" si="137"/>
        <v>-976</v>
      </c>
      <c r="V423" s="25">
        <f t="shared" si="138"/>
        <v>-1104</v>
      </c>
      <c r="W423" s="25">
        <f t="shared" si="139"/>
        <v>-811</v>
      </c>
      <c r="X423" s="15">
        <v>1.8260000000000001</v>
      </c>
      <c r="Y423" s="6"/>
      <c r="Z423" s="21">
        <f t="shared" si="144"/>
        <v>3.03</v>
      </c>
      <c r="AA423" s="6"/>
      <c r="AB423" s="6"/>
    </row>
    <row r="424" spans="1:28" ht="13.2" customHeight="1">
      <c r="A424" s="10">
        <f t="shared" si="143"/>
        <v>413</v>
      </c>
      <c r="B424" s="185" t="s">
        <v>485</v>
      </c>
      <c r="C424" s="10">
        <f t="shared" si="132"/>
        <v>1069</v>
      </c>
      <c r="D424" s="9">
        <f t="shared" si="125"/>
        <v>2103</v>
      </c>
      <c r="E424" s="26">
        <f t="shared" si="133"/>
        <v>3172</v>
      </c>
      <c r="F424" s="8">
        <f t="shared" si="126"/>
        <v>1372</v>
      </c>
      <c r="G424" s="8">
        <f t="shared" si="127"/>
        <v>1491</v>
      </c>
      <c r="H424" s="8">
        <f t="shared" si="128"/>
        <v>1127</v>
      </c>
      <c r="I424" s="6">
        <f t="shared" si="129"/>
        <v>1800</v>
      </c>
      <c r="J424" s="6">
        <f t="shared" si="130"/>
        <v>1681</v>
      </c>
      <c r="K424" s="6">
        <f t="shared" si="131"/>
        <v>2045</v>
      </c>
      <c r="L424" s="6">
        <f t="shared" si="140"/>
        <v>3000</v>
      </c>
      <c r="M424" s="6">
        <f t="shared" si="141"/>
        <v>3000</v>
      </c>
      <c r="N424" s="6">
        <f t="shared" si="142"/>
        <v>3000</v>
      </c>
      <c r="O424" s="6">
        <f t="shared" si="134"/>
        <v>-1200</v>
      </c>
      <c r="P424" s="6">
        <f t="shared" si="135"/>
        <v>-1319</v>
      </c>
      <c r="Q424" s="6">
        <f t="shared" si="136"/>
        <v>-955</v>
      </c>
      <c r="R424" s="8">
        <v>4</v>
      </c>
      <c r="S424" s="8">
        <v>5</v>
      </c>
      <c r="T424" s="8">
        <v>4</v>
      </c>
      <c r="U424" s="25">
        <f t="shared" si="137"/>
        <v>-980</v>
      </c>
      <c r="V424" s="25">
        <f t="shared" si="138"/>
        <v>-1109</v>
      </c>
      <c r="W424" s="25">
        <f t="shared" si="139"/>
        <v>-815</v>
      </c>
      <c r="X424" s="15">
        <v>1.821</v>
      </c>
      <c r="Y424" s="6"/>
      <c r="Z424" s="21">
        <f t="shared" si="144"/>
        <v>3.03</v>
      </c>
      <c r="AA424" s="6"/>
      <c r="AB424" s="6"/>
    </row>
    <row r="425" spans="1:28" ht="13.2" customHeight="1">
      <c r="A425" s="10">
        <f t="shared" si="143"/>
        <v>414</v>
      </c>
      <c r="B425" s="185" t="s">
        <v>486</v>
      </c>
      <c r="C425" s="10">
        <f t="shared" si="132"/>
        <v>1069</v>
      </c>
      <c r="D425" s="9">
        <f t="shared" si="125"/>
        <v>2105</v>
      </c>
      <c r="E425" s="26">
        <f t="shared" si="133"/>
        <v>3174</v>
      </c>
      <c r="F425" s="8">
        <f t="shared" si="126"/>
        <v>1377</v>
      </c>
      <c r="G425" s="8">
        <f t="shared" si="127"/>
        <v>1498</v>
      </c>
      <c r="H425" s="8">
        <f t="shared" si="128"/>
        <v>1133</v>
      </c>
      <c r="I425" s="6">
        <f t="shared" si="129"/>
        <v>1797</v>
      </c>
      <c r="J425" s="6">
        <f t="shared" si="130"/>
        <v>1676</v>
      </c>
      <c r="K425" s="6">
        <f t="shared" si="131"/>
        <v>2041</v>
      </c>
      <c r="L425" s="6">
        <f t="shared" si="140"/>
        <v>3000</v>
      </c>
      <c r="M425" s="6">
        <f t="shared" si="141"/>
        <v>3000</v>
      </c>
      <c r="N425" s="6">
        <f t="shared" si="142"/>
        <v>3000</v>
      </c>
      <c r="O425" s="6">
        <f t="shared" si="134"/>
        <v>-1203</v>
      </c>
      <c r="P425" s="6">
        <f t="shared" si="135"/>
        <v>-1324</v>
      </c>
      <c r="Q425" s="6">
        <f t="shared" si="136"/>
        <v>-959</v>
      </c>
      <c r="R425" s="8">
        <v>3</v>
      </c>
      <c r="S425" s="8">
        <v>5</v>
      </c>
      <c r="T425" s="8">
        <v>4</v>
      </c>
      <c r="U425" s="25">
        <f t="shared" si="137"/>
        <v>-983</v>
      </c>
      <c r="V425" s="25">
        <f t="shared" si="138"/>
        <v>-1114</v>
      </c>
      <c r="W425" s="25">
        <f t="shared" si="139"/>
        <v>-819</v>
      </c>
      <c r="X425" s="15">
        <v>1.8160000000000001</v>
      </c>
      <c r="Y425" s="6"/>
      <c r="Z425" s="21">
        <f t="shared" si="144"/>
        <v>3.03</v>
      </c>
      <c r="AA425" s="6"/>
      <c r="AB425" s="6"/>
    </row>
    <row r="426" spans="1:28" ht="13.2" customHeight="1">
      <c r="A426" s="10">
        <f t="shared" si="143"/>
        <v>415</v>
      </c>
      <c r="B426" s="185" t="s">
        <v>487</v>
      </c>
      <c r="C426" s="10">
        <f t="shared" si="132"/>
        <v>1069</v>
      </c>
      <c r="D426" s="9">
        <f t="shared" si="125"/>
        <v>2107</v>
      </c>
      <c r="E426" s="26">
        <f t="shared" si="133"/>
        <v>3176</v>
      </c>
      <c r="F426" s="8">
        <f t="shared" si="126"/>
        <v>1381</v>
      </c>
      <c r="G426" s="8">
        <f t="shared" si="127"/>
        <v>1505</v>
      </c>
      <c r="H426" s="8">
        <f t="shared" si="128"/>
        <v>1136</v>
      </c>
      <c r="I426" s="6">
        <f t="shared" si="129"/>
        <v>1795</v>
      </c>
      <c r="J426" s="6">
        <f t="shared" si="130"/>
        <v>1671</v>
      </c>
      <c r="K426" s="6">
        <f t="shared" si="131"/>
        <v>2040</v>
      </c>
      <c r="L426" s="6">
        <f t="shared" si="140"/>
        <v>3000</v>
      </c>
      <c r="M426" s="6">
        <f t="shared" si="141"/>
        <v>3000</v>
      </c>
      <c r="N426" s="6">
        <f t="shared" si="142"/>
        <v>3000</v>
      </c>
      <c r="O426" s="6">
        <f t="shared" si="134"/>
        <v>-1205</v>
      </c>
      <c r="P426" s="6">
        <f t="shared" si="135"/>
        <v>-1329</v>
      </c>
      <c r="Q426" s="6">
        <f t="shared" si="136"/>
        <v>-960</v>
      </c>
      <c r="R426" s="8">
        <v>2</v>
      </c>
      <c r="S426" s="8">
        <v>5</v>
      </c>
      <c r="T426" s="8">
        <v>1</v>
      </c>
      <c r="U426" s="25">
        <f t="shared" si="137"/>
        <v>-985</v>
      </c>
      <c r="V426" s="25">
        <f t="shared" si="138"/>
        <v>-1119</v>
      </c>
      <c r="W426" s="25">
        <f t="shared" si="139"/>
        <v>-820</v>
      </c>
      <c r="X426" s="15">
        <v>1.8109999999999999</v>
      </c>
      <c r="Y426" s="6"/>
      <c r="Z426" s="21">
        <f t="shared" si="144"/>
        <v>3.03</v>
      </c>
      <c r="AA426" s="6"/>
      <c r="AB426" s="6"/>
    </row>
    <row r="427" spans="1:28" ht="13.2" customHeight="1">
      <c r="A427" s="10">
        <f t="shared" si="143"/>
        <v>416</v>
      </c>
      <c r="B427" s="185" t="s">
        <v>488</v>
      </c>
      <c r="C427" s="10">
        <f t="shared" si="132"/>
        <v>1069</v>
      </c>
      <c r="D427" s="9">
        <f t="shared" si="125"/>
        <v>2109</v>
      </c>
      <c r="E427" s="26">
        <f t="shared" si="133"/>
        <v>3178</v>
      </c>
      <c r="F427" s="8">
        <f t="shared" si="126"/>
        <v>1386</v>
      </c>
      <c r="G427" s="8">
        <f t="shared" si="127"/>
        <v>1512</v>
      </c>
      <c r="H427" s="8">
        <f t="shared" si="128"/>
        <v>1142</v>
      </c>
      <c r="I427" s="6">
        <f t="shared" si="129"/>
        <v>1792</v>
      </c>
      <c r="J427" s="6">
        <f t="shared" si="130"/>
        <v>1666</v>
      </c>
      <c r="K427" s="6">
        <f t="shared" si="131"/>
        <v>2036</v>
      </c>
      <c r="L427" s="6">
        <f t="shared" si="140"/>
        <v>3000</v>
      </c>
      <c r="M427" s="6">
        <f t="shared" si="141"/>
        <v>3000</v>
      </c>
      <c r="N427" s="6">
        <f t="shared" si="142"/>
        <v>3000</v>
      </c>
      <c r="O427" s="6">
        <f t="shared" si="134"/>
        <v>-1208</v>
      </c>
      <c r="P427" s="6">
        <f t="shared" si="135"/>
        <v>-1334</v>
      </c>
      <c r="Q427" s="6">
        <f t="shared" si="136"/>
        <v>-964</v>
      </c>
      <c r="R427" s="8">
        <v>3</v>
      </c>
      <c r="S427" s="8">
        <v>5</v>
      </c>
      <c r="T427" s="8">
        <v>4</v>
      </c>
      <c r="U427" s="25">
        <f t="shared" si="137"/>
        <v>-988</v>
      </c>
      <c r="V427" s="25">
        <f t="shared" si="138"/>
        <v>-1124</v>
      </c>
      <c r="W427" s="25">
        <f t="shared" si="139"/>
        <v>-824</v>
      </c>
      <c r="X427" s="15">
        <v>1.806</v>
      </c>
      <c r="Y427" s="6"/>
      <c r="Z427" s="21">
        <f t="shared" si="144"/>
        <v>3.03</v>
      </c>
      <c r="AA427" s="6"/>
      <c r="AB427" s="6"/>
    </row>
    <row r="428" spans="1:28" ht="13.2" customHeight="1">
      <c r="A428" s="10">
        <f t="shared" si="143"/>
        <v>417</v>
      </c>
      <c r="B428" s="185" t="s">
        <v>489</v>
      </c>
      <c r="C428" s="10">
        <f t="shared" si="132"/>
        <v>1069</v>
      </c>
      <c r="D428" s="9">
        <f t="shared" si="125"/>
        <v>2111</v>
      </c>
      <c r="E428" s="26">
        <f t="shared" si="133"/>
        <v>3180</v>
      </c>
      <c r="F428" s="8">
        <f t="shared" si="126"/>
        <v>1391</v>
      </c>
      <c r="G428" s="8">
        <f t="shared" si="127"/>
        <v>1519</v>
      </c>
      <c r="H428" s="8">
        <f t="shared" si="128"/>
        <v>1148</v>
      </c>
      <c r="I428" s="6">
        <f t="shared" si="129"/>
        <v>1789</v>
      </c>
      <c r="J428" s="6">
        <f t="shared" si="130"/>
        <v>1661</v>
      </c>
      <c r="K428" s="6">
        <f t="shared" si="131"/>
        <v>2032</v>
      </c>
      <c r="L428" s="6">
        <f t="shared" si="140"/>
        <v>3000</v>
      </c>
      <c r="M428" s="6">
        <f t="shared" si="141"/>
        <v>3000</v>
      </c>
      <c r="N428" s="6">
        <f t="shared" si="142"/>
        <v>3000</v>
      </c>
      <c r="O428" s="6">
        <f t="shared" si="134"/>
        <v>-1211</v>
      </c>
      <c r="P428" s="6">
        <f t="shared" si="135"/>
        <v>-1339</v>
      </c>
      <c r="Q428" s="6">
        <f t="shared" si="136"/>
        <v>-968</v>
      </c>
      <c r="R428" s="8">
        <v>3</v>
      </c>
      <c r="S428" s="8">
        <v>5</v>
      </c>
      <c r="T428" s="8">
        <v>4</v>
      </c>
      <c r="U428" s="25">
        <f t="shared" si="137"/>
        <v>-991</v>
      </c>
      <c r="V428" s="25">
        <f t="shared" si="138"/>
        <v>-1129</v>
      </c>
      <c r="W428" s="25">
        <f t="shared" si="139"/>
        <v>-828</v>
      </c>
      <c r="X428" s="15">
        <v>1.8009999999999999</v>
      </c>
      <c r="Y428" s="6"/>
      <c r="Z428" s="21">
        <f t="shared" si="144"/>
        <v>3.03</v>
      </c>
      <c r="AA428" s="6"/>
      <c r="AB428" s="6"/>
    </row>
    <row r="429" spans="1:28" ht="13.2" customHeight="1">
      <c r="A429" s="10">
        <f t="shared" si="143"/>
        <v>418</v>
      </c>
      <c r="B429" s="185" t="s">
        <v>490</v>
      </c>
      <c r="C429" s="10">
        <f t="shared" si="132"/>
        <v>1069</v>
      </c>
      <c r="D429" s="9">
        <f t="shared" si="125"/>
        <v>2113</v>
      </c>
      <c r="E429" s="26">
        <f t="shared" si="133"/>
        <v>3182</v>
      </c>
      <c r="F429" s="8">
        <f t="shared" si="126"/>
        <v>1395</v>
      </c>
      <c r="G429" s="8">
        <f t="shared" si="127"/>
        <v>1526</v>
      </c>
      <c r="H429" s="8">
        <f t="shared" si="128"/>
        <v>1154</v>
      </c>
      <c r="I429" s="6">
        <f t="shared" si="129"/>
        <v>1787</v>
      </c>
      <c r="J429" s="6">
        <f t="shared" si="130"/>
        <v>1656</v>
      </c>
      <c r="K429" s="6">
        <f t="shared" si="131"/>
        <v>2028</v>
      </c>
      <c r="L429" s="6">
        <f t="shared" si="140"/>
        <v>3000</v>
      </c>
      <c r="M429" s="6">
        <f t="shared" si="141"/>
        <v>3000</v>
      </c>
      <c r="N429" s="6">
        <f t="shared" si="142"/>
        <v>3000</v>
      </c>
      <c r="O429" s="6">
        <f t="shared" si="134"/>
        <v>-1213</v>
      </c>
      <c r="P429" s="6">
        <f t="shared" si="135"/>
        <v>-1344</v>
      </c>
      <c r="Q429" s="6">
        <f t="shared" si="136"/>
        <v>-972</v>
      </c>
      <c r="R429" s="8">
        <v>2</v>
      </c>
      <c r="S429" s="8">
        <v>5</v>
      </c>
      <c r="T429" s="8">
        <v>4</v>
      </c>
      <c r="U429" s="25">
        <f t="shared" si="137"/>
        <v>-993</v>
      </c>
      <c r="V429" s="25">
        <f t="shared" si="138"/>
        <v>-1134</v>
      </c>
      <c r="W429" s="25">
        <f t="shared" si="139"/>
        <v>-832</v>
      </c>
      <c r="X429" s="15">
        <v>1.796</v>
      </c>
      <c r="Y429" s="6"/>
      <c r="Z429" s="21">
        <f t="shared" si="144"/>
        <v>3.03</v>
      </c>
      <c r="AA429" s="6"/>
      <c r="AB429" s="6"/>
    </row>
    <row r="430" spans="1:28" ht="13.2" customHeight="1">
      <c r="A430" s="10">
        <f t="shared" si="143"/>
        <v>419</v>
      </c>
      <c r="B430" s="185" t="s">
        <v>491</v>
      </c>
      <c r="C430" s="10">
        <f t="shared" si="132"/>
        <v>1069</v>
      </c>
      <c r="D430" s="9">
        <f t="shared" si="125"/>
        <v>2115</v>
      </c>
      <c r="E430" s="26">
        <f t="shared" si="133"/>
        <v>3184</v>
      </c>
      <c r="F430" s="8">
        <f t="shared" si="126"/>
        <v>1398</v>
      </c>
      <c r="G430" s="8">
        <f t="shared" si="127"/>
        <v>1533</v>
      </c>
      <c r="H430" s="8">
        <f t="shared" si="128"/>
        <v>1160</v>
      </c>
      <c r="I430" s="6">
        <f t="shared" si="129"/>
        <v>1786</v>
      </c>
      <c r="J430" s="6">
        <f t="shared" si="130"/>
        <v>1651</v>
      </c>
      <c r="K430" s="6">
        <f t="shared" si="131"/>
        <v>2024</v>
      </c>
      <c r="L430" s="6">
        <f t="shared" si="140"/>
        <v>3000</v>
      </c>
      <c r="M430" s="6">
        <f t="shared" si="141"/>
        <v>3000</v>
      </c>
      <c r="N430" s="6">
        <f t="shared" si="142"/>
        <v>3000</v>
      </c>
      <c r="O430" s="6">
        <f t="shared" si="134"/>
        <v>-1214</v>
      </c>
      <c r="P430" s="6">
        <f t="shared" si="135"/>
        <v>-1349</v>
      </c>
      <c r="Q430" s="6">
        <f t="shared" si="136"/>
        <v>-976</v>
      </c>
      <c r="R430" s="8">
        <v>1</v>
      </c>
      <c r="S430" s="8">
        <v>5</v>
      </c>
      <c r="T430" s="8">
        <v>4</v>
      </c>
      <c r="U430" s="25">
        <f t="shared" si="137"/>
        <v>-994</v>
      </c>
      <c r="V430" s="25">
        <f t="shared" si="138"/>
        <v>-1139</v>
      </c>
      <c r="W430" s="25">
        <f t="shared" si="139"/>
        <v>-836</v>
      </c>
      <c r="X430" s="15">
        <v>1.7909999999999999</v>
      </c>
      <c r="Y430" s="6"/>
      <c r="Z430" s="21">
        <f t="shared" si="144"/>
        <v>3.03</v>
      </c>
      <c r="AA430" s="6"/>
      <c r="AB430" s="6"/>
    </row>
    <row r="431" spans="1:28" ht="13.2" customHeight="1">
      <c r="A431" s="10">
        <f t="shared" si="143"/>
        <v>420</v>
      </c>
      <c r="B431" s="185" t="s">
        <v>492</v>
      </c>
      <c r="C431" s="10">
        <f t="shared" si="132"/>
        <v>1069</v>
      </c>
      <c r="D431" s="9">
        <f t="shared" si="125"/>
        <v>2117</v>
      </c>
      <c r="E431" s="26">
        <f t="shared" si="133"/>
        <v>3186</v>
      </c>
      <c r="F431" s="8">
        <f t="shared" si="126"/>
        <v>1400</v>
      </c>
      <c r="G431" s="8">
        <f t="shared" si="127"/>
        <v>1541</v>
      </c>
      <c r="H431" s="8">
        <f t="shared" si="128"/>
        <v>1166</v>
      </c>
      <c r="I431" s="6">
        <f t="shared" si="129"/>
        <v>1786</v>
      </c>
      <c r="J431" s="6">
        <f t="shared" si="130"/>
        <v>1645</v>
      </c>
      <c r="K431" s="6">
        <f t="shared" si="131"/>
        <v>2020</v>
      </c>
      <c r="L431" s="6">
        <f t="shared" si="140"/>
        <v>3000</v>
      </c>
      <c r="M431" s="6">
        <f t="shared" si="141"/>
        <v>3000</v>
      </c>
      <c r="N431" s="6">
        <f t="shared" si="142"/>
        <v>3000</v>
      </c>
      <c r="O431" s="6">
        <f t="shared" si="134"/>
        <v>-1214</v>
      </c>
      <c r="P431" s="6">
        <f t="shared" si="135"/>
        <v>-1355</v>
      </c>
      <c r="Q431" s="6">
        <f t="shared" si="136"/>
        <v>-980</v>
      </c>
      <c r="R431" s="8">
        <v>0</v>
      </c>
      <c r="S431" s="8">
        <v>6</v>
      </c>
      <c r="T431" s="8">
        <v>4</v>
      </c>
      <c r="U431" s="25">
        <f t="shared" si="137"/>
        <v>-994</v>
      </c>
      <c r="V431" s="25">
        <f t="shared" si="138"/>
        <v>-1145</v>
      </c>
      <c r="W431" s="25">
        <f t="shared" si="139"/>
        <v>-840</v>
      </c>
      <c r="X431" s="15">
        <v>1.7849999999999999</v>
      </c>
      <c r="Y431" s="6"/>
      <c r="Z431" s="21">
        <f t="shared" si="144"/>
        <v>3.03</v>
      </c>
      <c r="AA431" s="6"/>
      <c r="AB431" s="6"/>
    </row>
    <row r="432" spans="1:28" ht="13.2" customHeight="1">
      <c r="A432" s="10">
        <f t="shared" si="143"/>
        <v>421</v>
      </c>
      <c r="B432" s="185" t="s">
        <v>493</v>
      </c>
      <c r="C432" s="10">
        <f t="shared" si="132"/>
        <v>1069</v>
      </c>
      <c r="D432" s="9">
        <f t="shared" si="125"/>
        <v>2119</v>
      </c>
      <c r="E432" s="26">
        <f t="shared" si="133"/>
        <v>3188</v>
      </c>
      <c r="F432" s="8">
        <f t="shared" si="126"/>
        <v>1406</v>
      </c>
      <c r="G432" s="8">
        <f t="shared" si="127"/>
        <v>1549</v>
      </c>
      <c r="H432" s="8">
        <f t="shared" si="128"/>
        <v>1172</v>
      </c>
      <c r="I432" s="6">
        <f t="shared" si="129"/>
        <v>1782</v>
      </c>
      <c r="J432" s="6">
        <f t="shared" si="130"/>
        <v>1639</v>
      </c>
      <c r="K432" s="6">
        <f t="shared" si="131"/>
        <v>2016</v>
      </c>
      <c r="L432" s="6">
        <f t="shared" si="140"/>
        <v>3000</v>
      </c>
      <c r="M432" s="6">
        <f t="shared" si="141"/>
        <v>3000</v>
      </c>
      <c r="N432" s="6">
        <f t="shared" si="142"/>
        <v>3000</v>
      </c>
      <c r="O432" s="6">
        <f t="shared" si="134"/>
        <v>-1218</v>
      </c>
      <c r="P432" s="6">
        <f t="shared" si="135"/>
        <v>-1361</v>
      </c>
      <c r="Q432" s="6">
        <f t="shared" si="136"/>
        <v>-984</v>
      </c>
      <c r="R432" s="8">
        <v>4</v>
      </c>
      <c r="S432" s="8">
        <v>6</v>
      </c>
      <c r="T432" s="8">
        <v>4</v>
      </c>
      <c r="U432" s="25">
        <f t="shared" si="137"/>
        <v>-998</v>
      </c>
      <c r="V432" s="25">
        <f t="shared" si="138"/>
        <v>-1151</v>
      </c>
      <c r="W432" s="25">
        <f t="shared" si="139"/>
        <v>-844</v>
      </c>
      <c r="X432" s="15">
        <v>1.7789999999999999</v>
      </c>
      <c r="Y432" s="6"/>
      <c r="Z432" s="21">
        <f t="shared" si="144"/>
        <v>3.03</v>
      </c>
      <c r="AA432" s="6"/>
      <c r="AB432" s="6"/>
    </row>
    <row r="433" spans="1:28" ht="13.2" customHeight="1">
      <c r="A433" s="10">
        <f t="shared" si="143"/>
        <v>422</v>
      </c>
      <c r="B433" s="185" t="s">
        <v>494</v>
      </c>
      <c r="C433" s="10">
        <f t="shared" si="132"/>
        <v>1069</v>
      </c>
      <c r="D433" s="9">
        <f t="shared" si="125"/>
        <v>2121</v>
      </c>
      <c r="E433" s="26">
        <f t="shared" si="133"/>
        <v>3190</v>
      </c>
      <c r="F433" s="8">
        <f t="shared" si="126"/>
        <v>1411</v>
      </c>
      <c r="G433" s="8">
        <f t="shared" si="127"/>
        <v>1557</v>
      </c>
      <c r="H433" s="8">
        <f t="shared" si="128"/>
        <v>1178</v>
      </c>
      <c r="I433" s="6">
        <f t="shared" si="129"/>
        <v>1779</v>
      </c>
      <c r="J433" s="6">
        <f t="shared" si="130"/>
        <v>1633</v>
      </c>
      <c r="K433" s="6">
        <f t="shared" si="131"/>
        <v>2012</v>
      </c>
      <c r="L433" s="6">
        <f t="shared" si="140"/>
        <v>3000</v>
      </c>
      <c r="M433" s="6">
        <f t="shared" si="141"/>
        <v>3000</v>
      </c>
      <c r="N433" s="6">
        <f t="shared" si="142"/>
        <v>3000</v>
      </c>
      <c r="O433" s="6">
        <f t="shared" si="134"/>
        <v>-1221</v>
      </c>
      <c r="P433" s="6">
        <f t="shared" si="135"/>
        <v>-1367</v>
      </c>
      <c r="Q433" s="6">
        <f t="shared" si="136"/>
        <v>-988</v>
      </c>
      <c r="R433" s="8">
        <v>3</v>
      </c>
      <c r="S433" s="8">
        <v>6</v>
      </c>
      <c r="T433" s="8">
        <v>4</v>
      </c>
      <c r="U433" s="25">
        <f t="shared" si="137"/>
        <v>-1001</v>
      </c>
      <c r="V433" s="25">
        <f t="shared" si="138"/>
        <v>-1157</v>
      </c>
      <c r="W433" s="25">
        <f t="shared" si="139"/>
        <v>-848</v>
      </c>
      <c r="X433" s="15">
        <v>1.7729999999999999</v>
      </c>
      <c r="Y433" s="6"/>
      <c r="Z433" s="21">
        <f t="shared" si="144"/>
        <v>3.03</v>
      </c>
      <c r="AA433" s="6"/>
      <c r="AB433" s="6"/>
    </row>
    <row r="434" spans="1:28" ht="13.2" customHeight="1">
      <c r="A434" s="10">
        <f t="shared" si="143"/>
        <v>423</v>
      </c>
      <c r="B434" s="185" t="s">
        <v>495</v>
      </c>
      <c r="C434" s="10">
        <f t="shared" si="132"/>
        <v>1069</v>
      </c>
      <c r="D434" s="9">
        <f t="shared" si="125"/>
        <v>2123</v>
      </c>
      <c r="E434" s="26">
        <f t="shared" si="133"/>
        <v>3192</v>
      </c>
      <c r="F434" s="8">
        <f t="shared" si="126"/>
        <v>1415</v>
      </c>
      <c r="G434" s="8">
        <f t="shared" si="127"/>
        <v>1565</v>
      </c>
      <c r="H434" s="8">
        <f t="shared" si="128"/>
        <v>1184</v>
      </c>
      <c r="I434" s="6">
        <f t="shared" si="129"/>
        <v>1777</v>
      </c>
      <c r="J434" s="6">
        <f t="shared" si="130"/>
        <v>1627</v>
      </c>
      <c r="K434" s="6">
        <f t="shared" si="131"/>
        <v>2008</v>
      </c>
      <c r="L434" s="6">
        <f t="shared" si="140"/>
        <v>3000</v>
      </c>
      <c r="M434" s="6">
        <f t="shared" si="141"/>
        <v>3000</v>
      </c>
      <c r="N434" s="6">
        <f t="shared" si="142"/>
        <v>3000</v>
      </c>
      <c r="O434" s="6">
        <f t="shared" si="134"/>
        <v>-1223</v>
      </c>
      <c r="P434" s="6">
        <f t="shared" si="135"/>
        <v>-1373</v>
      </c>
      <c r="Q434" s="6">
        <f t="shared" si="136"/>
        <v>-992</v>
      </c>
      <c r="R434" s="8">
        <v>2</v>
      </c>
      <c r="S434" s="8">
        <v>6</v>
      </c>
      <c r="T434" s="8">
        <v>4</v>
      </c>
      <c r="U434" s="25">
        <f t="shared" si="137"/>
        <v>-1003</v>
      </c>
      <c r="V434" s="25">
        <f t="shared" si="138"/>
        <v>-1163</v>
      </c>
      <c r="W434" s="25">
        <f t="shared" si="139"/>
        <v>-852</v>
      </c>
      <c r="X434" s="15">
        <v>1.7669999999999999</v>
      </c>
      <c r="Y434" s="6"/>
      <c r="Z434" s="21">
        <f t="shared" si="144"/>
        <v>3.03</v>
      </c>
      <c r="AA434" s="6"/>
      <c r="AB434" s="6"/>
    </row>
    <row r="435" spans="1:28" ht="13.2" customHeight="1">
      <c r="A435" s="10">
        <f t="shared" si="143"/>
        <v>424</v>
      </c>
      <c r="B435" s="185" t="s">
        <v>496</v>
      </c>
      <c r="C435" s="10">
        <f t="shared" si="132"/>
        <v>1069</v>
      </c>
      <c r="D435" s="9">
        <f t="shared" si="125"/>
        <v>2125</v>
      </c>
      <c r="E435" s="26">
        <f t="shared" si="133"/>
        <v>3194</v>
      </c>
      <c r="F435" s="8">
        <f t="shared" si="126"/>
        <v>1420</v>
      </c>
      <c r="G435" s="8">
        <f t="shared" si="127"/>
        <v>1573</v>
      </c>
      <c r="H435" s="8">
        <f t="shared" si="128"/>
        <v>1189</v>
      </c>
      <c r="I435" s="6">
        <f t="shared" si="129"/>
        <v>1774</v>
      </c>
      <c r="J435" s="6">
        <f t="shared" si="130"/>
        <v>1621</v>
      </c>
      <c r="K435" s="6">
        <f t="shared" si="131"/>
        <v>2005</v>
      </c>
      <c r="L435" s="6">
        <f t="shared" si="140"/>
        <v>3000</v>
      </c>
      <c r="M435" s="6">
        <f t="shared" si="141"/>
        <v>3000</v>
      </c>
      <c r="N435" s="6">
        <f t="shared" si="142"/>
        <v>3000</v>
      </c>
      <c r="O435" s="6">
        <f t="shared" si="134"/>
        <v>-1226</v>
      </c>
      <c r="P435" s="6">
        <f t="shared" si="135"/>
        <v>-1379</v>
      </c>
      <c r="Q435" s="6">
        <f t="shared" si="136"/>
        <v>-995</v>
      </c>
      <c r="R435" s="8">
        <v>3</v>
      </c>
      <c r="S435" s="8">
        <v>6</v>
      </c>
      <c r="T435" s="8">
        <v>3</v>
      </c>
      <c r="U435" s="25">
        <f t="shared" si="137"/>
        <v>-1006</v>
      </c>
      <c r="V435" s="25">
        <f t="shared" si="138"/>
        <v>-1169</v>
      </c>
      <c r="W435" s="25">
        <f t="shared" si="139"/>
        <v>-855</v>
      </c>
      <c r="X435" s="15">
        <v>1.7609999999999999</v>
      </c>
      <c r="Y435" s="6"/>
      <c r="Z435" s="21">
        <f t="shared" si="144"/>
        <v>3.03</v>
      </c>
      <c r="AA435" s="6"/>
      <c r="AB435" s="6"/>
    </row>
    <row r="436" spans="1:28" ht="13.2" customHeight="1">
      <c r="A436" s="10">
        <f t="shared" si="143"/>
        <v>425</v>
      </c>
      <c r="B436" s="185" t="s">
        <v>497</v>
      </c>
      <c r="C436" s="10">
        <f t="shared" si="132"/>
        <v>1069</v>
      </c>
      <c r="D436" s="9">
        <f t="shared" si="125"/>
        <v>2127</v>
      </c>
      <c r="E436" s="26">
        <f t="shared" si="133"/>
        <v>3196</v>
      </c>
      <c r="F436" s="8">
        <f t="shared" si="126"/>
        <v>1425</v>
      </c>
      <c r="G436" s="8">
        <f t="shared" si="127"/>
        <v>1581</v>
      </c>
      <c r="H436" s="8">
        <f t="shared" si="128"/>
        <v>1193</v>
      </c>
      <c r="I436" s="6">
        <f t="shared" si="129"/>
        <v>1771</v>
      </c>
      <c r="J436" s="6">
        <f t="shared" si="130"/>
        <v>1615</v>
      </c>
      <c r="K436" s="6">
        <f t="shared" si="131"/>
        <v>2003</v>
      </c>
      <c r="L436" s="6">
        <f t="shared" si="140"/>
        <v>3000</v>
      </c>
      <c r="M436" s="6">
        <f t="shared" si="141"/>
        <v>3000</v>
      </c>
      <c r="N436" s="6">
        <f t="shared" si="142"/>
        <v>3000</v>
      </c>
      <c r="O436" s="6">
        <f t="shared" si="134"/>
        <v>-1229</v>
      </c>
      <c r="P436" s="6">
        <f t="shared" si="135"/>
        <v>-1385</v>
      </c>
      <c r="Q436" s="6">
        <f t="shared" si="136"/>
        <v>-997</v>
      </c>
      <c r="R436" s="8">
        <v>3</v>
      </c>
      <c r="S436" s="8">
        <v>6</v>
      </c>
      <c r="T436" s="8">
        <v>2</v>
      </c>
      <c r="U436" s="25">
        <f t="shared" si="137"/>
        <v>-1009</v>
      </c>
      <c r="V436" s="25">
        <f t="shared" si="138"/>
        <v>-1175</v>
      </c>
      <c r="W436" s="25">
        <f t="shared" si="139"/>
        <v>-857</v>
      </c>
      <c r="X436" s="15">
        <v>1.7549999999999999</v>
      </c>
      <c r="Y436" s="6"/>
      <c r="Z436" s="21">
        <f t="shared" si="144"/>
        <v>3.03</v>
      </c>
      <c r="AA436" s="6"/>
      <c r="AB436" s="6"/>
    </row>
    <row r="437" spans="1:28" ht="13.2" customHeight="1">
      <c r="A437" s="10">
        <f t="shared" si="143"/>
        <v>426</v>
      </c>
      <c r="B437" s="185" t="s">
        <v>498</v>
      </c>
      <c r="C437" s="10">
        <f t="shared" si="132"/>
        <v>1069</v>
      </c>
      <c r="D437" s="9">
        <f t="shared" si="125"/>
        <v>2129</v>
      </c>
      <c r="E437" s="26">
        <f t="shared" si="133"/>
        <v>3198</v>
      </c>
      <c r="F437" s="8">
        <f t="shared" si="126"/>
        <v>1429</v>
      </c>
      <c r="G437" s="8">
        <f t="shared" si="127"/>
        <v>1589</v>
      </c>
      <c r="H437" s="8">
        <f t="shared" si="128"/>
        <v>1197</v>
      </c>
      <c r="I437" s="6">
        <f t="shared" si="129"/>
        <v>1769</v>
      </c>
      <c r="J437" s="6">
        <f t="shared" si="130"/>
        <v>1609</v>
      </c>
      <c r="K437" s="6">
        <f t="shared" si="131"/>
        <v>2001</v>
      </c>
      <c r="L437" s="6">
        <f t="shared" si="140"/>
        <v>3000</v>
      </c>
      <c r="M437" s="6">
        <f t="shared" si="141"/>
        <v>3000</v>
      </c>
      <c r="N437" s="6">
        <f t="shared" si="142"/>
        <v>3000</v>
      </c>
      <c r="O437" s="6">
        <f t="shared" si="134"/>
        <v>-1231</v>
      </c>
      <c r="P437" s="6">
        <f t="shared" si="135"/>
        <v>-1391</v>
      </c>
      <c r="Q437" s="6">
        <f t="shared" si="136"/>
        <v>-999</v>
      </c>
      <c r="R437" s="8">
        <v>2</v>
      </c>
      <c r="S437" s="8">
        <v>6</v>
      </c>
      <c r="T437" s="8">
        <v>2</v>
      </c>
      <c r="U437" s="25">
        <f t="shared" si="137"/>
        <v>-1011</v>
      </c>
      <c r="V437" s="25">
        <f t="shared" si="138"/>
        <v>-1181</v>
      </c>
      <c r="W437" s="25">
        <f t="shared" si="139"/>
        <v>-859</v>
      </c>
      <c r="X437" s="15">
        <v>1.7490000000000001</v>
      </c>
      <c r="Y437" s="6"/>
      <c r="Z437" s="21">
        <f t="shared" si="144"/>
        <v>3.03</v>
      </c>
      <c r="AA437" s="6"/>
      <c r="AB437" s="6"/>
    </row>
    <row r="438" spans="1:28" ht="13.2" customHeight="1">
      <c r="A438" s="10">
        <f t="shared" si="143"/>
        <v>427</v>
      </c>
      <c r="B438" s="185" t="s">
        <v>499</v>
      </c>
      <c r="C438" s="10">
        <f t="shared" si="132"/>
        <v>1069</v>
      </c>
      <c r="D438" s="9">
        <f t="shared" si="125"/>
        <v>2131</v>
      </c>
      <c r="E438" s="26">
        <f t="shared" si="133"/>
        <v>3200</v>
      </c>
      <c r="F438" s="8">
        <f t="shared" si="126"/>
        <v>1432</v>
      </c>
      <c r="G438" s="8">
        <f t="shared" si="127"/>
        <v>1596</v>
      </c>
      <c r="H438" s="8">
        <f t="shared" si="128"/>
        <v>1201</v>
      </c>
      <c r="I438" s="6">
        <f t="shared" si="129"/>
        <v>1768</v>
      </c>
      <c r="J438" s="6">
        <f t="shared" si="130"/>
        <v>1604</v>
      </c>
      <c r="K438" s="6">
        <f t="shared" si="131"/>
        <v>1999</v>
      </c>
      <c r="L438" s="6">
        <f t="shared" si="140"/>
        <v>3000</v>
      </c>
      <c r="M438" s="6">
        <f t="shared" si="141"/>
        <v>3000</v>
      </c>
      <c r="N438" s="6">
        <f t="shared" si="142"/>
        <v>3000</v>
      </c>
      <c r="O438" s="6">
        <f t="shared" si="134"/>
        <v>-1232</v>
      </c>
      <c r="P438" s="6">
        <f t="shared" si="135"/>
        <v>-1396</v>
      </c>
      <c r="Q438" s="6">
        <f t="shared" si="136"/>
        <v>-1001</v>
      </c>
      <c r="R438" s="8">
        <v>1</v>
      </c>
      <c r="S438" s="8">
        <v>5</v>
      </c>
      <c r="T438" s="8">
        <v>2</v>
      </c>
      <c r="U438" s="25">
        <f t="shared" si="137"/>
        <v>-1012</v>
      </c>
      <c r="V438" s="25">
        <f t="shared" si="138"/>
        <v>-1186</v>
      </c>
      <c r="W438" s="25">
        <f t="shared" si="139"/>
        <v>-861</v>
      </c>
      <c r="X438" s="15">
        <v>1.744</v>
      </c>
      <c r="Y438" s="6"/>
      <c r="Z438" s="21">
        <f t="shared" si="144"/>
        <v>3.03</v>
      </c>
      <c r="AA438" s="6"/>
      <c r="AB438" s="6"/>
    </row>
    <row r="439" spans="1:28" ht="13.2" customHeight="1">
      <c r="A439" s="10">
        <f t="shared" si="143"/>
        <v>428</v>
      </c>
      <c r="B439" s="185" t="s">
        <v>500</v>
      </c>
      <c r="C439" s="10">
        <f t="shared" si="132"/>
        <v>1069</v>
      </c>
      <c r="D439" s="9">
        <f t="shared" si="125"/>
        <v>2133</v>
      </c>
      <c r="E439" s="26">
        <f t="shared" si="133"/>
        <v>3202</v>
      </c>
      <c r="F439" s="8">
        <f t="shared" si="126"/>
        <v>1437</v>
      </c>
      <c r="G439" s="8">
        <f t="shared" si="127"/>
        <v>1603</v>
      </c>
      <c r="H439" s="8">
        <f t="shared" si="128"/>
        <v>1205</v>
      </c>
      <c r="I439" s="6">
        <f t="shared" si="129"/>
        <v>1765</v>
      </c>
      <c r="J439" s="6">
        <f t="shared" si="130"/>
        <v>1599</v>
      </c>
      <c r="K439" s="6">
        <f t="shared" si="131"/>
        <v>1997</v>
      </c>
      <c r="L439" s="6">
        <f t="shared" si="140"/>
        <v>3000</v>
      </c>
      <c r="M439" s="6">
        <f t="shared" si="141"/>
        <v>3000</v>
      </c>
      <c r="N439" s="6">
        <f t="shared" si="142"/>
        <v>3000</v>
      </c>
      <c r="O439" s="6">
        <f t="shared" si="134"/>
        <v>-1235</v>
      </c>
      <c r="P439" s="6">
        <f t="shared" si="135"/>
        <v>-1401</v>
      </c>
      <c r="Q439" s="6">
        <f t="shared" si="136"/>
        <v>-1003</v>
      </c>
      <c r="R439" s="8">
        <v>3</v>
      </c>
      <c r="S439" s="8">
        <v>5</v>
      </c>
      <c r="T439" s="8">
        <v>2</v>
      </c>
      <c r="U439" s="25">
        <f t="shared" si="137"/>
        <v>-1015</v>
      </c>
      <c r="V439" s="25">
        <f t="shared" si="138"/>
        <v>-1191</v>
      </c>
      <c r="W439" s="25">
        <f t="shared" si="139"/>
        <v>-863</v>
      </c>
      <c r="X439" s="15">
        <v>1.7390000000000001</v>
      </c>
      <c r="Y439" s="6"/>
      <c r="Z439" s="21">
        <f t="shared" si="144"/>
        <v>3.03</v>
      </c>
      <c r="AA439" s="6"/>
      <c r="AB439" s="6"/>
    </row>
    <row r="440" spans="1:28" ht="13.2" customHeight="1">
      <c r="A440" s="10">
        <f t="shared" si="143"/>
        <v>429</v>
      </c>
      <c r="B440" s="185" t="s">
        <v>501</v>
      </c>
      <c r="C440" s="10">
        <f t="shared" si="132"/>
        <v>1069</v>
      </c>
      <c r="D440" s="9">
        <f t="shared" si="125"/>
        <v>2135</v>
      </c>
      <c r="E440" s="26">
        <f t="shared" si="133"/>
        <v>3204</v>
      </c>
      <c r="F440" s="8">
        <f t="shared" si="126"/>
        <v>1443</v>
      </c>
      <c r="G440" s="8">
        <f t="shared" si="127"/>
        <v>1610</v>
      </c>
      <c r="H440" s="8">
        <f t="shared" si="128"/>
        <v>1209</v>
      </c>
      <c r="I440" s="6">
        <f t="shared" si="129"/>
        <v>1761</v>
      </c>
      <c r="J440" s="6">
        <f t="shared" si="130"/>
        <v>1594</v>
      </c>
      <c r="K440" s="6">
        <f t="shared" si="131"/>
        <v>1995</v>
      </c>
      <c r="L440" s="6">
        <f t="shared" si="140"/>
        <v>3000</v>
      </c>
      <c r="M440" s="6">
        <f t="shared" si="141"/>
        <v>3000</v>
      </c>
      <c r="N440" s="6">
        <f t="shared" si="142"/>
        <v>3000</v>
      </c>
      <c r="O440" s="6">
        <f t="shared" si="134"/>
        <v>-1239</v>
      </c>
      <c r="P440" s="6">
        <f t="shared" si="135"/>
        <v>-1406</v>
      </c>
      <c r="Q440" s="6">
        <f t="shared" si="136"/>
        <v>-1005</v>
      </c>
      <c r="R440" s="8">
        <v>4</v>
      </c>
      <c r="S440" s="8">
        <v>5</v>
      </c>
      <c r="T440" s="8">
        <v>2</v>
      </c>
      <c r="U440" s="25">
        <f t="shared" si="137"/>
        <v>-1019</v>
      </c>
      <c r="V440" s="25">
        <f t="shared" si="138"/>
        <v>-1196</v>
      </c>
      <c r="W440" s="25">
        <f t="shared" si="139"/>
        <v>-865</v>
      </c>
      <c r="X440" s="15">
        <v>1.734</v>
      </c>
      <c r="Y440" s="6"/>
      <c r="Z440" s="21">
        <f t="shared" si="144"/>
        <v>3.03</v>
      </c>
      <c r="AA440" s="6"/>
      <c r="AB440" s="6"/>
    </row>
    <row r="441" spans="1:28" ht="13.2" customHeight="1">
      <c r="A441" s="10">
        <f t="shared" si="143"/>
        <v>430</v>
      </c>
      <c r="B441" s="185" t="s">
        <v>502</v>
      </c>
      <c r="C441" s="10">
        <f t="shared" si="132"/>
        <v>1069</v>
      </c>
      <c r="D441" s="9">
        <f t="shared" si="125"/>
        <v>2137</v>
      </c>
      <c r="E441" s="26">
        <f t="shared" si="133"/>
        <v>3206</v>
      </c>
      <c r="F441" s="8">
        <f t="shared" si="126"/>
        <v>1448</v>
      </c>
      <c r="G441" s="8">
        <f t="shared" si="127"/>
        <v>1616</v>
      </c>
      <c r="H441" s="8">
        <f t="shared" si="128"/>
        <v>1212</v>
      </c>
      <c r="I441" s="6">
        <f t="shared" si="129"/>
        <v>1758</v>
      </c>
      <c r="J441" s="6">
        <f t="shared" si="130"/>
        <v>1590</v>
      </c>
      <c r="K441" s="6">
        <f t="shared" si="131"/>
        <v>1994</v>
      </c>
      <c r="L441" s="6">
        <f t="shared" si="140"/>
        <v>3000</v>
      </c>
      <c r="M441" s="6">
        <f t="shared" si="141"/>
        <v>3000</v>
      </c>
      <c r="N441" s="6">
        <f t="shared" si="142"/>
        <v>3000</v>
      </c>
      <c r="O441" s="6">
        <f t="shared" si="134"/>
        <v>-1242</v>
      </c>
      <c r="P441" s="6">
        <f t="shared" si="135"/>
        <v>-1410</v>
      </c>
      <c r="Q441" s="6">
        <f t="shared" si="136"/>
        <v>-1006</v>
      </c>
      <c r="R441" s="8">
        <v>3</v>
      </c>
      <c r="S441" s="8">
        <v>4</v>
      </c>
      <c r="T441" s="8">
        <v>1</v>
      </c>
      <c r="U441" s="25">
        <f t="shared" si="137"/>
        <v>-1022</v>
      </c>
      <c r="V441" s="25">
        <f t="shared" si="138"/>
        <v>-1200</v>
      </c>
      <c r="W441" s="25">
        <f t="shared" si="139"/>
        <v>-866</v>
      </c>
      <c r="X441" s="15">
        <v>1.73</v>
      </c>
      <c r="Y441" s="6"/>
      <c r="Z441" s="21">
        <f t="shared" si="144"/>
        <v>3.03</v>
      </c>
      <c r="AA441" s="6"/>
      <c r="AB441" s="6"/>
    </row>
    <row r="442" spans="1:28" ht="13.2" customHeight="1">
      <c r="A442" s="10">
        <f t="shared" si="143"/>
        <v>431</v>
      </c>
      <c r="B442" s="185" t="s">
        <v>503</v>
      </c>
      <c r="C442" s="10">
        <f t="shared" si="132"/>
        <v>1069</v>
      </c>
      <c r="D442" s="9">
        <f t="shared" si="125"/>
        <v>2139</v>
      </c>
      <c r="E442" s="26">
        <f t="shared" si="133"/>
        <v>3208</v>
      </c>
      <c r="F442" s="8">
        <f t="shared" si="126"/>
        <v>1452</v>
      </c>
      <c r="G442" s="8">
        <f t="shared" si="127"/>
        <v>1622</v>
      </c>
      <c r="H442" s="8">
        <f t="shared" si="128"/>
        <v>1215</v>
      </c>
      <c r="I442" s="6">
        <f t="shared" si="129"/>
        <v>1756</v>
      </c>
      <c r="J442" s="6">
        <f t="shared" si="130"/>
        <v>1586</v>
      </c>
      <c r="K442" s="6">
        <f t="shared" si="131"/>
        <v>1993</v>
      </c>
      <c r="L442" s="6">
        <f t="shared" si="140"/>
        <v>3000</v>
      </c>
      <c r="M442" s="6">
        <f t="shared" si="141"/>
        <v>3000</v>
      </c>
      <c r="N442" s="6">
        <f t="shared" si="142"/>
        <v>3000</v>
      </c>
      <c r="O442" s="6">
        <f t="shared" si="134"/>
        <v>-1244</v>
      </c>
      <c r="P442" s="6">
        <f t="shared" si="135"/>
        <v>-1414</v>
      </c>
      <c r="Q442" s="6">
        <f t="shared" si="136"/>
        <v>-1007</v>
      </c>
      <c r="R442" s="8">
        <v>2</v>
      </c>
      <c r="S442" s="8">
        <v>4</v>
      </c>
      <c r="T442" s="8">
        <v>1</v>
      </c>
      <c r="U442" s="25">
        <f t="shared" si="137"/>
        <v>-1024</v>
      </c>
      <c r="V442" s="25">
        <f t="shared" si="138"/>
        <v>-1204</v>
      </c>
      <c r="W442" s="25">
        <f t="shared" si="139"/>
        <v>-867</v>
      </c>
      <c r="X442" s="15">
        <v>1.726</v>
      </c>
      <c r="Y442" s="6"/>
      <c r="Z442" s="21">
        <f t="shared" si="144"/>
        <v>3.03</v>
      </c>
      <c r="AA442" s="6"/>
      <c r="AB442" s="6"/>
    </row>
    <row r="443" spans="1:28" ht="13.2" customHeight="1">
      <c r="A443" s="10">
        <f t="shared" si="143"/>
        <v>432</v>
      </c>
      <c r="B443" s="185" t="s">
        <v>504</v>
      </c>
      <c r="C443" s="10">
        <f t="shared" si="132"/>
        <v>1069</v>
      </c>
      <c r="D443" s="9">
        <f t="shared" si="125"/>
        <v>2141</v>
      </c>
      <c r="E443" s="26">
        <f t="shared" si="133"/>
        <v>3210</v>
      </c>
      <c r="F443" s="8">
        <f t="shared" si="126"/>
        <v>1455</v>
      </c>
      <c r="G443" s="8">
        <f t="shared" si="127"/>
        <v>1627</v>
      </c>
      <c r="H443" s="8">
        <f t="shared" si="128"/>
        <v>1219</v>
      </c>
      <c r="I443" s="6">
        <f t="shared" si="129"/>
        <v>1755</v>
      </c>
      <c r="J443" s="6">
        <f t="shared" si="130"/>
        <v>1583</v>
      </c>
      <c r="K443" s="6">
        <f t="shared" si="131"/>
        <v>1991</v>
      </c>
      <c r="L443" s="6">
        <f t="shared" si="140"/>
        <v>3000</v>
      </c>
      <c r="M443" s="6">
        <f t="shared" si="141"/>
        <v>3000</v>
      </c>
      <c r="N443" s="6">
        <f t="shared" si="142"/>
        <v>3000</v>
      </c>
      <c r="O443" s="6">
        <f t="shared" si="134"/>
        <v>-1245</v>
      </c>
      <c r="P443" s="6">
        <f t="shared" si="135"/>
        <v>-1417</v>
      </c>
      <c r="Q443" s="6">
        <f t="shared" si="136"/>
        <v>-1009</v>
      </c>
      <c r="R443" s="8">
        <v>1</v>
      </c>
      <c r="S443" s="8">
        <v>3</v>
      </c>
      <c r="T443" s="8">
        <v>2</v>
      </c>
      <c r="U443" s="25">
        <f t="shared" si="137"/>
        <v>-1025</v>
      </c>
      <c r="V443" s="25">
        <f t="shared" si="138"/>
        <v>-1207</v>
      </c>
      <c r="W443" s="25">
        <f t="shared" si="139"/>
        <v>-869</v>
      </c>
      <c r="X443" s="15">
        <v>1.7230000000000001</v>
      </c>
      <c r="Y443" s="6"/>
      <c r="Z443" s="21">
        <f t="shared" si="144"/>
        <v>3.03</v>
      </c>
      <c r="AA443" s="6"/>
      <c r="AB443" s="6"/>
    </row>
    <row r="444" spans="1:28" ht="13.2" customHeight="1">
      <c r="A444" s="10">
        <f t="shared" si="143"/>
        <v>433</v>
      </c>
      <c r="B444" s="185" t="s">
        <v>505</v>
      </c>
      <c r="C444" s="10">
        <f t="shared" si="132"/>
        <v>1069</v>
      </c>
      <c r="D444" s="9">
        <f t="shared" ref="D444:D488" si="145">D443+2</f>
        <v>2143</v>
      </c>
      <c r="E444" s="26">
        <f t="shared" si="133"/>
        <v>3212</v>
      </c>
      <c r="F444" s="8">
        <f t="shared" si="126"/>
        <v>1457</v>
      </c>
      <c r="G444" s="8">
        <f t="shared" si="127"/>
        <v>1631</v>
      </c>
      <c r="H444" s="8">
        <f t="shared" si="128"/>
        <v>1223</v>
      </c>
      <c r="I444" s="6">
        <f t="shared" si="129"/>
        <v>1755</v>
      </c>
      <c r="J444" s="6">
        <f t="shared" si="130"/>
        <v>1581</v>
      </c>
      <c r="K444" s="6">
        <f t="shared" si="131"/>
        <v>1989</v>
      </c>
      <c r="L444" s="6">
        <f t="shared" si="140"/>
        <v>3000</v>
      </c>
      <c r="M444" s="6">
        <f t="shared" si="141"/>
        <v>3000</v>
      </c>
      <c r="N444" s="6">
        <f t="shared" si="142"/>
        <v>3000</v>
      </c>
      <c r="O444" s="6">
        <f t="shared" si="134"/>
        <v>-1245</v>
      </c>
      <c r="P444" s="6">
        <f t="shared" si="135"/>
        <v>-1419</v>
      </c>
      <c r="Q444" s="6">
        <f t="shared" si="136"/>
        <v>-1011</v>
      </c>
      <c r="R444" s="8">
        <v>0</v>
      </c>
      <c r="S444" s="8">
        <v>2</v>
      </c>
      <c r="T444" s="8">
        <v>2</v>
      </c>
      <c r="U444" s="25">
        <f t="shared" si="137"/>
        <v>-1025</v>
      </c>
      <c r="V444" s="25">
        <f t="shared" si="138"/>
        <v>-1209</v>
      </c>
      <c r="W444" s="25">
        <f t="shared" si="139"/>
        <v>-871</v>
      </c>
      <c r="X444" s="15">
        <v>1.7210000000000001</v>
      </c>
      <c r="Y444" s="6"/>
      <c r="Z444" s="21">
        <f t="shared" si="144"/>
        <v>3.03</v>
      </c>
      <c r="AA444" s="6"/>
      <c r="AB444" s="6"/>
    </row>
    <row r="445" spans="1:28" ht="13.2" customHeight="1">
      <c r="A445" s="10">
        <f t="shared" si="143"/>
        <v>434</v>
      </c>
      <c r="B445" s="185" t="s">
        <v>506</v>
      </c>
      <c r="C445" s="10">
        <f t="shared" si="132"/>
        <v>1069</v>
      </c>
      <c r="D445" s="9">
        <f t="shared" si="145"/>
        <v>2145</v>
      </c>
      <c r="E445" s="26">
        <f t="shared" si="133"/>
        <v>3214</v>
      </c>
      <c r="F445" s="8">
        <f t="shared" si="126"/>
        <v>1459</v>
      </c>
      <c r="G445" s="8">
        <f t="shared" si="127"/>
        <v>1633</v>
      </c>
      <c r="H445" s="8">
        <f t="shared" si="128"/>
        <v>1225</v>
      </c>
      <c r="I445" s="6">
        <f t="shared" si="129"/>
        <v>1755</v>
      </c>
      <c r="J445" s="6">
        <f t="shared" si="130"/>
        <v>1581</v>
      </c>
      <c r="K445" s="6">
        <f t="shared" si="131"/>
        <v>1989</v>
      </c>
      <c r="L445" s="6">
        <f t="shared" si="140"/>
        <v>3000</v>
      </c>
      <c r="M445" s="6">
        <f t="shared" si="141"/>
        <v>3000</v>
      </c>
      <c r="N445" s="6">
        <f t="shared" si="142"/>
        <v>3000</v>
      </c>
      <c r="O445" s="6">
        <f t="shared" si="134"/>
        <v>-1245</v>
      </c>
      <c r="P445" s="6">
        <f t="shared" si="135"/>
        <v>-1419</v>
      </c>
      <c r="Q445" s="6">
        <f t="shared" si="136"/>
        <v>-1011</v>
      </c>
      <c r="R445" s="8">
        <v>0</v>
      </c>
      <c r="S445" s="8">
        <v>0</v>
      </c>
      <c r="T445" s="8">
        <v>0</v>
      </c>
      <c r="U445" s="25">
        <f t="shared" si="137"/>
        <v>-1025</v>
      </c>
      <c r="V445" s="25">
        <f t="shared" si="138"/>
        <v>-1209</v>
      </c>
      <c r="W445" s="25">
        <f t="shared" si="139"/>
        <v>-871</v>
      </c>
      <c r="X445" s="15">
        <v>1.7210000000000001</v>
      </c>
      <c r="Y445" s="6"/>
      <c r="Z445" s="21">
        <f t="shared" si="144"/>
        <v>3.03</v>
      </c>
      <c r="AA445" s="6"/>
      <c r="AB445" s="6"/>
    </row>
    <row r="446" spans="1:28" ht="13.2" customHeight="1">
      <c r="A446" s="10">
        <f t="shared" si="143"/>
        <v>435</v>
      </c>
      <c r="B446" s="185" t="s">
        <v>507</v>
      </c>
      <c r="C446" s="10">
        <f t="shared" si="132"/>
        <v>1069</v>
      </c>
      <c r="D446" s="9">
        <f t="shared" si="145"/>
        <v>2147</v>
      </c>
      <c r="E446" s="26">
        <f t="shared" si="133"/>
        <v>3216</v>
      </c>
      <c r="F446" s="8">
        <f t="shared" si="126"/>
        <v>1463</v>
      </c>
      <c r="G446" s="8">
        <f t="shared" si="127"/>
        <v>1635</v>
      </c>
      <c r="H446" s="8">
        <f t="shared" si="128"/>
        <v>1228</v>
      </c>
      <c r="I446" s="6">
        <f t="shared" si="129"/>
        <v>1753</v>
      </c>
      <c r="J446" s="6">
        <f t="shared" si="130"/>
        <v>1581</v>
      </c>
      <c r="K446" s="6">
        <f t="shared" si="131"/>
        <v>1988</v>
      </c>
      <c r="L446" s="6">
        <f t="shared" si="140"/>
        <v>3000</v>
      </c>
      <c r="M446" s="6">
        <f t="shared" si="141"/>
        <v>3000</v>
      </c>
      <c r="N446" s="6">
        <f t="shared" si="142"/>
        <v>3000</v>
      </c>
      <c r="O446" s="6">
        <f t="shared" si="134"/>
        <v>-1247</v>
      </c>
      <c r="P446" s="6">
        <f t="shared" si="135"/>
        <v>-1419</v>
      </c>
      <c r="Q446" s="6">
        <f t="shared" si="136"/>
        <v>-1012</v>
      </c>
      <c r="R446" s="8">
        <v>2</v>
      </c>
      <c r="S446" s="8">
        <v>0</v>
      </c>
      <c r="T446" s="8">
        <v>1</v>
      </c>
      <c r="U446" s="25">
        <f t="shared" si="137"/>
        <v>-1027</v>
      </c>
      <c r="V446" s="25">
        <f t="shared" si="138"/>
        <v>-1209</v>
      </c>
      <c r="W446" s="25">
        <f t="shared" si="139"/>
        <v>-872</v>
      </c>
      <c r="X446" s="15">
        <v>1.7210000000000001</v>
      </c>
      <c r="Y446" s="6"/>
      <c r="Z446" s="21">
        <f t="shared" si="144"/>
        <v>3.03</v>
      </c>
      <c r="AA446" s="6"/>
      <c r="AB446" s="6"/>
    </row>
    <row r="447" spans="1:28" ht="13.2" customHeight="1">
      <c r="A447" s="10">
        <f t="shared" si="143"/>
        <v>436</v>
      </c>
      <c r="B447" s="185" t="s">
        <v>508</v>
      </c>
      <c r="C447" s="10">
        <f t="shared" si="132"/>
        <v>1069</v>
      </c>
      <c r="D447" s="9">
        <f t="shared" si="145"/>
        <v>2149</v>
      </c>
      <c r="E447" s="26">
        <f t="shared" si="133"/>
        <v>3218</v>
      </c>
      <c r="F447" s="8">
        <f t="shared" si="126"/>
        <v>1465</v>
      </c>
      <c r="G447" s="8">
        <f t="shared" si="127"/>
        <v>1638</v>
      </c>
      <c r="H447" s="8">
        <f t="shared" si="128"/>
        <v>1230</v>
      </c>
      <c r="I447" s="6">
        <f t="shared" si="129"/>
        <v>1753</v>
      </c>
      <c r="J447" s="6">
        <f t="shared" si="130"/>
        <v>1580</v>
      </c>
      <c r="K447" s="6">
        <f t="shared" si="131"/>
        <v>1988</v>
      </c>
      <c r="L447" s="6">
        <f t="shared" si="140"/>
        <v>3000</v>
      </c>
      <c r="M447" s="6">
        <f t="shared" si="141"/>
        <v>3000</v>
      </c>
      <c r="N447" s="6">
        <f t="shared" si="142"/>
        <v>3000</v>
      </c>
      <c r="O447" s="6">
        <f t="shared" si="134"/>
        <v>-1247</v>
      </c>
      <c r="P447" s="6">
        <f t="shared" si="135"/>
        <v>-1420</v>
      </c>
      <c r="Q447" s="6">
        <f t="shared" si="136"/>
        <v>-1012</v>
      </c>
      <c r="R447" s="8">
        <v>0</v>
      </c>
      <c r="S447" s="8">
        <v>1</v>
      </c>
      <c r="T447" s="8">
        <v>0</v>
      </c>
      <c r="U447" s="25">
        <f t="shared" si="137"/>
        <v>-1027</v>
      </c>
      <c r="V447" s="25">
        <f t="shared" si="138"/>
        <v>-1210</v>
      </c>
      <c r="W447" s="25">
        <f t="shared" si="139"/>
        <v>-872</v>
      </c>
      <c r="X447" s="15">
        <v>1.72</v>
      </c>
      <c r="Y447" s="6"/>
      <c r="Z447" s="21">
        <f t="shared" si="144"/>
        <v>3.03</v>
      </c>
      <c r="AA447" s="6"/>
      <c r="AB447" s="6"/>
    </row>
    <row r="448" spans="1:28" ht="13.2" customHeight="1">
      <c r="A448" s="10">
        <f t="shared" si="143"/>
        <v>437</v>
      </c>
      <c r="B448" s="185" t="s">
        <v>509</v>
      </c>
      <c r="C448" s="10">
        <f t="shared" si="132"/>
        <v>1069</v>
      </c>
      <c r="D448" s="9">
        <f t="shared" si="145"/>
        <v>2151</v>
      </c>
      <c r="E448" s="26">
        <f t="shared" si="133"/>
        <v>3220</v>
      </c>
      <c r="F448" s="8">
        <f t="shared" si="126"/>
        <v>1467</v>
      </c>
      <c r="G448" s="8">
        <f t="shared" si="127"/>
        <v>1640</v>
      </c>
      <c r="H448" s="8">
        <f t="shared" si="128"/>
        <v>1235</v>
      </c>
      <c r="I448" s="6">
        <f t="shared" si="129"/>
        <v>1753</v>
      </c>
      <c r="J448" s="6">
        <f t="shared" si="130"/>
        <v>1580</v>
      </c>
      <c r="K448" s="6">
        <f t="shared" si="131"/>
        <v>1985</v>
      </c>
      <c r="L448" s="6">
        <f t="shared" si="140"/>
        <v>3000</v>
      </c>
      <c r="M448" s="6">
        <f t="shared" si="141"/>
        <v>3000</v>
      </c>
      <c r="N448" s="6">
        <f t="shared" si="142"/>
        <v>3000</v>
      </c>
      <c r="O448" s="6">
        <f t="shared" si="134"/>
        <v>-1247</v>
      </c>
      <c r="P448" s="6">
        <f t="shared" si="135"/>
        <v>-1420</v>
      </c>
      <c r="Q448" s="6">
        <f t="shared" si="136"/>
        <v>-1015</v>
      </c>
      <c r="R448" s="8">
        <v>0</v>
      </c>
      <c r="S448" s="8">
        <v>0</v>
      </c>
      <c r="T448" s="8">
        <v>3</v>
      </c>
      <c r="U448" s="25">
        <f t="shared" si="137"/>
        <v>-1027</v>
      </c>
      <c r="V448" s="25">
        <f t="shared" si="138"/>
        <v>-1210</v>
      </c>
      <c r="W448" s="25">
        <f t="shared" si="139"/>
        <v>-875</v>
      </c>
      <c r="X448" s="15">
        <v>1.72</v>
      </c>
      <c r="Y448" s="6"/>
      <c r="Z448" s="21">
        <f t="shared" si="144"/>
        <v>3.03</v>
      </c>
      <c r="AA448" s="6"/>
      <c r="AB448" s="6"/>
    </row>
    <row r="449" spans="1:28" ht="13.2" customHeight="1">
      <c r="A449" s="10">
        <f t="shared" si="143"/>
        <v>438</v>
      </c>
      <c r="B449" s="185" t="s">
        <v>510</v>
      </c>
      <c r="C449" s="10">
        <f t="shared" si="132"/>
        <v>1069</v>
      </c>
      <c r="D449" s="9">
        <f t="shared" si="145"/>
        <v>2153</v>
      </c>
      <c r="E449" s="26">
        <f t="shared" si="133"/>
        <v>3222</v>
      </c>
      <c r="F449" s="8">
        <f t="shared" si="126"/>
        <v>1469</v>
      </c>
      <c r="G449" s="8">
        <f t="shared" si="127"/>
        <v>1642</v>
      </c>
      <c r="H449" s="8">
        <f t="shared" si="128"/>
        <v>1237</v>
      </c>
      <c r="I449" s="6">
        <f t="shared" si="129"/>
        <v>1753</v>
      </c>
      <c r="J449" s="6">
        <f t="shared" si="130"/>
        <v>1580</v>
      </c>
      <c r="K449" s="6">
        <f t="shared" si="131"/>
        <v>1985</v>
      </c>
      <c r="L449" s="6">
        <f t="shared" si="140"/>
        <v>3000</v>
      </c>
      <c r="M449" s="6">
        <f t="shared" si="141"/>
        <v>3000</v>
      </c>
      <c r="N449" s="6">
        <f t="shared" si="142"/>
        <v>3000</v>
      </c>
      <c r="O449" s="6">
        <f t="shared" si="134"/>
        <v>-1247</v>
      </c>
      <c r="P449" s="6">
        <f t="shared" si="135"/>
        <v>-1420</v>
      </c>
      <c r="Q449" s="6">
        <f t="shared" si="136"/>
        <v>-1015</v>
      </c>
      <c r="R449" s="8">
        <v>0</v>
      </c>
      <c r="S449" s="8">
        <v>0</v>
      </c>
      <c r="T449" s="8">
        <v>0</v>
      </c>
      <c r="U449" s="25">
        <f t="shared" si="137"/>
        <v>-1027</v>
      </c>
      <c r="V449" s="25">
        <f t="shared" si="138"/>
        <v>-1210</v>
      </c>
      <c r="W449" s="25">
        <f t="shared" si="139"/>
        <v>-875</v>
      </c>
      <c r="X449" s="15">
        <v>1.72</v>
      </c>
      <c r="Y449" s="6"/>
      <c r="Z449" s="21">
        <f t="shared" si="144"/>
        <v>3.03</v>
      </c>
      <c r="AA449" s="6"/>
      <c r="AB449" s="6"/>
    </row>
    <row r="450" spans="1:28" ht="13.2" customHeight="1">
      <c r="A450" s="10">
        <f t="shared" si="143"/>
        <v>439</v>
      </c>
      <c r="B450" s="185" t="s">
        <v>511</v>
      </c>
      <c r="C450" s="10">
        <f t="shared" si="132"/>
        <v>1069</v>
      </c>
      <c r="D450" s="9">
        <f t="shared" si="145"/>
        <v>2155</v>
      </c>
      <c r="E450" s="26">
        <f t="shared" si="133"/>
        <v>3224</v>
      </c>
      <c r="F450" s="8">
        <f t="shared" si="126"/>
        <v>1473</v>
      </c>
      <c r="G450" s="8">
        <f t="shared" si="127"/>
        <v>1644</v>
      </c>
      <c r="H450" s="8">
        <f t="shared" si="128"/>
        <v>1240</v>
      </c>
      <c r="I450" s="6">
        <f t="shared" si="129"/>
        <v>1751</v>
      </c>
      <c r="J450" s="6">
        <f t="shared" si="130"/>
        <v>1580</v>
      </c>
      <c r="K450" s="6">
        <f t="shared" si="131"/>
        <v>1984</v>
      </c>
      <c r="L450" s="6">
        <f t="shared" si="140"/>
        <v>3000</v>
      </c>
      <c r="M450" s="6">
        <f t="shared" si="141"/>
        <v>3000</v>
      </c>
      <c r="N450" s="6">
        <f t="shared" si="142"/>
        <v>3000</v>
      </c>
      <c r="O450" s="6">
        <f t="shared" si="134"/>
        <v>-1249</v>
      </c>
      <c r="P450" s="6">
        <f t="shared" si="135"/>
        <v>-1420</v>
      </c>
      <c r="Q450" s="6">
        <f t="shared" si="136"/>
        <v>-1016</v>
      </c>
      <c r="R450" s="8">
        <v>2</v>
      </c>
      <c r="S450" s="8">
        <v>0</v>
      </c>
      <c r="T450" s="8">
        <v>1</v>
      </c>
      <c r="U450" s="25">
        <f t="shared" si="137"/>
        <v>-1029</v>
      </c>
      <c r="V450" s="25">
        <f t="shared" si="138"/>
        <v>-1210</v>
      </c>
      <c r="W450" s="25">
        <f t="shared" si="139"/>
        <v>-876</v>
      </c>
      <c r="X450" s="15">
        <v>1.72</v>
      </c>
      <c r="Y450" s="6"/>
      <c r="Z450" s="21">
        <f t="shared" si="144"/>
        <v>3.03</v>
      </c>
      <c r="AA450" s="6"/>
      <c r="AB450" s="6"/>
    </row>
    <row r="451" spans="1:28" ht="13.2" customHeight="1">
      <c r="A451" s="10">
        <f t="shared" si="143"/>
        <v>440</v>
      </c>
      <c r="B451" s="185" t="s">
        <v>512</v>
      </c>
      <c r="C451" s="10">
        <f t="shared" si="132"/>
        <v>1069</v>
      </c>
      <c r="D451" s="9">
        <f t="shared" si="145"/>
        <v>2157</v>
      </c>
      <c r="E451" s="26">
        <f t="shared" si="133"/>
        <v>3226</v>
      </c>
      <c r="F451" s="8">
        <f t="shared" si="126"/>
        <v>1475</v>
      </c>
      <c r="G451" s="8">
        <f t="shared" si="127"/>
        <v>1648</v>
      </c>
      <c r="H451" s="8">
        <f t="shared" si="128"/>
        <v>1242</v>
      </c>
      <c r="I451" s="6">
        <f t="shared" si="129"/>
        <v>1751</v>
      </c>
      <c r="J451" s="6">
        <f t="shared" si="130"/>
        <v>1578</v>
      </c>
      <c r="K451" s="6">
        <f t="shared" si="131"/>
        <v>1984</v>
      </c>
      <c r="L451" s="6">
        <f t="shared" si="140"/>
        <v>3000</v>
      </c>
      <c r="M451" s="6">
        <f t="shared" si="141"/>
        <v>3000</v>
      </c>
      <c r="N451" s="6">
        <f t="shared" si="142"/>
        <v>3000</v>
      </c>
      <c r="O451" s="6">
        <f t="shared" si="134"/>
        <v>-1249</v>
      </c>
      <c r="P451" s="6">
        <f t="shared" si="135"/>
        <v>-1422</v>
      </c>
      <c r="Q451" s="6">
        <f t="shared" si="136"/>
        <v>-1016</v>
      </c>
      <c r="R451" s="8">
        <v>0</v>
      </c>
      <c r="S451" s="8">
        <v>2</v>
      </c>
      <c r="T451" s="8">
        <v>0</v>
      </c>
      <c r="U451" s="25">
        <f t="shared" si="137"/>
        <v>-1029</v>
      </c>
      <c r="V451" s="25">
        <f t="shared" si="138"/>
        <v>-1212</v>
      </c>
      <c r="W451" s="25">
        <f t="shared" si="139"/>
        <v>-876</v>
      </c>
      <c r="X451" s="15">
        <v>1.718</v>
      </c>
      <c r="Y451" s="6"/>
      <c r="Z451" s="21">
        <f t="shared" si="144"/>
        <v>3.03</v>
      </c>
      <c r="AA451" s="6"/>
      <c r="AB451" s="6"/>
    </row>
    <row r="452" spans="1:28" ht="13.2" customHeight="1">
      <c r="A452" s="10">
        <f t="shared" si="143"/>
        <v>441</v>
      </c>
      <c r="B452" s="185" t="s">
        <v>513</v>
      </c>
      <c r="C452" s="10">
        <f t="shared" si="132"/>
        <v>1069</v>
      </c>
      <c r="D452" s="9">
        <f t="shared" si="145"/>
        <v>2159</v>
      </c>
      <c r="E452" s="26">
        <f t="shared" si="133"/>
        <v>3228</v>
      </c>
      <c r="F452" s="8">
        <f t="shared" si="126"/>
        <v>1477</v>
      </c>
      <c r="G452" s="8">
        <f t="shared" si="127"/>
        <v>1650</v>
      </c>
      <c r="H452" s="8">
        <f t="shared" si="128"/>
        <v>1244</v>
      </c>
      <c r="I452" s="6">
        <f t="shared" si="129"/>
        <v>1751</v>
      </c>
      <c r="J452" s="6">
        <f t="shared" si="130"/>
        <v>1578</v>
      </c>
      <c r="K452" s="6">
        <f t="shared" si="131"/>
        <v>1984</v>
      </c>
      <c r="L452" s="6">
        <f t="shared" si="140"/>
        <v>3000</v>
      </c>
      <c r="M452" s="6">
        <f t="shared" si="141"/>
        <v>3000</v>
      </c>
      <c r="N452" s="6">
        <f t="shared" si="142"/>
        <v>3000</v>
      </c>
      <c r="O452" s="6">
        <f t="shared" si="134"/>
        <v>-1249</v>
      </c>
      <c r="P452" s="6">
        <f t="shared" si="135"/>
        <v>-1422</v>
      </c>
      <c r="Q452" s="6">
        <f t="shared" si="136"/>
        <v>-1016</v>
      </c>
      <c r="R452" s="8">
        <v>0</v>
      </c>
      <c r="S452" s="8">
        <v>0</v>
      </c>
      <c r="T452" s="8">
        <v>0</v>
      </c>
      <c r="U452" s="25">
        <f t="shared" si="137"/>
        <v>-1029</v>
      </c>
      <c r="V452" s="25">
        <f t="shared" si="138"/>
        <v>-1212</v>
      </c>
      <c r="W452" s="25">
        <f t="shared" si="139"/>
        <v>-876</v>
      </c>
      <c r="X452" s="15">
        <v>1.718</v>
      </c>
      <c r="Y452" s="6"/>
      <c r="Z452" s="21">
        <f t="shared" si="144"/>
        <v>3.03</v>
      </c>
      <c r="AA452" s="6"/>
      <c r="AB452" s="6"/>
    </row>
    <row r="453" spans="1:28" ht="13.2" customHeight="1">
      <c r="A453" s="10">
        <f t="shared" si="143"/>
        <v>442</v>
      </c>
      <c r="B453" s="185" t="s">
        <v>514</v>
      </c>
      <c r="C453" s="10">
        <f t="shared" si="132"/>
        <v>1069</v>
      </c>
      <c r="D453" s="9">
        <f t="shared" si="145"/>
        <v>2161</v>
      </c>
      <c r="E453" s="26">
        <f t="shared" si="133"/>
        <v>3230</v>
      </c>
      <c r="F453" s="8">
        <f t="shared" si="126"/>
        <v>1479</v>
      </c>
      <c r="G453" s="8">
        <f t="shared" si="127"/>
        <v>1654</v>
      </c>
      <c r="H453" s="8">
        <f t="shared" si="128"/>
        <v>1248</v>
      </c>
      <c r="I453" s="6">
        <f t="shared" si="129"/>
        <v>1751</v>
      </c>
      <c r="J453" s="6">
        <f t="shared" si="130"/>
        <v>1576</v>
      </c>
      <c r="K453" s="6">
        <f t="shared" si="131"/>
        <v>1982</v>
      </c>
      <c r="L453" s="6">
        <f t="shared" si="140"/>
        <v>3000</v>
      </c>
      <c r="M453" s="6">
        <f t="shared" si="141"/>
        <v>3000</v>
      </c>
      <c r="N453" s="6">
        <f t="shared" si="142"/>
        <v>3000</v>
      </c>
      <c r="O453" s="6">
        <f t="shared" si="134"/>
        <v>-1249</v>
      </c>
      <c r="P453" s="6">
        <f t="shared" si="135"/>
        <v>-1424</v>
      </c>
      <c r="Q453" s="6">
        <f t="shared" si="136"/>
        <v>-1018</v>
      </c>
      <c r="R453" s="8">
        <v>0</v>
      </c>
      <c r="S453" s="8">
        <v>2</v>
      </c>
      <c r="T453" s="8">
        <v>2</v>
      </c>
      <c r="U453" s="25">
        <f t="shared" si="137"/>
        <v>-1029</v>
      </c>
      <c r="V453" s="25">
        <f t="shared" si="138"/>
        <v>-1214</v>
      </c>
      <c r="W453" s="25">
        <f t="shared" si="139"/>
        <v>-878</v>
      </c>
      <c r="X453" s="15">
        <v>1.716</v>
      </c>
      <c r="Y453" s="6"/>
      <c r="Z453" s="21">
        <f t="shared" si="144"/>
        <v>3.03</v>
      </c>
      <c r="AA453" s="6"/>
      <c r="AB453" s="6"/>
    </row>
    <row r="454" spans="1:28" ht="13.2" customHeight="1">
      <c r="A454" s="10">
        <f t="shared" si="143"/>
        <v>443</v>
      </c>
      <c r="B454" s="185" t="s">
        <v>515</v>
      </c>
      <c r="C454" s="10">
        <f t="shared" si="132"/>
        <v>1069</v>
      </c>
      <c r="D454" s="9">
        <f t="shared" si="145"/>
        <v>2163</v>
      </c>
      <c r="E454" s="26">
        <f t="shared" si="133"/>
        <v>3232</v>
      </c>
      <c r="F454" s="8">
        <f t="shared" si="126"/>
        <v>1481</v>
      </c>
      <c r="G454" s="8">
        <f t="shared" si="127"/>
        <v>1657</v>
      </c>
      <c r="H454" s="8">
        <f t="shared" si="128"/>
        <v>1250</v>
      </c>
      <c r="I454" s="6">
        <f t="shared" si="129"/>
        <v>1751</v>
      </c>
      <c r="J454" s="6">
        <f t="shared" si="130"/>
        <v>1575</v>
      </c>
      <c r="K454" s="6">
        <f t="shared" si="131"/>
        <v>1982</v>
      </c>
      <c r="L454" s="6">
        <f t="shared" si="140"/>
        <v>3000</v>
      </c>
      <c r="M454" s="6">
        <f t="shared" si="141"/>
        <v>3000</v>
      </c>
      <c r="N454" s="6">
        <f t="shared" si="142"/>
        <v>3000</v>
      </c>
      <c r="O454" s="6">
        <f t="shared" si="134"/>
        <v>-1249</v>
      </c>
      <c r="P454" s="6">
        <f t="shared" si="135"/>
        <v>-1425</v>
      </c>
      <c r="Q454" s="6">
        <f t="shared" si="136"/>
        <v>-1018</v>
      </c>
      <c r="R454" s="8">
        <v>0</v>
      </c>
      <c r="S454" s="8">
        <v>1</v>
      </c>
      <c r="T454" s="8">
        <v>0</v>
      </c>
      <c r="U454" s="25">
        <f t="shared" si="137"/>
        <v>-1029</v>
      </c>
      <c r="V454" s="25">
        <f t="shared" si="138"/>
        <v>-1215</v>
      </c>
      <c r="W454" s="25">
        <f t="shared" si="139"/>
        <v>-878</v>
      </c>
      <c r="X454" s="15">
        <v>1.7150000000000001</v>
      </c>
      <c r="Y454" s="6"/>
      <c r="Z454" s="21">
        <f t="shared" si="144"/>
        <v>3.03</v>
      </c>
      <c r="AA454" s="6"/>
      <c r="AB454" s="6"/>
    </row>
    <row r="455" spans="1:28" ht="13.2" customHeight="1">
      <c r="A455" s="10">
        <f t="shared" si="143"/>
        <v>444</v>
      </c>
      <c r="B455" s="185" t="s">
        <v>516</v>
      </c>
      <c r="C455" s="10">
        <f t="shared" si="132"/>
        <v>1069</v>
      </c>
      <c r="D455" s="9">
        <f t="shared" si="145"/>
        <v>2165</v>
      </c>
      <c r="E455" s="26">
        <f t="shared" si="133"/>
        <v>3234</v>
      </c>
      <c r="F455" s="8">
        <f t="shared" si="126"/>
        <v>1484</v>
      </c>
      <c r="G455" s="8">
        <f t="shared" si="127"/>
        <v>1659</v>
      </c>
      <c r="H455" s="8">
        <f t="shared" si="128"/>
        <v>1254</v>
      </c>
      <c r="I455" s="6">
        <f t="shared" si="129"/>
        <v>1750</v>
      </c>
      <c r="J455" s="6">
        <f t="shared" si="130"/>
        <v>1575</v>
      </c>
      <c r="K455" s="6">
        <f t="shared" si="131"/>
        <v>1980</v>
      </c>
      <c r="L455" s="6">
        <f t="shared" si="140"/>
        <v>3000</v>
      </c>
      <c r="M455" s="6">
        <f t="shared" si="141"/>
        <v>3000</v>
      </c>
      <c r="N455" s="6">
        <f t="shared" si="142"/>
        <v>3000</v>
      </c>
      <c r="O455" s="6">
        <f t="shared" si="134"/>
        <v>-1250</v>
      </c>
      <c r="P455" s="6">
        <f t="shared" si="135"/>
        <v>-1425</v>
      </c>
      <c r="Q455" s="6">
        <f t="shared" si="136"/>
        <v>-1020</v>
      </c>
      <c r="R455" s="8">
        <v>1</v>
      </c>
      <c r="S455" s="8">
        <v>0</v>
      </c>
      <c r="T455" s="8">
        <v>2</v>
      </c>
      <c r="U455" s="25">
        <f t="shared" si="137"/>
        <v>-1030</v>
      </c>
      <c r="V455" s="25">
        <f t="shared" si="138"/>
        <v>-1215</v>
      </c>
      <c r="W455" s="25">
        <f t="shared" si="139"/>
        <v>-880</v>
      </c>
      <c r="X455" s="15">
        <v>1.7150000000000001</v>
      </c>
      <c r="Y455" s="6"/>
      <c r="Z455" s="21">
        <f t="shared" si="144"/>
        <v>3.03</v>
      </c>
      <c r="AA455" s="6"/>
      <c r="AB455" s="6"/>
    </row>
    <row r="456" spans="1:28" ht="13.2" customHeight="1">
      <c r="A456" s="10">
        <f t="shared" si="143"/>
        <v>445</v>
      </c>
      <c r="B456" s="185" t="s">
        <v>517</v>
      </c>
      <c r="C456" s="10">
        <f t="shared" si="132"/>
        <v>1069</v>
      </c>
      <c r="D456" s="9">
        <f t="shared" si="145"/>
        <v>2167</v>
      </c>
      <c r="E456" s="26">
        <f t="shared" si="133"/>
        <v>3236</v>
      </c>
      <c r="F456" s="8">
        <f t="shared" si="126"/>
        <v>1486</v>
      </c>
      <c r="G456" s="8">
        <f t="shared" si="127"/>
        <v>1661</v>
      </c>
      <c r="H456" s="8">
        <f t="shared" si="128"/>
        <v>1259</v>
      </c>
      <c r="I456" s="6">
        <f t="shared" si="129"/>
        <v>1750</v>
      </c>
      <c r="J456" s="6">
        <f t="shared" si="130"/>
        <v>1575</v>
      </c>
      <c r="K456" s="6">
        <f t="shared" si="131"/>
        <v>1977</v>
      </c>
      <c r="L456" s="6">
        <f t="shared" si="140"/>
        <v>3000</v>
      </c>
      <c r="M456" s="6">
        <f t="shared" si="141"/>
        <v>3000</v>
      </c>
      <c r="N456" s="6">
        <f t="shared" si="142"/>
        <v>3000</v>
      </c>
      <c r="O456" s="6">
        <f t="shared" si="134"/>
        <v>-1250</v>
      </c>
      <c r="P456" s="6">
        <f t="shared" si="135"/>
        <v>-1425</v>
      </c>
      <c r="Q456" s="6">
        <f t="shared" si="136"/>
        <v>-1023</v>
      </c>
      <c r="R456" s="8">
        <v>0</v>
      </c>
      <c r="S456" s="8">
        <v>0</v>
      </c>
      <c r="T456" s="8">
        <v>3</v>
      </c>
      <c r="U456" s="25">
        <f t="shared" si="137"/>
        <v>-1030</v>
      </c>
      <c r="V456" s="25">
        <f t="shared" si="138"/>
        <v>-1215</v>
      </c>
      <c r="W456" s="25">
        <f t="shared" si="139"/>
        <v>-883</v>
      </c>
      <c r="X456" s="15">
        <v>1.7150000000000001</v>
      </c>
      <c r="Y456" s="6"/>
      <c r="Z456" s="21">
        <f t="shared" si="144"/>
        <v>3.03</v>
      </c>
      <c r="AA456" s="6"/>
      <c r="AB456" s="6"/>
    </row>
    <row r="457" spans="1:28" ht="13.2" customHeight="1">
      <c r="A457" s="10">
        <f t="shared" si="143"/>
        <v>446</v>
      </c>
      <c r="B457" s="185" t="s">
        <v>518</v>
      </c>
      <c r="C457" s="10">
        <f t="shared" si="132"/>
        <v>1069</v>
      </c>
      <c r="D457" s="9">
        <f t="shared" si="145"/>
        <v>2169</v>
      </c>
      <c r="E457" s="26">
        <f t="shared" si="133"/>
        <v>3238</v>
      </c>
      <c r="F457" s="8">
        <f t="shared" si="126"/>
        <v>1488</v>
      </c>
      <c r="G457" s="8">
        <f t="shared" si="127"/>
        <v>1663</v>
      </c>
      <c r="H457" s="8">
        <f t="shared" si="128"/>
        <v>1261</v>
      </c>
      <c r="I457" s="6">
        <f t="shared" si="129"/>
        <v>1750</v>
      </c>
      <c r="J457" s="6">
        <f t="shared" si="130"/>
        <v>1575</v>
      </c>
      <c r="K457" s="6">
        <f t="shared" si="131"/>
        <v>1977</v>
      </c>
      <c r="L457" s="6">
        <f t="shared" si="140"/>
        <v>3000</v>
      </c>
      <c r="M457" s="6">
        <f t="shared" si="141"/>
        <v>3000</v>
      </c>
      <c r="N457" s="6">
        <f t="shared" si="142"/>
        <v>3000</v>
      </c>
      <c r="O457" s="6">
        <f t="shared" si="134"/>
        <v>-1250</v>
      </c>
      <c r="P457" s="6">
        <f t="shared" si="135"/>
        <v>-1425</v>
      </c>
      <c r="Q457" s="6">
        <f t="shared" si="136"/>
        <v>-1023</v>
      </c>
      <c r="R457" s="8">
        <v>0</v>
      </c>
      <c r="S457" s="8">
        <v>0</v>
      </c>
      <c r="T457" s="8">
        <v>0</v>
      </c>
      <c r="U457" s="25">
        <f t="shared" si="137"/>
        <v>-1030</v>
      </c>
      <c r="V457" s="25">
        <f t="shared" si="138"/>
        <v>-1215</v>
      </c>
      <c r="W457" s="25">
        <f t="shared" si="139"/>
        <v>-883</v>
      </c>
      <c r="X457" s="15">
        <v>1.7150000000000001</v>
      </c>
      <c r="Y457" s="6"/>
      <c r="Z457" s="21">
        <f t="shared" si="144"/>
        <v>3.03</v>
      </c>
      <c r="AA457" s="6"/>
      <c r="AB457" s="6"/>
    </row>
    <row r="458" spans="1:28" ht="13.2" customHeight="1">
      <c r="A458" s="10">
        <f t="shared" si="143"/>
        <v>447</v>
      </c>
      <c r="B458" s="185" t="s">
        <v>519</v>
      </c>
      <c r="C458" s="10">
        <f t="shared" si="132"/>
        <v>1069</v>
      </c>
      <c r="D458" s="9">
        <f t="shared" si="145"/>
        <v>2171</v>
      </c>
      <c r="E458" s="26">
        <f t="shared" si="133"/>
        <v>3240</v>
      </c>
      <c r="F458" s="8">
        <f t="shared" si="126"/>
        <v>1490</v>
      </c>
      <c r="G458" s="8">
        <f t="shared" si="127"/>
        <v>1665</v>
      </c>
      <c r="H458" s="8">
        <f t="shared" si="128"/>
        <v>1263</v>
      </c>
      <c r="I458" s="6">
        <f t="shared" si="129"/>
        <v>1750</v>
      </c>
      <c r="J458" s="6">
        <f t="shared" si="130"/>
        <v>1575</v>
      </c>
      <c r="K458" s="6">
        <f t="shared" si="131"/>
        <v>1977</v>
      </c>
      <c r="L458" s="6">
        <f t="shared" si="140"/>
        <v>3000</v>
      </c>
      <c r="M458" s="6">
        <f t="shared" si="141"/>
        <v>3000</v>
      </c>
      <c r="N458" s="6">
        <f t="shared" si="142"/>
        <v>3000</v>
      </c>
      <c r="O458" s="6">
        <f t="shared" si="134"/>
        <v>-1250</v>
      </c>
      <c r="P458" s="6">
        <f t="shared" si="135"/>
        <v>-1425</v>
      </c>
      <c r="Q458" s="6">
        <f t="shared" si="136"/>
        <v>-1023</v>
      </c>
      <c r="R458" s="8">
        <v>0</v>
      </c>
      <c r="S458" s="8">
        <v>0</v>
      </c>
      <c r="T458" s="8">
        <v>0</v>
      </c>
      <c r="U458" s="25">
        <f t="shared" si="137"/>
        <v>-1030</v>
      </c>
      <c r="V458" s="25">
        <f t="shared" si="138"/>
        <v>-1215</v>
      </c>
      <c r="W458" s="25">
        <f t="shared" si="139"/>
        <v>-883</v>
      </c>
      <c r="X458" s="15">
        <v>1.7150000000000001</v>
      </c>
      <c r="Y458" s="6"/>
      <c r="Z458" s="21">
        <f t="shared" si="144"/>
        <v>3.03</v>
      </c>
      <c r="AA458" s="6"/>
      <c r="AB458" s="6"/>
    </row>
    <row r="459" spans="1:28" ht="13.2" customHeight="1">
      <c r="A459" s="10">
        <f t="shared" si="143"/>
        <v>448</v>
      </c>
      <c r="B459" s="185" t="s">
        <v>520</v>
      </c>
      <c r="C459" s="10">
        <f t="shared" si="132"/>
        <v>1069</v>
      </c>
      <c r="D459" s="9">
        <f t="shared" si="145"/>
        <v>2173</v>
      </c>
      <c r="E459" s="26">
        <f t="shared" si="133"/>
        <v>3242</v>
      </c>
      <c r="F459" s="8">
        <f t="shared" ref="F459:F488" si="146">C459+D459-I459</f>
        <v>1492</v>
      </c>
      <c r="G459" s="8">
        <f t="shared" ref="G459:G488" si="147">C459+D459-J459</f>
        <v>1667</v>
      </c>
      <c r="H459" s="8">
        <f t="shared" ref="H459:H488" si="148">D459+C459-K459</f>
        <v>1265</v>
      </c>
      <c r="I459" s="6">
        <f t="shared" ref="I459:I488" si="149">L459+O459</f>
        <v>1750</v>
      </c>
      <c r="J459" s="6">
        <f t="shared" ref="J459:J488" si="150">M459+P459</f>
        <v>1575</v>
      </c>
      <c r="K459" s="6">
        <f t="shared" ref="K459:K488" si="151">N459+Q459</f>
        <v>1977</v>
      </c>
      <c r="L459" s="6">
        <f t="shared" si="140"/>
        <v>3000</v>
      </c>
      <c r="M459" s="6">
        <f t="shared" si="141"/>
        <v>3000</v>
      </c>
      <c r="N459" s="6">
        <f t="shared" si="142"/>
        <v>3000</v>
      </c>
      <c r="O459" s="6">
        <f t="shared" si="134"/>
        <v>-1250</v>
      </c>
      <c r="P459" s="6">
        <f t="shared" si="135"/>
        <v>-1425</v>
      </c>
      <c r="Q459" s="6">
        <f t="shared" si="136"/>
        <v>-1023</v>
      </c>
      <c r="R459" s="8">
        <v>0</v>
      </c>
      <c r="S459" s="8">
        <v>0</v>
      </c>
      <c r="T459" s="8">
        <v>0</v>
      </c>
      <c r="U459" s="25">
        <f t="shared" si="137"/>
        <v>-1030</v>
      </c>
      <c r="V459" s="25">
        <f t="shared" si="138"/>
        <v>-1215</v>
      </c>
      <c r="W459" s="25">
        <f t="shared" si="139"/>
        <v>-883</v>
      </c>
      <c r="X459" s="15">
        <v>1.7150000000000001</v>
      </c>
      <c r="Y459" s="6"/>
      <c r="Z459" s="21">
        <f t="shared" si="144"/>
        <v>3.03</v>
      </c>
      <c r="AA459" s="6"/>
      <c r="AB459" s="6"/>
    </row>
    <row r="460" spans="1:28" ht="13.2" customHeight="1">
      <c r="A460" s="10">
        <f t="shared" si="143"/>
        <v>449</v>
      </c>
      <c r="B460" s="185" t="s">
        <v>521</v>
      </c>
      <c r="C460" s="10">
        <f t="shared" ref="C460:C488" si="152">C459</f>
        <v>1069</v>
      </c>
      <c r="D460" s="9">
        <f t="shared" si="145"/>
        <v>2175</v>
      </c>
      <c r="E460" s="26">
        <f t="shared" ref="E460:E523" si="153">C460+D460</f>
        <v>3244</v>
      </c>
      <c r="F460" s="8">
        <f t="shared" si="146"/>
        <v>1495</v>
      </c>
      <c r="G460" s="8">
        <f t="shared" si="147"/>
        <v>1669</v>
      </c>
      <c r="H460" s="8">
        <f t="shared" si="148"/>
        <v>1267</v>
      </c>
      <c r="I460" s="6">
        <f t="shared" si="149"/>
        <v>1749</v>
      </c>
      <c r="J460" s="6">
        <f t="shared" si="150"/>
        <v>1575</v>
      </c>
      <c r="K460" s="6">
        <f t="shared" si="151"/>
        <v>1977</v>
      </c>
      <c r="L460" s="6">
        <f t="shared" si="140"/>
        <v>3000</v>
      </c>
      <c r="M460" s="6">
        <f t="shared" si="141"/>
        <v>3000</v>
      </c>
      <c r="N460" s="6">
        <f t="shared" si="142"/>
        <v>3000</v>
      </c>
      <c r="O460" s="6">
        <f t="shared" ref="O460:O488" si="154">O459-R460</f>
        <v>-1251</v>
      </c>
      <c r="P460" s="6">
        <f t="shared" ref="P460:P488" si="155">P459-S460</f>
        <v>-1425</v>
      </c>
      <c r="Q460" s="6">
        <f t="shared" ref="Q460:Q488" si="156">Q459-T460</f>
        <v>-1023</v>
      </c>
      <c r="R460" s="8">
        <v>1</v>
      </c>
      <c r="S460" s="8">
        <v>0</v>
      </c>
      <c r="T460" s="8">
        <v>0</v>
      </c>
      <c r="U460" s="25">
        <f t="shared" ref="U460:U523" si="157">U459-R460</f>
        <v>-1031</v>
      </c>
      <c r="V460" s="25">
        <f t="shared" ref="V460:V523" si="158">V459-S460</f>
        <v>-1215</v>
      </c>
      <c r="W460" s="25">
        <f t="shared" ref="W460:W523" si="159">W459-T460</f>
        <v>-883</v>
      </c>
      <c r="X460" s="15">
        <v>1.7150000000000001</v>
      </c>
      <c r="Y460" s="6"/>
      <c r="Z460" s="21">
        <f t="shared" si="144"/>
        <v>3.03</v>
      </c>
      <c r="AA460" s="6"/>
      <c r="AB460" s="6"/>
    </row>
    <row r="461" spans="1:28" ht="13.2" customHeight="1">
      <c r="A461" s="10">
        <f t="shared" si="143"/>
        <v>450</v>
      </c>
      <c r="B461" s="185" t="s">
        <v>522</v>
      </c>
      <c r="C461" s="10">
        <f t="shared" si="152"/>
        <v>1069</v>
      </c>
      <c r="D461" s="9">
        <f t="shared" si="145"/>
        <v>2177</v>
      </c>
      <c r="E461" s="26">
        <f t="shared" si="153"/>
        <v>3246</v>
      </c>
      <c r="F461" s="8">
        <f t="shared" si="146"/>
        <v>1497</v>
      </c>
      <c r="G461" s="8">
        <f t="shared" si="147"/>
        <v>1671</v>
      </c>
      <c r="H461" s="8">
        <f t="shared" si="148"/>
        <v>1269</v>
      </c>
      <c r="I461" s="6">
        <f t="shared" si="149"/>
        <v>1749</v>
      </c>
      <c r="J461" s="6">
        <f t="shared" si="150"/>
        <v>1575</v>
      </c>
      <c r="K461" s="6">
        <f t="shared" si="151"/>
        <v>1977</v>
      </c>
      <c r="L461" s="6">
        <f t="shared" si="140"/>
        <v>3000</v>
      </c>
      <c r="M461" s="6">
        <f t="shared" si="141"/>
        <v>3000</v>
      </c>
      <c r="N461" s="6">
        <f t="shared" si="142"/>
        <v>3000</v>
      </c>
      <c r="O461" s="6">
        <f t="shared" si="154"/>
        <v>-1251</v>
      </c>
      <c r="P461" s="6">
        <f t="shared" si="155"/>
        <v>-1425</v>
      </c>
      <c r="Q461" s="6">
        <f t="shared" si="156"/>
        <v>-1023</v>
      </c>
      <c r="R461" s="8">
        <v>0</v>
      </c>
      <c r="S461" s="8">
        <v>0</v>
      </c>
      <c r="T461" s="8">
        <v>0</v>
      </c>
      <c r="U461" s="25">
        <f t="shared" si="157"/>
        <v>-1031</v>
      </c>
      <c r="V461" s="25">
        <f t="shared" si="158"/>
        <v>-1215</v>
      </c>
      <c r="W461" s="25">
        <f t="shared" si="159"/>
        <v>-883</v>
      </c>
      <c r="X461" s="15">
        <v>1.7150000000000001</v>
      </c>
      <c r="Y461" s="6"/>
      <c r="Z461" s="21">
        <f t="shared" si="144"/>
        <v>3.03</v>
      </c>
      <c r="AA461" s="6"/>
      <c r="AB461" s="6"/>
    </row>
    <row r="462" spans="1:28" ht="13.2" customHeight="1">
      <c r="A462" s="10">
        <f t="shared" si="143"/>
        <v>451</v>
      </c>
      <c r="B462" s="185" t="s">
        <v>523</v>
      </c>
      <c r="C462" s="10">
        <f t="shared" si="152"/>
        <v>1069</v>
      </c>
      <c r="D462" s="9">
        <f t="shared" si="145"/>
        <v>2179</v>
      </c>
      <c r="E462" s="26">
        <f t="shared" si="153"/>
        <v>3248</v>
      </c>
      <c r="F462" s="8">
        <f t="shared" si="146"/>
        <v>1499</v>
      </c>
      <c r="G462" s="8">
        <f t="shared" si="147"/>
        <v>1674</v>
      </c>
      <c r="H462" s="8">
        <f t="shared" si="148"/>
        <v>1271</v>
      </c>
      <c r="I462" s="6">
        <f t="shared" si="149"/>
        <v>1749</v>
      </c>
      <c r="J462" s="6">
        <f t="shared" si="150"/>
        <v>1574</v>
      </c>
      <c r="K462" s="6">
        <f t="shared" si="151"/>
        <v>1977</v>
      </c>
      <c r="L462" s="6">
        <f t="shared" si="140"/>
        <v>3000</v>
      </c>
      <c r="M462" s="6">
        <f t="shared" si="141"/>
        <v>3000</v>
      </c>
      <c r="N462" s="6">
        <f t="shared" si="142"/>
        <v>3000</v>
      </c>
      <c r="O462" s="6">
        <f t="shared" si="154"/>
        <v>-1251</v>
      </c>
      <c r="P462" s="6">
        <f t="shared" si="155"/>
        <v>-1426</v>
      </c>
      <c r="Q462" s="6">
        <f t="shared" si="156"/>
        <v>-1023</v>
      </c>
      <c r="R462" s="8">
        <v>0</v>
      </c>
      <c r="S462" s="8">
        <v>1</v>
      </c>
      <c r="T462" s="8">
        <v>0</v>
      </c>
      <c r="U462" s="25">
        <f t="shared" si="157"/>
        <v>-1031</v>
      </c>
      <c r="V462" s="25">
        <f t="shared" si="158"/>
        <v>-1216</v>
      </c>
      <c r="W462" s="25">
        <f t="shared" si="159"/>
        <v>-883</v>
      </c>
      <c r="X462" s="15">
        <v>1.714</v>
      </c>
      <c r="Y462" s="6"/>
      <c r="Z462" s="21">
        <f t="shared" si="144"/>
        <v>3.03</v>
      </c>
      <c r="AA462" s="6"/>
      <c r="AB462" s="6"/>
    </row>
    <row r="463" spans="1:28" ht="13.2" customHeight="1">
      <c r="A463" s="10">
        <f t="shared" si="143"/>
        <v>452</v>
      </c>
      <c r="B463" s="185" t="s">
        <v>524</v>
      </c>
      <c r="C463" s="10">
        <f t="shared" si="152"/>
        <v>1069</v>
      </c>
      <c r="D463" s="9">
        <f t="shared" si="145"/>
        <v>2181</v>
      </c>
      <c r="E463" s="26">
        <f t="shared" si="153"/>
        <v>3250</v>
      </c>
      <c r="F463" s="8">
        <f t="shared" si="146"/>
        <v>1503</v>
      </c>
      <c r="G463" s="8">
        <f t="shared" si="147"/>
        <v>1676</v>
      </c>
      <c r="H463" s="8">
        <f t="shared" si="148"/>
        <v>1273</v>
      </c>
      <c r="I463" s="6">
        <f t="shared" si="149"/>
        <v>1747</v>
      </c>
      <c r="J463" s="6">
        <f t="shared" si="150"/>
        <v>1574</v>
      </c>
      <c r="K463" s="6">
        <f t="shared" si="151"/>
        <v>1977</v>
      </c>
      <c r="L463" s="6">
        <f t="shared" si="140"/>
        <v>3000</v>
      </c>
      <c r="M463" s="6">
        <f t="shared" si="141"/>
        <v>3000</v>
      </c>
      <c r="N463" s="6">
        <f t="shared" si="142"/>
        <v>3000</v>
      </c>
      <c r="O463" s="6">
        <f t="shared" si="154"/>
        <v>-1253</v>
      </c>
      <c r="P463" s="6">
        <f t="shared" si="155"/>
        <v>-1426</v>
      </c>
      <c r="Q463" s="6">
        <f t="shared" si="156"/>
        <v>-1023</v>
      </c>
      <c r="R463" s="8">
        <v>2</v>
      </c>
      <c r="S463" s="8">
        <v>0</v>
      </c>
      <c r="T463" s="8">
        <v>0</v>
      </c>
      <c r="U463" s="25">
        <f t="shared" si="157"/>
        <v>-1033</v>
      </c>
      <c r="V463" s="25">
        <f t="shared" si="158"/>
        <v>-1216</v>
      </c>
      <c r="W463" s="25">
        <f t="shared" si="159"/>
        <v>-883</v>
      </c>
      <c r="X463" s="15">
        <v>1.714</v>
      </c>
      <c r="Y463" s="6"/>
      <c r="Z463" s="21">
        <f t="shared" si="144"/>
        <v>3.03</v>
      </c>
      <c r="AA463" s="6"/>
      <c r="AB463" s="6"/>
    </row>
    <row r="464" spans="1:28" ht="13.2" customHeight="1">
      <c r="A464" s="10">
        <f t="shared" si="143"/>
        <v>453</v>
      </c>
      <c r="B464" s="185" t="s">
        <v>525</v>
      </c>
      <c r="C464" s="10">
        <f t="shared" si="152"/>
        <v>1069</v>
      </c>
      <c r="D464" s="9">
        <f t="shared" si="145"/>
        <v>2183</v>
      </c>
      <c r="E464" s="26">
        <f t="shared" si="153"/>
        <v>3252</v>
      </c>
      <c r="F464" s="8">
        <f t="shared" si="146"/>
        <v>1505</v>
      </c>
      <c r="G464" s="8">
        <f t="shared" si="147"/>
        <v>1678</v>
      </c>
      <c r="H464" s="8">
        <f t="shared" si="148"/>
        <v>1275</v>
      </c>
      <c r="I464" s="6">
        <f t="shared" si="149"/>
        <v>1747</v>
      </c>
      <c r="J464" s="6">
        <f t="shared" si="150"/>
        <v>1574</v>
      </c>
      <c r="K464" s="6">
        <f t="shared" si="151"/>
        <v>1977</v>
      </c>
      <c r="L464" s="6">
        <f t="shared" si="140"/>
        <v>3000</v>
      </c>
      <c r="M464" s="6">
        <f t="shared" si="141"/>
        <v>3000</v>
      </c>
      <c r="N464" s="6">
        <f t="shared" si="142"/>
        <v>3000</v>
      </c>
      <c r="O464" s="6">
        <f t="shared" si="154"/>
        <v>-1253</v>
      </c>
      <c r="P464" s="6">
        <f t="shared" si="155"/>
        <v>-1426</v>
      </c>
      <c r="Q464" s="6">
        <f t="shared" si="156"/>
        <v>-1023</v>
      </c>
      <c r="R464" s="8">
        <v>0</v>
      </c>
      <c r="S464" s="8">
        <v>0</v>
      </c>
      <c r="T464" s="8">
        <v>0</v>
      </c>
      <c r="U464" s="25">
        <f t="shared" si="157"/>
        <v>-1033</v>
      </c>
      <c r="V464" s="25">
        <f t="shared" si="158"/>
        <v>-1216</v>
      </c>
      <c r="W464" s="25">
        <f t="shared" si="159"/>
        <v>-883</v>
      </c>
      <c r="X464" s="15">
        <v>1.714</v>
      </c>
      <c r="Y464" s="6"/>
      <c r="Z464" s="21">
        <f t="shared" si="144"/>
        <v>3.03</v>
      </c>
      <c r="AA464" s="6"/>
      <c r="AB464" s="6"/>
    </row>
    <row r="465" spans="1:28" ht="13.2" customHeight="1">
      <c r="A465" s="10">
        <f t="shared" si="143"/>
        <v>454</v>
      </c>
      <c r="B465" s="185" t="s">
        <v>526</v>
      </c>
      <c r="C465" s="10">
        <f t="shared" si="152"/>
        <v>1069</v>
      </c>
      <c r="D465" s="9">
        <f t="shared" si="145"/>
        <v>2185</v>
      </c>
      <c r="E465" s="26">
        <f t="shared" si="153"/>
        <v>3254</v>
      </c>
      <c r="F465" s="8">
        <f t="shared" si="146"/>
        <v>1507</v>
      </c>
      <c r="G465" s="8">
        <f t="shared" si="147"/>
        <v>1680</v>
      </c>
      <c r="H465" s="8">
        <f t="shared" si="148"/>
        <v>1278</v>
      </c>
      <c r="I465" s="6">
        <f t="shared" si="149"/>
        <v>1747</v>
      </c>
      <c r="J465" s="6">
        <f t="shared" si="150"/>
        <v>1574</v>
      </c>
      <c r="K465" s="6">
        <f t="shared" si="151"/>
        <v>1976</v>
      </c>
      <c r="L465" s="6">
        <f t="shared" si="140"/>
        <v>3000</v>
      </c>
      <c r="M465" s="6">
        <f t="shared" si="141"/>
        <v>3000</v>
      </c>
      <c r="N465" s="6">
        <f t="shared" si="142"/>
        <v>3000</v>
      </c>
      <c r="O465" s="6">
        <f t="shared" si="154"/>
        <v>-1253</v>
      </c>
      <c r="P465" s="6">
        <f t="shared" si="155"/>
        <v>-1426</v>
      </c>
      <c r="Q465" s="6">
        <f t="shared" si="156"/>
        <v>-1024</v>
      </c>
      <c r="R465" s="8">
        <v>0</v>
      </c>
      <c r="S465" s="8">
        <v>0</v>
      </c>
      <c r="T465" s="8">
        <v>1</v>
      </c>
      <c r="U465" s="25">
        <f t="shared" si="157"/>
        <v>-1033</v>
      </c>
      <c r="V465" s="25">
        <f t="shared" si="158"/>
        <v>-1216</v>
      </c>
      <c r="W465" s="25">
        <f t="shared" si="159"/>
        <v>-884</v>
      </c>
      <c r="X465" s="15">
        <v>1.714</v>
      </c>
      <c r="Y465" s="6"/>
      <c r="Z465" s="21">
        <f t="shared" si="144"/>
        <v>3.03</v>
      </c>
      <c r="AA465" s="6"/>
      <c r="AB465" s="6"/>
    </row>
    <row r="466" spans="1:28" ht="13.2" customHeight="1">
      <c r="A466" s="10">
        <f t="shared" si="143"/>
        <v>455</v>
      </c>
      <c r="B466" s="185" t="s">
        <v>527</v>
      </c>
      <c r="C466" s="10">
        <f t="shared" si="152"/>
        <v>1069</v>
      </c>
      <c r="D466" s="9">
        <f t="shared" si="145"/>
        <v>2187</v>
      </c>
      <c r="E466" s="26">
        <f t="shared" si="153"/>
        <v>3256</v>
      </c>
      <c r="F466" s="8">
        <f t="shared" si="146"/>
        <v>1509</v>
      </c>
      <c r="G466" s="8">
        <f t="shared" si="147"/>
        <v>1682</v>
      </c>
      <c r="H466" s="8">
        <f t="shared" si="148"/>
        <v>1280</v>
      </c>
      <c r="I466" s="6">
        <f t="shared" si="149"/>
        <v>1747</v>
      </c>
      <c r="J466" s="6">
        <f t="shared" si="150"/>
        <v>1574</v>
      </c>
      <c r="K466" s="6">
        <f t="shared" si="151"/>
        <v>1976</v>
      </c>
      <c r="L466" s="6">
        <f t="shared" ref="L466:L488" si="160">L465</f>
        <v>3000</v>
      </c>
      <c r="M466" s="6">
        <f t="shared" ref="M466:M488" si="161">M465</f>
        <v>3000</v>
      </c>
      <c r="N466" s="6">
        <f t="shared" ref="N466:N488" si="162">N465</f>
        <v>3000</v>
      </c>
      <c r="O466" s="6">
        <f t="shared" si="154"/>
        <v>-1253</v>
      </c>
      <c r="P466" s="6">
        <f t="shared" si="155"/>
        <v>-1426</v>
      </c>
      <c r="Q466" s="6">
        <f t="shared" si="156"/>
        <v>-1024</v>
      </c>
      <c r="R466" s="8">
        <v>0</v>
      </c>
      <c r="S466" s="8">
        <v>0</v>
      </c>
      <c r="T466" s="8">
        <v>0</v>
      </c>
      <c r="U466" s="25">
        <f t="shared" si="157"/>
        <v>-1033</v>
      </c>
      <c r="V466" s="25">
        <f t="shared" si="158"/>
        <v>-1216</v>
      </c>
      <c r="W466" s="25">
        <f t="shared" si="159"/>
        <v>-884</v>
      </c>
      <c r="X466" s="15">
        <v>1.714</v>
      </c>
      <c r="Y466" s="6"/>
      <c r="Z466" s="21">
        <f t="shared" si="144"/>
        <v>3.03</v>
      </c>
      <c r="AA466" s="6"/>
      <c r="AB466" s="6"/>
    </row>
    <row r="467" spans="1:28" ht="13.2" customHeight="1">
      <c r="A467" s="10">
        <f t="shared" si="143"/>
        <v>456</v>
      </c>
      <c r="B467" s="185" t="s">
        <v>528</v>
      </c>
      <c r="C467" s="10">
        <f t="shared" si="152"/>
        <v>1069</v>
      </c>
      <c r="D467" s="9">
        <f t="shared" si="145"/>
        <v>2189</v>
      </c>
      <c r="E467" s="26">
        <f t="shared" si="153"/>
        <v>3258</v>
      </c>
      <c r="F467" s="8">
        <f t="shared" si="146"/>
        <v>1511</v>
      </c>
      <c r="G467" s="8">
        <f t="shared" si="147"/>
        <v>1685</v>
      </c>
      <c r="H467" s="8">
        <f t="shared" si="148"/>
        <v>1282</v>
      </c>
      <c r="I467" s="6">
        <f t="shared" si="149"/>
        <v>1747</v>
      </c>
      <c r="J467" s="6">
        <f t="shared" si="150"/>
        <v>1573</v>
      </c>
      <c r="K467" s="6">
        <f t="shared" si="151"/>
        <v>1976</v>
      </c>
      <c r="L467" s="6">
        <f t="shared" si="160"/>
        <v>3000</v>
      </c>
      <c r="M467" s="6">
        <f t="shared" si="161"/>
        <v>3000</v>
      </c>
      <c r="N467" s="6">
        <f t="shared" si="162"/>
        <v>3000</v>
      </c>
      <c r="O467" s="6">
        <f t="shared" si="154"/>
        <v>-1253</v>
      </c>
      <c r="P467" s="6">
        <f t="shared" si="155"/>
        <v>-1427</v>
      </c>
      <c r="Q467" s="6">
        <f t="shared" si="156"/>
        <v>-1024</v>
      </c>
      <c r="R467" s="8">
        <v>0</v>
      </c>
      <c r="S467" s="8">
        <v>1</v>
      </c>
      <c r="T467" s="8">
        <v>0</v>
      </c>
      <c r="U467" s="25">
        <f t="shared" si="157"/>
        <v>-1033</v>
      </c>
      <c r="V467" s="25">
        <f t="shared" si="158"/>
        <v>-1217</v>
      </c>
      <c r="W467" s="25">
        <f t="shared" si="159"/>
        <v>-884</v>
      </c>
      <c r="X467" s="15">
        <v>1.7130000000000001</v>
      </c>
      <c r="Y467" s="6"/>
      <c r="Z467" s="21">
        <f t="shared" si="144"/>
        <v>3.03</v>
      </c>
      <c r="AA467" s="6"/>
      <c r="AB467" s="6"/>
    </row>
    <row r="468" spans="1:28" ht="13.2" customHeight="1">
      <c r="A468" s="10">
        <f t="shared" ref="A468:A488" si="163">+A467+1</f>
        <v>457</v>
      </c>
      <c r="B468" s="185" t="s">
        <v>529</v>
      </c>
      <c r="C468" s="10">
        <f t="shared" si="152"/>
        <v>1069</v>
      </c>
      <c r="D468" s="9">
        <f t="shared" si="145"/>
        <v>2191</v>
      </c>
      <c r="E468" s="26">
        <f t="shared" si="153"/>
        <v>3260</v>
      </c>
      <c r="F468" s="8">
        <f t="shared" si="146"/>
        <v>1513</v>
      </c>
      <c r="G468" s="8">
        <f t="shared" si="147"/>
        <v>1687</v>
      </c>
      <c r="H468" s="8">
        <f t="shared" si="148"/>
        <v>1284</v>
      </c>
      <c r="I468" s="6">
        <f t="shared" si="149"/>
        <v>1747</v>
      </c>
      <c r="J468" s="6">
        <f t="shared" si="150"/>
        <v>1573</v>
      </c>
      <c r="K468" s="6">
        <f t="shared" si="151"/>
        <v>1976</v>
      </c>
      <c r="L468" s="6">
        <f t="shared" si="160"/>
        <v>3000</v>
      </c>
      <c r="M468" s="6">
        <f t="shared" si="161"/>
        <v>3000</v>
      </c>
      <c r="N468" s="6">
        <f t="shared" si="162"/>
        <v>3000</v>
      </c>
      <c r="O468" s="6">
        <f t="shared" si="154"/>
        <v>-1253</v>
      </c>
      <c r="P468" s="6">
        <f t="shared" si="155"/>
        <v>-1427</v>
      </c>
      <c r="Q468" s="6">
        <f t="shared" si="156"/>
        <v>-1024</v>
      </c>
      <c r="R468" s="8">
        <v>0</v>
      </c>
      <c r="S468" s="8">
        <v>0</v>
      </c>
      <c r="T468" s="8">
        <v>0</v>
      </c>
      <c r="U468" s="25">
        <f t="shared" si="157"/>
        <v>-1033</v>
      </c>
      <c r="V468" s="25">
        <f t="shared" si="158"/>
        <v>-1217</v>
      </c>
      <c r="W468" s="25">
        <f t="shared" si="159"/>
        <v>-884</v>
      </c>
      <c r="X468" s="15">
        <v>1.7130000000000001</v>
      </c>
      <c r="Y468" s="6"/>
      <c r="Z468" s="21">
        <f t="shared" si="144"/>
        <v>3.03</v>
      </c>
      <c r="AA468" s="6"/>
      <c r="AB468" s="6"/>
    </row>
    <row r="469" spans="1:28" ht="13.2" customHeight="1">
      <c r="A469" s="10">
        <f t="shared" si="163"/>
        <v>458</v>
      </c>
      <c r="B469" s="185" t="s">
        <v>530</v>
      </c>
      <c r="C469" s="10">
        <f t="shared" si="152"/>
        <v>1069</v>
      </c>
      <c r="D469" s="9">
        <f t="shared" si="145"/>
        <v>2193</v>
      </c>
      <c r="E469" s="26">
        <f t="shared" si="153"/>
        <v>3262</v>
      </c>
      <c r="F469" s="8">
        <f t="shared" si="146"/>
        <v>1516</v>
      </c>
      <c r="G469" s="8">
        <f t="shared" si="147"/>
        <v>1689</v>
      </c>
      <c r="H469" s="8">
        <f t="shared" si="148"/>
        <v>1286</v>
      </c>
      <c r="I469" s="6">
        <f t="shared" si="149"/>
        <v>1746</v>
      </c>
      <c r="J469" s="6">
        <f t="shared" si="150"/>
        <v>1573</v>
      </c>
      <c r="K469" s="6">
        <f t="shared" si="151"/>
        <v>1976</v>
      </c>
      <c r="L469" s="6">
        <f t="shared" si="160"/>
        <v>3000</v>
      </c>
      <c r="M469" s="6">
        <f t="shared" si="161"/>
        <v>3000</v>
      </c>
      <c r="N469" s="6">
        <f t="shared" si="162"/>
        <v>3000</v>
      </c>
      <c r="O469" s="6">
        <f t="shared" si="154"/>
        <v>-1254</v>
      </c>
      <c r="P469" s="6">
        <f t="shared" si="155"/>
        <v>-1427</v>
      </c>
      <c r="Q469" s="6">
        <f t="shared" si="156"/>
        <v>-1024</v>
      </c>
      <c r="R469" s="8">
        <v>1</v>
      </c>
      <c r="S469" s="8">
        <v>0</v>
      </c>
      <c r="T469" s="8">
        <v>0</v>
      </c>
      <c r="U469" s="25">
        <f t="shared" si="157"/>
        <v>-1034</v>
      </c>
      <c r="V469" s="25">
        <f t="shared" si="158"/>
        <v>-1217</v>
      </c>
      <c r="W469" s="25">
        <f t="shared" si="159"/>
        <v>-884</v>
      </c>
      <c r="X469" s="15">
        <v>1.7130000000000001</v>
      </c>
      <c r="Y469" s="6"/>
      <c r="Z469" s="21">
        <f t="shared" si="144"/>
        <v>3.03</v>
      </c>
      <c r="AA469" s="6"/>
      <c r="AB469" s="6"/>
    </row>
    <row r="470" spans="1:28" ht="13.2" customHeight="1">
      <c r="A470" s="10">
        <f t="shared" si="163"/>
        <v>459</v>
      </c>
      <c r="B470" s="185" t="s">
        <v>531</v>
      </c>
      <c r="C470" s="10">
        <f t="shared" si="152"/>
        <v>1069</v>
      </c>
      <c r="D470" s="9">
        <f t="shared" si="145"/>
        <v>2195</v>
      </c>
      <c r="E470" s="26">
        <f t="shared" si="153"/>
        <v>3264</v>
      </c>
      <c r="F470" s="8">
        <f t="shared" si="146"/>
        <v>1518</v>
      </c>
      <c r="G470" s="8">
        <f t="shared" si="147"/>
        <v>1691</v>
      </c>
      <c r="H470" s="8">
        <f t="shared" si="148"/>
        <v>1288</v>
      </c>
      <c r="I470" s="6">
        <f t="shared" si="149"/>
        <v>1746</v>
      </c>
      <c r="J470" s="6">
        <f t="shared" si="150"/>
        <v>1573</v>
      </c>
      <c r="K470" s="6">
        <f t="shared" si="151"/>
        <v>1976</v>
      </c>
      <c r="L470" s="6">
        <f t="shared" si="160"/>
        <v>3000</v>
      </c>
      <c r="M470" s="6">
        <f t="shared" si="161"/>
        <v>3000</v>
      </c>
      <c r="N470" s="6">
        <f t="shared" si="162"/>
        <v>3000</v>
      </c>
      <c r="O470" s="6">
        <f t="shared" si="154"/>
        <v>-1254</v>
      </c>
      <c r="P470" s="6">
        <f t="shared" si="155"/>
        <v>-1427</v>
      </c>
      <c r="Q470" s="6">
        <f t="shared" si="156"/>
        <v>-1024</v>
      </c>
      <c r="R470" s="8">
        <v>0</v>
      </c>
      <c r="S470" s="8">
        <v>0</v>
      </c>
      <c r="T470" s="8">
        <v>0</v>
      </c>
      <c r="U470" s="25">
        <f t="shared" si="157"/>
        <v>-1034</v>
      </c>
      <c r="V470" s="25">
        <f t="shared" si="158"/>
        <v>-1217</v>
      </c>
      <c r="W470" s="25">
        <f t="shared" si="159"/>
        <v>-884</v>
      </c>
      <c r="X470" s="15">
        <v>1.7130000000000001</v>
      </c>
      <c r="Y470" s="6"/>
      <c r="Z470" s="21">
        <f t="shared" si="144"/>
        <v>3.03</v>
      </c>
      <c r="AA470" s="6"/>
      <c r="AB470" s="6"/>
    </row>
    <row r="471" spans="1:28" ht="13.2" customHeight="1">
      <c r="A471" s="10">
        <f t="shared" si="163"/>
        <v>460</v>
      </c>
      <c r="B471" s="185" t="s">
        <v>532</v>
      </c>
      <c r="C471" s="10">
        <f t="shared" si="152"/>
        <v>1069</v>
      </c>
      <c r="D471" s="9">
        <f t="shared" si="145"/>
        <v>2197</v>
      </c>
      <c r="E471" s="26">
        <f t="shared" si="153"/>
        <v>3266</v>
      </c>
      <c r="F471" s="8">
        <f t="shared" si="146"/>
        <v>1520</v>
      </c>
      <c r="G471" s="8">
        <f t="shared" si="147"/>
        <v>1693</v>
      </c>
      <c r="H471" s="8">
        <f t="shared" si="148"/>
        <v>1291</v>
      </c>
      <c r="I471" s="6">
        <f t="shared" si="149"/>
        <v>1746</v>
      </c>
      <c r="J471" s="6">
        <f t="shared" si="150"/>
        <v>1573</v>
      </c>
      <c r="K471" s="6">
        <f t="shared" si="151"/>
        <v>1975</v>
      </c>
      <c r="L471" s="6">
        <f t="shared" si="160"/>
        <v>3000</v>
      </c>
      <c r="M471" s="6">
        <f t="shared" si="161"/>
        <v>3000</v>
      </c>
      <c r="N471" s="6">
        <f t="shared" si="162"/>
        <v>3000</v>
      </c>
      <c r="O471" s="6">
        <f t="shared" si="154"/>
        <v>-1254</v>
      </c>
      <c r="P471" s="6">
        <f t="shared" si="155"/>
        <v>-1427</v>
      </c>
      <c r="Q471" s="6">
        <f t="shared" si="156"/>
        <v>-1025</v>
      </c>
      <c r="R471" s="8">
        <v>0</v>
      </c>
      <c r="S471" s="8">
        <v>0</v>
      </c>
      <c r="T471" s="8">
        <v>1</v>
      </c>
      <c r="U471" s="25">
        <f t="shared" si="157"/>
        <v>-1034</v>
      </c>
      <c r="V471" s="25">
        <f t="shared" si="158"/>
        <v>-1217</v>
      </c>
      <c r="W471" s="25">
        <f t="shared" si="159"/>
        <v>-885</v>
      </c>
      <c r="X471" s="15">
        <v>1.7130000000000001</v>
      </c>
      <c r="Y471" s="6"/>
      <c r="Z471" s="21">
        <f t="shared" si="144"/>
        <v>3.03</v>
      </c>
      <c r="AA471" s="6"/>
      <c r="AB471" s="6"/>
    </row>
    <row r="472" spans="1:28" ht="13.2" customHeight="1">
      <c r="A472" s="10">
        <f t="shared" si="163"/>
        <v>461</v>
      </c>
      <c r="B472" s="185" t="s">
        <v>533</v>
      </c>
      <c r="C472" s="10">
        <f t="shared" si="152"/>
        <v>1069</v>
      </c>
      <c r="D472" s="9">
        <f t="shared" si="145"/>
        <v>2199</v>
      </c>
      <c r="E472" s="26">
        <f t="shared" si="153"/>
        <v>3268</v>
      </c>
      <c r="F472" s="8">
        <f t="shared" si="146"/>
        <v>1522</v>
      </c>
      <c r="G472" s="8">
        <f t="shared" si="147"/>
        <v>1697</v>
      </c>
      <c r="H472" s="8">
        <f t="shared" si="148"/>
        <v>1294</v>
      </c>
      <c r="I472" s="6">
        <f t="shared" si="149"/>
        <v>1746</v>
      </c>
      <c r="J472" s="6">
        <f t="shared" si="150"/>
        <v>1571</v>
      </c>
      <c r="K472" s="6">
        <f t="shared" si="151"/>
        <v>1974</v>
      </c>
      <c r="L472" s="6">
        <f t="shared" si="160"/>
        <v>3000</v>
      </c>
      <c r="M472" s="6">
        <f t="shared" si="161"/>
        <v>3000</v>
      </c>
      <c r="N472" s="6">
        <f t="shared" si="162"/>
        <v>3000</v>
      </c>
      <c r="O472" s="6">
        <f t="shared" si="154"/>
        <v>-1254</v>
      </c>
      <c r="P472" s="6">
        <f t="shared" si="155"/>
        <v>-1429</v>
      </c>
      <c r="Q472" s="6">
        <f t="shared" si="156"/>
        <v>-1026</v>
      </c>
      <c r="R472" s="8">
        <v>0</v>
      </c>
      <c r="S472" s="8">
        <v>2</v>
      </c>
      <c r="T472" s="8">
        <v>1</v>
      </c>
      <c r="U472" s="25">
        <f t="shared" si="157"/>
        <v>-1034</v>
      </c>
      <c r="V472" s="25">
        <f t="shared" si="158"/>
        <v>-1219</v>
      </c>
      <c r="W472" s="25">
        <f t="shared" si="159"/>
        <v>-886</v>
      </c>
      <c r="X472" s="15">
        <v>1.7110000000000001</v>
      </c>
      <c r="Y472" s="6"/>
      <c r="Z472" s="21">
        <f t="shared" si="144"/>
        <v>3.03</v>
      </c>
      <c r="AA472" s="6"/>
      <c r="AB472" s="6"/>
    </row>
    <row r="473" spans="1:28" ht="13.2" customHeight="1">
      <c r="A473" s="10">
        <f t="shared" si="163"/>
        <v>462</v>
      </c>
      <c r="B473" s="185" t="s">
        <v>534</v>
      </c>
      <c r="C473" s="10">
        <f t="shared" si="152"/>
        <v>1069</v>
      </c>
      <c r="D473" s="9">
        <f t="shared" si="145"/>
        <v>2201</v>
      </c>
      <c r="E473" s="26">
        <f t="shared" si="153"/>
        <v>3270</v>
      </c>
      <c r="F473" s="8">
        <f t="shared" si="146"/>
        <v>1524</v>
      </c>
      <c r="G473" s="8">
        <f t="shared" si="147"/>
        <v>1699</v>
      </c>
      <c r="H473" s="8">
        <f t="shared" si="148"/>
        <v>1298</v>
      </c>
      <c r="I473" s="6">
        <f t="shared" si="149"/>
        <v>1746</v>
      </c>
      <c r="J473" s="6">
        <f t="shared" si="150"/>
        <v>1571</v>
      </c>
      <c r="K473" s="6">
        <f t="shared" si="151"/>
        <v>1972</v>
      </c>
      <c r="L473" s="6">
        <f t="shared" si="160"/>
        <v>3000</v>
      </c>
      <c r="M473" s="6">
        <f t="shared" si="161"/>
        <v>3000</v>
      </c>
      <c r="N473" s="6">
        <f t="shared" si="162"/>
        <v>3000</v>
      </c>
      <c r="O473" s="6">
        <f t="shared" si="154"/>
        <v>-1254</v>
      </c>
      <c r="P473" s="6">
        <f t="shared" si="155"/>
        <v>-1429</v>
      </c>
      <c r="Q473" s="6">
        <f t="shared" si="156"/>
        <v>-1028</v>
      </c>
      <c r="R473" s="8">
        <v>0</v>
      </c>
      <c r="S473" s="8">
        <v>0</v>
      </c>
      <c r="T473" s="8">
        <v>2</v>
      </c>
      <c r="U473" s="25">
        <f t="shared" si="157"/>
        <v>-1034</v>
      </c>
      <c r="V473" s="25">
        <f t="shared" si="158"/>
        <v>-1219</v>
      </c>
      <c r="W473" s="25">
        <f t="shared" si="159"/>
        <v>-888</v>
      </c>
      <c r="X473" s="15">
        <v>1.7110000000000001</v>
      </c>
      <c r="Y473" s="6"/>
      <c r="Z473" s="21">
        <f t="shared" si="144"/>
        <v>3.03</v>
      </c>
      <c r="AA473" s="6"/>
      <c r="AB473" s="6"/>
    </row>
    <row r="474" spans="1:28" ht="13.2" customHeight="1">
      <c r="A474" s="10">
        <f t="shared" si="163"/>
        <v>463</v>
      </c>
      <c r="B474" s="185" t="s">
        <v>535</v>
      </c>
      <c r="C474" s="10">
        <f t="shared" si="152"/>
        <v>1069</v>
      </c>
      <c r="D474" s="9">
        <f t="shared" si="145"/>
        <v>2203</v>
      </c>
      <c r="E474" s="26">
        <f t="shared" si="153"/>
        <v>3272</v>
      </c>
      <c r="F474" s="8">
        <f t="shared" si="146"/>
        <v>1526</v>
      </c>
      <c r="G474" s="8">
        <f t="shared" si="147"/>
        <v>1701</v>
      </c>
      <c r="H474" s="8">
        <f t="shared" si="148"/>
        <v>1300</v>
      </c>
      <c r="I474" s="6">
        <f t="shared" si="149"/>
        <v>1746</v>
      </c>
      <c r="J474" s="6">
        <f t="shared" si="150"/>
        <v>1571</v>
      </c>
      <c r="K474" s="6">
        <f t="shared" si="151"/>
        <v>1972</v>
      </c>
      <c r="L474" s="6">
        <f t="shared" si="160"/>
        <v>3000</v>
      </c>
      <c r="M474" s="6">
        <f t="shared" si="161"/>
        <v>3000</v>
      </c>
      <c r="N474" s="6">
        <f t="shared" si="162"/>
        <v>3000</v>
      </c>
      <c r="O474" s="6">
        <f t="shared" si="154"/>
        <v>-1254</v>
      </c>
      <c r="P474" s="6">
        <f t="shared" si="155"/>
        <v>-1429</v>
      </c>
      <c r="Q474" s="6">
        <f t="shared" si="156"/>
        <v>-1028</v>
      </c>
      <c r="R474" s="8">
        <v>0</v>
      </c>
      <c r="S474" s="8">
        <v>0</v>
      </c>
      <c r="T474" s="8">
        <v>0</v>
      </c>
      <c r="U474" s="25">
        <f t="shared" si="157"/>
        <v>-1034</v>
      </c>
      <c r="V474" s="25">
        <f t="shared" si="158"/>
        <v>-1219</v>
      </c>
      <c r="W474" s="25">
        <f t="shared" si="159"/>
        <v>-888</v>
      </c>
      <c r="X474" s="15">
        <v>1.7110000000000001</v>
      </c>
      <c r="Y474" s="6"/>
      <c r="Z474" s="21">
        <f t="shared" si="144"/>
        <v>3.03</v>
      </c>
      <c r="AA474" s="6"/>
      <c r="AB474" s="6"/>
    </row>
    <row r="475" spans="1:28" ht="13.2" customHeight="1">
      <c r="A475" s="10">
        <f t="shared" si="163"/>
        <v>464</v>
      </c>
      <c r="B475" s="185" t="s">
        <v>536</v>
      </c>
      <c r="C475" s="10">
        <f t="shared" si="152"/>
        <v>1069</v>
      </c>
      <c r="D475" s="9">
        <f t="shared" si="145"/>
        <v>2205</v>
      </c>
      <c r="E475" s="26">
        <f t="shared" si="153"/>
        <v>3274</v>
      </c>
      <c r="F475" s="8">
        <f t="shared" si="146"/>
        <v>1528</v>
      </c>
      <c r="G475" s="8">
        <f t="shared" si="147"/>
        <v>1703</v>
      </c>
      <c r="H475" s="8">
        <f t="shared" si="148"/>
        <v>1304</v>
      </c>
      <c r="I475" s="6">
        <f t="shared" si="149"/>
        <v>1746</v>
      </c>
      <c r="J475" s="6">
        <f t="shared" si="150"/>
        <v>1571</v>
      </c>
      <c r="K475" s="6">
        <f t="shared" si="151"/>
        <v>1970</v>
      </c>
      <c r="L475" s="6">
        <f t="shared" si="160"/>
        <v>3000</v>
      </c>
      <c r="M475" s="6">
        <f t="shared" si="161"/>
        <v>3000</v>
      </c>
      <c r="N475" s="6">
        <f t="shared" si="162"/>
        <v>3000</v>
      </c>
      <c r="O475" s="6">
        <f t="shared" si="154"/>
        <v>-1254</v>
      </c>
      <c r="P475" s="6">
        <f t="shared" si="155"/>
        <v>-1429</v>
      </c>
      <c r="Q475" s="6">
        <f t="shared" si="156"/>
        <v>-1030</v>
      </c>
      <c r="R475" s="8">
        <v>0</v>
      </c>
      <c r="S475" s="8">
        <v>0</v>
      </c>
      <c r="T475" s="8">
        <v>2</v>
      </c>
      <c r="U475" s="25">
        <f t="shared" si="157"/>
        <v>-1034</v>
      </c>
      <c r="V475" s="25">
        <f t="shared" si="158"/>
        <v>-1219</v>
      </c>
      <c r="W475" s="25">
        <f t="shared" si="159"/>
        <v>-890</v>
      </c>
      <c r="X475" s="15">
        <v>1.7110000000000001</v>
      </c>
      <c r="Y475" s="6"/>
      <c r="Z475" s="21">
        <f t="shared" si="144"/>
        <v>3.03</v>
      </c>
      <c r="AA475" s="6"/>
      <c r="AB475" s="6"/>
    </row>
    <row r="476" spans="1:28" ht="13.2" customHeight="1">
      <c r="A476" s="10">
        <f t="shared" si="163"/>
        <v>465</v>
      </c>
      <c r="B476" s="185" t="s">
        <v>537</v>
      </c>
      <c r="C476" s="10">
        <f t="shared" si="152"/>
        <v>1069</v>
      </c>
      <c r="D476" s="9">
        <f t="shared" si="145"/>
        <v>2207</v>
      </c>
      <c r="E476" s="26">
        <f t="shared" si="153"/>
        <v>3276</v>
      </c>
      <c r="F476" s="8">
        <f t="shared" si="146"/>
        <v>1530</v>
      </c>
      <c r="G476" s="8">
        <f t="shared" si="147"/>
        <v>1707</v>
      </c>
      <c r="H476" s="8">
        <f t="shared" si="148"/>
        <v>1306</v>
      </c>
      <c r="I476" s="6">
        <f t="shared" si="149"/>
        <v>1746</v>
      </c>
      <c r="J476" s="6">
        <f t="shared" si="150"/>
        <v>1569</v>
      </c>
      <c r="K476" s="6">
        <f t="shared" si="151"/>
        <v>1970</v>
      </c>
      <c r="L476" s="6">
        <f t="shared" si="160"/>
        <v>3000</v>
      </c>
      <c r="M476" s="6">
        <f t="shared" si="161"/>
        <v>3000</v>
      </c>
      <c r="N476" s="6">
        <f t="shared" si="162"/>
        <v>3000</v>
      </c>
      <c r="O476" s="6">
        <f t="shared" si="154"/>
        <v>-1254</v>
      </c>
      <c r="P476" s="6">
        <f t="shared" si="155"/>
        <v>-1431</v>
      </c>
      <c r="Q476" s="6">
        <f t="shared" si="156"/>
        <v>-1030</v>
      </c>
      <c r="R476" s="8">
        <v>0</v>
      </c>
      <c r="S476" s="8">
        <v>2</v>
      </c>
      <c r="T476" s="8">
        <v>0</v>
      </c>
      <c r="U476" s="25">
        <f t="shared" si="157"/>
        <v>-1034</v>
      </c>
      <c r="V476" s="25">
        <f t="shared" si="158"/>
        <v>-1221</v>
      </c>
      <c r="W476" s="25">
        <f t="shared" si="159"/>
        <v>-890</v>
      </c>
      <c r="X476" s="15">
        <v>1.7090000000000001</v>
      </c>
      <c r="Y476" s="6"/>
      <c r="Z476" s="21">
        <f t="shared" si="144"/>
        <v>3.03</v>
      </c>
      <c r="AA476" s="6"/>
      <c r="AB476" s="6"/>
    </row>
    <row r="477" spans="1:28" ht="13.2" customHeight="1">
      <c r="A477" s="10">
        <f t="shared" si="163"/>
        <v>466</v>
      </c>
      <c r="B477" s="185" t="s">
        <v>538</v>
      </c>
      <c r="C477" s="10">
        <f t="shared" si="152"/>
        <v>1069</v>
      </c>
      <c r="D477" s="9">
        <f t="shared" si="145"/>
        <v>2209</v>
      </c>
      <c r="E477" s="26">
        <f t="shared" si="153"/>
        <v>3278</v>
      </c>
      <c r="F477" s="8">
        <f t="shared" si="146"/>
        <v>1533</v>
      </c>
      <c r="G477" s="8">
        <f t="shared" si="147"/>
        <v>1709</v>
      </c>
      <c r="H477" s="8">
        <f t="shared" si="148"/>
        <v>1309</v>
      </c>
      <c r="I477" s="6">
        <f t="shared" si="149"/>
        <v>1745</v>
      </c>
      <c r="J477" s="6">
        <f t="shared" si="150"/>
        <v>1569</v>
      </c>
      <c r="K477" s="6">
        <f t="shared" si="151"/>
        <v>1969</v>
      </c>
      <c r="L477" s="6">
        <f t="shared" si="160"/>
        <v>3000</v>
      </c>
      <c r="M477" s="6">
        <f t="shared" si="161"/>
        <v>3000</v>
      </c>
      <c r="N477" s="6">
        <f t="shared" si="162"/>
        <v>3000</v>
      </c>
      <c r="O477" s="6">
        <f t="shared" si="154"/>
        <v>-1255</v>
      </c>
      <c r="P477" s="6">
        <f t="shared" si="155"/>
        <v>-1431</v>
      </c>
      <c r="Q477" s="6">
        <f t="shared" si="156"/>
        <v>-1031</v>
      </c>
      <c r="R477" s="8">
        <v>1</v>
      </c>
      <c r="S477" s="8">
        <v>0</v>
      </c>
      <c r="T477" s="8">
        <v>1</v>
      </c>
      <c r="U477" s="25">
        <f t="shared" si="157"/>
        <v>-1035</v>
      </c>
      <c r="V477" s="25">
        <f t="shared" si="158"/>
        <v>-1221</v>
      </c>
      <c r="W477" s="25">
        <f t="shared" si="159"/>
        <v>-891</v>
      </c>
      <c r="X477" s="15">
        <v>1.7090000000000001</v>
      </c>
      <c r="Y477" s="6"/>
      <c r="Z477" s="21">
        <f t="shared" si="144"/>
        <v>3.03</v>
      </c>
      <c r="AA477" s="6"/>
      <c r="AB477" s="6"/>
    </row>
    <row r="478" spans="1:28" ht="13.2" customHeight="1">
      <c r="A478" s="10">
        <f t="shared" si="163"/>
        <v>467</v>
      </c>
      <c r="B478" s="185" t="s">
        <v>539</v>
      </c>
      <c r="C478" s="10">
        <f t="shared" si="152"/>
        <v>1069</v>
      </c>
      <c r="D478" s="9">
        <f t="shared" si="145"/>
        <v>2211</v>
      </c>
      <c r="E478" s="26">
        <f t="shared" si="153"/>
        <v>3280</v>
      </c>
      <c r="F478" s="8">
        <f t="shared" si="146"/>
        <v>1535</v>
      </c>
      <c r="G478" s="8">
        <f t="shared" si="147"/>
        <v>1711</v>
      </c>
      <c r="H478" s="8">
        <f t="shared" si="148"/>
        <v>1311</v>
      </c>
      <c r="I478" s="6">
        <f t="shared" si="149"/>
        <v>1745</v>
      </c>
      <c r="J478" s="6">
        <f t="shared" si="150"/>
        <v>1569</v>
      </c>
      <c r="K478" s="6">
        <f t="shared" si="151"/>
        <v>1969</v>
      </c>
      <c r="L478" s="6">
        <f t="shared" si="160"/>
        <v>3000</v>
      </c>
      <c r="M478" s="6">
        <f t="shared" si="161"/>
        <v>3000</v>
      </c>
      <c r="N478" s="6">
        <f t="shared" si="162"/>
        <v>3000</v>
      </c>
      <c r="O478" s="6">
        <f t="shared" si="154"/>
        <v>-1255</v>
      </c>
      <c r="P478" s="6">
        <f t="shared" si="155"/>
        <v>-1431</v>
      </c>
      <c r="Q478" s="6">
        <f t="shared" si="156"/>
        <v>-1031</v>
      </c>
      <c r="R478" s="8">
        <v>0</v>
      </c>
      <c r="S478" s="8">
        <v>0</v>
      </c>
      <c r="T478" s="8">
        <v>0</v>
      </c>
      <c r="U478" s="25">
        <f t="shared" si="157"/>
        <v>-1035</v>
      </c>
      <c r="V478" s="25">
        <f t="shared" si="158"/>
        <v>-1221</v>
      </c>
      <c r="W478" s="25">
        <f t="shared" si="159"/>
        <v>-891</v>
      </c>
      <c r="X478" s="15">
        <v>1.7090000000000001</v>
      </c>
      <c r="Y478" s="6"/>
      <c r="Z478" s="21">
        <f t="shared" si="144"/>
        <v>3.03</v>
      </c>
      <c r="AA478" s="6"/>
      <c r="AB478" s="6"/>
    </row>
    <row r="479" spans="1:28" ht="13.2" customHeight="1">
      <c r="A479" s="10">
        <f t="shared" si="163"/>
        <v>468</v>
      </c>
      <c r="B479" s="185" t="s">
        <v>540</v>
      </c>
      <c r="C479" s="10">
        <f t="shared" si="152"/>
        <v>1069</v>
      </c>
      <c r="D479" s="9">
        <f t="shared" si="145"/>
        <v>2213</v>
      </c>
      <c r="E479" s="26">
        <f t="shared" si="153"/>
        <v>3282</v>
      </c>
      <c r="F479" s="8">
        <f t="shared" si="146"/>
        <v>1537</v>
      </c>
      <c r="G479" s="8">
        <f t="shared" si="147"/>
        <v>1715</v>
      </c>
      <c r="H479" s="8">
        <f t="shared" si="148"/>
        <v>1313</v>
      </c>
      <c r="I479" s="6">
        <f t="shared" si="149"/>
        <v>1745</v>
      </c>
      <c r="J479" s="6">
        <f t="shared" si="150"/>
        <v>1567</v>
      </c>
      <c r="K479" s="6">
        <f t="shared" si="151"/>
        <v>1969</v>
      </c>
      <c r="L479" s="6">
        <f t="shared" si="160"/>
        <v>3000</v>
      </c>
      <c r="M479" s="6">
        <f t="shared" si="161"/>
        <v>3000</v>
      </c>
      <c r="N479" s="6">
        <f t="shared" si="162"/>
        <v>3000</v>
      </c>
      <c r="O479" s="6">
        <f t="shared" si="154"/>
        <v>-1255</v>
      </c>
      <c r="P479" s="6">
        <f t="shared" si="155"/>
        <v>-1433</v>
      </c>
      <c r="Q479" s="6">
        <f t="shared" si="156"/>
        <v>-1031</v>
      </c>
      <c r="R479" s="8">
        <v>0</v>
      </c>
      <c r="S479" s="8">
        <v>2</v>
      </c>
      <c r="T479" s="8">
        <v>0</v>
      </c>
      <c r="U479" s="25">
        <f t="shared" si="157"/>
        <v>-1035</v>
      </c>
      <c r="V479" s="25">
        <f t="shared" si="158"/>
        <v>-1223</v>
      </c>
      <c r="W479" s="25">
        <f t="shared" si="159"/>
        <v>-891</v>
      </c>
      <c r="X479" s="15">
        <v>1.7070000000000001</v>
      </c>
      <c r="Y479" s="6"/>
      <c r="Z479" s="21">
        <f t="shared" si="144"/>
        <v>3.03</v>
      </c>
      <c r="AA479" s="6"/>
      <c r="AB479" s="6"/>
    </row>
    <row r="480" spans="1:28" ht="13.2" customHeight="1">
      <c r="A480" s="10">
        <f t="shared" si="163"/>
        <v>469</v>
      </c>
      <c r="B480" s="185" t="s">
        <v>541</v>
      </c>
      <c r="C480" s="10">
        <f t="shared" si="152"/>
        <v>1069</v>
      </c>
      <c r="D480" s="9">
        <f t="shared" si="145"/>
        <v>2215</v>
      </c>
      <c r="E480" s="26">
        <f t="shared" si="153"/>
        <v>3284</v>
      </c>
      <c r="F480" s="8">
        <f t="shared" si="146"/>
        <v>1539</v>
      </c>
      <c r="G480" s="8">
        <f t="shared" si="147"/>
        <v>1717</v>
      </c>
      <c r="H480" s="8">
        <f t="shared" si="148"/>
        <v>1315</v>
      </c>
      <c r="I480" s="6">
        <f t="shared" si="149"/>
        <v>1745</v>
      </c>
      <c r="J480" s="6">
        <f t="shared" si="150"/>
        <v>1567</v>
      </c>
      <c r="K480" s="6">
        <f t="shared" si="151"/>
        <v>1969</v>
      </c>
      <c r="L480" s="6">
        <f t="shared" si="160"/>
        <v>3000</v>
      </c>
      <c r="M480" s="6">
        <f t="shared" si="161"/>
        <v>3000</v>
      </c>
      <c r="N480" s="6">
        <f t="shared" si="162"/>
        <v>3000</v>
      </c>
      <c r="O480" s="6">
        <f t="shared" si="154"/>
        <v>-1255</v>
      </c>
      <c r="P480" s="6">
        <f t="shared" si="155"/>
        <v>-1433</v>
      </c>
      <c r="Q480" s="6">
        <f t="shared" si="156"/>
        <v>-1031</v>
      </c>
      <c r="R480" s="8">
        <v>0</v>
      </c>
      <c r="S480" s="8">
        <v>0</v>
      </c>
      <c r="T480" s="8">
        <v>0</v>
      </c>
      <c r="U480" s="25">
        <f t="shared" si="157"/>
        <v>-1035</v>
      </c>
      <c r="V480" s="25">
        <f t="shared" si="158"/>
        <v>-1223</v>
      </c>
      <c r="W480" s="25">
        <f t="shared" si="159"/>
        <v>-891</v>
      </c>
      <c r="X480" s="15">
        <v>1.7070000000000001</v>
      </c>
      <c r="Y480" s="6"/>
      <c r="Z480" s="21">
        <f t="shared" si="144"/>
        <v>3.03</v>
      </c>
      <c r="AA480" s="6"/>
      <c r="AB480" s="6"/>
    </row>
    <row r="481" spans="1:28" ht="13.2" customHeight="1">
      <c r="A481" s="10">
        <f t="shared" si="163"/>
        <v>470</v>
      </c>
      <c r="B481" s="185" t="s">
        <v>542</v>
      </c>
      <c r="C481" s="10">
        <f t="shared" si="152"/>
        <v>1069</v>
      </c>
      <c r="D481" s="9">
        <f t="shared" si="145"/>
        <v>2217</v>
      </c>
      <c r="E481" s="26">
        <f t="shared" si="153"/>
        <v>3286</v>
      </c>
      <c r="F481" s="8">
        <f t="shared" si="146"/>
        <v>1541</v>
      </c>
      <c r="G481" s="8">
        <f t="shared" si="147"/>
        <v>1721</v>
      </c>
      <c r="H481" s="8">
        <f t="shared" si="148"/>
        <v>1317</v>
      </c>
      <c r="I481" s="6">
        <f t="shared" si="149"/>
        <v>1745</v>
      </c>
      <c r="J481" s="6">
        <f t="shared" si="150"/>
        <v>1565</v>
      </c>
      <c r="K481" s="6">
        <f t="shared" si="151"/>
        <v>1969</v>
      </c>
      <c r="L481" s="6">
        <f t="shared" si="160"/>
        <v>3000</v>
      </c>
      <c r="M481" s="6">
        <f t="shared" si="161"/>
        <v>3000</v>
      </c>
      <c r="N481" s="6">
        <f t="shared" si="162"/>
        <v>3000</v>
      </c>
      <c r="O481" s="6">
        <f t="shared" si="154"/>
        <v>-1255</v>
      </c>
      <c r="P481" s="6">
        <f t="shared" si="155"/>
        <v>-1435</v>
      </c>
      <c r="Q481" s="6">
        <f t="shared" si="156"/>
        <v>-1031</v>
      </c>
      <c r="R481" s="8">
        <v>0</v>
      </c>
      <c r="S481" s="8">
        <v>2</v>
      </c>
      <c r="T481" s="8">
        <v>0</v>
      </c>
      <c r="U481" s="25">
        <f t="shared" si="157"/>
        <v>-1035</v>
      </c>
      <c r="V481" s="25">
        <f t="shared" si="158"/>
        <v>-1225</v>
      </c>
      <c r="W481" s="25">
        <f t="shared" si="159"/>
        <v>-891</v>
      </c>
      <c r="X481" s="15">
        <v>1.7050000000000001</v>
      </c>
      <c r="Y481" s="6"/>
      <c r="Z481" s="21">
        <f t="shared" si="144"/>
        <v>3.03</v>
      </c>
      <c r="AA481" s="6"/>
      <c r="AB481" s="6"/>
    </row>
    <row r="482" spans="1:28" ht="13.2" customHeight="1">
      <c r="A482" s="10">
        <f t="shared" si="163"/>
        <v>471</v>
      </c>
      <c r="B482" s="185" t="s">
        <v>543</v>
      </c>
      <c r="C482" s="10">
        <f t="shared" si="152"/>
        <v>1069</v>
      </c>
      <c r="D482" s="9">
        <f t="shared" si="145"/>
        <v>2219</v>
      </c>
      <c r="E482" s="26">
        <f t="shared" si="153"/>
        <v>3288</v>
      </c>
      <c r="F482" s="8">
        <f t="shared" si="146"/>
        <v>1545</v>
      </c>
      <c r="G482" s="8">
        <f t="shared" si="147"/>
        <v>1723</v>
      </c>
      <c r="H482" s="8">
        <f t="shared" si="148"/>
        <v>1319</v>
      </c>
      <c r="I482" s="6">
        <f t="shared" si="149"/>
        <v>1743</v>
      </c>
      <c r="J482" s="6">
        <f t="shared" si="150"/>
        <v>1565</v>
      </c>
      <c r="K482" s="6">
        <f t="shared" si="151"/>
        <v>1969</v>
      </c>
      <c r="L482" s="6">
        <f t="shared" si="160"/>
        <v>3000</v>
      </c>
      <c r="M482" s="6">
        <f t="shared" si="161"/>
        <v>3000</v>
      </c>
      <c r="N482" s="6">
        <f t="shared" si="162"/>
        <v>3000</v>
      </c>
      <c r="O482" s="6">
        <f t="shared" si="154"/>
        <v>-1257</v>
      </c>
      <c r="P482" s="6">
        <f t="shared" si="155"/>
        <v>-1435</v>
      </c>
      <c r="Q482" s="6">
        <f t="shared" si="156"/>
        <v>-1031</v>
      </c>
      <c r="R482" s="8">
        <v>2</v>
      </c>
      <c r="S482" s="8">
        <v>0</v>
      </c>
      <c r="T482" s="8">
        <v>0</v>
      </c>
      <c r="U482" s="25">
        <f t="shared" si="157"/>
        <v>-1037</v>
      </c>
      <c r="V482" s="25">
        <f t="shared" si="158"/>
        <v>-1225</v>
      </c>
      <c r="W482" s="25">
        <f t="shared" si="159"/>
        <v>-891</v>
      </c>
      <c r="X482" s="15">
        <v>1.7050000000000001</v>
      </c>
      <c r="Y482" s="6"/>
      <c r="Z482" s="21">
        <f t="shared" si="144"/>
        <v>3.03</v>
      </c>
      <c r="AA482" s="6"/>
      <c r="AB482" s="6"/>
    </row>
    <row r="483" spans="1:28" ht="13.2" customHeight="1">
      <c r="A483" s="10">
        <f t="shared" si="163"/>
        <v>472</v>
      </c>
      <c r="B483" s="185" t="s">
        <v>544</v>
      </c>
      <c r="C483" s="10">
        <f t="shared" si="152"/>
        <v>1069</v>
      </c>
      <c r="D483" s="9">
        <f t="shared" si="145"/>
        <v>2221</v>
      </c>
      <c r="E483" s="26">
        <f t="shared" si="153"/>
        <v>3290</v>
      </c>
      <c r="F483" s="8">
        <f t="shared" si="146"/>
        <v>1547</v>
      </c>
      <c r="G483" s="8">
        <f t="shared" si="147"/>
        <v>1725</v>
      </c>
      <c r="H483" s="8">
        <f t="shared" si="148"/>
        <v>1322</v>
      </c>
      <c r="I483" s="6">
        <f t="shared" si="149"/>
        <v>1743</v>
      </c>
      <c r="J483" s="6">
        <f t="shared" si="150"/>
        <v>1565</v>
      </c>
      <c r="K483" s="6">
        <f t="shared" si="151"/>
        <v>1968</v>
      </c>
      <c r="L483" s="6">
        <f t="shared" si="160"/>
        <v>3000</v>
      </c>
      <c r="M483" s="6">
        <f t="shared" si="161"/>
        <v>3000</v>
      </c>
      <c r="N483" s="6">
        <f t="shared" si="162"/>
        <v>3000</v>
      </c>
      <c r="O483" s="6">
        <f t="shared" si="154"/>
        <v>-1257</v>
      </c>
      <c r="P483" s="6">
        <f t="shared" si="155"/>
        <v>-1435</v>
      </c>
      <c r="Q483" s="6">
        <f t="shared" si="156"/>
        <v>-1032</v>
      </c>
      <c r="R483" s="8">
        <v>0</v>
      </c>
      <c r="S483" s="8">
        <v>0</v>
      </c>
      <c r="T483" s="8">
        <v>1</v>
      </c>
      <c r="U483" s="25">
        <f t="shared" si="157"/>
        <v>-1037</v>
      </c>
      <c r="V483" s="25">
        <f t="shared" si="158"/>
        <v>-1225</v>
      </c>
      <c r="W483" s="25">
        <f t="shared" si="159"/>
        <v>-892</v>
      </c>
      <c r="X483" s="15">
        <v>1.7050000000000001</v>
      </c>
      <c r="Y483" s="6"/>
      <c r="Z483" s="21">
        <f t="shared" ref="Z483:Z524" si="164">Z482+Y483</f>
        <v>3.03</v>
      </c>
      <c r="AA483" s="6"/>
      <c r="AB483" s="6"/>
    </row>
    <row r="484" spans="1:28" ht="13.2" customHeight="1">
      <c r="A484" s="10">
        <f t="shared" si="163"/>
        <v>473</v>
      </c>
      <c r="B484" s="185" t="s">
        <v>545</v>
      </c>
      <c r="C484" s="10">
        <f t="shared" si="152"/>
        <v>1069</v>
      </c>
      <c r="D484" s="9">
        <f t="shared" si="145"/>
        <v>2223</v>
      </c>
      <c r="E484" s="26">
        <f t="shared" si="153"/>
        <v>3292</v>
      </c>
      <c r="F484" s="8">
        <f t="shared" si="146"/>
        <v>1549</v>
      </c>
      <c r="G484" s="8">
        <f t="shared" si="147"/>
        <v>1727</v>
      </c>
      <c r="H484" s="8">
        <f t="shared" si="148"/>
        <v>1324</v>
      </c>
      <c r="I484" s="6">
        <f t="shared" si="149"/>
        <v>1743</v>
      </c>
      <c r="J484" s="6">
        <f t="shared" si="150"/>
        <v>1565</v>
      </c>
      <c r="K484" s="6">
        <f t="shared" si="151"/>
        <v>1968</v>
      </c>
      <c r="L484" s="6">
        <f t="shared" si="160"/>
        <v>3000</v>
      </c>
      <c r="M484" s="6">
        <f t="shared" si="161"/>
        <v>3000</v>
      </c>
      <c r="N484" s="6">
        <f t="shared" si="162"/>
        <v>3000</v>
      </c>
      <c r="O484" s="6">
        <f t="shared" si="154"/>
        <v>-1257</v>
      </c>
      <c r="P484" s="6">
        <f t="shared" si="155"/>
        <v>-1435</v>
      </c>
      <c r="Q484" s="6">
        <f t="shared" si="156"/>
        <v>-1032</v>
      </c>
      <c r="R484" s="8">
        <v>0</v>
      </c>
      <c r="S484" s="8">
        <v>0</v>
      </c>
      <c r="T484" s="8">
        <v>0</v>
      </c>
      <c r="U484" s="25">
        <f t="shared" si="157"/>
        <v>-1037</v>
      </c>
      <c r="V484" s="25">
        <f t="shared" si="158"/>
        <v>-1225</v>
      </c>
      <c r="W484" s="25">
        <f t="shared" si="159"/>
        <v>-892</v>
      </c>
      <c r="X484" s="15">
        <v>1.7050000000000001</v>
      </c>
      <c r="Y484" s="6"/>
      <c r="Z484" s="21">
        <f t="shared" si="164"/>
        <v>3.03</v>
      </c>
      <c r="AA484" s="6"/>
      <c r="AB484" s="6"/>
    </row>
    <row r="485" spans="1:28" ht="13.2" customHeight="1">
      <c r="A485" s="10">
        <f t="shared" si="163"/>
        <v>474</v>
      </c>
      <c r="B485" s="185" t="s">
        <v>546</v>
      </c>
      <c r="C485" s="10">
        <f t="shared" si="152"/>
        <v>1069</v>
      </c>
      <c r="D485" s="9">
        <f t="shared" si="145"/>
        <v>2225</v>
      </c>
      <c r="E485" s="26">
        <f t="shared" si="153"/>
        <v>3294</v>
      </c>
      <c r="F485" s="8">
        <f t="shared" si="146"/>
        <v>1551</v>
      </c>
      <c r="G485" s="8">
        <f t="shared" si="147"/>
        <v>1731</v>
      </c>
      <c r="H485" s="8">
        <f t="shared" si="148"/>
        <v>1326</v>
      </c>
      <c r="I485" s="6">
        <f t="shared" si="149"/>
        <v>1743</v>
      </c>
      <c r="J485" s="6">
        <f t="shared" si="150"/>
        <v>1563</v>
      </c>
      <c r="K485" s="6">
        <f t="shared" si="151"/>
        <v>1968</v>
      </c>
      <c r="L485" s="6">
        <f t="shared" si="160"/>
        <v>3000</v>
      </c>
      <c r="M485" s="6">
        <f t="shared" si="161"/>
        <v>3000</v>
      </c>
      <c r="N485" s="6">
        <f t="shared" si="162"/>
        <v>3000</v>
      </c>
      <c r="O485" s="6">
        <f t="shared" si="154"/>
        <v>-1257</v>
      </c>
      <c r="P485" s="6">
        <f t="shared" si="155"/>
        <v>-1437</v>
      </c>
      <c r="Q485" s="6">
        <f t="shared" si="156"/>
        <v>-1032</v>
      </c>
      <c r="R485" s="8">
        <v>0</v>
      </c>
      <c r="S485" s="8">
        <v>2</v>
      </c>
      <c r="T485" s="8">
        <v>0</v>
      </c>
      <c r="U485" s="25">
        <f t="shared" si="157"/>
        <v>-1037</v>
      </c>
      <c r="V485" s="25">
        <f t="shared" si="158"/>
        <v>-1227</v>
      </c>
      <c r="W485" s="25">
        <f t="shared" si="159"/>
        <v>-892</v>
      </c>
      <c r="X485" s="15">
        <v>1.7030000000000001</v>
      </c>
      <c r="Y485" s="6"/>
      <c r="Z485" s="21">
        <f t="shared" si="164"/>
        <v>3.03</v>
      </c>
      <c r="AA485" s="6"/>
      <c r="AB485" s="6"/>
    </row>
    <row r="486" spans="1:28" ht="13.2" customHeight="1">
      <c r="A486" s="10">
        <f t="shared" si="163"/>
        <v>475</v>
      </c>
      <c r="B486" s="185" t="s">
        <v>547</v>
      </c>
      <c r="C486" s="10">
        <f t="shared" si="152"/>
        <v>1069</v>
      </c>
      <c r="D486" s="9">
        <f t="shared" si="145"/>
        <v>2227</v>
      </c>
      <c r="E486" s="26">
        <f t="shared" si="153"/>
        <v>3296</v>
      </c>
      <c r="F486" s="8">
        <f t="shared" si="146"/>
        <v>1554</v>
      </c>
      <c r="G486" s="8">
        <f t="shared" si="147"/>
        <v>1734</v>
      </c>
      <c r="H486" s="8">
        <f t="shared" si="148"/>
        <v>1329</v>
      </c>
      <c r="I486" s="6">
        <f t="shared" si="149"/>
        <v>1742</v>
      </c>
      <c r="J486" s="6">
        <f t="shared" si="150"/>
        <v>1562</v>
      </c>
      <c r="K486" s="6">
        <f t="shared" si="151"/>
        <v>1967</v>
      </c>
      <c r="L486" s="6">
        <f t="shared" si="160"/>
        <v>3000</v>
      </c>
      <c r="M486" s="6">
        <f t="shared" si="161"/>
        <v>3000</v>
      </c>
      <c r="N486" s="6">
        <f t="shared" si="162"/>
        <v>3000</v>
      </c>
      <c r="O486" s="6">
        <f t="shared" si="154"/>
        <v>-1258</v>
      </c>
      <c r="P486" s="6">
        <f t="shared" si="155"/>
        <v>-1438</v>
      </c>
      <c r="Q486" s="6">
        <f t="shared" si="156"/>
        <v>-1033</v>
      </c>
      <c r="R486" s="8">
        <v>1</v>
      </c>
      <c r="S486" s="8">
        <v>1</v>
      </c>
      <c r="T486" s="8">
        <v>1</v>
      </c>
      <c r="U486" s="25">
        <f t="shared" si="157"/>
        <v>-1038</v>
      </c>
      <c r="V486" s="25">
        <f t="shared" si="158"/>
        <v>-1228</v>
      </c>
      <c r="W486" s="25">
        <f t="shared" si="159"/>
        <v>-893</v>
      </c>
      <c r="X486" s="15">
        <v>1.702</v>
      </c>
      <c r="Y486" s="6"/>
      <c r="Z486" s="21">
        <f t="shared" si="164"/>
        <v>3.03</v>
      </c>
      <c r="AA486" s="6"/>
      <c r="AB486" s="6"/>
    </row>
    <row r="487" spans="1:28" ht="13.2" customHeight="1">
      <c r="A487" s="10">
        <f t="shared" si="163"/>
        <v>476</v>
      </c>
      <c r="B487" s="185" t="s">
        <v>548</v>
      </c>
      <c r="C487" s="10">
        <f t="shared" si="152"/>
        <v>1069</v>
      </c>
      <c r="D487" s="9">
        <f t="shared" si="145"/>
        <v>2229</v>
      </c>
      <c r="E487" s="26">
        <f t="shared" si="153"/>
        <v>3298</v>
      </c>
      <c r="F487" s="8">
        <f t="shared" si="146"/>
        <v>1556</v>
      </c>
      <c r="G487" s="8">
        <f t="shared" si="147"/>
        <v>1736</v>
      </c>
      <c r="H487" s="8">
        <f t="shared" si="148"/>
        <v>1331</v>
      </c>
      <c r="I487" s="6">
        <f t="shared" si="149"/>
        <v>1742</v>
      </c>
      <c r="J487" s="6">
        <f t="shared" si="150"/>
        <v>1562</v>
      </c>
      <c r="K487" s="6">
        <f t="shared" si="151"/>
        <v>1967</v>
      </c>
      <c r="L487" s="6">
        <f t="shared" si="160"/>
        <v>3000</v>
      </c>
      <c r="M487" s="6">
        <f t="shared" si="161"/>
        <v>3000</v>
      </c>
      <c r="N487" s="6">
        <f t="shared" si="162"/>
        <v>3000</v>
      </c>
      <c r="O487" s="6">
        <f t="shared" si="154"/>
        <v>-1258</v>
      </c>
      <c r="P487" s="6">
        <f t="shared" si="155"/>
        <v>-1438</v>
      </c>
      <c r="Q487" s="6">
        <f t="shared" si="156"/>
        <v>-1033</v>
      </c>
      <c r="R487" s="8">
        <v>0</v>
      </c>
      <c r="S487" s="8">
        <v>0</v>
      </c>
      <c r="T487" s="8">
        <v>0</v>
      </c>
      <c r="U487" s="25">
        <f t="shared" si="157"/>
        <v>-1038</v>
      </c>
      <c r="V487" s="25">
        <f t="shared" si="158"/>
        <v>-1228</v>
      </c>
      <c r="W487" s="25">
        <f t="shared" si="159"/>
        <v>-893</v>
      </c>
      <c r="X487" s="15">
        <v>1.702</v>
      </c>
      <c r="Y487" s="6"/>
      <c r="Z487" s="21">
        <f t="shared" si="164"/>
        <v>3.03</v>
      </c>
      <c r="AA487" s="6"/>
      <c r="AB487" s="6"/>
    </row>
    <row r="488" spans="1:28" ht="13.2" customHeight="1">
      <c r="A488" s="10">
        <f t="shared" si="163"/>
        <v>477</v>
      </c>
      <c r="B488" s="185" t="s">
        <v>549</v>
      </c>
      <c r="C488" s="10">
        <f t="shared" si="152"/>
        <v>1069</v>
      </c>
      <c r="D488" s="9">
        <f t="shared" si="145"/>
        <v>2231</v>
      </c>
      <c r="E488" s="26">
        <f t="shared" si="153"/>
        <v>3300</v>
      </c>
      <c r="F488" s="8">
        <f t="shared" si="146"/>
        <v>1558</v>
      </c>
      <c r="G488" s="8">
        <f t="shared" si="147"/>
        <v>1738</v>
      </c>
      <c r="H488" s="8">
        <f t="shared" si="148"/>
        <v>1333</v>
      </c>
      <c r="I488" s="6">
        <f t="shared" si="149"/>
        <v>1742</v>
      </c>
      <c r="J488" s="6">
        <f t="shared" si="150"/>
        <v>1562</v>
      </c>
      <c r="K488" s="6">
        <f t="shared" si="151"/>
        <v>1967</v>
      </c>
      <c r="L488" s="6">
        <f t="shared" si="160"/>
        <v>3000</v>
      </c>
      <c r="M488" s="6">
        <f t="shared" si="161"/>
        <v>3000</v>
      </c>
      <c r="N488" s="6">
        <f t="shared" si="162"/>
        <v>3000</v>
      </c>
      <c r="O488" s="6">
        <f t="shared" si="154"/>
        <v>-1258</v>
      </c>
      <c r="P488" s="6">
        <f t="shared" si="155"/>
        <v>-1438</v>
      </c>
      <c r="Q488" s="6">
        <f t="shared" si="156"/>
        <v>-1033</v>
      </c>
      <c r="R488" s="8">
        <v>0</v>
      </c>
      <c r="S488" s="8">
        <v>0</v>
      </c>
      <c r="T488" s="8">
        <v>0</v>
      </c>
      <c r="U488" s="25">
        <f t="shared" si="157"/>
        <v>-1038</v>
      </c>
      <c r="V488" s="25">
        <f t="shared" si="158"/>
        <v>-1228</v>
      </c>
      <c r="W488" s="25">
        <f t="shared" si="159"/>
        <v>-893</v>
      </c>
      <c r="X488" s="15">
        <v>1.702</v>
      </c>
      <c r="Y488" s="6"/>
      <c r="Z488" s="21">
        <f t="shared" si="164"/>
        <v>3.03</v>
      </c>
      <c r="AA488" s="6"/>
      <c r="AB488" s="6"/>
    </row>
    <row r="489" spans="1:28" ht="13.2" customHeight="1">
      <c r="A489" s="10">
        <f t="shared" ref="A489:A499" si="165">+A488+1</f>
        <v>478</v>
      </c>
      <c r="B489" s="185" t="s">
        <v>550</v>
      </c>
      <c r="C489" s="10">
        <f t="shared" ref="C489:C499" si="166">C488</f>
        <v>1069</v>
      </c>
      <c r="D489" s="9">
        <f t="shared" ref="D489:D499" si="167">D488+2</f>
        <v>2233</v>
      </c>
      <c r="E489" s="26">
        <f t="shared" si="153"/>
        <v>3302</v>
      </c>
      <c r="F489" s="8">
        <f t="shared" ref="F489:F499" si="168">C489+D489-I489</f>
        <v>1560</v>
      </c>
      <c r="G489" s="8">
        <f t="shared" ref="G489:G499" si="169">C489+D489-J489</f>
        <v>1741</v>
      </c>
      <c r="H489" s="8">
        <f t="shared" ref="H489:H499" si="170">D489+C489-K489</f>
        <v>1335</v>
      </c>
      <c r="I489" s="6">
        <f t="shared" ref="I489:I499" si="171">L489+O489</f>
        <v>1742</v>
      </c>
      <c r="J489" s="6">
        <f t="shared" ref="J489:J499" si="172">M489+P489</f>
        <v>1561</v>
      </c>
      <c r="K489" s="6">
        <f t="shared" ref="K489:K499" si="173">N489+Q489</f>
        <v>1967</v>
      </c>
      <c r="L489" s="6">
        <f t="shared" ref="L489:L499" si="174">L488</f>
        <v>3000</v>
      </c>
      <c r="M489" s="6">
        <f t="shared" ref="M489:M499" si="175">M488</f>
        <v>3000</v>
      </c>
      <c r="N489" s="6">
        <f t="shared" ref="N489:N499" si="176">N488</f>
        <v>3000</v>
      </c>
      <c r="O489" s="6">
        <f t="shared" ref="O489:O499" si="177">O488-R489</f>
        <v>-1258</v>
      </c>
      <c r="P489" s="6">
        <f t="shared" ref="P489:P499" si="178">P488-S489</f>
        <v>-1439</v>
      </c>
      <c r="Q489" s="6">
        <f t="shared" ref="Q489:Q499" si="179">Q488-T489</f>
        <v>-1033</v>
      </c>
      <c r="R489" s="8">
        <v>0</v>
      </c>
      <c r="S489" s="8">
        <v>1</v>
      </c>
      <c r="T489" s="8">
        <v>0</v>
      </c>
      <c r="U489" s="25">
        <f t="shared" si="157"/>
        <v>-1038</v>
      </c>
      <c r="V489" s="25">
        <f t="shared" si="158"/>
        <v>-1229</v>
      </c>
      <c r="W489" s="25">
        <f t="shared" si="159"/>
        <v>-893</v>
      </c>
      <c r="X489" s="15">
        <v>1.7010000000000001</v>
      </c>
      <c r="Y489" s="6"/>
      <c r="Z489" s="21">
        <f t="shared" si="164"/>
        <v>3.03</v>
      </c>
      <c r="AA489" s="6"/>
      <c r="AB489" s="6"/>
    </row>
    <row r="490" spans="1:28" ht="13.2" customHeight="1">
      <c r="A490" s="10">
        <f t="shared" si="165"/>
        <v>479</v>
      </c>
      <c r="B490" s="185" t="s">
        <v>551</v>
      </c>
      <c r="C490" s="10">
        <f t="shared" si="166"/>
        <v>1069</v>
      </c>
      <c r="D490" s="9">
        <f t="shared" si="167"/>
        <v>2235</v>
      </c>
      <c r="E490" s="26">
        <f t="shared" si="153"/>
        <v>3304</v>
      </c>
      <c r="F490" s="8">
        <f t="shared" si="168"/>
        <v>1562</v>
      </c>
      <c r="G490" s="8">
        <f t="shared" si="169"/>
        <v>1743</v>
      </c>
      <c r="H490" s="8">
        <f t="shared" si="170"/>
        <v>1337</v>
      </c>
      <c r="I490" s="6">
        <f t="shared" si="171"/>
        <v>1742</v>
      </c>
      <c r="J490" s="6">
        <f t="shared" si="172"/>
        <v>1561</v>
      </c>
      <c r="K490" s="6">
        <f t="shared" si="173"/>
        <v>1967</v>
      </c>
      <c r="L490" s="6">
        <f t="shared" si="174"/>
        <v>3000</v>
      </c>
      <c r="M490" s="6">
        <f t="shared" si="175"/>
        <v>3000</v>
      </c>
      <c r="N490" s="6">
        <f t="shared" si="176"/>
        <v>3000</v>
      </c>
      <c r="O490" s="6">
        <f t="shared" si="177"/>
        <v>-1258</v>
      </c>
      <c r="P490" s="6">
        <f t="shared" si="178"/>
        <v>-1439</v>
      </c>
      <c r="Q490" s="6">
        <f t="shared" si="179"/>
        <v>-1033</v>
      </c>
      <c r="R490" s="8">
        <v>0</v>
      </c>
      <c r="S490" s="8">
        <v>0</v>
      </c>
      <c r="T490" s="8">
        <v>0</v>
      </c>
      <c r="U490" s="25">
        <f t="shared" si="157"/>
        <v>-1038</v>
      </c>
      <c r="V490" s="25">
        <f t="shared" si="158"/>
        <v>-1229</v>
      </c>
      <c r="W490" s="25">
        <f t="shared" si="159"/>
        <v>-893</v>
      </c>
      <c r="X490" s="15">
        <v>1.7010000000000001</v>
      </c>
      <c r="Y490" s="6"/>
      <c r="Z490" s="21">
        <f t="shared" si="164"/>
        <v>3.03</v>
      </c>
      <c r="AA490" s="6"/>
      <c r="AB490" s="6"/>
    </row>
    <row r="491" spans="1:28" ht="13.2" customHeight="1">
      <c r="A491" s="10">
        <f t="shared" si="165"/>
        <v>480</v>
      </c>
      <c r="B491" s="185" t="s">
        <v>552</v>
      </c>
      <c r="C491" s="10">
        <f t="shared" si="166"/>
        <v>1069</v>
      </c>
      <c r="D491" s="9">
        <f t="shared" si="167"/>
        <v>2237</v>
      </c>
      <c r="E491" s="26">
        <f t="shared" si="153"/>
        <v>3306</v>
      </c>
      <c r="F491" s="8">
        <f t="shared" si="168"/>
        <v>1564</v>
      </c>
      <c r="G491" s="8">
        <f t="shared" si="169"/>
        <v>1745</v>
      </c>
      <c r="H491" s="8">
        <f t="shared" si="170"/>
        <v>1339</v>
      </c>
      <c r="I491" s="6">
        <f t="shared" si="171"/>
        <v>1742</v>
      </c>
      <c r="J491" s="6">
        <f t="shared" si="172"/>
        <v>1561</v>
      </c>
      <c r="K491" s="6">
        <f t="shared" si="173"/>
        <v>1967</v>
      </c>
      <c r="L491" s="6">
        <f t="shared" si="174"/>
        <v>3000</v>
      </c>
      <c r="M491" s="6">
        <f t="shared" si="175"/>
        <v>3000</v>
      </c>
      <c r="N491" s="6">
        <f t="shared" si="176"/>
        <v>3000</v>
      </c>
      <c r="O491" s="6">
        <f t="shared" si="177"/>
        <v>-1258</v>
      </c>
      <c r="P491" s="6">
        <f t="shared" si="178"/>
        <v>-1439</v>
      </c>
      <c r="Q491" s="6">
        <f t="shared" si="179"/>
        <v>-1033</v>
      </c>
      <c r="R491" s="8">
        <v>0</v>
      </c>
      <c r="S491" s="8">
        <v>0</v>
      </c>
      <c r="T491" s="8">
        <v>0</v>
      </c>
      <c r="U491" s="25">
        <f t="shared" si="157"/>
        <v>-1038</v>
      </c>
      <c r="V491" s="25">
        <f t="shared" si="158"/>
        <v>-1229</v>
      </c>
      <c r="W491" s="25">
        <f t="shared" si="159"/>
        <v>-893</v>
      </c>
      <c r="X491" s="15">
        <v>1.7010000000000001</v>
      </c>
      <c r="Y491" s="6"/>
      <c r="Z491" s="21">
        <f t="shared" si="164"/>
        <v>3.03</v>
      </c>
      <c r="AA491" s="6"/>
      <c r="AB491" s="6"/>
    </row>
    <row r="492" spans="1:28" ht="13.2" customHeight="1">
      <c r="A492" s="10">
        <f t="shared" si="165"/>
        <v>481</v>
      </c>
      <c r="B492" s="185" t="s">
        <v>553</v>
      </c>
      <c r="C492" s="10">
        <f t="shared" si="166"/>
        <v>1069</v>
      </c>
      <c r="D492" s="9">
        <f t="shared" si="167"/>
        <v>2239</v>
      </c>
      <c r="E492" s="26">
        <f t="shared" si="153"/>
        <v>3308</v>
      </c>
      <c r="F492" s="8">
        <f t="shared" si="168"/>
        <v>1566</v>
      </c>
      <c r="G492" s="8">
        <f t="shared" si="169"/>
        <v>1748</v>
      </c>
      <c r="H492" s="8">
        <f t="shared" si="170"/>
        <v>1341</v>
      </c>
      <c r="I492" s="6">
        <f t="shared" si="171"/>
        <v>1742</v>
      </c>
      <c r="J492" s="6">
        <f t="shared" si="172"/>
        <v>1560</v>
      </c>
      <c r="K492" s="6">
        <f t="shared" si="173"/>
        <v>1967</v>
      </c>
      <c r="L492" s="6">
        <f t="shared" si="174"/>
        <v>3000</v>
      </c>
      <c r="M492" s="6">
        <f t="shared" si="175"/>
        <v>3000</v>
      </c>
      <c r="N492" s="6">
        <f t="shared" si="176"/>
        <v>3000</v>
      </c>
      <c r="O492" s="6">
        <f t="shared" si="177"/>
        <v>-1258</v>
      </c>
      <c r="P492" s="6">
        <f t="shared" si="178"/>
        <v>-1440</v>
      </c>
      <c r="Q492" s="6">
        <f t="shared" si="179"/>
        <v>-1033</v>
      </c>
      <c r="R492" s="8">
        <v>0</v>
      </c>
      <c r="S492" s="8">
        <v>1</v>
      </c>
      <c r="T492" s="8">
        <v>0</v>
      </c>
      <c r="U492" s="25">
        <f t="shared" si="157"/>
        <v>-1038</v>
      </c>
      <c r="V492" s="25">
        <f t="shared" si="158"/>
        <v>-1230</v>
      </c>
      <c r="W492" s="25">
        <f t="shared" si="159"/>
        <v>-893</v>
      </c>
      <c r="X492" s="15">
        <v>1.7</v>
      </c>
      <c r="Y492" s="6"/>
      <c r="Z492" s="21">
        <f t="shared" si="164"/>
        <v>3.03</v>
      </c>
      <c r="AA492" s="6"/>
      <c r="AB492" s="6"/>
    </row>
    <row r="493" spans="1:28" ht="13.2" customHeight="1">
      <c r="A493" s="10">
        <f t="shared" si="165"/>
        <v>482</v>
      </c>
      <c r="B493" s="185" t="s">
        <v>554</v>
      </c>
      <c r="C493" s="10">
        <f t="shared" si="166"/>
        <v>1069</v>
      </c>
      <c r="D493" s="9">
        <f t="shared" si="167"/>
        <v>2241</v>
      </c>
      <c r="E493" s="26">
        <f t="shared" si="153"/>
        <v>3310</v>
      </c>
      <c r="F493" s="8">
        <f t="shared" si="168"/>
        <v>1577</v>
      </c>
      <c r="G493" s="8">
        <f t="shared" si="169"/>
        <v>1757</v>
      </c>
      <c r="H493" s="8">
        <f t="shared" si="170"/>
        <v>1350</v>
      </c>
      <c r="I493" s="6">
        <f t="shared" si="171"/>
        <v>1733</v>
      </c>
      <c r="J493" s="6">
        <f t="shared" si="172"/>
        <v>1553</v>
      </c>
      <c r="K493" s="6">
        <f t="shared" si="173"/>
        <v>1960</v>
      </c>
      <c r="L493" s="6">
        <f t="shared" si="174"/>
        <v>3000</v>
      </c>
      <c r="M493" s="6">
        <f t="shared" si="175"/>
        <v>3000</v>
      </c>
      <c r="N493" s="6">
        <f t="shared" si="176"/>
        <v>3000</v>
      </c>
      <c r="O493" s="6">
        <f t="shared" si="177"/>
        <v>-1267</v>
      </c>
      <c r="P493" s="6">
        <f t="shared" si="178"/>
        <v>-1447</v>
      </c>
      <c r="Q493" s="6">
        <f t="shared" si="179"/>
        <v>-1040</v>
      </c>
      <c r="R493" s="8">
        <v>9</v>
      </c>
      <c r="S493" s="8">
        <v>7</v>
      </c>
      <c r="T493" s="8">
        <v>7</v>
      </c>
      <c r="U493" s="25">
        <f t="shared" si="157"/>
        <v>-1047</v>
      </c>
      <c r="V493" s="25">
        <f t="shared" si="158"/>
        <v>-1237</v>
      </c>
      <c r="W493" s="25">
        <f t="shared" si="159"/>
        <v>-900</v>
      </c>
      <c r="X493" s="15">
        <v>1.9930000000000001</v>
      </c>
      <c r="Y493" s="21">
        <v>0.3</v>
      </c>
      <c r="Z493" s="21">
        <f t="shared" si="164"/>
        <v>3.3299999999999996</v>
      </c>
      <c r="AA493" s="6"/>
      <c r="AB493" s="6" t="s">
        <v>69</v>
      </c>
    </row>
    <row r="494" spans="1:28" ht="13.2" customHeight="1">
      <c r="A494" s="10">
        <f t="shared" si="165"/>
        <v>483</v>
      </c>
      <c r="B494" s="185" t="s">
        <v>555</v>
      </c>
      <c r="C494" s="10">
        <f t="shared" si="166"/>
        <v>1069</v>
      </c>
      <c r="D494" s="9">
        <f t="shared" si="167"/>
        <v>2243</v>
      </c>
      <c r="E494" s="26">
        <f t="shared" si="153"/>
        <v>3312</v>
      </c>
      <c r="F494" s="8">
        <f t="shared" si="168"/>
        <v>1587</v>
      </c>
      <c r="G494" s="8">
        <f t="shared" si="169"/>
        <v>1767</v>
      </c>
      <c r="H494" s="8">
        <f t="shared" si="170"/>
        <v>1360</v>
      </c>
      <c r="I494" s="6">
        <f t="shared" si="171"/>
        <v>1725</v>
      </c>
      <c r="J494" s="6">
        <f t="shared" si="172"/>
        <v>1545</v>
      </c>
      <c r="K494" s="6">
        <f t="shared" si="173"/>
        <v>1952</v>
      </c>
      <c r="L494" s="6">
        <f t="shared" si="174"/>
        <v>3000</v>
      </c>
      <c r="M494" s="6">
        <f t="shared" si="175"/>
        <v>3000</v>
      </c>
      <c r="N494" s="6">
        <f t="shared" si="176"/>
        <v>3000</v>
      </c>
      <c r="O494" s="6">
        <f t="shared" si="177"/>
        <v>-1275</v>
      </c>
      <c r="P494" s="6">
        <f t="shared" si="178"/>
        <v>-1455</v>
      </c>
      <c r="Q494" s="6">
        <f t="shared" si="179"/>
        <v>-1048</v>
      </c>
      <c r="R494" s="8">
        <v>8</v>
      </c>
      <c r="S494" s="8">
        <v>8</v>
      </c>
      <c r="T494" s="8">
        <v>8</v>
      </c>
      <c r="U494" s="25">
        <f t="shared" si="157"/>
        <v>-1055</v>
      </c>
      <c r="V494" s="25">
        <f t="shared" si="158"/>
        <v>-1245</v>
      </c>
      <c r="W494" s="25">
        <f t="shared" si="159"/>
        <v>-908</v>
      </c>
      <c r="X494" s="15">
        <v>1.9850000000000001</v>
      </c>
      <c r="Y494" s="6"/>
      <c r="Z494" s="21">
        <f t="shared" si="164"/>
        <v>3.3299999999999996</v>
      </c>
      <c r="AA494" s="6"/>
      <c r="AB494" s="6"/>
    </row>
    <row r="495" spans="1:28" ht="13.2" customHeight="1">
      <c r="A495" s="10">
        <f t="shared" si="165"/>
        <v>484</v>
      </c>
      <c r="B495" s="185" t="s">
        <v>556</v>
      </c>
      <c r="C495" s="10">
        <f t="shared" si="166"/>
        <v>1069</v>
      </c>
      <c r="D495" s="9">
        <f t="shared" si="167"/>
        <v>2245</v>
      </c>
      <c r="E495" s="26">
        <f t="shared" si="153"/>
        <v>3314</v>
      </c>
      <c r="F495" s="8">
        <f t="shared" si="168"/>
        <v>1598</v>
      </c>
      <c r="G495" s="8">
        <f t="shared" si="169"/>
        <v>1778</v>
      </c>
      <c r="H495" s="8">
        <f t="shared" si="170"/>
        <v>1371</v>
      </c>
      <c r="I495" s="6">
        <f t="shared" si="171"/>
        <v>1716</v>
      </c>
      <c r="J495" s="6">
        <f t="shared" si="172"/>
        <v>1536</v>
      </c>
      <c r="K495" s="6">
        <f t="shared" si="173"/>
        <v>1943</v>
      </c>
      <c r="L495" s="6">
        <f t="shared" si="174"/>
        <v>3000</v>
      </c>
      <c r="M495" s="6">
        <f t="shared" si="175"/>
        <v>3000</v>
      </c>
      <c r="N495" s="6">
        <f t="shared" si="176"/>
        <v>3000</v>
      </c>
      <c r="O495" s="6">
        <f t="shared" si="177"/>
        <v>-1284</v>
      </c>
      <c r="P495" s="6">
        <f t="shared" si="178"/>
        <v>-1464</v>
      </c>
      <c r="Q495" s="6">
        <f t="shared" si="179"/>
        <v>-1057</v>
      </c>
      <c r="R495" s="8">
        <v>9</v>
      </c>
      <c r="S495" s="8">
        <v>9</v>
      </c>
      <c r="T495" s="8">
        <v>9</v>
      </c>
      <c r="U495" s="25">
        <f t="shared" si="157"/>
        <v>-1064</v>
      </c>
      <c r="V495" s="25">
        <f t="shared" si="158"/>
        <v>-1254</v>
      </c>
      <c r="W495" s="25">
        <f t="shared" si="159"/>
        <v>-917</v>
      </c>
      <c r="X495" s="15">
        <v>1.976</v>
      </c>
      <c r="Y495" s="6"/>
      <c r="Z495" s="21">
        <f t="shared" si="164"/>
        <v>3.3299999999999996</v>
      </c>
      <c r="AA495" s="6"/>
      <c r="AB495" s="6"/>
    </row>
    <row r="496" spans="1:28" ht="13.2" customHeight="1">
      <c r="A496" s="10">
        <f t="shared" si="165"/>
        <v>485</v>
      </c>
      <c r="B496" s="185" t="s">
        <v>557</v>
      </c>
      <c r="C496" s="10">
        <f t="shared" si="166"/>
        <v>1069</v>
      </c>
      <c r="D496" s="9">
        <f t="shared" si="167"/>
        <v>2247</v>
      </c>
      <c r="E496" s="26">
        <f t="shared" si="153"/>
        <v>3316</v>
      </c>
      <c r="F496" s="8">
        <f t="shared" si="168"/>
        <v>1607</v>
      </c>
      <c r="G496" s="8">
        <f t="shared" si="169"/>
        <v>1786</v>
      </c>
      <c r="H496" s="8">
        <f t="shared" si="170"/>
        <v>1379</v>
      </c>
      <c r="I496" s="6">
        <f t="shared" si="171"/>
        <v>1709</v>
      </c>
      <c r="J496" s="6">
        <f t="shared" si="172"/>
        <v>1530</v>
      </c>
      <c r="K496" s="6">
        <f t="shared" si="173"/>
        <v>1937</v>
      </c>
      <c r="L496" s="6">
        <f t="shared" si="174"/>
        <v>3000</v>
      </c>
      <c r="M496" s="6">
        <f t="shared" si="175"/>
        <v>3000</v>
      </c>
      <c r="N496" s="6">
        <f t="shared" si="176"/>
        <v>3000</v>
      </c>
      <c r="O496" s="6">
        <f t="shared" si="177"/>
        <v>-1291</v>
      </c>
      <c r="P496" s="6">
        <f t="shared" si="178"/>
        <v>-1470</v>
      </c>
      <c r="Q496" s="6">
        <f t="shared" si="179"/>
        <v>-1063</v>
      </c>
      <c r="R496" s="8">
        <v>7</v>
      </c>
      <c r="S496" s="8">
        <v>6</v>
      </c>
      <c r="T496" s="8">
        <v>6</v>
      </c>
      <c r="U496" s="25">
        <f t="shared" si="157"/>
        <v>-1071</v>
      </c>
      <c r="V496" s="25">
        <f t="shared" si="158"/>
        <v>-1260</v>
      </c>
      <c r="W496" s="25">
        <f t="shared" si="159"/>
        <v>-923</v>
      </c>
      <c r="X496" s="15">
        <v>2.27</v>
      </c>
      <c r="Y496" s="21">
        <v>0.3</v>
      </c>
      <c r="Z496" s="21">
        <f t="shared" si="164"/>
        <v>3.6299999999999994</v>
      </c>
      <c r="AA496" s="6"/>
      <c r="AB496" s="6" t="s">
        <v>70</v>
      </c>
    </row>
    <row r="497" spans="1:28" ht="13.2" customHeight="1">
      <c r="A497" s="10">
        <f t="shared" si="165"/>
        <v>486</v>
      </c>
      <c r="B497" s="185" t="s">
        <v>558</v>
      </c>
      <c r="C497" s="10">
        <f t="shared" si="166"/>
        <v>1069</v>
      </c>
      <c r="D497" s="9">
        <f t="shared" si="167"/>
        <v>2249</v>
      </c>
      <c r="E497" s="26">
        <f t="shared" si="153"/>
        <v>3318</v>
      </c>
      <c r="F497" s="8">
        <f t="shared" si="168"/>
        <v>1615</v>
      </c>
      <c r="G497" s="8">
        <f t="shared" si="169"/>
        <v>1795</v>
      </c>
      <c r="H497" s="8">
        <f t="shared" si="170"/>
        <v>1388</v>
      </c>
      <c r="I497" s="6">
        <f t="shared" si="171"/>
        <v>1703</v>
      </c>
      <c r="J497" s="6">
        <f t="shared" si="172"/>
        <v>1523</v>
      </c>
      <c r="K497" s="6">
        <f t="shared" si="173"/>
        <v>1930</v>
      </c>
      <c r="L497" s="6">
        <f t="shared" si="174"/>
        <v>3000</v>
      </c>
      <c r="M497" s="6">
        <f t="shared" si="175"/>
        <v>3000</v>
      </c>
      <c r="N497" s="6">
        <f t="shared" si="176"/>
        <v>3000</v>
      </c>
      <c r="O497" s="6">
        <f t="shared" si="177"/>
        <v>-1297</v>
      </c>
      <c r="P497" s="6">
        <f t="shared" si="178"/>
        <v>-1477</v>
      </c>
      <c r="Q497" s="6">
        <f t="shared" si="179"/>
        <v>-1070</v>
      </c>
      <c r="R497" s="8">
        <v>6</v>
      </c>
      <c r="S497" s="8">
        <v>7</v>
      </c>
      <c r="T497" s="8">
        <v>7</v>
      </c>
      <c r="U497" s="25">
        <f t="shared" si="157"/>
        <v>-1077</v>
      </c>
      <c r="V497" s="25">
        <f t="shared" si="158"/>
        <v>-1267</v>
      </c>
      <c r="W497" s="25">
        <f t="shared" si="159"/>
        <v>-930</v>
      </c>
      <c r="X497" s="15">
        <v>2.2629999999999999</v>
      </c>
      <c r="Y497" s="6"/>
      <c r="Z497" s="21">
        <f t="shared" si="164"/>
        <v>3.6299999999999994</v>
      </c>
      <c r="AA497" s="6"/>
      <c r="AB497" s="6"/>
    </row>
    <row r="498" spans="1:28" ht="13.2" customHeight="1">
      <c r="A498" s="10">
        <f t="shared" si="165"/>
        <v>487</v>
      </c>
      <c r="B498" s="185" t="s">
        <v>559</v>
      </c>
      <c r="C498" s="10">
        <f t="shared" si="166"/>
        <v>1069</v>
      </c>
      <c r="D498" s="9">
        <f t="shared" si="167"/>
        <v>2251</v>
      </c>
      <c r="E498" s="26">
        <f t="shared" si="153"/>
        <v>3320</v>
      </c>
      <c r="F498" s="8">
        <f t="shared" si="168"/>
        <v>1624</v>
      </c>
      <c r="G498" s="8">
        <f t="shared" si="169"/>
        <v>1805</v>
      </c>
      <c r="H498" s="8">
        <f t="shared" si="170"/>
        <v>1398</v>
      </c>
      <c r="I498" s="6">
        <f t="shared" si="171"/>
        <v>1696</v>
      </c>
      <c r="J498" s="6">
        <f t="shared" si="172"/>
        <v>1515</v>
      </c>
      <c r="K498" s="6">
        <f t="shared" si="173"/>
        <v>1922</v>
      </c>
      <c r="L498" s="6">
        <f t="shared" si="174"/>
        <v>3000</v>
      </c>
      <c r="M498" s="6">
        <f t="shared" si="175"/>
        <v>3000</v>
      </c>
      <c r="N498" s="6">
        <f t="shared" si="176"/>
        <v>3000</v>
      </c>
      <c r="O498" s="6">
        <f t="shared" si="177"/>
        <v>-1304</v>
      </c>
      <c r="P498" s="6">
        <f t="shared" si="178"/>
        <v>-1485</v>
      </c>
      <c r="Q498" s="6">
        <f t="shared" si="179"/>
        <v>-1078</v>
      </c>
      <c r="R498" s="8">
        <v>7</v>
      </c>
      <c r="S498" s="8">
        <v>8</v>
      </c>
      <c r="T498" s="8">
        <v>8</v>
      </c>
      <c r="U498" s="25">
        <f t="shared" si="157"/>
        <v>-1084</v>
      </c>
      <c r="V498" s="25">
        <f t="shared" si="158"/>
        <v>-1275</v>
      </c>
      <c r="W498" s="25">
        <f t="shared" si="159"/>
        <v>-938</v>
      </c>
      <c r="X498" s="15">
        <v>2.2549999999999999</v>
      </c>
      <c r="Y498" s="6"/>
      <c r="Z498" s="21">
        <f t="shared" si="164"/>
        <v>3.6299999999999994</v>
      </c>
      <c r="AA498" s="6"/>
      <c r="AB498" s="6"/>
    </row>
    <row r="499" spans="1:28" ht="13.2" customHeight="1">
      <c r="A499" s="10">
        <f t="shared" si="165"/>
        <v>488</v>
      </c>
      <c r="B499" s="185" t="s">
        <v>560</v>
      </c>
      <c r="C499" s="10">
        <f t="shared" si="166"/>
        <v>1069</v>
      </c>
      <c r="D499" s="9">
        <f t="shared" si="167"/>
        <v>2253</v>
      </c>
      <c r="E499" s="26">
        <f t="shared" si="153"/>
        <v>3322</v>
      </c>
      <c r="F499" s="8">
        <f t="shared" si="168"/>
        <v>1634</v>
      </c>
      <c r="G499" s="8">
        <f t="shared" si="169"/>
        <v>1816</v>
      </c>
      <c r="H499" s="8">
        <f t="shared" si="170"/>
        <v>1409</v>
      </c>
      <c r="I499" s="6">
        <f t="shared" si="171"/>
        <v>1688</v>
      </c>
      <c r="J499" s="6">
        <f t="shared" si="172"/>
        <v>1506</v>
      </c>
      <c r="K499" s="6">
        <f t="shared" si="173"/>
        <v>1913</v>
      </c>
      <c r="L499" s="6">
        <f t="shared" si="174"/>
        <v>3000</v>
      </c>
      <c r="M499" s="6">
        <f t="shared" si="175"/>
        <v>3000</v>
      </c>
      <c r="N499" s="6">
        <f t="shared" si="176"/>
        <v>3000</v>
      </c>
      <c r="O499" s="6">
        <f t="shared" si="177"/>
        <v>-1312</v>
      </c>
      <c r="P499" s="6">
        <f t="shared" si="178"/>
        <v>-1494</v>
      </c>
      <c r="Q499" s="6">
        <f t="shared" si="179"/>
        <v>-1087</v>
      </c>
      <c r="R499" s="8">
        <v>8</v>
      </c>
      <c r="S499" s="8">
        <v>9</v>
      </c>
      <c r="T499" s="8">
        <v>9</v>
      </c>
      <c r="U499" s="25">
        <f t="shared" si="157"/>
        <v>-1092</v>
      </c>
      <c r="V499" s="25">
        <f t="shared" si="158"/>
        <v>-1284</v>
      </c>
      <c r="W499" s="25">
        <f t="shared" si="159"/>
        <v>-947</v>
      </c>
      <c r="X499" s="15">
        <v>2.5459999999999998</v>
      </c>
      <c r="Y499" s="21">
        <v>0.3</v>
      </c>
      <c r="Z499" s="21">
        <f t="shared" si="164"/>
        <v>3.9299999999999993</v>
      </c>
      <c r="AA499" s="6"/>
      <c r="AB499" s="6" t="s">
        <v>71</v>
      </c>
    </row>
    <row r="500" spans="1:28" ht="13.2" customHeight="1">
      <c r="A500" s="10">
        <f t="shared" ref="A500:A518" si="180">+A499+1</f>
        <v>489</v>
      </c>
      <c r="B500" s="185" t="s">
        <v>561</v>
      </c>
      <c r="C500" s="10">
        <f t="shared" ref="C500:C518" si="181">C499</f>
        <v>1069</v>
      </c>
      <c r="D500" s="9">
        <f t="shared" ref="D500:D518" si="182">D499+2</f>
        <v>2255</v>
      </c>
      <c r="E500" s="26">
        <f t="shared" si="153"/>
        <v>3324</v>
      </c>
      <c r="F500" s="8">
        <f t="shared" ref="F500:F518" si="183">C500+D500-I500</f>
        <v>1642</v>
      </c>
      <c r="G500" s="8">
        <f t="shared" ref="G500:G518" si="184">C500+D500-J500</f>
        <v>1826</v>
      </c>
      <c r="H500" s="8">
        <f t="shared" ref="H500:H518" si="185">D500+C500-K500</f>
        <v>1418</v>
      </c>
      <c r="I500" s="6">
        <f t="shared" ref="I500:I518" si="186">L500+O500</f>
        <v>1682</v>
      </c>
      <c r="J500" s="6">
        <f t="shared" ref="J500:J518" si="187">M500+P500</f>
        <v>1498</v>
      </c>
      <c r="K500" s="6">
        <f t="shared" ref="K500:K518" si="188">N500+Q500</f>
        <v>1906</v>
      </c>
      <c r="L500" s="6">
        <f t="shared" ref="L500:L518" si="189">L499</f>
        <v>3000</v>
      </c>
      <c r="M500" s="6">
        <f t="shared" ref="M500:M518" si="190">M499</f>
        <v>3000</v>
      </c>
      <c r="N500" s="6">
        <f t="shared" ref="N500:N518" si="191">N499</f>
        <v>3000</v>
      </c>
      <c r="O500" s="6">
        <f t="shared" ref="O500:O518" si="192">O499-R500</f>
        <v>-1318</v>
      </c>
      <c r="P500" s="6">
        <f t="shared" ref="P500:P518" si="193">P499-S500</f>
        <v>-1502</v>
      </c>
      <c r="Q500" s="6">
        <f t="shared" ref="Q500:Q518" si="194">Q499-T500</f>
        <v>-1094</v>
      </c>
      <c r="R500" s="8">
        <v>6</v>
      </c>
      <c r="S500" s="8">
        <v>8</v>
      </c>
      <c r="T500" s="8">
        <v>7</v>
      </c>
      <c r="U500" s="25">
        <f t="shared" si="157"/>
        <v>-1098</v>
      </c>
      <c r="V500" s="25">
        <f t="shared" si="158"/>
        <v>-1292</v>
      </c>
      <c r="W500" s="25">
        <f t="shared" si="159"/>
        <v>-954</v>
      </c>
      <c r="X500" s="15">
        <v>2.5379999999999998</v>
      </c>
      <c r="Y500" s="6"/>
      <c r="Z500" s="21">
        <f t="shared" si="164"/>
        <v>3.9299999999999993</v>
      </c>
      <c r="AA500" s="6"/>
      <c r="AB500" s="6"/>
    </row>
    <row r="501" spans="1:28" ht="13.2" customHeight="1">
      <c r="A501" s="10">
        <f t="shared" si="180"/>
        <v>490</v>
      </c>
      <c r="B501" s="185" t="s">
        <v>562</v>
      </c>
      <c r="C501" s="10">
        <f t="shared" si="181"/>
        <v>1069</v>
      </c>
      <c r="D501" s="9">
        <f t="shared" si="182"/>
        <v>2257</v>
      </c>
      <c r="E501" s="26">
        <f t="shared" si="153"/>
        <v>3326</v>
      </c>
      <c r="F501" s="8">
        <f t="shared" si="183"/>
        <v>1651</v>
      </c>
      <c r="G501" s="8">
        <f t="shared" si="184"/>
        <v>1837</v>
      </c>
      <c r="H501" s="8">
        <f t="shared" si="185"/>
        <v>1428</v>
      </c>
      <c r="I501" s="6">
        <f t="shared" si="186"/>
        <v>1675</v>
      </c>
      <c r="J501" s="6">
        <f t="shared" si="187"/>
        <v>1489</v>
      </c>
      <c r="K501" s="6">
        <f t="shared" si="188"/>
        <v>1898</v>
      </c>
      <c r="L501" s="6">
        <f t="shared" si="189"/>
        <v>3000</v>
      </c>
      <c r="M501" s="6">
        <f t="shared" si="190"/>
        <v>3000</v>
      </c>
      <c r="N501" s="6">
        <f t="shared" si="191"/>
        <v>3000</v>
      </c>
      <c r="O501" s="6">
        <f t="shared" si="192"/>
        <v>-1325</v>
      </c>
      <c r="P501" s="6">
        <f t="shared" si="193"/>
        <v>-1511</v>
      </c>
      <c r="Q501" s="6">
        <f t="shared" si="194"/>
        <v>-1102</v>
      </c>
      <c r="R501" s="8">
        <v>7</v>
      </c>
      <c r="S501" s="8">
        <v>9</v>
      </c>
      <c r="T501" s="8">
        <v>8</v>
      </c>
      <c r="U501" s="25">
        <f t="shared" si="157"/>
        <v>-1105</v>
      </c>
      <c r="V501" s="25">
        <f t="shared" si="158"/>
        <v>-1301</v>
      </c>
      <c r="W501" s="25">
        <f t="shared" si="159"/>
        <v>-962</v>
      </c>
      <c r="X501" s="15">
        <v>2.5289999999999999</v>
      </c>
      <c r="Y501" s="6"/>
      <c r="Z501" s="21">
        <f t="shared" si="164"/>
        <v>3.9299999999999993</v>
      </c>
      <c r="AA501" s="6"/>
      <c r="AB501" s="6"/>
    </row>
    <row r="502" spans="1:28" s="158" customFormat="1" ht="13.2" customHeight="1">
      <c r="A502" s="155">
        <f t="shared" si="180"/>
        <v>491</v>
      </c>
      <c r="B502" s="185" t="s">
        <v>563</v>
      </c>
      <c r="C502" s="155">
        <f t="shared" si="181"/>
        <v>1069</v>
      </c>
      <c r="D502" s="156">
        <f t="shared" si="182"/>
        <v>2259</v>
      </c>
      <c r="E502" s="26">
        <f t="shared" si="153"/>
        <v>3328</v>
      </c>
      <c r="F502" s="157">
        <f t="shared" si="183"/>
        <v>1661</v>
      </c>
      <c r="G502" s="157">
        <f t="shared" si="184"/>
        <v>1847</v>
      </c>
      <c r="H502" s="157">
        <f t="shared" si="185"/>
        <v>1439</v>
      </c>
      <c r="I502" s="157">
        <f t="shared" si="186"/>
        <v>1667</v>
      </c>
      <c r="J502" s="157">
        <f t="shared" si="187"/>
        <v>1481</v>
      </c>
      <c r="K502" s="157">
        <f t="shared" si="188"/>
        <v>1889</v>
      </c>
      <c r="L502" s="157">
        <f t="shared" si="189"/>
        <v>3000</v>
      </c>
      <c r="M502" s="157">
        <f t="shared" si="190"/>
        <v>3000</v>
      </c>
      <c r="N502" s="157">
        <f t="shared" si="191"/>
        <v>3000</v>
      </c>
      <c r="O502" s="157">
        <f t="shared" si="192"/>
        <v>-1333</v>
      </c>
      <c r="P502" s="157">
        <f t="shared" si="193"/>
        <v>-1519</v>
      </c>
      <c r="Q502" s="157">
        <f t="shared" si="194"/>
        <v>-1111</v>
      </c>
      <c r="R502" s="157">
        <v>8</v>
      </c>
      <c r="S502" s="157">
        <v>8</v>
      </c>
      <c r="T502" s="157">
        <v>9</v>
      </c>
      <c r="U502" s="25">
        <f t="shared" si="157"/>
        <v>-1113</v>
      </c>
      <c r="V502" s="25">
        <f t="shared" si="158"/>
        <v>-1309</v>
      </c>
      <c r="W502" s="25">
        <f t="shared" si="159"/>
        <v>-971</v>
      </c>
      <c r="X502" s="15">
        <v>2.8210000000000002</v>
      </c>
      <c r="Y502" s="167">
        <v>0.3</v>
      </c>
      <c r="Z502" s="21">
        <f t="shared" si="164"/>
        <v>4.2299999999999995</v>
      </c>
      <c r="AA502" s="157"/>
      <c r="AB502" s="157" t="s">
        <v>68</v>
      </c>
    </row>
    <row r="503" spans="1:28" ht="13.2" customHeight="1">
      <c r="A503" s="10">
        <f t="shared" si="180"/>
        <v>492</v>
      </c>
      <c r="B503" s="185" t="s">
        <v>564</v>
      </c>
      <c r="C503" s="10">
        <f t="shared" si="181"/>
        <v>1069</v>
      </c>
      <c r="D503" s="9">
        <f t="shared" si="182"/>
        <v>2261</v>
      </c>
      <c r="E503" s="26">
        <f t="shared" si="153"/>
        <v>3330</v>
      </c>
      <c r="F503" s="8">
        <f t="shared" si="183"/>
        <v>1687</v>
      </c>
      <c r="G503" s="8">
        <f t="shared" si="184"/>
        <v>1866</v>
      </c>
      <c r="H503" s="8">
        <f t="shared" si="185"/>
        <v>1459</v>
      </c>
      <c r="I503" s="6">
        <f t="shared" si="186"/>
        <v>1643</v>
      </c>
      <c r="J503" s="6">
        <f t="shared" si="187"/>
        <v>1464</v>
      </c>
      <c r="K503" s="6">
        <f t="shared" si="188"/>
        <v>1871</v>
      </c>
      <c r="L503" s="6">
        <f t="shared" si="189"/>
        <v>3000</v>
      </c>
      <c r="M503" s="6">
        <f t="shared" si="190"/>
        <v>3000</v>
      </c>
      <c r="N503" s="6">
        <f t="shared" si="191"/>
        <v>3000</v>
      </c>
      <c r="O503" s="6">
        <f t="shared" si="192"/>
        <v>-1357</v>
      </c>
      <c r="P503" s="6">
        <f t="shared" si="193"/>
        <v>-1536</v>
      </c>
      <c r="Q503" s="6">
        <f t="shared" si="194"/>
        <v>-1129</v>
      </c>
      <c r="R503" s="8">
        <v>24</v>
      </c>
      <c r="S503" s="8">
        <v>17</v>
      </c>
      <c r="T503" s="8">
        <v>18</v>
      </c>
      <c r="U503" s="25">
        <f t="shared" si="157"/>
        <v>-1137</v>
      </c>
      <c r="V503" s="25">
        <f t="shared" si="158"/>
        <v>-1326</v>
      </c>
      <c r="W503" s="25">
        <f t="shared" si="159"/>
        <v>-989</v>
      </c>
      <c r="X503" s="15">
        <v>2.8039999999999998</v>
      </c>
      <c r="Y503" s="6"/>
      <c r="Z503" s="21">
        <f t="shared" si="164"/>
        <v>4.2299999999999995</v>
      </c>
      <c r="AA503" s="6"/>
      <c r="AB503" s="6"/>
    </row>
    <row r="504" spans="1:28" ht="13.2" customHeight="1">
      <c r="A504" s="10">
        <f t="shared" si="180"/>
        <v>493</v>
      </c>
      <c r="B504" s="185" t="s">
        <v>565</v>
      </c>
      <c r="C504" s="10">
        <f t="shared" si="181"/>
        <v>1069</v>
      </c>
      <c r="D504" s="9">
        <f t="shared" si="182"/>
        <v>2263</v>
      </c>
      <c r="E504" s="26">
        <f t="shared" si="153"/>
        <v>3332</v>
      </c>
      <c r="F504" s="8">
        <f t="shared" si="183"/>
        <v>1717</v>
      </c>
      <c r="G504" s="8">
        <f t="shared" si="184"/>
        <v>1892</v>
      </c>
      <c r="H504" s="8">
        <f t="shared" si="185"/>
        <v>1483</v>
      </c>
      <c r="I504" s="6">
        <f t="shared" si="186"/>
        <v>1615</v>
      </c>
      <c r="J504" s="6">
        <f t="shared" si="187"/>
        <v>1440</v>
      </c>
      <c r="K504" s="6">
        <f t="shared" si="188"/>
        <v>1849</v>
      </c>
      <c r="L504" s="6">
        <f t="shared" si="189"/>
        <v>3000</v>
      </c>
      <c r="M504" s="6">
        <f t="shared" si="190"/>
        <v>3000</v>
      </c>
      <c r="N504" s="6">
        <f t="shared" si="191"/>
        <v>3000</v>
      </c>
      <c r="O504" s="6">
        <f t="shared" si="192"/>
        <v>-1385</v>
      </c>
      <c r="P504" s="6">
        <f t="shared" si="193"/>
        <v>-1560</v>
      </c>
      <c r="Q504" s="6">
        <f t="shared" si="194"/>
        <v>-1151</v>
      </c>
      <c r="R504" s="8">
        <v>28</v>
      </c>
      <c r="S504" s="8">
        <v>24</v>
      </c>
      <c r="T504" s="8">
        <v>22</v>
      </c>
      <c r="U504" s="25">
        <f t="shared" si="157"/>
        <v>-1165</v>
      </c>
      <c r="V504" s="25">
        <f t="shared" si="158"/>
        <v>-1350</v>
      </c>
      <c r="W504" s="25">
        <f t="shared" si="159"/>
        <v>-1011</v>
      </c>
      <c r="X504" s="15">
        <v>2.78</v>
      </c>
      <c r="Y504" s="6"/>
      <c r="Z504" s="21">
        <f t="shared" si="164"/>
        <v>4.2299999999999995</v>
      </c>
      <c r="AA504" s="6"/>
      <c r="AB504" s="6"/>
    </row>
    <row r="505" spans="1:28" ht="13.2" customHeight="1">
      <c r="A505" s="10">
        <f t="shared" si="180"/>
        <v>494</v>
      </c>
      <c r="B505" s="185" t="s">
        <v>566</v>
      </c>
      <c r="C505" s="10">
        <f t="shared" si="181"/>
        <v>1069</v>
      </c>
      <c r="D505" s="9">
        <f t="shared" si="182"/>
        <v>2265</v>
      </c>
      <c r="E505" s="26">
        <f t="shared" si="153"/>
        <v>3334</v>
      </c>
      <c r="F505" s="8">
        <f t="shared" si="183"/>
        <v>1741</v>
      </c>
      <c r="G505" s="8">
        <f t="shared" si="184"/>
        <v>1913</v>
      </c>
      <c r="H505" s="8">
        <f t="shared" si="185"/>
        <v>1493</v>
      </c>
      <c r="I505" s="6">
        <f t="shared" si="186"/>
        <v>1593</v>
      </c>
      <c r="J505" s="6">
        <f t="shared" si="187"/>
        <v>1421</v>
      </c>
      <c r="K505" s="6">
        <f t="shared" si="188"/>
        <v>1841</v>
      </c>
      <c r="L505" s="6">
        <f t="shared" si="189"/>
        <v>3000</v>
      </c>
      <c r="M505" s="6">
        <f t="shared" si="190"/>
        <v>3000</v>
      </c>
      <c r="N505" s="6">
        <f t="shared" si="191"/>
        <v>3000</v>
      </c>
      <c r="O505" s="6">
        <f t="shared" si="192"/>
        <v>-1407</v>
      </c>
      <c r="P505" s="6">
        <f t="shared" si="193"/>
        <v>-1579</v>
      </c>
      <c r="Q505" s="6">
        <f t="shared" si="194"/>
        <v>-1159</v>
      </c>
      <c r="R505" s="8">
        <v>22</v>
      </c>
      <c r="S505" s="8">
        <v>19</v>
      </c>
      <c r="T505" s="8">
        <v>8</v>
      </c>
      <c r="U505" s="25">
        <f t="shared" si="157"/>
        <v>-1187</v>
      </c>
      <c r="V505" s="25">
        <f t="shared" si="158"/>
        <v>-1369</v>
      </c>
      <c r="W505" s="25">
        <f t="shared" si="159"/>
        <v>-1019</v>
      </c>
      <c r="X505" s="15">
        <v>2.7610000000000001</v>
      </c>
      <c r="Y505" s="6"/>
      <c r="Z505" s="21">
        <f t="shared" si="164"/>
        <v>4.2299999999999995</v>
      </c>
      <c r="AA505" s="6"/>
      <c r="AB505" s="6"/>
    </row>
    <row r="506" spans="1:28" s="161" customFormat="1" ht="13.2" customHeight="1">
      <c r="A506" s="159">
        <f t="shared" si="180"/>
        <v>495</v>
      </c>
      <c r="B506" s="185" t="s">
        <v>567</v>
      </c>
      <c r="C506" s="159">
        <f t="shared" si="181"/>
        <v>1069</v>
      </c>
      <c r="D506" s="160">
        <f t="shared" si="182"/>
        <v>2267</v>
      </c>
      <c r="E506" s="26">
        <f t="shared" si="153"/>
        <v>3336</v>
      </c>
      <c r="F506" s="11">
        <f t="shared" si="183"/>
        <v>1768</v>
      </c>
      <c r="G506" s="11">
        <f t="shared" si="184"/>
        <v>1937</v>
      </c>
      <c r="H506" s="11">
        <f t="shared" si="185"/>
        <v>1507</v>
      </c>
      <c r="I506" s="11">
        <f t="shared" si="186"/>
        <v>1568</v>
      </c>
      <c r="J506" s="11">
        <f t="shared" si="187"/>
        <v>1399</v>
      </c>
      <c r="K506" s="11">
        <f t="shared" si="188"/>
        <v>1829</v>
      </c>
      <c r="L506" s="11">
        <f t="shared" si="189"/>
        <v>3000</v>
      </c>
      <c r="M506" s="11">
        <f t="shared" si="190"/>
        <v>3000</v>
      </c>
      <c r="N506" s="11">
        <f t="shared" si="191"/>
        <v>3000</v>
      </c>
      <c r="O506" s="11">
        <f t="shared" si="192"/>
        <v>-1432</v>
      </c>
      <c r="P506" s="11">
        <f t="shared" si="193"/>
        <v>-1601</v>
      </c>
      <c r="Q506" s="11">
        <f t="shared" si="194"/>
        <v>-1171</v>
      </c>
      <c r="R506" s="11">
        <v>25</v>
      </c>
      <c r="S506" s="11">
        <v>22</v>
      </c>
      <c r="T506" s="11">
        <v>12</v>
      </c>
      <c r="U506" s="25">
        <f t="shared" si="157"/>
        <v>-1212</v>
      </c>
      <c r="V506" s="25">
        <f t="shared" si="158"/>
        <v>-1391</v>
      </c>
      <c r="W506" s="25">
        <f t="shared" si="159"/>
        <v>-1031</v>
      </c>
      <c r="X506" s="15">
        <v>2.7389999999999999</v>
      </c>
      <c r="Y506" s="11"/>
      <c r="Z506" s="21">
        <f t="shared" si="164"/>
        <v>4.2299999999999995</v>
      </c>
      <c r="AA506" s="11"/>
      <c r="AB506" s="11"/>
    </row>
    <row r="507" spans="1:28" ht="13.2" customHeight="1">
      <c r="A507" s="10">
        <f t="shared" si="180"/>
        <v>496</v>
      </c>
      <c r="B507" s="185" t="s">
        <v>568</v>
      </c>
      <c r="C507" s="10">
        <f t="shared" si="181"/>
        <v>1069</v>
      </c>
      <c r="D507" s="9">
        <f t="shared" si="182"/>
        <v>2269</v>
      </c>
      <c r="E507" s="26">
        <f t="shared" si="153"/>
        <v>3338</v>
      </c>
      <c r="F507" s="8">
        <f t="shared" si="183"/>
        <v>1788</v>
      </c>
      <c r="G507" s="8">
        <f t="shared" si="184"/>
        <v>1955</v>
      </c>
      <c r="H507" s="8">
        <f t="shared" si="185"/>
        <v>1519</v>
      </c>
      <c r="I507" s="6">
        <f t="shared" si="186"/>
        <v>1550</v>
      </c>
      <c r="J507" s="6">
        <f t="shared" si="187"/>
        <v>1383</v>
      </c>
      <c r="K507" s="6">
        <f t="shared" si="188"/>
        <v>1819</v>
      </c>
      <c r="L507" s="6">
        <f t="shared" si="189"/>
        <v>3000</v>
      </c>
      <c r="M507" s="6">
        <f t="shared" si="190"/>
        <v>3000</v>
      </c>
      <c r="N507" s="6">
        <f t="shared" si="191"/>
        <v>3000</v>
      </c>
      <c r="O507" s="6">
        <f t="shared" si="192"/>
        <v>-1450</v>
      </c>
      <c r="P507" s="6">
        <f t="shared" si="193"/>
        <v>-1617</v>
      </c>
      <c r="Q507" s="6">
        <f t="shared" si="194"/>
        <v>-1181</v>
      </c>
      <c r="R507" s="8">
        <v>18</v>
      </c>
      <c r="S507" s="8">
        <v>16</v>
      </c>
      <c r="T507" s="8">
        <v>10</v>
      </c>
      <c r="U507" s="25">
        <f t="shared" si="157"/>
        <v>-1230</v>
      </c>
      <c r="V507" s="25">
        <f t="shared" si="158"/>
        <v>-1407</v>
      </c>
      <c r="W507" s="25">
        <f t="shared" si="159"/>
        <v>-1041</v>
      </c>
      <c r="X507" s="15">
        <v>2.7229999999999999</v>
      </c>
      <c r="Y507" s="6"/>
      <c r="Z507" s="21">
        <f t="shared" si="164"/>
        <v>4.2299999999999995</v>
      </c>
      <c r="AA507" s="6"/>
      <c r="AB507" s="6"/>
    </row>
    <row r="508" spans="1:28" ht="13.2" customHeight="1">
      <c r="A508" s="10">
        <f t="shared" si="180"/>
        <v>497</v>
      </c>
      <c r="B508" s="185" t="s">
        <v>569</v>
      </c>
      <c r="C508" s="10">
        <f t="shared" si="181"/>
        <v>1069</v>
      </c>
      <c r="D508" s="9">
        <f t="shared" si="182"/>
        <v>2271</v>
      </c>
      <c r="E508" s="26">
        <f t="shared" si="153"/>
        <v>3340</v>
      </c>
      <c r="F508" s="8">
        <f t="shared" si="183"/>
        <v>1812</v>
      </c>
      <c r="G508" s="8">
        <f t="shared" si="184"/>
        <v>1975</v>
      </c>
      <c r="H508" s="8">
        <f t="shared" si="185"/>
        <v>1533</v>
      </c>
      <c r="I508" s="6">
        <f t="shared" si="186"/>
        <v>1528</v>
      </c>
      <c r="J508" s="6">
        <f t="shared" si="187"/>
        <v>1365</v>
      </c>
      <c r="K508" s="6">
        <f t="shared" si="188"/>
        <v>1807</v>
      </c>
      <c r="L508" s="6">
        <f t="shared" si="189"/>
        <v>3000</v>
      </c>
      <c r="M508" s="6">
        <f t="shared" si="190"/>
        <v>3000</v>
      </c>
      <c r="N508" s="6">
        <f t="shared" si="191"/>
        <v>3000</v>
      </c>
      <c r="O508" s="6">
        <f t="shared" si="192"/>
        <v>-1472</v>
      </c>
      <c r="P508" s="6">
        <f t="shared" si="193"/>
        <v>-1635</v>
      </c>
      <c r="Q508" s="6">
        <f t="shared" si="194"/>
        <v>-1193</v>
      </c>
      <c r="R508" s="8">
        <v>22</v>
      </c>
      <c r="S508" s="8">
        <v>18</v>
      </c>
      <c r="T508" s="8">
        <v>12</v>
      </c>
      <c r="U508" s="25">
        <f t="shared" si="157"/>
        <v>-1252</v>
      </c>
      <c r="V508" s="25">
        <f t="shared" si="158"/>
        <v>-1425</v>
      </c>
      <c r="W508" s="25">
        <f t="shared" si="159"/>
        <v>-1053</v>
      </c>
      <c r="X508" s="15">
        <v>2.7050000000000001</v>
      </c>
      <c r="Y508" s="6"/>
      <c r="Z508" s="21">
        <f t="shared" si="164"/>
        <v>4.2299999999999995</v>
      </c>
      <c r="AA508" s="6"/>
      <c r="AB508" s="6"/>
    </row>
    <row r="509" spans="1:28" ht="13.2" customHeight="1">
      <c r="A509" s="10">
        <f t="shared" si="180"/>
        <v>498</v>
      </c>
      <c r="B509" s="185" t="s">
        <v>570</v>
      </c>
      <c r="C509" s="10">
        <f t="shared" si="181"/>
        <v>1069</v>
      </c>
      <c r="D509" s="9">
        <f t="shared" si="182"/>
        <v>2273</v>
      </c>
      <c r="E509" s="26">
        <f t="shared" si="153"/>
        <v>3342</v>
      </c>
      <c r="F509" s="8">
        <f t="shared" si="183"/>
        <v>1827</v>
      </c>
      <c r="G509" s="8">
        <f t="shared" si="184"/>
        <v>1989</v>
      </c>
      <c r="H509" s="8">
        <f t="shared" si="185"/>
        <v>1542</v>
      </c>
      <c r="I509" s="6">
        <f t="shared" si="186"/>
        <v>1515</v>
      </c>
      <c r="J509" s="6">
        <f t="shared" si="187"/>
        <v>1353</v>
      </c>
      <c r="K509" s="6">
        <f t="shared" si="188"/>
        <v>1800</v>
      </c>
      <c r="L509" s="6">
        <f t="shared" si="189"/>
        <v>3000</v>
      </c>
      <c r="M509" s="6">
        <f t="shared" si="190"/>
        <v>3000</v>
      </c>
      <c r="N509" s="6">
        <f t="shared" si="191"/>
        <v>3000</v>
      </c>
      <c r="O509" s="6">
        <f t="shared" si="192"/>
        <v>-1485</v>
      </c>
      <c r="P509" s="6">
        <f t="shared" si="193"/>
        <v>-1647</v>
      </c>
      <c r="Q509" s="6">
        <f t="shared" si="194"/>
        <v>-1200</v>
      </c>
      <c r="R509" s="8">
        <v>13</v>
      </c>
      <c r="S509" s="8">
        <v>12</v>
      </c>
      <c r="T509" s="8">
        <v>7</v>
      </c>
      <c r="U509" s="25">
        <f t="shared" si="157"/>
        <v>-1265</v>
      </c>
      <c r="V509" s="25">
        <f t="shared" si="158"/>
        <v>-1437</v>
      </c>
      <c r="W509" s="25">
        <f t="shared" si="159"/>
        <v>-1060</v>
      </c>
      <c r="X509" s="15">
        <v>2.6930000000000001</v>
      </c>
      <c r="Y509" s="6"/>
      <c r="Z509" s="21">
        <f t="shared" si="164"/>
        <v>4.2299999999999995</v>
      </c>
      <c r="AA509" s="6"/>
      <c r="AB509" s="6"/>
    </row>
    <row r="510" spans="1:28" s="161" customFormat="1" ht="13.2" customHeight="1">
      <c r="A510" s="159">
        <f t="shared" si="180"/>
        <v>499</v>
      </c>
      <c r="B510" s="185" t="s">
        <v>571</v>
      </c>
      <c r="C510" s="159">
        <f t="shared" si="181"/>
        <v>1069</v>
      </c>
      <c r="D510" s="160">
        <f t="shared" si="182"/>
        <v>2275</v>
      </c>
      <c r="E510" s="26">
        <f t="shared" si="153"/>
        <v>3344</v>
      </c>
      <c r="F510" s="11">
        <f t="shared" si="183"/>
        <v>1847</v>
      </c>
      <c r="G510" s="11">
        <f t="shared" si="184"/>
        <v>2010</v>
      </c>
      <c r="H510" s="11">
        <f t="shared" si="185"/>
        <v>1554</v>
      </c>
      <c r="I510" s="11">
        <f t="shared" si="186"/>
        <v>1497</v>
      </c>
      <c r="J510" s="11">
        <f t="shared" si="187"/>
        <v>1334</v>
      </c>
      <c r="K510" s="11">
        <f t="shared" si="188"/>
        <v>1790</v>
      </c>
      <c r="L510" s="11">
        <f t="shared" si="189"/>
        <v>3000</v>
      </c>
      <c r="M510" s="11">
        <f t="shared" si="190"/>
        <v>3000</v>
      </c>
      <c r="N510" s="11">
        <f t="shared" si="191"/>
        <v>3000</v>
      </c>
      <c r="O510" s="11">
        <f t="shared" si="192"/>
        <v>-1503</v>
      </c>
      <c r="P510" s="11">
        <f t="shared" si="193"/>
        <v>-1666</v>
      </c>
      <c r="Q510" s="11">
        <f t="shared" si="194"/>
        <v>-1210</v>
      </c>
      <c r="R510" s="11">
        <v>18</v>
      </c>
      <c r="S510" s="11">
        <v>19</v>
      </c>
      <c r="T510" s="11">
        <v>10</v>
      </c>
      <c r="U510" s="25">
        <f t="shared" si="157"/>
        <v>-1283</v>
      </c>
      <c r="V510" s="25">
        <f t="shared" si="158"/>
        <v>-1456</v>
      </c>
      <c r="W510" s="25">
        <f t="shared" si="159"/>
        <v>-1070</v>
      </c>
      <c r="X510" s="15">
        <v>2.6739999999999999</v>
      </c>
      <c r="Y510" s="11"/>
      <c r="Z510" s="21">
        <f t="shared" si="164"/>
        <v>4.2299999999999995</v>
      </c>
      <c r="AA510" s="11"/>
      <c r="AB510" s="11"/>
    </row>
    <row r="511" spans="1:28" ht="13.2" customHeight="1">
      <c r="A511" s="10">
        <f t="shared" si="180"/>
        <v>500</v>
      </c>
      <c r="B511" s="185" t="s">
        <v>572</v>
      </c>
      <c r="C511" s="10">
        <f t="shared" si="181"/>
        <v>1069</v>
      </c>
      <c r="D511" s="9">
        <f t="shared" si="182"/>
        <v>2277</v>
      </c>
      <c r="E511" s="26">
        <f t="shared" si="153"/>
        <v>3346</v>
      </c>
      <c r="F511" s="8">
        <f t="shared" si="183"/>
        <v>1871</v>
      </c>
      <c r="G511" s="8">
        <f t="shared" si="184"/>
        <v>2031</v>
      </c>
      <c r="H511" s="8">
        <f t="shared" si="185"/>
        <v>1571</v>
      </c>
      <c r="I511" s="6">
        <f t="shared" si="186"/>
        <v>1475</v>
      </c>
      <c r="J511" s="6">
        <f t="shared" si="187"/>
        <v>1315</v>
      </c>
      <c r="K511" s="6">
        <f t="shared" si="188"/>
        <v>1775</v>
      </c>
      <c r="L511" s="6">
        <f t="shared" si="189"/>
        <v>3000</v>
      </c>
      <c r="M511" s="6">
        <f t="shared" si="190"/>
        <v>3000</v>
      </c>
      <c r="N511" s="6">
        <f t="shared" si="191"/>
        <v>3000</v>
      </c>
      <c r="O511" s="6">
        <f t="shared" si="192"/>
        <v>-1525</v>
      </c>
      <c r="P511" s="6">
        <f t="shared" si="193"/>
        <v>-1685</v>
      </c>
      <c r="Q511" s="6">
        <f t="shared" si="194"/>
        <v>-1225</v>
      </c>
      <c r="R511" s="8">
        <v>22</v>
      </c>
      <c r="S511" s="8">
        <v>19</v>
      </c>
      <c r="T511" s="8">
        <v>15</v>
      </c>
      <c r="U511" s="25">
        <f t="shared" si="157"/>
        <v>-1305</v>
      </c>
      <c r="V511" s="25">
        <f t="shared" si="158"/>
        <v>-1475</v>
      </c>
      <c r="W511" s="25">
        <f t="shared" si="159"/>
        <v>-1085</v>
      </c>
      <c r="X511" s="15">
        <v>2.6549999999999998</v>
      </c>
      <c r="Y511" s="6"/>
      <c r="Z511" s="21">
        <f t="shared" si="164"/>
        <v>4.2299999999999995</v>
      </c>
      <c r="AA511" s="6"/>
      <c r="AB511" s="6"/>
    </row>
    <row r="512" spans="1:28" ht="13.2" customHeight="1">
      <c r="A512" s="10">
        <f t="shared" si="180"/>
        <v>501</v>
      </c>
      <c r="B512" s="185" t="s">
        <v>573</v>
      </c>
      <c r="C512" s="10">
        <f t="shared" si="181"/>
        <v>1069</v>
      </c>
      <c r="D512" s="9">
        <f t="shared" si="182"/>
        <v>2279</v>
      </c>
      <c r="E512" s="26">
        <f t="shared" si="153"/>
        <v>3348</v>
      </c>
      <c r="F512" s="8">
        <f t="shared" si="183"/>
        <v>1892</v>
      </c>
      <c r="G512" s="8">
        <f t="shared" si="184"/>
        <v>2050</v>
      </c>
      <c r="H512" s="8">
        <f t="shared" si="185"/>
        <v>1585</v>
      </c>
      <c r="I512" s="6">
        <f t="shared" si="186"/>
        <v>1456</v>
      </c>
      <c r="J512" s="6">
        <f t="shared" si="187"/>
        <v>1298</v>
      </c>
      <c r="K512" s="6">
        <f t="shared" si="188"/>
        <v>1763</v>
      </c>
      <c r="L512" s="6">
        <f t="shared" si="189"/>
        <v>3000</v>
      </c>
      <c r="M512" s="6">
        <f t="shared" si="190"/>
        <v>3000</v>
      </c>
      <c r="N512" s="6">
        <f t="shared" si="191"/>
        <v>3000</v>
      </c>
      <c r="O512" s="6">
        <f t="shared" si="192"/>
        <v>-1544</v>
      </c>
      <c r="P512" s="6">
        <f t="shared" si="193"/>
        <v>-1702</v>
      </c>
      <c r="Q512" s="6">
        <f t="shared" si="194"/>
        <v>-1237</v>
      </c>
      <c r="R512" s="8">
        <v>19</v>
      </c>
      <c r="S512" s="8">
        <v>17</v>
      </c>
      <c r="T512" s="8">
        <v>12</v>
      </c>
      <c r="U512" s="25">
        <f t="shared" si="157"/>
        <v>-1324</v>
      </c>
      <c r="V512" s="25">
        <f t="shared" si="158"/>
        <v>-1492</v>
      </c>
      <c r="W512" s="25">
        <f t="shared" si="159"/>
        <v>-1097</v>
      </c>
      <c r="X512" s="15">
        <v>2.6379999999999999</v>
      </c>
      <c r="Y512" s="6"/>
      <c r="Z512" s="21">
        <f t="shared" si="164"/>
        <v>4.2299999999999995</v>
      </c>
      <c r="AA512" s="6"/>
      <c r="AB512" s="6"/>
    </row>
    <row r="513" spans="1:28" ht="13.2" customHeight="1">
      <c r="A513" s="10">
        <f t="shared" si="180"/>
        <v>502</v>
      </c>
      <c r="B513" s="185" t="s">
        <v>574</v>
      </c>
      <c r="C513" s="10">
        <f t="shared" si="181"/>
        <v>1069</v>
      </c>
      <c r="D513" s="9">
        <f t="shared" si="182"/>
        <v>2281</v>
      </c>
      <c r="E513" s="26">
        <f t="shared" si="153"/>
        <v>3350</v>
      </c>
      <c r="F513" s="8">
        <f t="shared" si="183"/>
        <v>1911</v>
      </c>
      <c r="G513" s="8">
        <f t="shared" si="184"/>
        <v>2068</v>
      </c>
      <c r="H513" s="8">
        <f t="shared" si="185"/>
        <v>1599</v>
      </c>
      <c r="I513" s="6">
        <f t="shared" si="186"/>
        <v>1439</v>
      </c>
      <c r="J513" s="6">
        <f t="shared" si="187"/>
        <v>1282</v>
      </c>
      <c r="K513" s="6">
        <f t="shared" si="188"/>
        <v>1751</v>
      </c>
      <c r="L513" s="6">
        <f t="shared" si="189"/>
        <v>3000</v>
      </c>
      <c r="M513" s="6">
        <f t="shared" si="190"/>
        <v>3000</v>
      </c>
      <c r="N513" s="6">
        <f t="shared" si="191"/>
        <v>3000</v>
      </c>
      <c r="O513" s="6">
        <f t="shared" si="192"/>
        <v>-1561</v>
      </c>
      <c r="P513" s="6">
        <f t="shared" si="193"/>
        <v>-1718</v>
      </c>
      <c r="Q513" s="6">
        <f t="shared" si="194"/>
        <v>-1249</v>
      </c>
      <c r="R513" s="8">
        <v>17</v>
      </c>
      <c r="S513" s="8">
        <v>16</v>
      </c>
      <c r="T513" s="8">
        <v>12</v>
      </c>
      <c r="U513" s="25">
        <f t="shared" si="157"/>
        <v>-1341</v>
      </c>
      <c r="V513" s="25">
        <f t="shared" si="158"/>
        <v>-1508</v>
      </c>
      <c r="W513" s="25">
        <f t="shared" si="159"/>
        <v>-1109</v>
      </c>
      <c r="X513" s="15">
        <v>2.6219999999999999</v>
      </c>
      <c r="Y513" s="6"/>
      <c r="Z513" s="21">
        <f t="shared" si="164"/>
        <v>4.2299999999999995</v>
      </c>
      <c r="AA513" s="6"/>
      <c r="AB513" s="6"/>
    </row>
    <row r="514" spans="1:28" ht="13.2" customHeight="1">
      <c r="A514" s="10">
        <f t="shared" si="180"/>
        <v>503</v>
      </c>
      <c r="B514" s="185" t="s">
        <v>575</v>
      </c>
      <c r="C514" s="10">
        <f t="shared" si="181"/>
        <v>1069</v>
      </c>
      <c r="D514" s="9">
        <f t="shared" si="182"/>
        <v>2283</v>
      </c>
      <c r="E514" s="26">
        <f t="shared" si="153"/>
        <v>3352</v>
      </c>
      <c r="F514" s="8">
        <f t="shared" si="183"/>
        <v>1925</v>
      </c>
      <c r="G514" s="8">
        <f t="shared" si="184"/>
        <v>2084</v>
      </c>
      <c r="H514" s="8">
        <f t="shared" si="185"/>
        <v>1613</v>
      </c>
      <c r="I514" s="6">
        <f t="shared" si="186"/>
        <v>1427</v>
      </c>
      <c r="J514" s="6">
        <f t="shared" si="187"/>
        <v>1268</v>
      </c>
      <c r="K514" s="6">
        <f t="shared" si="188"/>
        <v>1739</v>
      </c>
      <c r="L514" s="6">
        <f t="shared" si="189"/>
        <v>3000</v>
      </c>
      <c r="M514" s="6">
        <f t="shared" si="190"/>
        <v>3000</v>
      </c>
      <c r="N514" s="6">
        <f t="shared" si="191"/>
        <v>3000</v>
      </c>
      <c r="O514" s="6">
        <f t="shared" si="192"/>
        <v>-1573</v>
      </c>
      <c r="P514" s="6">
        <f t="shared" si="193"/>
        <v>-1732</v>
      </c>
      <c r="Q514" s="6">
        <f t="shared" si="194"/>
        <v>-1261</v>
      </c>
      <c r="R514" s="8">
        <v>12</v>
      </c>
      <c r="S514" s="8">
        <v>14</v>
      </c>
      <c r="T514" s="8">
        <v>12</v>
      </c>
      <c r="U514" s="25">
        <f t="shared" si="157"/>
        <v>-1353</v>
      </c>
      <c r="V514" s="25">
        <f t="shared" si="158"/>
        <v>-1522</v>
      </c>
      <c r="W514" s="25">
        <f t="shared" si="159"/>
        <v>-1121</v>
      </c>
      <c r="X514" s="15">
        <v>2.6080000000000001</v>
      </c>
      <c r="Y514" s="6"/>
      <c r="Z514" s="21">
        <f t="shared" si="164"/>
        <v>4.2299999999999995</v>
      </c>
      <c r="AA514" s="6"/>
      <c r="AB514" s="6"/>
    </row>
    <row r="515" spans="1:28" ht="13.2" customHeight="1">
      <c r="A515" s="10">
        <f t="shared" si="180"/>
        <v>504</v>
      </c>
      <c r="B515" s="185" t="s">
        <v>576</v>
      </c>
      <c r="C515" s="10">
        <f t="shared" si="181"/>
        <v>1069</v>
      </c>
      <c r="D515" s="9">
        <f t="shared" si="182"/>
        <v>2285</v>
      </c>
      <c r="E515" s="26">
        <f t="shared" si="153"/>
        <v>3354</v>
      </c>
      <c r="F515" s="8">
        <f t="shared" si="183"/>
        <v>1937</v>
      </c>
      <c r="G515" s="8">
        <f t="shared" si="184"/>
        <v>2098</v>
      </c>
      <c r="H515" s="8">
        <f t="shared" si="185"/>
        <v>1625</v>
      </c>
      <c r="I515" s="6">
        <f t="shared" si="186"/>
        <v>1417</v>
      </c>
      <c r="J515" s="6">
        <f t="shared" si="187"/>
        <v>1256</v>
      </c>
      <c r="K515" s="6">
        <f t="shared" si="188"/>
        <v>1729</v>
      </c>
      <c r="L515" s="6">
        <f t="shared" si="189"/>
        <v>3000</v>
      </c>
      <c r="M515" s="6">
        <f t="shared" si="190"/>
        <v>3000</v>
      </c>
      <c r="N515" s="6">
        <f t="shared" si="191"/>
        <v>3000</v>
      </c>
      <c r="O515" s="6">
        <f t="shared" si="192"/>
        <v>-1583</v>
      </c>
      <c r="P515" s="6">
        <f t="shared" si="193"/>
        <v>-1744</v>
      </c>
      <c r="Q515" s="6">
        <f t="shared" si="194"/>
        <v>-1271</v>
      </c>
      <c r="R515" s="8">
        <v>10</v>
      </c>
      <c r="S515" s="8">
        <v>12</v>
      </c>
      <c r="T515" s="8">
        <v>10</v>
      </c>
      <c r="U515" s="25">
        <f t="shared" si="157"/>
        <v>-1363</v>
      </c>
      <c r="V515" s="25">
        <f t="shared" si="158"/>
        <v>-1534</v>
      </c>
      <c r="W515" s="25">
        <f t="shared" si="159"/>
        <v>-1131</v>
      </c>
      <c r="X515" s="15">
        <v>2.5960000000000001</v>
      </c>
      <c r="Y515" s="6"/>
      <c r="Z515" s="21">
        <f t="shared" si="164"/>
        <v>4.2299999999999995</v>
      </c>
      <c r="AA515" s="6"/>
      <c r="AB515" s="6"/>
    </row>
    <row r="516" spans="1:28" ht="13.2" customHeight="1">
      <c r="A516" s="10">
        <f t="shared" si="180"/>
        <v>505</v>
      </c>
      <c r="B516" s="185" t="s">
        <v>577</v>
      </c>
      <c r="C516" s="10">
        <f t="shared" si="181"/>
        <v>1069</v>
      </c>
      <c r="D516" s="9">
        <f t="shared" si="182"/>
        <v>2287</v>
      </c>
      <c r="E516" s="26">
        <f t="shared" si="153"/>
        <v>3356</v>
      </c>
      <c r="F516" s="8">
        <f t="shared" si="183"/>
        <v>1948</v>
      </c>
      <c r="G516" s="8">
        <f t="shared" si="184"/>
        <v>2111</v>
      </c>
      <c r="H516" s="8">
        <f t="shared" si="185"/>
        <v>1636</v>
      </c>
      <c r="I516" s="6">
        <f t="shared" si="186"/>
        <v>1408</v>
      </c>
      <c r="J516" s="6">
        <f t="shared" si="187"/>
        <v>1245</v>
      </c>
      <c r="K516" s="6">
        <f t="shared" si="188"/>
        <v>1720</v>
      </c>
      <c r="L516" s="6">
        <f t="shared" si="189"/>
        <v>3000</v>
      </c>
      <c r="M516" s="6">
        <f t="shared" si="190"/>
        <v>3000</v>
      </c>
      <c r="N516" s="6">
        <f t="shared" si="191"/>
        <v>3000</v>
      </c>
      <c r="O516" s="6">
        <f t="shared" si="192"/>
        <v>-1592</v>
      </c>
      <c r="P516" s="6">
        <f t="shared" si="193"/>
        <v>-1755</v>
      </c>
      <c r="Q516" s="6">
        <f t="shared" si="194"/>
        <v>-1280</v>
      </c>
      <c r="R516" s="8">
        <v>9</v>
      </c>
      <c r="S516" s="8">
        <v>11</v>
      </c>
      <c r="T516" s="8">
        <v>9</v>
      </c>
      <c r="U516" s="25">
        <f t="shared" si="157"/>
        <v>-1372</v>
      </c>
      <c r="V516" s="25">
        <f t="shared" si="158"/>
        <v>-1545</v>
      </c>
      <c r="W516" s="25">
        <f t="shared" si="159"/>
        <v>-1140</v>
      </c>
      <c r="X516" s="15">
        <v>2.585</v>
      </c>
      <c r="Y516" s="6"/>
      <c r="Z516" s="21">
        <f t="shared" si="164"/>
        <v>4.2299999999999995</v>
      </c>
      <c r="AA516" s="6"/>
      <c r="AB516" s="6"/>
    </row>
    <row r="517" spans="1:28" ht="13.2" customHeight="1">
      <c r="A517" s="10">
        <f t="shared" si="180"/>
        <v>506</v>
      </c>
      <c r="B517" s="185" t="s">
        <v>578</v>
      </c>
      <c r="C517" s="10">
        <f t="shared" si="181"/>
        <v>1069</v>
      </c>
      <c r="D517" s="9">
        <f t="shared" si="182"/>
        <v>2289</v>
      </c>
      <c r="E517" s="26">
        <f t="shared" si="153"/>
        <v>3358</v>
      </c>
      <c r="F517" s="8">
        <f t="shared" si="183"/>
        <v>1959</v>
      </c>
      <c r="G517" s="8">
        <f t="shared" si="184"/>
        <v>2123</v>
      </c>
      <c r="H517" s="8">
        <f t="shared" si="185"/>
        <v>1647</v>
      </c>
      <c r="I517" s="6">
        <f t="shared" si="186"/>
        <v>1399</v>
      </c>
      <c r="J517" s="6">
        <f t="shared" si="187"/>
        <v>1235</v>
      </c>
      <c r="K517" s="6">
        <f t="shared" si="188"/>
        <v>1711</v>
      </c>
      <c r="L517" s="6">
        <f t="shared" si="189"/>
        <v>3000</v>
      </c>
      <c r="M517" s="6">
        <f t="shared" si="190"/>
        <v>3000</v>
      </c>
      <c r="N517" s="6">
        <f t="shared" si="191"/>
        <v>3000</v>
      </c>
      <c r="O517" s="6">
        <f t="shared" si="192"/>
        <v>-1601</v>
      </c>
      <c r="P517" s="6">
        <f t="shared" si="193"/>
        <v>-1765</v>
      </c>
      <c r="Q517" s="6">
        <f t="shared" si="194"/>
        <v>-1289</v>
      </c>
      <c r="R517" s="8">
        <v>9</v>
      </c>
      <c r="S517" s="8">
        <v>10</v>
      </c>
      <c r="T517" s="8">
        <v>9</v>
      </c>
      <c r="U517" s="25">
        <f t="shared" si="157"/>
        <v>-1381</v>
      </c>
      <c r="V517" s="25">
        <f t="shared" si="158"/>
        <v>-1555</v>
      </c>
      <c r="W517" s="25">
        <f t="shared" si="159"/>
        <v>-1149</v>
      </c>
      <c r="X517" s="15">
        <v>2.5750000000000002</v>
      </c>
      <c r="Y517" s="6"/>
      <c r="Z517" s="21">
        <f t="shared" si="164"/>
        <v>4.2299999999999995</v>
      </c>
      <c r="AA517" s="6"/>
      <c r="AB517" s="6"/>
    </row>
    <row r="518" spans="1:28" ht="13.2" customHeight="1">
      <c r="A518" s="10">
        <f t="shared" si="180"/>
        <v>507</v>
      </c>
      <c r="B518" s="185" t="s">
        <v>579</v>
      </c>
      <c r="C518" s="10">
        <f t="shared" si="181"/>
        <v>1069</v>
      </c>
      <c r="D518" s="9">
        <f t="shared" si="182"/>
        <v>2291</v>
      </c>
      <c r="E518" s="26">
        <f t="shared" si="153"/>
        <v>3360</v>
      </c>
      <c r="F518" s="8">
        <f t="shared" si="183"/>
        <v>1969</v>
      </c>
      <c r="G518" s="8">
        <f t="shared" si="184"/>
        <v>2134</v>
      </c>
      <c r="H518" s="8">
        <f t="shared" si="185"/>
        <v>1658</v>
      </c>
      <c r="I518" s="6">
        <f t="shared" si="186"/>
        <v>1391</v>
      </c>
      <c r="J518" s="6">
        <f t="shared" si="187"/>
        <v>1226</v>
      </c>
      <c r="K518" s="6">
        <f t="shared" si="188"/>
        <v>1702</v>
      </c>
      <c r="L518" s="6">
        <f t="shared" si="189"/>
        <v>3000</v>
      </c>
      <c r="M518" s="6">
        <f t="shared" si="190"/>
        <v>3000</v>
      </c>
      <c r="N518" s="6">
        <f t="shared" si="191"/>
        <v>3000</v>
      </c>
      <c r="O518" s="6">
        <f t="shared" si="192"/>
        <v>-1609</v>
      </c>
      <c r="P518" s="6">
        <f t="shared" si="193"/>
        <v>-1774</v>
      </c>
      <c r="Q518" s="6">
        <f t="shared" si="194"/>
        <v>-1298</v>
      </c>
      <c r="R518" s="172">
        <v>8</v>
      </c>
      <c r="S518" s="172">
        <v>9</v>
      </c>
      <c r="T518" s="172">
        <v>9</v>
      </c>
      <c r="U518" s="25">
        <f t="shared" si="157"/>
        <v>-1389</v>
      </c>
      <c r="V518" s="25">
        <f t="shared" si="158"/>
        <v>-1564</v>
      </c>
      <c r="W518" s="25">
        <f t="shared" si="159"/>
        <v>-1158</v>
      </c>
      <c r="X518" s="15">
        <v>2.5659999999999998</v>
      </c>
      <c r="Y518" s="6"/>
      <c r="Z518" s="21">
        <f t="shared" si="164"/>
        <v>4.2299999999999995</v>
      </c>
      <c r="AA518" s="6"/>
      <c r="AB518" s="6"/>
    </row>
    <row r="519" spans="1:28" ht="13.2" customHeight="1">
      <c r="A519" s="10">
        <f t="shared" ref="A519:A524" si="195">+A518+1</f>
        <v>508</v>
      </c>
      <c r="B519" s="185" t="s">
        <v>580</v>
      </c>
      <c r="C519" s="10">
        <f t="shared" ref="C519:C524" si="196">C518</f>
        <v>1069</v>
      </c>
      <c r="D519" s="9">
        <f t="shared" ref="D519:D524" si="197">D518+2</f>
        <v>2293</v>
      </c>
      <c r="E519" s="26">
        <f t="shared" si="153"/>
        <v>3362</v>
      </c>
      <c r="F519" s="8">
        <f t="shared" ref="F519" si="198">C519+D519-I519</f>
        <v>1977</v>
      </c>
      <c r="G519" s="8">
        <f t="shared" ref="G519" si="199">C519+D519-J519</f>
        <v>2145</v>
      </c>
      <c r="H519" s="8">
        <f t="shared" ref="H519" si="200">D519+C519-K519</f>
        <v>1668</v>
      </c>
      <c r="I519" s="6">
        <f t="shared" ref="I519" si="201">L519+O519</f>
        <v>1385</v>
      </c>
      <c r="J519" s="6">
        <f t="shared" ref="J519" si="202">M519+P519</f>
        <v>1217</v>
      </c>
      <c r="K519" s="6">
        <f t="shared" ref="K519" si="203">N519+Q519</f>
        <v>1694</v>
      </c>
      <c r="L519" s="6">
        <f t="shared" ref="L519:L524" si="204">L518</f>
        <v>3000</v>
      </c>
      <c r="M519" s="6">
        <f t="shared" ref="M519:M524" si="205">M518</f>
        <v>3000</v>
      </c>
      <c r="N519" s="6">
        <f t="shared" ref="N519:N524" si="206">N518</f>
        <v>3000</v>
      </c>
      <c r="O519" s="6">
        <f t="shared" ref="O519" si="207">O518-R519</f>
        <v>-1615</v>
      </c>
      <c r="P519" s="6">
        <f t="shared" ref="P519" si="208">P518-S519</f>
        <v>-1783</v>
      </c>
      <c r="Q519" s="6">
        <f t="shared" ref="Q519" si="209">Q518-T519</f>
        <v>-1306</v>
      </c>
      <c r="R519" s="172">
        <v>6</v>
      </c>
      <c r="S519" s="172">
        <v>9</v>
      </c>
      <c r="T519" s="172">
        <v>8</v>
      </c>
      <c r="U519" s="25">
        <f t="shared" si="157"/>
        <v>-1395</v>
      </c>
      <c r="V519" s="25">
        <f t="shared" si="158"/>
        <v>-1573</v>
      </c>
      <c r="W519" s="25">
        <f t="shared" si="159"/>
        <v>-1166</v>
      </c>
      <c r="X519" s="15">
        <v>2.5569999999999999</v>
      </c>
      <c r="Y519" s="6"/>
      <c r="Z519" s="21">
        <f t="shared" si="164"/>
        <v>4.2299999999999995</v>
      </c>
      <c r="AA519" s="6"/>
      <c r="AB519" s="6"/>
    </row>
    <row r="520" spans="1:28" ht="13.2" customHeight="1">
      <c r="A520" s="10">
        <f t="shared" si="195"/>
        <v>509</v>
      </c>
      <c r="B520" s="185" t="s">
        <v>581</v>
      </c>
      <c r="C520" s="10">
        <f t="shared" si="196"/>
        <v>1069</v>
      </c>
      <c r="D520" s="9">
        <f t="shared" si="197"/>
        <v>2295</v>
      </c>
      <c r="E520" s="26">
        <f t="shared" si="153"/>
        <v>3364</v>
      </c>
      <c r="F520" s="8">
        <f t="shared" ref="F520" si="210">C520+D520-I520</f>
        <v>1985</v>
      </c>
      <c r="G520" s="8">
        <f t="shared" ref="G520" si="211">C520+D520-J520</f>
        <v>2155</v>
      </c>
      <c r="H520" s="8">
        <f t="shared" ref="H520" si="212">D520+C520-K520</f>
        <v>1678</v>
      </c>
      <c r="I520" s="6">
        <f t="shared" ref="I520" si="213">L520+O520</f>
        <v>1379</v>
      </c>
      <c r="J520" s="6">
        <f t="shared" ref="J520" si="214">M520+P520</f>
        <v>1209</v>
      </c>
      <c r="K520" s="6">
        <f t="shared" ref="K520" si="215">N520+Q520</f>
        <v>1686</v>
      </c>
      <c r="L520" s="6">
        <f t="shared" si="204"/>
        <v>3000</v>
      </c>
      <c r="M520" s="6">
        <f t="shared" si="205"/>
        <v>3000</v>
      </c>
      <c r="N520" s="6">
        <f t="shared" si="206"/>
        <v>3000</v>
      </c>
      <c r="O520" s="6">
        <f t="shared" ref="O520" si="216">O519-R520</f>
        <v>-1621</v>
      </c>
      <c r="P520" s="6">
        <f t="shared" ref="P520" si="217">P519-S520</f>
        <v>-1791</v>
      </c>
      <c r="Q520" s="6">
        <f t="shared" ref="Q520" si="218">Q519-T520</f>
        <v>-1314</v>
      </c>
      <c r="R520" s="172">
        <v>6</v>
      </c>
      <c r="S520" s="172">
        <v>8</v>
      </c>
      <c r="T520" s="172">
        <v>8</v>
      </c>
      <c r="U520" s="25">
        <f t="shared" si="157"/>
        <v>-1401</v>
      </c>
      <c r="V520" s="25">
        <f t="shared" si="158"/>
        <v>-1581</v>
      </c>
      <c r="W520" s="25">
        <f t="shared" si="159"/>
        <v>-1174</v>
      </c>
      <c r="X520" s="15">
        <v>2.5489999999999999</v>
      </c>
      <c r="Y520" s="6"/>
      <c r="Z520" s="21">
        <f t="shared" si="164"/>
        <v>4.2299999999999995</v>
      </c>
      <c r="AA520" s="6"/>
      <c r="AB520" s="6"/>
    </row>
    <row r="521" spans="1:28" customFormat="1" ht="13.2" customHeight="1">
      <c r="A521" s="10">
        <f t="shared" si="195"/>
        <v>510</v>
      </c>
      <c r="B521" s="185" t="s">
        <v>582</v>
      </c>
      <c r="C521" s="10">
        <f t="shared" si="196"/>
        <v>1069</v>
      </c>
      <c r="D521" s="9">
        <f t="shared" si="197"/>
        <v>2297</v>
      </c>
      <c r="E521" s="26">
        <f t="shared" si="153"/>
        <v>3366</v>
      </c>
      <c r="F521" s="8">
        <f t="shared" ref="F521" si="219">C521+D521-I521</f>
        <v>1991</v>
      </c>
      <c r="G521" s="8">
        <f t="shared" ref="G521" si="220">C521+D521-J521</f>
        <v>2165</v>
      </c>
      <c r="H521" s="8">
        <f t="shared" ref="H521" si="221">D521+C521-K521</f>
        <v>1686</v>
      </c>
      <c r="I521" s="6">
        <f t="shared" ref="I521" si="222">L521+O521</f>
        <v>1375</v>
      </c>
      <c r="J521" s="6">
        <f t="shared" ref="J521" si="223">M521+P521</f>
        <v>1201</v>
      </c>
      <c r="K521" s="6">
        <f t="shared" ref="K521" si="224">N521+Q521</f>
        <v>1680</v>
      </c>
      <c r="L521" s="6">
        <f t="shared" si="204"/>
        <v>3000</v>
      </c>
      <c r="M521" s="6">
        <f t="shared" si="205"/>
        <v>3000</v>
      </c>
      <c r="N521" s="6">
        <f t="shared" si="206"/>
        <v>3000</v>
      </c>
      <c r="O521" s="6">
        <f t="shared" ref="O521" si="225">O520-R521</f>
        <v>-1625</v>
      </c>
      <c r="P521" s="6">
        <f t="shared" ref="P521" si="226">P520-S521</f>
        <v>-1799</v>
      </c>
      <c r="Q521" s="6">
        <f t="shared" ref="Q521" si="227">Q520-T521</f>
        <v>-1320</v>
      </c>
      <c r="R521" s="172">
        <v>4</v>
      </c>
      <c r="S521" s="172">
        <v>8</v>
      </c>
      <c r="T521" s="172">
        <v>6</v>
      </c>
      <c r="U521" s="25">
        <f t="shared" si="157"/>
        <v>-1405</v>
      </c>
      <c r="V521" s="25">
        <f t="shared" si="158"/>
        <v>-1589</v>
      </c>
      <c r="W521" s="25">
        <f t="shared" si="159"/>
        <v>-1180</v>
      </c>
      <c r="X521" s="15">
        <v>2.5409999999999999</v>
      </c>
      <c r="Y521" s="6"/>
      <c r="Z521" s="21">
        <f t="shared" si="164"/>
        <v>4.2299999999999995</v>
      </c>
      <c r="AA521" s="6"/>
      <c r="AB521" s="6"/>
    </row>
    <row r="522" spans="1:28" customFormat="1" ht="13.2" customHeight="1">
      <c r="A522" s="10">
        <f t="shared" si="195"/>
        <v>511</v>
      </c>
      <c r="B522" s="185" t="s">
        <v>583</v>
      </c>
      <c r="C522" s="10">
        <f t="shared" si="196"/>
        <v>1069</v>
      </c>
      <c r="D522" s="9">
        <f t="shared" si="197"/>
        <v>2299</v>
      </c>
      <c r="E522" s="26">
        <f t="shared" si="153"/>
        <v>3368</v>
      </c>
      <c r="F522" s="8">
        <f t="shared" ref="F522" si="228">C522+D522-I522</f>
        <v>1995</v>
      </c>
      <c r="G522" s="8">
        <f t="shared" ref="G522" si="229">C522+D522-J522</f>
        <v>2170</v>
      </c>
      <c r="H522" s="8">
        <f t="shared" ref="H522" si="230">D522+C522-K522</f>
        <v>1690</v>
      </c>
      <c r="I522" s="6">
        <f t="shared" ref="I522" si="231">L522+O522</f>
        <v>1373</v>
      </c>
      <c r="J522" s="6">
        <f t="shared" ref="J522" si="232">M522+P522</f>
        <v>1198</v>
      </c>
      <c r="K522" s="6">
        <f t="shared" ref="K522" si="233">N522+Q522</f>
        <v>1678</v>
      </c>
      <c r="L522" s="6">
        <f t="shared" si="204"/>
        <v>3000</v>
      </c>
      <c r="M522" s="6">
        <f t="shared" si="205"/>
        <v>3000</v>
      </c>
      <c r="N522" s="6">
        <f t="shared" si="206"/>
        <v>3000</v>
      </c>
      <c r="O522" s="6">
        <f t="shared" ref="O522" si="234">O521-R522</f>
        <v>-1627</v>
      </c>
      <c r="P522" s="6">
        <f t="shared" ref="P522" si="235">P521-S522</f>
        <v>-1802</v>
      </c>
      <c r="Q522" s="6">
        <f t="shared" ref="Q522" si="236">Q521-T522</f>
        <v>-1322</v>
      </c>
      <c r="R522" s="173">
        <v>2</v>
      </c>
      <c r="S522" s="173">
        <v>3</v>
      </c>
      <c r="T522" s="173">
        <v>2</v>
      </c>
      <c r="U522" s="25">
        <f t="shared" si="157"/>
        <v>-1407</v>
      </c>
      <c r="V522" s="25">
        <f t="shared" si="158"/>
        <v>-1592</v>
      </c>
      <c r="W522" s="25">
        <f t="shared" si="159"/>
        <v>-1182</v>
      </c>
      <c r="X522" s="15">
        <v>2.5379999999999998</v>
      </c>
      <c r="Y522" s="6"/>
      <c r="Z522" s="21">
        <f t="shared" si="164"/>
        <v>4.2299999999999995</v>
      </c>
      <c r="AA522" s="6"/>
      <c r="AB522" s="6"/>
    </row>
    <row r="523" spans="1:28" customFormat="1" ht="13.2" customHeight="1">
      <c r="A523" s="10">
        <f t="shared" si="195"/>
        <v>512</v>
      </c>
      <c r="B523" s="185" t="s">
        <v>584</v>
      </c>
      <c r="C523" s="10">
        <f t="shared" si="196"/>
        <v>1069</v>
      </c>
      <c r="D523" s="9">
        <f t="shared" si="197"/>
        <v>2301</v>
      </c>
      <c r="E523" s="26">
        <f t="shared" si="153"/>
        <v>3370</v>
      </c>
      <c r="F523" s="8">
        <f t="shared" ref="F523" si="237">C523+D523-I523</f>
        <v>1998</v>
      </c>
      <c r="G523" s="8">
        <f t="shared" ref="G523" si="238">C523+D523-J523</f>
        <v>2174</v>
      </c>
      <c r="H523" s="8">
        <f t="shared" ref="H523" si="239">D523+C523-K523</f>
        <v>1693</v>
      </c>
      <c r="I523" s="6">
        <f t="shared" ref="I523" si="240">L523+O523</f>
        <v>1372</v>
      </c>
      <c r="J523" s="6">
        <f t="shared" ref="J523" si="241">M523+P523</f>
        <v>1196</v>
      </c>
      <c r="K523" s="6">
        <f t="shared" ref="K523" si="242">N523+Q523</f>
        <v>1677</v>
      </c>
      <c r="L523" s="6">
        <f t="shared" si="204"/>
        <v>3000</v>
      </c>
      <c r="M523" s="6">
        <f t="shared" si="205"/>
        <v>3000</v>
      </c>
      <c r="N523" s="6">
        <f t="shared" si="206"/>
        <v>3000</v>
      </c>
      <c r="O523" s="6">
        <f t="shared" ref="O523" si="243">O522-R523</f>
        <v>-1628</v>
      </c>
      <c r="P523" s="6">
        <f t="shared" ref="P523" si="244">P522-S523</f>
        <v>-1804</v>
      </c>
      <c r="Q523" s="6">
        <f t="shared" ref="Q523" si="245">Q522-T523</f>
        <v>-1323</v>
      </c>
      <c r="R523" s="172">
        <v>1</v>
      </c>
      <c r="S523" s="172">
        <v>2</v>
      </c>
      <c r="T523" s="172">
        <v>1</v>
      </c>
      <c r="U523" s="25">
        <f t="shared" si="157"/>
        <v>-1408</v>
      </c>
      <c r="V523" s="25">
        <f t="shared" si="158"/>
        <v>-1594</v>
      </c>
      <c r="W523" s="25">
        <f t="shared" si="159"/>
        <v>-1183</v>
      </c>
      <c r="X523" s="15">
        <v>2.536</v>
      </c>
      <c r="Y523" s="6"/>
      <c r="Z523" s="21">
        <f t="shared" si="164"/>
        <v>4.2299999999999995</v>
      </c>
      <c r="AA523" s="6"/>
      <c r="AB523" s="6"/>
    </row>
    <row r="524" spans="1:28" customFormat="1" ht="13.2" customHeight="1">
      <c r="A524" s="10">
        <f t="shared" si="195"/>
        <v>513</v>
      </c>
      <c r="B524" s="185" t="s">
        <v>585</v>
      </c>
      <c r="C524" s="10">
        <f t="shared" si="196"/>
        <v>1069</v>
      </c>
      <c r="D524" s="9">
        <f t="shared" si="197"/>
        <v>2303</v>
      </c>
      <c r="E524" s="26">
        <f t="shared" ref="E524" si="246">C524+D524</f>
        <v>3372</v>
      </c>
      <c r="F524" s="8">
        <f t="shared" ref="F524" si="247">C524+D524-I524</f>
        <v>2001</v>
      </c>
      <c r="G524" s="8">
        <f t="shared" ref="G524" si="248">C524+D524-J524</f>
        <v>2178</v>
      </c>
      <c r="H524" s="8">
        <f t="shared" ref="H524" si="249">D524+C524-K524</f>
        <v>1696</v>
      </c>
      <c r="I524" s="6">
        <f t="shared" ref="I524" si="250">L524+O524</f>
        <v>1371</v>
      </c>
      <c r="J524" s="6">
        <f t="shared" ref="J524" si="251">M524+P524</f>
        <v>1194</v>
      </c>
      <c r="K524" s="6">
        <f t="shared" ref="K524" si="252">N524+Q524</f>
        <v>1676</v>
      </c>
      <c r="L524" s="6">
        <f t="shared" si="204"/>
        <v>3000</v>
      </c>
      <c r="M524" s="6">
        <f t="shared" si="205"/>
        <v>3000</v>
      </c>
      <c r="N524" s="6">
        <f t="shared" si="206"/>
        <v>3000</v>
      </c>
      <c r="O524" s="6">
        <f t="shared" ref="O524" si="253">O523-R524</f>
        <v>-1629</v>
      </c>
      <c r="P524" s="6">
        <f t="shared" ref="P524" si="254">P523-S524</f>
        <v>-1806</v>
      </c>
      <c r="Q524" s="6">
        <f t="shared" ref="Q524" si="255">Q523-T524</f>
        <v>-1324</v>
      </c>
      <c r="R524" s="172">
        <v>1</v>
      </c>
      <c r="S524" s="172">
        <v>2</v>
      </c>
      <c r="T524" s="172">
        <v>1</v>
      </c>
      <c r="U524" s="25">
        <f t="shared" ref="U524" si="256">U523-R524</f>
        <v>-1409</v>
      </c>
      <c r="V524" s="25">
        <f t="shared" ref="V524" si="257">V523-S524</f>
        <v>-1596</v>
      </c>
      <c r="W524" s="25">
        <f t="shared" ref="W524" si="258">W523-T524</f>
        <v>-1184</v>
      </c>
      <c r="X524" s="15">
        <v>2.5339999999999998</v>
      </c>
      <c r="Y524" s="6"/>
      <c r="Z524" s="21">
        <f t="shared" si="164"/>
        <v>4.2299999999999995</v>
      </c>
      <c r="AA524" s="6"/>
      <c r="AB524" s="6"/>
    </row>
    <row r="525" spans="1:28" customFormat="1" ht="13.2" customHeight="1">
      <c r="B525" s="186"/>
      <c r="S525" s="162"/>
    </row>
    <row r="526" spans="1:28" customFormat="1" ht="13.2" customHeight="1">
      <c r="B526" s="186"/>
      <c r="O526">
        <v>-1629</v>
      </c>
      <c r="P526">
        <v>-1806</v>
      </c>
      <c r="Q526">
        <v>-1324</v>
      </c>
      <c r="S526" s="162"/>
    </row>
    <row r="527" spans="1:28" customFormat="1" ht="13.2" customHeight="1">
      <c r="B527" s="186"/>
      <c r="R527" s="162">
        <f>O526-O524</f>
        <v>0</v>
      </c>
      <c r="S527" s="162">
        <f t="shared" ref="S527:T527" si="259">P526-P524</f>
        <v>0</v>
      </c>
      <c r="T527" s="162">
        <f t="shared" si="259"/>
        <v>0</v>
      </c>
      <c r="U527" s="162"/>
      <c r="V527" s="162"/>
      <c r="W527" s="162"/>
    </row>
    <row r="528" spans="1:28" ht="13.2" customHeight="1">
      <c r="A528" s="3"/>
      <c r="B528" s="187"/>
      <c r="D528" s="5"/>
      <c r="E528" s="5"/>
      <c r="F528" s="2"/>
      <c r="G528" s="2"/>
      <c r="H528" s="2"/>
      <c r="X528" s="4"/>
    </row>
    <row r="529" spans="1:24" ht="13.2" customHeight="1">
      <c r="A529" s="3"/>
      <c r="B529" s="187"/>
      <c r="D529" s="5"/>
      <c r="E529" s="5"/>
      <c r="F529" s="2"/>
      <c r="G529" s="2"/>
      <c r="H529" s="2"/>
      <c r="X529" s="4"/>
    </row>
    <row r="530" spans="1:24" ht="13.2" customHeight="1">
      <c r="A530" s="3"/>
      <c r="B530" s="187"/>
      <c r="D530" s="5"/>
      <c r="E530" s="5"/>
      <c r="F530" s="2"/>
      <c r="G530" s="2"/>
      <c r="H530" s="2"/>
      <c r="X530" s="4"/>
    </row>
    <row r="531" spans="1:24" ht="13.2" customHeight="1">
      <c r="A531" s="3"/>
      <c r="B531" s="187"/>
      <c r="D531" s="5"/>
      <c r="E531" s="5"/>
      <c r="F531" s="2"/>
      <c r="G531" s="2"/>
      <c r="H531" s="2"/>
      <c r="X531" s="4"/>
    </row>
    <row r="532" spans="1:24" ht="13.2" customHeight="1">
      <c r="A532" s="3"/>
      <c r="B532" s="187"/>
      <c r="D532" s="5"/>
      <c r="E532" s="5"/>
      <c r="F532" s="2"/>
      <c r="G532" s="2"/>
      <c r="H532" s="2"/>
      <c r="X532" s="4"/>
    </row>
    <row r="533" spans="1:24" ht="13.2" customHeight="1">
      <c r="A533" s="3"/>
      <c r="B533" s="187"/>
      <c r="D533" s="5"/>
      <c r="E533" s="5"/>
      <c r="F533" s="2"/>
      <c r="G533" s="2"/>
      <c r="H533" s="2"/>
      <c r="X533" s="4"/>
    </row>
    <row r="534" spans="1:24" ht="13.2" customHeight="1">
      <c r="A534" s="3"/>
      <c r="B534" s="187"/>
      <c r="D534" s="5"/>
      <c r="E534" s="5"/>
      <c r="F534" s="2"/>
      <c r="G534" s="2"/>
      <c r="H534" s="2"/>
      <c r="X534" s="4"/>
    </row>
    <row r="535" spans="1:24" ht="13.2" customHeight="1">
      <c r="A535" s="3"/>
      <c r="B535" s="187"/>
      <c r="D535" s="5"/>
      <c r="E535" s="5"/>
      <c r="F535" s="2"/>
      <c r="G535" s="2"/>
      <c r="H535" s="2"/>
      <c r="X535" s="4"/>
    </row>
    <row r="536" spans="1:24" ht="13.2" customHeight="1">
      <c r="A536" s="3"/>
      <c r="B536" s="187"/>
      <c r="D536" s="5"/>
      <c r="E536" s="5"/>
      <c r="F536" s="2"/>
      <c r="G536" s="2"/>
      <c r="H536" s="2"/>
      <c r="X536" s="4"/>
    </row>
    <row r="537" spans="1:24" ht="13.2" customHeight="1">
      <c r="A537" s="3"/>
      <c r="B537" s="187"/>
      <c r="D537" s="5"/>
      <c r="E537" s="5"/>
      <c r="F537" s="2"/>
      <c r="G537" s="2"/>
      <c r="H537" s="2"/>
      <c r="X537" s="4"/>
    </row>
    <row r="538" spans="1:24" ht="13.2" customHeight="1">
      <c r="A538" s="3"/>
      <c r="B538" s="187"/>
      <c r="D538" s="5"/>
      <c r="E538" s="5"/>
      <c r="F538" s="2"/>
      <c r="G538" s="2"/>
      <c r="H538" s="2"/>
      <c r="X538" s="4"/>
    </row>
    <row r="539" spans="1:24" ht="13.2" customHeight="1">
      <c r="A539" s="3"/>
      <c r="B539" s="187"/>
      <c r="D539" s="5"/>
      <c r="E539" s="5"/>
      <c r="F539" s="2"/>
      <c r="G539" s="2"/>
      <c r="H539" s="2"/>
      <c r="X539" s="4"/>
    </row>
    <row r="540" spans="1:24" ht="13.2" customHeight="1">
      <c r="A540" s="3"/>
      <c r="B540" s="187"/>
      <c r="D540" s="5"/>
      <c r="E540" s="5"/>
      <c r="F540" s="2"/>
      <c r="G540" s="2"/>
      <c r="H540" s="2"/>
      <c r="X540" s="4"/>
    </row>
    <row r="541" spans="1:24" ht="13.2" customHeight="1">
      <c r="A541" s="3"/>
      <c r="B541" s="187"/>
      <c r="D541" s="5"/>
      <c r="E541" s="5"/>
      <c r="F541" s="2"/>
      <c r="G541" s="2"/>
      <c r="H541" s="2"/>
      <c r="X541" s="4"/>
    </row>
    <row r="542" spans="1:24" ht="13.2" customHeight="1">
      <c r="A542" s="3"/>
      <c r="B542" s="187"/>
      <c r="D542" s="5"/>
      <c r="E542" s="5"/>
      <c r="F542" s="2"/>
      <c r="G542" s="2"/>
      <c r="H542" s="2"/>
      <c r="X542" s="4"/>
    </row>
    <row r="543" spans="1:24" ht="13.2" customHeight="1">
      <c r="A543" s="3"/>
      <c r="B543" s="187"/>
      <c r="D543" s="5"/>
      <c r="E543" s="5"/>
      <c r="F543" s="2"/>
      <c r="G543" s="2"/>
      <c r="H543" s="2"/>
      <c r="X543" s="4"/>
    </row>
    <row r="544" spans="1:24" ht="13.2" customHeight="1">
      <c r="A544" s="3"/>
      <c r="B544" s="187"/>
      <c r="D544" s="5"/>
      <c r="E544" s="5"/>
      <c r="F544" s="2"/>
      <c r="G544" s="2"/>
      <c r="H544" s="2"/>
      <c r="X544" s="4"/>
    </row>
    <row r="545" spans="1:24" ht="13.2" customHeight="1">
      <c r="A545" s="3"/>
      <c r="B545" s="187"/>
      <c r="D545" s="5"/>
      <c r="E545" s="5"/>
      <c r="F545" s="2"/>
      <c r="G545" s="2"/>
      <c r="H545" s="2"/>
      <c r="X545" s="4"/>
    </row>
    <row r="546" spans="1:24" ht="13.2" customHeight="1">
      <c r="A546" s="3"/>
      <c r="B546" s="187"/>
      <c r="D546" s="5"/>
      <c r="E546" s="5"/>
      <c r="F546" s="2"/>
      <c r="G546" s="2"/>
      <c r="H546" s="2"/>
      <c r="X546" s="4"/>
    </row>
    <row r="547" spans="1:24" ht="13.2" customHeight="1">
      <c r="A547" s="3"/>
      <c r="B547" s="187"/>
      <c r="D547" s="5"/>
      <c r="E547" s="5"/>
      <c r="F547" s="2"/>
      <c r="G547" s="2"/>
      <c r="H547" s="2"/>
      <c r="X547" s="4"/>
    </row>
    <row r="548" spans="1:24" ht="13.2" customHeight="1">
      <c r="A548" s="3"/>
      <c r="B548" s="187"/>
      <c r="D548" s="5"/>
      <c r="E548" s="5"/>
      <c r="F548" s="2"/>
      <c r="G548" s="2"/>
      <c r="H548" s="2"/>
      <c r="X548" s="4"/>
    </row>
    <row r="549" spans="1:24" ht="13.2" customHeight="1">
      <c r="A549" s="3"/>
      <c r="B549" s="187"/>
      <c r="D549" s="5"/>
      <c r="E549" s="5"/>
      <c r="F549" s="2"/>
      <c r="G549" s="2"/>
      <c r="H549" s="2"/>
      <c r="X549" s="4"/>
    </row>
    <row r="550" spans="1:24" ht="13.2" customHeight="1">
      <c r="A550" s="3"/>
      <c r="B550" s="187"/>
      <c r="D550" s="5"/>
      <c r="E550" s="5"/>
      <c r="F550" s="2"/>
      <c r="G550" s="2"/>
      <c r="H550" s="2"/>
      <c r="X550" s="4"/>
    </row>
    <row r="551" spans="1:24" ht="13.2" customHeight="1">
      <c r="A551" s="3"/>
      <c r="B551" s="187"/>
      <c r="D551" s="5"/>
      <c r="E551" s="5"/>
      <c r="F551" s="2"/>
      <c r="G551" s="2"/>
      <c r="H551" s="2"/>
      <c r="X551" s="4"/>
    </row>
    <row r="552" spans="1:24" ht="13.2" customHeight="1">
      <c r="A552" s="3"/>
      <c r="B552" s="187"/>
      <c r="D552" s="5"/>
      <c r="E552" s="5"/>
      <c r="F552" s="2"/>
      <c r="G552" s="2"/>
      <c r="H552" s="2"/>
      <c r="X552" s="4"/>
    </row>
    <row r="553" spans="1:24" ht="13.2" customHeight="1">
      <c r="A553" s="3"/>
      <c r="B553" s="187"/>
      <c r="D553" s="5"/>
      <c r="E553" s="5"/>
      <c r="F553" s="2"/>
      <c r="G553" s="2"/>
      <c r="H553" s="2"/>
      <c r="X553" s="4"/>
    </row>
    <row r="554" spans="1:24" ht="13.2" customHeight="1">
      <c r="A554" s="3"/>
      <c r="B554" s="187"/>
      <c r="D554" s="5"/>
      <c r="E554" s="5"/>
      <c r="F554" s="2"/>
      <c r="G554" s="2"/>
      <c r="H554" s="2"/>
      <c r="X554" s="4"/>
    </row>
    <row r="555" spans="1:24" ht="13.2" customHeight="1">
      <c r="A555" s="3"/>
      <c r="B555" s="187"/>
      <c r="D555" s="5"/>
      <c r="E555" s="5"/>
      <c r="F555" s="2"/>
      <c r="G555" s="2"/>
      <c r="H555" s="2"/>
      <c r="X555" s="4"/>
    </row>
    <row r="556" spans="1:24" ht="13.2" customHeight="1">
      <c r="A556" s="3"/>
      <c r="B556" s="187"/>
      <c r="D556" s="5"/>
      <c r="E556" s="5"/>
      <c r="F556" s="2"/>
      <c r="G556" s="2"/>
      <c r="H556" s="2"/>
      <c r="X556" s="4"/>
    </row>
    <row r="557" spans="1:24" ht="13.2" customHeight="1">
      <c r="A557" s="3"/>
      <c r="B557" s="187"/>
      <c r="D557" s="5"/>
      <c r="E557" s="5"/>
      <c r="F557" s="2"/>
      <c r="G557" s="2"/>
      <c r="H557" s="2"/>
      <c r="X557" s="4"/>
    </row>
    <row r="558" spans="1:24" ht="13.2" customHeight="1">
      <c r="A558" s="3"/>
      <c r="B558" s="187"/>
      <c r="D558" s="5"/>
      <c r="E558" s="5"/>
      <c r="F558" s="2"/>
      <c r="G558" s="2"/>
      <c r="H558" s="2"/>
      <c r="X558" s="4"/>
    </row>
    <row r="559" spans="1:24" ht="13.2" customHeight="1">
      <c r="A559" s="3"/>
      <c r="B559" s="187"/>
      <c r="D559" s="5"/>
      <c r="E559" s="5"/>
      <c r="F559" s="2"/>
      <c r="G559" s="2"/>
      <c r="H559" s="2"/>
      <c r="X559" s="4"/>
    </row>
    <row r="560" spans="1:24" ht="13.2" customHeight="1">
      <c r="A560" s="3"/>
      <c r="B560" s="187"/>
      <c r="D560" s="5"/>
      <c r="E560" s="5"/>
      <c r="F560" s="2"/>
      <c r="G560" s="2"/>
      <c r="H560" s="2"/>
      <c r="X560" s="4"/>
    </row>
    <row r="561" spans="1:24" ht="13.2" customHeight="1">
      <c r="A561" s="3"/>
      <c r="B561" s="187"/>
      <c r="D561" s="5"/>
      <c r="E561" s="5"/>
      <c r="F561" s="2"/>
      <c r="G561" s="2"/>
      <c r="H561" s="2"/>
      <c r="X561" s="4"/>
    </row>
    <row r="562" spans="1:24" ht="13.2" customHeight="1">
      <c r="A562" s="3"/>
      <c r="B562" s="187"/>
      <c r="D562" s="5"/>
      <c r="E562" s="5"/>
      <c r="F562" s="2"/>
      <c r="G562" s="2"/>
      <c r="H562" s="2"/>
      <c r="X562" s="4"/>
    </row>
    <row r="563" spans="1:24" ht="13.2" customHeight="1">
      <c r="A563" s="3"/>
      <c r="B563" s="187"/>
      <c r="D563" s="5"/>
      <c r="E563" s="5"/>
      <c r="F563" s="2"/>
      <c r="G563" s="2"/>
      <c r="H563" s="2"/>
      <c r="X563" s="4"/>
    </row>
    <row r="564" spans="1:24" ht="13.2" customHeight="1">
      <c r="A564" s="3"/>
      <c r="B564" s="187"/>
      <c r="D564" s="5"/>
      <c r="E564" s="5"/>
      <c r="F564" s="2"/>
      <c r="G564" s="2"/>
      <c r="H564" s="2"/>
      <c r="X564" s="4"/>
    </row>
    <row r="565" spans="1:24" ht="13.2" customHeight="1">
      <c r="A565" s="3"/>
      <c r="B565" s="187"/>
      <c r="D565" s="5"/>
      <c r="E565" s="5"/>
      <c r="F565" s="2"/>
      <c r="G565" s="2"/>
      <c r="H565" s="2"/>
      <c r="X565" s="4"/>
    </row>
    <row r="566" spans="1:24" ht="13.2" customHeight="1">
      <c r="A566" s="3"/>
      <c r="B566" s="187"/>
      <c r="D566" s="5"/>
      <c r="E566" s="5"/>
      <c r="F566" s="2"/>
      <c r="G566" s="2"/>
      <c r="H566" s="2"/>
      <c r="X566" s="4"/>
    </row>
    <row r="567" spans="1:24" ht="13.2" customHeight="1">
      <c r="A567" s="3"/>
      <c r="B567" s="187"/>
      <c r="D567" s="5"/>
      <c r="E567" s="5"/>
      <c r="F567" s="2"/>
      <c r="G567" s="2"/>
      <c r="H567" s="2"/>
      <c r="X567" s="4"/>
    </row>
    <row r="568" spans="1:24" ht="13.2" customHeight="1">
      <c r="A568" s="3"/>
      <c r="B568" s="187"/>
      <c r="D568" s="5"/>
      <c r="E568" s="5"/>
      <c r="F568" s="2"/>
      <c r="G568" s="2"/>
      <c r="H568" s="2"/>
      <c r="X568" s="4"/>
    </row>
    <row r="569" spans="1:24" ht="13.2" customHeight="1">
      <c r="A569" s="3"/>
      <c r="B569" s="187"/>
      <c r="D569" s="5"/>
      <c r="E569" s="5"/>
      <c r="F569" s="2"/>
      <c r="G569" s="2"/>
      <c r="H569" s="2"/>
      <c r="X569" s="4"/>
    </row>
    <row r="570" spans="1:24" ht="13.2" customHeight="1">
      <c r="A570" s="3"/>
      <c r="B570" s="187"/>
      <c r="D570" s="5"/>
      <c r="E570" s="5"/>
      <c r="F570" s="2"/>
      <c r="G570" s="2"/>
      <c r="H570" s="2"/>
      <c r="X570" s="4"/>
    </row>
    <row r="571" spans="1:24" ht="13.2" customHeight="1">
      <c r="A571" s="3"/>
      <c r="B571" s="187"/>
      <c r="D571" s="5"/>
      <c r="E571" s="5"/>
      <c r="F571" s="2"/>
      <c r="G571" s="2"/>
      <c r="H571" s="2"/>
      <c r="X571" s="4"/>
    </row>
    <row r="572" spans="1:24" ht="13.2" customHeight="1">
      <c r="A572" s="3"/>
      <c r="B572" s="187"/>
      <c r="D572" s="5"/>
      <c r="E572" s="5"/>
      <c r="F572" s="2"/>
      <c r="G572" s="2"/>
      <c r="H572" s="2"/>
      <c r="X572" s="4"/>
    </row>
    <row r="573" spans="1:24" ht="13.2" customHeight="1">
      <c r="A573" s="3"/>
      <c r="B573" s="187"/>
      <c r="D573" s="5"/>
      <c r="E573" s="5"/>
      <c r="F573" s="2"/>
      <c r="G573" s="2"/>
      <c r="H573" s="2"/>
      <c r="X573" s="4"/>
    </row>
    <row r="574" spans="1:24" ht="13.2" customHeight="1">
      <c r="A574" s="3"/>
      <c r="B574" s="187"/>
      <c r="D574" s="5"/>
      <c r="E574" s="5"/>
      <c r="F574" s="2"/>
      <c r="G574" s="2"/>
      <c r="H574" s="2"/>
      <c r="X574" s="4"/>
    </row>
    <row r="575" spans="1:24" ht="13.2" customHeight="1">
      <c r="A575" s="3"/>
      <c r="B575" s="187"/>
      <c r="D575" s="5"/>
      <c r="E575" s="5"/>
      <c r="F575" s="2"/>
      <c r="G575" s="2"/>
      <c r="H575" s="2"/>
      <c r="X575" s="4"/>
    </row>
    <row r="576" spans="1:24" ht="13.2" customHeight="1">
      <c r="A576" s="3"/>
      <c r="B576" s="187"/>
      <c r="D576" s="5"/>
      <c r="E576" s="5"/>
      <c r="F576" s="2"/>
      <c r="G576" s="2"/>
      <c r="H576" s="2"/>
      <c r="X576" s="4"/>
    </row>
    <row r="577" spans="1:24" ht="13.2" customHeight="1">
      <c r="A577" s="3"/>
      <c r="B577" s="187"/>
      <c r="D577" s="5"/>
      <c r="E577" s="5"/>
      <c r="F577" s="2"/>
      <c r="G577" s="2"/>
      <c r="H577" s="2"/>
      <c r="X577" s="4"/>
    </row>
    <row r="578" spans="1:24" ht="13.2" customHeight="1">
      <c r="A578" s="3"/>
      <c r="B578" s="187"/>
      <c r="D578" s="5"/>
      <c r="E578" s="5"/>
      <c r="F578" s="2"/>
      <c r="G578" s="2"/>
      <c r="H578" s="2"/>
      <c r="X578" s="4"/>
    </row>
    <row r="579" spans="1:24" ht="13.2" customHeight="1">
      <c r="A579" s="3"/>
      <c r="B579" s="187"/>
      <c r="D579" s="5"/>
      <c r="E579" s="5"/>
      <c r="F579" s="2"/>
      <c r="G579" s="2"/>
      <c r="H579" s="2"/>
      <c r="X579" s="4"/>
    </row>
    <row r="580" spans="1:24" ht="13.2" customHeight="1">
      <c r="A580" s="3"/>
      <c r="B580" s="187"/>
      <c r="D580" s="5"/>
      <c r="E580" s="5"/>
      <c r="F580" s="2"/>
      <c r="G580" s="2"/>
      <c r="H580" s="2"/>
      <c r="X580" s="4"/>
    </row>
    <row r="581" spans="1:24" ht="13.2" customHeight="1">
      <c r="A581" s="3"/>
      <c r="B581" s="187"/>
      <c r="D581" s="5"/>
      <c r="E581" s="5"/>
      <c r="F581" s="2"/>
      <c r="G581" s="2"/>
      <c r="H581" s="2"/>
      <c r="X581" s="4"/>
    </row>
    <row r="582" spans="1:24" ht="13.2" customHeight="1">
      <c r="A582" s="3"/>
      <c r="B582" s="187"/>
      <c r="D582" s="5"/>
      <c r="E582" s="5"/>
      <c r="F582" s="2"/>
      <c r="G582" s="2"/>
      <c r="H582" s="2"/>
      <c r="X582" s="4"/>
    </row>
    <row r="583" spans="1:24" ht="13.2" customHeight="1">
      <c r="A583" s="3"/>
      <c r="B583" s="187"/>
      <c r="D583" s="5"/>
      <c r="E583" s="5"/>
      <c r="F583" s="2"/>
      <c r="G583" s="2"/>
      <c r="H583" s="2"/>
      <c r="X583" s="4"/>
    </row>
    <row r="584" spans="1:24" ht="13.2" customHeight="1">
      <c r="A584" s="3"/>
      <c r="B584" s="187"/>
      <c r="D584" s="5"/>
      <c r="E584" s="5"/>
      <c r="F584" s="2"/>
      <c r="G584" s="2"/>
      <c r="H584" s="2"/>
      <c r="X584" s="4"/>
    </row>
    <row r="585" spans="1:24" ht="13.2" customHeight="1">
      <c r="A585" s="3"/>
      <c r="B585" s="187"/>
      <c r="D585" s="5"/>
      <c r="E585" s="5"/>
      <c r="F585" s="2"/>
      <c r="G585" s="2"/>
      <c r="H585" s="2"/>
      <c r="X585" s="4"/>
    </row>
    <row r="586" spans="1:24" ht="13.2" customHeight="1">
      <c r="A586" s="3"/>
      <c r="B586" s="187"/>
      <c r="D586" s="5"/>
      <c r="E586" s="5"/>
      <c r="F586" s="2"/>
      <c r="G586" s="2"/>
      <c r="H586" s="2"/>
      <c r="X586" s="4"/>
    </row>
    <row r="587" spans="1:24" ht="13.2" customHeight="1">
      <c r="A587" s="3"/>
      <c r="B587" s="187"/>
      <c r="D587" s="5"/>
      <c r="E587" s="5"/>
      <c r="F587" s="2"/>
      <c r="G587" s="2"/>
      <c r="H587" s="2"/>
      <c r="X587" s="4"/>
    </row>
    <row r="588" spans="1:24" ht="13.2" customHeight="1">
      <c r="A588" s="3"/>
      <c r="B588" s="187"/>
      <c r="D588" s="5"/>
      <c r="E588" s="5"/>
      <c r="F588" s="2"/>
      <c r="G588" s="2"/>
      <c r="H588" s="2"/>
      <c r="X588" s="4"/>
    </row>
    <row r="589" spans="1:24" ht="13.2" customHeight="1">
      <c r="A589" s="3"/>
      <c r="B589" s="187"/>
      <c r="D589" s="5"/>
      <c r="E589" s="5"/>
      <c r="F589" s="2"/>
      <c r="G589" s="2"/>
      <c r="H589" s="2"/>
      <c r="X589" s="4"/>
    </row>
    <row r="590" spans="1:24" ht="13.2" customHeight="1">
      <c r="A590" s="3"/>
      <c r="B590" s="187"/>
      <c r="D590" s="5"/>
      <c r="E590" s="5"/>
      <c r="F590" s="2"/>
      <c r="G590" s="2"/>
      <c r="H590" s="2"/>
      <c r="X590" s="4"/>
    </row>
    <row r="591" spans="1:24" ht="13.2" customHeight="1">
      <c r="A591" s="3"/>
      <c r="B591" s="187"/>
      <c r="D591" s="5"/>
      <c r="E591" s="5"/>
      <c r="F591" s="2"/>
      <c r="G591" s="2"/>
      <c r="H591" s="2"/>
      <c r="X591" s="4"/>
    </row>
    <row r="592" spans="1:24" ht="13.2" customHeight="1">
      <c r="A592" s="3"/>
      <c r="B592" s="187"/>
      <c r="D592" s="5"/>
      <c r="E592" s="5"/>
      <c r="F592" s="2"/>
      <c r="G592" s="2"/>
      <c r="H592" s="2"/>
      <c r="X592" s="4"/>
    </row>
    <row r="593" spans="1:24" ht="13.2" customHeight="1">
      <c r="A593" s="3"/>
      <c r="B593" s="187"/>
      <c r="D593" s="5"/>
      <c r="E593" s="5"/>
      <c r="F593" s="2"/>
      <c r="G593" s="2"/>
      <c r="H593" s="2"/>
      <c r="X593" s="4"/>
    </row>
    <row r="594" spans="1:24" ht="13.2" customHeight="1">
      <c r="A594" s="3"/>
      <c r="B594" s="187"/>
      <c r="D594" s="5"/>
      <c r="E594" s="5"/>
      <c r="F594" s="2"/>
      <c r="G594" s="2"/>
      <c r="H594" s="2"/>
      <c r="X594" s="4"/>
    </row>
    <row r="595" spans="1:24" ht="13.2" customHeight="1">
      <c r="A595" s="3"/>
      <c r="B595" s="187"/>
      <c r="D595" s="5"/>
      <c r="E595" s="5"/>
      <c r="F595" s="2"/>
      <c r="G595" s="2"/>
      <c r="H595" s="2"/>
      <c r="X595" s="4"/>
    </row>
    <row r="596" spans="1:24" ht="13.2" customHeight="1">
      <c r="A596" s="3"/>
      <c r="B596" s="187"/>
      <c r="D596" s="5"/>
      <c r="E596" s="5"/>
      <c r="F596" s="2"/>
      <c r="G596" s="2"/>
      <c r="H596" s="2"/>
      <c r="X596" s="4"/>
    </row>
    <row r="597" spans="1:24" ht="13.2" customHeight="1">
      <c r="A597" s="3"/>
      <c r="B597" s="187"/>
      <c r="D597" s="5"/>
      <c r="E597" s="5"/>
      <c r="F597" s="2"/>
      <c r="G597" s="2"/>
      <c r="H597" s="2"/>
      <c r="X597" s="4"/>
    </row>
    <row r="598" spans="1:24" ht="13.2" customHeight="1">
      <c r="A598" s="3"/>
      <c r="B598" s="187"/>
      <c r="D598" s="5"/>
      <c r="E598" s="5"/>
      <c r="F598" s="2"/>
      <c r="G598" s="2"/>
      <c r="H598" s="2"/>
      <c r="X598" s="4"/>
    </row>
    <row r="599" spans="1:24" ht="13.2" customHeight="1">
      <c r="A599" s="3"/>
      <c r="B599" s="187"/>
      <c r="D599" s="5"/>
      <c r="E599" s="5"/>
      <c r="F599" s="2"/>
      <c r="G599" s="2"/>
      <c r="H599" s="2"/>
      <c r="X599" s="4"/>
    </row>
    <row r="600" spans="1:24" ht="13.2" customHeight="1">
      <c r="A600" s="3"/>
      <c r="B600" s="187"/>
      <c r="D600" s="5"/>
      <c r="E600" s="5"/>
      <c r="F600" s="2"/>
      <c r="G600" s="2"/>
      <c r="H600" s="2"/>
      <c r="X600" s="4"/>
    </row>
    <row r="601" spans="1:24" ht="13.2" customHeight="1">
      <c r="A601" s="3"/>
      <c r="B601" s="187"/>
      <c r="D601" s="5"/>
      <c r="E601" s="5"/>
      <c r="F601" s="2"/>
      <c r="G601" s="2"/>
      <c r="H601" s="2"/>
      <c r="X601" s="4"/>
    </row>
    <row r="602" spans="1:24" ht="13.2" customHeight="1">
      <c r="A602" s="3"/>
      <c r="B602" s="187"/>
      <c r="D602" s="5"/>
      <c r="E602" s="5"/>
      <c r="F602" s="2"/>
      <c r="G602" s="2"/>
      <c r="H602" s="2"/>
      <c r="X602" s="4"/>
    </row>
    <row r="603" spans="1:24" ht="13.2" customHeight="1">
      <c r="A603" s="3"/>
      <c r="B603" s="187"/>
      <c r="D603" s="5"/>
      <c r="E603" s="5"/>
      <c r="F603" s="2"/>
      <c r="G603" s="2"/>
      <c r="H603" s="2"/>
      <c r="X603" s="4"/>
    </row>
    <row r="604" spans="1:24" ht="13.2" customHeight="1">
      <c r="A604" s="3"/>
      <c r="B604" s="187"/>
      <c r="D604" s="5"/>
      <c r="E604" s="5"/>
      <c r="F604" s="2"/>
      <c r="G604" s="2"/>
      <c r="H604" s="2"/>
      <c r="X604" s="4"/>
    </row>
    <row r="605" spans="1:24" ht="13.2" customHeight="1">
      <c r="A605" s="3"/>
      <c r="B605" s="187"/>
      <c r="D605" s="5"/>
      <c r="E605" s="5"/>
      <c r="F605" s="2"/>
      <c r="G605" s="2"/>
      <c r="H605" s="2"/>
      <c r="X605" s="4"/>
    </row>
    <row r="606" spans="1:24" ht="13.2" customHeight="1">
      <c r="A606" s="3"/>
      <c r="B606" s="187"/>
      <c r="D606" s="5"/>
      <c r="E606" s="5"/>
      <c r="F606" s="2"/>
      <c r="G606" s="2"/>
      <c r="H606" s="2"/>
      <c r="X606" s="4"/>
    </row>
  </sheetData>
  <mergeCells count="20">
    <mergeCell ref="R8:T8"/>
    <mergeCell ref="J3:S3"/>
    <mergeCell ref="T3:AB3"/>
    <mergeCell ref="Y8:Y10"/>
    <mergeCell ref="AA8:AA10"/>
    <mergeCell ref="A1:AB1"/>
    <mergeCell ref="AB8:AB10"/>
    <mergeCell ref="A2:I2"/>
    <mergeCell ref="J2:S2"/>
    <mergeCell ref="T2:AB2"/>
    <mergeCell ref="I8:K8"/>
    <mergeCell ref="L8:N8"/>
    <mergeCell ref="A8:A10"/>
    <mergeCell ref="C8:C10"/>
    <mergeCell ref="A3:I3"/>
    <mergeCell ref="A4:AB4"/>
    <mergeCell ref="Z8:Z10"/>
    <mergeCell ref="D8:D10"/>
    <mergeCell ref="F8:H8"/>
    <mergeCell ref="O8:Q8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6" fitToHeight="0" orientation="landscape" blackAndWhite="1" r:id="rId1"/>
  <rowBreaks count="3" manualBreakCount="3">
    <brk id="388" max="27" man="1"/>
    <brk id="458" max="27" man="1"/>
    <brk id="529" max="27" man="1"/>
  </rowBreaks>
  <colBreaks count="1" manualBreakCount="1">
    <brk id="28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45A9A-18A0-44F8-B4B9-5C832EF9AFD5}">
  <sheetPr codeName="Sheet23">
    <tabColor rgb="FFFFFF00"/>
    <pageSetUpPr fitToPage="1"/>
  </sheetPr>
  <dimension ref="A1:AF533"/>
  <sheetViews>
    <sheetView topLeftCell="B1" zoomScale="80" zoomScaleNormal="80" zoomScaleSheetLayoutView="80" workbookViewId="0">
      <pane ySplit="12" topLeftCell="A518" activePane="bottomLeft" state="frozen"/>
      <selection activeCell="Q458" sqref="Q458:R476"/>
      <selection pane="bottomLeft" activeCell="B526" sqref="B526:AC533"/>
    </sheetView>
  </sheetViews>
  <sheetFormatPr defaultColWidth="9.109375" defaultRowHeight="15.6"/>
  <cols>
    <col min="1" max="1" width="6.44140625" style="41" hidden="1" customWidth="1"/>
    <col min="2" max="2" width="11.88671875" style="53" customWidth="1"/>
    <col min="3" max="3" width="9.33203125" style="52" customWidth="1"/>
    <col min="4" max="4" width="7.44140625" style="52" customWidth="1"/>
    <col min="5" max="5" width="9.44140625" style="51" customWidth="1"/>
    <col min="6" max="6" width="8.33203125" style="51" customWidth="1"/>
    <col min="7" max="8" width="8.109375" style="50" customWidth="1"/>
    <col min="9" max="9" width="9.109375" style="50" customWidth="1"/>
    <col min="10" max="10" width="11.109375" style="49" bestFit="1" customWidth="1"/>
    <col min="11" max="12" width="8.109375" style="48" customWidth="1"/>
    <col min="13" max="13" width="8.109375" style="47" customWidth="1"/>
    <col min="14" max="14" width="8.109375" style="48" customWidth="1"/>
    <col min="15" max="15" width="8.88671875" style="48" customWidth="1"/>
    <col min="16" max="17" width="8.109375" style="47" customWidth="1"/>
    <col min="18" max="18" width="8.109375" style="48" customWidth="1"/>
    <col min="19" max="20" width="8.109375" style="47" customWidth="1"/>
    <col min="21" max="21" width="9.44140625" style="47" customWidth="1"/>
    <col min="22" max="22" width="8.109375" style="45" customWidth="1"/>
    <col min="23" max="23" width="8.109375" style="46" customWidth="1"/>
    <col min="24" max="24" width="6.5546875" style="45" customWidth="1"/>
    <col min="25" max="25" width="5.6640625" style="44" hidden="1" customWidth="1"/>
    <col min="26" max="26" width="10.109375" style="42" bestFit="1" customWidth="1"/>
    <col min="27" max="27" width="9.109375" style="43"/>
    <col min="28" max="28" width="9.109375" style="43" customWidth="1"/>
    <col min="29" max="30" width="9.109375" style="43"/>
    <col min="31" max="31" width="9.109375" style="42"/>
    <col min="32" max="16384" width="9.109375" style="41"/>
  </cols>
  <sheetData>
    <row r="1" spans="1:31" ht="24" customHeight="1" thickTop="1">
      <c r="A1" s="122">
        <v>13</v>
      </c>
      <c r="B1" s="239" t="s">
        <v>37</v>
      </c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  <c r="AA1" s="240"/>
      <c r="AB1" s="241"/>
    </row>
    <row r="2" spans="1:31" s="104" customFormat="1" ht="24" customHeight="1">
      <c r="A2" s="111"/>
      <c r="B2" s="242" t="s">
        <v>36</v>
      </c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4"/>
      <c r="AC2" s="43"/>
      <c r="AD2" s="43"/>
      <c r="AE2" s="43"/>
    </row>
    <row r="3" spans="1:31" s="104" customFormat="1" ht="24" customHeight="1">
      <c r="A3" s="111"/>
      <c r="B3" s="242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4"/>
      <c r="AC3" s="43"/>
      <c r="AD3" s="43"/>
      <c r="AE3" s="43"/>
    </row>
    <row r="4" spans="1:31" s="104" customFormat="1" ht="24" customHeight="1">
      <c r="A4" s="111"/>
      <c r="B4" s="197" t="s">
        <v>35</v>
      </c>
      <c r="C4" s="198"/>
      <c r="D4" s="198"/>
      <c r="E4" s="198"/>
      <c r="F4" s="198"/>
      <c r="G4" s="198"/>
      <c r="H4" s="198"/>
      <c r="I4" s="199"/>
      <c r="J4" s="245" t="s">
        <v>34</v>
      </c>
      <c r="K4" s="246"/>
      <c r="L4" s="246"/>
      <c r="M4" s="246"/>
      <c r="N4" s="246"/>
      <c r="O4" s="246"/>
      <c r="P4" s="246"/>
      <c r="Q4" s="246"/>
      <c r="R4" s="246"/>
      <c r="S4" s="247"/>
      <c r="T4" s="245" t="s">
        <v>33</v>
      </c>
      <c r="U4" s="246"/>
      <c r="V4" s="246"/>
      <c r="W4" s="246"/>
      <c r="X4" s="246"/>
      <c r="Y4" s="246"/>
      <c r="Z4" s="246"/>
      <c r="AA4" s="246"/>
      <c r="AB4" s="247"/>
      <c r="AC4" s="43"/>
      <c r="AD4" s="43"/>
      <c r="AE4" s="43"/>
    </row>
    <row r="5" spans="1:31" s="104" customFormat="1" ht="37.5" customHeight="1">
      <c r="A5" s="111"/>
      <c r="B5" s="206" t="s">
        <v>32</v>
      </c>
      <c r="C5" s="207"/>
      <c r="D5" s="207"/>
      <c r="E5" s="207"/>
      <c r="F5" s="207"/>
      <c r="G5" s="207"/>
      <c r="H5" s="207"/>
      <c r="I5" s="208"/>
      <c r="J5" s="222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K5" s="223"/>
      <c r="L5" s="223"/>
      <c r="M5" s="223"/>
      <c r="N5" s="223"/>
      <c r="O5" s="223"/>
      <c r="P5" s="223"/>
      <c r="Q5" s="223"/>
      <c r="R5" s="223"/>
      <c r="S5" s="224"/>
      <c r="T5" s="225" t="s">
        <v>31</v>
      </c>
      <c r="U5" s="226"/>
      <c r="V5" s="226"/>
      <c r="W5" s="226"/>
      <c r="X5" s="226"/>
      <c r="Y5" s="226"/>
      <c r="Z5" s="226"/>
      <c r="AA5" s="226"/>
      <c r="AB5" s="227"/>
      <c r="AC5" s="43"/>
      <c r="AD5" s="43"/>
      <c r="AE5" s="43"/>
    </row>
    <row r="6" spans="1:31" s="104" customFormat="1" ht="24" customHeight="1">
      <c r="A6" s="111"/>
      <c r="B6" s="228" t="s">
        <v>30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  <c r="Y6" s="229"/>
      <c r="Z6" s="229"/>
      <c r="AA6" s="229"/>
      <c r="AB6" s="230"/>
      <c r="AC6" s="43"/>
      <c r="AD6" s="43"/>
      <c r="AE6" s="43"/>
    </row>
    <row r="7" spans="1:31" s="104" customFormat="1" ht="13.8">
      <c r="A7" s="111"/>
      <c r="B7" s="40" t="s">
        <v>29</v>
      </c>
      <c r="C7" s="38">
        <f>'115+040'!C5</f>
        <v>0</v>
      </c>
      <c r="D7" s="38"/>
      <c r="E7" s="38"/>
      <c r="F7" s="38"/>
      <c r="G7" s="38"/>
      <c r="H7" s="38"/>
      <c r="I7" s="38"/>
      <c r="J7" s="38"/>
      <c r="K7" s="39"/>
      <c r="L7" s="39" t="s">
        <v>28</v>
      </c>
      <c r="M7" s="39"/>
      <c r="N7" s="39">
        <f>'115+040'!N5</f>
        <v>0</v>
      </c>
      <c r="O7" s="39"/>
      <c r="P7" s="38"/>
      <c r="Q7" s="38"/>
      <c r="R7" s="38"/>
      <c r="S7" s="38"/>
      <c r="T7" s="38"/>
      <c r="U7" s="38"/>
      <c r="V7" s="37"/>
      <c r="W7" s="37"/>
      <c r="X7" s="37"/>
      <c r="Y7" s="37"/>
      <c r="Z7" s="37"/>
      <c r="AA7" s="121"/>
      <c r="AB7" s="120"/>
      <c r="AC7" s="43"/>
      <c r="AD7" s="43"/>
      <c r="AE7" s="43"/>
    </row>
    <row r="8" spans="1:31" s="104" customFormat="1" ht="13.8">
      <c r="A8" s="111"/>
      <c r="B8" s="34" t="s">
        <v>27</v>
      </c>
      <c r="C8" s="32" t="str">
        <f>'115+040'!C6</f>
        <v>Nắng</v>
      </c>
      <c r="D8" s="32"/>
      <c r="E8" s="32"/>
      <c r="F8" s="32"/>
      <c r="G8" s="32"/>
      <c r="H8" s="32"/>
      <c r="I8" s="32"/>
      <c r="J8" s="32"/>
      <c r="K8" s="33"/>
      <c r="L8" s="33" t="s">
        <v>25</v>
      </c>
      <c r="M8" s="33"/>
      <c r="N8" s="33">
        <f>'115+040'!N6</f>
        <v>1069</v>
      </c>
      <c r="O8" s="33"/>
      <c r="P8" s="32"/>
      <c r="Q8" s="32"/>
      <c r="R8" s="32"/>
      <c r="S8" s="32"/>
      <c r="T8" s="32"/>
      <c r="U8" s="32"/>
      <c r="V8" s="31"/>
      <c r="W8" s="31"/>
      <c r="X8" s="31"/>
      <c r="Y8" s="31"/>
      <c r="Z8" s="31"/>
      <c r="AA8" s="119"/>
      <c r="AB8" s="118"/>
      <c r="AC8" s="43"/>
      <c r="AD8" s="43"/>
      <c r="AE8" s="43"/>
    </row>
    <row r="9" spans="1:31" s="104" customFormat="1" ht="13.8">
      <c r="A9" s="111"/>
      <c r="B9" s="117" t="s">
        <v>24</v>
      </c>
      <c r="C9" s="115" t="str">
        <f>'115+040'!C7</f>
        <v>Km115+040</v>
      </c>
      <c r="D9" s="115"/>
      <c r="E9" s="115"/>
      <c r="F9" s="115"/>
      <c r="G9" s="115"/>
      <c r="H9" s="115"/>
      <c r="I9" s="115"/>
      <c r="J9" s="115"/>
      <c r="K9" s="116"/>
      <c r="L9" s="116" t="s">
        <v>22</v>
      </c>
      <c r="M9" s="116"/>
      <c r="N9" s="231" t="str">
        <f>'115+040'!N7</f>
        <v>10/12/2023</v>
      </c>
      <c r="O9" s="231"/>
      <c r="P9" s="115"/>
      <c r="Q9" s="115"/>
      <c r="R9" s="115"/>
      <c r="S9" s="115"/>
      <c r="T9" s="115"/>
      <c r="U9" s="115"/>
      <c r="V9" s="114"/>
      <c r="W9" s="114"/>
      <c r="X9" s="114"/>
      <c r="Y9" s="114"/>
      <c r="Z9" s="114"/>
      <c r="AA9" s="113"/>
      <c r="AB9" s="112"/>
      <c r="AC9" s="43"/>
      <c r="AD9" s="43"/>
      <c r="AE9" s="43"/>
    </row>
    <row r="10" spans="1:31" s="104" customFormat="1" ht="13.2">
      <c r="A10" s="111"/>
      <c r="B10" s="110"/>
      <c r="C10" s="109"/>
      <c r="D10" s="109"/>
      <c r="E10" s="108"/>
      <c r="F10" s="108"/>
      <c r="G10" s="108"/>
      <c r="H10" s="108"/>
      <c r="I10" s="108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6"/>
      <c r="W10" s="106"/>
      <c r="X10" s="106"/>
      <c r="Y10" s="85"/>
      <c r="Z10" s="43"/>
      <c r="AA10" s="105"/>
      <c r="AB10" s="105"/>
      <c r="AC10" s="43"/>
      <c r="AD10" s="43"/>
      <c r="AE10" s="43"/>
    </row>
    <row r="11" spans="1:31" s="101" customFormat="1" ht="16.5" customHeight="1">
      <c r="A11" s="103"/>
      <c r="B11" s="236" t="s">
        <v>56</v>
      </c>
      <c r="C11" s="237" t="s">
        <v>55</v>
      </c>
      <c r="D11" s="237" t="s">
        <v>54</v>
      </c>
      <c r="E11" s="238" t="s">
        <v>53</v>
      </c>
      <c r="F11" s="238" t="s">
        <v>52</v>
      </c>
      <c r="G11" s="232" t="s">
        <v>51</v>
      </c>
      <c r="H11" s="232"/>
      <c r="I11" s="232"/>
      <c r="J11" s="232"/>
      <c r="K11" s="232"/>
      <c r="L11" s="232"/>
      <c r="M11" s="233" t="s">
        <v>50</v>
      </c>
      <c r="N11" s="233"/>
      <c r="O11" s="233"/>
      <c r="P11" s="233"/>
      <c r="Q11" s="233"/>
      <c r="R11" s="233"/>
      <c r="S11" s="234" t="s">
        <v>7</v>
      </c>
      <c r="T11" s="234"/>
      <c r="U11" s="234"/>
      <c r="V11" s="234"/>
      <c r="W11" s="234"/>
      <c r="X11" s="234"/>
      <c r="Y11" s="235"/>
      <c r="Z11" s="221" t="s">
        <v>13</v>
      </c>
      <c r="AA11" s="221" t="s">
        <v>49</v>
      </c>
      <c r="AB11" s="221" t="s">
        <v>48</v>
      </c>
      <c r="AC11" s="43"/>
      <c r="AD11" s="43"/>
      <c r="AE11" s="102"/>
    </row>
    <row r="12" spans="1:31" s="74" customFormat="1" ht="73.2" customHeight="1">
      <c r="A12" s="76"/>
      <c r="B12" s="236"/>
      <c r="C12" s="237"/>
      <c r="D12" s="237"/>
      <c r="E12" s="238"/>
      <c r="F12" s="238"/>
      <c r="G12" s="99" t="s">
        <v>47</v>
      </c>
      <c r="H12" s="99" t="s">
        <v>46</v>
      </c>
      <c r="I12" s="99" t="s">
        <v>45</v>
      </c>
      <c r="J12" s="99" t="s">
        <v>44</v>
      </c>
      <c r="K12" s="100" t="s">
        <v>43</v>
      </c>
      <c r="L12" s="100" t="s">
        <v>42</v>
      </c>
      <c r="M12" s="99" t="s">
        <v>47</v>
      </c>
      <c r="N12" s="99" t="s">
        <v>46</v>
      </c>
      <c r="O12" s="99" t="s">
        <v>45</v>
      </c>
      <c r="P12" s="99" t="s">
        <v>44</v>
      </c>
      <c r="Q12" s="100" t="s">
        <v>43</v>
      </c>
      <c r="R12" s="100" t="s">
        <v>42</v>
      </c>
      <c r="S12" s="99" t="s">
        <v>47</v>
      </c>
      <c r="T12" s="99" t="s">
        <v>46</v>
      </c>
      <c r="U12" s="99" t="s">
        <v>45</v>
      </c>
      <c r="V12" s="98" t="s">
        <v>44</v>
      </c>
      <c r="W12" s="97" t="s">
        <v>43</v>
      </c>
      <c r="X12" s="97" t="s">
        <v>42</v>
      </c>
      <c r="Y12" s="235"/>
      <c r="Z12" s="221"/>
      <c r="AA12" s="221"/>
      <c r="AB12" s="221"/>
      <c r="AC12" s="43"/>
      <c r="AD12" s="43"/>
      <c r="AE12" s="43"/>
    </row>
    <row r="13" spans="1:31" s="74" customFormat="1" ht="15" customHeight="1">
      <c r="A13" s="76"/>
      <c r="B13" s="96" t="e">
        <f>'115+040'!#REF!</f>
        <v>#REF!</v>
      </c>
      <c r="C13" s="95">
        <v>0</v>
      </c>
      <c r="D13" s="94" t="e">
        <f>VLOOKUP(B13,'115+040'!B11:AB112,2,FALSE)</f>
        <v>#REF!</v>
      </c>
      <c r="E13" s="64" t="e">
        <f>VLOOKUP(B13,'115+040'!B11:AB112,3,FALSE)</f>
        <v>#REF!</v>
      </c>
      <c r="F13" s="64" t="e">
        <f t="shared" ref="F13:F76" si="0">D13+E13</f>
        <v>#REF!</v>
      </c>
      <c r="G13" s="93" t="e">
        <f>VLOOKUP(B13,'115+040'!$B$11:$AB$112,20,FALSE)</f>
        <v>#REF!</v>
      </c>
      <c r="H13" s="93" t="e">
        <f>VLOOKUP(B13,'115+040'!$B$11:$AB$112,4,FALSE)</f>
        <v>#REF!</v>
      </c>
      <c r="I13" s="91" t="e">
        <f t="shared" ref="I13:I76" si="1">F13-H13</f>
        <v>#REF!</v>
      </c>
      <c r="J13" s="91" t="e">
        <f>VLOOKUP(B13,'115+040'!$B$11:$AB$112,13,FALSE)</f>
        <v>#REF!</v>
      </c>
      <c r="K13" s="58">
        <f>'115+040'!R11</f>
        <v>0</v>
      </c>
      <c r="L13" s="92">
        <v>0</v>
      </c>
      <c r="M13" s="62" t="e">
        <f>VLOOKUP(B13,'115+040'!$B$11:$AB$112,21,FALSE)</f>
        <v>#REF!</v>
      </c>
      <c r="N13" s="64" t="e">
        <f>VLOOKUP(B13,'115+040'!$B$11:$AB$112,5,FALSE)</f>
        <v>#REF!</v>
      </c>
      <c r="O13" s="91" t="e">
        <f t="shared" ref="O13:O76" si="2">F13-N13</f>
        <v>#REF!</v>
      </c>
      <c r="P13" s="91" t="e">
        <f>VLOOKUP(B13,'115+040'!$B$11:$AB$112,14,FALSE)</f>
        <v>#REF!</v>
      </c>
      <c r="Q13" s="58">
        <f>'115+040'!S11</f>
        <v>0</v>
      </c>
      <c r="R13" s="92">
        <v>0</v>
      </c>
      <c r="S13" s="62" t="e">
        <f>VLOOKUP(B13,'115+040'!$B$11:$AB$112,22,FALSE)</f>
        <v>#REF!</v>
      </c>
      <c r="T13" s="64" t="e">
        <f>VLOOKUP(B13,'115+040'!$B$10:$AB$112,6,FALSE)</f>
        <v>#REF!</v>
      </c>
      <c r="U13" s="91" t="e">
        <f t="shared" ref="U13:U76" si="3">F13-T13</f>
        <v>#REF!</v>
      </c>
      <c r="V13" s="90" t="e">
        <f>VLOOKUP(B13,'115+040'!$B$11:$AB$112,15,FALSE)</f>
        <v>#REF!</v>
      </c>
      <c r="W13" s="58">
        <f>'[4]114+940'!S14</f>
        <v>0</v>
      </c>
      <c r="X13" s="89">
        <v>0</v>
      </c>
      <c r="Y13" s="88">
        <v>0</v>
      </c>
      <c r="Z13" s="55">
        <f>IF(Y13&gt;0,Y13,0)</f>
        <v>0</v>
      </c>
      <c r="AA13" s="54">
        <f>Z13</f>
        <v>0</v>
      </c>
      <c r="AB13" s="54">
        <v>0</v>
      </c>
      <c r="AC13" s="43"/>
      <c r="AD13" s="43"/>
      <c r="AE13" s="43"/>
    </row>
    <row r="14" spans="1:31" s="74" customFormat="1" ht="15" customHeight="1">
      <c r="A14" s="76"/>
      <c r="B14" s="96" t="e">
        <f>'115+040'!#REF!</f>
        <v>#REF!</v>
      </c>
      <c r="C14" s="66" t="e">
        <f t="shared" ref="C14:C77" si="4">B14-B13</f>
        <v>#REF!</v>
      </c>
      <c r="D14" s="65" t="e">
        <f t="shared" ref="D14:D77" si="5">D13</f>
        <v>#REF!</v>
      </c>
      <c r="E14" s="64" t="e">
        <f>VLOOKUP(B14,'115+040'!B12:AB113,3,FALSE)</f>
        <v>#REF!</v>
      </c>
      <c r="F14" s="61" t="e">
        <f t="shared" si="0"/>
        <v>#REF!</v>
      </c>
      <c r="G14" s="63" t="e">
        <f>VLOOKUP(B14,'115+040'!$B$12:$AB$112,20,FALSE)</f>
        <v>#REF!</v>
      </c>
      <c r="H14" s="63" t="e">
        <f>VLOOKUP(B14,'115+040'!$B$12:$AB$112,4,FALSE)</f>
        <v>#REF!</v>
      </c>
      <c r="I14" s="60" t="e">
        <f t="shared" si="1"/>
        <v>#REF!</v>
      </c>
      <c r="J14" s="60" t="e">
        <f>VLOOKUP(B14,'115+040'!$B$12:$AB$112,13,FALSE)</f>
        <v>#REF!</v>
      </c>
      <c r="K14" s="58">
        <f>'115+040'!R12</f>
        <v>0</v>
      </c>
      <c r="L14" s="57">
        <f t="shared" ref="L14:L77" si="6">+K14+L13</f>
        <v>0</v>
      </c>
      <c r="M14" s="62" t="e">
        <f>VLOOKUP(B14,'115+040'!$B$11:$AB$112,21,FALSE)</f>
        <v>#REF!</v>
      </c>
      <c r="N14" s="61" t="e">
        <f>VLOOKUP(B14,'115+040'!$B$12:$AB$112,5,FALSE)</f>
        <v>#REF!</v>
      </c>
      <c r="O14" s="60" t="e">
        <f t="shared" si="2"/>
        <v>#REF!</v>
      </c>
      <c r="P14" s="60" t="e">
        <f>VLOOKUP(B14,'115+040'!$B$12:$AB$112,14,FALSE)</f>
        <v>#REF!</v>
      </c>
      <c r="Q14" s="58">
        <f>'115+040'!S12</f>
        <v>0</v>
      </c>
      <c r="R14" s="57">
        <f t="shared" ref="R14:R77" si="7">+Q14+R13</f>
        <v>0</v>
      </c>
      <c r="S14" s="62" t="e">
        <f>VLOOKUP(B14,'115+040'!$B$11:$AB$112,22,FALSE)</f>
        <v>#REF!</v>
      </c>
      <c r="T14" s="61" t="e">
        <f>VLOOKUP(B14,'115+040'!$B$12:$AB$112,6,FALSE)</f>
        <v>#REF!</v>
      </c>
      <c r="U14" s="60" t="e">
        <f t="shared" si="3"/>
        <v>#REF!</v>
      </c>
      <c r="V14" s="59" t="e">
        <f>VLOOKUP(B14,'115+040'!$B$12:$AB$112,15,FALSE)</f>
        <v>#REF!</v>
      </c>
      <c r="W14" s="58">
        <f>'[4]114+940'!S15</f>
        <v>0</v>
      </c>
      <c r="X14" s="57">
        <f t="shared" ref="X14:X77" si="8">+W14+X13</f>
        <v>0</v>
      </c>
      <c r="Y14" s="56" t="e">
        <f t="shared" ref="Y14:Y77" si="9">S14-S13</f>
        <v>#REF!</v>
      </c>
      <c r="Z14" s="55" t="e">
        <f t="shared" ref="Z14:Z77" si="10">IF(Y14&gt;0,Y14,0)/1000</f>
        <v>#REF!</v>
      </c>
      <c r="AA14" s="54" t="e">
        <f t="shared" ref="AA14:AA77" si="11">AA13+Z14</f>
        <v>#REF!</v>
      </c>
      <c r="AB14" s="54" t="e">
        <f t="shared" ref="AB14:AB77" si="12">(M14-$M$13-R14)/1000</f>
        <v>#REF!</v>
      </c>
      <c r="AC14" s="43"/>
      <c r="AD14" s="43"/>
      <c r="AE14" s="43"/>
    </row>
    <row r="15" spans="1:31" s="74" customFormat="1" ht="15" customHeight="1">
      <c r="A15" s="76">
        <v>1</v>
      </c>
      <c r="B15" s="96" t="e">
        <f>'115+040'!#REF!</f>
        <v>#REF!</v>
      </c>
      <c r="C15" s="66" t="e">
        <f t="shared" si="4"/>
        <v>#REF!</v>
      </c>
      <c r="D15" s="65" t="e">
        <f t="shared" si="5"/>
        <v>#REF!</v>
      </c>
      <c r="E15" s="64" t="e">
        <f>VLOOKUP(B15,'115+040'!B13:AB114,3,FALSE)</f>
        <v>#REF!</v>
      </c>
      <c r="F15" s="61" t="e">
        <f t="shared" si="0"/>
        <v>#REF!</v>
      </c>
      <c r="G15" s="63" t="e">
        <f>VLOOKUP(B15,'115+040'!$B$12:$AB$112,20,FALSE)</f>
        <v>#REF!</v>
      </c>
      <c r="H15" s="63" t="e">
        <f>VLOOKUP(B15,'115+040'!$B$12:$AB$112,4,FALSE)</f>
        <v>#REF!</v>
      </c>
      <c r="I15" s="60" t="e">
        <f t="shared" si="1"/>
        <v>#REF!</v>
      </c>
      <c r="J15" s="60" t="e">
        <f>VLOOKUP(B15,'115+040'!$B$12:$AB$112,13,FALSE)</f>
        <v>#REF!</v>
      </c>
      <c r="K15" s="58">
        <f>'115+040'!R13</f>
        <v>0</v>
      </c>
      <c r="L15" s="57">
        <f t="shared" si="6"/>
        <v>0</v>
      </c>
      <c r="M15" s="62" t="e">
        <f>VLOOKUP(B15,'115+040'!$B$11:$AB$112,21,FALSE)</f>
        <v>#REF!</v>
      </c>
      <c r="N15" s="61" t="e">
        <f>VLOOKUP(B15,'115+040'!$B$12:$AB$112,5,FALSE)</f>
        <v>#REF!</v>
      </c>
      <c r="O15" s="60" t="e">
        <f t="shared" si="2"/>
        <v>#REF!</v>
      </c>
      <c r="P15" s="60" t="e">
        <f>VLOOKUP(B15,'115+040'!$B$12:$AB$112,14,FALSE)</f>
        <v>#REF!</v>
      </c>
      <c r="Q15" s="58">
        <f>'115+040'!S13</f>
        <v>0</v>
      </c>
      <c r="R15" s="57">
        <f t="shared" si="7"/>
        <v>0</v>
      </c>
      <c r="S15" s="62" t="e">
        <f>VLOOKUP(B15,'115+040'!$B$11:$AB$112,22,FALSE)</f>
        <v>#REF!</v>
      </c>
      <c r="T15" s="61" t="e">
        <f>VLOOKUP(B15,'115+040'!$B$12:$AB$112,6,FALSE)</f>
        <v>#REF!</v>
      </c>
      <c r="U15" s="60" t="e">
        <f t="shared" si="3"/>
        <v>#REF!</v>
      </c>
      <c r="V15" s="59" t="e">
        <f>VLOOKUP(B15,'115+040'!$B$12:$AB$112,15,FALSE)</f>
        <v>#REF!</v>
      </c>
      <c r="W15" s="58">
        <f>'[4]114+940'!S16</f>
        <v>0</v>
      </c>
      <c r="X15" s="57">
        <f t="shared" si="8"/>
        <v>0</v>
      </c>
      <c r="Y15" s="56" t="e">
        <f t="shared" si="9"/>
        <v>#REF!</v>
      </c>
      <c r="Z15" s="55" t="e">
        <f t="shared" si="10"/>
        <v>#REF!</v>
      </c>
      <c r="AA15" s="54" t="e">
        <f t="shared" si="11"/>
        <v>#REF!</v>
      </c>
      <c r="AB15" s="54" t="e">
        <f t="shared" si="12"/>
        <v>#REF!</v>
      </c>
      <c r="AC15" s="43"/>
      <c r="AD15" s="43"/>
      <c r="AE15" s="43"/>
    </row>
    <row r="16" spans="1:31" s="74" customFormat="1" ht="15" customHeight="1">
      <c r="A16" s="76">
        <f t="shared" ref="A16:A21" si="13">A15+1</f>
        <v>2</v>
      </c>
      <c r="B16" s="96" t="e">
        <f>'115+040'!#REF!</f>
        <v>#REF!</v>
      </c>
      <c r="C16" s="66" t="e">
        <f t="shared" si="4"/>
        <v>#REF!</v>
      </c>
      <c r="D16" s="65" t="e">
        <f t="shared" si="5"/>
        <v>#REF!</v>
      </c>
      <c r="E16" s="64" t="e">
        <f>VLOOKUP(B16,'115+040'!B14:AB115,3,FALSE)</f>
        <v>#REF!</v>
      </c>
      <c r="F16" s="61" t="e">
        <f t="shared" si="0"/>
        <v>#REF!</v>
      </c>
      <c r="G16" s="63" t="e">
        <f>VLOOKUP(B16,'115+040'!$B$12:$AB$112,20,FALSE)</f>
        <v>#REF!</v>
      </c>
      <c r="H16" s="63" t="e">
        <f>VLOOKUP(B16,'115+040'!$B$12:$AB$112,4,FALSE)</f>
        <v>#REF!</v>
      </c>
      <c r="I16" s="60" t="e">
        <f t="shared" si="1"/>
        <v>#REF!</v>
      </c>
      <c r="J16" s="60" t="e">
        <f>VLOOKUP(B16,'115+040'!$B$12:$AB$112,13,FALSE)</f>
        <v>#REF!</v>
      </c>
      <c r="K16" s="58">
        <f>'115+040'!R14</f>
        <v>0</v>
      </c>
      <c r="L16" s="57">
        <f t="shared" si="6"/>
        <v>0</v>
      </c>
      <c r="M16" s="62" t="e">
        <f>VLOOKUP(B16,'115+040'!$B$11:$AB$112,21,FALSE)</f>
        <v>#REF!</v>
      </c>
      <c r="N16" s="61" t="e">
        <f>VLOOKUP(B16,'115+040'!$B$12:$AB$112,5,FALSE)</f>
        <v>#REF!</v>
      </c>
      <c r="O16" s="60" t="e">
        <f t="shared" si="2"/>
        <v>#REF!</v>
      </c>
      <c r="P16" s="60" t="e">
        <f>VLOOKUP(B16,'115+040'!$B$12:$AB$112,14,FALSE)</f>
        <v>#REF!</v>
      </c>
      <c r="Q16" s="58">
        <f>'115+040'!S14</f>
        <v>0</v>
      </c>
      <c r="R16" s="57">
        <f t="shared" si="7"/>
        <v>0</v>
      </c>
      <c r="S16" s="62" t="e">
        <f>VLOOKUP(B16,'115+040'!$B$11:$AB$112,22,FALSE)</f>
        <v>#REF!</v>
      </c>
      <c r="T16" s="61" t="e">
        <f>VLOOKUP(B16,'115+040'!$B$12:$AB$112,6,FALSE)</f>
        <v>#REF!</v>
      </c>
      <c r="U16" s="60" t="e">
        <f t="shared" si="3"/>
        <v>#REF!</v>
      </c>
      <c r="V16" s="59" t="e">
        <f>VLOOKUP(B16,'115+040'!$B$12:$AB$112,15,FALSE)</f>
        <v>#REF!</v>
      </c>
      <c r="W16" s="58">
        <f>'[4]114+940'!S17</f>
        <v>0</v>
      </c>
      <c r="X16" s="57">
        <f t="shared" si="8"/>
        <v>0</v>
      </c>
      <c r="Y16" s="56" t="e">
        <f t="shared" si="9"/>
        <v>#REF!</v>
      </c>
      <c r="Z16" s="55" t="e">
        <f t="shared" si="10"/>
        <v>#REF!</v>
      </c>
      <c r="AA16" s="54" t="e">
        <f t="shared" si="11"/>
        <v>#REF!</v>
      </c>
      <c r="AB16" s="54" t="e">
        <f t="shared" si="12"/>
        <v>#REF!</v>
      </c>
      <c r="AC16" s="43"/>
      <c r="AD16" s="43"/>
      <c r="AE16" s="75"/>
    </row>
    <row r="17" spans="1:31" s="74" customFormat="1" ht="15" customHeight="1">
      <c r="A17" s="76">
        <f t="shared" si="13"/>
        <v>3</v>
      </c>
      <c r="B17" s="96" t="e">
        <f>'115+040'!#REF!</f>
        <v>#REF!</v>
      </c>
      <c r="C17" s="66" t="e">
        <f t="shared" si="4"/>
        <v>#REF!</v>
      </c>
      <c r="D17" s="65" t="e">
        <f t="shared" si="5"/>
        <v>#REF!</v>
      </c>
      <c r="E17" s="64" t="e">
        <f>VLOOKUP(B17,'115+040'!B15:AB116,3,FALSE)</f>
        <v>#REF!</v>
      </c>
      <c r="F17" s="61" t="e">
        <f t="shared" si="0"/>
        <v>#REF!</v>
      </c>
      <c r="G17" s="63" t="e">
        <f>VLOOKUP(B17,'115+040'!$B$12:$AB$112,20,FALSE)</f>
        <v>#REF!</v>
      </c>
      <c r="H17" s="63" t="e">
        <f>VLOOKUP(B17,'115+040'!$B$12:$AB$112,4,FALSE)</f>
        <v>#REF!</v>
      </c>
      <c r="I17" s="60" t="e">
        <f t="shared" si="1"/>
        <v>#REF!</v>
      </c>
      <c r="J17" s="60" t="e">
        <f>VLOOKUP(B17,'115+040'!$B$12:$AB$112,13,FALSE)</f>
        <v>#REF!</v>
      </c>
      <c r="K17" s="58">
        <f>'115+040'!R15</f>
        <v>0</v>
      </c>
      <c r="L17" s="57">
        <f t="shared" si="6"/>
        <v>0</v>
      </c>
      <c r="M17" s="62" t="e">
        <f>VLOOKUP(B17,'115+040'!$B$11:$AB$112,21,FALSE)</f>
        <v>#REF!</v>
      </c>
      <c r="N17" s="61" t="e">
        <f>VLOOKUP(B17,'115+040'!$B$12:$AB$112,5,FALSE)</f>
        <v>#REF!</v>
      </c>
      <c r="O17" s="60" t="e">
        <f t="shared" si="2"/>
        <v>#REF!</v>
      </c>
      <c r="P17" s="60" t="e">
        <f>VLOOKUP(B17,'115+040'!$B$12:$AB$112,14,FALSE)</f>
        <v>#REF!</v>
      </c>
      <c r="Q17" s="58">
        <f>'115+040'!S15</f>
        <v>0</v>
      </c>
      <c r="R17" s="57">
        <f t="shared" si="7"/>
        <v>0</v>
      </c>
      <c r="S17" s="62" t="e">
        <f>VLOOKUP(B17,'115+040'!$B$11:$AB$112,22,FALSE)</f>
        <v>#REF!</v>
      </c>
      <c r="T17" s="61" t="e">
        <f>VLOOKUP(B17,'115+040'!$B$12:$AB$112,6,FALSE)</f>
        <v>#REF!</v>
      </c>
      <c r="U17" s="60" t="e">
        <f t="shared" si="3"/>
        <v>#REF!</v>
      </c>
      <c r="V17" s="59" t="e">
        <f>VLOOKUP(B17,'115+040'!$B$12:$AB$112,15,FALSE)</f>
        <v>#REF!</v>
      </c>
      <c r="W17" s="58">
        <f>'[4]114+940'!S18</f>
        <v>0</v>
      </c>
      <c r="X17" s="57">
        <f t="shared" si="8"/>
        <v>0</v>
      </c>
      <c r="Y17" s="56" t="e">
        <f t="shared" si="9"/>
        <v>#REF!</v>
      </c>
      <c r="Z17" s="55" t="e">
        <f t="shared" si="10"/>
        <v>#REF!</v>
      </c>
      <c r="AA17" s="54" t="e">
        <f t="shared" si="11"/>
        <v>#REF!</v>
      </c>
      <c r="AB17" s="54" t="e">
        <f t="shared" si="12"/>
        <v>#REF!</v>
      </c>
      <c r="AC17" s="43"/>
      <c r="AD17" s="43"/>
      <c r="AE17" s="75"/>
    </row>
    <row r="18" spans="1:31" s="74" customFormat="1" ht="15" customHeight="1">
      <c r="A18" s="76">
        <f t="shared" si="13"/>
        <v>4</v>
      </c>
      <c r="B18" s="96" t="e">
        <f>'115+040'!#REF!</f>
        <v>#REF!</v>
      </c>
      <c r="C18" s="66" t="e">
        <f t="shared" si="4"/>
        <v>#REF!</v>
      </c>
      <c r="D18" s="65" t="e">
        <f t="shared" si="5"/>
        <v>#REF!</v>
      </c>
      <c r="E18" s="64" t="e">
        <f>VLOOKUP(B18,'115+040'!B16:AB117,3,FALSE)</f>
        <v>#REF!</v>
      </c>
      <c r="F18" s="61" t="e">
        <f t="shared" si="0"/>
        <v>#REF!</v>
      </c>
      <c r="G18" s="63" t="e">
        <f>VLOOKUP(B18,'115+040'!$B$12:$AB$112,20,FALSE)</f>
        <v>#REF!</v>
      </c>
      <c r="H18" s="63" t="e">
        <f>VLOOKUP(B18,'115+040'!$B$12:$AB$112,4,FALSE)</f>
        <v>#REF!</v>
      </c>
      <c r="I18" s="60" t="e">
        <f t="shared" si="1"/>
        <v>#REF!</v>
      </c>
      <c r="J18" s="60" t="e">
        <f>VLOOKUP(B18,'115+040'!$B$12:$AB$112,13,FALSE)</f>
        <v>#REF!</v>
      </c>
      <c r="K18" s="58">
        <f>'115+040'!R16</f>
        <v>0</v>
      </c>
      <c r="L18" s="57">
        <f t="shared" si="6"/>
        <v>0</v>
      </c>
      <c r="M18" s="62" t="e">
        <f>VLOOKUP(B18,'115+040'!$B$11:$AB$112,21,FALSE)</f>
        <v>#REF!</v>
      </c>
      <c r="N18" s="61" t="e">
        <f>VLOOKUP(B18,'115+040'!$B$12:$AB$112,5,FALSE)</f>
        <v>#REF!</v>
      </c>
      <c r="O18" s="60" t="e">
        <f t="shared" si="2"/>
        <v>#REF!</v>
      </c>
      <c r="P18" s="60" t="e">
        <f>VLOOKUP(B18,'115+040'!$B$12:$AB$112,14,FALSE)</f>
        <v>#REF!</v>
      </c>
      <c r="Q18" s="58">
        <f>'115+040'!S16</f>
        <v>0</v>
      </c>
      <c r="R18" s="57">
        <f t="shared" si="7"/>
        <v>0</v>
      </c>
      <c r="S18" s="62" t="e">
        <f>VLOOKUP(B18,'115+040'!$B$11:$AB$112,22,FALSE)</f>
        <v>#REF!</v>
      </c>
      <c r="T18" s="61" t="e">
        <f>VLOOKUP(B18,'115+040'!$B$12:$AB$112,6,FALSE)</f>
        <v>#REF!</v>
      </c>
      <c r="U18" s="60" t="e">
        <f t="shared" si="3"/>
        <v>#REF!</v>
      </c>
      <c r="V18" s="59" t="e">
        <f>VLOOKUP(B18,'115+040'!$B$12:$AB$112,15,FALSE)</f>
        <v>#REF!</v>
      </c>
      <c r="W18" s="58">
        <f>'[4]114+940'!S19</f>
        <v>0</v>
      </c>
      <c r="X18" s="57">
        <f t="shared" si="8"/>
        <v>0</v>
      </c>
      <c r="Y18" s="56" t="e">
        <f t="shared" si="9"/>
        <v>#REF!</v>
      </c>
      <c r="Z18" s="55" t="e">
        <f t="shared" si="10"/>
        <v>#REF!</v>
      </c>
      <c r="AA18" s="54" t="e">
        <f t="shared" si="11"/>
        <v>#REF!</v>
      </c>
      <c r="AB18" s="54" t="e">
        <f t="shared" si="12"/>
        <v>#REF!</v>
      </c>
      <c r="AC18" s="43"/>
      <c r="AD18" s="43"/>
      <c r="AE18" s="75"/>
    </row>
    <row r="19" spans="1:31" s="74" customFormat="1" ht="15" customHeight="1">
      <c r="A19" s="76">
        <f t="shared" si="13"/>
        <v>5</v>
      </c>
      <c r="B19" s="96" t="e">
        <f>'115+040'!#REF!</f>
        <v>#REF!</v>
      </c>
      <c r="C19" s="66" t="e">
        <f t="shared" si="4"/>
        <v>#REF!</v>
      </c>
      <c r="D19" s="65" t="e">
        <f t="shared" si="5"/>
        <v>#REF!</v>
      </c>
      <c r="E19" s="64" t="e">
        <f>VLOOKUP(B19,'115+040'!B17:AB118,3,FALSE)</f>
        <v>#REF!</v>
      </c>
      <c r="F19" s="61" t="e">
        <f t="shared" si="0"/>
        <v>#REF!</v>
      </c>
      <c r="G19" s="63" t="e">
        <f>VLOOKUP(B19,'115+040'!$B$12:$AB$112,20,FALSE)</f>
        <v>#REF!</v>
      </c>
      <c r="H19" s="63" t="e">
        <f>VLOOKUP(B19,'115+040'!$B$12:$AB$112,4,FALSE)</f>
        <v>#REF!</v>
      </c>
      <c r="I19" s="60" t="e">
        <f t="shared" si="1"/>
        <v>#REF!</v>
      </c>
      <c r="J19" s="60" t="e">
        <f>VLOOKUP(B19,'115+040'!$B$12:$AB$112,13,FALSE)</f>
        <v>#REF!</v>
      </c>
      <c r="K19" s="58">
        <f>'115+040'!R17</f>
        <v>0</v>
      </c>
      <c r="L19" s="57">
        <f t="shared" si="6"/>
        <v>0</v>
      </c>
      <c r="M19" s="62" t="e">
        <f>VLOOKUP(B19,'115+040'!$B$11:$AB$112,21,FALSE)</f>
        <v>#REF!</v>
      </c>
      <c r="N19" s="61" t="e">
        <f>VLOOKUP(B19,'115+040'!$B$12:$AB$112,5,FALSE)</f>
        <v>#REF!</v>
      </c>
      <c r="O19" s="60" t="e">
        <f t="shared" si="2"/>
        <v>#REF!</v>
      </c>
      <c r="P19" s="60" t="e">
        <f>VLOOKUP(B19,'115+040'!$B$12:$AB$112,14,FALSE)</f>
        <v>#REF!</v>
      </c>
      <c r="Q19" s="58">
        <f>'115+040'!S17</f>
        <v>0</v>
      </c>
      <c r="R19" s="57">
        <f t="shared" si="7"/>
        <v>0</v>
      </c>
      <c r="S19" s="62" t="e">
        <f>VLOOKUP(B19,'115+040'!$B$11:$AB$112,22,FALSE)</f>
        <v>#REF!</v>
      </c>
      <c r="T19" s="61" t="e">
        <f>VLOOKUP(B19,'115+040'!$B$12:$AB$112,6,FALSE)</f>
        <v>#REF!</v>
      </c>
      <c r="U19" s="60" t="e">
        <f t="shared" si="3"/>
        <v>#REF!</v>
      </c>
      <c r="V19" s="59" t="e">
        <f>VLOOKUP(B19,'115+040'!$B$12:$AB$112,15,FALSE)</f>
        <v>#REF!</v>
      </c>
      <c r="W19" s="58">
        <f>'[4]114+940'!S20</f>
        <v>0</v>
      </c>
      <c r="X19" s="57">
        <f t="shared" si="8"/>
        <v>0</v>
      </c>
      <c r="Y19" s="56" t="e">
        <f t="shared" si="9"/>
        <v>#REF!</v>
      </c>
      <c r="Z19" s="55" t="e">
        <f t="shared" si="10"/>
        <v>#REF!</v>
      </c>
      <c r="AA19" s="54" t="e">
        <f t="shared" si="11"/>
        <v>#REF!</v>
      </c>
      <c r="AB19" s="54" t="e">
        <f t="shared" si="12"/>
        <v>#REF!</v>
      </c>
      <c r="AC19" s="43"/>
      <c r="AD19" s="43"/>
      <c r="AE19" s="75"/>
    </row>
    <row r="20" spans="1:31" s="74" customFormat="1" ht="15" customHeight="1">
      <c r="A20" s="76">
        <f t="shared" si="13"/>
        <v>6</v>
      </c>
      <c r="B20" s="96" t="e">
        <f>'115+040'!#REF!</f>
        <v>#REF!</v>
      </c>
      <c r="C20" s="66" t="e">
        <f t="shared" si="4"/>
        <v>#REF!</v>
      </c>
      <c r="D20" s="65" t="e">
        <f t="shared" si="5"/>
        <v>#REF!</v>
      </c>
      <c r="E20" s="64" t="e">
        <f>VLOOKUP(B20,'115+040'!B18:AB119,3,FALSE)</f>
        <v>#REF!</v>
      </c>
      <c r="F20" s="61" t="e">
        <f t="shared" si="0"/>
        <v>#REF!</v>
      </c>
      <c r="G20" s="63" t="e">
        <f>VLOOKUP(B20,'115+040'!$B$12:$AB$112,20,FALSE)</f>
        <v>#REF!</v>
      </c>
      <c r="H20" s="63" t="e">
        <f>VLOOKUP(B20,'115+040'!$B$12:$AB$112,4,FALSE)</f>
        <v>#REF!</v>
      </c>
      <c r="I20" s="60" t="e">
        <f t="shared" si="1"/>
        <v>#REF!</v>
      </c>
      <c r="J20" s="60" t="e">
        <f>VLOOKUP(B20,'115+040'!$B$12:$AB$112,13,FALSE)</f>
        <v>#REF!</v>
      </c>
      <c r="K20" s="58">
        <f>'115+040'!R18</f>
        <v>0</v>
      </c>
      <c r="L20" s="57">
        <f t="shared" si="6"/>
        <v>0</v>
      </c>
      <c r="M20" s="62" t="e">
        <f>VLOOKUP(B20,'115+040'!$B$11:$AB$112,21,FALSE)</f>
        <v>#REF!</v>
      </c>
      <c r="N20" s="61" t="e">
        <f>VLOOKUP(B20,'115+040'!$B$12:$AB$112,5,FALSE)</f>
        <v>#REF!</v>
      </c>
      <c r="O20" s="60" t="e">
        <f t="shared" si="2"/>
        <v>#REF!</v>
      </c>
      <c r="P20" s="60" t="e">
        <f>VLOOKUP(B20,'115+040'!$B$12:$AB$112,14,FALSE)</f>
        <v>#REF!</v>
      </c>
      <c r="Q20" s="58">
        <f>'115+040'!S18</f>
        <v>0</v>
      </c>
      <c r="R20" s="57">
        <f t="shared" si="7"/>
        <v>0</v>
      </c>
      <c r="S20" s="62" t="e">
        <f>VLOOKUP(B20,'115+040'!$B$11:$AB$112,22,FALSE)</f>
        <v>#REF!</v>
      </c>
      <c r="T20" s="61" t="e">
        <f>VLOOKUP(B20,'115+040'!$B$12:$AB$112,6,FALSE)</f>
        <v>#REF!</v>
      </c>
      <c r="U20" s="60" t="e">
        <f t="shared" si="3"/>
        <v>#REF!</v>
      </c>
      <c r="V20" s="59" t="e">
        <f>VLOOKUP(B20,'115+040'!$B$12:$AB$112,15,FALSE)</f>
        <v>#REF!</v>
      </c>
      <c r="W20" s="58">
        <f>'[4]114+940'!S21</f>
        <v>0</v>
      </c>
      <c r="X20" s="57">
        <f t="shared" si="8"/>
        <v>0</v>
      </c>
      <c r="Y20" s="56" t="e">
        <f t="shared" si="9"/>
        <v>#REF!</v>
      </c>
      <c r="Z20" s="55" t="e">
        <f t="shared" si="10"/>
        <v>#REF!</v>
      </c>
      <c r="AA20" s="54" t="e">
        <f t="shared" si="11"/>
        <v>#REF!</v>
      </c>
      <c r="AB20" s="54" t="e">
        <f t="shared" si="12"/>
        <v>#REF!</v>
      </c>
      <c r="AC20" s="43"/>
      <c r="AD20" s="43"/>
      <c r="AE20" s="75"/>
    </row>
    <row r="21" spans="1:31" s="83" customFormat="1" ht="15" customHeight="1">
      <c r="A21" s="76">
        <f t="shared" si="13"/>
        <v>7</v>
      </c>
      <c r="B21" s="96" t="e">
        <f>'115+040'!#REF!</f>
        <v>#REF!</v>
      </c>
      <c r="C21" s="66" t="e">
        <f t="shared" si="4"/>
        <v>#REF!</v>
      </c>
      <c r="D21" s="65" t="e">
        <f t="shared" si="5"/>
        <v>#REF!</v>
      </c>
      <c r="E21" s="64" t="e">
        <f>VLOOKUP(B21,'115+040'!B19:AB120,3,FALSE)</f>
        <v>#REF!</v>
      </c>
      <c r="F21" s="61" t="e">
        <f t="shared" si="0"/>
        <v>#REF!</v>
      </c>
      <c r="G21" s="63" t="e">
        <f>VLOOKUP(B21,'115+040'!$B$12:$AB$112,20,FALSE)</f>
        <v>#REF!</v>
      </c>
      <c r="H21" s="63" t="e">
        <f>VLOOKUP(B21,'115+040'!$B$12:$AB$112,4,FALSE)</f>
        <v>#REF!</v>
      </c>
      <c r="I21" s="60" t="e">
        <f t="shared" si="1"/>
        <v>#REF!</v>
      </c>
      <c r="J21" s="60" t="e">
        <f>VLOOKUP(B21,'115+040'!$B$12:$AB$112,13,FALSE)</f>
        <v>#REF!</v>
      </c>
      <c r="K21" s="58">
        <f>'115+040'!R19</f>
        <v>0</v>
      </c>
      <c r="L21" s="57">
        <f t="shared" si="6"/>
        <v>0</v>
      </c>
      <c r="M21" s="62" t="e">
        <f>VLOOKUP(B21,'115+040'!$B$11:$AB$112,21,FALSE)</f>
        <v>#REF!</v>
      </c>
      <c r="N21" s="61" t="e">
        <f>VLOOKUP(B21,'115+040'!$B$12:$AB$112,5,FALSE)</f>
        <v>#REF!</v>
      </c>
      <c r="O21" s="60" t="e">
        <f t="shared" si="2"/>
        <v>#REF!</v>
      </c>
      <c r="P21" s="60" t="e">
        <f>VLOOKUP(B21,'115+040'!$B$12:$AB$112,14,FALSE)</f>
        <v>#REF!</v>
      </c>
      <c r="Q21" s="58">
        <f>'115+040'!S19</f>
        <v>0</v>
      </c>
      <c r="R21" s="57">
        <f t="shared" si="7"/>
        <v>0</v>
      </c>
      <c r="S21" s="62" t="e">
        <f>VLOOKUP(B21,'115+040'!$B$11:$AB$112,22,FALSE)</f>
        <v>#REF!</v>
      </c>
      <c r="T21" s="61" t="e">
        <f>VLOOKUP(B21,'115+040'!$B$12:$AB$112,6,FALSE)</f>
        <v>#REF!</v>
      </c>
      <c r="U21" s="60" t="e">
        <f t="shared" si="3"/>
        <v>#REF!</v>
      </c>
      <c r="V21" s="59" t="e">
        <f>VLOOKUP(B21,'115+040'!$B$12:$AB$112,15,FALSE)</f>
        <v>#REF!</v>
      </c>
      <c r="W21" s="58">
        <f>'[4]114+940'!S22</f>
        <v>0</v>
      </c>
      <c r="X21" s="57">
        <f t="shared" si="8"/>
        <v>0</v>
      </c>
      <c r="Y21" s="56" t="e">
        <f t="shared" si="9"/>
        <v>#REF!</v>
      </c>
      <c r="Z21" s="55" t="e">
        <f t="shared" si="10"/>
        <v>#REF!</v>
      </c>
      <c r="AA21" s="54" t="e">
        <f t="shared" si="11"/>
        <v>#REF!</v>
      </c>
      <c r="AB21" s="54" t="e">
        <f t="shared" si="12"/>
        <v>#REF!</v>
      </c>
      <c r="AC21" s="85"/>
      <c r="AD21" s="85"/>
      <c r="AE21" s="84"/>
    </row>
    <row r="22" spans="1:31" s="83" customFormat="1" ht="15" customHeight="1">
      <c r="A22" s="76"/>
      <c r="B22" s="96" t="e">
        <f>'115+040'!#REF!</f>
        <v>#REF!</v>
      </c>
      <c r="C22" s="66" t="e">
        <f t="shared" si="4"/>
        <v>#REF!</v>
      </c>
      <c r="D22" s="65" t="e">
        <f t="shared" si="5"/>
        <v>#REF!</v>
      </c>
      <c r="E22" s="64" t="e">
        <f>VLOOKUP(B22,'115+040'!B20:AB121,3,FALSE)</f>
        <v>#REF!</v>
      </c>
      <c r="F22" s="61" t="e">
        <f t="shared" si="0"/>
        <v>#REF!</v>
      </c>
      <c r="G22" s="63" t="e">
        <f>VLOOKUP(B22,'115+040'!$B$12:$AB$112,20,FALSE)</f>
        <v>#REF!</v>
      </c>
      <c r="H22" s="63" t="e">
        <f>VLOOKUP(B22,'115+040'!$B$12:$AB$112,4,FALSE)</f>
        <v>#REF!</v>
      </c>
      <c r="I22" s="60" t="e">
        <f t="shared" si="1"/>
        <v>#REF!</v>
      </c>
      <c r="J22" s="60" t="e">
        <f>VLOOKUP(B22,'115+040'!$B$12:$AB$112,13,FALSE)</f>
        <v>#REF!</v>
      </c>
      <c r="K22" s="58">
        <f>'115+040'!R20</f>
        <v>0</v>
      </c>
      <c r="L22" s="57">
        <f t="shared" si="6"/>
        <v>0</v>
      </c>
      <c r="M22" s="62" t="e">
        <f>VLOOKUP(B22,'115+040'!$B$11:$AB$112,21,FALSE)</f>
        <v>#REF!</v>
      </c>
      <c r="N22" s="61" t="e">
        <f>VLOOKUP(B22,'115+040'!$B$12:$AB$112,5,FALSE)</f>
        <v>#REF!</v>
      </c>
      <c r="O22" s="60" t="e">
        <f t="shared" si="2"/>
        <v>#REF!</v>
      </c>
      <c r="P22" s="60" t="e">
        <f>VLOOKUP(B22,'115+040'!$B$12:$AB$112,14,FALSE)</f>
        <v>#REF!</v>
      </c>
      <c r="Q22" s="58">
        <f>'115+040'!S20</f>
        <v>0</v>
      </c>
      <c r="R22" s="57">
        <f t="shared" si="7"/>
        <v>0</v>
      </c>
      <c r="S22" s="62" t="e">
        <f>VLOOKUP(B22,'115+040'!$B$11:$AB$112,22,FALSE)</f>
        <v>#REF!</v>
      </c>
      <c r="T22" s="61" t="e">
        <f>VLOOKUP(B22,'115+040'!$B$12:$AB$112,6,FALSE)</f>
        <v>#REF!</v>
      </c>
      <c r="U22" s="60" t="e">
        <f t="shared" si="3"/>
        <v>#REF!</v>
      </c>
      <c r="V22" s="59" t="e">
        <f>VLOOKUP(B22,'115+040'!$B$12:$AB$112,15,FALSE)</f>
        <v>#REF!</v>
      </c>
      <c r="W22" s="58">
        <f>'[4]114+940'!S23</f>
        <v>0</v>
      </c>
      <c r="X22" s="57">
        <f t="shared" si="8"/>
        <v>0</v>
      </c>
      <c r="Y22" s="56" t="e">
        <f t="shared" si="9"/>
        <v>#REF!</v>
      </c>
      <c r="Z22" s="55" t="e">
        <f t="shared" si="10"/>
        <v>#REF!</v>
      </c>
      <c r="AA22" s="54" t="e">
        <f t="shared" si="11"/>
        <v>#REF!</v>
      </c>
      <c r="AB22" s="54" t="e">
        <f t="shared" si="12"/>
        <v>#REF!</v>
      </c>
      <c r="AC22" s="85"/>
      <c r="AD22" s="85"/>
      <c r="AE22" s="84"/>
    </row>
    <row r="23" spans="1:31" s="83" customFormat="1" ht="15" customHeight="1">
      <c r="A23" s="76"/>
      <c r="B23" s="96" t="e">
        <f>'115+040'!#REF!</f>
        <v>#REF!</v>
      </c>
      <c r="C23" s="66" t="e">
        <f t="shared" si="4"/>
        <v>#REF!</v>
      </c>
      <c r="D23" s="65" t="e">
        <f t="shared" si="5"/>
        <v>#REF!</v>
      </c>
      <c r="E23" s="64" t="e">
        <f>VLOOKUP(B23,'115+040'!B21:AB122,3,FALSE)</f>
        <v>#REF!</v>
      </c>
      <c r="F23" s="61" t="e">
        <f t="shared" si="0"/>
        <v>#REF!</v>
      </c>
      <c r="G23" s="63" t="e">
        <f>VLOOKUP(B23,'115+040'!$B$12:$AB$112,20,FALSE)</f>
        <v>#REF!</v>
      </c>
      <c r="H23" s="63" t="e">
        <f>VLOOKUP(B23,'115+040'!$B$12:$AB$112,4,FALSE)</f>
        <v>#REF!</v>
      </c>
      <c r="I23" s="60" t="e">
        <f t="shared" si="1"/>
        <v>#REF!</v>
      </c>
      <c r="J23" s="60" t="e">
        <f>VLOOKUP(B23,'115+040'!$B$12:$AB$112,13,FALSE)</f>
        <v>#REF!</v>
      </c>
      <c r="K23" s="58">
        <f>'115+040'!R21</f>
        <v>0</v>
      </c>
      <c r="L23" s="57">
        <f t="shared" si="6"/>
        <v>0</v>
      </c>
      <c r="M23" s="62" t="e">
        <f>VLOOKUP(B23,'115+040'!$B$11:$AB$112,21,FALSE)</f>
        <v>#REF!</v>
      </c>
      <c r="N23" s="61" t="e">
        <f>VLOOKUP(B23,'115+040'!$B$12:$AB$112,5,FALSE)</f>
        <v>#REF!</v>
      </c>
      <c r="O23" s="60" t="e">
        <f t="shared" si="2"/>
        <v>#REF!</v>
      </c>
      <c r="P23" s="60" t="e">
        <f>VLOOKUP(B23,'115+040'!$B$12:$AB$112,14,FALSE)</f>
        <v>#REF!</v>
      </c>
      <c r="Q23" s="58">
        <f>'115+040'!S21</f>
        <v>0</v>
      </c>
      <c r="R23" s="57">
        <f t="shared" si="7"/>
        <v>0</v>
      </c>
      <c r="S23" s="62" t="e">
        <f>VLOOKUP(B23,'115+040'!$B$11:$AB$112,22,FALSE)</f>
        <v>#REF!</v>
      </c>
      <c r="T23" s="61" t="e">
        <f>VLOOKUP(B23,'115+040'!$B$12:$AB$112,6,FALSE)</f>
        <v>#REF!</v>
      </c>
      <c r="U23" s="60" t="e">
        <f t="shared" si="3"/>
        <v>#REF!</v>
      </c>
      <c r="V23" s="59" t="e">
        <f>VLOOKUP(B23,'115+040'!$B$12:$AB$112,15,FALSE)</f>
        <v>#REF!</v>
      </c>
      <c r="W23" s="58">
        <f>'[4]114+940'!S24</f>
        <v>0</v>
      </c>
      <c r="X23" s="57">
        <f t="shared" si="8"/>
        <v>0</v>
      </c>
      <c r="Y23" s="56" t="e">
        <f t="shared" si="9"/>
        <v>#REF!</v>
      </c>
      <c r="Z23" s="55" t="e">
        <f t="shared" si="10"/>
        <v>#REF!</v>
      </c>
      <c r="AA23" s="54" t="e">
        <f t="shared" si="11"/>
        <v>#REF!</v>
      </c>
      <c r="AB23" s="54" t="e">
        <f t="shared" si="12"/>
        <v>#REF!</v>
      </c>
      <c r="AC23" s="85"/>
      <c r="AD23" s="85"/>
      <c r="AE23" s="84"/>
    </row>
    <row r="24" spans="1:31" s="83" customFormat="1" ht="15" customHeight="1">
      <c r="A24" s="76"/>
      <c r="B24" s="96" t="e">
        <f>'115+040'!#REF!</f>
        <v>#REF!</v>
      </c>
      <c r="C24" s="66" t="e">
        <f t="shared" si="4"/>
        <v>#REF!</v>
      </c>
      <c r="D24" s="65" t="e">
        <f t="shared" si="5"/>
        <v>#REF!</v>
      </c>
      <c r="E24" s="64" t="e">
        <f>VLOOKUP(B24,'115+040'!B22:AB123,3,FALSE)</f>
        <v>#REF!</v>
      </c>
      <c r="F24" s="61" t="e">
        <f t="shared" si="0"/>
        <v>#REF!</v>
      </c>
      <c r="G24" s="63" t="e">
        <f>VLOOKUP(B24,'115+040'!$B$12:$AB$112,20,FALSE)</f>
        <v>#REF!</v>
      </c>
      <c r="H24" s="63" t="e">
        <f>VLOOKUP(B24,'115+040'!$B$12:$AB$112,4,FALSE)</f>
        <v>#REF!</v>
      </c>
      <c r="I24" s="60" t="e">
        <f t="shared" si="1"/>
        <v>#REF!</v>
      </c>
      <c r="J24" s="60" t="e">
        <f>VLOOKUP(B24,'115+040'!$B$12:$AB$112,13,FALSE)</f>
        <v>#REF!</v>
      </c>
      <c r="K24" s="58">
        <f>'115+040'!R22</f>
        <v>0</v>
      </c>
      <c r="L24" s="57">
        <f t="shared" si="6"/>
        <v>0</v>
      </c>
      <c r="M24" s="62" t="e">
        <f>VLOOKUP(B24,'115+040'!$B$11:$AB$112,21,FALSE)</f>
        <v>#REF!</v>
      </c>
      <c r="N24" s="61" t="e">
        <f>VLOOKUP(B24,'115+040'!$B$12:$AB$112,5,FALSE)</f>
        <v>#REF!</v>
      </c>
      <c r="O24" s="60" t="e">
        <f t="shared" si="2"/>
        <v>#REF!</v>
      </c>
      <c r="P24" s="60" t="e">
        <f>VLOOKUP(B24,'115+040'!$B$12:$AB$112,14,FALSE)</f>
        <v>#REF!</v>
      </c>
      <c r="Q24" s="58">
        <f>'115+040'!S22</f>
        <v>0</v>
      </c>
      <c r="R24" s="57">
        <f t="shared" si="7"/>
        <v>0</v>
      </c>
      <c r="S24" s="62" t="e">
        <f>VLOOKUP(B24,'115+040'!$B$11:$AB$112,22,FALSE)</f>
        <v>#REF!</v>
      </c>
      <c r="T24" s="61" t="e">
        <f>VLOOKUP(B24,'115+040'!$B$12:$AB$112,6,FALSE)</f>
        <v>#REF!</v>
      </c>
      <c r="U24" s="60" t="e">
        <f t="shared" si="3"/>
        <v>#REF!</v>
      </c>
      <c r="V24" s="59" t="e">
        <f>VLOOKUP(B24,'115+040'!$B$12:$AB$112,15,FALSE)</f>
        <v>#REF!</v>
      </c>
      <c r="W24" s="58">
        <f>'[4]114+940'!S25</f>
        <v>0</v>
      </c>
      <c r="X24" s="57">
        <f t="shared" si="8"/>
        <v>0</v>
      </c>
      <c r="Y24" s="56" t="e">
        <f t="shared" si="9"/>
        <v>#REF!</v>
      </c>
      <c r="Z24" s="55" t="e">
        <f t="shared" si="10"/>
        <v>#REF!</v>
      </c>
      <c r="AA24" s="54" t="e">
        <f t="shared" si="11"/>
        <v>#REF!</v>
      </c>
      <c r="AB24" s="54" t="e">
        <f t="shared" si="12"/>
        <v>#REF!</v>
      </c>
      <c r="AC24" s="85"/>
      <c r="AD24" s="85"/>
      <c r="AE24" s="84"/>
    </row>
    <row r="25" spans="1:31" s="83" customFormat="1" ht="15" customHeight="1">
      <c r="A25" s="76"/>
      <c r="B25" s="96" t="e">
        <f>'115+040'!#REF!</f>
        <v>#REF!</v>
      </c>
      <c r="C25" s="66" t="e">
        <f t="shared" si="4"/>
        <v>#REF!</v>
      </c>
      <c r="D25" s="65" t="e">
        <f t="shared" si="5"/>
        <v>#REF!</v>
      </c>
      <c r="E25" s="64" t="e">
        <f>VLOOKUP(B25,'115+040'!B23:AB124,3,FALSE)</f>
        <v>#REF!</v>
      </c>
      <c r="F25" s="61" t="e">
        <f t="shared" si="0"/>
        <v>#REF!</v>
      </c>
      <c r="G25" s="63" t="e">
        <f>VLOOKUP(B25,'115+040'!$B$12:$AB$112,20,FALSE)</f>
        <v>#REF!</v>
      </c>
      <c r="H25" s="63" t="e">
        <f>VLOOKUP(B25,'115+040'!$B$12:$AB$112,4,FALSE)</f>
        <v>#REF!</v>
      </c>
      <c r="I25" s="60" t="e">
        <f t="shared" si="1"/>
        <v>#REF!</v>
      </c>
      <c r="J25" s="60" t="e">
        <f>VLOOKUP(B25,'115+040'!$B$12:$AB$112,13,FALSE)</f>
        <v>#REF!</v>
      </c>
      <c r="K25" s="58">
        <f>'115+040'!R23</f>
        <v>0</v>
      </c>
      <c r="L25" s="57">
        <f t="shared" si="6"/>
        <v>0</v>
      </c>
      <c r="M25" s="62" t="e">
        <f>VLOOKUP(B25,'115+040'!$B$11:$AB$112,21,FALSE)</f>
        <v>#REF!</v>
      </c>
      <c r="N25" s="61" t="e">
        <f>VLOOKUP(B25,'115+040'!$B$12:$AB$112,5,FALSE)</f>
        <v>#REF!</v>
      </c>
      <c r="O25" s="60" t="e">
        <f t="shared" si="2"/>
        <v>#REF!</v>
      </c>
      <c r="P25" s="60" t="e">
        <f>VLOOKUP(B25,'115+040'!$B$12:$AB$112,14,FALSE)</f>
        <v>#REF!</v>
      </c>
      <c r="Q25" s="58">
        <f>'115+040'!S23</f>
        <v>0</v>
      </c>
      <c r="R25" s="57">
        <f t="shared" si="7"/>
        <v>0</v>
      </c>
      <c r="S25" s="62" t="e">
        <f>VLOOKUP(B25,'115+040'!$B$11:$AB$112,22,FALSE)</f>
        <v>#REF!</v>
      </c>
      <c r="T25" s="61" t="e">
        <f>VLOOKUP(B25,'115+040'!$B$12:$AB$112,6,FALSE)</f>
        <v>#REF!</v>
      </c>
      <c r="U25" s="60" t="e">
        <f t="shared" si="3"/>
        <v>#REF!</v>
      </c>
      <c r="V25" s="59" t="e">
        <f>VLOOKUP(B25,'115+040'!$B$12:$AB$112,15,FALSE)</f>
        <v>#REF!</v>
      </c>
      <c r="W25" s="58">
        <f>'[4]114+940'!S26</f>
        <v>0</v>
      </c>
      <c r="X25" s="57">
        <f t="shared" si="8"/>
        <v>0</v>
      </c>
      <c r="Y25" s="56" t="e">
        <f t="shared" si="9"/>
        <v>#REF!</v>
      </c>
      <c r="Z25" s="55" t="e">
        <f t="shared" si="10"/>
        <v>#REF!</v>
      </c>
      <c r="AA25" s="54" t="e">
        <f t="shared" si="11"/>
        <v>#REF!</v>
      </c>
      <c r="AB25" s="54" t="e">
        <f t="shared" si="12"/>
        <v>#REF!</v>
      </c>
      <c r="AC25" s="85"/>
      <c r="AD25" s="85"/>
      <c r="AE25" s="84"/>
    </row>
    <row r="26" spans="1:31" s="83" customFormat="1" ht="15" customHeight="1">
      <c r="A26" s="76"/>
      <c r="B26" s="96" t="e">
        <f>'115+040'!#REF!</f>
        <v>#REF!</v>
      </c>
      <c r="C26" s="66" t="e">
        <f t="shared" si="4"/>
        <v>#REF!</v>
      </c>
      <c r="D26" s="65" t="e">
        <f t="shared" si="5"/>
        <v>#REF!</v>
      </c>
      <c r="E26" s="64" t="e">
        <f>VLOOKUP(B26,'115+040'!B24:AB125,3,FALSE)</f>
        <v>#REF!</v>
      </c>
      <c r="F26" s="61" t="e">
        <f t="shared" si="0"/>
        <v>#REF!</v>
      </c>
      <c r="G26" s="63" t="e">
        <f>VLOOKUP(B26,'115+040'!$B$12:$AB$112,20,FALSE)</f>
        <v>#REF!</v>
      </c>
      <c r="H26" s="63" t="e">
        <f>VLOOKUP(B26,'115+040'!$B$12:$AB$112,4,FALSE)</f>
        <v>#REF!</v>
      </c>
      <c r="I26" s="60" t="e">
        <f t="shared" si="1"/>
        <v>#REF!</v>
      </c>
      <c r="J26" s="60" t="e">
        <f>VLOOKUP(B26,'115+040'!$B$12:$AB$112,13,FALSE)</f>
        <v>#REF!</v>
      </c>
      <c r="K26" s="58">
        <f>'115+040'!R24</f>
        <v>0</v>
      </c>
      <c r="L26" s="57">
        <f t="shared" si="6"/>
        <v>0</v>
      </c>
      <c r="M26" s="62" t="e">
        <f>VLOOKUP(B26,'115+040'!$B$11:$AB$112,21,FALSE)</f>
        <v>#REF!</v>
      </c>
      <c r="N26" s="61" t="e">
        <f>VLOOKUP(B26,'115+040'!$B$12:$AB$112,5,FALSE)</f>
        <v>#REF!</v>
      </c>
      <c r="O26" s="60" t="e">
        <f t="shared" si="2"/>
        <v>#REF!</v>
      </c>
      <c r="P26" s="60" t="e">
        <f>VLOOKUP(B26,'115+040'!$B$12:$AB$112,14,FALSE)</f>
        <v>#REF!</v>
      </c>
      <c r="Q26" s="58">
        <f>'115+040'!S24</f>
        <v>0</v>
      </c>
      <c r="R26" s="57">
        <f t="shared" si="7"/>
        <v>0</v>
      </c>
      <c r="S26" s="62" t="e">
        <f>VLOOKUP(B26,'115+040'!$B$11:$AB$112,22,FALSE)</f>
        <v>#REF!</v>
      </c>
      <c r="T26" s="61" t="e">
        <f>VLOOKUP(B26,'115+040'!$B$12:$AB$112,6,FALSE)</f>
        <v>#REF!</v>
      </c>
      <c r="U26" s="60" t="e">
        <f t="shared" si="3"/>
        <v>#REF!</v>
      </c>
      <c r="V26" s="59" t="e">
        <f>VLOOKUP(B26,'115+040'!$B$12:$AB$112,15,FALSE)</f>
        <v>#REF!</v>
      </c>
      <c r="W26" s="58">
        <f>'[4]114+940'!S27</f>
        <v>0</v>
      </c>
      <c r="X26" s="57">
        <f t="shared" si="8"/>
        <v>0</v>
      </c>
      <c r="Y26" s="56" t="e">
        <f t="shared" si="9"/>
        <v>#REF!</v>
      </c>
      <c r="Z26" s="55" t="e">
        <f t="shared" si="10"/>
        <v>#REF!</v>
      </c>
      <c r="AA26" s="54" t="e">
        <f t="shared" si="11"/>
        <v>#REF!</v>
      </c>
      <c r="AB26" s="54" t="e">
        <f t="shared" si="12"/>
        <v>#REF!</v>
      </c>
      <c r="AC26" s="85"/>
      <c r="AD26" s="85"/>
      <c r="AE26" s="84"/>
    </row>
    <row r="27" spans="1:31" s="83" customFormat="1" ht="15" customHeight="1">
      <c r="A27" s="76"/>
      <c r="B27" s="96" t="e">
        <f>'115+040'!#REF!</f>
        <v>#REF!</v>
      </c>
      <c r="C27" s="66" t="e">
        <f t="shared" si="4"/>
        <v>#REF!</v>
      </c>
      <c r="D27" s="65" t="e">
        <f t="shared" si="5"/>
        <v>#REF!</v>
      </c>
      <c r="E27" s="64" t="e">
        <f>VLOOKUP(B27,'115+040'!B25:AB126,3,FALSE)</f>
        <v>#REF!</v>
      </c>
      <c r="F27" s="61" t="e">
        <f t="shared" si="0"/>
        <v>#REF!</v>
      </c>
      <c r="G27" s="63" t="e">
        <f>VLOOKUP(B27,'115+040'!$B$12:$AB$112,20,FALSE)</f>
        <v>#REF!</v>
      </c>
      <c r="H27" s="63" t="e">
        <f>VLOOKUP(B27,'115+040'!$B$12:$AB$112,4,FALSE)</f>
        <v>#REF!</v>
      </c>
      <c r="I27" s="60" t="e">
        <f t="shared" si="1"/>
        <v>#REF!</v>
      </c>
      <c r="J27" s="60" t="e">
        <f>VLOOKUP(B27,'115+040'!$B$12:$AB$112,13,FALSE)</f>
        <v>#REF!</v>
      </c>
      <c r="K27" s="58">
        <f>'115+040'!R25</f>
        <v>0</v>
      </c>
      <c r="L27" s="57">
        <f t="shared" si="6"/>
        <v>0</v>
      </c>
      <c r="M27" s="62" t="e">
        <f>VLOOKUP(B27,'115+040'!$B$11:$AB$112,21,FALSE)</f>
        <v>#REF!</v>
      </c>
      <c r="N27" s="61" t="e">
        <f>VLOOKUP(B27,'115+040'!$B$12:$AB$112,5,FALSE)</f>
        <v>#REF!</v>
      </c>
      <c r="O27" s="60" t="e">
        <f t="shared" si="2"/>
        <v>#REF!</v>
      </c>
      <c r="P27" s="60" t="e">
        <f>VLOOKUP(B27,'115+040'!$B$12:$AB$112,14,FALSE)</f>
        <v>#REF!</v>
      </c>
      <c r="Q27" s="58">
        <f>'115+040'!S25</f>
        <v>0</v>
      </c>
      <c r="R27" s="57">
        <f t="shared" si="7"/>
        <v>0</v>
      </c>
      <c r="S27" s="62" t="e">
        <f>VLOOKUP(B27,'115+040'!$B$11:$AB$112,22,FALSE)</f>
        <v>#REF!</v>
      </c>
      <c r="T27" s="61" t="e">
        <f>VLOOKUP(B27,'115+040'!$B$12:$AB$112,6,FALSE)</f>
        <v>#REF!</v>
      </c>
      <c r="U27" s="60" t="e">
        <f t="shared" si="3"/>
        <v>#REF!</v>
      </c>
      <c r="V27" s="59" t="e">
        <f>VLOOKUP(B27,'115+040'!$B$12:$AB$112,15,FALSE)</f>
        <v>#REF!</v>
      </c>
      <c r="W27" s="58">
        <f>'[4]114+940'!S28</f>
        <v>0</v>
      </c>
      <c r="X27" s="57">
        <f t="shared" si="8"/>
        <v>0</v>
      </c>
      <c r="Y27" s="56" t="e">
        <f t="shared" si="9"/>
        <v>#REF!</v>
      </c>
      <c r="Z27" s="55" t="e">
        <f t="shared" si="10"/>
        <v>#REF!</v>
      </c>
      <c r="AA27" s="54" t="e">
        <f t="shared" si="11"/>
        <v>#REF!</v>
      </c>
      <c r="AB27" s="54" t="e">
        <f t="shared" si="12"/>
        <v>#REF!</v>
      </c>
      <c r="AC27" s="85"/>
      <c r="AD27" s="85"/>
      <c r="AE27" s="84"/>
    </row>
    <row r="28" spans="1:31" s="83" customFormat="1" ht="15" customHeight="1">
      <c r="A28" s="76"/>
      <c r="B28" s="96" t="e">
        <f>'115+040'!#REF!</f>
        <v>#REF!</v>
      </c>
      <c r="C28" s="66" t="e">
        <f t="shared" si="4"/>
        <v>#REF!</v>
      </c>
      <c r="D28" s="65" t="e">
        <f t="shared" si="5"/>
        <v>#REF!</v>
      </c>
      <c r="E28" s="64" t="e">
        <f>VLOOKUP(B28,'115+040'!B26:AB127,3,FALSE)</f>
        <v>#REF!</v>
      </c>
      <c r="F28" s="61" t="e">
        <f t="shared" si="0"/>
        <v>#REF!</v>
      </c>
      <c r="G28" s="63" t="e">
        <f>VLOOKUP(B28,'115+040'!$B$12:$AB$112,20,FALSE)</f>
        <v>#REF!</v>
      </c>
      <c r="H28" s="63" t="e">
        <f>VLOOKUP(B28,'115+040'!$B$12:$AB$112,4,FALSE)</f>
        <v>#REF!</v>
      </c>
      <c r="I28" s="60" t="e">
        <f t="shared" si="1"/>
        <v>#REF!</v>
      </c>
      <c r="J28" s="60" t="e">
        <f>VLOOKUP(B28,'115+040'!$B$12:$AB$112,13,FALSE)</f>
        <v>#REF!</v>
      </c>
      <c r="K28" s="58">
        <f>'115+040'!R26</f>
        <v>0</v>
      </c>
      <c r="L28" s="57">
        <f t="shared" si="6"/>
        <v>0</v>
      </c>
      <c r="M28" s="62" t="e">
        <f>VLOOKUP(B28,'115+040'!$B$11:$AB$112,21,FALSE)</f>
        <v>#REF!</v>
      </c>
      <c r="N28" s="61" t="e">
        <f>VLOOKUP(B28,'115+040'!$B$12:$AB$112,5,FALSE)</f>
        <v>#REF!</v>
      </c>
      <c r="O28" s="60" t="e">
        <f t="shared" si="2"/>
        <v>#REF!</v>
      </c>
      <c r="P28" s="60" t="e">
        <f>VLOOKUP(B28,'115+040'!$B$12:$AB$112,14,FALSE)</f>
        <v>#REF!</v>
      </c>
      <c r="Q28" s="58">
        <f>'115+040'!S26</f>
        <v>0</v>
      </c>
      <c r="R28" s="57">
        <f t="shared" si="7"/>
        <v>0</v>
      </c>
      <c r="S28" s="62" t="e">
        <f>VLOOKUP(B28,'115+040'!$B$11:$AB$112,22,FALSE)</f>
        <v>#REF!</v>
      </c>
      <c r="T28" s="61" t="e">
        <f>VLOOKUP(B28,'115+040'!$B$12:$AB$112,6,FALSE)</f>
        <v>#REF!</v>
      </c>
      <c r="U28" s="60" t="e">
        <f t="shared" si="3"/>
        <v>#REF!</v>
      </c>
      <c r="V28" s="59" t="e">
        <f>VLOOKUP(B28,'115+040'!$B$12:$AB$112,15,FALSE)</f>
        <v>#REF!</v>
      </c>
      <c r="W28" s="58">
        <f>'[4]114+940'!S29</f>
        <v>0</v>
      </c>
      <c r="X28" s="57">
        <f t="shared" si="8"/>
        <v>0</v>
      </c>
      <c r="Y28" s="56" t="e">
        <f t="shared" si="9"/>
        <v>#REF!</v>
      </c>
      <c r="Z28" s="55" t="e">
        <f t="shared" si="10"/>
        <v>#REF!</v>
      </c>
      <c r="AA28" s="54" t="e">
        <f t="shared" si="11"/>
        <v>#REF!</v>
      </c>
      <c r="AB28" s="54" t="e">
        <f t="shared" si="12"/>
        <v>#REF!</v>
      </c>
      <c r="AC28" s="85"/>
      <c r="AD28" s="85"/>
      <c r="AE28" s="84"/>
    </row>
    <row r="29" spans="1:31" s="83" customFormat="1" ht="15" customHeight="1">
      <c r="A29" s="76"/>
      <c r="B29" s="96" t="e">
        <f>'115+040'!#REF!</f>
        <v>#REF!</v>
      </c>
      <c r="C29" s="66" t="e">
        <f t="shared" si="4"/>
        <v>#REF!</v>
      </c>
      <c r="D29" s="65" t="e">
        <f t="shared" si="5"/>
        <v>#REF!</v>
      </c>
      <c r="E29" s="64" t="e">
        <f>VLOOKUP(B29,'115+040'!B27:AB128,3,FALSE)</f>
        <v>#REF!</v>
      </c>
      <c r="F29" s="61" t="e">
        <f t="shared" si="0"/>
        <v>#REF!</v>
      </c>
      <c r="G29" s="63" t="e">
        <f>VLOOKUP(B29,'115+040'!$B$12:$AB$112,20,FALSE)</f>
        <v>#REF!</v>
      </c>
      <c r="H29" s="63" t="e">
        <f>VLOOKUP(B29,'115+040'!$B$12:$AB$112,4,FALSE)</f>
        <v>#REF!</v>
      </c>
      <c r="I29" s="60" t="e">
        <f t="shared" si="1"/>
        <v>#REF!</v>
      </c>
      <c r="J29" s="60" t="e">
        <f>VLOOKUP(B29,'115+040'!$B$12:$AB$112,13,FALSE)</f>
        <v>#REF!</v>
      </c>
      <c r="K29" s="58">
        <f>'115+040'!R27</f>
        <v>0</v>
      </c>
      <c r="L29" s="57">
        <f t="shared" si="6"/>
        <v>0</v>
      </c>
      <c r="M29" s="62" t="e">
        <f>VLOOKUP(B29,'115+040'!$B$11:$AB$112,21,FALSE)</f>
        <v>#REF!</v>
      </c>
      <c r="N29" s="61" t="e">
        <f>VLOOKUP(B29,'115+040'!$B$12:$AB$112,5,FALSE)</f>
        <v>#REF!</v>
      </c>
      <c r="O29" s="60" t="e">
        <f t="shared" si="2"/>
        <v>#REF!</v>
      </c>
      <c r="P29" s="60" t="e">
        <f>VLOOKUP(B29,'115+040'!$B$12:$AB$112,14,FALSE)</f>
        <v>#REF!</v>
      </c>
      <c r="Q29" s="58">
        <f>'115+040'!S27</f>
        <v>0</v>
      </c>
      <c r="R29" s="57">
        <f t="shared" si="7"/>
        <v>0</v>
      </c>
      <c r="S29" s="62" t="e">
        <f>VLOOKUP(B29,'115+040'!$B$11:$AB$112,22,FALSE)</f>
        <v>#REF!</v>
      </c>
      <c r="T29" s="61" t="e">
        <f>VLOOKUP(B29,'115+040'!$B$12:$AB$112,6,FALSE)</f>
        <v>#REF!</v>
      </c>
      <c r="U29" s="60" t="e">
        <f t="shared" si="3"/>
        <v>#REF!</v>
      </c>
      <c r="V29" s="59" t="e">
        <f>VLOOKUP(B29,'115+040'!$B$12:$AB$112,15,FALSE)</f>
        <v>#REF!</v>
      </c>
      <c r="W29" s="58">
        <f>'[4]114+940'!S30</f>
        <v>0</v>
      </c>
      <c r="X29" s="57">
        <f t="shared" si="8"/>
        <v>0</v>
      </c>
      <c r="Y29" s="56" t="e">
        <f t="shared" si="9"/>
        <v>#REF!</v>
      </c>
      <c r="Z29" s="55" t="e">
        <f t="shared" si="10"/>
        <v>#REF!</v>
      </c>
      <c r="AA29" s="54" t="e">
        <f t="shared" si="11"/>
        <v>#REF!</v>
      </c>
      <c r="AB29" s="54" t="e">
        <f t="shared" si="12"/>
        <v>#REF!</v>
      </c>
      <c r="AC29" s="85"/>
      <c r="AD29" s="85"/>
      <c r="AE29" s="84"/>
    </row>
    <row r="30" spans="1:31" s="83" customFormat="1" ht="15" customHeight="1">
      <c r="A30" s="76"/>
      <c r="B30" s="96" t="e">
        <f>'115+040'!#REF!</f>
        <v>#REF!</v>
      </c>
      <c r="C30" s="66" t="e">
        <f t="shared" si="4"/>
        <v>#REF!</v>
      </c>
      <c r="D30" s="65" t="e">
        <f t="shared" si="5"/>
        <v>#REF!</v>
      </c>
      <c r="E30" s="64" t="e">
        <f>VLOOKUP(B30,'115+040'!B28:AB129,3,FALSE)</f>
        <v>#REF!</v>
      </c>
      <c r="F30" s="61" t="e">
        <f t="shared" si="0"/>
        <v>#REF!</v>
      </c>
      <c r="G30" s="63" t="e">
        <f>VLOOKUP(B30,'115+040'!$B$12:$AB$112,20,FALSE)</f>
        <v>#REF!</v>
      </c>
      <c r="H30" s="63" t="e">
        <f>VLOOKUP(B30,'115+040'!$B$12:$AB$112,4,FALSE)</f>
        <v>#REF!</v>
      </c>
      <c r="I30" s="60" t="e">
        <f t="shared" si="1"/>
        <v>#REF!</v>
      </c>
      <c r="J30" s="60" t="e">
        <f>VLOOKUP(B30,'115+040'!$B$12:$AB$112,13,FALSE)</f>
        <v>#REF!</v>
      </c>
      <c r="K30" s="58">
        <f>'115+040'!R28</f>
        <v>7</v>
      </c>
      <c r="L30" s="57">
        <f t="shared" si="6"/>
        <v>7</v>
      </c>
      <c r="M30" s="62" t="e">
        <f>VLOOKUP(B30,'115+040'!$B$11:$AB$112,21,FALSE)</f>
        <v>#REF!</v>
      </c>
      <c r="N30" s="61" t="e">
        <f>VLOOKUP(B30,'115+040'!$B$12:$AB$112,5,FALSE)</f>
        <v>#REF!</v>
      </c>
      <c r="O30" s="60" t="e">
        <f t="shared" si="2"/>
        <v>#REF!</v>
      </c>
      <c r="P30" s="60" t="e">
        <f>VLOOKUP(B30,'115+040'!$B$12:$AB$112,14,FALSE)</f>
        <v>#REF!</v>
      </c>
      <c r="Q30" s="58">
        <f>'115+040'!S28</f>
        <v>8</v>
      </c>
      <c r="R30" s="57">
        <f t="shared" si="7"/>
        <v>8</v>
      </c>
      <c r="S30" s="62" t="e">
        <f>VLOOKUP(B30,'115+040'!$B$11:$AB$112,22,FALSE)</f>
        <v>#REF!</v>
      </c>
      <c r="T30" s="61" t="e">
        <f>VLOOKUP(B30,'115+040'!$B$12:$AB$112,6,FALSE)</f>
        <v>#REF!</v>
      </c>
      <c r="U30" s="60" t="e">
        <f t="shared" si="3"/>
        <v>#REF!</v>
      </c>
      <c r="V30" s="59" t="e">
        <f>VLOOKUP(B30,'115+040'!$B$12:$AB$112,15,FALSE)</f>
        <v>#REF!</v>
      </c>
      <c r="W30" s="58">
        <f>'[4]114+940'!S31</f>
        <v>0</v>
      </c>
      <c r="X30" s="57">
        <f t="shared" si="8"/>
        <v>0</v>
      </c>
      <c r="Y30" s="56" t="e">
        <f t="shared" si="9"/>
        <v>#REF!</v>
      </c>
      <c r="Z30" s="55" t="e">
        <f t="shared" si="10"/>
        <v>#REF!</v>
      </c>
      <c r="AA30" s="54" t="e">
        <f t="shared" si="11"/>
        <v>#REF!</v>
      </c>
      <c r="AB30" s="54" t="e">
        <f t="shared" si="12"/>
        <v>#REF!</v>
      </c>
      <c r="AC30" s="85"/>
      <c r="AD30" s="85"/>
      <c r="AE30" s="84"/>
    </row>
    <row r="31" spans="1:31" s="77" customFormat="1" ht="15" customHeight="1">
      <c r="A31" s="76"/>
      <c r="B31" s="96" t="e">
        <f>'115+040'!#REF!</f>
        <v>#REF!</v>
      </c>
      <c r="C31" s="66" t="e">
        <f t="shared" si="4"/>
        <v>#REF!</v>
      </c>
      <c r="D31" s="65" t="e">
        <f t="shared" si="5"/>
        <v>#REF!</v>
      </c>
      <c r="E31" s="64" t="e">
        <f>VLOOKUP(B31,'115+040'!B29:AB130,3,FALSE)</f>
        <v>#REF!</v>
      </c>
      <c r="F31" s="61" t="e">
        <f t="shared" si="0"/>
        <v>#REF!</v>
      </c>
      <c r="G31" s="63" t="e">
        <f>VLOOKUP(B31,'115+040'!$B$12:$AB$112,20,FALSE)</f>
        <v>#REF!</v>
      </c>
      <c r="H31" s="63" t="e">
        <f>VLOOKUP(B31,'115+040'!$B$12:$AB$112,4,FALSE)</f>
        <v>#REF!</v>
      </c>
      <c r="I31" s="60" t="e">
        <f t="shared" si="1"/>
        <v>#REF!</v>
      </c>
      <c r="J31" s="60" t="e">
        <f>VLOOKUP(B31,'115+040'!$B$12:$AB$112,13,FALSE)</f>
        <v>#REF!</v>
      </c>
      <c r="K31" s="58">
        <f>'115+040'!R29</f>
        <v>3</v>
      </c>
      <c r="L31" s="57">
        <f t="shared" si="6"/>
        <v>10</v>
      </c>
      <c r="M31" s="62" t="e">
        <f>VLOOKUP(B31,'115+040'!$B$11:$AB$112,21,FALSE)</f>
        <v>#REF!</v>
      </c>
      <c r="N31" s="61" t="e">
        <f>VLOOKUP(B31,'115+040'!$B$12:$AB$112,5,FALSE)</f>
        <v>#REF!</v>
      </c>
      <c r="O31" s="60" t="e">
        <f t="shared" si="2"/>
        <v>#REF!</v>
      </c>
      <c r="P31" s="60" t="e">
        <f>VLOOKUP(B31,'115+040'!$B$12:$AB$112,14,FALSE)</f>
        <v>#REF!</v>
      </c>
      <c r="Q31" s="58">
        <f>'115+040'!S29</f>
        <v>3</v>
      </c>
      <c r="R31" s="57">
        <f t="shared" si="7"/>
        <v>11</v>
      </c>
      <c r="S31" s="62" t="e">
        <f>VLOOKUP(B31,'115+040'!$B$11:$AB$112,22,FALSE)</f>
        <v>#REF!</v>
      </c>
      <c r="T31" s="61" t="e">
        <f>VLOOKUP(B31,'115+040'!$B$12:$AB$112,6,FALSE)</f>
        <v>#REF!</v>
      </c>
      <c r="U31" s="60" t="e">
        <f t="shared" si="3"/>
        <v>#REF!</v>
      </c>
      <c r="V31" s="59" t="e">
        <f>VLOOKUP(B31,'115+040'!$B$12:$AB$112,15,FALSE)</f>
        <v>#REF!</v>
      </c>
      <c r="W31" s="58">
        <f>'[4]114+940'!S32</f>
        <v>0</v>
      </c>
      <c r="X31" s="57">
        <f t="shared" si="8"/>
        <v>0</v>
      </c>
      <c r="Y31" s="56" t="e">
        <f t="shared" si="9"/>
        <v>#REF!</v>
      </c>
      <c r="Z31" s="55" t="e">
        <f t="shared" si="10"/>
        <v>#REF!</v>
      </c>
      <c r="AA31" s="54" t="e">
        <f t="shared" si="11"/>
        <v>#REF!</v>
      </c>
      <c r="AB31" s="54" t="e">
        <f t="shared" si="12"/>
        <v>#REF!</v>
      </c>
      <c r="AC31" s="79"/>
      <c r="AD31" s="79"/>
      <c r="AE31" s="78"/>
    </row>
    <row r="32" spans="1:31" s="83" customFormat="1" ht="15" customHeight="1">
      <c r="A32" s="76"/>
      <c r="B32" s="96" t="e">
        <f>'115+040'!#REF!</f>
        <v>#REF!</v>
      </c>
      <c r="C32" s="66" t="e">
        <f t="shared" si="4"/>
        <v>#REF!</v>
      </c>
      <c r="D32" s="65" t="e">
        <f t="shared" si="5"/>
        <v>#REF!</v>
      </c>
      <c r="E32" s="64" t="e">
        <f>VLOOKUP(B32,'115+040'!B30:AB131,3,FALSE)</f>
        <v>#REF!</v>
      </c>
      <c r="F32" s="61" t="e">
        <f t="shared" si="0"/>
        <v>#REF!</v>
      </c>
      <c r="G32" s="63" t="e">
        <f>VLOOKUP(B32,'115+040'!$B$12:$AB$112,20,FALSE)</f>
        <v>#REF!</v>
      </c>
      <c r="H32" s="63" t="e">
        <f>VLOOKUP(B32,'115+040'!$B$12:$AB$112,4,FALSE)</f>
        <v>#REF!</v>
      </c>
      <c r="I32" s="60" t="e">
        <f t="shared" si="1"/>
        <v>#REF!</v>
      </c>
      <c r="J32" s="60" t="e">
        <f>VLOOKUP(B32,'115+040'!$B$12:$AB$112,13,FALSE)</f>
        <v>#REF!</v>
      </c>
      <c r="K32" s="58">
        <f>'115+040'!R30</f>
        <v>4</v>
      </c>
      <c r="L32" s="57">
        <f t="shared" si="6"/>
        <v>14</v>
      </c>
      <c r="M32" s="62" t="e">
        <f>VLOOKUP(B32,'115+040'!$B$11:$AB$112,21,FALSE)</f>
        <v>#REF!</v>
      </c>
      <c r="N32" s="61" t="e">
        <f>VLOOKUP(B32,'115+040'!$B$12:$AB$112,5,FALSE)</f>
        <v>#REF!</v>
      </c>
      <c r="O32" s="60" t="e">
        <f t="shared" si="2"/>
        <v>#REF!</v>
      </c>
      <c r="P32" s="60" t="e">
        <f>VLOOKUP(B32,'115+040'!$B$12:$AB$112,14,FALSE)</f>
        <v>#REF!</v>
      </c>
      <c r="Q32" s="58">
        <f>'115+040'!S30</f>
        <v>4</v>
      </c>
      <c r="R32" s="57">
        <f t="shared" si="7"/>
        <v>15</v>
      </c>
      <c r="S32" s="62" t="e">
        <f>VLOOKUP(B32,'115+040'!$B$11:$AB$112,22,FALSE)</f>
        <v>#REF!</v>
      </c>
      <c r="T32" s="61" t="e">
        <f>VLOOKUP(B32,'115+040'!$B$12:$AB$112,6,FALSE)</f>
        <v>#REF!</v>
      </c>
      <c r="U32" s="60" t="e">
        <f t="shared" si="3"/>
        <v>#REF!</v>
      </c>
      <c r="V32" s="59" t="e">
        <f>VLOOKUP(B32,'115+040'!$B$12:$AB$112,15,FALSE)</f>
        <v>#REF!</v>
      </c>
      <c r="W32" s="58">
        <f>'[4]114+940'!S33</f>
        <v>0</v>
      </c>
      <c r="X32" s="57">
        <f t="shared" si="8"/>
        <v>0</v>
      </c>
      <c r="Y32" s="56" t="e">
        <f t="shared" si="9"/>
        <v>#REF!</v>
      </c>
      <c r="Z32" s="55" t="e">
        <f t="shared" si="10"/>
        <v>#REF!</v>
      </c>
      <c r="AA32" s="54" t="e">
        <f t="shared" si="11"/>
        <v>#REF!</v>
      </c>
      <c r="AB32" s="54" t="e">
        <f t="shared" si="12"/>
        <v>#REF!</v>
      </c>
      <c r="AC32" s="85"/>
      <c r="AD32" s="85"/>
      <c r="AE32" s="84"/>
    </row>
    <row r="33" spans="1:31" s="83" customFormat="1" ht="15" customHeight="1">
      <c r="A33" s="76"/>
      <c r="B33" s="96" t="e">
        <f>'115+040'!#REF!</f>
        <v>#REF!</v>
      </c>
      <c r="C33" s="66" t="e">
        <f t="shared" si="4"/>
        <v>#REF!</v>
      </c>
      <c r="D33" s="65" t="e">
        <f t="shared" si="5"/>
        <v>#REF!</v>
      </c>
      <c r="E33" s="64" t="e">
        <f>VLOOKUP(B33,'115+040'!B31:AB132,3,FALSE)</f>
        <v>#REF!</v>
      </c>
      <c r="F33" s="61" t="e">
        <f t="shared" si="0"/>
        <v>#REF!</v>
      </c>
      <c r="G33" s="63" t="e">
        <f>VLOOKUP(B33,'115+040'!$B$12:$AB$112,20,FALSE)</f>
        <v>#REF!</v>
      </c>
      <c r="H33" s="63" t="e">
        <f>VLOOKUP(B33,'115+040'!$B$12:$AB$112,4,FALSE)</f>
        <v>#REF!</v>
      </c>
      <c r="I33" s="60" t="e">
        <f t="shared" si="1"/>
        <v>#REF!</v>
      </c>
      <c r="J33" s="60" t="e">
        <f>VLOOKUP(B33,'115+040'!$B$12:$AB$112,13,FALSE)</f>
        <v>#REF!</v>
      </c>
      <c r="K33" s="58">
        <f>'115+040'!R31</f>
        <v>5</v>
      </c>
      <c r="L33" s="57">
        <f t="shared" si="6"/>
        <v>19</v>
      </c>
      <c r="M33" s="62" t="e">
        <f>VLOOKUP(B33,'115+040'!$B$11:$AB$112,21,FALSE)</f>
        <v>#REF!</v>
      </c>
      <c r="N33" s="61" t="e">
        <f>VLOOKUP(B33,'115+040'!$B$12:$AB$112,5,FALSE)</f>
        <v>#REF!</v>
      </c>
      <c r="O33" s="60" t="e">
        <f t="shared" si="2"/>
        <v>#REF!</v>
      </c>
      <c r="P33" s="60" t="e">
        <f>VLOOKUP(B33,'115+040'!$B$12:$AB$112,14,FALSE)</f>
        <v>#REF!</v>
      </c>
      <c r="Q33" s="58">
        <f>'115+040'!S31</f>
        <v>2</v>
      </c>
      <c r="R33" s="57">
        <f t="shared" si="7"/>
        <v>17</v>
      </c>
      <c r="S33" s="62" t="e">
        <f>VLOOKUP(B33,'115+040'!$B$11:$AB$112,22,FALSE)</f>
        <v>#REF!</v>
      </c>
      <c r="T33" s="61" t="e">
        <f>VLOOKUP(B33,'115+040'!$B$12:$AB$112,6,FALSE)</f>
        <v>#REF!</v>
      </c>
      <c r="U33" s="60" t="e">
        <f t="shared" si="3"/>
        <v>#REF!</v>
      </c>
      <c r="V33" s="59" t="e">
        <f>VLOOKUP(B33,'115+040'!$B$12:$AB$112,15,FALSE)</f>
        <v>#REF!</v>
      </c>
      <c r="W33" s="58">
        <f>'[4]114+940'!S34</f>
        <v>0</v>
      </c>
      <c r="X33" s="57">
        <f t="shared" si="8"/>
        <v>0</v>
      </c>
      <c r="Y33" s="56" t="e">
        <f t="shared" si="9"/>
        <v>#REF!</v>
      </c>
      <c r="Z33" s="55" t="e">
        <f t="shared" si="10"/>
        <v>#REF!</v>
      </c>
      <c r="AA33" s="54" t="e">
        <f t="shared" si="11"/>
        <v>#REF!</v>
      </c>
      <c r="AB33" s="54" t="e">
        <f t="shared" si="12"/>
        <v>#REF!</v>
      </c>
      <c r="AC33" s="85"/>
      <c r="AD33" s="85"/>
      <c r="AE33" s="84"/>
    </row>
    <row r="34" spans="1:31" s="83" customFormat="1" ht="15" customHeight="1">
      <c r="A34" s="76"/>
      <c r="B34" s="96" t="e">
        <f>'115+040'!#REF!</f>
        <v>#REF!</v>
      </c>
      <c r="C34" s="66" t="e">
        <f t="shared" si="4"/>
        <v>#REF!</v>
      </c>
      <c r="D34" s="65" t="e">
        <f t="shared" si="5"/>
        <v>#REF!</v>
      </c>
      <c r="E34" s="64" t="e">
        <f>VLOOKUP(B34,'115+040'!B32:AB133,3,FALSE)</f>
        <v>#REF!</v>
      </c>
      <c r="F34" s="61" t="e">
        <f t="shared" si="0"/>
        <v>#REF!</v>
      </c>
      <c r="G34" s="63" t="e">
        <f>VLOOKUP(B34,'115+040'!$B$12:$AB$112,20,FALSE)</f>
        <v>#REF!</v>
      </c>
      <c r="H34" s="63" t="e">
        <f>VLOOKUP(B34,'115+040'!$B$12:$AB$112,4,FALSE)</f>
        <v>#REF!</v>
      </c>
      <c r="I34" s="60" t="e">
        <f t="shared" si="1"/>
        <v>#REF!</v>
      </c>
      <c r="J34" s="60" t="e">
        <f>VLOOKUP(B34,'115+040'!$B$12:$AB$112,13,FALSE)</f>
        <v>#REF!</v>
      </c>
      <c r="K34" s="58">
        <f>'115+040'!R32</f>
        <v>9</v>
      </c>
      <c r="L34" s="57">
        <f t="shared" si="6"/>
        <v>28</v>
      </c>
      <c r="M34" s="62" t="e">
        <f>VLOOKUP(B34,'115+040'!$B$11:$AB$112,21,FALSE)</f>
        <v>#REF!</v>
      </c>
      <c r="N34" s="61" t="e">
        <f>VLOOKUP(B34,'115+040'!$B$12:$AB$112,5,FALSE)</f>
        <v>#REF!</v>
      </c>
      <c r="O34" s="60" t="e">
        <f t="shared" si="2"/>
        <v>#REF!</v>
      </c>
      <c r="P34" s="60" t="e">
        <f>VLOOKUP(B34,'115+040'!$B$12:$AB$112,14,FALSE)</f>
        <v>#REF!</v>
      </c>
      <c r="Q34" s="58">
        <f>'115+040'!S32</f>
        <v>8</v>
      </c>
      <c r="R34" s="57">
        <f t="shared" si="7"/>
        <v>25</v>
      </c>
      <c r="S34" s="62" t="e">
        <f>VLOOKUP(B34,'115+040'!$B$11:$AB$112,22,FALSE)</f>
        <v>#REF!</v>
      </c>
      <c r="T34" s="61" t="e">
        <f>VLOOKUP(B34,'115+040'!$B$12:$AB$112,6,FALSE)</f>
        <v>#REF!</v>
      </c>
      <c r="U34" s="60" t="e">
        <f t="shared" si="3"/>
        <v>#REF!</v>
      </c>
      <c r="V34" s="59" t="e">
        <f>VLOOKUP(B34,'115+040'!$B$12:$AB$112,15,FALSE)</f>
        <v>#REF!</v>
      </c>
      <c r="W34" s="58">
        <f>'[4]114+940'!S35</f>
        <v>0</v>
      </c>
      <c r="X34" s="57">
        <f t="shared" si="8"/>
        <v>0</v>
      </c>
      <c r="Y34" s="56" t="e">
        <f t="shared" si="9"/>
        <v>#REF!</v>
      </c>
      <c r="Z34" s="55" t="e">
        <f t="shared" si="10"/>
        <v>#REF!</v>
      </c>
      <c r="AA34" s="54" t="e">
        <f t="shared" si="11"/>
        <v>#REF!</v>
      </c>
      <c r="AB34" s="54" t="e">
        <f t="shared" si="12"/>
        <v>#REF!</v>
      </c>
      <c r="AC34" s="85"/>
      <c r="AD34" s="85"/>
      <c r="AE34" s="84"/>
    </row>
    <row r="35" spans="1:31" s="83" customFormat="1" ht="15" customHeight="1">
      <c r="A35" s="76"/>
      <c r="B35" s="96" t="e">
        <f>'115+040'!#REF!</f>
        <v>#REF!</v>
      </c>
      <c r="C35" s="66" t="e">
        <f t="shared" si="4"/>
        <v>#REF!</v>
      </c>
      <c r="D35" s="65" t="e">
        <f t="shared" si="5"/>
        <v>#REF!</v>
      </c>
      <c r="E35" s="64" t="e">
        <f>VLOOKUP(B35,'115+040'!B33:AB134,3,FALSE)</f>
        <v>#REF!</v>
      </c>
      <c r="F35" s="61" t="e">
        <f t="shared" si="0"/>
        <v>#REF!</v>
      </c>
      <c r="G35" s="63" t="e">
        <f>VLOOKUP(B35,'115+040'!$B$12:$AB$112,20,FALSE)</f>
        <v>#REF!</v>
      </c>
      <c r="H35" s="63" t="e">
        <f>VLOOKUP(B35,'115+040'!$B$12:$AB$112,4,FALSE)</f>
        <v>#REF!</v>
      </c>
      <c r="I35" s="60" t="e">
        <f t="shared" si="1"/>
        <v>#REF!</v>
      </c>
      <c r="J35" s="60" t="e">
        <f>VLOOKUP(B35,'115+040'!$B$12:$AB$112,13,FALSE)</f>
        <v>#REF!</v>
      </c>
      <c r="K35" s="58">
        <f>'115+040'!R33</f>
        <v>4</v>
      </c>
      <c r="L35" s="57">
        <f t="shared" si="6"/>
        <v>32</v>
      </c>
      <c r="M35" s="62" t="e">
        <f>VLOOKUP(B35,'115+040'!$B$11:$AB$112,21,FALSE)</f>
        <v>#REF!</v>
      </c>
      <c r="N35" s="61" t="e">
        <f>VLOOKUP(B35,'115+040'!$B$12:$AB$112,5,FALSE)</f>
        <v>#REF!</v>
      </c>
      <c r="O35" s="60" t="e">
        <f t="shared" si="2"/>
        <v>#REF!</v>
      </c>
      <c r="P35" s="60" t="e">
        <f>VLOOKUP(B35,'115+040'!$B$12:$AB$112,14,FALSE)</f>
        <v>#REF!</v>
      </c>
      <c r="Q35" s="58">
        <f>'115+040'!S33</f>
        <v>3</v>
      </c>
      <c r="R35" s="57">
        <f t="shared" si="7"/>
        <v>28</v>
      </c>
      <c r="S35" s="62" t="e">
        <f>VLOOKUP(B35,'115+040'!$B$11:$AB$112,22,FALSE)</f>
        <v>#REF!</v>
      </c>
      <c r="T35" s="61" t="e">
        <f>VLOOKUP(B35,'115+040'!$B$12:$AB$112,6,FALSE)</f>
        <v>#REF!</v>
      </c>
      <c r="U35" s="60" t="e">
        <f t="shared" si="3"/>
        <v>#REF!</v>
      </c>
      <c r="V35" s="59" t="e">
        <f>VLOOKUP(B35,'115+040'!$B$12:$AB$112,15,FALSE)</f>
        <v>#REF!</v>
      </c>
      <c r="W35" s="58">
        <f>'[4]114+940'!S36</f>
        <v>0</v>
      </c>
      <c r="X35" s="57">
        <f t="shared" si="8"/>
        <v>0</v>
      </c>
      <c r="Y35" s="56" t="e">
        <f t="shared" si="9"/>
        <v>#REF!</v>
      </c>
      <c r="Z35" s="55" t="e">
        <f t="shared" si="10"/>
        <v>#REF!</v>
      </c>
      <c r="AA35" s="54" t="e">
        <f t="shared" si="11"/>
        <v>#REF!</v>
      </c>
      <c r="AB35" s="54" t="e">
        <f t="shared" si="12"/>
        <v>#REF!</v>
      </c>
      <c r="AC35" s="85"/>
      <c r="AD35" s="85"/>
      <c r="AE35" s="84"/>
    </row>
    <row r="36" spans="1:31" s="83" customFormat="1" ht="15" customHeight="1">
      <c r="A36" s="76"/>
      <c r="B36" s="96" t="e">
        <f>'115+040'!#REF!</f>
        <v>#REF!</v>
      </c>
      <c r="C36" s="66" t="e">
        <f t="shared" si="4"/>
        <v>#REF!</v>
      </c>
      <c r="D36" s="65" t="e">
        <f t="shared" si="5"/>
        <v>#REF!</v>
      </c>
      <c r="E36" s="64" t="e">
        <f>VLOOKUP(B36,'115+040'!B34:AB135,3,FALSE)</f>
        <v>#REF!</v>
      </c>
      <c r="F36" s="61" t="e">
        <f t="shared" si="0"/>
        <v>#REF!</v>
      </c>
      <c r="G36" s="63" t="e">
        <f>VLOOKUP(B36,'115+040'!$B$12:$AB$112,20,FALSE)</f>
        <v>#REF!</v>
      </c>
      <c r="H36" s="63" t="e">
        <f>VLOOKUP(B36,'115+040'!$B$12:$AB$112,4,FALSE)</f>
        <v>#REF!</v>
      </c>
      <c r="I36" s="60" t="e">
        <f t="shared" si="1"/>
        <v>#REF!</v>
      </c>
      <c r="J36" s="60" t="e">
        <f>VLOOKUP(B36,'115+040'!$B$12:$AB$112,13,FALSE)</f>
        <v>#REF!</v>
      </c>
      <c r="K36" s="58">
        <f>'115+040'!R34</f>
        <v>4</v>
      </c>
      <c r="L36" s="57">
        <f t="shared" si="6"/>
        <v>36</v>
      </c>
      <c r="M36" s="62" t="e">
        <f>VLOOKUP(B36,'115+040'!$B$11:$AB$112,21,FALSE)</f>
        <v>#REF!</v>
      </c>
      <c r="N36" s="61" t="e">
        <f>VLOOKUP(B36,'115+040'!$B$12:$AB$112,5,FALSE)</f>
        <v>#REF!</v>
      </c>
      <c r="O36" s="60" t="e">
        <f t="shared" si="2"/>
        <v>#REF!</v>
      </c>
      <c r="P36" s="60" t="e">
        <f>VLOOKUP(B36,'115+040'!$B$12:$AB$112,14,FALSE)</f>
        <v>#REF!</v>
      </c>
      <c r="Q36" s="58">
        <f>'115+040'!S34</f>
        <v>5</v>
      </c>
      <c r="R36" s="57">
        <f t="shared" si="7"/>
        <v>33</v>
      </c>
      <c r="S36" s="62" t="e">
        <f>VLOOKUP(B36,'115+040'!$B$11:$AB$112,22,FALSE)</f>
        <v>#REF!</v>
      </c>
      <c r="T36" s="61" t="e">
        <f>VLOOKUP(B36,'115+040'!$B$12:$AB$112,6,FALSE)</f>
        <v>#REF!</v>
      </c>
      <c r="U36" s="60" t="e">
        <f t="shared" si="3"/>
        <v>#REF!</v>
      </c>
      <c r="V36" s="59" t="e">
        <f>VLOOKUP(B36,'115+040'!$B$12:$AB$112,15,FALSE)</f>
        <v>#REF!</v>
      </c>
      <c r="W36" s="58">
        <f>'[4]114+940'!S37</f>
        <v>7</v>
      </c>
      <c r="X36" s="57">
        <f t="shared" si="8"/>
        <v>7</v>
      </c>
      <c r="Y36" s="56" t="e">
        <f t="shared" si="9"/>
        <v>#REF!</v>
      </c>
      <c r="Z36" s="55" t="e">
        <f t="shared" si="10"/>
        <v>#REF!</v>
      </c>
      <c r="AA36" s="54" t="e">
        <f t="shared" si="11"/>
        <v>#REF!</v>
      </c>
      <c r="AB36" s="54" t="e">
        <f t="shared" si="12"/>
        <v>#REF!</v>
      </c>
      <c r="AC36" s="85"/>
      <c r="AD36" s="85"/>
      <c r="AE36" s="84"/>
    </row>
    <row r="37" spans="1:31" s="83" customFormat="1" ht="15" customHeight="1">
      <c r="A37" s="76"/>
      <c r="B37" s="96" t="e">
        <f>'115+040'!#REF!</f>
        <v>#REF!</v>
      </c>
      <c r="C37" s="66" t="e">
        <f t="shared" si="4"/>
        <v>#REF!</v>
      </c>
      <c r="D37" s="65" t="e">
        <f t="shared" si="5"/>
        <v>#REF!</v>
      </c>
      <c r="E37" s="64" t="e">
        <f>VLOOKUP(B37,'115+040'!B35:AB136,3,FALSE)</f>
        <v>#REF!</v>
      </c>
      <c r="F37" s="61" t="e">
        <f t="shared" si="0"/>
        <v>#REF!</v>
      </c>
      <c r="G37" s="63" t="e">
        <f>VLOOKUP(B37,'115+040'!$B$12:$AB$112,20,FALSE)</f>
        <v>#REF!</v>
      </c>
      <c r="H37" s="63" t="e">
        <f>VLOOKUP(B37,'115+040'!$B$12:$AB$112,4,FALSE)</f>
        <v>#REF!</v>
      </c>
      <c r="I37" s="60" t="e">
        <f t="shared" si="1"/>
        <v>#REF!</v>
      </c>
      <c r="J37" s="60" t="e">
        <f>VLOOKUP(B37,'115+040'!$B$12:$AB$112,13,FALSE)</f>
        <v>#REF!</v>
      </c>
      <c r="K37" s="58">
        <f>'115+040'!R35</f>
        <v>4</v>
      </c>
      <c r="L37" s="57">
        <f t="shared" si="6"/>
        <v>40</v>
      </c>
      <c r="M37" s="62" t="e">
        <f>VLOOKUP(B37,'115+040'!$B$11:$AB$112,21,FALSE)</f>
        <v>#REF!</v>
      </c>
      <c r="N37" s="61" t="e">
        <f>VLOOKUP(B37,'115+040'!$B$12:$AB$112,5,FALSE)</f>
        <v>#REF!</v>
      </c>
      <c r="O37" s="60" t="e">
        <f t="shared" si="2"/>
        <v>#REF!</v>
      </c>
      <c r="P37" s="60" t="e">
        <f>VLOOKUP(B37,'115+040'!$B$12:$AB$112,14,FALSE)</f>
        <v>#REF!</v>
      </c>
      <c r="Q37" s="58">
        <f>'115+040'!S35</f>
        <v>4</v>
      </c>
      <c r="R37" s="57">
        <f t="shared" si="7"/>
        <v>37</v>
      </c>
      <c r="S37" s="62" t="e">
        <f>VLOOKUP(B37,'115+040'!$B$11:$AB$112,22,FALSE)</f>
        <v>#REF!</v>
      </c>
      <c r="T37" s="61" t="e">
        <f>VLOOKUP(B37,'115+040'!$B$12:$AB$112,6,FALSE)</f>
        <v>#REF!</v>
      </c>
      <c r="U37" s="60" t="e">
        <f t="shared" si="3"/>
        <v>#REF!</v>
      </c>
      <c r="V37" s="59" t="e">
        <f>VLOOKUP(B37,'115+040'!$B$12:$AB$112,15,FALSE)</f>
        <v>#REF!</v>
      </c>
      <c r="W37" s="58">
        <f>'[4]114+940'!S38</f>
        <v>3</v>
      </c>
      <c r="X37" s="57">
        <f t="shared" si="8"/>
        <v>10</v>
      </c>
      <c r="Y37" s="56" t="e">
        <f t="shared" si="9"/>
        <v>#REF!</v>
      </c>
      <c r="Z37" s="55" t="e">
        <f t="shared" si="10"/>
        <v>#REF!</v>
      </c>
      <c r="AA37" s="54" t="e">
        <f t="shared" si="11"/>
        <v>#REF!</v>
      </c>
      <c r="AB37" s="54" t="e">
        <f t="shared" si="12"/>
        <v>#REF!</v>
      </c>
      <c r="AC37" s="85"/>
      <c r="AD37" s="85"/>
      <c r="AE37" s="84"/>
    </row>
    <row r="38" spans="1:31" s="74" customFormat="1" ht="15" customHeight="1">
      <c r="A38" s="76"/>
      <c r="B38" s="96" t="e">
        <f>'115+040'!#REF!</f>
        <v>#REF!</v>
      </c>
      <c r="C38" s="66" t="e">
        <f t="shared" si="4"/>
        <v>#REF!</v>
      </c>
      <c r="D38" s="65" t="e">
        <f t="shared" si="5"/>
        <v>#REF!</v>
      </c>
      <c r="E38" s="64" t="e">
        <f>VLOOKUP(B38,'115+040'!B36:AB137,3,FALSE)</f>
        <v>#REF!</v>
      </c>
      <c r="F38" s="61" t="e">
        <f t="shared" si="0"/>
        <v>#REF!</v>
      </c>
      <c r="G38" s="63" t="e">
        <f>VLOOKUP(B38,'115+040'!$B$12:$AB$112,20,FALSE)</f>
        <v>#REF!</v>
      </c>
      <c r="H38" s="63" t="e">
        <f>VLOOKUP(B38,'115+040'!$B$12:$AB$112,4,FALSE)</f>
        <v>#REF!</v>
      </c>
      <c r="I38" s="60" t="e">
        <f t="shared" si="1"/>
        <v>#REF!</v>
      </c>
      <c r="J38" s="60" t="e">
        <f>VLOOKUP(B38,'115+040'!$B$12:$AB$112,13,FALSE)</f>
        <v>#REF!</v>
      </c>
      <c r="K38" s="58">
        <f>'115+040'!R36</f>
        <v>3</v>
      </c>
      <c r="L38" s="57">
        <f t="shared" si="6"/>
        <v>43</v>
      </c>
      <c r="M38" s="62" t="e">
        <f>VLOOKUP(B38,'115+040'!$B$11:$AB$112,21,FALSE)</f>
        <v>#REF!</v>
      </c>
      <c r="N38" s="61" t="e">
        <f>VLOOKUP(B38,'115+040'!$B$12:$AB$112,5,FALSE)</f>
        <v>#REF!</v>
      </c>
      <c r="O38" s="60" t="e">
        <f t="shared" si="2"/>
        <v>#REF!</v>
      </c>
      <c r="P38" s="60" t="e">
        <f>VLOOKUP(B38,'115+040'!$B$12:$AB$112,14,FALSE)</f>
        <v>#REF!</v>
      </c>
      <c r="Q38" s="58">
        <f>'115+040'!S36</f>
        <v>3</v>
      </c>
      <c r="R38" s="57">
        <f t="shared" si="7"/>
        <v>40</v>
      </c>
      <c r="S38" s="62" t="e">
        <f>VLOOKUP(B38,'115+040'!$B$11:$AB$112,22,FALSE)</f>
        <v>#REF!</v>
      </c>
      <c r="T38" s="61" t="e">
        <f>VLOOKUP(B38,'115+040'!$B$12:$AB$112,6,FALSE)</f>
        <v>#REF!</v>
      </c>
      <c r="U38" s="60" t="e">
        <f t="shared" si="3"/>
        <v>#REF!</v>
      </c>
      <c r="V38" s="59" t="e">
        <f>VLOOKUP(B38,'115+040'!$B$12:$AB$112,15,FALSE)</f>
        <v>#REF!</v>
      </c>
      <c r="W38" s="58">
        <f>'[4]114+940'!S39</f>
        <v>4</v>
      </c>
      <c r="X38" s="57">
        <f t="shared" si="8"/>
        <v>14</v>
      </c>
      <c r="Y38" s="56" t="e">
        <f t="shared" si="9"/>
        <v>#REF!</v>
      </c>
      <c r="Z38" s="55" t="e">
        <f t="shared" si="10"/>
        <v>#REF!</v>
      </c>
      <c r="AA38" s="54" t="e">
        <f t="shared" si="11"/>
        <v>#REF!</v>
      </c>
      <c r="AB38" s="54" t="e">
        <f t="shared" si="12"/>
        <v>#REF!</v>
      </c>
      <c r="AC38" s="43"/>
      <c r="AD38" s="43"/>
      <c r="AE38" s="75"/>
    </row>
    <row r="39" spans="1:31" s="74" customFormat="1" ht="15" customHeight="1">
      <c r="A39" s="76"/>
      <c r="B39" s="96" t="e">
        <f>'115+040'!#REF!</f>
        <v>#REF!</v>
      </c>
      <c r="C39" s="66" t="e">
        <f t="shared" si="4"/>
        <v>#REF!</v>
      </c>
      <c r="D39" s="65" t="e">
        <f t="shared" si="5"/>
        <v>#REF!</v>
      </c>
      <c r="E39" s="64" t="e">
        <f>VLOOKUP(B39,'115+040'!B37:AB138,3,FALSE)</f>
        <v>#REF!</v>
      </c>
      <c r="F39" s="61" t="e">
        <f t="shared" si="0"/>
        <v>#REF!</v>
      </c>
      <c r="G39" s="63" t="e">
        <f>VLOOKUP(B39,'115+040'!$B$12:$AB$112,20,FALSE)</f>
        <v>#REF!</v>
      </c>
      <c r="H39" s="63" t="e">
        <f>VLOOKUP(B39,'115+040'!$B$12:$AB$112,4,FALSE)</f>
        <v>#REF!</v>
      </c>
      <c r="I39" s="60" t="e">
        <f t="shared" si="1"/>
        <v>#REF!</v>
      </c>
      <c r="J39" s="60" t="e">
        <f>VLOOKUP(B39,'115+040'!$B$12:$AB$112,13,FALSE)</f>
        <v>#REF!</v>
      </c>
      <c r="K39" s="58">
        <f>'115+040'!R37</f>
        <v>2</v>
      </c>
      <c r="L39" s="57">
        <f t="shared" si="6"/>
        <v>45</v>
      </c>
      <c r="M39" s="62" t="e">
        <f>VLOOKUP(B39,'115+040'!$B$11:$AB$112,21,FALSE)</f>
        <v>#REF!</v>
      </c>
      <c r="N39" s="61" t="e">
        <f>VLOOKUP(B39,'115+040'!$B$12:$AB$112,5,FALSE)</f>
        <v>#REF!</v>
      </c>
      <c r="O39" s="60" t="e">
        <f t="shared" si="2"/>
        <v>#REF!</v>
      </c>
      <c r="P39" s="60" t="e">
        <f>VLOOKUP(B39,'115+040'!$B$12:$AB$112,14,FALSE)</f>
        <v>#REF!</v>
      </c>
      <c r="Q39" s="58">
        <f>'115+040'!S37</f>
        <v>3</v>
      </c>
      <c r="R39" s="57">
        <f t="shared" si="7"/>
        <v>43</v>
      </c>
      <c r="S39" s="62" t="e">
        <f>VLOOKUP(B39,'115+040'!$B$11:$AB$112,22,FALSE)</f>
        <v>#REF!</v>
      </c>
      <c r="T39" s="61" t="e">
        <f>VLOOKUP(B39,'115+040'!$B$12:$AB$112,6,FALSE)</f>
        <v>#REF!</v>
      </c>
      <c r="U39" s="60" t="e">
        <f t="shared" si="3"/>
        <v>#REF!</v>
      </c>
      <c r="V39" s="59" t="e">
        <f>VLOOKUP(B39,'115+040'!$B$12:$AB$112,15,FALSE)</f>
        <v>#REF!</v>
      </c>
      <c r="W39" s="58">
        <f>'[4]114+940'!S40</f>
        <v>5</v>
      </c>
      <c r="X39" s="57">
        <f t="shared" si="8"/>
        <v>19</v>
      </c>
      <c r="Y39" s="56" t="e">
        <f t="shared" si="9"/>
        <v>#REF!</v>
      </c>
      <c r="Z39" s="55" t="e">
        <f t="shared" si="10"/>
        <v>#REF!</v>
      </c>
      <c r="AA39" s="54" t="e">
        <f t="shared" si="11"/>
        <v>#REF!</v>
      </c>
      <c r="AB39" s="54" t="e">
        <f t="shared" si="12"/>
        <v>#REF!</v>
      </c>
      <c r="AC39" s="43"/>
      <c r="AD39" s="43"/>
      <c r="AE39" s="75"/>
    </row>
    <row r="40" spans="1:31" s="74" customFormat="1" ht="15" customHeight="1">
      <c r="A40" s="76"/>
      <c r="B40" s="96" t="e">
        <f>'115+040'!#REF!</f>
        <v>#REF!</v>
      </c>
      <c r="C40" s="66" t="e">
        <f t="shared" si="4"/>
        <v>#REF!</v>
      </c>
      <c r="D40" s="65" t="e">
        <f t="shared" si="5"/>
        <v>#REF!</v>
      </c>
      <c r="E40" s="64" t="e">
        <f>VLOOKUP(B40,'115+040'!B38:AB139,3,FALSE)</f>
        <v>#REF!</v>
      </c>
      <c r="F40" s="61" t="e">
        <f t="shared" si="0"/>
        <v>#REF!</v>
      </c>
      <c r="G40" s="63" t="e">
        <f>VLOOKUP(B40,'115+040'!$B$12:$AB$112,20,FALSE)</f>
        <v>#REF!</v>
      </c>
      <c r="H40" s="63" t="e">
        <f>VLOOKUP(B40,'115+040'!$B$12:$AB$112,4,FALSE)</f>
        <v>#REF!</v>
      </c>
      <c r="I40" s="60" t="e">
        <f t="shared" si="1"/>
        <v>#REF!</v>
      </c>
      <c r="J40" s="60" t="e">
        <f>VLOOKUP(B40,'115+040'!$B$12:$AB$112,13,FALSE)</f>
        <v>#REF!</v>
      </c>
      <c r="K40" s="58">
        <f>'115+040'!R38</f>
        <v>1</v>
      </c>
      <c r="L40" s="57">
        <f t="shared" si="6"/>
        <v>46</v>
      </c>
      <c r="M40" s="62" t="e">
        <f>VLOOKUP(B40,'115+040'!$B$11:$AB$112,21,FALSE)</f>
        <v>#REF!</v>
      </c>
      <c r="N40" s="61" t="e">
        <f>VLOOKUP(B40,'115+040'!$B$12:$AB$112,5,FALSE)</f>
        <v>#REF!</v>
      </c>
      <c r="O40" s="60" t="e">
        <f t="shared" si="2"/>
        <v>#REF!</v>
      </c>
      <c r="P40" s="60" t="e">
        <f>VLOOKUP(B40,'115+040'!$B$12:$AB$112,14,FALSE)</f>
        <v>#REF!</v>
      </c>
      <c r="Q40" s="58">
        <f>'115+040'!S38</f>
        <v>1</v>
      </c>
      <c r="R40" s="57">
        <f t="shared" si="7"/>
        <v>44</v>
      </c>
      <c r="S40" s="62" t="e">
        <f>VLOOKUP(B40,'115+040'!$B$11:$AB$112,22,FALSE)</f>
        <v>#REF!</v>
      </c>
      <c r="T40" s="61" t="e">
        <f>VLOOKUP(B40,'115+040'!$B$12:$AB$112,6,FALSE)</f>
        <v>#REF!</v>
      </c>
      <c r="U40" s="60" t="e">
        <f t="shared" si="3"/>
        <v>#REF!</v>
      </c>
      <c r="V40" s="59" t="e">
        <f>VLOOKUP(B40,'115+040'!$B$12:$AB$112,15,FALSE)</f>
        <v>#REF!</v>
      </c>
      <c r="W40" s="58">
        <f>'[4]114+940'!S41</f>
        <v>9</v>
      </c>
      <c r="X40" s="57">
        <f t="shared" si="8"/>
        <v>28</v>
      </c>
      <c r="Y40" s="56" t="e">
        <f t="shared" si="9"/>
        <v>#REF!</v>
      </c>
      <c r="Z40" s="55" t="e">
        <f t="shared" si="10"/>
        <v>#REF!</v>
      </c>
      <c r="AA40" s="54" t="e">
        <f t="shared" si="11"/>
        <v>#REF!</v>
      </c>
      <c r="AB40" s="54" t="e">
        <f t="shared" si="12"/>
        <v>#REF!</v>
      </c>
      <c r="AC40" s="43"/>
      <c r="AD40" s="43"/>
      <c r="AE40" s="75"/>
    </row>
    <row r="41" spans="1:31" s="74" customFormat="1" ht="15" customHeight="1">
      <c r="A41" s="76"/>
      <c r="B41" s="96" t="e">
        <f>'115+040'!#REF!</f>
        <v>#REF!</v>
      </c>
      <c r="C41" s="66" t="e">
        <f t="shared" si="4"/>
        <v>#REF!</v>
      </c>
      <c r="D41" s="65" t="e">
        <f t="shared" si="5"/>
        <v>#REF!</v>
      </c>
      <c r="E41" s="64" t="e">
        <f>VLOOKUP(B41,'115+040'!B39:AB140,3,FALSE)</f>
        <v>#REF!</v>
      </c>
      <c r="F41" s="61" t="e">
        <f t="shared" si="0"/>
        <v>#REF!</v>
      </c>
      <c r="G41" s="63" t="e">
        <f>VLOOKUP(B41,'115+040'!$B$12:$AB$112,20,FALSE)</f>
        <v>#REF!</v>
      </c>
      <c r="H41" s="63" t="e">
        <f>VLOOKUP(B41,'115+040'!$B$12:$AB$112,4,FALSE)</f>
        <v>#REF!</v>
      </c>
      <c r="I41" s="60" t="e">
        <f t="shared" si="1"/>
        <v>#REF!</v>
      </c>
      <c r="J41" s="60" t="e">
        <f>VLOOKUP(B41,'115+040'!$B$12:$AB$112,13,FALSE)</f>
        <v>#REF!</v>
      </c>
      <c r="K41" s="58">
        <f>'115+040'!R39</f>
        <v>0</v>
      </c>
      <c r="L41" s="57">
        <f t="shared" si="6"/>
        <v>46</v>
      </c>
      <c r="M41" s="62" t="e">
        <f>VLOOKUP(B41,'115+040'!$B$11:$AB$112,21,FALSE)</f>
        <v>#REF!</v>
      </c>
      <c r="N41" s="61" t="e">
        <f>VLOOKUP(B41,'115+040'!$B$12:$AB$112,5,FALSE)</f>
        <v>#REF!</v>
      </c>
      <c r="O41" s="60" t="e">
        <f t="shared" si="2"/>
        <v>#REF!</v>
      </c>
      <c r="P41" s="60" t="e">
        <f>VLOOKUP(B41,'115+040'!$B$12:$AB$112,14,FALSE)</f>
        <v>#REF!</v>
      </c>
      <c r="Q41" s="58">
        <f>'115+040'!S39</f>
        <v>0</v>
      </c>
      <c r="R41" s="57">
        <f t="shared" si="7"/>
        <v>44</v>
      </c>
      <c r="S41" s="62" t="e">
        <f>VLOOKUP(B41,'115+040'!$B$11:$AB$112,22,FALSE)</f>
        <v>#REF!</v>
      </c>
      <c r="T41" s="61" t="e">
        <f>VLOOKUP(B41,'115+040'!$B$12:$AB$112,6,FALSE)</f>
        <v>#REF!</v>
      </c>
      <c r="U41" s="60" t="e">
        <f t="shared" si="3"/>
        <v>#REF!</v>
      </c>
      <c r="V41" s="59" t="e">
        <f>VLOOKUP(B41,'115+040'!$B$12:$AB$112,15,FALSE)</f>
        <v>#REF!</v>
      </c>
      <c r="W41" s="58">
        <f>'[4]114+940'!S42</f>
        <v>4</v>
      </c>
      <c r="X41" s="57">
        <f t="shared" si="8"/>
        <v>32</v>
      </c>
      <c r="Y41" s="56" t="e">
        <f t="shared" si="9"/>
        <v>#REF!</v>
      </c>
      <c r="Z41" s="55" t="e">
        <f t="shared" si="10"/>
        <v>#REF!</v>
      </c>
      <c r="AA41" s="54" t="e">
        <f t="shared" si="11"/>
        <v>#REF!</v>
      </c>
      <c r="AB41" s="54" t="e">
        <f t="shared" si="12"/>
        <v>#REF!</v>
      </c>
      <c r="AC41" s="43"/>
      <c r="AD41" s="43"/>
      <c r="AE41" s="75"/>
    </row>
    <row r="42" spans="1:31" s="74" customFormat="1" ht="15" customHeight="1">
      <c r="A42" s="76"/>
      <c r="B42" s="96" t="e">
        <f>'115+040'!#REF!</f>
        <v>#REF!</v>
      </c>
      <c r="C42" s="66" t="e">
        <f t="shared" si="4"/>
        <v>#REF!</v>
      </c>
      <c r="D42" s="65" t="e">
        <f t="shared" si="5"/>
        <v>#REF!</v>
      </c>
      <c r="E42" s="64" t="e">
        <f>VLOOKUP(B42,'115+040'!B40:AB141,3,FALSE)</f>
        <v>#REF!</v>
      </c>
      <c r="F42" s="61" t="e">
        <f t="shared" si="0"/>
        <v>#REF!</v>
      </c>
      <c r="G42" s="63" t="e">
        <f>VLOOKUP(B42,'115+040'!$B$12:$AB$112,20,FALSE)</f>
        <v>#REF!</v>
      </c>
      <c r="H42" s="63" t="e">
        <f>VLOOKUP(B42,'115+040'!$B$12:$AB$112,4,FALSE)</f>
        <v>#REF!</v>
      </c>
      <c r="I42" s="60" t="e">
        <f t="shared" si="1"/>
        <v>#REF!</v>
      </c>
      <c r="J42" s="60" t="e">
        <f>VLOOKUP(B42,'115+040'!$B$12:$AB$112,13,FALSE)</f>
        <v>#REF!</v>
      </c>
      <c r="K42" s="58">
        <f>'115+040'!R40</f>
        <v>4</v>
      </c>
      <c r="L42" s="57">
        <f t="shared" si="6"/>
        <v>50</v>
      </c>
      <c r="M42" s="62" t="e">
        <f>VLOOKUP(B42,'115+040'!$B$11:$AB$112,21,FALSE)</f>
        <v>#REF!</v>
      </c>
      <c r="N42" s="61" t="e">
        <f>VLOOKUP(B42,'115+040'!$B$12:$AB$112,5,FALSE)</f>
        <v>#REF!</v>
      </c>
      <c r="O42" s="60" t="e">
        <f t="shared" si="2"/>
        <v>#REF!</v>
      </c>
      <c r="P42" s="60" t="e">
        <f>VLOOKUP(B42,'115+040'!$B$12:$AB$112,14,FALSE)</f>
        <v>#REF!</v>
      </c>
      <c r="Q42" s="58">
        <f>'115+040'!S40</f>
        <v>5</v>
      </c>
      <c r="R42" s="57">
        <f t="shared" si="7"/>
        <v>49</v>
      </c>
      <c r="S42" s="62" t="e">
        <f>VLOOKUP(B42,'115+040'!$B$11:$AB$112,22,FALSE)</f>
        <v>#REF!</v>
      </c>
      <c r="T42" s="61" t="e">
        <f>VLOOKUP(B42,'115+040'!$B$12:$AB$112,6,FALSE)</f>
        <v>#REF!</v>
      </c>
      <c r="U42" s="60" t="e">
        <f t="shared" si="3"/>
        <v>#REF!</v>
      </c>
      <c r="V42" s="59" t="e">
        <f>VLOOKUP(B42,'115+040'!$B$12:$AB$112,15,FALSE)</f>
        <v>#REF!</v>
      </c>
      <c r="W42" s="58">
        <f>'[4]114+940'!S43</f>
        <v>9</v>
      </c>
      <c r="X42" s="57">
        <f t="shared" si="8"/>
        <v>41</v>
      </c>
      <c r="Y42" s="56" t="e">
        <f t="shared" si="9"/>
        <v>#REF!</v>
      </c>
      <c r="Z42" s="55" t="e">
        <f t="shared" si="10"/>
        <v>#REF!</v>
      </c>
      <c r="AA42" s="54" t="e">
        <f t="shared" si="11"/>
        <v>#REF!</v>
      </c>
      <c r="AB42" s="54" t="e">
        <f t="shared" si="12"/>
        <v>#REF!</v>
      </c>
      <c r="AC42" s="43"/>
      <c r="AD42" s="43"/>
      <c r="AE42" s="75"/>
    </row>
    <row r="43" spans="1:31" s="74" customFormat="1" ht="15" customHeight="1">
      <c r="A43" s="76"/>
      <c r="B43" s="96" t="e">
        <f>'115+040'!#REF!</f>
        <v>#REF!</v>
      </c>
      <c r="C43" s="66" t="e">
        <f t="shared" si="4"/>
        <v>#REF!</v>
      </c>
      <c r="D43" s="65" t="e">
        <f t="shared" si="5"/>
        <v>#REF!</v>
      </c>
      <c r="E43" s="64" t="e">
        <f>VLOOKUP(B43,'115+040'!B41:AB142,3,FALSE)</f>
        <v>#REF!</v>
      </c>
      <c r="F43" s="61" t="e">
        <f t="shared" si="0"/>
        <v>#REF!</v>
      </c>
      <c r="G43" s="63" t="e">
        <f>VLOOKUP(B43,'115+040'!$B$12:$AB$112,20,FALSE)</f>
        <v>#REF!</v>
      </c>
      <c r="H43" s="63" t="e">
        <f>VLOOKUP(B43,'115+040'!$B$12:$AB$112,4,FALSE)</f>
        <v>#REF!</v>
      </c>
      <c r="I43" s="60" t="e">
        <f t="shared" si="1"/>
        <v>#REF!</v>
      </c>
      <c r="J43" s="60" t="e">
        <f>VLOOKUP(B43,'115+040'!$B$12:$AB$112,13,FALSE)</f>
        <v>#REF!</v>
      </c>
      <c r="K43" s="58">
        <f>'115+040'!R41</f>
        <v>4</v>
      </c>
      <c r="L43" s="57">
        <f t="shared" si="6"/>
        <v>54</v>
      </c>
      <c r="M43" s="62" t="e">
        <f>VLOOKUP(B43,'115+040'!$B$11:$AB$112,21,FALSE)</f>
        <v>#REF!</v>
      </c>
      <c r="N43" s="61" t="e">
        <f>VLOOKUP(B43,'115+040'!$B$12:$AB$112,5,FALSE)</f>
        <v>#REF!</v>
      </c>
      <c r="O43" s="60" t="e">
        <f t="shared" si="2"/>
        <v>#REF!</v>
      </c>
      <c r="P43" s="60" t="e">
        <f>VLOOKUP(B43,'115+040'!$B$12:$AB$112,14,FALSE)</f>
        <v>#REF!</v>
      </c>
      <c r="Q43" s="58">
        <f>'115+040'!S41</f>
        <v>4</v>
      </c>
      <c r="R43" s="57">
        <f t="shared" si="7"/>
        <v>53</v>
      </c>
      <c r="S43" s="62" t="e">
        <f>VLOOKUP(B43,'115+040'!$B$11:$AB$112,22,FALSE)</f>
        <v>#REF!</v>
      </c>
      <c r="T43" s="61" t="e">
        <f>VLOOKUP(B43,'115+040'!$B$12:$AB$112,6,FALSE)</f>
        <v>#REF!</v>
      </c>
      <c r="U43" s="60" t="e">
        <f t="shared" si="3"/>
        <v>#REF!</v>
      </c>
      <c r="V43" s="59" t="e">
        <f>VLOOKUP(B43,'115+040'!$B$12:$AB$112,15,FALSE)</f>
        <v>#REF!</v>
      </c>
      <c r="W43" s="58">
        <f>'[4]114+940'!S44</f>
        <v>4</v>
      </c>
      <c r="X43" s="57">
        <f t="shared" si="8"/>
        <v>45</v>
      </c>
      <c r="Y43" s="56" t="e">
        <f t="shared" si="9"/>
        <v>#REF!</v>
      </c>
      <c r="Z43" s="55" t="e">
        <f t="shared" si="10"/>
        <v>#REF!</v>
      </c>
      <c r="AA43" s="54" t="e">
        <f t="shared" si="11"/>
        <v>#REF!</v>
      </c>
      <c r="AB43" s="54" t="e">
        <f t="shared" si="12"/>
        <v>#REF!</v>
      </c>
      <c r="AC43" s="43"/>
      <c r="AD43" s="43"/>
      <c r="AE43" s="75"/>
    </row>
    <row r="44" spans="1:31" s="74" customFormat="1" ht="15" customHeight="1">
      <c r="A44" s="76"/>
      <c r="B44" s="96" t="e">
        <f>'115+040'!#REF!</f>
        <v>#REF!</v>
      </c>
      <c r="C44" s="66" t="e">
        <f t="shared" si="4"/>
        <v>#REF!</v>
      </c>
      <c r="D44" s="65" t="e">
        <f t="shared" si="5"/>
        <v>#REF!</v>
      </c>
      <c r="E44" s="64" t="e">
        <f>VLOOKUP(B44,'115+040'!B42:AB143,3,FALSE)</f>
        <v>#REF!</v>
      </c>
      <c r="F44" s="61" t="e">
        <f t="shared" si="0"/>
        <v>#REF!</v>
      </c>
      <c r="G44" s="63" t="e">
        <f>VLOOKUP(B44,'115+040'!$B$12:$AB$112,20,FALSE)</f>
        <v>#REF!</v>
      </c>
      <c r="H44" s="63" t="e">
        <f>VLOOKUP(B44,'115+040'!$B$12:$AB$112,4,FALSE)</f>
        <v>#REF!</v>
      </c>
      <c r="I44" s="60" t="e">
        <f t="shared" si="1"/>
        <v>#REF!</v>
      </c>
      <c r="J44" s="60" t="e">
        <f>VLOOKUP(B44,'115+040'!$B$12:$AB$112,13,FALSE)</f>
        <v>#REF!</v>
      </c>
      <c r="K44" s="58">
        <f>'115+040'!R42</f>
        <v>3</v>
      </c>
      <c r="L44" s="57">
        <f t="shared" si="6"/>
        <v>57</v>
      </c>
      <c r="M44" s="62" t="e">
        <f>VLOOKUP(B44,'115+040'!$B$11:$AB$112,21,FALSE)</f>
        <v>#REF!</v>
      </c>
      <c r="N44" s="61" t="e">
        <f>VLOOKUP(B44,'115+040'!$B$12:$AB$112,5,FALSE)</f>
        <v>#REF!</v>
      </c>
      <c r="O44" s="60" t="e">
        <f t="shared" si="2"/>
        <v>#REF!</v>
      </c>
      <c r="P44" s="60" t="e">
        <f>VLOOKUP(B44,'115+040'!$B$12:$AB$112,14,FALSE)</f>
        <v>#REF!</v>
      </c>
      <c r="Q44" s="58">
        <f>'115+040'!S42</f>
        <v>3</v>
      </c>
      <c r="R44" s="57">
        <f t="shared" si="7"/>
        <v>56</v>
      </c>
      <c r="S44" s="62" t="e">
        <f>VLOOKUP(B44,'115+040'!$B$11:$AB$112,22,FALSE)</f>
        <v>#REF!</v>
      </c>
      <c r="T44" s="61" t="e">
        <f>VLOOKUP(B44,'115+040'!$B$12:$AB$112,6,FALSE)</f>
        <v>#REF!</v>
      </c>
      <c r="U44" s="60" t="e">
        <f t="shared" si="3"/>
        <v>#REF!</v>
      </c>
      <c r="V44" s="59" t="e">
        <f>VLOOKUP(B44,'115+040'!$B$12:$AB$112,15,FALSE)</f>
        <v>#REF!</v>
      </c>
      <c r="W44" s="58">
        <f>'[4]114+940'!S45</f>
        <v>7</v>
      </c>
      <c r="X44" s="57">
        <f t="shared" si="8"/>
        <v>52</v>
      </c>
      <c r="Y44" s="56" t="e">
        <f t="shared" si="9"/>
        <v>#REF!</v>
      </c>
      <c r="Z44" s="55" t="e">
        <f t="shared" si="10"/>
        <v>#REF!</v>
      </c>
      <c r="AA44" s="54" t="e">
        <f t="shared" si="11"/>
        <v>#REF!</v>
      </c>
      <c r="AB44" s="54" t="e">
        <f t="shared" si="12"/>
        <v>#REF!</v>
      </c>
      <c r="AC44" s="43"/>
      <c r="AD44" s="43"/>
      <c r="AE44" s="75"/>
    </row>
    <row r="45" spans="1:31" s="77" customFormat="1" ht="15" customHeight="1">
      <c r="A45" s="76"/>
      <c r="B45" s="96" t="e">
        <f>'115+040'!#REF!</f>
        <v>#REF!</v>
      </c>
      <c r="C45" s="66" t="e">
        <f t="shared" si="4"/>
        <v>#REF!</v>
      </c>
      <c r="D45" s="65" t="e">
        <f t="shared" si="5"/>
        <v>#REF!</v>
      </c>
      <c r="E45" s="64" t="e">
        <f>VLOOKUP(B45,'115+040'!B43:AB144,3,FALSE)</f>
        <v>#REF!</v>
      </c>
      <c r="F45" s="61" t="e">
        <f t="shared" si="0"/>
        <v>#REF!</v>
      </c>
      <c r="G45" s="63" t="e">
        <f>VLOOKUP(B45,'115+040'!$B$12:$AB$112,20,FALSE)</f>
        <v>#REF!</v>
      </c>
      <c r="H45" s="63" t="e">
        <f>VLOOKUP(B45,'115+040'!$B$12:$AB$112,4,FALSE)</f>
        <v>#REF!</v>
      </c>
      <c r="I45" s="60" t="e">
        <f t="shared" si="1"/>
        <v>#REF!</v>
      </c>
      <c r="J45" s="60" t="e">
        <f>VLOOKUP(B45,'115+040'!$B$12:$AB$112,13,FALSE)</f>
        <v>#REF!</v>
      </c>
      <c r="K45" s="58">
        <f>'115+040'!R43</f>
        <v>2</v>
      </c>
      <c r="L45" s="57">
        <f t="shared" si="6"/>
        <v>59</v>
      </c>
      <c r="M45" s="62" t="e">
        <f>VLOOKUP(B45,'115+040'!$B$11:$AB$112,21,FALSE)</f>
        <v>#REF!</v>
      </c>
      <c r="N45" s="61" t="e">
        <f>VLOOKUP(B45,'115+040'!$B$12:$AB$112,5,FALSE)</f>
        <v>#REF!</v>
      </c>
      <c r="O45" s="60" t="e">
        <f t="shared" si="2"/>
        <v>#REF!</v>
      </c>
      <c r="P45" s="60" t="e">
        <f>VLOOKUP(B45,'115+040'!$B$12:$AB$112,14,FALSE)</f>
        <v>#REF!</v>
      </c>
      <c r="Q45" s="58">
        <f>'115+040'!S43</f>
        <v>3</v>
      </c>
      <c r="R45" s="57">
        <f t="shared" si="7"/>
        <v>59</v>
      </c>
      <c r="S45" s="62" t="e">
        <f>VLOOKUP(B45,'115+040'!$B$11:$AB$112,22,FALSE)</f>
        <v>#REF!</v>
      </c>
      <c r="T45" s="61" t="e">
        <f>VLOOKUP(B45,'115+040'!$B$12:$AB$112,6,FALSE)</f>
        <v>#REF!</v>
      </c>
      <c r="U45" s="60" t="e">
        <f t="shared" si="3"/>
        <v>#REF!</v>
      </c>
      <c r="V45" s="59" t="e">
        <f>VLOOKUP(B45,'115+040'!$B$12:$AB$112,15,FALSE)</f>
        <v>#REF!</v>
      </c>
      <c r="W45" s="58">
        <f>'[4]114+940'!S46</f>
        <v>3</v>
      </c>
      <c r="X45" s="57">
        <f t="shared" si="8"/>
        <v>55</v>
      </c>
      <c r="Y45" s="56" t="e">
        <f t="shared" si="9"/>
        <v>#REF!</v>
      </c>
      <c r="Z45" s="55" t="e">
        <f t="shared" si="10"/>
        <v>#REF!</v>
      </c>
      <c r="AA45" s="54" t="e">
        <f t="shared" si="11"/>
        <v>#REF!</v>
      </c>
      <c r="AB45" s="54" t="e">
        <f t="shared" si="12"/>
        <v>#REF!</v>
      </c>
      <c r="AC45" s="79"/>
      <c r="AD45" s="79"/>
      <c r="AE45" s="78"/>
    </row>
    <row r="46" spans="1:31" s="77" customFormat="1" ht="15" customHeight="1">
      <c r="A46" s="76"/>
      <c r="B46" s="96" t="e">
        <f>'115+040'!#REF!</f>
        <v>#REF!</v>
      </c>
      <c r="C46" s="66" t="e">
        <f t="shared" si="4"/>
        <v>#REF!</v>
      </c>
      <c r="D46" s="65" t="e">
        <f t="shared" si="5"/>
        <v>#REF!</v>
      </c>
      <c r="E46" s="64" t="e">
        <f>VLOOKUP(B46,'115+040'!B44:AB145,3,FALSE)</f>
        <v>#REF!</v>
      </c>
      <c r="F46" s="61" t="e">
        <f t="shared" si="0"/>
        <v>#REF!</v>
      </c>
      <c r="G46" s="63" t="e">
        <f>VLOOKUP(B46,'115+040'!$B$12:$AB$112,20,FALSE)</f>
        <v>#REF!</v>
      </c>
      <c r="H46" s="63" t="e">
        <f>VLOOKUP(B46,'115+040'!$B$12:$AB$112,4,FALSE)</f>
        <v>#REF!</v>
      </c>
      <c r="I46" s="60" t="e">
        <f t="shared" si="1"/>
        <v>#REF!</v>
      </c>
      <c r="J46" s="60" t="e">
        <f>VLOOKUP(B46,'115+040'!$B$12:$AB$112,13,FALSE)</f>
        <v>#REF!</v>
      </c>
      <c r="K46" s="58">
        <f>'115+040'!R44</f>
        <v>1</v>
      </c>
      <c r="L46" s="57">
        <f t="shared" si="6"/>
        <v>60</v>
      </c>
      <c r="M46" s="62" t="e">
        <f>VLOOKUP(B46,'115+040'!$B$11:$AB$112,21,FALSE)</f>
        <v>#REF!</v>
      </c>
      <c r="N46" s="61" t="e">
        <f>VLOOKUP(B46,'115+040'!$B$12:$AB$112,5,FALSE)</f>
        <v>#REF!</v>
      </c>
      <c r="O46" s="60" t="e">
        <f t="shared" si="2"/>
        <v>#REF!</v>
      </c>
      <c r="P46" s="60" t="e">
        <f>VLOOKUP(B46,'115+040'!$B$12:$AB$112,14,FALSE)</f>
        <v>#REF!</v>
      </c>
      <c r="Q46" s="58">
        <f>'115+040'!S44</f>
        <v>1</v>
      </c>
      <c r="R46" s="57">
        <f t="shared" si="7"/>
        <v>60</v>
      </c>
      <c r="S46" s="62" t="e">
        <f>VLOOKUP(B46,'115+040'!$B$11:$AB$112,22,FALSE)</f>
        <v>#REF!</v>
      </c>
      <c r="T46" s="61" t="e">
        <f>VLOOKUP(B46,'115+040'!$B$12:$AB$112,6,FALSE)</f>
        <v>#REF!</v>
      </c>
      <c r="U46" s="60" t="e">
        <f t="shared" si="3"/>
        <v>#REF!</v>
      </c>
      <c r="V46" s="59" t="e">
        <f>VLOOKUP(B46,'115+040'!$B$12:$AB$112,15,FALSE)</f>
        <v>#REF!</v>
      </c>
      <c r="W46" s="58">
        <f>'[4]114+940'!S47</f>
        <v>4</v>
      </c>
      <c r="X46" s="57">
        <f t="shared" si="8"/>
        <v>59</v>
      </c>
      <c r="Y46" s="56" t="e">
        <f t="shared" si="9"/>
        <v>#REF!</v>
      </c>
      <c r="Z46" s="55" t="e">
        <f t="shared" si="10"/>
        <v>#REF!</v>
      </c>
      <c r="AA46" s="54" t="e">
        <f t="shared" si="11"/>
        <v>#REF!</v>
      </c>
      <c r="AB46" s="54" t="e">
        <f t="shared" si="12"/>
        <v>#REF!</v>
      </c>
      <c r="AC46" s="79"/>
      <c r="AD46" s="79"/>
      <c r="AE46" s="78"/>
    </row>
    <row r="47" spans="1:31" s="74" customFormat="1" ht="15" customHeight="1">
      <c r="A47" s="76"/>
      <c r="B47" s="96" t="e">
        <f>'115+040'!#REF!</f>
        <v>#REF!</v>
      </c>
      <c r="C47" s="66" t="e">
        <f t="shared" si="4"/>
        <v>#REF!</v>
      </c>
      <c r="D47" s="65" t="e">
        <f t="shared" si="5"/>
        <v>#REF!</v>
      </c>
      <c r="E47" s="64" t="e">
        <f>VLOOKUP(B47,'115+040'!B45:AB146,3,FALSE)</f>
        <v>#REF!</v>
      </c>
      <c r="F47" s="61" t="e">
        <f t="shared" si="0"/>
        <v>#REF!</v>
      </c>
      <c r="G47" s="63" t="e">
        <f>VLOOKUP(B47,'115+040'!$B$12:$AB$112,20,FALSE)</f>
        <v>#REF!</v>
      </c>
      <c r="H47" s="63" t="e">
        <f>VLOOKUP(B47,'115+040'!$B$12:$AB$112,4,FALSE)</f>
        <v>#REF!</v>
      </c>
      <c r="I47" s="60" t="e">
        <f t="shared" si="1"/>
        <v>#REF!</v>
      </c>
      <c r="J47" s="60" t="e">
        <f>VLOOKUP(B47,'115+040'!$B$12:$AB$112,13,FALSE)</f>
        <v>#REF!</v>
      </c>
      <c r="K47" s="58">
        <f>'115+040'!R45</f>
        <v>0</v>
      </c>
      <c r="L47" s="57">
        <f t="shared" si="6"/>
        <v>60</v>
      </c>
      <c r="M47" s="62" t="e">
        <f>VLOOKUP(B47,'115+040'!$B$11:$AB$112,21,FALSE)</f>
        <v>#REF!</v>
      </c>
      <c r="N47" s="61" t="e">
        <f>VLOOKUP(B47,'115+040'!$B$12:$AB$112,5,FALSE)</f>
        <v>#REF!</v>
      </c>
      <c r="O47" s="60" t="e">
        <f t="shared" si="2"/>
        <v>#REF!</v>
      </c>
      <c r="P47" s="60" t="e">
        <f>VLOOKUP(B47,'115+040'!$B$12:$AB$112,14,FALSE)</f>
        <v>#REF!</v>
      </c>
      <c r="Q47" s="58">
        <f>'115+040'!S45</f>
        <v>0</v>
      </c>
      <c r="R47" s="57">
        <f t="shared" si="7"/>
        <v>60</v>
      </c>
      <c r="S47" s="62" t="e">
        <f>VLOOKUP(B47,'115+040'!$B$11:$AB$112,22,FALSE)</f>
        <v>#REF!</v>
      </c>
      <c r="T47" s="61" t="e">
        <f>VLOOKUP(B47,'115+040'!$B$12:$AB$112,6,FALSE)</f>
        <v>#REF!</v>
      </c>
      <c r="U47" s="60" t="e">
        <f t="shared" si="3"/>
        <v>#REF!</v>
      </c>
      <c r="V47" s="59" t="e">
        <f>VLOOKUP(B47,'115+040'!$B$12:$AB$112,15,FALSE)</f>
        <v>#REF!</v>
      </c>
      <c r="W47" s="58">
        <f>'[4]114+940'!S48</f>
        <v>5</v>
      </c>
      <c r="X47" s="57">
        <f t="shared" si="8"/>
        <v>64</v>
      </c>
      <c r="Y47" s="56" t="e">
        <f t="shared" si="9"/>
        <v>#REF!</v>
      </c>
      <c r="Z47" s="55" t="e">
        <f t="shared" si="10"/>
        <v>#REF!</v>
      </c>
      <c r="AA47" s="54" t="e">
        <f t="shared" si="11"/>
        <v>#REF!</v>
      </c>
      <c r="AB47" s="54" t="e">
        <f t="shared" si="12"/>
        <v>#REF!</v>
      </c>
      <c r="AC47" s="43"/>
      <c r="AD47" s="43"/>
      <c r="AE47" s="75"/>
    </row>
    <row r="48" spans="1:31" s="74" customFormat="1" ht="15" customHeight="1">
      <c r="A48" s="76"/>
      <c r="B48" s="96" t="e">
        <f>'115+040'!#REF!</f>
        <v>#REF!</v>
      </c>
      <c r="C48" s="66" t="e">
        <f t="shared" si="4"/>
        <v>#REF!</v>
      </c>
      <c r="D48" s="65" t="e">
        <f t="shared" si="5"/>
        <v>#REF!</v>
      </c>
      <c r="E48" s="64" t="e">
        <f>VLOOKUP(B48,'115+040'!B46:AB147,3,FALSE)</f>
        <v>#REF!</v>
      </c>
      <c r="F48" s="61" t="e">
        <f t="shared" si="0"/>
        <v>#REF!</v>
      </c>
      <c r="G48" s="63" t="e">
        <f>VLOOKUP(B48,'115+040'!$B$12:$AB$112,20,FALSE)</f>
        <v>#REF!</v>
      </c>
      <c r="H48" s="63" t="e">
        <f>VLOOKUP(B48,'115+040'!$B$12:$AB$112,4,FALSE)</f>
        <v>#REF!</v>
      </c>
      <c r="I48" s="60" t="e">
        <f t="shared" si="1"/>
        <v>#REF!</v>
      </c>
      <c r="J48" s="60" t="e">
        <f>VLOOKUP(B48,'115+040'!$B$12:$AB$112,13,FALSE)</f>
        <v>#REF!</v>
      </c>
      <c r="K48" s="58">
        <f>'115+040'!R46</f>
        <v>4</v>
      </c>
      <c r="L48" s="57">
        <f t="shared" si="6"/>
        <v>64</v>
      </c>
      <c r="M48" s="62" t="e">
        <f>VLOOKUP(B48,'115+040'!$B$11:$AB$112,21,FALSE)</f>
        <v>#REF!</v>
      </c>
      <c r="N48" s="61" t="e">
        <f>VLOOKUP(B48,'115+040'!$B$12:$AB$112,5,FALSE)</f>
        <v>#REF!</v>
      </c>
      <c r="O48" s="60" t="e">
        <f t="shared" si="2"/>
        <v>#REF!</v>
      </c>
      <c r="P48" s="60" t="e">
        <f>VLOOKUP(B48,'115+040'!$B$12:$AB$112,14,FALSE)</f>
        <v>#REF!</v>
      </c>
      <c r="Q48" s="58">
        <f>'115+040'!S46</f>
        <v>5</v>
      </c>
      <c r="R48" s="57">
        <f t="shared" si="7"/>
        <v>65</v>
      </c>
      <c r="S48" s="62" t="e">
        <f>VLOOKUP(B48,'115+040'!$B$11:$AB$112,22,FALSE)</f>
        <v>#REF!</v>
      </c>
      <c r="T48" s="61" t="e">
        <f>VLOOKUP(B48,'115+040'!$B$12:$AB$112,6,FALSE)</f>
        <v>#REF!</v>
      </c>
      <c r="U48" s="60" t="e">
        <f t="shared" si="3"/>
        <v>#REF!</v>
      </c>
      <c r="V48" s="59" t="e">
        <f>VLOOKUP(B48,'115+040'!$B$12:$AB$112,15,FALSE)</f>
        <v>#REF!</v>
      </c>
      <c r="W48" s="58">
        <f>'[4]114+940'!S49</f>
        <v>9</v>
      </c>
      <c r="X48" s="57">
        <f t="shared" si="8"/>
        <v>73</v>
      </c>
      <c r="Y48" s="56" t="e">
        <f t="shared" si="9"/>
        <v>#REF!</v>
      </c>
      <c r="Z48" s="55" t="e">
        <f t="shared" si="10"/>
        <v>#REF!</v>
      </c>
      <c r="AA48" s="54" t="e">
        <f t="shared" si="11"/>
        <v>#REF!</v>
      </c>
      <c r="AB48" s="54" t="e">
        <f t="shared" si="12"/>
        <v>#REF!</v>
      </c>
      <c r="AC48" s="43"/>
      <c r="AD48" s="43"/>
      <c r="AE48" s="75"/>
    </row>
    <row r="49" spans="1:31" s="74" customFormat="1" ht="15" customHeight="1">
      <c r="A49" s="76"/>
      <c r="B49" s="96" t="e">
        <f>'115+040'!#REF!</f>
        <v>#REF!</v>
      </c>
      <c r="C49" s="66" t="e">
        <f t="shared" si="4"/>
        <v>#REF!</v>
      </c>
      <c r="D49" s="65" t="e">
        <f t="shared" si="5"/>
        <v>#REF!</v>
      </c>
      <c r="E49" s="64" t="e">
        <f>VLOOKUP(B49,'115+040'!B47:AB148,3,FALSE)</f>
        <v>#REF!</v>
      </c>
      <c r="F49" s="61" t="e">
        <f t="shared" si="0"/>
        <v>#REF!</v>
      </c>
      <c r="G49" s="63" t="e">
        <f>VLOOKUP(B49,'115+040'!$B$12:$AB$112,20,FALSE)</f>
        <v>#REF!</v>
      </c>
      <c r="H49" s="63" t="e">
        <f>VLOOKUP(B49,'115+040'!$B$12:$AB$112,4,FALSE)</f>
        <v>#REF!</v>
      </c>
      <c r="I49" s="60" t="e">
        <f t="shared" si="1"/>
        <v>#REF!</v>
      </c>
      <c r="J49" s="60" t="e">
        <f>VLOOKUP(B49,'115+040'!$B$12:$AB$112,13,FALSE)</f>
        <v>#REF!</v>
      </c>
      <c r="K49" s="58">
        <f>'115+040'!R47</f>
        <v>4</v>
      </c>
      <c r="L49" s="57">
        <f t="shared" si="6"/>
        <v>68</v>
      </c>
      <c r="M49" s="62" t="e">
        <f>VLOOKUP(B49,'115+040'!$B$11:$AB$112,21,FALSE)</f>
        <v>#REF!</v>
      </c>
      <c r="N49" s="61" t="e">
        <f>VLOOKUP(B49,'115+040'!$B$12:$AB$112,5,FALSE)</f>
        <v>#REF!</v>
      </c>
      <c r="O49" s="60" t="e">
        <f t="shared" si="2"/>
        <v>#REF!</v>
      </c>
      <c r="P49" s="60" t="e">
        <f>VLOOKUP(B49,'115+040'!$B$12:$AB$112,14,FALSE)</f>
        <v>#REF!</v>
      </c>
      <c r="Q49" s="58">
        <f>'115+040'!S47</f>
        <v>4</v>
      </c>
      <c r="R49" s="57">
        <f t="shared" si="7"/>
        <v>69</v>
      </c>
      <c r="S49" s="62" t="e">
        <f>VLOOKUP(B49,'115+040'!$B$11:$AB$112,22,FALSE)</f>
        <v>#REF!</v>
      </c>
      <c r="T49" s="61" t="e">
        <f>VLOOKUP(B49,'115+040'!$B$12:$AB$112,6,FALSE)</f>
        <v>#REF!</v>
      </c>
      <c r="U49" s="60" t="e">
        <f t="shared" si="3"/>
        <v>#REF!</v>
      </c>
      <c r="V49" s="59" t="e">
        <f>VLOOKUP(B49,'115+040'!$B$12:$AB$112,15,FALSE)</f>
        <v>#REF!</v>
      </c>
      <c r="W49" s="58">
        <f>'[4]114+940'!S50</f>
        <v>4</v>
      </c>
      <c r="X49" s="57">
        <f t="shared" si="8"/>
        <v>77</v>
      </c>
      <c r="Y49" s="56" t="e">
        <f t="shared" si="9"/>
        <v>#REF!</v>
      </c>
      <c r="Z49" s="55" t="e">
        <f t="shared" si="10"/>
        <v>#REF!</v>
      </c>
      <c r="AA49" s="54" t="e">
        <f t="shared" si="11"/>
        <v>#REF!</v>
      </c>
      <c r="AB49" s="54" t="e">
        <f t="shared" si="12"/>
        <v>#REF!</v>
      </c>
      <c r="AC49" s="43"/>
      <c r="AD49" s="43"/>
      <c r="AE49" s="75"/>
    </row>
    <row r="50" spans="1:31" s="74" customFormat="1" ht="15" customHeight="1">
      <c r="A50" s="76"/>
      <c r="B50" s="96" t="e">
        <f>'115+040'!#REF!</f>
        <v>#REF!</v>
      </c>
      <c r="C50" s="66" t="e">
        <f t="shared" si="4"/>
        <v>#REF!</v>
      </c>
      <c r="D50" s="65" t="e">
        <f t="shared" si="5"/>
        <v>#REF!</v>
      </c>
      <c r="E50" s="64" t="e">
        <f>VLOOKUP(B50,'115+040'!B48:AB149,3,FALSE)</f>
        <v>#REF!</v>
      </c>
      <c r="F50" s="61" t="e">
        <f t="shared" si="0"/>
        <v>#REF!</v>
      </c>
      <c r="G50" s="63" t="e">
        <f>VLOOKUP(B50,'115+040'!$B$12:$AB$112,20,FALSE)</f>
        <v>#REF!</v>
      </c>
      <c r="H50" s="63" t="e">
        <f>VLOOKUP(B50,'115+040'!$B$12:$AB$112,4,FALSE)</f>
        <v>#REF!</v>
      </c>
      <c r="I50" s="60" t="e">
        <f t="shared" si="1"/>
        <v>#REF!</v>
      </c>
      <c r="J50" s="60" t="e">
        <f>VLOOKUP(B50,'115+040'!$B$12:$AB$112,13,FALSE)</f>
        <v>#REF!</v>
      </c>
      <c r="K50" s="58">
        <f>'115+040'!R48</f>
        <v>3</v>
      </c>
      <c r="L50" s="57">
        <f t="shared" si="6"/>
        <v>71</v>
      </c>
      <c r="M50" s="62" t="e">
        <f>VLOOKUP(B50,'115+040'!$B$11:$AB$112,21,FALSE)</f>
        <v>#REF!</v>
      </c>
      <c r="N50" s="61" t="e">
        <f>VLOOKUP(B50,'115+040'!$B$12:$AB$112,5,FALSE)</f>
        <v>#REF!</v>
      </c>
      <c r="O50" s="60" t="e">
        <f t="shared" si="2"/>
        <v>#REF!</v>
      </c>
      <c r="P50" s="60" t="e">
        <f>VLOOKUP(B50,'115+040'!$B$12:$AB$112,14,FALSE)</f>
        <v>#REF!</v>
      </c>
      <c r="Q50" s="58">
        <f>'115+040'!S48</f>
        <v>3</v>
      </c>
      <c r="R50" s="57">
        <f t="shared" si="7"/>
        <v>72</v>
      </c>
      <c r="S50" s="62" t="e">
        <f>VLOOKUP(B50,'115+040'!$B$11:$AB$112,22,FALSE)</f>
        <v>#REF!</v>
      </c>
      <c r="T50" s="61" t="e">
        <f>VLOOKUP(B50,'115+040'!$B$12:$AB$112,6,FALSE)</f>
        <v>#REF!</v>
      </c>
      <c r="U50" s="60" t="e">
        <f t="shared" si="3"/>
        <v>#REF!</v>
      </c>
      <c r="V50" s="59" t="e">
        <f>VLOOKUP(B50,'115+040'!$B$12:$AB$112,15,FALSE)</f>
        <v>#REF!</v>
      </c>
      <c r="W50" s="58">
        <f>'[4]114+940'!S51</f>
        <v>3</v>
      </c>
      <c r="X50" s="57">
        <f t="shared" si="8"/>
        <v>80</v>
      </c>
      <c r="Y50" s="56" t="e">
        <f t="shared" si="9"/>
        <v>#REF!</v>
      </c>
      <c r="Z50" s="55" t="e">
        <f t="shared" si="10"/>
        <v>#REF!</v>
      </c>
      <c r="AA50" s="54" t="e">
        <f t="shared" si="11"/>
        <v>#REF!</v>
      </c>
      <c r="AB50" s="54" t="e">
        <f t="shared" si="12"/>
        <v>#REF!</v>
      </c>
      <c r="AC50" s="43"/>
      <c r="AD50" s="43"/>
      <c r="AE50" s="75"/>
    </row>
    <row r="51" spans="1:31" s="74" customFormat="1" ht="15" customHeight="1">
      <c r="A51" s="76"/>
      <c r="B51" s="96" t="e">
        <f>'115+040'!#REF!</f>
        <v>#REF!</v>
      </c>
      <c r="C51" s="66" t="e">
        <f t="shared" si="4"/>
        <v>#REF!</v>
      </c>
      <c r="D51" s="65" t="e">
        <f t="shared" si="5"/>
        <v>#REF!</v>
      </c>
      <c r="E51" s="64" t="e">
        <f>VLOOKUP(B51,'115+040'!B49:AB150,3,FALSE)</f>
        <v>#REF!</v>
      </c>
      <c r="F51" s="61" t="e">
        <f t="shared" si="0"/>
        <v>#REF!</v>
      </c>
      <c r="G51" s="63" t="e">
        <f>VLOOKUP(B51,'115+040'!$B$12:$AB$112,20,FALSE)</f>
        <v>#REF!</v>
      </c>
      <c r="H51" s="63" t="e">
        <f>VLOOKUP(B51,'115+040'!$B$12:$AB$112,4,FALSE)</f>
        <v>#REF!</v>
      </c>
      <c r="I51" s="60" t="e">
        <f t="shared" si="1"/>
        <v>#REF!</v>
      </c>
      <c r="J51" s="60" t="e">
        <f>VLOOKUP(B51,'115+040'!$B$12:$AB$112,13,FALSE)</f>
        <v>#REF!</v>
      </c>
      <c r="K51" s="58">
        <f>'115+040'!R49</f>
        <v>2</v>
      </c>
      <c r="L51" s="57">
        <f t="shared" si="6"/>
        <v>73</v>
      </c>
      <c r="M51" s="62" t="e">
        <f>VLOOKUP(B51,'115+040'!$B$11:$AB$112,21,FALSE)</f>
        <v>#REF!</v>
      </c>
      <c r="N51" s="61" t="e">
        <f>VLOOKUP(B51,'115+040'!$B$12:$AB$112,5,FALSE)</f>
        <v>#REF!</v>
      </c>
      <c r="O51" s="60" t="e">
        <f t="shared" si="2"/>
        <v>#REF!</v>
      </c>
      <c r="P51" s="60" t="e">
        <f>VLOOKUP(B51,'115+040'!$B$12:$AB$112,14,FALSE)</f>
        <v>#REF!</v>
      </c>
      <c r="Q51" s="58">
        <f>'115+040'!S49</f>
        <v>3</v>
      </c>
      <c r="R51" s="57">
        <f t="shared" si="7"/>
        <v>75</v>
      </c>
      <c r="S51" s="62" t="e">
        <f>VLOOKUP(B51,'115+040'!$B$11:$AB$112,22,FALSE)</f>
        <v>#REF!</v>
      </c>
      <c r="T51" s="61" t="e">
        <f>VLOOKUP(B51,'115+040'!$B$12:$AB$112,6,FALSE)</f>
        <v>#REF!</v>
      </c>
      <c r="U51" s="60" t="e">
        <f t="shared" si="3"/>
        <v>#REF!</v>
      </c>
      <c r="V51" s="59" t="e">
        <f>VLOOKUP(B51,'115+040'!$B$12:$AB$112,15,FALSE)</f>
        <v>#REF!</v>
      </c>
      <c r="W51" s="58">
        <f>'[4]114+940'!S52</f>
        <v>2</v>
      </c>
      <c r="X51" s="57">
        <f t="shared" si="8"/>
        <v>82</v>
      </c>
      <c r="Y51" s="56" t="e">
        <f t="shared" si="9"/>
        <v>#REF!</v>
      </c>
      <c r="Z51" s="55" t="e">
        <f t="shared" si="10"/>
        <v>#REF!</v>
      </c>
      <c r="AA51" s="54" t="e">
        <f t="shared" si="11"/>
        <v>#REF!</v>
      </c>
      <c r="AB51" s="54" t="e">
        <f t="shared" si="12"/>
        <v>#REF!</v>
      </c>
      <c r="AC51" s="43"/>
      <c r="AD51" s="43"/>
      <c r="AE51" s="75"/>
    </row>
    <row r="52" spans="1:31" s="74" customFormat="1" ht="15" customHeight="1">
      <c r="A52" s="76"/>
      <c r="B52" s="96" t="e">
        <f>'115+040'!#REF!</f>
        <v>#REF!</v>
      </c>
      <c r="C52" s="66" t="e">
        <f t="shared" si="4"/>
        <v>#REF!</v>
      </c>
      <c r="D52" s="65" t="e">
        <f t="shared" si="5"/>
        <v>#REF!</v>
      </c>
      <c r="E52" s="64" t="e">
        <f>VLOOKUP(B52,'115+040'!B50:AB151,3,FALSE)</f>
        <v>#REF!</v>
      </c>
      <c r="F52" s="61" t="e">
        <f t="shared" si="0"/>
        <v>#REF!</v>
      </c>
      <c r="G52" s="63" t="e">
        <f>VLOOKUP(B52,'115+040'!$B$12:$AB$112,20,FALSE)</f>
        <v>#REF!</v>
      </c>
      <c r="H52" s="63" t="e">
        <f>VLOOKUP(B52,'115+040'!$B$12:$AB$112,4,FALSE)</f>
        <v>#REF!</v>
      </c>
      <c r="I52" s="60" t="e">
        <f t="shared" si="1"/>
        <v>#REF!</v>
      </c>
      <c r="J52" s="60" t="e">
        <f>VLOOKUP(B52,'115+040'!$B$12:$AB$112,13,FALSE)</f>
        <v>#REF!</v>
      </c>
      <c r="K52" s="58">
        <f>'115+040'!R50</f>
        <v>1</v>
      </c>
      <c r="L52" s="57">
        <f t="shared" si="6"/>
        <v>74</v>
      </c>
      <c r="M52" s="62" t="e">
        <f>VLOOKUP(B52,'115+040'!$B$11:$AB$112,21,FALSE)</f>
        <v>#REF!</v>
      </c>
      <c r="N52" s="61" t="e">
        <f>VLOOKUP(B52,'115+040'!$B$12:$AB$112,5,FALSE)</f>
        <v>#REF!</v>
      </c>
      <c r="O52" s="60" t="e">
        <f t="shared" si="2"/>
        <v>#REF!</v>
      </c>
      <c r="P52" s="60" t="e">
        <f>VLOOKUP(B52,'115+040'!$B$12:$AB$112,14,FALSE)</f>
        <v>#REF!</v>
      </c>
      <c r="Q52" s="58">
        <f>'115+040'!S50</f>
        <v>1</v>
      </c>
      <c r="R52" s="57">
        <f t="shared" si="7"/>
        <v>76</v>
      </c>
      <c r="S52" s="62" t="e">
        <f>VLOOKUP(B52,'115+040'!$B$11:$AB$112,22,FALSE)</f>
        <v>#REF!</v>
      </c>
      <c r="T52" s="61" t="e">
        <f>VLOOKUP(B52,'115+040'!$B$12:$AB$112,6,FALSE)</f>
        <v>#REF!</v>
      </c>
      <c r="U52" s="60" t="e">
        <f t="shared" si="3"/>
        <v>#REF!</v>
      </c>
      <c r="V52" s="59" t="e">
        <f>VLOOKUP(B52,'115+040'!$B$12:$AB$112,15,FALSE)</f>
        <v>#REF!</v>
      </c>
      <c r="W52" s="58">
        <f>'[4]114+940'!S53</f>
        <v>4</v>
      </c>
      <c r="X52" s="57">
        <f t="shared" si="8"/>
        <v>86</v>
      </c>
      <c r="Y52" s="56" t="e">
        <f t="shared" si="9"/>
        <v>#REF!</v>
      </c>
      <c r="Z52" s="55" t="e">
        <f t="shared" si="10"/>
        <v>#REF!</v>
      </c>
      <c r="AA52" s="54" t="e">
        <f t="shared" si="11"/>
        <v>#REF!</v>
      </c>
      <c r="AB52" s="54" t="e">
        <f t="shared" si="12"/>
        <v>#REF!</v>
      </c>
      <c r="AC52" s="43"/>
      <c r="AD52" s="43"/>
      <c r="AE52" s="75"/>
    </row>
    <row r="53" spans="1:31" s="74" customFormat="1" ht="15" customHeight="1">
      <c r="A53" s="76"/>
      <c r="B53" s="96" t="e">
        <f>'115+040'!#REF!</f>
        <v>#REF!</v>
      </c>
      <c r="C53" s="66" t="e">
        <f t="shared" si="4"/>
        <v>#REF!</v>
      </c>
      <c r="D53" s="65" t="e">
        <f t="shared" si="5"/>
        <v>#REF!</v>
      </c>
      <c r="E53" s="64" t="e">
        <f>VLOOKUP(B53,'115+040'!B51:AB152,3,FALSE)</f>
        <v>#REF!</v>
      </c>
      <c r="F53" s="61" t="e">
        <f t="shared" si="0"/>
        <v>#REF!</v>
      </c>
      <c r="G53" s="63" t="e">
        <f>VLOOKUP(B53,'115+040'!$B$12:$AB$112,20,FALSE)</f>
        <v>#REF!</v>
      </c>
      <c r="H53" s="63" t="e">
        <f>VLOOKUP(B53,'115+040'!$B$12:$AB$112,4,FALSE)</f>
        <v>#REF!</v>
      </c>
      <c r="I53" s="60" t="e">
        <f t="shared" si="1"/>
        <v>#REF!</v>
      </c>
      <c r="J53" s="60" t="e">
        <f>VLOOKUP(B53,'115+040'!$B$12:$AB$112,13,FALSE)</f>
        <v>#REF!</v>
      </c>
      <c r="K53" s="58">
        <f>'115+040'!R51</f>
        <v>0</v>
      </c>
      <c r="L53" s="57">
        <f t="shared" si="6"/>
        <v>74</v>
      </c>
      <c r="M53" s="62" t="e">
        <f>VLOOKUP(B53,'115+040'!$B$11:$AB$112,21,FALSE)</f>
        <v>#REF!</v>
      </c>
      <c r="N53" s="61" t="e">
        <f>VLOOKUP(B53,'115+040'!$B$12:$AB$112,5,FALSE)</f>
        <v>#REF!</v>
      </c>
      <c r="O53" s="60" t="e">
        <f t="shared" si="2"/>
        <v>#REF!</v>
      </c>
      <c r="P53" s="60" t="e">
        <f>VLOOKUP(B53,'115+040'!$B$12:$AB$112,14,FALSE)</f>
        <v>#REF!</v>
      </c>
      <c r="Q53" s="58">
        <f>'115+040'!S51</f>
        <v>0</v>
      </c>
      <c r="R53" s="57">
        <f t="shared" si="7"/>
        <v>76</v>
      </c>
      <c r="S53" s="62" t="e">
        <f>VLOOKUP(B53,'115+040'!$B$11:$AB$112,22,FALSE)</f>
        <v>#REF!</v>
      </c>
      <c r="T53" s="61" t="e">
        <f>VLOOKUP(B53,'115+040'!$B$12:$AB$112,6,FALSE)</f>
        <v>#REF!</v>
      </c>
      <c r="U53" s="60" t="e">
        <f t="shared" si="3"/>
        <v>#REF!</v>
      </c>
      <c r="V53" s="59" t="e">
        <f>VLOOKUP(B53,'115+040'!$B$12:$AB$112,15,FALSE)</f>
        <v>#REF!</v>
      </c>
      <c r="W53" s="58">
        <f>'[4]114+940'!S54</f>
        <v>4</v>
      </c>
      <c r="X53" s="57">
        <f t="shared" si="8"/>
        <v>90</v>
      </c>
      <c r="Y53" s="56" t="e">
        <f t="shared" si="9"/>
        <v>#REF!</v>
      </c>
      <c r="Z53" s="55" t="e">
        <f t="shared" si="10"/>
        <v>#REF!</v>
      </c>
      <c r="AA53" s="54" t="e">
        <f t="shared" si="11"/>
        <v>#REF!</v>
      </c>
      <c r="AB53" s="54" t="e">
        <f t="shared" si="12"/>
        <v>#REF!</v>
      </c>
      <c r="AC53" s="43"/>
      <c r="AD53" s="43"/>
      <c r="AE53" s="75"/>
    </row>
    <row r="54" spans="1:31" s="86" customFormat="1" ht="15" customHeight="1">
      <c r="A54" s="76"/>
      <c r="B54" s="96" t="e">
        <f>'115+040'!#REF!</f>
        <v>#REF!</v>
      </c>
      <c r="C54" s="66" t="e">
        <f t="shared" si="4"/>
        <v>#REF!</v>
      </c>
      <c r="D54" s="65" t="e">
        <f t="shared" si="5"/>
        <v>#REF!</v>
      </c>
      <c r="E54" s="64" t="e">
        <f>VLOOKUP(B54,'115+040'!B52:AB153,3,FALSE)</f>
        <v>#REF!</v>
      </c>
      <c r="F54" s="61" t="e">
        <f t="shared" si="0"/>
        <v>#REF!</v>
      </c>
      <c r="G54" s="63" t="e">
        <f>VLOOKUP(B54,'115+040'!$B$12:$AB$112,20,FALSE)</f>
        <v>#REF!</v>
      </c>
      <c r="H54" s="63" t="e">
        <f>VLOOKUP(B54,'115+040'!$B$12:$AB$112,4,FALSE)</f>
        <v>#REF!</v>
      </c>
      <c r="I54" s="60" t="e">
        <f t="shared" si="1"/>
        <v>#REF!</v>
      </c>
      <c r="J54" s="60" t="e">
        <f>VLOOKUP(B54,'115+040'!$B$12:$AB$112,13,FALSE)</f>
        <v>#REF!</v>
      </c>
      <c r="K54" s="58">
        <f>'115+040'!R52</f>
        <v>5</v>
      </c>
      <c r="L54" s="57">
        <f t="shared" si="6"/>
        <v>79</v>
      </c>
      <c r="M54" s="62" t="e">
        <f>VLOOKUP(B54,'115+040'!$B$11:$AB$112,21,FALSE)</f>
        <v>#REF!</v>
      </c>
      <c r="N54" s="61" t="e">
        <f>VLOOKUP(B54,'115+040'!$B$12:$AB$112,5,FALSE)</f>
        <v>#REF!</v>
      </c>
      <c r="O54" s="60" t="e">
        <f t="shared" si="2"/>
        <v>#REF!</v>
      </c>
      <c r="P54" s="60" t="e">
        <f>VLOOKUP(B54,'115+040'!$B$12:$AB$112,14,FALSE)</f>
        <v>#REF!</v>
      </c>
      <c r="Q54" s="58">
        <f>'115+040'!S52</f>
        <v>5</v>
      </c>
      <c r="R54" s="57">
        <f t="shared" si="7"/>
        <v>81</v>
      </c>
      <c r="S54" s="62" t="e">
        <f>VLOOKUP(B54,'115+040'!$B$11:$AB$112,22,FALSE)</f>
        <v>#REF!</v>
      </c>
      <c r="T54" s="61" t="e">
        <f>VLOOKUP(B54,'115+040'!$B$12:$AB$112,6,FALSE)</f>
        <v>#REF!</v>
      </c>
      <c r="U54" s="60" t="e">
        <f t="shared" si="3"/>
        <v>#REF!</v>
      </c>
      <c r="V54" s="59" t="e">
        <f>VLOOKUP(B54,'115+040'!$B$12:$AB$112,15,FALSE)</f>
        <v>#REF!</v>
      </c>
      <c r="W54" s="58">
        <f>'[4]114+940'!S55</f>
        <v>8</v>
      </c>
      <c r="X54" s="57">
        <f t="shared" si="8"/>
        <v>98</v>
      </c>
      <c r="Y54" s="56" t="e">
        <f t="shared" si="9"/>
        <v>#REF!</v>
      </c>
      <c r="Z54" s="55" t="e">
        <f t="shared" si="10"/>
        <v>#REF!</v>
      </c>
      <c r="AA54" s="54" t="e">
        <f t="shared" si="11"/>
        <v>#REF!</v>
      </c>
      <c r="AB54" s="54" t="e">
        <f t="shared" si="12"/>
        <v>#REF!</v>
      </c>
      <c r="AC54" s="71"/>
      <c r="AD54" s="71"/>
      <c r="AE54" s="87"/>
    </row>
    <row r="55" spans="1:31" s="74" customFormat="1" ht="15" customHeight="1">
      <c r="A55" s="76"/>
      <c r="B55" s="96" t="e">
        <f>'115+040'!#REF!</f>
        <v>#REF!</v>
      </c>
      <c r="C55" s="66" t="e">
        <f t="shared" si="4"/>
        <v>#REF!</v>
      </c>
      <c r="D55" s="65" t="e">
        <f t="shared" si="5"/>
        <v>#REF!</v>
      </c>
      <c r="E55" s="64" t="e">
        <f>VLOOKUP(B55,'115+040'!B53:AB154,3,FALSE)</f>
        <v>#REF!</v>
      </c>
      <c r="F55" s="61" t="e">
        <f t="shared" si="0"/>
        <v>#REF!</v>
      </c>
      <c r="G55" s="63" t="e">
        <f>VLOOKUP(B55,'115+040'!$B$12:$AB$112,20,FALSE)</f>
        <v>#REF!</v>
      </c>
      <c r="H55" s="63" t="e">
        <f>VLOOKUP(B55,'115+040'!$B$12:$AB$112,4,FALSE)</f>
        <v>#REF!</v>
      </c>
      <c r="I55" s="60" t="e">
        <f t="shared" si="1"/>
        <v>#REF!</v>
      </c>
      <c r="J55" s="60" t="e">
        <f>VLOOKUP(B55,'115+040'!$B$12:$AB$112,13,FALSE)</f>
        <v>#REF!</v>
      </c>
      <c r="K55" s="58">
        <f>'115+040'!R53</f>
        <v>5</v>
      </c>
      <c r="L55" s="57">
        <f t="shared" si="6"/>
        <v>84</v>
      </c>
      <c r="M55" s="62" t="e">
        <f>VLOOKUP(B55,'115+040'!$B$11:$AB$112,21,FALSE)</f>
        <v>#REF!</v>
      </c>
      <c r="N55" s="61" t="e">
        <f>VLOOKUP(B55,'115+040'!$B$12:$AB$112,5,FALSE)</f>
        <v>#REF!</v>
      </c>
      <c r="O55" s="60" t="e">
        <f t="shared" si="2"/>
        <v>#REF!</v>
      </c>
      <c r="P55" s="60" t="e">
        <f>VLOOKUP(B55,'115+040'!$B$12:$AB$112,14,FALSE)</f>
        <v>#REF!</v>
      </c>
      <c r="Q55" s="58">
        <f>'115+040'!S53</f>
        <v>5</v>
      </c>
      <c r="R55" s="57">
        <f t="shared" si="7"/>
        <v>86</v>
      </c>
      <c r="S55" s="62" t="e">
        <f>VLOOKUP(B55,'115+040'!$B$11:$AB$112,22,FALSE)</f>
        <v>#REF!</v>
      </c>
      <c r="T55" s="61" t="e">
        <f>VLOOKUP(B55,'115+040'!$B$12:$AB$112,6,FALSE)</f>
        <v>#REF!</v>
      </c>
      <c r="U55" s="60" t="e">
        <f t="shared" si="3"/>
        <v>#REF!</v>
      </c>
      <c r="V55" s="59" t="e">
        <f>VLOOKUP(B55,'115+040'!$B$12:$AB$112,15,FALSE)</f>
        <v>#REF!</v>
      </c>
      <c r="W55" s="58">
        <f>'[4]114+940'!S56</f>
        <v>5</v>
      </c>
      <c r="X55" s="57">
        <f t="shared" si="8"/>
        <v>103</v>
      </c>
      <c r="Y55" s="56" t="e">
        <f t="shared" si="9"/>
        <v>#REF!</v>
      </c>
      <c r="Z55" s="55" t="e">
        <f t="shared" si="10"/>
        <v>#REF!</v>
      </c>
      <c r="AA55" s="54" t="e">
        <f t="shared" si="11"/>
        <v>#REF!</v>
      </c>
      <c r="AB55" s="54" t="e">
        <f t="shared" si="12"/>
        <v>#REF!</v>
      </c>
      <c r="AC55" s="43"/>
      <c r="AD55" s="43"/>
      <c r="AE55" s="75"/>
    </row>
    <row r="56" spans="1:31" s="74" customFormat="1" ht="15" customHeight="1">
      <c r="A56" s="76"/>
      <c r="B56" s="96" t="e">
        <f>'115+040'!#REF!</f>
        <v>#REF!</v>
      </c>
      <c r="C56" s="66" t="e">
        <f t="shared" si="4"/>
        <v>#REF!</v>
      </c>
      <c r="D56" s="65" t="e">
        <f t="shared" si="5"/>
        <v>#REF!</v>
      </c>
      <c r="E56" s="64" t="e">
        <f>VLOOKUP(B56,'115+040'!B54:AB155,3,FALSE)</f>
        <v>#REF!</v>
      </c>
      <c r="F56" s="61" t="e">
        <f t="shared" si="0"/>
        <v>#REF!</v>
      </c>
      <c r="G56" s="63" t="e">
        <f>VLOOKUP(B56,'115+040'!$B$12:$AB$112,20,FALSE)</f>
        <v>#REF!</v>
      </c>
      <c r="H56" s="63" t="e">
        <f>VLOOKUP(B56,'115+040'!$B$12:$AB$112,4,FALSE)</f>
        <v>#REF!</v>
      </c>
      <c r="I56" s="60" t="e">
        <f t="shared" si="1"/>
        <v>#REF!</v>
      </c>
      <c r="J56" s="60" t="e">
        <f>VLOOKUP(B56,'115+040'!$B$12:$AB$112,13,FALSE)</f>
        <v>#REF!</v>
      </c>
      <c r="K56" s="58">
        <f>'115+040'!R54</f>
        <v>5</v>
      </c>
      <c r="L56" s="57">
        <f t="shared" si="6"/>
        <v>89</v>
      </c>
      <c r="M56" s="62" t="e">
        <f>VLOOKUP(B56,'115+040'!$B$11:$AB$112,21,FALSE)</f>
        <v>#REF!</v>
      </c>
      <c r="N56" s="61" t="e">
        <f>VLOOKUP(B56,'115+040'!$B$12:$AB$112,5,FALSE)</f>
        <v>#REF!</v>
      </c>
      <c r="O56" s="60" t="e">
        <f t="shared" si="2"/>
        <v>#REF!</v>
      </c>
      <c r="P56" s="60" t="e">
        <f>VLOOKUP(B56,'115+040'!$B$12:$AB$112,14,FALSE)</f>
        <v>#REF!</v>
      </c>
      <c r="Q56" s="58">
        <f>'115+040'!S54</f>
        <v>5</v>
      </c>
      <c r="R56" s="57">
        <f t="shared" si="7"/>
        <v>91</v>
      </c>
      <c r="S56" s="62" t="e">
        <f>VLOOKUP(B56,'115+040'!$B$11:$AB$112,22,FALSE)</f>
        <v>#REF!</v>
      </c>
      <c r="T56" s="61" t="e">
        <f>VLOOKUP(B56,'115+040'!$B$12:$AB$112,6,FALSE)</f>
        <v>#REF!</v>
      </c>
      <c r="U56" s="60" t="e">
        <f t="shared" si="3"/>
        <v>#REF!</v>
      </c>
      <c r="V56" s="59" t="e">
        <f>VLOOKUP(B56,'115+040'!$B$12:$AB$112,15,FALSE)</f>
        <v>#REF!</v>
      </c>
      <c r="W56" s="58">
        <f>'[4]114+940'!S57</f>
        <v>4</v>
      </c>
      <c r="X56" s="57">
        <f t="shared" si="8"/>
        <v>107</v>
      </c>
      <c r="Y56" s="56" t="e">
        <f t="shared" si="9"/>
        <v>#REF!</v>
      </c>
      <c r="Z56" s="55" t="e">
        <f t="shared" si="10"/>
        <v>#REF!</v>
      </c>
      <c r="AA56" s="54" t="e">
        <f t="shared" si="11"/>
        <v>#REF!</v>
      </c>
      <c r="AB56" s="54" t="e">
        <f t="shared" si="12"/>
        <v>#REF!</v>
      </c>
      <c r="AC56" s="43"/>
      <c r="AD56" s="43"/>
      <c r="AE56" s="75"/>
    </row>
    <row r="57" spans="1:31" s="74" customFormat="1" ht="15" customHeight="1">
      <c r="A57" s="76"/>
      <c r="B57" s="96" t="e">
        <f>'115+040'!#REF!</f>
        <v>#REF!</v>
      </c>
      <c r="C57" s="66" t="e">
        <f t="shared" si="4"/>
        <v>#REF!</v>
      </c>
      <c r="D57" s="65" t="e">
        <f t="shared" si="5"/>
        <v>#REF!</v>
      </c>
      <c r="E57" s="64" t="e">
        <f>VLOOKUP(B57,'115+040'!B55:AB156,3,FALSE)</f>
        <v>#REF!</v>
      </c>
      <c r="F57" s="61" t="e">
        <f t="shared" si="0"/>
        <v>#REF!</v>
      </c>
      <c r="G57" s="63" t="e">
        <f>VLOOKUP(B57,'115+040'!$B$12:$AB$112,20,FALSE)</f>
        <v>#REF!</v>
      </c>
      <c r="H57" s="63" t="e">
        <f>VLOOKUP(B57,'115+040'!$B$12:$AB$112,4,FALSE)</f>
        <v>#REF!</v>
      </c>
      <c r="I57" s="60" t="e">
        <f t="shared" si="1"/>
        <v>#REF!</v>
      </c>
      <c r="J57" s="60" t="e">
        <f>VLOOKUP(B57,'115+040'!$B$12:$AB$112,13,FALSE)</f>
        <v>#REF!</v>
      </c>
      <c r="K57" s="58">
        <f>'115+040'!R55</f>
        <v>5</v>
      </c>
      <c r="L57" s="57">
        <f t="shared" si="6"/>
        <v>94</v>
      </c>
      <c r="M57" s="62" t="e">
        <f>VLOOKUP(B57,'115+040'!$B$11:$AB$112,21,FALSE)</f>
        <v>#REF!</v>
      </c>
      <c r="N57" s="61" t="e">
        <f>VLOOKUP(B57,'115+040'!$B$12:$AB$112,5,FALSE)</f>
        <v>#REF!</v>
      </c>
      <c r="O57" s="60" t="e">
        <f t="shared" si="2"/>
        <v>#REF!</v>
      </c>
      <c r="P57" s="60" t="e">
        <f>VLOOKUP(B57,'115+040'!$B$12:$AB$112,14,FALSE)</f>
        <v>#REF!</v>
      </c>
      <c r="Q57" s="58">
        <f>'115+040'!S55</f>
        <v>5</v>
      </c>
      <c r="R57" s="57">
        <f t="shared" si="7"/>
        <v>96</v>
      </c>
      <c r="S57" s="62" t="e">
        <f>VLOOKUP(B57,'115+040'!$B$11:$AB$112,22,FALSE)</f>
        <v>#REF!</v>
      </c>
      <c r="T57" s="61" t="e">
        <f>VLOOKUP(B57,'115+040'!$B$12:$AB$112,6,FALSE)</f>
        <v>#REF!</v>
      </c>
      <c r="U57" s="60" t="e">
        <f t="shared" si="3"/>
        <v>#REF!</v>
      </c>
      <c r="V57" s="59" t="e">
        <f>VLOOKUP(B57,'115+040'!$B$12:$AB$112,15,FALSE)</f>
        <v>#REF!</v>
      </c>
      <c r="W57" s="58">
        <f>'[4]114+940'!S58</f>
        <v>3</v>
      </c>
      <c r="X57" s="57">
        <f t="shared" si="8"/>
        <v>110</v>
      </c>
      <c r="Y57" s="56" t="e">
        <f t="shared" si="9"/>
        <v>#REF!</v>
      </c>
      <c r="Z57" s="55" t="e">
        <f t="shared" si="10"/>
        <v>#REF!</v>
      </c>
      <c r="AA57" s="54" t="e">
        <f t="shared" si="11"/>
        <v>#REF!</v>
      </c>
      <c r="AB57" s="54" t="e">
        <f t="shared" si="12"/>
        <v>#REF!</v>
      </c>
      <c r="AC57" s="43"/>
      <c r="AD57" s="43"/>
      <c r="AE57" s="75"/>
    </row>
    <row r="58" spans="1:31" s="74" customFormat="1" ht="15" customHeight="1">
      <c r="A58" s="76"/>
      <c r="B58" s="96" t="e">
        <f>'115+040'!#REF!</f>
        <v>#REF!</v>
      </c>
      <c r="C58" s="66" t="e">
        <f t="shared" si="4"/>
        <v>#REF!</v>
      </c>
      <c r="D58" s="65" t="e">
        <f t="shared" si="5"/>
        <v>#REF!</v>
      </c>
      <c r="E58" s="64" t="e">
        <f>VLOOKUP(B58,'115+040'!B56:AB157,3,FALSE)</f>
        <v>#REF!</v>
      </c>
      <c r="F58" s="61" t="e">
        <f t="shared" si="0"/>
        <v>#REF!</v>
      </c>
      <c r="G58" s="63" t="e">
        <f>VLOOKUP(B58,'115+040'!$B$12:$AB$112,20,FALSE)</f>
        <v>#REF!</v>
      </c>
      <c r="H58" s="63" t="e">
        <f>VLOOKUP(B58,'115+040'!$B$12:$AB$112,4,FALSE)</f>
        <v>#REF!</v>
      </c>
      <c r="I58" s="60" t="e">
        <f t="shared" si="1"/>
        <v>#REF!</v>
      </c>
      <c r="J58" s="60" t="e">
        <f>VLOOKUP(B58,'115+040'!$B$12:$AB$112,13,FALSE)</f>
        <v>#REF!</v>
      </c>
      <c r="K58" s="58">
        <f>'115+040'!R56</f>
        <v>5</v>
      </c>
      <c r="L58" s="57">
        <f t="shared" si="6"/>
        <v>99</v>
      </c>
      <c r="M58" s="62" t="e">
        <f>VLOOKUP(B58,'115+040'!$B$11:$AB$112,21,FALSE)</f>
        <v>#REF!</v>
      </c>
      <c r="N58" s="61" t="e">
        <f>VLOOKUP(B58,'115+040'!$B$12:$AB$112,5,FALSE)</f>
        <v>#REF!</v>
      </c>
      <c r="O58" s="60" t="e">
        <f t="shared" si="2"/>
        <v>#REF!</v>
      </c>
      <c r="P58" s="60" t="e">
        <f>VLOOKUP(B58,'115+040'!$B$12:$AB$112,14,FALSE)</f>
        <v>#REF!</v>
      </c>
      <c r="Q58" s="58">
        <f>'115+040'!S56</f>
        <v>5</v>
      </c>
      <c r="R58" s="57">
        <f t="shared" si="7"/>
        <v>101</v>
      </c>
      <c r="S58" s="62" t="e">
        <f>VLOOKUP(B58,'115+040'!$B$11:$AB$112,22,FALSE)</f>
        <v>#REF!</v>
      </c>
      <c r="T58" s="61" t="e">
        <f>VLOOKUP(B58,'115+040'!$B$12:$AB$112,6,FALSE)</f>
        <v>#REF!</v>
      </c>
      <c r="U58" s="60" t="e">
        <f t="shared" si="3"/>
        <v>#REF!</v>
      </c>
      <c r="V58" s="59" t="e">
        <f>VLOOKUP(B58,'115+040'!$B$12:$AB$112,15,FALSE)</f>
        <v>#REF!</v>
      </c>
      <c r="W58" s="58">
        <f>'[4]114+940'!S59</f>
        <v>2</v>
      </c>
      <c r="X58" s="57">
        <f t="shared" si="8"/>
        <v>112</v>
      </c>
      <c r="Y58" s="56" t="e">
        <f t="shared" si="9"/>
        <v>#REF!</v>
      </c>
      <c r="Z58" s="55" t="e">
        <f t="shared" si="10"/>
        <v>#REF!</v>
      </c>
      <c r="AA58" s="54" t="e">
        <f t="shared" si="11"/>
        <v>#REF!</v>
      </c>
      <c r="AB58" s="54" t="e">
        <f t="shared" si="12"/>
        <v>#REF!</v>
      </c>
      <c r="AC58" s="43"/>
      <c r="AD58" s="43"/>
      <c r="AE58" s="75"/>
    </row>
    <row r="59" spans="1:31" s="74" customFormat="1" ht="15" customHeight="1">
      <c r="A59" s="76"/>
      <c r="B59" s="96" t="e">
        <f>'115+040'!#REF!</f>
        <v>#REF!</v>
      </c>
      <c r="C59" s="66" t="e">
        <f t="shared" si="4"/>
        <v>#REF!</v>
      </c>
      <c r="D59" s="65" t="e">
        <f t="shared" si="5"/>
        <v>#REF!</v>
      </c>
      <c r="E59" s="64" t="e">
        <f>VLOOKUP(B59,'115+040'!B57:AB158,3,FALSE)</f>
        <v>#REF!</v>
      </c>
      <c r="F59" s="61" t="e">
        <f t="shared" si="0"/>
        <v>#REF!</v>
      </c>
      <c r="G59" s="63" t="e">
        <f>VLOOKUP(B59,'115+040'!$B$12:$AB$112,20,FALSE)</f>
        <v>#REF!</v>
      </c>
      <c r="H59" s="63" t="e">
        <f>VLOOKUP(B59,'115+040'!$B$12:$AB$112,4,FALSE)</f>
        <v>#REF!</v>
      </c>
      <c r="I59" s="60" t="e">
        <f t="shared" si="1"/>
        <v>#REF!</v>
      </c>
      <c r="J59" s="60" t="e">
        <f>VLOOKUP(B59,'115+040'!$B$12:$AB$112,13,FALSE)</f>
        <v>#REF!</v>
      </c>
      <c r="K59" s="58">
        <f>'115+040'!R57</f>
        <v>5</v>
      </c>
      <c r="L59" s="57">
        <f t="shared" si="6"/>
        <v>104</v>
      </c>
      <c r="M59" s="62" t="e">
        <f>VLOOKUP(B59,'115+040'!$B$11:$AB$112,21,FALSE)</f>
        <v>#REF!</v>
      </c>
      <c r="N59" s="61" t="e">
        <f>VLOOKUP(B59,'115+040'!$B$12:$AB$112,5,FALSE)</f>
        <v>#REF!</v>
      </c>
      <c r="O59" s="60" t="e">
        <f t="shared" si="2"/>
        <v>#REF!</v>
      </c>
      <c r="P59" s="60" t="e">
        <f>VLOOKUP(B59,'115+040'!$B$12:$AB$112,14,FALSE)</f>
        <v>#REF!</v>
      </c>
      <c r="Q59" s="58">
        <f>'115+040'!S57</f>
        <v>5</v>
      </c>
      <c r="R59" s="57">
        <f t="shared" si="7"/>
        <v>106</v>
      </c>
      <c r="S59" s="62" t="e">
        <f>VLOOKUP(B59,'115+040'!$B$11:$AB$112,22,FALSE)</f>
        <v>#REF!</v>
      </c>
      <c r="T59" s="61" t="e">
        <f>VLOOKUP(B59,'115+040'!$B$12:$AB$112,6,FALSE)</f>
        <v>#REF!</v>
      </c>
      <c r="U59" s="60" t="e">
        <f t="shared" si="3"/>
        <v>#REF!</v>
      </c>
      <c r="V59" s="59" t="e">
        <f>VLOOKUP(B59,'115+040'!$B$12:$AB$112,15,FALSE)</f>
        <v>#REF!</v>
      </c>
      <c r="W59" s="58">
        <f>'[4]114+940'!S60</f>
        <v>3</v>
      </c>
      <c r="X59" s="57">
        <f t="shared" si="8"/>
        <v>115</v>
      </c>
      <c r="Y59" s="56" t="e">
        <f t="shared" si="9"/>
        <v>#REF!</v>
      </c>
      <c r="Z59" s="55" t="e">
        <f t="shared" si="10"/>
        <v>#REF!</v>
      </c>
      <c r="AA59" s="54" t="e">
        <f t="shared" si="11"/>
        <v>#REF!</v>
      </c>
      <c r="AB59" s="54" t="e">
        <f t="shared" si="12"/>
        <v>#REF!</v>
      </c>
      <c r="AC59" s="43"/>
      <c r="AD59" s="43"/>
      <c r="AE59" s="75"/>
    </row>
    <row r="60" spans="1:31" s="74" customFormat="1" ht="15" customHeight="1">
      <c r="A60" s="76"/>
      <c r="B60" s="96" t="e">
        <f>'115+040'!#REF!</f>
        <v>#REF!</v>
      </c>
      <c r="C60" s="66" t="e">
        <f t="shared" si="4"/>
        <v>#REF!</v>
      </c>
      <c r="D60" s="65" t="e">
        <f t="shared" si="5"/>
        <v>#REF!</v>
      </c>
      <c r="E60" s="64" t="e">
        <f>VLOOKUP(B60,'115+040'!B58:AB159,3,FALSE)</f>
        <v>#REF!</v>
      </c>
      <c r="F60" s="61" t="e">
        <f t="shared" si="0"/>
        <v>#REF!</v>
      </c>
      <c r="G60" s="63" t="e">
        <f>VLOOKUP(B60,'115+040'!$B$12:$AB$112,20,FALSE)</f>
        <v>#REF!</v>
      </c>
      <c r="H60" s="63" t="e">
        <f>VLOOKUP(B60,'115+040'!$B$12:$AB$112,4,FALSE)</f>
        <v>#REF!</v>
      </c>
      <c r="I60" s="60" t="e">
        <f t="shared" si="1"/>
        <v>#REF!</v>
      </c>
      <c r="J60" s="60" t="e">
        <f>VLOOKUP(B60,'115+040'!$B$12:$AB$112,13,FALSE)</f>
        <v>#REF!</v>
      </c>
      <c r="K60" s="58">
        <f>'115+040'!R58</f>
        <v>5</v>
      </c>
      <c r="L60" s="57">
        <f t="shared" si="6"/>
        <v>109</v>
      </c>
      <c r="M60" s="62" t="e">
        <f>VLOOKUP(B60,'115+040'!$B$11:$AB$112,21,FALSE)</f>
        <v>#REF!</v>
      </c>
      <c r="N60" s="61" t="e">
        <f>VLOOKUP(B60,'115+040'!$B$12:$AB$112,5,FALSE)</f>
        <v>#REF!</v>
      </c>
      <c r="O60" s="60" t="e">
        <f t="shared" si="2"/>
        <v>#REF!</v>
      </c>
      <c r="P60" s="60" t="e">
        <f>VLOOKUP(B60,'115+040'!$B$12:$AB$112,14,FALSE)</f>
        <v>#REF!</v>
      </c>
      <c r="Q60" s="58">
        <f>'115+040'!S58</f>
        <v>5</v>
      </c>
      <c r="R60" s="57">
        <f t="shared" si="7"/>
        <v>111</v>
      </c>
      <c r="S60" s="62" t="e">
        <f>VLOOKUP(B60,'115+040'!$B$11:$AB$112,22,FALSE)</f>
        <v>#REF!</v>
      </c>
      <c r="T60" s="61" t="e">
        <f>VLOOKUP(B60,'115+040'!$B$12:$AB$112,6,FALSE)</f>
        <v>#REF!</v>
      </c>
      <c r="U60" s="60" t="e">
        <f t="shared" si="3"/>
        <v>#REF!</v>
      </c>
      <c r="V60" s="59" t="e">
        <f>VLOOKUP(B60,'115+040'!$B$12:$AB$112,15,FALSE)</f>
        <v>#REF!</v>
      </c>
      <c r="W60" s="58">
        <f>'[4]114+940'!S61</f>
        <v>8</v>
      </c>
      <c r="X60" s="57">
        <f t="shared" si="8"/>
        <v>123</v>
      </c>
      <c r="Y60" s="56" t="e">
        <f t="shared" si="9"/>
        <v>#REF!</v>
      </c>
      <c r="Z60" s="55" t="e">
        <f t="shared" si="10"/>
        <v>#REF!</v>
      </c>
      <c r="AA60" s="54" t="e">
        <f t="shared" si="11"/>
        <v>#REF!</v>
      </c>
      <c r="AB60" s="54" t="e">
        <f t="shared" si="12"/>
        <v>#REF!</v>
      </c>
      <c r="AC60" s="43"/>
      <c r="AD60" s="43"/>
      <c r="AE60" s="75"/>
    </row>
    <row r="61" spans="1:31" s="74" customFormat="1" ht="15" customHeight="1">
      <c r="A61" s="76"/>
      <c r="B61" s="96" t="e">
        <f>'115+040'!#REF!</f>
        <v>#REF!</v>
      </c>
      <c r="C61" s="66" t="e">
        <f t="shared" si="4"/>
        <v>#REF!</v>
      </c>
      <c r="D61" s="65" t="e">
        <f t="shared" si="5"/>
        <v>#REF!</v>
      </c>
      <c r="E61" s="64" t="e">
        <f>VLOOKUP(B61,'115+040'!B59:AB160,3,FALSE)</f>
        <v>#REF!</v>
      </c>
      <c r="F61" s="61" t="e">
        <f t="shared" si="0"/>
        <v>#REF!</v>
      </c>
      <c r="G61" s="63" t="e">
        <f>VLOOKUP(B61,'115+040'!$B$12:$AB$112,20,FALSE)</f>
        <v>#REF!</v>
      </c>
      <c r="H61" s="63" t="e">
        <f>VLOOKUP(B61,'115+040'!$B$12:$AB$112,4,FALSE)</f>
        <v>#REF!</v>
      </c>
      <c r="I61" s="60" t="e">
        <f t="shared" si="1"/>
        <v>#REF!</v>
      </c>
      <c r="J61" s="60" t="e">
        <f>VLOOKUP(B61,'115+040'!$B$12:$AB$112,13,FALSE)</f>
        <v>#REF!</v>
      </c>
      <c r="K61" s="58">
        <f>'115+040'!R59</f>
        <v>5</v>
      </c>
      <c r="L61" s="57">
        <f t="shared" si="6"/>
        <v>114</v>
      </c>
      <c r="M61" s="62" t="e">
        <f>VLOOKUP(B61,'115+040'!$B$11:$AB$112,21,FALSE)</f>
        <v>#REF!</v>
      </c>
      <c r="N61" s="61" t="e">
        <f>VLOOKUP(B61,'115+040'!$B$12:$AB$112,5,FALSE)</f>
        <v>#REF!</v>
      </c>
      <c r="O61" s="60" t="e">
        <f t="shared" si="2"/>
        <v>#REF!</v>
      </c>
      <c r="P61" s="60" t="e">
        <f>VLOOKUP(B61,'115+040'!$B$12:$AB$112,14,FALSE)</f>
        <v>#REF!</v>
      </c>
      <c r="Q61" s="58">
        <f>'115+040'!S59</f>
        <v>5</v>
      </c>
      <c r="R61" s="57">
        <f t="shared" si="7"/>
        <v>116</v>
      </c>
      <c r="S61" s="62" t="e">
        <f>VLOOKUP(B61,'115+040'!$B$11:$AB$112,22,FALSE)</f>
        <v>#REF!</v>
      </c>
      <c r="T61" s="61" t="e">
        <f>VLOOKUP(B61,'115+040'!$B$12:$AB$112,6,FALSE)</f>
        <v>#REF!</v>
      </c>
      <c r="U61" s="60" t="e">
        <f t="shared" si="3"/>
        <v>#REF!</v>
      </c>
      <c r="V61" s="59" t="e">
        <f>VLOOKUP(B61,'115+040'!$B$12:$AB$112,15,FALSE)</f>
        <v>#REF!</v>
      </c>
      <c r="W61" s="58">
        <f>'[4]114+940'!S62</f>
        <v>5</v>
      </c>
      <c r="X61" s="57">
        <f t="shared" si="8"/>
        <v>128</v>
      </c>
      <c r="Y61" s="56" t="e">
        <f t="shared" si="9"/>
        <v>#REF!</v>
      </c>
      <c r="Z61" s="55" t="e">
        <f t="shared" si="10"/>
        <v>#REF!</v>
      </c>
      <c r="AA61" s="54" t="e">
        <f t="shared" si="11"/>
        <v>#REF!</v>
      </c>
      <c r="AB61" s="54" t="e">
        <f t="shared" si="12"/>
        <v>#REF!</v>
      </c>
      <c r="AC61" s="43"/>
      <c r="AD61" s="43"/>
      <c r="AE61" s="75"/>
    </row>
    <row r="62" spans="1:31" s="74" customFormat="1" ht="15" customHeight="1">
      <c r="A62" s="76"/>
      <c r="B62" s="96" t="e">
        <f>'115+040'!#REF!</f>
        <v>#REF!</v>
      </c>
      <c r="C62" s="66" t="e">
        <f t="shared" si="4"/>
        <v>#REF!</v>
      </c>
      <c r="D62" s="65" t="e">
        <f t="shared" si="5"/>
        <v>#REF!</v>
      </c>
      <c r="E62" s="64" t="e">
        <f>VLOOKUP(B62,'115+040'!B60:AB161,3,FALSE)</f>
        <v>#REF!</v>
      </c>
      <c r="F62" s="61" t="e">
        <f t="shared" si="0"/>
        <v>#REF!</v>
      </c>
      <c r="G62" s="63" t="e">
        <f>VLOOKUP(B62,'115+040'!$B$12:$AB$112,20,FALSE)</f>
        <v>#REF!</v>
      </c>
      <c r="H62" s="63" t="e">
        <f>VLOOKUP(B62,'115+040'!$B$12:$AB$112,4,FALSE)</f>
        <v>#REF!</v>
      </c>
      <c r="I62" s="60" t="e">
        <f t="shared" si="1"/>
        <v>#REF!</v>
      </c>
      <c r="J62" s="60" t="e">
        <f>VLOOKUP(B62,'115+040'!$B$12:$AB$112,13,FALSE)</f>
        <v>#REF!</v>
      </c>
      <c r="K62" s="58">
        <f>'115+040'!R60</f>
        <v>5</v>
      </c>
      <c r="L62" s="57">
        <f t="shared" si="6"/>
        <v>119</v>
      </c>
      <c r="M62" s="62" t="e">
        <f>VLOOKUP(B62,'115+040'!$B$11:$AB$112,21,FALSE)</f>
        <v>#REF!</v>
      </c>
      <c r="N62" s="61" t="e">
        <f>VLOOKUP(B62,'115+040'!$B$12:$AB$112,5,FALSE)</f>
        <v>#REF!</v>
      </c>
      <c r="O62" s="60" t="e">
        <f t="shared" si="2"/>
        <v>#REF!</v>
      </c>
      <c r="P62" s="60" t="e">
        <f>VLOOKUP(B62,'115+040'!$B$12:$AB$112,14,FALSE)</f>
        <v>#REF!</v>
      </c>
      <c r="Q62" s="58">
        <f>'115+040'!S60</f>
        <v>5</v>
      </c>
      <c r="R62" s="57">
        <f t="shared" si="7"/>
        <v>121</v>
      </c>
      <c r="S62" s="62" t="e">
        <f>VLOOKUP(B62,'115+040'!$B$11:$AB$112,22,FALSE)</f>
        <v>#REF!</v>
      </c>
      <c r="T62" s="61" t="e">
        <f>VLOOKUP(B62,'115+040'!$B$12:$AB$112,6,FALSE)</f>
        <v>#REF!</v>
      </c>
      <c r="U62" s="60" t="e">
        <f t="shared" si="3"/>
        <v>#REF!</v>
      </c>
      <c r="V62" s="59" t="e">
        <f>VLOOKUP(B62,'115+040'!$B$12:$AB$112,15,FALSE)</f>
        <v>#REF!</v>
      </c>
      <c r="W62" s="58">
        <f>'[4]114+940'!S63</f>
        <v>4</v>
      </c>
      <c r="X62" s="57">
        <f t="shared" si="8"/>
        <v>132</v>
      </c>
      <c r="Y62" s="56" t="e">
        <f t="shared" si="9"/>
        <v>#REF!</v>
      </c>
      <c r="Z62" s="55" t="e">
        <f t="shared" si="10"/>
        <v>#REF!</v>
      </c>
      <c r="AA62" s="54" t="e">
        <f t="shared" si="11"/>
        <v>#REF!</v>
      </c>
      <c r="AB62" s="54" t="e">
        <f t="shared" si="12"/>
        <v>#REF!</v>
      </c>
      <c r="AC62" s="43"/>
      <c r="AD62" s="43"/>
      <c r="AE62" s="75"/>
    </row>
    <row r="63" spans="1:31" s="74" customFormat="1" ht="15" customHeight="1">
      <c r="A63" s="76"/>
      <c r="B63" s="96" t="e">
        <f>'115+040'!#REF!</f>
        <v>#REF!</v>
      </c>
      <c r="C63" s="66" t="e">
        <f t="shared" si="4"/>
        <v>#REF!</v>
      </c>
      <c r="D63" s="65" t="e">
        <f t="shared" si="5"/>
        <v>#REF!</v>
      </c>
      <c r="E63" s="64" t="e">
        <f>VLOOKUP(B63,'115+040'!B61:AB162,3,FALSE)</f>
        <v>#REF!</v>
      </c>
      <c r="F63" s="61" t="e">
        <f t="shared" si="0"/>
        <v>#REF!</v>
      </c>
      <c r="G63" s="63" t="e">
        <f>VLOOKUP(B63,'115+040'!$B$12:$AB$112,20,FALSE)</f>
        <v>#REF!</v>
      </c>
      <c r="H63" s="63" t="e">
        <f>VLOOKUP(B63,'115+040'!$B$12:$AB$112,4,FALSE)</f>
        <v>#REF!</v>
      </c>
      <c r="I63" s="60" t="e">
        <f t="shared" si="1"/>
        <v>#REF!</v>
      </c>
      <c r="J63" s="60" t="e">
        <f>VLOOKUP(B63,'115+040'!$B$12:$AB$112,13,FALSE)</f>
        <v>#REF!</v>
      </c>
      <c r="K63" s="58">
        <f>'115+040'!R61</f>
        <v>5</v>
      </c>
      <c r="L63" s="57">
        <f t="shared" si="6"/>
        <v>124</v>
      </c>
      <c r="M63" s="62" t="e">
        <f>VLOOKUP(B63,'115+040'!$B$11:$AB$112,21,FALSE)</f>
        <v>#REF!</v>
      </c>
      <c r="N63" s="61" t="e">
        <f>VLOOKUP(B63,'115+040'!$B$12:$AB$112,5,FALSE)</f>
        <v>#REF!</v>
      </c>
      <c r="O63" s="60" t="e">
        <f t="shared" si="2"/>
        <v>#REF!</v>
      </c>
      <c r="P63" s="60" t="e">
        <f>VLOOKUP(B63,'115+040'!$B$12:$AB$112,14,FALSE)</f>
        <v>#REF!</v>
      </c>
      <c r="Q63" s="58">
        <f>'115+040'!S61</f>
        <v>5</v>
      </c>
      <c r="R63" s="57">
        <f t="shared" si="7"/>
        <v>126</v>
      </c>
      <c r="S63" s="62" t="e">
        <f>VLOOKUP(B63,'115+040'!$B$11:$AB$112,22,FALSE)</f>
        <v>#REF!</v>
      </c>
      <c r="T63" s="61" t="e">
        <f>VLOOKUP(B63,'115+040'!$B$12:$AB$112,6,FALSE)</f>
        <v>#REF!</v>
      </c>
      <c r="U63" s="60" t="e">
        <f t="shared" si="3"/>
        <v>#REF!</v>
      </c>
      <c r="V63" s="59" t="e">
        <f>VLOOKUP(B63,'115+040'!$B$12:$AB$112,15,FALSE)</f>
        <v>#REF!</v>
      </c>
      <c r="W63" s="58">
        <f>'[4]114+940'!S64</f>
        <v>3</v>
      </c>
      <c r="X63" s="57">
        <f t="shared" si="8"/>
        <v>135</v>
      </c>
      <c r="Y63" s="56" t="e">
        <f t="shared" si="9"/>
        <v>#REF!</v>
      </c>
      <c r="Z63" s="55" t="e">
        <f t="shared" si="10"/>
        <v>#REF!</v>
      </c>
      <c r="AA63" s="54" t="e">
        <f t="shared" si="11"/>
        <v>#REF!</v>
      </c>
      <c r="AB63" s="54" t="e">
        <f t="shared" si="12"/>
        <v>#REF!</v>
      </c>
      <c r="AC63" s="43"/>
      <c r="AD63" s="43"/>
      <c r="AE63" s="75"/>
    </row>
    <row r="64" spans="1:31" s="74" customFormat="1" ht="15" customHeight="1">
      <c r="A64" s="76"/>
      <c r="B64" s="96" t="e">
        <f>'115+040'!#REF!</f>
        <v>#REF!</v>
      </c>
      <c r="C64" s="66" t="e">
        <f t="shared" si="4"/>
        <v>#REF!</v>
      </c>
      <c r="D64" s="65" t="e">
        <f t="shared" si="5"/>
        <v>#REF!</v>
      </c>
      <c r="E64" s="64" t="e">
        <f>VLOOKUP(B64,'115+040'!B62:AB163,3,FALSE)</f>
        <v>#REF!</v>
      </c>
      <c r="F64" s="61" t="e">
        <f t="shared" si="0"/>
        <v>#REF!</v>
      </c>
      <c r="G64" s="63" t="e">
        <f>VLOOKUP(B64,'115+040'!$B$12:$AB$112,20,FALSE)</f>
        <v>#REF!</v>
      </c>
      <c r="H64" s="63" t="e">
        <f>VLOOKUP(B64,'115+040'!$B$12:$AB$112,4,FALSE)</f>
        <v>#REF!</v>
      </c>
      <c r="I64" s="60" t="e">
        <f t="shared" si="1"/>
        <v>#REF!</v>
      </c>
      <c r="J64" s="60" t="e">
        <f>VLOOKUP(B64,'115+040'!$B$12:$AB$112,13,FALSE)</f>
        <v>#REF!</v>
      </c>
      <c r="K64" s="58">
        <f>'115+040'!R62</f>
        <v>5</v>
      </c>
      <c r="L64" s="57">
        <f t="shared" si="6"/>
        <v>129</v>
      </c>
      <c r="M64" s="62" t="e">
        <f>VLOOKUP(B64,'115+040'!$B$11:$AB$112,21,FALSE)</f>
        <v>#REF!</v>
      </c>
      <c r="N64" s="61" t="e">
        <f>VLOOKUP(B64,'115+040'!$B$12:$AB$112,5,FALSE)</f>
        <v>#REF!</v>
      </c>
      <c r="O64" s="60" t="e">
        <f t="shared" si="2"/>
        <v>#REF!</v>
      </c>
      <c r="P64" s="60" t="e">
        <f>VLOOKUP(B64,'115+040'!$B$12:$AB$112,14,FALSE)</f>
        <v>#REF!</v>
      </c>
      <c r="Q64" s="58">
        <f>'115+040'!S62</f>
        <v>5</v>
      </c>
      <c r="R64" s="57">
        <f t="shared" si="7"/>
        <v>131</v>
      </c>
      <c r="S64" s="62" t="e">
        <f>VLOOKUP(B64,'115+040'!$B$11:$AB$112,22,FALSE)</f>
        <v>#REF!</v>
      </c>
      <c r="T64" s="61" t="e">
        <f>VLOOKUP(B64,'115+040'!$B$12:$AB$112,6,FALSE)</f>
        <v>#REF!</v>
      </c>
      <c r="U64" s="60" t="e">
        <f t="shared" si="3"/>
        <v>#REF!</v>
      </c>
      <c r="V64" s="59" t="e">
        <f>VLOOKUP(B64,'115+040'!$B$12:$AB$112,15,FALSE)</f>
        <v>#REF!</v>
      </c>
      <c r="W64" s="58">
        <f>'[4]114+940'!S65</f>
        <v>2</v>
      </c>
      <c r="X64" s="57">
        <f t="shared" si="8"/>
        <v>137</v>
      </c>
      <c r="Y64" s="56" t="e">
        <f t="shared" si="9"/>
        <v>#REF!</v>
      </c>
      <c r="Z64" s="55" t="e">
        <f t="shared" si="10"/>
        <v>#REF!</v>
      </c>
      <c r="AA64" s="54" t="e">
        <f t="shared" si="11"/>
        <v>#REF!</v>
      </c>
      <c r="AB64" s="54" t="e">
        <f t="shared" si="12"/>
        <v>#REF!</v>
      </c>
      <c r="AC64" s="43"/>
      <c r="AD64" s="43"/>
      <c r="AE64" s="75"/>
    </row>
    <row r="65" spans="1:32" s="74" customFormat="1" ht="15" customHeight="1">
      <c r="A65" s="76"/>
      <c r="B65" s="96" t="e">
        <f>'115+040'!#REF!</f>
        <v>#REF!</v>
      </c>
      <c r="C65" s="66" t="e">
        <f t="shared" si="4"/>
        <v>#REF!</v>
      </c>
      <c r="D65" s="65" t="e">
        <f t="shared" si="5"/>
        <v>#REF!</v>
      </c>
      <c r="E65" s="64" t="e">
        <f>VLOOKUP(B65,'115+040'!B63:AB164,3,FALSE)</f>
        <v>#REF!</v>
      </c>
      <c r="F65" s="61" t="e">
        <f t="shared" si="0"/>
        <v>#REF!</v>
      </c>
      <c r="G65" s="63" t="e">
        <f>VLOOKUP(B65,'115+040'!$B$12:$AB$112,20,FALSE)</f>
        <v>#REF!</v>
      </c>
      <c r="H65" s="63" t="e">
        <f>VLOOKUP(B65,'115+040'!$B$12:$AB$112,4,FALSE)</f>
        <v>#REF!</v>
      </c>
      <c r="I65" s="60" t="e">
        <f t="shared" si="1"/>
        <v>#REF!</v>
      </c>
      <c r="J65" s="60" t="e">
        <f>VLOOKUP(B65,'115+040'!$B$12:$AB$112,13,FALSE)</f>
        <v>#REF!</v>
      </c>
      <c r="K65" s="58">
        <f>'115+040'!R63</f>
        <v>5</v>
      </c>
      <c r="L65" s="57">
        <f t="shared" si="6"/>
        <v>134</v>
      </c>
      <c r="M65" s="62" t="e">
        <f>VLOOKUP(B65,'115+040'!$B$11:$AB$112,21,FALSE)</f>
        <v>#REF!</v>
      </c>
      <c r="N65" s="61" t="e">
        <f>VLOOKUP(B65,'115+040'!$B$12:$AB$112,5,FALSE)</f>
        <v>#REF!</v>
      </c>
      <c r="O65" s="60" t="e">
        <f t="shared" si="2"/>
        <v>#REF!</v>
      </c>
      <c r="P65" s="60" t="e">
        <f>VLOOKUP(B65,'115+040'!$B$12:$AB$112,14,FALSE)</f>
        <v>#REF!</v>
      </c>
      <c r="Q65" s="58">
        <f>'115+040'!S63</f>
        <v>5</v>
      </c>
      <c r="R65" s="57">
        <f t="shared" si="7"/>
        <v>136</v>
      </c>
      <c r="S65" s="62" t="e">
        <f>VLOOKUP(B65,'115+040'!$B$11:$AB$112,22,FALSE)</f>
        <v>#REF!</v>
      </c>
      <c r="T65" s="61" t="e">
        <f>VLOOKUP(B65,'115+040'!$B$12:$AB$112,6,FALSE)</f>
        <v>#REF!</v>
      </c>
      <c r="U65" s="60" t="e">
        <f t="shared" si="3"/>
        <v>#REF!</v>
      </c>
      <c r="V65" s="59" t="e">
        <f>VLOOKUP(B65,'115+040'!$B$12:$AB$112,15,FALSE)</f>
        <v>#REF!</v>
      </c>
      <c r="W65" s="58">
        <f>'[4]114+940'!S66</f>
        <v>1</v>
      </c>
      <c r="X65" s="57">
        <f t="shared" si="8"/>
        <v>138</v>
      </c>
      <c r="Y65" s="56" t="e">
        <f t="shared" si="9"/>
        <v>#REF!</v>
      </c>
      <c r="Z65" s="55" t="e">
        <f t="shared" si="10"/>
        <v>#REF!</v>
      </c>
      <c r="AA65" s="54" t="e">
        <f t="shared" si="11"/>
        <v>#REF!</v>
      </c>
      <c r="AB65" s="54" t="e">
        <f t="shared" si="12"/>
        <v>#REF!</v>
      </c>
      <c r="AC65" s="43"/>
      <c r="AD65" s="43"/>
      <c r="AE65" s="75"/>
    </row>
    <row r="66" spans="1:32" s="83" customFormat="1" ht="15" customHeight="1">
      <c r="A66" s="76"/>
      <c r="B66" s="96" t="e">
        <f>'115+040'!#REF!</f>
        <v>#REF!</v>
      </c>
      <c r="C66" s="66" t="e">
        <f t="shared" si="4"/>
        <v>#REF!</v>
      </c>
      <c r="D66" s="65" t="e">
        <f t="shared" si="5"/>
        <v>#REF!</v>
      </c>
      <c r="E66" s="64" t="e">
        <f>VLOOKUP(B66,'115+040'!B64:AB165,3,FALSE)</f>
        <v>#REF!</v>
      </c>
      <c r="F66" s="61" t="e">
        <f t="shared" si="0"/>
        <v>#REF!</v>
      </c>
      <c r="G66" s="63" t="e">
        <f>VLOOKUP(B66,'115+040'!$B$12:$AB$112,20,FALSE)</f>
        <v>#REF!</v>
      </c>
      <c r="H66" s="63" t="e">
        <f>VLOOKUP(B66,'115+040'!$B$12:$AB$112,4,FALSE)</f>
        <v>#REF!</v>
      </c>
      <c r="I66" s="60" t="e">
        <f t="shared" si="1"/>
        <v>#REF!</v>
      </c>
      <c r="J66" s="60" t="e">
        <f>VLOOKUP(B66,'115+040'!$B$12:$AB$112,13,FALSE)</f>
        <v>#REF!</v>
      </c>
      <c r="K66" s="58">
        <f>'115+040'!R64</f>
        <v>5</v>
      </c>
      <c r="L66" s="57">
        <f t="shared" si="6"/>
        <v>139</v>
      </c>
      <c r="M66" s="62" t="e">
        <f>VLOOKUP(B66,'115+040'!$B$11:$AB$112,21,FALSE)</f>
        <v>#REF!</v>
      </c>
      <c r="N66" s="61" t="e">
        <f>VLOOKUP(B66,'115+040'!$B$12:$AB$112,5,FALSE)</f>
        <v>#REF!</v>
      </c>
      <c r="O66" s="60" t="e">
        <f t="shared" si="2"/>
        <v>#REF!</v>
      </c>
      <c r="P66" s="60" t="e">
        <f>VLOOKUP(B66,'115+040'!$B$12:$AB$112,14,FALSE)</f>
        <v>#REF!</v>
      </c>
      <c r="Q66" s="58">
        <f>'115+040'!S64</f>
        <v>5</v>
      </c>
      <c r="R66" s="57">
        <f t="shared" si="7"/>
        <v>141</v>
      </c>
      <c r="S66" s="62" t="e">
        <f>VLOOKUP(B66,'115+040'!$B$11:$AB$112,22,FALSE)</f>
        <v>#REF!</v>
      </c>
      <c r="T66" s="61" t="e">
        <f>VLOOKUP(B66,'115+040'!$B$12:$AB$112,6,FALSE)</f>
        <v>#REF!</v>
      </c>
      <c r="U66" s="60" t="e">
        <f t="shared" si="3"/>
        <v>#REF!</v>
      </c>
      <c r="V66" s="59" t="e">
        <f>VLOOKUP(B66,'115+040'!$B$12:$AB$112,15,FALSE)</f>
        <v>#REF!</v>
      </c>
      <c r="W66" s="58">
        <f>'[4]114+940'!S67</f>
        <v>0</v>
      </c>
      <c r="X66" s="57">
        <f t="shared" si="8"/>
        <v>138</v>
      </c>
      <c r="Y66" s="56" t="e">
        <f t="shared" si="9"/>
        <v>#REF!</v>
      </c>
      <c r="Z66" s="55" t="e">
        <f t="shared" si="10"/>
        <v>#REF!</v>
      </c>
      <c r="AA66" s="54" t="e">
        <f t="shared" si="11"/>
        <v>#REF!</v>
      </c>
      <c r="AB66" s="54" t="e">
        <f t="shared" si="12"/>
        <v>#REF!</v>
      </c>
      <c r="AC66" s="85"/>
      <c r="AD66" s="85"/>
      <c r="AE66" s="84"/>
    </row>
    <row r="67" spans="1:32" s="77" customFormat="1" ht="15" customHeight="1">
      <c r="A67" s="76"/>
      <c r="B67" s="96" t="e">
        <f>'115+040'!#REF!</f>
        <v>#REF!</v>
      </c>
      <c r="C67" s="66" t="e">
        <f t="shared" si="4"/>
        <v>#REF!</v>
      </c>
      <c r="D67" s="65" t="e">
        <f t="shared" si="5"/>
        <v>#REF!</v>
      </c>
      <c r="E67" s="64" t="e">
        <f>VLOOKUP(B67,'115+040'!B65:AB166,3,FALSE)</f>
        <v>#REF!</v>
      </c>
      <c r="F67" s="61" t="e">
        <f t="shared" si="0"/>
        <v>#REF!</v>
      </c>
      <c r="G67" s="63" t="e">
        <f>VLOOKUP(B67,'115+040'!$B$12:$AB$112,20,FALSE)</f>
        <v>#REF!</v>
      </c>
      <c r="H67" s="63" t="e">
        <f>VLOOKUP(B67,'115+040'!$B$12:$AB$112,4,FALSE)</f>
        <v>#REF!</v>
      </c>
      <c r="I67" s="60" t="e">
        <f t="shared" si="1"/>
        <v>#REF!</v>
      </c>
      <c r="J67" s="60" t="e">
        <f>VLOOKUP(B67,'115+040'!$B$12:$AB$112,13,FALSE)</f>
        <v>#REF!</v>
      </c>
      <c r="K67" s="58">
        <f>'115+040'!R65</f>
        <v>5</v>
      </c>
      <c r="L67" s="57">
        <f t="shared" si="6"/>
        <v>144</v>
      </c>
      <c r="M67" s="62" t="e">
        <f>VLOOKUP(B67,'115+040'!$B$11:$AB$112,21,FALSE)</f>
        <v>#REF!</v>
      </c>
      <c r="N67" s="61" t="e">
        <f>VLOOKUP(B67,'115+040'!$B$12:$AB$112,5,FALSE)</f>
        <v>#REF!</v>
      </c>
      <c r="O67" s="60" t="e">
        <f t="shared" si="2"/>
        <v>#REF!</v>
      </c>
      <c r="P67" s="60" t="e">
        <f>VLOOKUP(B67,'115+040'!$B$12:$AB$112,14,FALSE)</f>
        <v>#REF!</v>
      </c>
      <c r="Q67" s="58">
        <f>'115+040'!S65</f>
        <v>5</v>
      </c>
      <c r="R67" s="57">
        <f t="shared" si="7"/>
        <v>146</v>
      </c>
      <c r="S67" s="62" t="e">
        <f>VLOOKUP(B67,'115+040'!$B$11:$AB$112,22,FALSE)</f>
        <v>#REF!</v>
      </c>
      <c r="T67" s="61" t="e">
        <f>VLOOKUP(B67,'115+040'!$B$12:$AB$112,6,FALSE)</f>
        <v>#REF!</v>
      </c>
      <c r="U67" s="60" t="e">
        <f t="shared" si="3"/>
        <v>#REF!</v>
      </c>
      <c r="V67" s="59" t="e">
        <f>VLOOKUP(B67,'115+040'!$B$12:$AB$112,15,FALSE)</f>
        <v>#REF!</v>
      </c>
      <c r="W67" s="58">
        <f>'[4]114+940'!S68</f>
        <v>1</v>
      </c>
      <c r="X67" s="57">
        <f t="shared" si="8"/>
        <v>139</v>
      </c>
      <c r="Y67" s="56" t="e">
        <f t="shared" si="9"/>
        <v>#REF!</v>
      </c>
      <c r="Z67" s="55" t="e">
        <f t="shared" si="10"/>
        <v>#REF!</v>
      </c>
      <c r="AA67" s="54" t="e">
        <f t="shared" si="11"/>
        <v>#REF!</v>
      </c>
      <c r="AB67" s="54" t="e">
        <f t="shared" si="12"/>
        <v>#REF!</v>
      </c>
      <c r="AC67" s="79"/>
      <c r="AD67" s="79"/>
      <c r="AE67" s="78"/>
    </row>
    <row r="68" spans="1:32" s="80" customFormat="1" ht="15" customHeight="1">
      <c r="A68" s="76"/>
      <c r="B68" s="96" t="e">
        <f>'115+040'!#REF!</f>
        <v>#REF!</v>
      </c>
      <c r="C68" s="66" t="e">
        <f t="shared" si="4"/>
        <v>#REF!</v>
      </c>
      <c r="D68" s="65" t="e">
        <f t="shared" si="5"/>
        <v>#REF!</v>
      </c>
      <c r="E68" s="64" t="e">
        <f>VLOOKUP(B68,'115+040'!B66:AB167,3,FALSE)</f>
        <v>#REF!</v>
      </c>
      <c r="F68" s="61" t="e">
        <f t="shared" si="0"/>
        <v>#REF!</v>
      </c>
      <c r="G68" s="63" t="e">
        <f>VLOOKUP(B68,'115+040'!$B$12:$AB$112,20,FALSE)</f>
        <v>#REF!</v>
      </c>
      <c r="H68" s="63" t="e">
        <f>VLOOKUP(B68,'115+040'!$B$12:$AB$112,4,FALSE)</f>
        <v>#REF!</v>
      </c>
      <c r="I68" s="60" t="e">
        <f t="shared" si="1"/>
        <v>#REF!</v>
      </c>
      <c r="J68" s="60" t="e">
        <f>VLOOKUP(B68,'115+040'!$B$12:$AB$112,13,FALSE)</f>
        <v>#REF!</v>
      </c>
      <c r="K68" s="58">
        <f>'115+040'!R66</f>
        <v>5</v>
      </c>
      <c r="L68" s="57">
        <f t="shared" si="6"/>
        <v>149</v>
      </c>
      <c r="M68" s="62" t="e">
        <f>VLOOKUP(B68,'115+040'!$B$11:$AB$112,21,FALSE)</f>
        <v>#REF!</v>
      </c>
      <c r="N68" s="61" t="e">
        <f>VLOOKUP(B68,'115+040'!$B$12:$AB$112,5,FALSE)</f>
        <v>#REF!</v>
      </c>
      <c r="O68" s="60" t="e">
        <f t="shared" si="2"/>
        <v>#REF!</v>
      </c>
      <c r="P68" s="60" t="e">
        <f>VLOOKUP(B68,'115+040'!$B$12:$AB$112,14,FALSE)</f>
        <v>#REF!</v>
      </c>
      <c r="Q68" s="58">
        <f>'115+040'!S66</f>
        <v>5</v>
      </c>
      <c r="R68" s="57">
        <f t="shared" si="7"/>
        <v>151</v>
      </c>
      <c r="S68" s="62" t="e">
        <f>VLOOKUP(B68,'115+040'!$B$11:$AB$112,22,FALSE)</f>
        <v>#REF!</v>
      </c>
      <c r="T68" s="61" t="e">
        <f>VLOOKUP(B68,'115+040'!$B$12:$AB$112,6,FALSE)</f>
        <v>#REF!</v>
      </c>
      <c r="U68" s="60" t="e">
        <f t="shared" si="3"/>
        <v>#REF!</v>
      </c>
      <c r="V68" s="59" t="e">
        <f>VLOOKUP(B68,'115+040'!$B$12:$AB$112,15,FALSE)</f>
        <v>#REF!</v>
      </c>
      <c r="W68" s="58">
        <f>'[4]114+940'!S69</f>
        <v>0</v>
      </c>
      <c r="X68" s="57">
        <f t="shared" si="8"/>
        <v>139</v>
      </c>
      <c r="Y68" s="56" t="e">
        <f t="shared" si="9"/>
        <v>#REF!</v>
      </c>
      <c r="Z68" s="55" t="e">
        <f t="shared" si="10"/>
        <v>#REF!</v>
      </c>
      <c r="AA68" s="54" t="e">
        <f t="shared" si="11"/>
        <v>#REF!</v>
      </c>
      <c r="AB68" s="54" t="e">
        <f t="shared" si="12"/>
        <v>#REF!</v>
      </c>
      <c r="AC68" s="82"/>
      <c r="AD68" s="82"/>
      <c r="AE68" s="81"/>
    </row>
    <row r="69" spans="1:32" s="74" customFormat="1" ht="15" customHeight="1">
      <c r="A69" s="76"/>
      <c r="B69" s="96" t="e">
        <f>'115+040'!#REF!</f>
        <v>#REF!</v>
      </c>
      <c r="C69" s="66" t="e">
        <f t="shared" si="4"/>
        <v>#REF!</v>
      </c>
      <c r="D69" s="65" t="e">
        <f t="shared" si="5"/>
        <v>#REF!</v>
      </c>
      <c r="E69" s="64" t="e">
        <f>VLOOKUP(B69,'115+040'!B67:AB168,3,FALSE)</f>
        <v>#REF!</v>
      </c>
      <c r="F69" s="61" t="e">
        <f t="shared" si="0"/>
        <v>#REF!</v>
      </c>
      <c r="G69" s="63" t="e">
        <f>VLOOKUP(B69,'115+040'!$B$12:$AB$112,20,FALSE)</f>
        <v>#REF!</v>
      </c>
      <c r="H69" s="63" t="e">
        <f>VLOOKUP(B69,'115+040'!$B$12:$AB$112,4,FALSE)</f>
        <v>#REF!</v>
      </c>
      <c r="I69" s="60" t="e">
        <f t="shared" si="1"/>
        <v>#REF!</v>
      </c>
      <c r="J69" s="60" t="e">
        <f>VLOOKUP(B69,'115+040'!$B$12:$AB$112,13,FALSE)</f>
        <v>#REF!</v>
      </c>
      <c r="K69" s="58">
        <f>'115+040'!R67</f>
        <v>5</v>
      </c>
      <c r="L69" s="57">
        <f t="shared" si="6"/>
        <v>154</v>
      </c>
      <c r="M69" s="62" t="e">
        <f>VLOOKUP(B69,'115+040'!$B$11:$AB$112,21,FALSE)</f>
        <v>#REF!</v>
      </c>
      <c r="N69" s="61" t="e">
        <f>VLOOKUP(B69,'115+040'!$B$12:$AB$112,5,FALSE)</f>
        <v>#REF!</v>
      </c>
      <c r="O69" s="60" t="e">
        <f t="shared" si="2"/>
        <v>#REF!</v>
      </c>
      <c r="P69" s="60" t="e">
        <f>VLOOKUP(B69,'115+040'!$B$12:$AB$112,14,FALSE)</f>
        <v>#REF!</v>
      </c>
      <c r="Q69" s="58">
        <f>'115+040'!S67</f>
        <v>5</v>
      </c>
      <c r="R69" s="57">
        <f t="shared" si="7"/>
        <v>156</v>
      </c>
      <c r="S69" s="62" t="e">
        <f>VLOOKUP(B69,'115+040'!$B$11:$AB$112,22,FALSE)</f>
        <v>#REF!</v>
      </c>
      <c r="T69" s="61" t="e">
        <f>VLOOKUP(B69,'115+040'!$B$12:$AB$112,6,FALSE)</f>
        <v>#REF!</v>
      </c>
      <c r="U69" s="60" t="e">
        <f t="shared" si="3"/>
        <v>#REF!</v>
      </c>
      <c r="V69" s="59" t="e">
        <f>VLOOKUP(B69,'115+040'!$B$12:$AB$112,15,FALSE)</f>
        <v>#REF!</v>
      </c>
      <c r="W69" s="58">
        <f>'[4]114+940'!S70</f>
        <v>1</v>
      </c>
      <c r="X69" s="57">
        <f t="shared" si="8"/>
        <v>140</v>
      </c>
      <c r="Y69" s="56" t="e">
        <f t="shared" si="9"/>
        <v>#REF!</v>
      </c>
      <c r="Z69" s="55" t="e">
        <f t="shared" si="10"/>
        <v>#REF!</v>
      </c>
      <c r="AA69" s="54" t="e">
        <f t="shared" si="11"/>
        <v>#REF!</v>
      </c>
      <c r="AB69" s="54" t="e">
        <f t="shared" si="12"/>
        <v>#REF!</v>
      </c>
      <c r="AC69" s="43"/>
      <c r="AD69" s="43"/>
      <c r="AE69" s="75"/>
    </row>
    <row r="70" spans="1:32" s="74" customFormat="1" ht="15" customHeight="1">
      <c r="A70" s="76"/>
      <c r="B70" s="96" t="e">
        <f>'115+040'!#REF!</f>
        <v>#REF!</v>
      </c>
      <c r="C70" s="66" t="e">
        <f t="shared" si="4"/>
        <v>#REF!</v>
      </c>
      <c r="D70" s="65" t="e">
        <f t="shared" si="5"/>
        <v>#REF!</v>
      </c>
      <c r="E70" s="64" t="e">
        <f>VLOOKUP(B70,'115+040'!B68:AB169,3,FALSE)</f>
        <v>#REF!</v>
      </c>
      <c r="F70" s="61" t="e">
        <f t="shared" si="0"/>
        <v>#REF!</v>
      </c>
      <c r="G70" s="63" t="e">
        <f>VLOOKUP(B70,'115+040'!$B$12:$AB$112,20,FALSE)</f>
        <v>#REF!</v>
      </c>
      <c r="H70" s="63" t="e">
        <f>VLOOKUP(B70,'115+040'!$B$12:$AB$112,4,FALSE)</f>
        <v>#REF!</v>
      </c>
      <c r="I70" s="60" t="e">
        <f t="shared" si="1"/>
        <v>#REF!</v>
      </c>
      <c r="J70" s="60" t="e">
        <f>VLOOKUP(B70,'115+040'!$B$12:$AB$112,13,FALSE)</f>
        <v>#REF!</v>
      </c>
      <c r="K70" s="58">
        <f>'115+040'!R68</f>
        <v>5</v>
      </c>
      <c r="L70" s="57">
        <f t="shared" si="6"/>
        <v>159</v>
      </c>
      <c r="M70" s="62" t="e">
        <f>VLOOKUP(B70,'115+040'!$B$11:$AB$112,21,FALSE)</f>
        <v>#REF!</v>
      </c>
      <c r="N70" s="61" t="e">
        <f>VLOOKUP(B70,'115+040'!$B$12:$AB$112,5,FALSE)</f>
        <v>#REF!</v>
      </c>
      <c r="O70" s="60" t="e">
        <f t="shared" si="2"/>
        <v>#REF!</v>
      </c>
      <c r="P70" s="60" t="e">
        <f>VLOOKUP(B70,'115+040'!$B$12:$AB$112,14,FALSE)</f>
        <v>#REF!</v>
      </c>
      <c r="Q70" s="58">
        <f>'115+040'!S68</f>
        <v>5</v>
      </c>
      <c r="R70" s="57">
        <f t="shared" si="7"/>
        <v>161</v>
      </c>
      <c r="S70" s="62" t="e">
        <f>VLOOKUP(B70,'115+040'!$B$11:$AB$112,22,FALSE)</f>
        <v>#REF!</v>
      </c>
      <c r="T70" s="61" t="e">
        <f>VLOOKUP(B70,'115+040'!$B$12:$AB$112,6,FALSE)</f>
        <v>#REF!</v>
      </c>
      <c r="U70" s="60" t="e">
        <f t="shared" si="3"/>
        <v>#REF!</v>
      </c>
      <c r="V70" s="59" t="e">
        <f>VLOOKUP(B70,'115+040'!$B$12:$AB$112,15,FALSE)</f>
        <v>#REF!</v>
      </c>
      <c r="W70" s="58">
        <f>'[4]114+940'!S71</f>
        <v>0</v>
      </c>
      <c r="X70" s="57">
        <f t="shared" si="8"/>
        <v>140</v>
      </c>
      <c r="Y70" s="56" t="e">
        <f t="shared" si="9"/>
        <v>#REF!</v>
      </c>
      <c r="Z70" s="55" t="e">
        <f t="shared" si="10"/>
        <v>#REF!</v>
      </c>
      <c r="AA70" s="54" t="e">
        <f t="shared" si="11"/>
        <v>#REF!</v>
      </c>
      <c r="AB70" s="54" t="e">
        <f t="shared" si="12"/>
        <v>#REF!</v>
      </c>
      <c r="AC70" s="43"/>
      <c r="AD70" s="43"/>
      <c r="AE70" s="75"/>
    </row>
    <row r="71" spans="1:32" s="74" customFormat="1" ht="15" customHeight="1">
      <c r="A71" s="76"/>
      <c r="B71" s="96" t="e">
        <f>'115+040'!#REF!</f>
        <v>#REF!</v>
      </c>
      <c r="C71" s="66" t="e">
        <f t="shared" si="4"/>
        <v>#REF!</v>
      </c>
      <c r="D71" s="65" t="e">
        <f t="shared" si="5"/>
        <v>#REF!</v>
      </c>
      <c r="E71" s="64" t="e">
        <f>VLOOKUP(B71,'115+040'!B69:AB170,3,FALSE)</f>
        <v>#REF!</v>
      </c>
      <c r="F71" s="61" t="e">
        <f t="shared" si="0"/>
        <v>#REF!</v>
      </c>
      <c r="G71" s="63" t="e">
        <f>VLOOKUP(B71,'115+040'!$B$12:$AB$112,20,FALSE)</f>
        <v>#REF!</v>
      </c>
      <c r="H71" s="63" t="e">
        <f>VLOOKUP(B71,'115+040'!$B$12:$AB$112,4,FALSE)</f>
        <v>#REF!</v>
      </c>
      <c r="I71" s="60" t="e">
        <f t="shared" si="1"/>
        <v>#REF!</v>
      </c>
      <c r="J71" s="60" t="e">
        <f>VLOOKUP(B71,'115+040'!$B$12:$AB$112,13,FALSE)</f>
        <v>#REF!</v>
      </c>
      <c r="K71" s="58">
        <f>'115+040'!R69</f>
        <v>5</v>
      </c>
      <c r="L71" s="57">
        <f t="shared" si="6"/>
        <v>164</v>
      </c>
      <c r="M71" s="62" t="e">
        <f>VLOOKUP(B71,'115+040'!$B$11:$AB$112,21,FALSE)</f>
        <v>#REF!</v>
      </c>
      <c r="N71" s="61" t="e">
        <f>VLOOKUP(B71,'115+040'!$B$12:$AB$112,5,FALSE)</f>
        <v>#REF!</v>
      </c>
      <c r="O71" s="60" t="e">
        <f t="shared" si="2"/>
        <v>#REF!</v>
      </c>
      <c r="P71" s="60" t="e">
        <f>VLOOKUP(B71,'115+040'!$B$12:$AB$112,14,FALSE)</f>
        <v>#REF!</v>
      </c>
      <c r="Q71" s="58">
        <f>'115+040'!S69</f>
        <v>5</v>
      </c>
      <c r="R71" s="57">
        <f t="shared" si="7"/>
        <v>166</v>
      </c>
      <c r="S71" s="62" t="e">
        <f>VLOOKUP(B71,'115+040'!$B$11:$AB$112,22,FALSE)</f>
        <v>#REF!</v>
      </c>
      <c r="T71" s="61" t="e">
        <f>VLOOKUP(B71,'115+040'!$B$12:$AB$112,6,FALSE)</f>
        <v>#REF!</v>
      </c>
      <c r="U71" s="60" t="e">
        <f t="shared" si="3"/>
        <v>#REF!</v>
      </c>
      <c r="V71" s="59" t="e">
        <f>VLOOKUP(B71,'115+040'!$B$12:$AB$112,15,FALSE)</f>
        <v>#REF!</v>
      </c>
      <c r="W71" s="58">
        <f>'[4]114+940'!S72</f>
        <v>1</v>
      </c>
      <c r="X71" s="57">
        <f t="shared" si="8"/>
        <v>141</v>
      </c>
      <c r="Y71" s="56" t="e">
        <f t="shared" si="9"/>
        <v>#REF!</v>
      </c>
      <c r="Z71" s="55" t="e">
        <f t="shared" si="10"/>
        <v>#REF!</v>
      </c>
      <c r="AA71" s="54" t="e">
        <f t="shared" si="11"/>
        <v>#REF!</v>
      </c>
      <c r="AB71" s="54" t="e">
        <f t="shared" si="12"/>
        <v>#REF!</v>
      </c>
      <c r="AC71" s="43"/>
      <c r="AD71" s="43"/>
      <c r="AE71" s="75"/>
    </row>
    <row r="72" spans="1:32" s="74" customFormat="1" ht="15" customHeight="1">
      <c r="A72" s="76"/>
      <c r="B72" s="96" t="e">
        <f>'115+040'!#REF!</f>
        <v>#REF!</v>
      </c>
      <c r="C72" s="66" t="e">
        <f t="shared" si="4"/>
        <v>#REF!</v>
      </c>
      <c r="D72" s="65" t="e">
        <f t="shared" si="5"/>
        <v>#REF!</v>
      </c>
      <c r="E72" s="64" t="e">
        <f>VLOOKUP(B72,'115+040'!B70:AB171,3,FALSE)</f>
        <v>#REF!</v>
      </c>
      <c r="F72" s="61" t="e">
        <f t="shared" si="0"/>
        <v>#REF!</v>
      </c>
      <c r="G72" s="63" t="e">
        <f>VLOOKUP(B72,'115+040'!$B$12:$AB$112,20,FALSE)</f>
        <v>#REF!</v>
      </c>
      <c r="H72" s="63" t="e">
        <f>VLOOKUP(B72,'115+040'!$B$12:$AB$112,4,FALSE)</f>
        <v>#REF!</v>
      </c>
      <c r="I72" s="60" t="e">
        <f t="shared" si="1"/>
        <v>#REF!</v>
      </c>
      <c r="J72" s="60" t="e">
        <f>VLOOKUP(B72,'115+040'!$B$12:$AB$112,13,FALSE)</f>
        <v>#REF!</v>
      </c>
      <c r="K72" s="58">
        <f>'115+040'!R70</f>
        <v>5</v>
      </c>
      <c r="L72" s="57">
        <f t="shared" si="6"/>
        <v>169</v>
      </c>
      <c r="M72" s="62" t="e">
        <f>VLOOKUP(B72,'115+040'!$B$11:$AB$112,21,FALSE)</f>
        <v>#REF!</v>
      </c>
      <c r="N72" s="61" t="e">
        <f>VLOOKUP(B72,'115+040'!$B$12:$AB$112,5,FALSE)</f>
        <v>#REF!</v>
      </c>
      <c r="O72" s="60" t="e">
        <f t="shared" si="2"/>
        <v>#REF!</v>
      </c>
      <c r="P72" s="60" t="e">
        <f>VLOOKUP(B72,'115+040'!$B$12:$AB$112,14,FALSE)</f>
        <v>#REF!</v>
      </c>
      <c r="Q72" s="58">
        <f>'115+040'!S70</f>
        <v>5</v>
      </c>
      <c r="R72" s="57">
        <f t="shared" si="7"/>
        <v>171</v>
      </c>
      <c r="S72" s="62" t="e">
        <f>VLOOKUP(B72,'115+040'!$B$11:$AB$112,22,FALSE)</f>
        <v>#REF!</v>
      </c>
      <c r="T72" s="61" t="e">
        <f>VLOOKUP(B72,'115+040'!$B$12:$AB$112,6,FALSE)</f>
        <v>#REF!</v>
      </c>
      <c r="U72" s="60" t="e">
        <f t="shared" si="3"/>
        <v>#REF!</v>
      </c>
      <c r="V72" s="59" t="e">
        <f>VLOOKUP(B72,'115+040'!$B$12:$AB$112,15,FALSE)</f>
        <v>#REF!</v>
      </c>
      <c r="W72" s="58">
        <f>'[4]114+940'!S73</f>
        <v>1</v>
      </c>
      <c r="X72" s="57">
        <f t="shared" si="8"/>
        <v>142</v>
      </c>
      <c r="Y72" s="56" t="e">
        <f t="shared" si="9"/>
        <v>#REF!</v>
      </c>
      <c r="Z72" s="55" t="e">
        <f t="shared" si="10"/>
        <v>#REF!</v>
      </c>
      <c r="AA72" s="54" t="e">
        <f t="shared" si="11"/>
        <v>#REF!</v>
      </c>
      <c r="AB72" s="54" t="e">
        <f t="shared" si="12"/>
        <v>#REF!</v>
      </c>
      <c r="AC72" s="43"/>
      <c r="AD72" s="43"/>
      <c r="AE72" s="75"/>
    </row>
    <row r="73" spans="1:32" s="74" customFormat="1" ht="15" customHeight="1">
      <c r="A73" s="76"/>
      <c r="B73" s="96" t="e">
        <f>'115+040'!#REF!</f>
        <v>#REF!</v>
      </c>
      <c r="C73" s="66" t="e">
        <f t="shared" si="4"/>
        <v>#REF!</v>
      </c>
      <c r="D73" s="65" t="e">
        <f t="shared" si="5"/>
        <v>#REF!</v>
      </c>
      <c r="E73" s="64" t="e">
        <f>VLOOKUP(B73,'115+040'!B71:AB172,3,FALSE)</f>
        <v>#REF!</v>
      </c>
      <c r="F73" s="61" t="e">
        <f t="shared" si="0"/>
        <v>#REF!</v>
      </c>
      <c r="G73" s="63" t="e">
        <f>VLOOKUP(B73,'115+040'!$B$12:$AB$112,20,FALSE)</f>
        <v>#REF!</v>
      </c>
      <c r="H73" s="63" t="e">
        <f>VLOOKUP(B73,'115+040'!$B$12:$AB$112,4,FALSE)</f>
        <v>#REF!</v>
      </c>
      <c r="I73" s="60" t="e">
        <f t="shared" si="1"/>
        <v>#REF!</v>
      </c>
      <c r="J73" s="60" t="e">
        <f>VLOOKUP(B73,'115+040'!$B$12:$AB$112,13,FALSE)</f>
        <v>#REF!</v>
      </c>
      <c r="K73" s="58">
        <f>'115+040'!R71</f>
        <v>5</v>
      </c>
      <c r="L73" s="57">
        <f t="shared" si="6"/>
        <v>174</v>
      </c>
      <c r="M73" s="62" t="e">
        <f>VLOOKUP(B73,'115+040'!$B$11:$AB$112,21,FALSE)</f>
        <v>#REF!</v>
      </c>
      <c r="N73" s="61" t="e">
        <f>VLOOKUP(B73,'115+040'!$B$12:$AB$112,5,FALSE)</f>
        <v>#REF!</v>
      </c>
      <c r="O73" s="60" t="e">
        <f t="shared" si="2"/>
        <v>#REF!</v>
      </c>
      <c r="P73" s="60" t="e">
        <f>VLOOKUP(B73,'115+040'!$B$12:$AB$112,14,FALSE)</f>
        <v>#REF!</v>
      </c>
      <c r="Q73" s="58">
        <f>'115+040'!S71</f>
        <v>5</v>
      </c>
      <c r="R73" s="57">
        <f t="shared" si="7"/>
        <v>176</v>
      </c>
      <c r="S73" s="62" t="e">
        <f>VLOOKUP(B73,'115+040'!$B$11:$AB$112,22,FALSE)</f>
        <v>#REF!</v>
      </c>
      <c r="T73" s="61" t="e">
        <f>VLOOKUP(B73,'115+040'!$B$12:$AB$112,6,FALSE)</f>
        <v>#REF!</v>
      </c>
      <c r="U73" s="60" t="e">
        <f t="shared" si="3"/>
        <v>#REF!</v>
      </c>
      <c r="V73" s="59" t="e">
        <f>VLOOKUP(B73,'115+040'!$B$12:$AB$112,15,FALSE)</f>
        <v>#REF!</v>
      </c>
      <c r="W73" s="58">
        <f>'[4]114+940'!S74</f>
        <v>0</v>
      </c>
      <c r="X73" s="57">
        <f t="shared" si="8"/>
        <v>142</v>
      </c>
      <c r="Y73" s="56" t="e">
        <f t="shared" si="9"/>
        <v>#REF!</v>
      </c>
      <c r="Z73" s="55" t="e">
        <f t="shared" si="10"/>
        <v>#REF!</v>
      </c>
      <c r="AA73" s="54" t="e">
        <f t="shared" si="11"/>
        <v>#REF!</v>
      </c>
      <c r="AB73" s="54" t="e">
        <f t="shared" si="12"/>
        <v>#REF!</v>
      </c>
      <c r="AC73" s="43"/>
      <c r="AD73" s="43"/>
      <c r="AE73" s="75"/>
    </row>
    <row r="74" spans="1:32" s="77" customFormat="1" ht="15" customHeight="1">
      <c r="A74" s="76"/>
      <c r="B74" s="96" t="e">
        <f>'115+040'!#REF!</f>
        <v>#REF!</v>
      </c>
      <c r="C74" s="66" t="e">
        <f t="shared" si="4"/>
        <v>#REF!</v>
      </c>
      <c r="D74" s="65" t="e">
        <f t="shared" si="5"/>
        <v>#REF!</v>
      </c>
      <c r="E74" s="64" t="e">
        <f>VLOOKUP(B74,'115+040'!B72:AB173,3,FALSE)</f>
        <v>#REF!</v>
      </c>
      <c r="F74" s="61" t="e">
        <f t="shared" si="0"/>
        <v>#REF!</v>
      </c>
      <c r="G74" s="63" t="e">
        <f>VLOOKUP(B74,'115+040'!$B$12:$AB$112,20,FALSE)</f>
        <v>#REF!</v>
      </c>
      <c r="H74" s="63" t="e">
        <f>VLOOKUP(B74,'115+040'!$B$12:$AB$112,4,FALSE)</f>
        <v>#REF!</v>
      </c>
      <c r="I74" s="60" t="e">
        <f t="shared" si="1"/>
        <v>#REF!</v>
      </c>
      <c r="J74" s="60" t="e">
        <f>VLOOKUP(B74,'115+040'!$B$12:$AB$112,13,FALSE)</f>
        <v>#REF!</v>
      </c>
      <c r="K74" s="58">
        <f>'115+040'!R72</f>
        <v>5</v>
      </c>
      <c r="L74" s="57">
        <f t="shared" si="6"/>
        <v>179</v>
      </c>
      <c r="M74" s="62" t="e">
        <f>VLOOKUP(B74,'115+040'!$B$11:$AB$112,21,FALSE)</f>
        <v>#REF!</v>
      </c>
      <c r="N74" s="61" t="e">
        <f>VLOOKUP(B74,'115+040'!$B$12:$AB$112,5,FALSE)</f>
        <v>#REF!</v>
      </c>
      <c r="O74" s="60" t="e">
        <f t="shared" si="2"/>
        <v>#REF!</v>
      </c>
      <c r="P74" s="60" t="e">
        <f>VLOOKUP(B74,'115+040'!$B$12:$AB$112,14,FALSE)</f>
        <v>#REF!</v>
      </c>
      <c r="Q74" s="58">
        <f>'115+040'!S72</f>
        <v>5</v>
      </c>
      <c r="R74" s="57">
        <f t="shared" si="7"/>
        <v>181</v>
      </c>
      <c r="S74" s="62" t="e">
        <f>VLOOKUP(B74,'115+040'!$B$11:$AB$112,22,FALSE)</f>
        <v>#REF!</v>
      </c>
      <c r="T74" s="61" t="e">
        <f>VLOOKUP(B74,'115+040'!$B$12:$AB$112,6,FALSE)</f>
        <v>#REF!</v>
      </c>
      <c r="U74" s="60" t="e">
        <f t="shared" si="3"/>
        <v>#REF!</v>
      </c>
      <c r="V74" s="59" t="e">
        <f>VLOOKUP(B74,'115+040'!$B$12:$AB$112,15,FALSE)</f>
        <v>#REF!</v>
      </c>
      <c r="W74" s="58">
        <f>'[4]114+940'!S75</f>
        <v>1</v>
      </c>
      <c r="X74" s="57">
        <f t="shared" si="8"/>
        <v>143</v>
      </c>
      <c r="Y74" s="56" t="e">
        <f t="shared" si="9"/>
        <v>#REF!</v>
      </c>
      <c r="Z74" s="55" t="e">
        <f t="shared" si="10"/>
        <v>#REF!</v>
      </c>
      <c r="AA74" s="54" t="e">
        <f t="shared" si="11"/>
        <v>#REF!</v>
      </c>
      <c r="AB74" s="54" t="e">
        <f t="shared" si="12"/>
        <v>#REF!</v>
      </c>
      <c r="AC74" s="79"/>
      <c r="AD74" s="79"/>
      <c r="AE74" s="78"/>
    </row>
    <row r="75" spans="1:32" s="74" customFormat="1" ht="15" customHeight="1">
      <c r="A75" s="76"/>
      <c r="B75" s="96" t="e">
        <f>'115+040'!#REF!</f>
        <v>#REF!</v>
      </c>
      <c r="C75" s="66" t="e">
        <f t="shared" si="4"/>
        <v>#REF!</v>
      </c>
      <c r="D75" s="65" t="e">
        <f t="shared" si="5"/>
        <v>#REF!</v>
      </c>
      <c r="E75" s="64" t="e">
        <f>VLOOKUP(B75,'115+040'!B73:AB174,3,FALSE)</f>
        <v>#REF!</v>
      </c>
      <c r="F75" s="61" t="e">
        <f t="shared" si="0"/>
        <v>#REF!</v>
      </c>
      <c r="G75" s="63" t="e">
        <f>VLOOKUP(B75,'115+040'!$B$12:$AB$112,20,FALSE)</f>
        <v>#REF!</v>
      </c>
      <c r="H75" s="63" t="e">
        <f>VLOOKUP(B75,'115+040'!$B$12:$AB$112,4,FALSE)</f>
        <v>#REF!</v>
      </c>
      <c r="I75" s="60" t="e">
        <f t="shared" si="1"/>
        <v>#REF!</v>
      </c>
      <c r="J75" s="60" t="e">
        <f>VLOOKUP(B75,'115+040'!$B$12:$AB$112,13,FALSE)</f>
        <v>#REF!</v>
      </c>
      <c r="K75" s="58">
        <f>'115+040'!R73</f>
        <v>5</v>
      </c>
      <c r="L75" s="57">
        <f t="shared" si="6"/>
        <v>184</v>
      </c>
      <c r="M75" s="62" t="e">
        <f>VLOOKUP(B75,'115+040'!$B$11:$AB$112,21,FALSE)</f>
        <v>#REF!</v>
      </c>
      <c r="N75" s="61" t="e">
        <f>VLOOKUP(B75,'115+040'!$B$12:$AB$112,5,FALSE)</f>
        <v>#REF!</v>
      </c>
      <c r="O75" s="60" t="e">
        <f t="shared" si="2"/>
        <v>#REF!</v>
      </c>
      <c r="P75" s="60" t="e">
        <f>VLOOKUP(B75,'115+040'!$B$12:$AB$112,14,FALSE)</f>
        <v>#REF!</v>
      </c>
      <c r="Q75" s="58">
        <f>'115+040'!S73</f>
        <v>5</v>
      </c>
      <c r="R75" s="57">
        <f t="shared" si="7"/>
        <v>186</v>
      </c>
      <c r="S75" s="62" t="e">
        <f>VLOOKUP(B75,'115+040'!$B$11:$AB$112,22,FALSE)</f>
        <v>#REF!</v>
      </c>
      <c r="T75" s="61" t="e">
        <f>VLOOKUP(B75,'115+040'!$B$12:$AB$112,6,FALSE)</f>
        <v>#REF!</v>
      </c>
      <c r="U75" s="60" t="e">
        <f t="shared" si="3"/>
        <v>#REF!</v>
      </c>
      <c r="V75" s="59" t="e">
        <f>VLOOKUP(B75,'115+040'!$B$12:$AB$112,15,FALSE)</f>
        <v>#REF!</v>
      </c>
      <c r="W75" s="58">
        <f>'[4]114+940'!S76</f>
        <v>1</v>
      </c>
      <c r="X75" s="57">
        <f t="shared" si="8"/>
        <v>144</v>
      </c>
      <c r="Y75" s="56" t="e">
        <f t="shared" si="9"/>
        <v>#REF!</v>
      </c>
      <c r="Z75" s="55" t="e">
        <f t="shared" si="10"/>
        <v>#REF!</v>
      </c>
      <c r="AA75" s="54" t="e">
        <f t="shared" si="11"/>
        <v>#REF!</v>
      </c>
      <c r="AB75" s="54" t="e">
        <f t="shared" si="12"/>
        <v>#REF!</v>
      </c>
      <c r="AC75" s="43"/>
      <c r="AD75" s="43"/>
      <c r="AE75" s="75"/>
    </row>
    <row r="76" spans="1:32" s="68" customFormat="1" ht="15" customHeight="1">
      <c r="A76" s="73"/>
      <c r="B76" s="96" t="e">
        <f>'115+040'!#REF!</f>
        <v>#REF!</v>
      </c>
      <c r="C76" s="66" t="e">
        <f t="shared" si="4"/>
        <v>#REF!</v>
      </c>
      <c r="D76" s="65" t="e">
        <f t="shared" si="5"/>
        <v>#REF!</v>
      </c>
      <c r="E76" s="64" t="e">
        <f>VLOOKUP(B76,'115+040'!B74:AB175,3,FALSE)</f>
        <v>#REF!</v>
      </c>
      <c r="F76" s="61" t="e">
        <f t="shared" si="0"/>
        <v>#REF!</v>
      </c>
      <c r="G76" s="63" t="e">
        <f>VLOOKUP(B76,'115+040'!$B$12:$AB$112,20,FALSE)</f>
        <v>#REF!</v>
      </c>
      <c r="H76" s="63" t="e">
        <f>VLOOKUP(B76,'115+040'!$B$12:$AB$112,4,FALSE)</f>
        <v>#REF!</v>
      </c>
      <c r="I76" s="60" t="e">
        <f t="shared" si="1"/>
        <v>#REF!</v>
      </c>
      <c r="J76" s="60" t="e">
        <f>VLOOKUP(B76,'115+040'!$B$12:$AB$112,13,FALSE)</f>
        <v>#REF!</v>
      </c>
      <c r="K76" s="58">
        <f>'115+040'!R74</f>
        <v>5</v>
      </c>
      <c r="L76" s="57">
        <f t="shared" si="6"/>
        <v>189</v>
      </c>
      <c r="M76" s="62" t="e">
        <f>VLOOKUP(B76,'115+040'!$B$11:$AB$112,21,FALSE)</f>
        <v>#REF!</v>
      </c>
      <c r="N76" s="61" t="e">
        <f>VLOOKUP(B76,'115+040'!$B$12:$AB$112,5,FALSE)</f>
        <v>#REF!</v>
      </c>
      <c r="O76" s="60" t="e">
        <f t="shared" si="2"/>
        <v>#REF!</v>
      </c>
      <c r="P76" s="60" t="e">
        <f>VLOOKUP(B76,'115+040'!$B$12:$AB$112,14,FALSE)</f>
        <v>#REF!</v>
      </c>
      <c r="Q76" s="58">
        <f>'115+040'!S74</f>
        <v>5</v>
      </c>
      <c r="R76" s="57">
        <f t="shared" si="7"/>
        <v>191</v>
      </c>
      <c r="S76" s="62" t="e">
        <f>VLOOKUP(B76,'115+040'!$B$11:$AB$112,22,FALSE)</f>
        <v>#REF!</v>
      </c>
      <c r="T76" s="61" t="e">
        <f>VLOOKUP(B76,'115+040'!$B$12:$AB$112,6,FALSE)</f>
        <v>#REF!</v>
      </c>
      <c r="U76" s="60" t="e">
        <f t="shared" si="3"/>
        <v>#REF!</v>
      </c>
      <c r="V76" s="59" t="e">
        <f>VLOOKUP(B76,'115+040'!$B$12:$AB$112,15,FALSE)</f>
        <v>#REF!</v>
      </c>
      <c r="W76" s="58">
        <f>'[4]114+940'!S77</f>
        <v>0</v>
      </c>
      <c r="X76" s="57">
        <f t="shared" si="8"/>
        <v>144</v>
      </c>
      <c r="Y76" s="56" t="e">
        <f t="shared" si="9"/>
        <v>#REF!</v>
      </c>
      <c r="Z76" s="55" t="e">
        <f t="shared" si="10"/>
        <v>#REF!</v>
      </c>
      <c r="AA76" s="54" t="e">
        <f t="shared" si="11"/>
        <v>#REF!</v>
      </c>
      <c r="AB76" s="54" t="e">
        <f t="shared" si="12"/>
        <v>#REF!</v>
      </c>
      <c r="AC76" s="43"/>
      <c r="AD76" s="43"/>
      <c r="AE76" s="43"/>
      <c r="AF76" s="43"/>
    </row>
    <row r="77" spans="1:32" s="68" customFormat="1" ht="15" customHeight="1">
      <c r="A77" s="73">
        <v>42307</v>
      </c>
      <c r="B77" s="96" t="e">
        <f>'115+040'!#REF!</f>
        <v>#REF!</v>
      </c>
      <c r="C77" s="66" t="e">
        <f t="shared" si="4"/>
        <v>#REF!</v>
      </c>
      <c r="D77" s="65" t="e">
        <f t="shared" si="5"/>
        <v>#REF!</v>
      </c>
      <c r="E77" s="64" t="e">
        <f>VLOOKUP(B77,'115+040'!B75:AB176,3,FALSE)</f>
        <v>#REF!</v>
      </c>
      <c r="F77" s="61" t="e">
        <f t="shared" ref="F77:F140" si="14">D77+E77</f>
        <v>#REF!</v>
      </c>
      <c r="G77" s="63" t="e">
        <f>VLOOKUP(B77,'115+040'!$B$12:$AB$112,20,FALSE)</f>
        <v>#REF!</v>
      </c>
      <c r="H77" s="63" t="e">
        <f>VLOOKUP(B77,'115+040'!$B$12:$AB$112,4,FALSE)</f>
        <v>#REF!</v>
      </c>
      <c r="I77" s="60" t="e">
        <f t="shared" ref="I77:I140" si="15">F77-H77</f>
        <v>#REF!</v>
      </c>
      <c r="J77" s="60" t="e">
        <f>VLOOKUP(B77,'115+040'!$B$12:$AB$112,13,FALSE)</f>
        <v>#REF!</v>
      </c>
      <c r="K77" s="58">
        <f>'115+040'!R75</f>
        <v>5</v>
      </c>
      <c r="L77" s="57">
        <f t="shared" si="6"/>
        <v>194</v>
      </c>
      <c r="M77" s="62" t="e">
        <f>VLOOKUP(B77,'115+040'!$B$11:$AB$112,21,FALSE)</f>
        <v>#REF!</v>
      </c>
      <c r="N77" s="61" t="e">
        <f>VLOOKUP(B77,'115+040'!$B$12:$AB$112,5,FALSE)</f>
        <v>#REF!</v>
      </c>
      <c r="O77" s="60" t="e">
        <f t="shared" ref="O77:O140" si="16">F77-N77</f>
        <v>#REF!</v>
      </c>
      <c r="P77" s="60" t="e">
        <f>VLOOKUP(B77,'115+040'!$B$12:$AB$112,14,FALSE)</f>
        <v>#REF!</v>
      </c>
      <c r="Q77" s="58">
        <f>'115+040'!S75</f>
        <v>5</v>
      </c>
      <c r="R77" s="57">
        <f t="shared" si="7"/>
        <v>196</v>
      </c>
      <c r="S77" s="62" t="e">
        <f>VLOOKUP(B77,'115+040'!$B$11:$AB$112,22,FALSE)</f>
        <v>#REF!</v>
      </c>
      <c r="T77" s="61" t="e">
        <f>VLOOKUP(B77,'115+040'!$B$12:$AB$112,6,FALSE)</f>
        <v>#REF!</v>
      </c>
      <c r="U77" s="60" t="e">
        <f t="shared" ref="U77:U140" si="17">F77-T77</f>
        <v>#REF!</v>
      </c>
      <c r="V77" s="59" t="e">
        <f>VLOOKUP(B77,'115+040'!$B$12:$AB$112,15,FALSE)</f>
        <v>#REF!</v>
      </c>
      <c r="W77" s="58">
        <f>'[4]114+940'!S78</f>
        <v>0</v>
      </c>
      <c r="X77" s="57">
        <f t="shared" si="8"/>
        <v>144</v>
      </c>
      <c r="Y77" s="56" t="e">
        <f t="shared" si="9"/>
        <v>#REF!</v>
      </c>
      <c r="Z77" s="55" t="e">
        <f t="shared" si="10"/>
        <v>#REF!</v>
      </c>
      <c r="AA77" s="54" t="e">
        <f t="shared" si="11"/>
        <v>#REF!</v>
      </c>
      <c r="AB77" s="54" t="e">
        <f t="shared" si="12"/>
        <v>#REF!</v>
      </c>
      <c r="AC77" s="43"/>
      <c r="AD77" s="43"/>
      <c r="AE77" s="43"/>
      <c r="AF77" s="43"/>
    </row>
    <row r="78" spans="1:32" s="68" customFormat="1" ht="15" customHeight="1">
      <c r="A78" s="73" t="s">
        <v>41</v>
      </c>
      <c r="B78" s="96" t="e">
        <f>'115+040'!#REF!</f>
        <v>#REF!</v>
      </c>
      <c r="C78" s="66" t="e">
        <f t="shared" ref="C78:C141" si="18">B78-B77</f>
        <v>#REF!</v>
      </c>
      <c r="D78" s="65" t="e">
        <f t="shared" ref="D78:D141" si="19">D77</f>
        <v>#REF!</v>
      </c>
      <c r="E78" s="64" t="e">
        <f>VLOOKUP(B78,'115+040'!B76:AB177,3,FALSE)</f>
        <v>#REF!</v>
      </c>
      <c r="F78" s="61" t="e">
        <f t="shared" si="14"/>
        <v>#REF!</v>
      </c>
      <c r="G78" s="63" t="e">
        <f>VLOOKUP(B78,'115+040'!$B$12:$AB$112,20,FALSE)</f>
        <v>#REF!</v>
      </c>
      <c r="H78" s="63" t="e">
        <f>VLOOKUP(B78,'115+040'!$B$12:$AB$112,4,FALSE)</f>
        <v>#REF!</v>
      </c>
      <c r="I78" s="60" t="e">
        <f t="shared" si="15"/>
        <v>#REF!</v>
      </c>
      <c r="J78" s="60" t="e">
        <f>VLOOKUP(B78,'115+040'!$B$12:$AB$112,13,FALSE)</f>
        <v>#REF!</v>
      </c>
      <c r="K78" s="58">
        <f>'115+040'!R76</f>
        <v>5</v>
      </c>
      <c r="L78" s="57">
        <f t="shared" ref="L78:L141" si="20">+K78+L77</f>
        <v>199</v>
      </c>
      <c r="M78" s="62" t="e">
        <f>VLOOKUP(B78,'115+040'!$B$11:$AB$112,21,FALSE)</f>
        <v>#REF!</v>
      </c>
      <c r="N78" s="61" t="e">
        <f>VLOOKUP(B78,'115+040'!$B$12:$AB$112,5,FALSE)</f>
        <v>#REF!</v>
      </c>
      <c r="O78" s="60" t="e">
        <f t="shared" si="16"/>
        <v>#REF!</v>
      </c>
      <c r="P78" s="60" t="e">
        <f>VLOOKUP(B78,'115+040'!$B$12:$AB$112,14,FALSE)</f>
        <v>#REF!</v>
      </c>
      <c r="Q78" s="58">
        <f>'115+040'!S76</f>
        <v>5</v>
      </c>
      <c r="R78" s="57">
        <f t="shared" ref="R78:R141" si="21">+Q78+R77</f>
        <v>201</v>
      </c>
      <c r="S78" s="62" t="e">
        <f>VLOOKUP(B78,'115+040'!$B$11:$AB$112,22,FALSE)</f>
        <v>#REF!</v>
      </c>
      <c r="T78" s="61" t="e">
        <f>VLOOKUP(B78,'115+040'!$B$12:$AB$112,6,FALSE)</f>
        <v>#REF!</v>
      </c>
      <c r="U78" s="60" t="e">
        <f t="shared" si="17"/>
        <v>#REF!</v>
      </c>
      <c r="V78" s="59" t="e">
        <f>VLOOKUP(B78,'115+040'!$B$12:$AB$112,15,FALSE)</f>
        <v>#REF!</v>
      </c>
      <c r="W78" s="58">
        <f>'[4]114+940'!S79</f>
        <v>0</v>
      </c>
      <c r="X78" s="57">
        <f t="shared" ref="X78:X141" si="22">+W78+X77</f>
        <v>144</v>
      </c>
      <c r="Y78" s="56" t="e">
        <f t="shared" ref="Y78:Y141" si="23">S78-S77</f>
        <v>#REF!</v>
      </c>
      <c r="Z78" s="55" t="e">
        <f t="shared" ref="Z78:Z141" si="24">IF(Y78&gt;0,Y78,0)/1000</f>
        <v>#REF!</v>
      </c>
      <c r="AA78" s="54" t="e">
        <f t="shared" ref="AA78:AA141" si="25">AA77+Z78</f>
        <v>#REF!</v>
      </c>
      <c r="AB78" s="54" t="e">
        <f t="shared" ref="AB78:AB141" si="26">(M78-$M$13-R78)/1000</f>
        <v>#REF!</v>
      </c>
      <c r="AC78" s="43"/>
      <c r="AD78" s="43"/>
      <c r="AE78" s="43"/>
      <c r="AF78" s="43"/>
    </row>
    <row r="79" spans="1:32" s="68" customFormat="1" ht="15" customHeight="1">
      <c r="A79" s="73">
        <v>42313</v>
      </c>
      <c r="B79" s="96" t="e">
        <f>'115+040'!#REF!</f>
        <v>#REF!</v>
      </c>
      <c r="C79" s="66" t="e">
        <f t="shared" si="18"/>
        <v>#REF!</v>
      </c>
      <c r="D79" s="65" t="e">
        <f t="shared" si="19"/>
        <v>#REF!</v>
      </c>
      <c r="E79" s="64" t="e">
        <f>VLOOKUP(B79,'115+040'!B77:AB178,3,FALSE)</f>
        <v>#REF!</v>
      </c>
      <c r="F79" s="61" t="e">
        <f t="shared" si="14"/>
        <v>#REF!</v>
      </c>
      <c r="G79" s="63" t="e">
        <f>VLOOKUP(B79,'115+040'!$B$12:$AB$112,20,FALSE)</f>
        <v>#REF!</v>
      </c>
      <c r="H79" s="63" t="e">
        <f>VLOOKUP(B79,'115+040'!$B$12:$AB$112,4,FALSE)</f>
        <v>#REF!</v>
      </c>
      <c r="I79" s="60" t="e">
        <f t="shared" si="15"/>
        <v>#REF!</v>
      </c>
      <c r="J79" s="60" t="e">
        <f>VLOOKUP(B79,'115+040'!$B$12:$AB$112,13,FALSE)</f>
        <v>#REF!</v>
      </c>
      <c r="K79" s="58">
        <f>'115+040'!R77</f>
        <v>5</v>
      </c>
      <c r="L79" s="57">
        <f t="shared" si="20"/>
        <v>204</v>
      </c>
      <c r="M79" s="62" t="e">
        <f>VLOOKUP(B79,'115+040'!$B$11:$AB$112,21,FALSE)</f>
        <v>#REF!</v>
      </c>
      <c r="N79" s="61" t="e">
        <f>VLOOKUP(B79,'115+040'!$B$12:$AB$112,5,FALSE)</f>
        <v>#REF!</v>
      </c>
      <c r="O79" s="60" t="e">
        <f t="shared" si="16"/>
        <v>#REF!</v>
      </c>
      <c r="P79" s="60" t="e">
        <f>VLOOKUP(B79,'115+040'!$B$12:$AB$112,14,FALSE)</f>
        <v>#REF!</v>
      </c>
      <c r="Q79" s="58">
        <f>'115+040'!S77</f>
        <v>5</v>
      </c>
      <c r="R79" s="57">
        <f t="shared" si="21"/>
        <v>206</v>
      </c>
      <c r="S79" s="62" t="e">
        <f>VLOOKUP(B79,'115+040'!$B$11:$AB$112,22,FALSE)</f>
        <v>#REF!</v>
      </c>
      <c r="T79" s="61" t="e">
        <f>VLOOKUP(B79,'115+040'!$B$12:$AB$112,6,FALSE)</f>
        <v>#REF!</v>
      </c>
      <c r="U79" s="60" t="e">
        <f t="shared" si="17"/>
        <v>#REF!</v>
      </c>
      <c r="V79" s="59" t="e">
        <f>VLOOKUP(B79,'115+040'!$B$12:$AB$112,15,FALSE)</f>
        <v>#REF!</v>
      </c>
      <c r="W79" s="58">
        <f>'[4]114+940'!S80</f>
        <v>0</v>
      </c>
      <c r="X79" s="57">
        <f t="shared" si="22"/>
        <v>144</v>
      </c>
      <c r="Y79" s="56" t="e">
        <f t="shared" si="23"/>
        <v>#REF!</v>
      </c>
      <c r="Z79" s="55" t="e">
        <f t="shared" si="24"/>
        <v>#REF!</v>
      </c>
      <c r="AA79" s="54" t="e">
        <f t="shared" si="25"/>
        <v>#REF!</v>
      </c>
      <c r="AB79" s="54" t="e">
        <f t="shared" si="26"/>
        <v>#REF!</v>
      </c>
      <c r="AC79" s="43"/>
      <c r="AD79" s="43"/>
      <c r="AE79" s="43"/>
      <c r="AF79" s="43"/>
    </row>
    <row r="80" spans="1:32" s="68" customFormat="1" ht="15" customHeight="1">
      <c r="A80" s="73">
        <v>42319</v>
      </c>
      <c r="B80" s="96" t="e">
        <f>'115+040'!#REF!</f>
        <v>#REF!</v>
      </c>
      <c r="C80" s="66" t="e">
        <f t="shared" si="18"/>
        <v>#REF!</v>
      </c>
      <c r="D80" s="65" t="e">
        <f t="shared" si="19"/>
        <v>#REF!</v>
      </c>
      <c r="E80" s="64" t="e">
        <f>VLOOKUP(B80,'115+040'!B78:AB179,3,FALSE)</f>
        <v>#REF!</v>
      </c>
      <c r="F80" s="61" t="e">
        <f t="shared" si="14"/>
        <v>#REF!</v>
      </c>
      <c r="G80" s="63" t="e">
        <f>VLOOKUP(B80,'115+040'!$B$12:$AB$112,20,FALSE)</f>
        <v>#REF!</v>
      </c>
      <c r="H80" s="63" t="e">
        <f>VLOOKUP(B80,'115+040'!$B$12:$AB$112,4,FALSE)</f>
        <v>#REF!</v>
      </c>
      <c r="I80" s="60" t="e">
        <f t="shared" si="15"/>
        <v>#REF!</v>
      </c>
      <c r="J80" s="60" t="e">
        <f>VLOOKUP(B80,'115+040'!$B$12:$AB$112,13,FALSE)</f>
        <v>#REF!</v>
      </c>
      <c r="K80" s="58">
        <f>'115+040'!R78</f>
        <v>5</v>
      </c>
      <c r="L80" s="57">
        <f t="shared" si="20"/>
        <v>209</v>
      </c>
      <c r="M80" s="62" t="e">
        <f>VLOOKUP(B80,'115+040'!$B$11:$AB$112,21,FALSE)</f>
        <v>#REF!</v>
      </c>
      <c r="N80" s="61" t="e">
        <f>VLOOKUP(B80,'115+040'!$B$12:$AB$112,5,FALSE)</f>
        <v>#REF!</v>
      </c>
      <c r="O80" s="60" t="e">
        <f t="shared" si="16"/>
        <v>#REF!</v>
      </c>
      <c r="P80" s="60" t="e">
        <f>VLOOKUP(B80,'115+040'!$B$12:$AB$112,14,FALSE)</f>
        <v>#REF!</v>
      </c>
      <c r="Q80" s="58">
        <f>'115+040'!S78</f>
        <v>5</v>
      </c>
      <c r="R80" s="57">
        <f t="shared" si="21"/>
        <v>211</v>
      </c>
      <c r="S80" s="62" t="e">
        <f>VLOOKUP(B80,'115+040'!$B$11:$AB$112,22,FALSE)</f>
        <v>#REF!</v>
      </c>
      <c r="T80" s="61" t="e">
        <f>VLOOKUP(B80,'115+040'!$B$12:$AB$112,6,FALSE)</f>
        <v>#REF!</v>
      </c>
      <c r="U80" s="60" t="e">
        <f t="shared" si="17"/>
        <v>#REF!</v>
      </c>
      <c r="V80" s="59" t="e">
        <f>VLOOKUP(B80,'115+040'!$B$12:$AB$112,15,FALSE)</f>
        <v>#REF!</v>
      </c>
      <c r="W80" s="58">
        <f>'[4]114+940'!S81</f>
        <v>0</v>
      </c>
      <c r="X80" s="57">
        <f t="shared" si="22"/>
        <v>144</v>
      </c>
      <c r="Y80" s="56" t="e">
        <f t="shared" si="23"/>
        <v>#REF!</v>
      </c>
      <c r="Z80" s="55" t="e">
        <f t="shared" si="24"/>
        <v>#REF!</v>
      </c>
      <c r="AA80" s="54" t="e">
        <f t="shared" si="25"/>
        <v>#REF!</v>
      </c>
      <c r="AB80" s="54" t="e">
        <f t="shared" si="26"/>
        <v>#REF!</v>
      </c>
      <c r="AC80" s="43"/>
      <c r="AD80" s="43"/>
      <c r="AE80" s="43"/>
      <c r="AF80" s="43"/>
    </row>
    <row r="81" spans="1:32" s="68" customFormat="1" ht="15" customHeight="1">
      <c r="A81" s="73">
        <v>42322</v>
      </c>
      <c r="B81" s="96" t="e">
        <f>'115+040'!#REF!</f>
        <v>#REF!</v>
      </c>
      <c r="C81" s="66" t="e">
        <f t="shared" si="18"/>
        <v>#REF!</v>
      </c>
      <c r="D81" s="65" t="e">
        <f t="shared" si="19"/>
        <v>#REF!</v>
      </c>
      <c r="E81" s="64" t="e">
        <f>VLOOKUP(B81,'115+040'!B79:AB180,3,FALSE)</f>
        <v>#REF!</v>
      </c>
      <c r="F81" s="61" t="e">
        <f t="shared" si="14"/>
        <v>#REF!</v>
      </c>
      <c r="G81" s="63" t="e">
        <f>VLOOKUP(B81,'115+040'!$B$12:$AB$112,20,FALSE)</f>
        <v>#REF!</v>
      </c>
      <c r="H81" s="63" t="e">
        <f>VLOOKUP(B81,'115+040'!$B$12:$AB$112,4,FALSE)</f>
        <v>#REF!</v>
      </c>
      <c r="I81" s="60" t="e">
        <f t="shared" si="15"/>
        <v>#REF!</v>
      </c>
      <c r="J81" s="60" t="e">
        <f>VLOOKUP(B81,'115+040'!$B$12:$AB$112,13,FALSE)</f>
        <v>#REF!</v>
      </c>
      <c r="K81" s="58">
        <f>'115+040'!R79</f>
        <v>5</v>
      </c>
      <c r="L81" s="57">
        <f t="shared" si="20"/>
        <v>214</v>
      </c>
      <c r="M81" s="62" t="e">
        <f>VLOOKUP(B81,'115+040'!$B$11:$AB$112,21,FALSE)</f>
        <v>#REF!</v>
      </c>
      <c r="N81" s="61" t="e">
        <f>VLOOKUP(B81,'115+040'!$B$12:$AB$112,5,FALSE)</f>
        <v>#REF!</v>
      </c>
      <c r="O81" s="60" t="e">
        <f t="shared" si="16"/>
        <v>#REF!</v>
      </c>
      <c r="P81" s="60" t="e">
        <f>VLOOKUP(B81,'115+040'!$B$12:$AB$112,14,FALSE)</f>
        <v>#REF!</v>
      </c>
      <c r="Q81" s="58">
        <f>'115+040'!S79</f>
        <v>5</v>
      </c>
      <c r="R81" s="57">
        <f t="shared" si="21"/>
        <v>216</v>
      </c>
      <c r="S81" s="62" t="e">
        <f>VLOOKUP(B81,'115+040'!$B$11:$AB$112,22,FALSE)</f>
        <v>#REF!</v>
      </c>
      <c r="T81" s="61" t="e">
        <f>VLOOKUP(B81,'115+040'!$B$12:$AB$112,6,FALSE)</f>
        <v>#REF!</v>
      </c>
      <c r="U81" s="60" t="e">
        <f t="shared" si="17"/>
        <v>#REF!</v>
      </c>
      <c r="V81" s="59" t="e">
        <f>VLOOKUP(B81,'115+040'!$B$12:$AB$112,15,FALSE)</f>
        <v>#REF!</v>
      </c>
      <c r="W81" s="58">
        <f>'[4]114+940'!S82</f>
        <v>0</v>
      </c>
      <c r="X81" s="57">
        <f t="shared" si="22"/>
        <v>144</v>
      </c>
      <c r="Y81" s="56" t="e">
        <f t="shared" si="23"/>
        <v>#REF!</v>
      </c>
      <c r="Z81" s="55" t="e">
        <f t="shared" si="24"/>
        <v>#REF!</v>
      </c>
      <c r="AA81" s="54" t="e">
        <f t="shared" si="25"/>
        <v>#REF!</v>
      </c>
      <c r="AB81" s="54" t="e">
        <f t="shared" si="26"/>
        <v>#REF!</v>
      </c>
      <c r="AC81" s="43"/>
      <c r="AD81" s="43"/>
      <c r="AE81" s="43"/>
      <c r="AF81" s="43"/>
    </row>
    <row r="82" spans="1:32" s="68" customFormat="1" ht="15" customHeight="1">
      <c r="A82" s="73" t="s">
        <v>40</v>
      </c>
      <c r="B82" s="96" t="e">
        <f>'115+040'!#REF!</f>
        <v>#REF!</v>
      </c>
      <c r="C82" s="66" t="e">
        <f t="shared" si="18"/>
        <v>#REF!</v>
      </c>
      <c r="D82" s="65" t="e">
        <f t="shared" si="19"/>
        <v>#REF!</v>
      </c>
      <c r="E82" s="64" t="e">
        <f>VLOOKUP(B82,'115+040'!B80:AB181,3,FALSE)</f>
        <v>#REF!</v>
      </c>
      <c r="F82" s="61" t="e">
        <f t="shared" si="14"/>
        <v>#REF!</v>
      </c>
      <c r="G82" s="63" t="e">
        <f>VLOOKUP(B82,'115+040'!$B$12:$AB$112,20,FALSE)</f>
        <v>#REF!</v>
      </c>
      <c r="H82" s="63" t="e">
        <f>VLOOKUP(B82,'115+040'!$B$12:$AB$112,4,FALSE)</f>
        <v>#REF!</v>
      </c>
      <c r="I82" s="60" t="e">
        <f t="shared" si="15"/>
        <v>#REF!</v>
      </c>
      <c r="J82" s="60" t="e">
        <f>VLOOKUP(B82,'115+040'!$B$12:$AB$112,13,FALSE)</f>
        <v>#REF!</v>
      </c>
      <c r="K82" s="58">
        <f>'115+040'!R80</f>
        <v>5</v>
      </c>
      <c r="L82" s="57">
        <f t="shared" si="20"/>
        <v>219</v>
      </c>
      <c r="M82" s="62" t="e">
        <f>VLOOKUP(B82,'115+040'!$B$11:$AB$112,21,FALSE)</f>
        <v>#REF!</v>
      </c>
      <c r="N82" s="61" t="e">
        <f>VLOOKUP(B82,'115+040'!$B$12:$AB$112,5,FALSE)</f>
        <v>#REF!</v>
      </c>
      <c r="O82" s="60" t="e">
        <f t="shared" si="16"/>
        <v>#REF!</v>
      </c>
      <c r="P82" s="60" t="e">
        <f>VLOOKUP(B82,'115+040'!$B$12:$AB$112,14,FALSE)</f>
        <v>#REF!</v>
      </c>
      <c r="Q82" s="58">
        <f>'115+040'!S80</f>
        <v>5</v>
      </c>
      <c r="R82" s="57">
        <f t="shared" si="21"/>
        <v>221</v>
      </c>
      <c r="S82" s="62" t="e">
        <f>VLOOKUP(B82,'115+040'!$B$11:$AB$112,22,FALSE)</f>
        <v>#REF!</v>
      </c>
      <c r="T82" s="61" t="e">
        <f>VLOOKUP(B82,'115+040'!$B$12:$AB$112,6,FALSE)</f>
        <v>#REF!</v>
      </c>
      <c r="U82" s="60" t="e">
        <f t="shared" si="17"/>
        <v>#REF!</v>
      </c>
      <c r="V82" s="59" t="e">
        <f>VLOOKUP(B82,'115+040'!$B$12:$AB$112,15,FALSE)</f>
        <v>#REF!</v>
      </c>
      <c r="W82" s="58">
        <f>'[4]114+940'!S83</f>
        <v>0</v>
      </c>
      <c r="X82" s="57">
        <f t="shared" si="22"/>
        <v>144</v>
      </c>
      <c r="Y82" s="56" t="e">
        <f t="shared" si="23"/>
        <v>#REF!</v>
      </c>
      <c r="Z82" s="55" t="e">
        <f t="shared" si="24"/>
        <v>#REF!</v>
      </c>
      <c r="AA82" s="54" t="e">
        <f t="shared" si="25"/>
        <v>#REF!</v>
      </c>
      <c r="AB82" s="54" t="e">
        <f t="shared" si="26"/>
        <v>#REF!</v>
      </c>
      <c r="AC82" s="43"/>
      <c r="AD82" s="43"/>
      <c r="AE82" s="43"/>
      <c r="AF82" s="43"/>
    </row>
    <row r="83" spans="1:32" s="68" customFormat="1" ht="15" customHeight="1">
      <c r="A83" s="73">
        <v>42328</v>
      </c>
      <c r="B83" s="96" t="e">
        <f>'115+040'!#REF!</f>
        <v>#REF!</v>
      </c>
      <c r="C83" s="66" t="e">
        <f t="shared" si="18"/>
        <v>#REF!</v>
      </c>
      <c r="D83" s="65" t="e">
        <f t="shared" si="19"/>
        <v>#REF!</v>
      </c>
      <c r="E83" s="64" t="e">
        <f>VLOOKUP(B83,'115+040'!B81:AB182,3,FALSE)</f>
        <v>#REF!</v>
      </c>
      <c r="F83" s="61" t="e">
        <f t="shared" si="14"/>
        <v>#REF!</v>
      </c>
      <c r="G83" s="63" t="e">
        <f>VLOOKUP(B83,'115+040'!$B$12:$AB$112,20,FALSE)</f>
        <v>#REF!</v>
      </c>
      <c r="H83" s="63" t="e">
        <f>VLOOKUP(B83,'115+040'!$B$12:$AB$112,4,FALSE)</f>
        <v>#REF!</v>
      </c>
      <c r="I83" s="60" t="e">
        <f t="shared" si="15"/>
        <v>#REF!</v>
      </c>
      <c r="J83" s="60" t="e">
        <f>VLOOKUP(B83,'115+040'!$B$12:$AB$112,13,FALSE)</f>
        <v>#REF!</v>
      </c>
      <c r="K83" s="58">
        <f>'115+040'!R81</f>
        <v>4</v>
      </c>
      <c r="L83" s="57">
        <f t="shared" si="20"/>
        <v>223</v>
      </c>
      <c r="M83" s="62" t="e">
        <f>VLOOKUP(B83,'115+040'!$B$11:$AB$112,21,FALSE)</f>
        <v>#REF!</v>
      </c>
      <c r="N83" s="61" t="e">
        <f>VLOOKUP(B83,'115+040'!$B$12:$AB$112,5,FALSE)</f>
        <v>#REF!</v>
      </c>
      <c r="O83" s="60" t="e">
        <f t="shared" si="16"/>
        <v>#REF!</v>
      </c>
      <c r="P83" s="60" t="e">
        <f>VLOOKUP(B83,'115+040'!$B$12:$AB$112,14,FALSE)</f>
        <v>#REF!</v>
      </c>
      <c r="Q83" s="58">
        <f>'115+040'!S81</f>
        <v>6</v>
      </c>
      <c r="R83" s="57">
        <f t="shared" si="21"/>
        <v>227</v>
      </c>
      <c r="S83" s="62" t="e">
        <f>VLOOKUP(B83,'115+040'!$B$11:$AB$112,22,FALSE)</f>
        <v>#REF!</v>
      </c>
      <c r="T83" s="61" t="e">
        <f>VLOOKUP(B83,'115+040'!$B$12:$AB$112,6,FALSE)</f>
        <v>#REF!</v>
      </c>
      <c r="U83" s="60" t="e">
        <f t="shared" si="17"/>
        <v>#REF!</v>
      </c>
      <c r="V83" s="59" t="e">
        <f>VLOOKUP(B83,'115+040'!$B$12:$AB$112,15,FALSE)</f>
        <v>#REF!</v>
      </c>
      <c r="W83" s="58">
        <f>'[4]114+940'!S84</f>
        <v>0</v>
      </c>
      <c r="X83" s="57">
        <f t="shared" si="22"/>
        <v>144</v>
      </c>
      <c r="Y83" s="56" t="e">
        <f t="shared" si="23"/>
        <v>#REF!</v>
      </c>
      <c r="Z83" s="55" t="e">
        <f t="shared" si="24"/>
        <v>#REF!</v>
      </c>
      <c r="AA83" s="54" t="e">
        <f t="shared" si="25"/>
        <v>#REF!</v>
      </c>
      <c r="AB83" s="54" t="e">
        <f t="shared" si="26"/>
        <v>#REF!</v>
      </c>
      <c r="AC83" s="43"/>
      <c r="AD83" s="43"/>
      <c r="AE83" s="43"/>
      <c r="AF83" s="43"/>
    </row>
    <row r="84" spans="1:32" s="68" customFormat="1" ht="15" customHeight="1">
      <c r="A84" s="73">
        <v>42331</v>
      </c>
      <c r="B84" s="96" t="e">
        <f>'115+040'!#REF!</f>
        <v>#REF!</v>
      </c>
      <c r="C84" s="66" t="e">
        <f t="shared" si="18"/>
        <v>#REF!</v>
      </c>
      <c r="D84" s="65" t="e">
        <f t="shared" si="19"/>
        <v>#REF!</v>
      </c>
      <c r="E84" s="64" t="e">
        <f>VLOOKUP(B84,'115+040'!B82:AB183,3,FALSE)</f>
        <v>#REF!</v>
      </c>
      <c r="F84" s="61" t="e">
        <f t="shared" si="14"/>
        <v>#REF!</v>
      </c>
      <c r="G84" s="63" t="e">
        <f>VLOOKUP(B84,'115+040'!$B$12:$AB$112,20,FALSE)</f>
        <v>#REF!</v>
      </c>
      <c r="H84" s="63" t="e">
        <f>VLOOKUP(B84,'115+040'!$B$12:$AB$112,4,FALSE)</f>
        <v>#REF!</v>
      </c>
      <c r="I84" s="60" t="e">
        <f t="shared" si="15"/>
        <v>#REF!</v>
      </c>
      <c r="J84" s="60" t="e">
        <f>VLOOKUP(B84,'115+040'!$B$12:$AB$112,13,FALSE)</f>
        <v>#REF!</v>
      </c>
      <c r="K84" s="58">
        <f>'115+040'!R82</f>
        <v>4</v>
      </c>
      <c r="L84" s="57">
        <f t="shared" si="20"/>
        <v>227</v>
      </c>
      <c r="M84" s="62" t="e">
        <f>VLOOKUP(B84,'115+040'!$B$11:$AB$112,21,FALSE)</f>
        <v>#REF!</v>
      </c>
      <c r="N84" s="61" t="e">
        <f>VLOOKUP(B84,'115+040'!$B$12:$AB$112,5,FALSE)</f>
        <v>#REF!</v>
      </c>
      <c r="O84" s="60" t="e">
        <f t="shared" si="16"/>
        <v>#REF!</v>
      </c>
      <c r="P84" s="60" t="e">
        <f>VLOOKUP(B84,'115+040'!$B$12:$AB$112,14,FALSE)</f>
        <v>#REF!</v>
      </c>
      <c r="Q84" s="58">
        <f>'115+040'!S82</f>
        <v>6</v>
      </c>
      <c r="R84" s="57">
        <f t="shared" si="21"/>
        <v>233</v>
      </c>
      <c r="S84" s="62" t="e">
        <f>VLOOKUP(B84,'115+040'!$B$11:$AB$112,22,FALSE)</f>
        <v>#REF!</v>
      </c>
      <c r="T84" s="61" t="e">
        <f>VLOOKUP(B84,'115+040'!$B$12:$AB$112,6,FALSE)</f>
        <v>#REF!</v>
      </c>
      <c r="U84" s="60" t="e">
        <f t="shared" si="17"/>
        <v>#REF!</v>
      </c>
      <c r="V84" s="59" t="e">
        <f>VLOOKUP(B84,'115+040'!$B$12:$AB$112,15,FALSE)</f>
        <v>#REF!</v>
      </c>
      <c r="W84" s="58">
        <f>'[4]114+940'!S85</f>
        <v>0</v>
      </c>
      <c r="X84" s="57">
        <f t="shared" si="22"/>
        <v>144</v>
      </c>
      <c r="Y84" s="56" t="e">
        <f t="shared" si="23"/>
        <v>#REF!</v>
      </c>
      <c r="Z84" s="55" t="e">
        <f t="shared" si="24"/>
        <v>#REF!</v>
      </c>
      <c r="AA84" s="54" t="e">
        <f t="shared" si="25"/>
        <v>#REF!</v>
      </c>
      <c r="AB84" s="54" t="e">
        <f t="shared" si="26"/>
        <v>#REF!</v>
      </c>
      <c r="AC84" s="43"/>
      <c r="AD84" s="43"/>
      <c r="AE84" s="43"/>
      <c r="AF84" s="43"/>
    </row>
    <row r="85" spans="1:32" s="68" customFormat="1" ht="15" customHeight="1">
      <c r="A85" s="73" t="s">
        <v>39</v>
      </c>
      <c r="B85" s="96" t="e">
        <f>'115+040'!#REF!</f>
        <v>#REF!</v>
      </c>
      <c r="C85" s="66" t="e">
        <f t="shared" si="18"/>
        <v>#REF!</v>
      </c>
      <c r="D85" s="65" t="e">
        <f t="shared" si="19"/>
        <v>#REF!</v>
      </c>
      <c r="E85" s="64" t="e">
        <f>VLOOKUP(B85,'115+040'!B83:AB184,3,FALSE)</f>
        <v>#REF!</v>
      </c>
      <c r="F85" s="61" t="e">
        <f t="shared" si="14"/>
        <v>#REF!</v>
      </c>
      <c r="G85" s="63" t="e">
        <f>VLOOKUP(B85,'115+040'!$B$12:$AB$112,20,FALSE)</f>
        <v>#REF!</v>
      </c>
      <c r="H85" s="63" t="e">
        <f>VLOOKUP(B85,'115+040'!$B$12:$AB$112,4,FALSE)</f>
        <v>#REF!</v>
      </c>
      <c r="I85" s="60" t="e">
        <f t="shared" si="15"/>
        <v>#REF!</v>
      </c>
      <c r="J85" s="60" t="e">
        <f>VLOOKUP(B85,'115+040'!$B$12:$AB$112,13,FALSE)</f>
        <v>#REF!</v>
      </c>
      <c r="K85" s="58">
        <f>'115+040'!R83</f>
        <v>4</v>
      </c>
      <c r="L85" s="57">
        <f t="shared" si="20"/>
        <v>231</v>
      </c>
      <c r="M85" s="62" t="e">
        <f>VLOOKUP(B85,'115+040'!$B$11:$AB$112,21,FALSE)</f>
        <v>#REF!</v>
      </c>
      <c r="N85" s="61" t="e">
        <f>VLOOKUP(B85,'115+040'!$B$12:$AB$112,5,FALSE)</f>
        <v>#REF!</v>
      </c>
      <c r="O85" s="60" t="e">
        <f t="shared" si="16"/>
        <v>#REF!</v>
      </c>
      <c r="P85" s="60" t="e">
        <f>VLOOKUP(B85,'115+040'!$B$12:$AB$112,14,FALSE)</f>
        <v>#REF!</v>
      </c>
      <c r="Q85" s="58">
        <f>'115+040'!S83</f>
        <v>6</v>
      </c>
      <c r="R85" s="57">
        <f t="shared" si="21"/>
        <v>239</v>
      </c>
      <c r="S85" s="62" t="e">
        <f>VLOOKUP(B85,'115+040'!$B$11:$AB$112,22,FALSE)</f>
        <v>#REF!</v>
      </c>
      <c r="T85" s="61" t="e">
        <f>VLOOKUP(B85,'115+040'!$B$12:$AB$112,6,FALSE)</f>
        <v>#REF!</v>
      </c>
      <c r="U85" s="60" t="e">
        <f t="shared" si="17"/>
        <v>#REF!</v>
      </c>
      <c r="V85" s="59" t="e">
        <f>VLOOKUP(B85,'115+040'!$B$12:$AB$112,15,FALSE)</f>
        <v>#REF!</v>
      </c>
      <c r="W85" s="58">
        <f>'[4]114+940'!S86</f>
        <v>0</v>
      </c>
      <c r="X85" s="57">
        <f t="shared" si="22"/>
        <v>144</v>
      </c>
      <c r="Y85" s="56" t="e">
        <f t="shared" si="23"/>
        <v>#REF!</v>
      </c>
      <c r="Z85" s="55" t="e">
        <f t="shared" si="24"/>
        <v>#REF!</v>
      </c>
      <c r="AA85" s="54" t="e">
        <f t="shared" si="25"/>
        <v>#REF!</v>
      </c>
      <c r="AB85" s="54" t="e">
        <f t="shared" si="26"/>
        <v>#REF!</v>
      </c>
      <c r="AC85" s="43"/>
      <c r="AD85" s="43"/>
      <c r="AE85" s="43"/>
      <c r="AF85" s="43"/>
    </row>
    <row r="86" spans="1:32" s="68" customFormat="1" ht="15" customHeight="1">
      <c r="A86" s="73">
        <v>42337</v>
      </c>
      <c r="B86" s="96" t="e">
        <f>'115+040'!#REF!</f>
        <v>#REF!</v>
      </c>
      <c r="C86" s="66" t="e">
        <f t="shared" si="18"/>
        <v>#REF!</v>
      </c>
      <c r="D86" s="65" t="e">
        <f t="shared" si="19"/>
        <v>#REF!</v>
      </c>
      <c r="E86" s="64" t="e">
        <f>VLOOKUP(B86,'115+040'!B84:AB185,3,FALSE)</f>
        <v>#REF!</v>
      </c>
      <c r="F86" s="61" t="e">
        <f t="shared" si="14"/>
        <v>#REF!</v>
      </c>
      <c r="G86" s="63" t="e">
        <f>VLOOKUP(B86,'115+040'!$B$12:$AB$112,20,FALSE)</f>
        <v>#REF!</v>
      </c>
      <c r="H86" s="63" t="e">
        <f>VLOOKUP(B86,'115+040'!$B$12:$AB$112,4,FALSE)</f>
        <v>#REF!</v>
      </c>
      <c r="I86" s="60" t="e">
        <f t="shared" si="15"/>
        <v>#REF!</v>
      </c>
      <c r="J86" s="60" t="e">
        <f>VLOOKUP(B86,'115+040'!$B$12:$AB$112,13,FALSE)</f>
        <v>#REF!</v>
      </c>
      <c r="K86" s="58">
        <f>'115+040'!R84</f>
        <v>4</v>
      </c>
      <c r="L86" s="57">
        <f t="shared" si="20"/>
        <v>235</v>
      </c>
      <c r="M86" s="62" t="e">
        <f>VLOOKUP(B86,'115+040'!$B$11:$AB$112,21,FALSE)</f>
        <v>#REF!</v>
      </c>
      <c r="N86" s="61" t="e">
        <f>VLOOKUP(B86,'115+040'!$B$12:$AB$112,5,FALSE)</f>
        <v>#REF!</v>
      </c>
      <c r="O86" s="60" t="e">
        <f t="shared" si="16"/>
        <v>#REF!</v>
      </c>
      <c r="P86" s="60" t="e">
        <f>VLOOKUP(B86,'115+040'!$B$12:$AB$112,14,FALSE)</f>
        <v>#REF!</v>
      </c>
      <c r="Q86" s="58">
        <f>'115+040'!S84</f>
        <v>6</v>
      </c>
      <c r="R86" s="57">
        <f t="shared" si="21"/>
        <v>245</v>
      </c>
      <c r="S86" s="62" t="e">
        <f>VLOOKUP(B86,'115+040'!$B$11:$AB$112,22,FALSE)</f>
        <v>#REF!</v>
      </c>
      <c r="T86" s="61" t="e">
        <f>VLOOKUP(B86,'115+040'!$B$12:$AB$112,6,FALSE)</f>
        <v>#REF!</v>
      </c>
      <c r="U86" s="60" t="e">
        <f t="shared" si="17"/>
        <v>#REF!</v>
      </c>
      <c r="V86" s="59" t="e">
        <f>VLOOKUP(B86,'115+040'!$B$12:$AB$112,15,FALSE)</f>
        <v>#REF!</v>
      </c>
      <c r="W86" s="58">
        <f>'[4]114+940'!S87</f>
        <v>0</v>
      </c>
      <c r="X86" s="57">
        <f t="shared" si="22"/>
        <v>144</v>
      </c>
      <c r="Y86" s="56" t="e">
        <f t="shared" si="23"/>
        <v>#REF!</v>
      </c>
      <c r="Z86" s="55" t="e">
        <f t="shared" si="24"/>
        <v>#REF!</v>
      </c>
      <c r="AA86" s="54" t="e">
        <f t="shared" si="25"/>
        <v>#REF!</v>
      </c>
      <c r="AB86" s="54" t="e">
        <f t="shared" si="26"/>
        <v>#REF!</v>
      </c>
      <c r="AC86" s="43"/>
      <c r="AD86" s="43"/>
      <c r="AE86" s="43"/>
      <c r="AF86" s="43"/>
    </row>
    <row r="87" spans="1:32" s="68" customFormat="1" ht="15" customHeight="1">
      <c r="A87" s="73">
        <v>42340</v>
      </c>
      <c r="B87" s="96" t="e">
        <f>'115+040'!#REF!</f>
        <v>#REF!</v>
      </c>
      <c r="C87" s="66" t="e">
        <f t="shared" si="18"/>
        <v>#REF!</v>
      </c>
      <c r="D87" s="65" t="e">
        <f t="shared" si="19"/>
        <v>#REF!</v>
      </c>
      <c r="E87" s="64" t="e">
        <f>VLOOKUP(B87,'115+040'!B85:AB186,3,FALSE)</f>
        <v>#REF!</v>
      </c>
      <c r="F87" s="61" t="e">
        <f t="shared" si="14"/>
        <v>#REF!</v>
      </c>
      <c r="G87" s="63" t="e">
        <f>VLOOKUP(B87,'115+040'!$B$12:$AB$112,20,FALSE)</f>
        <v>#REF!</v>
      </c>
      <c r="H87" s="63" t="e">
        <f>VLOOKUP(B87,'115+040'!$B$12:$AB$112,4,FALSE)</f>
        <v>#REF!</v>
      </c>
      <c r="I87" s="60" t="e">
        <f t="shared" si="15"/>
        <v>#REF!</v>
      </c>
      <c r="J87" s="60" t="e">
        <f>VLOOKUP(B87,'115+040'!$B$12:$AB$112,13,FALSE)</f>
        <v>#REF!</v>
      </c>
      <c r="K87" s="58">
        <f>'115+040'!R85</f>
        <v>3</v>
      </c>
      <c r="L87" s="57">
        <f t="shared" si="20"/>
        <v>238</v>
      </c>
      <c r="M87" s="62" t="e">
        <f>VLOOKUP(B87,'115+040'!$B$11:$AB$112,21,FALSE)</f>
        <v>#REF!</v>
      </c>
      <c r="N87" s="61" t="e">
        <f>VLOOKUP(B87,'115+040'!$B$12:$AB$112,5,FALSE)</f>
        <v>#REF!</v>
      </c>
      <c r="O87" s="60" t="e">
        <f t="shared" si="16"/>
        <v>#REF!</v>
      </c>
      <c r="P87" s="60" t="e">
        <f>VLOOKUP(B87,'115+040'!$B$12:$AB$112,14,FALSE)</f>
        <v>#REF!</v>
      </c>
      <c r="Q87" s="58">
        <f>'115+040'!S85</f>
        <v>6</v>
      </c>
      <c r="R87" s="57">
        <f t="shared" si="21"/>
        <v>251</v>
      </c>
      <c r="S87" s="62" t="e">
        <f>VLOOKUP(B87,'115+040'!$B$11:$AB$112,22,FALSE)</f>
        <v>#REF!</v>
      </c>
      <c r="T87" s="61" t="e">
        <f>VLOOKUP(B87,'115+040'!$B$12:$AB$112,6,FALSE)</f>
        <v>#REF!</v>
      </c>
      <c r="U87" s="60" t="e">
        <f t="shared" si="17"/>
        <v>#REF!</v>
      </c>
      <c r="V87" s="59" t="e">
        <f>VLOOKUP(B87,'115+040'!$B$12:$AB$112,15,FALSE)</f>
        <v>#REF!</v>
      </c>
      <c r="W87" s="58">
        <f>'[4]114+940'!S88</f>
        <v>0</v>
      </c>
      <c r="X87" s="57">
        <f t="shared" si="22"/>
        <v>144</v>
      </c>
      <c r="Y87" s="56" t="e">
        <f t="shared" si="23"/>
        <v>#REF!</v>
      </c>
      <c r="Z87" s="55" t="e">
        <f t="shared" si="24"/>
        <v>#REF!</v>
      </c>
      <c r="AA87" s="54" t="e">
        <f t="shared" si="25"/>
        <v>#REF!</v>
      </c>
      <c r="AB87" s="54" t="e">
        <f t="shared" si="26"/>
        <v>#REF!</v>
      </c>
      <c r="AC87" s="43"/>
      <c r="AD87" s="43"/>
      <c r="AE87" s="43"/>
      <c r="AF87" s="43"/>
    </row>
    <row r="88" spans="1:32" s="68" customFormat="1" ht="15" customHeight="1">
      <c r="A88" s="73">
        <v>42343</v>
      </c>
      <c r="B88" s="96" t="e">
        <f>'115+040'!#REF!</f>
        <v>#REF!</v>
      </c>
      <c r="C88" s="66" t="e">
        <f t="shared" si="18"/>
        <v>#REF!</v>
      </c>
      <c r="D88" s="65" t="e">
        <f t="shared" si="19"/>
        <v>#REF!</v>
      </c>
      <c r="E88" s="64" t="e">
        <f>VLOOKUP(B88,'115+040'!B86:AB187,3,FALSE)</f>
        <v>#REF!</v>
      </c>
      <c r="F88" s="61" t="e">
        <f t="shared" si="14"/>
        <v>#REF!</v>
      </c>
      <c r="G88" s="63" t="e">
        <f>VLOOKUP(B88,'115+040'!$B$12:$AB$112,20,FALSE)</f>
        <v>#REF!</v>
      </c>
      <c r="H88" s="63" t="e">
        <f>VLOOKUP(B88,'115+040'!$B$12:$AB$112,4,FALSE)</f>
        <v>#REF!</v>
      </c>
      <c r="I88" s="60" t="e">
        <f t="shared" si="15"/>
        <v>#REF!</v>
      </c>
      <c r="J88" s="60" t="e">
        <f>VLOOKUP(B88,'115+040'!$B$12:$AB$112,13,FALSE)</f>
        <v>#REF!</v>
      </c>
      <c r="K88" s="58">
        <f>'115+040'!R86</f>
        <v>3</v>
      </c>
      <c r="L88" s="57">
        <f t="shared" si="20"/>
        <v>241</v>
      </c>
      <c r="M88" s="62" t="e">
        <f>VLOOKUP(B88,'115+040'!$B$11:$AB$112,21,FALSE)</f>
        <v>#REF!</v>
      </c>
      <c r="N88" s="61" t="e">
        <f>VLOOKUP(B88,'115+040'!$B$12:$AB$112,5,FALSE)</f>
        <v>#REF!</v>
      </c>
      <c r="O88" s="60" t="e">
        <f t="shared" si="16"/>
        <v>#REF!</v>
      </c>
      <c r="P88" s="60" t="e">
        <f>VLOOKUP(B88,'115+040'!$B$12:$AB$112,14,FALSE)</f>
        <v>#REF!</v>
      </c>
      <c r="Q88" s="58">
        <f>'115+040'!S86</f>
        <v>6</v>
      </c>
      <c r="R88" s="57">
        <f t="shared" si="21"/>
        <v>257</v>
      </c>
      <c r="S88" s="62" t="e">
        <f>VLOOKUP(B88,'115+040'!$B$11:$AB$112,22,FALSE)</f>
        <v>#REF!</v>
      </c>
      <c r="T88" s="61" t="e">
        <f>VLOOKUP(B88,'115+040'!$B$12:$AB$112,6,FALSE)</f>
        <v>#REF!</v>
      </c>
      <c r="U88" s="60" t="e">
        <f t="shared" si="17"/>
        <v>#REF!</v>
      </c>
      <c r="V88" s="59" t="e">
        <f>VLOOKUP(B88,'115+040'!$B$12:$AB$112,15,FALSE)</f>
        <v>#REF!</v>
      </c>
      <c r="W88" s="58">
        <f>'[4]114+940'!S89</f>
        <v>0</v>
      </c>
      <c r="X88" s="57">
        <f t="shared" si="22"/>
        <v>144</v>
      </c>
      <c r="Y88" s="56" t="e">
        <f t="shared" si="23"/>
        <v>#REF!</v>
      </c>
      <c r="Z88" s="55" t="e">
        <f t="shared" si="24"/>
        <v>#REF!</v>
      </c>
      <c r="AA88" s="54" t="e">
        <f t="shared" si="25"/>
        <v>#REF!</v>
      </c>
      <c r="AB88" s="54" t="e">
        <f t="shared" si="26"/>
        <v>#REF!</v>
      </c>
      <c r="AC88" s="43"/>
      <c r="AD88" s="43"/>
      <c r="AE88" s="43"/>
      <c r="AF88" s="43"/>
    </row>
    <row r="89" spans="1:32" s="68" customFormat="1" ht="15" customHeight="1">
      <c r="A89" s="73" t="s">
        <v>38</v>
      </c>
      <c r="B89" s="96" t="e">
        <f>'115+040'!#REF!</f>
        <v>#REF!</v>
      </c>
      <c r="C89" s="66" t="e">
        <f t="shared" si="18"/>
        <v>#REF!</v>
      </c>
      <c r="D89" s="65" t="e">
        <f t="shared" si="19"/>
        <v>#REF!</v>
      </c>
      <c r="E89" s="64" t="e">
        <f>VLOOKUP(B89,'115+040'!B87:AB188,3,FALSE)</f>
        <v>#REF!</v>
      </c>
      <c r="F89" s="61" t="e">
        <f t="shared" si="14"/>
        <v>#REF!</v>
      </c>
      <c r="G89" s="63" t="e">
        <f>VLOOKUP(B89,'115+040'!$B$12:$AB$112,20,FALSE)</f>
        <v>#REF!</v>
      </c>
      <c r="H89" s="63" t="e">
        <f>VLOOKUP(B89,'115+040'!$B$12:$AB$112,4,FALSE)</f>
        <v>#REF!</v>
      </c>
      <c r="I89" s="60" t="e">
        <f t="shared" si="15"/>
        <v>#REF!</v>
      </c>
      <c r="J89" s="60" t="e">
        <f>VLOOKUP(B89,'115+040'!$B$12:$AB$112,13,FALSE)</f>
        <v>#REF!</v>
      </c>
      <c r="K89" s="58">
        <f>'115+040'!R87</f>
        <v>3</v>
      </c>
      <c r="L89" s="57">
        <f t="shared" si="20"/>
        <v>244</v>
      </c>
      <c r="M89" s="62" t="e">
        <f>VLOOKUP(B89,'115+040'!$B$11:$AB$112,21,FALSE)</f>
        <v>#REF!</v>
      </c>
      <c r="N89" s="61" t="e">
        <f>VLOOKUP(B89,'115+040'!$B$12:$AB$112,5,FALSE)</f>
        <v>#REF!</v>
      </c>
      <c r="O89" s="60" t="e">
        <f t="shared" si="16"/>
        <v>#REF!</v>
      </c>
      <c r="P89" s="60" t="e">
        <f>VLOOKUP(B89,'115+040'!$B$12:$AB$112,14,FALSE)</f>
        <v>#REF!</v>
      </c>
      <c r="Q89" s="58">
        <f>'115+040'!S87</f>
        <v>6</v>
      </c>
      <c r="R89" s="57">
        <f t="shared" si="21"/>
        <v>263</v>
      </c>
      <c r="S89" s="62" t="e">
        <f>VLOOKUP(B89,'115+040'!$B$11:$AB$112,22,FALSE)</f>
        <v>#REF!</v>
      </c>
      <c r="T89" s="61" t="e">
        <f>VLOOKUP(B89,'115+040'!$B$12:$AB$112,6,FALSE)</f>
        <v>#REF!</v>
      </c>
      <c r="U89" s="60" t="e">
        <f t="shared" si="17"/>
        <v>#REF!</v>
      </c>
      <c r="V89" s="59" t="e">
        <f>VLOOKUP(B89,'115+040'!$B$12:$AB$112,15,FALSE)</f>
        <v>#REF!</v>
      </c>
      <c r="W89" s="58">
        <f>'[4]114+940'!S90</f>
        <v>0</v>
      </c>
      <c r="X89" s="57">
        <f t="shared" si="22"/>
        <v>144</v>
      </c>
      <c r="Y89" s="56" t="e">
        <f t="shared" si="23"/>
        <v>#REF!</v>
      </c>
      <c r="Z89" s="55" t="e">
        <f t="shared" si="24"/>
        <v>#REF!</v>
      </c>
      <c r="AA89" s="54" t="e">
        <f t="shared" si="25"/>
        <v>#REF!</v>
      </c>
      <c r="AB89" s="54" t="e">
        <f t="shared" si="26"/>
        <v>#REF!</v>
      </c>
      <c r="AC89" s="43"/>
      <c r="AD89" s="43"/>
      <c r="AE89" s="43"/>
      <c r="AF89" s="43"/>
    </row>
    <row r="90" spans="1:32" s="68" customFormat="1" ht="15" customHeight="1">
      <c r="A90" s="73">
        <v>42349</v>
      </c>
      <c r="B90" s="96" t="e">
        <f>'115+040'!#REF!</f>
        <v>#REF!</v>
      </c>
      <c r="C90" s="66" t="e">
        <f t="shared" si="18"/>
        <v>#REF!</v>
      </c>
      <c r="D90" s="65" t="e">
        <f t="shared" si="19"/>
        <v>#REF!</v>
      </c>
      <c r="E90" s="64" t="e">
        <f>VLOOKUP(B90,'115+040'!B88:AB189,3,FALSE)</f>
        <v>#REF!</v>
      </c>
      <c r="F90" s="61" t="e">
        <f t="shared" si="14"/>
        <v>#REF!</v>
      </c>
      <c r="G90" s="63" t="e">
        <f>VLOOKUP(B90,'115+040'!$B$12:$AB$112,20,FALSE)</f>
        <v>#REF!</v>
      </c>
      <c r="H90" s="63" t="e">
        <f>VLOOKUP(B90,'115+040'!$B$12:$AB$112,4,FALSE)</f>
        <v>#REF!</v>
      </c>
      <c r="I90" s="60" t="e">
        <f t="shared" si="15"/>
        <v>#REF!</v>
      </c>
      <c r="J90" s="60" t="e">
        <f>VLOOKUP(B90,'115+040'!$B$12:$AB$112,13,FALSE)</f>
        <v>#REF!</v>
      </c>
      <c r="K90" s="58">
        <f>'115+040'!R88</f>
        <v>3</v>
      </c>
      <c r="L90" s="57">
        <f t="shared" si="20"/>
        <v>247</v>
      </c>
      <c r="M90" s="62" t="e">
        <f>VLOOKUP(B90,'115+040'!$B$11:$AB$112,21,FALSE)</f>
        <v>#REF!</v>
      </c>
      <c r="N90" s="61" t="e">
        <f>VLOOKUP(B90,'115+040'!$B$12:$AB$112,5,FALSE)</f>
        <v>#REF!</v>
      </c>
      <c r="O90" s="60" t="e">
        <f t="shared" si="16"/>
        <v>#REF!</v>
      </c>
      <c r="P90" s="60" t="e">
        <f>VLOOKUP(B90,'115+040'!$B$12:$AB$112,14,FALSE)</f>
        <v>#REF!</v>
      </c>
      <c r="Q90" s="58">
        <f>'115+040'!S88</f>
        <v>5</v>
      </c>
      <c r="R90" s="57">
        <f t="shared" si="21"/>
        <v>268</v>
      </c>
      <c r="S90" s="62" t="e">
        <f>VLOOKUP(B90,'115+040'!$B$11:$AB$112,22,FALSE)</f>
        <v>#REF!</v>
      </c>
      <c r="T90" s="61" t="e">
        <f>VLOOKUP(B90,'115+040'!$B$12:$AB$112,6,FALSE)</f>
        <v>#REF!</v>
      </c>
      <c r="U90" s="60" t="e">
        <f t="shared" si="17"/>
        <v>#REF!</v>
      </c>
      <c r="V90" s="59" t="e">
        <f>VLOOKUP(B90,'115+040'!$B$12:$AB$112,15,FALSE)</f>
        <v>#REF!</v>
      </c>
      <c r="W90" s="58">
        <f>'[4]114+940'!S91</f>
        <v>0</v>
      </c>
      <c r="X90" s="57">
        <f t="shared" si="22"/>
        <v>144</v>
      </c>
      <c r="Y90" s="56" t="e">
        <f t="shared" si="23"/>
        <v>#REF!</v>
      </c>
      <c r="Z90" s="55" t="e">
        <f t="shared" si="24"/>
        <v>#REF!</v>
      </c>
      <c r="AA90" s="54" t="e">
        <f t="shared" si="25"/>
        <v>#REF!</v>
      </c>
      <c r="AB90" s="54" t="e">
        <f t="shared" si="26"/>
        <v>#REF!</v>
      </c>
      <c r="AC90" s="43"/>
      <c r="AD90" s="43"/>
      <c r="AE90" s="43"/>
      <c r="AF90" s="43"/>
    </row>
    <row r="91" spans="1:32" s="68" customFormat="1" ht="15" customHeight="1">
      <c r="A91" s="73">
        <v>42352</v>
      </c>
      <c r="B91" s="96" t="e">
        <f>'115+040'!#REF!</f>
        <v>#REF!</v>
      </c>
      <c r="C91" s="66" t="e">
        <f t="shared" si="18"/>
        <v>#REF!</v>
      </c>
      <c r="D91" s="65" t="e">
        <f t="shared" si="19"/>
        <v>#REF!</v>
      </c>
      <c r="E91" s="64" t="e">
        <f>VLOOKUP(B91,'115+040'!B89:AB190,3,FALSE)</f>
        <v>#REF!</v>
      </c>
      <c r="F91" s="61" t="e">
        <f t="shared" si="14"/>
        <v>#REF!</v>
      </c>
      <c r="G91" s="63" t="e">
        <f>VLOOKUP(B91,'115+040'!$B$12:$AB$112,20,FALSE)</f>
        <v>#REF!</v>
      </c>
      <c r="H91" s="63" t="e">
        <f>VLOOKUP(B91,'115+040'!$B$12:$AB$112,4,FALSE)</f>
        <v>#REF!</v>
      </c>
      <c r="I91" s="60" t="e">
        <f t="shared" si="15"/>
        <v>#REF!</v>
      </c>
      <c r="J91" s="60" t="e">
        <f>VLOOKUP(B91,'115+040'!$B$12:$AB$112,13,FALSE)</f>
        <v>#REF!</v>
      </c>
      <c r="K91" s="58">
        <f>'115+040'!R89</f>
        <v>2</v>
      </c>
      <c r="L91" s="57">
        <f t="shared" si="20"/>
        <v>249</v>
      </c>
      <c r="M91" s="62" t="e">
        <f>VLOOKUP(B91,'115+040'!$B$11:$AB$112,21,FALSE)</f>
        <v>#REF!</v>
      </c>
      <c r="N91" s="61" t="e">
        <f>VLOOKUP(B91,'115+040'!$B$12:$AB$112,5,FALSE)</f>
        <v>#REF!</v>
      </c>
      <c r="O91" s="60" t="e">
        <f t="shared" si="16"/>
        <v>#REF!</v>
      </c>
      <c r="P91" s="60" t="e">
        <f>VLOOKUP(B91,'115+040'!$B$12:$AB$112,14,FALSE)</f>
        <v>#REF!</v>
      </c>
      <c r="Q91" s="58">
        <f>'115+040'!S89</f>
        <v>5</v>
      </c>
      <c r="R91" s="57">
        <f t="shared" si="21"/>
        <v>273</v>
      </c>
      <c r="S91" s="62" t="e">
        <f>VLOOKUP(B91,'115+040'!$B$11:$AB$112,22,FALSE)</f>
        <v>#REF!</v>
      </c>
      <c r="T91" s="61" t="e">
        <f>VLOOKUP(B91,'115+040'!$B$12:$AB$112,6,FALSE)</f>
        <v>#REF!</v>
      </c>
      <c r="U91" s="60" t="e">
        <f t="shared" si="17"/>
        <v>#REF!</v>
      </c>
      <c r="V91" s="59" t="e">
        <f>VLOOKUP(B91,'115+040'!$B$12:$AB$112,15,FALSE)</f>
        <v>#REF!</v>
      </c>
      <c r="W91" s="58">
        <f>'[4]114+940'!S92</f>
        <v>0</v>
      </c>
      <c r="X91" s="57">
        <f t="shared" si="22"/>
        <v>144</v>
      </c>
      <c r="Y91" s="56" t="e">
        <f t="shared" si="23"/>
        <v>#REF!</v>
      </c>
      <c r="Z91" s="55" t="e">
        <f t="shared" si="24"/>
        <v>#REF!</v>
      </c>
      <c r="AA91" s="54" t="e">
        <f t="shared" si="25"/>
        <v>#REF!</v>
      </c>
      <c r="AB91" s="54" t="e">
        <f t="shared" si="26"/>
        <v>#REF!</v>
      </c>
      <c r="AC91" s="43"/>
      <c r="AD91" s="43"/>
      <c r="AE91" s="43"/>
      <c r="AF91" s="43"/>
    </row>
    <row r="92" spans="1:32" s="68" customFormat="1" ht="15" customHeight="1">
      <c r="A92" s="73">
        <v>42353</v>
      </c>
      <c r="B92" s="96" t="e">
        <f>'115+040'!#REF!</f>
        <v>#REF!</v>
      </c>
      <c r="C92" s="66" t="e">
        <f t="shared" si="18"/>
        <v>#REF!</v>
      </c>
      <c r="D92" s="65" t="e">
        <f t="shared" si="19"/>
        <v>#REF!</v>
      </c>
      <c r="E92" s="64" t="e">
        <f>VLOOKUP(B92,'115+040'!B90:AB191,3,FALSE)</f>
        <v>#REF!</v>
      </c>
      <c r="F92" s="61" t="e">
        <f t="shared" si="14"/>
        <v>#REF!</v>
      </c>
      <c r="G92" s="63" t="e">
        <f>VLOOKUP(B92,'115+040'!$B$12:$AB$112,20,FALSE)</f>
        <v>#REF!</v>
      </c>
      <c r="H92" s="63" t="e">
        <f>VLOOKUP(B92,'115+040'!$B$12:$AB$112,4,FALSE)</f>
        <v>#REF!</v>
      </c>
      <c r="I92" s="60" t="e">
        <f t="shared" si="15"/>
        <v>#REF!</v>
      </c>
      <c r="J92" s="60" t="e">
        <f>VLOOKUP(B92,'115+040'!$B$12:$AB$112,13,FALSE)</f>
        <v>#REF!</v>
      </c>
      <c r="K92" s="58">
        <f>'115+040'!R90</f>
        <v>2</v>
      </c>
      <c r="L92" s="57">
        <f t="shared" si="20"/>
        <v>251</v>
      </c>
      <c r="M92" s="62" t="e">
        <f>VLOOKUP(B92,'115+040'!$B$11:$AB$112,21,FALSE)</f>
        <v>#REF!</v>
      </c>
      <c r="N92" s="61" t="e">
        <f>VLOOKUP(B92,'115+040'!$B$12:$AB$112,5,FALSE)</f>
        <v>#REF!</v>
      </c>
      <c r="O92" s="60" t="e">
        <f t="shared" si="16"/>
        <v>#REF!</v>
      </c>
      <c r="P92" s="60" t="e">
        <f>VLOOKUP(B92,'115+040'!$B$12:$AB$112,14,FALSE)</f>
        <v>#REF!</v>
      </c>
      <c r="Q92" s="58">
        <f>'115+040'!S90</f>
        <v>4</v>
      </c>
      <c r="R92" s="57">
        <f t="shared" si="21"/>
        <v>277</v>
      </c>
      <c r="S92" s="62" t="e">
        <f>VLOOKUP(B92,'115+040'!$B$11:$AB$112,22,FALSE)</f>
        <v>#REF!</v>
      </c>
      <c r="T92" s="61" t="e">
        <f>VLOOKUP(B92,'115+040'!$B$12:$AB$112,6,FALSE)</f>
        <v>#REF!</v>
      </c>
      <c r="U92" s="60" t="e">
        <f t="shared" si="17"/>
        <v>#REF!</v>
      </c>
      <c r="V92" s="59" t="e">
        <f>VLOOKUP(B92,'115+040'!$B$12:$AB$112,15,FALSE)</f>
        <v>#REF!</v>
      </c>
      <c r="W92" s="58">
        <f>'[4]114+940'!S93</f>
        <v>0</v>
      </c>
      <c r="X92" s="57">
        <f t="shared" si="22"/>
        <v>144</v>
      </c>
      <c r="Y92" s="56" t="e">
        <f t="shared" si="23"/>
        <v>#REF!</v>
      </c>
      <c r="Z92" s="55" t="e">
        <f t="shared" si="24"/>
        <v>#REF!</v>
      </c>
      <c r="AA92" s="54" t="e">
        <f t="shared" si="25"/>
        <v>#REF!</v>
      </c>
      <c r="AB92" s="54" t="e">
        <f t="shared" si="26"/>
        <v>#REF!</v>
      </c>
      <c r="AC92" s="43"/>
      <c r="AD92" s="43"/>
      <c r="AE92" s="43"/>
      <c r="AF92" s="43"/>
    </row>
    <row r="93" spans="1:32" s="68" customFormat="1" ht="15" customHeight="1" thickBot="1">
      <c r="A93" s="72">
        <v>42353</v>
      </c>
      <c r="B93" s="96" t="e">
        <f>'115+040'!#REF!</f>
        <v>#REF!</v>
      </c>
      <c r="C93" s="66" t="e">
        <f t="shared" si="18"/>
        <v>#REF!</v>
      </c>
      <c r="D93" s="65" t="e">
        <f t="shared" si="19"/>
        <v>#REF!</v>
      </c>
      <c r="E93" s="64" t="e">
        <f>VLOOKUP(B93,'115+040'!B91:AB192,3,FALSE)</f>
        <v>#REF!</v>
      </c>
      <c r="F93" s="61" t="e">
        <f t="shared" si="14"/>
        <v>#REF!</v>
      </c>
      <c r="G93" s="63" t="e">
        <f>VLOOKUP(B93,'115+040'!$B$12:$AB$112,20,FALSE)</f>
        <v>#REF!</v>
      </c>
      <c r="H93" s="63" t="e">
        <f>VLOOKUP(B93,'115+040'!$B$12:$AB$112,4,FALSE)</f>
        <v>#REF!</v>
      </c>
      <c r="I93" s="60" t="e">
        <f t="shared" si="15"/>
        <v>#REF!</v>
      </c>
      <c r="J93" s="60" t="e">
        <f>VLOOKUP(B93,'115+040'!$B$12:$AB$112,13,FALSE)</f>
        <v>#REF!</v>
      </c>
      <c r="K93" s="58">
        <f>'115+040'!R91</f>
        <v>1</v>
      </c>
      <c r="L93" s="57">
        <f t="shared" si="20"/>
        <v>252</v>
      </c>
      <c r="M93" s="62" t="e">
        <f>VLOOKUP(B93,'115+040'!$B$11:$AB$112,21,FALSE)</f>
        <v>#REF!</v>
      </c>
      <c r="N93" s="61" t="e">
        <f>VLOOKUP(B93,'115+040'!$B$12:$AB$112,5,FALSE)</f>
        <v>#REF!</v>
      </c>
      <c r="O93" s="60" t="e">
        <f t="shared" si="16"/>
        <v>#REF!</v>
      </c>
      <c r="P93" s="60" t="e">
        <f>VLOOKUP(B93,'115+040'!$B$12:$AB$112,14,FALSE)</f>
        <v>#REF!</v>
      </c>
      <c r="Q93" s="58">
        <f>'115+040'!S91</f>
        <v>4</v>
      </c>
      <c r="R93" s="57">
        <f t="shared" si="21"/>
        <v>281</v>
      </c>
      <c r="S93" s="62" t="e">
        <f>VLOOKUP(B93,'115+040'!$B$11:$AB$112,22,FALSE)</f>
        <v>#REF!</v>
      </c>
      <c r="T93" s="61" t="e">
        <f>VLOOKUP(B93,'115+040'!$B$12:$AB$112,6,FALSE)</f>
        <v>#REF!</v>
      </c>
      <c r="U93" s="60" t="e">
        <f t="shared" si="17"/>
        <v>#REF!</v>
      </c>
      <c r="V93" s="59" t="e">
        <f>VLOOKUP(B93,'115+040'!$B$12:$AB$112,15,FALSE)</f>
        <v>#REF!</v>
      </c>
      <c r="W93" s="58">
        <f>'[4]114+940'!S94</f>
        <v>0</v>
      </c>
      <c r="X93" s="57">
        <f t="shared" si="22"/>
        <v>144</v>
      </c>
      <c r="Y93" s="56" t="e">
        <f t="shared" si="23"/>
        <v>#REF!</v>
      </c>
      <c r="Z93" s="55" t="e">
        <f t="shared" si="24"/>
        <v>#REF!</v>
      </c>
      <c r="AA93" s="54" t="e">
        <f t="shared" si="25"/>
        <v>#REF!</v>
      </c>
      <c r="AB93" s="54" t="e">
        <f t="shared" si="26"/>
        <v>#REF!</v>
      </c>
      <c r="AC93" s="43"/>
      <c r="AD93" s="43"/>
      <c r="AE93" s="43"/>
      <c r="AF93" s="43"/>
    </row>
    <row r="94" spans="1:32" s="68" customFormat="1" ht="15" customHeight="1" thickTop="1">
      <c r="A94" s="69"/>
      <c r="B94" s="96" t="e">
        <f>'115+040'!#REF!</f>
        <v>#REF!</v>
      </c>
      <c r="C94" s="66" t="e">
        <f t="shared" si="18"/>
        <v>#REF!</v>
      </c>
      <c r="D94" s="65" t="e">
        <f t="shared" si="19"/>
        <v>#REF!</v>
      </c>
      <c r="E94" s="64" t="e">
        <f>VLOOKUP(B94,'115+040'!B92:AB193,3,FALSE)</f>
        <v>#REF!</v>
      </c>
      <c r="F94" s="61" t="e">
        <f t="shared" si="14"/>
        <v>#REF!</v>
      </c>
      <c r="G94" s="63" t="e">
        <f>VLOOKUP(B94,'115+040'!$B$12:$AB$112,20,FALSE)</f>
        <v>#REF!</v>
      </c>
      <c r="H94" s="63" t="e">
        <f>VLOOKUP(B94,'115+040'!$B$12:$AB$112,4,FALSE)</f>
        <v>#REF!</v>
      </c>
      <c r="I94" s="60" t="e">
        <f t="shared" si="15"/>
        <v>#REF!</v>
      </c>
      <c r="J94" s="60" t="e">
        <f>VLOOKUP(B94,'115+040'!$B$12:$AB$112,13,FALSE)</f>
        <v>#REF!</v>
      </c>
      <c r="K94" s="58">
        <f>'115+040'!R92</f>
        <v>1</v>
      </c>
      <c r="L94" s="57">
        <f t="shared" si="20"/>
        <v>253</v>
      </c>
      <c r="M94" s="62" t="e">
        <f>VLOOKUP(B94,'115+040'!$B$11:$AB$112,21,FALSE)</f>
        <v>#REF!</v>
      </c>
      <c r="N94" s="61" t="e">
        <f>VLOOKUP(B94,'115+040'!$B$12:$AB$112,5,FALSE)</f>
        <v>#REF!</v>
      </c>
      <c r="O94" s="60" t="e">
        <f t="shared" si="16"/>
        <v>#REF!</v>
      </c>
      <c r="P94" s="60" t="e">
        <f>VLOOKUP(B94,'115+040'!$B$12:$AB$112,14,FALSE)</f>
        <v>#REF!</v>
      </c>
      <c r="Q94" s="58">
        <f>'115+040'!S92</f>
        <v>3</v>
      </c>
      <c r="R94" s="57">
        <f t="shared" si="21"/>
        <v>284</v>
      </c>
      <c r="S94" s="62" t="e">
        <f>VLOOKUP(B94,'115+040'!$B$11:$AB$112,22,FALSE)</f>
        <v>#REF!</v>
      </c>
      <c r="T94" s="61" t="e">
        <f>VLOOKUP(B94,'115+040'!$B$12:$AB$112,6,FALSE)</f>
        <v>#REF!</v>
      </c>
      <c r="U94" s="60" t="e">
        <f t="shared" si="17"/>
        <v>#REF!</v>
      </c>
      <c r="V94" s="59" t="e">
        <f>VLOOKUP(B94,'115+040'!$B$12:$AB$112,15,FALSE)</f>
        <v>#REF!</v>
      </c>
      <c r="W94" s="58">
        <f>'[4]114+940'!S95</f>
        <v>0</v>
      </c>
      <c r="X94" s="57">
        <f t="shared" si="22"/>
        <v>144</v>
      </c>
      <c r="Y94" s="56" t="e">
        <f t="shared" si="23"/>
        <v>#REF!</v>
      </c>
      <c r="Z94" s="55" t="e">
        <f t="shared" si="24"/>
        <v>#REF!</v>
      </c>
      <c r="AA94" s="54" t="e">
        <f t="shared" si="25"/>
        <v>#REF!</v>
      </c>
      <c r="AB94" s="54" t="e">
        <f t="shared" si="26"/>
        <v>#REF!</v>
      </c>
      <c r="AC94" s="43"/>
      <c r="AD94" s="43"/>
      <c r="AE94" s="43"/>
      <c r="AF94" s="43"/>
    </row>
    <row r="95" spans="1:32" s="68" customFormat="1" ht="15" customHeight="1">
      <c r="A95" s="69"/>
      <c r="B95" s="96" t="e">
        <f>'115+040'!#REF!</f>
        <v>#REF!</v>
      </c>
      <c r="C95" s="66" t="e">
        <f t="shared" si="18"/>
        <v>#REF!</v>
      </c>
      <c r="D95" s="65" t="e">
        <f t="shared" si="19"/>
        <v>#REF!</v>
      </c>
      <c r="E95" s="64" t="e">
        <f>VLOOKUP(B95,'115+040'!B93:AB194,3,FALSE)</f>
        <v>#REF!</v>
      </c>
      <c r="F95" s="61" t="e">
        <f t="shared" si="14"/>
        <v>#REF!</v>
      </c>
      <c r="G95" s="63" t="e">
        <f>VLOOKUP(B95,'115+040'!$B$12:$AB$112,20,FALSE)</f>
        <v>#REF!</v>
      </c>
      <c r="H95" s="63" t="e">
        <f>VLOOKUP(B95,'115+040'!$B$12:$AB$112,4,FALSE)</f>
        <v>#REF!</v>
      </c>
      <c r="I95" s="60" t="e">
        <f t="shared" si="15"/>
        <v>#REF!</v>
      </c>
      <c r="J95" s="60" t="e">
        <f>VLOOKUP(B95,'115+040'!$B$12:$AB$112,13,FALSE)</f>
        <v>#REF!</v>
      </c>
      <c r="K95" s="58">
        <f>'115+040'!R93</f>
        <v>0</v>
      </c>
      <c r="L95" s="57">
        <f t="shared" si="20"/>
        <v>253</v>
      </c>
      <c r="M95" s="62" t="e">
        <f>VLOOKUP(B95,'115+040'!$B$11:$AB$112,21,FALSE)</f>
        <v>#REF!</v>
      </c>
      <c r="N95" s="61" t="e">
        <f>VLOOKUP(B95,'115+040'!$B$12:$AB$112,5,FALSE)</f>
        <v>#REF!</v>
      </c>
      <c r="O95" s="60" t="e">
        <f t="shared" si="16"/>
        <v>#REF!</v>
      </c>
      <c r="P95" s="60" t="e">
        <f>VLOOKUP(B95,'115+040'!$B$12:$AB$112,14,FALSE)</f>
        <v>#REF!</v>
      </c>
      <c r="Q95" s="58">
        <f>'115+040'!S93</f>
        <v>2</v>
      </c>
      <c r="R95" s="57">
        <f t="shared" si="21"/>
        <v>286</v>
      </c>
      <c r="S95" s="62" t="e">
        <f>VLOOKUP(B95,'115+040'!$B$11:$AB$112,22,FALSE)</f>
        <v>#REF!</v>
      </c>
      <c r="T95" s="61" t="e">
        <f>VLOOKUP(B95,'115+040'!$B$12:$AB$112,6,FALSE)</f>
        <v>#REF!</v>
      </c>
      <c r="U95" s="60" t="e">
        <f t="shared" si="17"/>
        <v>#REF!</v>
      </c>
      <c r="V95" s="59" t="e">
        <f>VLOOKUP(B95,'115+040'!$B$12:$AB$112,15,FALSE)</f>
        <v>#REF!</v>
      </c>
      <c r="W95" s="58">
        <f>'[4]114+940'!S96</f>
        <v>0</v>
      </c>
      <c r="X95" s="57">
        <f t="shared" si="22"/>
        <v>144</v>
      </c>
      <c r="Y95" s="56" t="e">
        <f t="shared" si="23"/>
        <v>#REF!</v>
      </c>
      <c r="Z95" s="55" t="e">
        <f t="shared" si="24"/>
        <v>#REF!</v>
      </c>
      <c r="AA95" s="54" t="e">
        <f t="shared" si="25"/>
        <v>#REF!</v>
      </c>
      <c r="AB95" s="54" t="e">
        <f t="shared" si="26"/>
        <v>#REF!</v>
      </c>
      <c r="AC95" s="43"/>
      <c r="AD95" s="43"/>
      <c r="AE95" s="43"/>
      <c r="AF95" s="43"/>
    </row>
    <row r="96" spans="1:32" s="68" customFormat="1" ht="15" customHeight="1">
      <c r="A96" s="69"/>
      <c r="B96" s="96" t="e">
        <f>'115+040'!#REF!</f>
        <v>#REF!</v>
      </c>
      <c r="C96" s="66" t="e">
        <f t="shared" si="18"/>
        <v>#REF!</v>
      </c>
      <c r="D96" s="65" t="e">
        <f t="shared" si="19"/>
        <v>#REF!</v>
      </c>
      <c r="E96" s="64" t="e">
        <f>VLOOKUP(B96,'115+040'!B94:AB195,3,FALSE)</f>
        <v>#REF!</v>
      </c>
      <c r="F96" s="61" t="e">
        <f t="shared" si="14"/>
        <v>#REF!</v>
      </c>
      <c r="G96" s="63" t="e">
        <f>VLOOKUP(B96,'115+040'!$B$12:$AB$112,20,FALSE)</f>
        <v>#REF!</v>
      </c>
      <c r="H96" s="63" t="e">
        <f>VLOOKUP(B96,'115+040'!$B$12:$AB$112,4,FALSE)</f>
        <v>#REF!</v>
      </c>
      <c r="I96" s="60" t="e">
        <f t="shared" si="15"/>
        <v>#REF!</v>
      </c>
      <c r="J96" s="60" t="e">
        <f>VLOOKUP(B96,'115+040'!$B$12:$AB$112,13,FALSE)</f>
        <v>#REF!</v>
      </c>
      <c r="K96" s="58">
        <f>'115+040'!R94</f>
        <v>0</v>
      </c>
      <c r="L96" s="57">
        <f t="shared" si="20"/>
        <v>253</v>
      </c>
      <c r="M96" s="62" t="e">
        <f>VLOOKUP(B96,'115+040'!$B$11:$AB$112,21,FALSE)</f>
        <v>#REF!</v>
      </c>
      <c r="N96" s="61" t="e">
        <f>VLOOKUP(B96,'115+040'!$B$12:$AB$112,5,FALSE)</f>
        <v>#REF!</v>
      </c>
      <c r="O96" s="60" t="e">
        <f t="shared" si="16"/>
        <v>#REF!</v>
      </c>
      <c r="P96" s="60" t="e">
        <f>VLOOKUP(B96,'115+040'!$B$12:$AB$112,14,FALSE)</f>
        <v>#REF!</v>
      </c>
      <c r="Q96" s="58">
        <f>'115+040'!S94</f>
        <v>0</v>
      </c>
      <c r="R96" s="57">
        <f t="shared" si="21"/>
        <v>286</v>
      </c>
      <c r="S96" s="62" t="e">
        <f>VLOOKUP(B96,'115+040'!$B$11:$AB$112,22,FALSE)</f>
        <v>#REF!</v>
      </c>
      <c r="T96" s="61" t="e">
        <f>VLOOKUP(B96,'115+040'!$B$12:$AB$112,6,FALSE)</f>
        <v>#REF!</v>
      </c>
      <c r="U96" s="60" t="e">
        <f t="shared" si="17"/>
        <v>#REF!</v>
      </c>
      <c r="V96" s="59" t="e">
        <f>VLOOKUP(B96,'115+040'!$B$12:$AB$112,15,FALSE)</f>
        <v>#REF!</v>
      </c>
      <c r="W96" s="58">
        <f>'[4]114+940'!S97</f>
        <v>0</v>
      </c>
      <c r="X96" s="57">
        <f t="shared" si="22"/>
        <v>144</v>
      </c>
      <c r="Y96" s="56" t="e">
        <f t="shared" si="23"/>
        <v>#REF!</v>
      </c>
      <c r="Z96" s="55" t="e">
        <f t="shared" si="24"/>
        <v>#REF!</v>
      </c>
      <c r="AA96" s="54" t="e">
        <f t="shared" si="25"/>
        <v>#REF!</v>
      </c>
      <c r="AB96" s="54" t="e">
        <f t="shared" si="26"/>
        <v>#REF!</v>
      </c>
      <c r="AC96" s="43"/>
      <c r="AD96" s="43"/>
      <c r="AE96" s="43"/>
      <c r="AF96" s="43"/>
    </row>
    <row r="97" spans="1:32" s="70" customFormat="1" ht="15" customHeight="1">
      <c r="A97" s="69"/>
      <c r="B97" s="96" t="e">
        <f>'115+040'!#REF!</f>
        <v>#REF!</v>
      </c>
      <c r="C97" s="66" t="e">
        <f t="shared" si="18"/>
        <v>#REF!</v>
      </c>
      <c r="D97" s="65" t="e">
        <f t="shared" si="19"/>
        <v>#REF!</v>
      </c>
      <c r="E97" s="64" t="e">
        <f>VLOOKUP(B97,'115+040'!B95:AB196,3,FALSE)</f>
        <v>#REF!</v>
      </c>
      <c r="F97" s="61" t="e">
        <f t="shared" si="14"/>
        <v>#REF!</v>
      </c>
      <c r="G97" s="63" t="e">
        <f>VLOOKUP(B97,'115+040'!$B$12:$AB$112,20,FALSE)</f>
        <v>#REF!</v>
      </c>
      <c r="H97" s="63" t="e">
        <f>VLOOKUP(B97,'115+040'!$B$12:$AB$112,4,FALSE)</f>
        <v>#REF!</v>
      </c>
      <c r="I97" s="60" t="e">
        <f t="shared" si="15"/>
        <v>#REF!</v>
      </c>
      <c r="J97" s="60" t="e">
        <f>VLOOKUP(B97,'115+040'!$B$12:$AB$112,13,FALSE)</f>
        <v>#REF!</v>
      </c>
      <c r="K97" s="58">
        <f>'115+040'!R95</f>
        <v>0</v>
      </c>
      <c r="L97" s="57">
        <f t="shared" si="20"/>
        <v>253</v>
      </c>
      <c r="M97" s="62" t="e">
        <f>VLOOKUP(B97,'115+040'!$B$11:$AB$112,21,FALSE)</f>
        <v>#REF!</v>
      </c>
      <c r="N97" s="61" t="e">
        <f>VLOOKUP(B97,'115+040'!$B$12:$AB$112,5,FALSE)</f>
        <v>#REF!</v>
      </c>
      <c r="O97" s="60" t="e">
        <f t="shared" si="16"/>
        <v>#REF!</v>
      </c>
      <c r="P97" s="60" t="e">
        <f>VLOOKUP(B97,'115+040'!$B$12:$AB$112,14,FALSE)</f>
        <v>#REF!</v>
      </c>
      <c r="Q97" s="58">
        <f>'115+040'!S95</f>
        <v>0</v>
      </c>
      <c r="R97" s="57">
        <f t="shared" si="21"/>
        <v>286</v>
      </c>
      <c r="S97" s="62" t="e">
        <f>VLOOKUP(B97,'115+040'!$B$11:$AB$112,22,FALSE)</f>
        <v>#REF!</v>
      </c>
      <c r="T97" s="61" t="e">
        <f>VLOOKUP(B97,'115+040'!$B$12:$AB$112,6,FALSE)</f>
        <v>#REF!</v>
      </c>
      <c r="U97" s="60" t="e">
        <f t="shared" si="17"/>
        <v>#REF!</v>
      </c>
      <c r="V97" s="59" t="e">
        <f>VLOOKUP(B97,'115+040'!$B$12:$AB$112,15,FALSE)</f>
        <v>#REF!</v>
      </c>
      <c r="W97" s="58">
        <f>'[4]114+940'!S98</f>
        <v>0</v>
      </c>
      <c r="X97" s="57">
        <f t="shared" si="22"/>
        <v>144</v>
      </c>
      <c r="Y97" s="56" t="e">
        <f t="shared" si="23"/>
        <v>#REF!</v>
      </c>
      <c r="Z97" s="55" t="e">
        <f t="shared" si="24"/>
        <v>#REF!</v>
      </c>
      <c r="AA97" s="54" t="e">
        <f t="shared" si="25"/>
        <v>#REF!</v>
      </c>
      <c r="AB97" s="54" t="e">
        <f t="shared" si="26"/>
        <v>#REF!</v>
      </c>
      <c r="AC97" s="71"/>
      <c r="AD97" s="71"/>
      <c r="AE97" s="71"/>
      <c r="AF97" s="71"/>
    </row>
    <row r="98" spans="1:32" s="68" customFormat="1" ht="15" customHeight="1">
      <c r="A98" s="69"/>
      <c r="B98" s="96" t="e">
        <f>'115+040'!#REF!</f>
        <v>#REF!</v>
      </c>
      <c r="C98" s="66" t="e">
        <f t="shared" si="18"/>
        <v>#REF!</v>
      </c>
      <c r="D98" s="65" t="e">
        <f t="shared" si="19"/>
        <v>#REF!</v>
      </c>
      <c r="E98" s="64" t="e">
        <f>VLOOKUP(B98,'115+040'!B96:AB197,3,FALSE)</f>
        <v>#REF!</v>
      </c>
      <c r="F98" s="61" t="e">
        <f t="shared" si="14"/>
        <v>#REF!</v>
      </c>
      <c r="G98" s="63" t="e">
        <f>VLOOKUP(B98,'115+040'!$B$12:$AB$112,20,FALSE)</f>
        <v>#REF!</v>
      </c>
      <c r="H98" s="63" t="e">
        <f>VLOOKUP(B98,'115+040'!$B$12:$AB$112,4,FALSE)</f>
        <v>#REF!</v>
      </c>
      <c r="I98" s="60" t="e">
        <f t="shared" si="15"/>
        <v>#REF!</v>
      </c>
      <c r="J98" s="60" t="e">
        <f>VLOOKUP(B98,'115+040'!$B$12:$AB$112,13,FALSE)</f>
        <v>#REF!</v>
      </c>
      <c r="K98" s="58">
        <f>'115+040'!R96</f>
        <v>0</v>
      </c>
      <c r="L98" s="57">
        <f t="shared" si="20"/>
        <v>253</v>
      </c>
      <c r="M98" s="62" t="e">
        <f>VLOOKUP(B98,'115+040'!$B$11:$AB$112,21,FALSE)</f>
        <v>#REF!</v>
      </c>
      <c r="N98" s="61" t="e">
        <f>VLOOKUP(B98,'115+040'!$B$12:$AB$112,5,FALSE)</f>
        <v>#REF!</v>
      </c>
      <c r="O98" s="60" t="e">
        <f t="shared" si="16"/>
        <v>#REF!</v>
      </c>
      <c r="P98" s="60" t="e">
        <f>VLOOKUP(B98,'115+040'!$B$12:$AB$112,14,FALSE)</f>
        <v>#REF!</v>
      </c>
      <c r="Q98" s="58">
        <f>'115+040'!S96</f>
        <v>0</v>
      </c>
      <c r="R98" s="57">
        <f t="shared" si="21"/>
        <v>286</v>
      </c>
      <c r="S98" s="62" t="e">
        <f>VLOOKUP(B98,'115+040'!$B$11:$AB$112,22,FALSE)</f>
        <v>#REF!</v>
      </c>
      <c r="T98" s="61" t="e">
        <f>VLOOKUP(B98,'115+040'!$B$12:$AB$112,6,FALSE)</f>
        <v>#REF!</v>
      </c>
      <c r="U98" s="60" t="e">
        <f t="shared" si="17"/>
        <v>#REF!</v>
      </c>
      <c r="V98" s="59" t="e">
        <f>VLOOKUP(B98,'115+040'!$B$12:$AB$112,15,FALSE)</f>
        <v>#REF!</v>
      </c>
      <c r="W98" s="58">
        <f>'[4]114+940'!S99</f>
        <v>0</v>
      </c>
      <c r="X98" s="57">
        <f t="shared" si="22"/>
        <v>144</v>
      </c>
      <c r="Y98" s="56" t="e">
        <f t="shared" si="23"/>
        <v>#REF!</v>
      </c>
      <c r="Z98" s="55" t="e">
        <f t="shared" si="24"/>
        <v>#REF!</v>
      </c>
      <c r="AA98" s="54" t="e">
        <f t="shared" si="25"/>
        <v>#REF!</v>
      </c>
      <c r="AB98" s="54" t="e">
        <f t="shared" si="26"/>
        <v>#REF!</v>
      </c>
      <c r="AC98" s="43"/>
      <c r="AD98" s="43"/>
      <c r="AE98" s="43"/>
      <c r="AF98" s="43"/>
    </row>
    <row r="99" spans="1:32" s="68" customFormat="1" ht="15" customHeight="1">
      <c r="A99" s="69"/>
      <c r="B99" s="96" t="e">
        <f>'115+040'!#REF!</f>
        <v>#REF!</v>
      </c>
      <c r="C99" s="66" t="e">
        <f t="shared" si="18"/>
        <v>#REF!</v>
      </c>
      <c r="D99" s="65" t="e">
        <f t="shared" si="19"/>
        <v>#REF!</v>
      </c>
      <c r="E99" s="64" t="e">
        <f>VLOOKUP(B99,'115+040'!B97:AB198,3,FALSE)</f>
        <v>#REF!</v>
      </c>
      <c r="F99" s="61" t="e">
        <f t="shared" si="14"/>
        <v>#REF!</v>
      </c>
      <c r="G99" s="63" t="e">
        <f>VLOOKUP(B99,'115+040'!$B$12:$AB$112,20,FALSE)</f>
        <v>#REF!</v>
      </c>
      <c r="H99" s="63" t="e">
        <f>VLOOKUP(B99,'115+040'!$B$12:$AB$112,4,FALSE)</f>
        <v>#REF!</v>
      </c>
      <c r="I99" s="60" t="e">
        <f t="shared" si="15"/>
        <v>#REF!</v>
      </c>
      <c r="J99" s="60" t="e">
        <f>VLOOKUP(B99,'115+040'!$B$12:$AB$112,13,FALSE)</f>
        <v>#REF!</v>
      </c>
      <c r="K99" s="58">
        <f>'115+040'!R97</f>
        <v>0</v>
      </c>
      <c r="L99" s="57">
        <f t="shared" si="20"/>
        <v>253</v>
      </c>
      <c r="M99" s="62" t="e">
        <f>VLOOKUP(B99,'115+040'!$B$11:$AB$112,21,FALSE)</f>
        <v>#REF!</v>
      </c>
      <c r="N99" s="61" t="e">
        <f>VLOOKUP(B99,'115+040'!$B$12:$AB$112,5,FALSE)</f>
        <v>#REF!</v>
      </c>
      <c r="O99" s="60" t="e">
        <f t="shared" si="16"/>
        <v>#REF!</v>
      </c>
      <c r="P99" s="60" t="e">
        <f>VLOOKUP(B99,'115+040'!$B$12:$AB$112,14,FALSE)</f>
        <v>#REF!</v>
      </c>
      <c r="Q99" s="58">
        <f>'115+040'!S97</f>
        <v>0</v>
      </c>
      <c r="R99" s="57">
        <f t="shared" si="21"/>
        <v>286</v>
      </c>
      <c r="S99" s="62" t="e">
        <f>VLOOKUP(B99,'115+040'!$B$11:$AB$112,22,FALSE)</f>
        <v>#REF!</v>
      </c>
      <c r="T99" s="61" t="e">
        <f>VLOOKUP(B99,'115+040'!$B$12:$AB$112,6,FALSE)</f>
        <v>#REF!</v>
      </c>
      <c r="U99" s="60" t="e">
        <f t="shared" si="17"/>
        <v>#REF!</v>
      </c>
      <c r="V99" s="59" t="e">
        <f>VLOOKUP(B99,'115+040'!$B$12:$AB$112,15,FALSE)</f>
        <v>#REF!</v>
      </c>
      <c r="W99" s="58">
        <f>'[4]114+940'!S100</f>
        <v>0</v>
      </c>
      <c r="X99" s="57">
        <f t="shared" si="22"/>
        <v>144</v>
      </c>
      <c r="Y99" s="56" t="e">
        <f t="shared" si="23"/>
        <v>#REF!</v>
      </c>
      <c r="Z99" s="55" t="e">
        <f t="shared" si="24"/>
        <v>#REF!</v>
      </c>
      <c r="AA99" s="54" t="e">
        <f t="shared" si="25"/>
        <v>#REF!</v>
      </c>
      <c r="AB99" s="54" t="e">
        <f t="shared" si="26"/>
        <v>#REF!</v>
      </c>
      <c r="AC99" s="43"/>
      <c r="AD99" s="43"/>
      <c r="AE99" s="43"/>
      <c r="AF99" s="43"/>
    </row>
    <row r="100" spans="1:32" s="68" customFormat="1" ht="15" customHeight="1">
      <c r="A100" s="69"/>
      <c r="B100" s="96" t="e">
        <f>'115+040'!#REF!</f>
        <v>#REF!</v>
      </c>
      <c r="C100" s="66" t="e">
        <f t="shared" si="18"/>
        <v>#REF!</v>
      </c>
      <c r="D100" s="65" t="e">
        <f t="shared" si="19"/>
        <v>#REF!</v>
      </c>
      <c r="E100" s="64" t="e">
        <f>VLOOKUP(B100,'115+040'!B98:AB199,3,FALSE)</f>
        <v>#REF!</v>
      </c>
      <c r="F100" s="61" t="e">
        <f t="shared" si="14"/>
        <v>#REF!</v>
      </c>
      <c r="G100" s="63" t="e">
        <f>VLOOKUP(B100,'115+040'!$B$12:$AB$112,20,FALSE)</f>
        <v>#REF!</v>
      </c>
      <c r="H100" s="63" t="e">
        <f>VLOOKUP(B100,'115+040'!$B$12:$AB$112,4,FALSE)</f>
        <v>#REF!</v>
      </c>
      <c r="I100" s="60" t="e">
        <f t="shared" si="15"/>
        <v>#REF!</v>
      </c>
      <c r="J100" s="60" t="e">
        <f>VLOOKUP(B100,'115+040'!$B$12:$AB$112,13,FALSE)</f>
        <v>#REF!</v>
      </c>
      <c r="K100" s="58">
        <f>'115+040'!R98</f>
        <v>0</v>
      </c>
      <c r="L100" s="57">
        <f t="shared" si="20"/>
        <v>253</v>
      </c>
      <c r="M100" s="62" t="e">
        <f>VLOOKUP(B100,'115+040'!$B$11:$AB$112,21,FALSE)</f>
        <v>#REF!</v>
      </c>
      <c r="N100" s="61" t="e">
        <f>VLOOKUP(B100,'115+040'!$B$12:$AB$112,5,FALSE)</f>
        <v>#REF!</v>
      </c>
      <c r="O100" s="60" t="e">
        <f t="shared" si="16"/>
        <v>#REF!</v>
      </c>
      <c r="P100" s="60" t="e">
        <f>VLOOKUP(B100,'115+040'!$B$12:$AB$112,14,FALSE)</f>
        <v>#REF!</v>
      </c>
      <c r="Q100" s="58">
        <f>'115+040'!S98</f>
        <v>0</v>
      </c>
      <c r="R100" s="57">
        <f t="shared" si="21"/>
        <v>286</v>
      </c>
      <c r="S100" s="62" t="e">
        <f>VLOOKUP(B100,'115+040'!$B$11:$AB$112,22,FALSE)</f>
        <v>#REF!</v>
      </c>
      <c r="T100" s="61" t="e">
        <f>VLOOKUP(B100,'115+040'!$B$12:$AB$112,6,FALSE)</f>
        <v>#REF!</v>
      </c>
      <c r="U100" s="60" t="e">
        <f t="shared" si="17"/>
        <v>#REF!</v>
      </c>
      <c r="V100" s="59" t="e">
        <f>VLOOKUP(B100,'115+040'!$B$12:$AB$112,15,FALSE)</f>
        <v>#REF!</v>
      </c>
      <c r="W100" s="58">
        <f>'[4]114+940'!S101</f>
        <v>0</v>
      </c>
      <c r="X100" s="57">
        <f t="shared" si="22"/>
        <v>144</v>
      </c>
      <c r="Y100" s="56" t="e">
        <f t="shared" si="23"/>
        <v>#REF!</v>
      </c>
      <c r="Z100" s="55" t="e">
        <f t="shared" si="24"/>
        <v>#REF!</v>
      </c>
      <c r="AA100" s="54" t="e">
        <f t="shared" si="25"/>
        <v>#REF!</v>
      </c>
      <c r="AB100" s="54" t="e">
        <f t="shared" si="26"/>
        <v>#REF!</v>
      </c>
      <c r="AC100" s="43"/>
      <c r="AD100" s="43"/>
      <c r="AE100" s="43"/>
      <c r="AF100" s="43"/>
    </row>
    <row r="101" spans="1:32" s="68" customFormat="1" ht="15" customHeight="1">
      <c r="A101" s="69"/>
      <c r="B101" s="96" t="e">
        <f>'115+040'!#REF!</f>
        <v>#REF!</v>
      </c>
      <c r="C101" s="66" t="e">
        <f t="shared" si="18"/>
        <v>#REF!</v>
      </c>
      <c r="D101" s="65" t="e">
        <f t="shared" si="19"/>
        <v>#REF!</v>
      </c>
      <c r="E101" s="64" t="e">
        <f>VLOOKUP(B101,'115+040'!B99:AB200,3,FALSE)</f>
        <v>#REF!</v>
      </c>
      <c r="F101" s="61" t="e">
        <f t="shared" si="14"/>
        <v>#REF!</v>
      </c>
      <c r="G101" s="63" t="e">
        <f>VLOOKUP(B101,'115+040'!$B$12:$AB$112,20,FALSE)</f>
        <v>#REF!</v>
      </c>
      <c r="H101" s="63" t="e">
        <f>VLOOKUP(B101,'115+040'!$B$12:$AB$112,4,FALSE)</f>
        <v>#REF!</v>
      </c>
      <c r="I101" s="60" t="e">
        <f t="shared" si="15"/>
        <v>#REF!</v>
      </c>
      <c r="J101" s="60" t="e">
        <f>VLOOKUP(B101,'115+040'!$B$12:$AB$112,13,FALSE)</f>
        <v>#REF!</v>
      </c>
      <c r="K101" s="58">
        <f>'115+040'!R99</f>
        <v>0</v>
      </c>
      <c r="L101" s="57">
        <f t="shared" si="20"/>
        <v>253</v>
      </c>
      <c r="M101" s="62" t="e">
        <f>VLOOKUP(B101,'115+040'!$B$11:$AB$112,21,FALSE)</f>
        <v>#REF!</v>
      </c>
      <c r="N101" s="61" t="e">
        <f>VLOOKUP(B101,'115+040'!$B$12:$AB$112,5,FALSE)</f>
        <v>#REF!</v>
      </c>
      <c r="O101" s="60" t="e">
        <f t="shared" si="16"/>
        <v>#REF!</v>
      </c>
      <c r="P101" s="60" t="e">
        <f>VLOOKUP(B101,'115+040'!$B$12:$AB$112,14,FALSE)</f>
        <v>#REF!</v>
      </c>
      <c r="Q101" s="58">
        <f>'115+040'!S99</f>
        <v>0</v>
      </c>
      <c r="R101" s="57">
        <f t="shared" si="21"/>
        <v>286</v>
      </c>
      <c r="S101" s="62" t="e">
        <f>VLOOKUP(B101,'115+040'!$B$11:$AB$112,22,FALSE)</f>
        <v>#REF!</v>
      </c>
      <c r="T101" s="61" t="e">
        <f>VLOOKUP(B101,'115+040'!$B$12:$AB$112,6,FALSE)</f>
        <v>#REF!</v>
      </c>
      <c r="U101" s="60" t="e">
        <f t="shared" si="17"/>
        <v>#REF!</v>
      </c>
      <c r="V101" s="59" t="e">
        <f>VLOOKUP(B101,'115+040'!$B$12:$AB$112,15,FALSE)</f>
        <v>#REF!</v>
      </c>
      <c r="W101" s="58">
        <f>'[4]114+940'!S102</f>
        <v>0</v>
      </c>
      <c r="X101" s="57">
        <f t="shared" si="22"/>
        <v>144</v>
      </c>
      <c r="Y101" s="56" t="e">
        <f t="shared" si="23"/>
        <v>#REF!</v>
      </c>
      <c r="Z101" s="55" t="e">
        <f t="shared" si="24"/>
        <v>#REF!</v>
      </c>
      <c r="AA101" s="54" t="e">
        <f t="shared" si="25"/>
        <v>#REF!</v>
      </c>
      <c r="AB101" s="54" t="e">
        <f t="shared" si="26"/>
        <v>#REF!</v>
      </c>
      <c r="AC101" s="43"/>
      <c r="AD101" s="43"/>
      <c r="AE101" s="43"/>
      <c r="AF101" s="43"/>
    </row>
    <row r="102" spans="1:32" s="68" customFormat="1" ht="15" customHeight="1">
      <c r="A102" s="69"/>
      <c r="B102" s="96" t="e">
        <f>'115+040'!#REF!</f>
        <v>#REF!</v>
      </c>
      <c r="C102" s="66" t="e">
        <f t="shared" si="18"/>
        <v>#REF!</v>
      </c>
      <c r="D102" s="65" t="e">
        <f t="shared" si="19"/>
        <v>#REF!</v>
      </c>
      <c r="E102" s="64" t="e">
        <f>VLOOKUP(B102,'115+040'!B100:AB201,3,FALSE)</f>
        <v>#REF!</v>
      </c>
      <c r="F102" s="61" t="e">
        <f t="shared" si="14"/>
        <v>#REF!</v>
      </c>
      <c r="G102" s="63" t="e">
        <f>VLOOKUP(B102,'115+040'!$B$12:$AB$112,20,FALSE)</f>
        <v>#REF!</v>
      </c>
      <c r="H102" s="63" t="e">
        <f>VLOOKUP(B102,'115+040'!$B$12:$AB$112,4,FALSE)</f>
        <v>#REF!</v>
      </c>
      <c r="I102" s="60" t="e">
        <f t="shared" si="15"/>
        <v>#REF!</v>
      </c>
      <c r="J102" s="60" t="e">
        <f>VLOOKUP(B102,'115+040'!$B$12:$AB$112,13,FALSE)</f>
        <v>#REF!</v>
      </c>
      <c r="K102" s="58">
        <f>'115+040'!R100</f>
        <v>0</v>
      </c>
      <c r="L102" s="57">
        <f t="shared" si="20"/>
        <v>253</v>
      </c>
      <c r="M102" s="62" t="e">
        <f>VLOOKUP(B102,'115+040'!$B$11:$AB$112,21,FALSE)</f>
        <v>#REF!</v>
      </c>
      <c r="N102" s="61" t="e">
        <f>VLOOKUP(B102,'115+040'!$B$12:$AB$112,5,FALSE)</f>
        <v>#REF!</v>
      </c>
      <c r="O102" s="60" t="e">
        <f t="shared" si="16"/>
        <v>#REF!</v>
      </c>
      <c r="P102" s="60" t="e">
        <f>VLOOKUP(B102,'115+040'!$B$12:$AB$112,14,FALSE)</f>
        <v>#REF!</v>
      </c>
      <c r="Q102" s="58">
        <f>'115+040'!S100</f>
        <v>0</v>
      </c>
      <c r="R102" s="57">
        <f t="shared" si="21"/>
        <v>286</v>
      </c>
      <c r="S102" s="62" t="e">
        <f>VLOOKUP(B102,'115+040'!$B$11:$AB$112,22,FALSE)</f>
        <v>#REF!</v>
      </c>
      <c r="T102" s="61" t="e">
        <f>VLOOKUP(B102,'115+040'!$B$12:$AB$112,6,FALSE)</f>
        <v>#REF!</v>
      </c>
      <c r="U102" s="60" t="e">
        <f t="shared" si="17"/>
        <v>#REF!</v>
      </c>
      <c r="V102" s="59" t="e">
        <f>VLOOKUP(B102,'115+040'!$B$12:$AB$112,15,FALSE)</f>
        <v>#REF!</v>
      </c>
      <c r="W102" s="58">
        <f>'[4]114+940'!S103</f>
        <v>0</v>
      </c>
      <c r="X102" s="57">
        <f t="shared" si="22"/>
        <v>144</v>
      </c>
      <c r="Y102" s="56" t="e">
        <f t="shared" si="23"/>
        <v>#REF!</v>
      </c>
      <c r="Z102" s="55" t="e">
        <f t="shared" si="24"/>
        <v>#REF!</v>
      </c>
      <c r="AA102" s="54" t="e">
        <f t="shared" si="25"/>
        <v>#REF!</v>
      </c>
      <c r="AB102" s="54" t="e">
        <f t="shared" si="26"/>
        <v>#REF!</v>
      </c>
      <c r="AC102" s="43"/>
      <c r="AD102" s="43"/>
      <c r="AE102" s="43"/>
      <c r="AF102" s="43"/>
    </row>
    <row r="103" spans="1:32" s="68" customFormat="1" ht="15" customHeight="1">
      <c r="A103" s="69"/>
      <c r="B103" s="96" t="e">
        <f>'115+040'!#REF!</f>
        <v>#REF!</v>
      </c>
      <c r="C103" s="66" t="e">
        <f t="shared" si="18"/>
        <v>#REF!</v>
      </c>
      <c r="D103" s="65" t="e">
        <f t="shared" si="19"/>
        <v>#REF!</v>
      </c>
      <c r="E103" s="64" t="e">
        <f>VLOOKUP(B103,'115+040'!B101:AB202,3,FALSE)</f>
        <v>#REF!</v>
      </c>
      <c r="F103" s="61" t="e">
        <f t="shared" si="14"/>
        <v>#REF!</v>
      </c>
      <c r="G103" s="63" t="e">
        <f>VLOOKUP(B103,'115+040'!$B$12:$AB$112,20,FALSE)</f>
        <v>#REF!</v>
      </c>
      <c r="H103" s="63" t="e">
        <f>VLOOKUP(B103,'115+040'!$B$12:$AB$112,4,FALSE)</f>
        <v>#REF!</v>
      </c>
      <c r="I103" s="60" t="e">
        <f t="shared" si="15"/>
        <v>#REF!</v>
      </c>
      <c r="J103" s="60" t="e">
        <f>VLOOKUP(B103,'115+040'!$B$12:$AB$112,13,FALSE)</f>
        <v>#REF!</v>
      </c>
      <c r="K103" s="58">
        <f>'115+040'!R101</f>
        <v>0</v>
      </c>
      <c r="L103" s="57">
        <f t="shared" si="20"/>
        <v>253</v>
      </c>
      <c r="M103" s="62" t="e">
        <f>VLOOKUP(B103,'115+040'!$B$11:$AB$112,21,FALSE)</f>
        <v>#REF!</v>
      </c>
      <c r="N103" s="61" t="e">
        <f>VLOOKUP(B103,'115+040'!$B$12:$AB$112,5,FALSE)</f>
        <v>#REF!</v>
      </c>
      <c r="O103" s="60" t="e">
        <f t="shared" si="16"/>
        <v>#REF!</v>
      </c>
      <c r="P103" s="60" t="e">
        <f>VLOOKUP(B103,'115+040'!$B$12:$AB$112,14,FALSE)</f>
        <v>#REF!</v>
      </c>
      <c r="Q103" s="58">
        <f>'115+040'!S101</f>
        <v>0</v>
      </c>
      <c r="R103" s="57">
        <f t="shared" si="21"/>
        <v>286</v>
      </c>
      <c r="S103" s="62" t="e">
        <f>VLOOKUP(B103,'115+040'!$B$11:$AB$112,22,FALSE)</f>
        <v>#REF!</v>
      </c>
      <c r="T103" s="61" t="e">
        <f>VLOOKUP(B103,'115+040'!$B$12:$AB$112,6,FALSE)</f>
        <v>#REF!</v>
      </c>
      <c r="U103" s="60" t="e">
        <f t="shared" si="17"/>
        <v>#REF!</v>
      </c>
      <c r="V103" s="59" t="e">
        <f>VLOOKUP(B103,'115+040'!$B$12:$AB$112,15,FALSE)</f>
        <v>#REF!</v>
      </c>
      <c r="W103" s="58">
        <f>'[4]114+940'!S104</f>
        <v>0</v>
      </c>
      <c r="X103" s="57">
        <f t="shared" si="22"/>
        <v>144</v>
      </c>
      <c r="Y103" s="56" t="e">
        <f t="shared" si="23"/>
        <v>#REF!</v>
      </c>
      <c r="Z103" s="55" t="e">
        <f t="shared" si="24"/>
        <v>#REF!</v>
      </c>
      <c r="AA103" s="54" t="e">
        <f t="shared" si="25"/>
        <v>#REF!</v>
      </c>
      <c r="AB103" s="54" t="e">
        <f t="shared" si="26"/>
        <v>#REF!</v>
      </c>
      <c r="AC103" s="43"/>
      <c r="AD103" s="43"/>
      <c r="AE103" s="43"/>
      <c r="AF103" s="43"/>
    </row>
    <row r="104" spans="1:32" s="68" customFormat="1" ht="15" customHeight="1">
      <c r="A104" s="69"/>
      <c r="B104" s="96" t="e">
        <f>'115+040'!#REF!</f>
        <v>#REF!</v>
      </c>
      <c r="C104" s="66" t="e">
        <f t="shared" si="18"/>
        <v>#REF!</v>
      </c>
      <c r="D104" s="65" t="e">
        <f t="shared" si="19"/>
        <v>#REF!</v>
      </c>
      <c r="E104" s="64" t="e">
        <f>VLOOKUP(B104,'115+040'!B102:AB203,3,FALSE)</f>
        <v>#REF!</v>
      </c>
      <c r="F104" s="61" t="e">
        <f t="shared" si="14"/>
        <v>#REF!</v>
      </c>
      <c r="G104" s="63" t="e">
        <f>VLOOKUP(B104,'115+040'!$B$12:$AB$112,20,FALSE)</f>
        <v>#REF!</v>
      </c>
      <c r="H104" s="63" t="e">
        <f>VLOOKUP(B104,'115+040'!$B$12:$AB$112,4,FALSE)</f>
        <v>#REF!</v>
      </c>
      <c r="I104" s="60" t="e">
        <f t="shared" si="15"/>
        <v>#REF!</v>
      </c>
      <c r="J104" s="60" t="e">
        <f>VLOOKUP(B104,'115+040'!$B$12:$AB$112,13,FALSE)</f>
        <v>#REF!</v>
      </c>
      <c r="K104" s="58">
        <f>'115+040'!R102</f>
        <v>0</v>
      </c>
      <c r="L104" s="57">
        <f t="shared" si="20"/>
        <v>253</v>
      </c>
      <c r="M104" s="62" t="e">
        <f>VLOOKUP(B104,'115+040'!$B$11:$AB$112,21,FALSE)</f>
        <v>#REF!</v>
      </c>
      <c r="N104" s="61" t="e">
        <f>VLOOKUP(B104,'115+040'!$B$12:$AB$112,5,FALSE)</f>
        <v>#REF!</v>
      </c>
      <c r="O104" s="60" t="e">
        <f t="shared" si="16"/>
        <v>#REF!</v>
      </c>
      <c r="P104" s="60" t="e">
        <f>VLOOKUP(B104,'115+040'!$B$12:$AB$112,14,FALSE)</f>
        <v>#REF!</v>
      </c>
      <c r="Q104" s="58">
        <f>'115+040'!S102</f>
        <v>0</v>
      </c>
      <c r="R104" s="57">
        <f t="shared" si="21"/>
        <v>286</v>
      </c>
      <c r="S104" s="62" t="e">
        <f>VLOOKUP(B104,'115+040'!$B$11:$AB$112,22,FALSE)</f>
        <v>#REF!</v>
      </c>
      <c r="T104" s="61" t="e">
        <f>VLOOKUP(B104,'115+040'!$B$12:$AB$112,6,FALSE)</f>
        <v>#REF!</v>
      </c>
      <c r="U104" s="60" t="e">
        <f t="shared" si="17"/>
        <v>#REF!</v>
      </c>
      <c r="V104" s="59" t="e">
        <f>VLOOKUP(B104,'115+040'!$B$12:$AB$112,15,FALSE)</f>
        <v>#REF!</v>
      </c>
      <c r="W104" s="58">
        <f>'[4]114+940'!S105</f>
        <v>0</v>
      </c>
      <c r="X104" s="57">
        <f t="shared" si="22"/>
        <v>144</v>
      </c>
      <c r="Y104" s="56" t="e">
        <f t="shared" si="23"/>
        <v>#REF!</v>
      </c>
      <c r="Z104" s="55" t="e">
        <f t="shared" si="24"/>
        <v>#REF!</v>
      </c>
      <c r="AA104" s="54" t="e">
        <f t="shared" si="25"/>
        <v>#REF!</v>
      </c>
      <c r="AB104" s="54" t="e">
        <f t="shared" si="26"/>
        <v>#REF!</v>
      </c>
      <c r="AC104" s="43"/>
      <c r="AD104" s="43"/>
      <c r="AE104" s="43"/>
      <c r="AF104" s="43"/>
    </row>
    <row r="105" spans="1:32" s="68" customFormat="1" ht="15" customHeight="1">
      <c r="A105" s="69"/>
      <c r="B105" s="96" t="e">
        <f>'115+040'!#REF!</f>
        <v>#REF!</v>
      </c>
      <c r="C105" s="66" t="e">
        <f t="shared" si="18"/>
        <v>#REF!</v>
      </c>
      <c r="D105" s="65" t="e">
        <f t="shared" si="19"/>
        <v>#REF!</v>
      </c>
      <c r="E105" s="64" t="e">
        <f>VLOOKUP(B105,'115+040'!B103:AB204,3,FALSE)</f>
        <v>#REF!</v>
      </c>
      <c r="F105" s="61" t="e">
        <f t="shared" si="14"/>
        <v>#REF!</v>
      </c>
      <c r="G105" s="63" t="e">
        <f>VLOOKUP(B105,'115+040'!$B$12:$AB$112,20,FALSE)</f>
        <v>#REF!</v>
      </c>
      <c r="H105" s="63" t="e">
        <f>VLOOKUP(B105,'115+040'!$B$12:$AB$112,4,FALSE)</f>
        <v>#REF!</v>
      </c>
      <c r="I105" s="60" t="e">
        <f t="shared" si="15"/>
        <v>#REF!</v>
      </c>
      <c r="J105" s="60" t="e">
        <f>VLOOKUP(B105,'115+040'!$B$12:$AB$112,13,FALSE)</f>
        <v>#REF!</v>
      </c>
      <c r="K105" s="58">
        <f>'115+040'!R103</f>
        <v>0</v>
      </c>
      <c r="L105" s="57">
        <f t="shared" si="20"/>
        <v>253</v>
      </c>
      <c r="M105" s="62" t="e">
        <f>VLOOKUP(B105,'115+040'!$B$11:$AB$112,21,FALSE)</f>
        <v>#REF!</v>
      </c>
      <c r="N105" s="61" t="e">
        <f>VLOOKUP(B105,'115+040'!$B$12:$AB$112,5,FALSE)</f>
        <v>#REF!</v>
      </c>
      <c r="O105" s="60" t="e">
        <f t="shared" si="16"/>
        <v>#REF!</v>
      </c>
      <c r="P105" s="60" t="e">
        <f>VLOOKUP(B105,'115+040'!$B$12:$AB$112,14,FALSE)</f>
        <v>#REF!</v>
      </c>
      <c r="Q105" s="58">
        <f>'115+040'!S103</f>
        <v>0</v>
      </c>
      <c r="R105" s="57">
        <f t="shared" si="21"/>
        <v>286</v>
      </c>
      <c r="S105" s="62" t="e">
        <f>VLOOKUP(B105,'115+040'!$B$11:$AB$112,22,FALSE)</f>
        <v>#REF!</v>
      </c>
      <c r="T105" s="61" t="e">
        <f>VLOOKUP(B105,'115+040'!$B$12:$AB$112,6,FALSE)</f>
        <v>#REF!</v>
      </c>
      <c r="U105" s="60" t="e">
        <f t="shared" si="17"/>
        <v>#REF!</v>
      </c>
      <c r="V105" s="59" t="e">
        <f>VLOOKUP(B105,'115+040'!$B$12:$AB$112,15,FALSE)</f>
        <v>#REF!</v>
      </c>
      <c r="W105" s="58">
        <f>'[4]114+940'!S106</f>
        <v>0</v>
      </c>
      <c r="X105" s="57">
        <f t="shared" si="22"/>
        <v>144</v>
      </c>
      <c r="Y105" s="56" t="e">
        <f t="shared" si="23"/>
        <v>#REF!</v>
      </c>
      <c r="Z105" s="55" t="e">
        <f t="shared" si="24"/>
        <v>#REF!</v>
      </c>
      <c r="AA105" s="54" t="e">
        <f t="shared" si="25"/>
        <v>#REF!</v>
      </c>
      <c r="AB105" s="54" t="e">
        <f t="shared" si="26"/>
        <v>#REF!</v>
      </c>
      <c r="AC105" s="43"/>
      <c r="AD105" s="43"/>
      <c r="AE105" s="43"/>
      <c r="AF105" s="43"/>
    </row>
    <row r="106" spans="1:32" s="68" customFormat="1" ht="15" customHeight="1">
      <c r="A106" s="69"/>
      <c r="B106" s="96" t="e">
        <f>'115+040'!#REF!</f>
        <v>#REF!</v>
      </c>
      <c r="C106" s="66" t="e">
        <f t="shared" si="18"/>
        <v>#REF!</v>
      </c>
      <c r="D106" s="65" t="e">
        <f t="shared" si="19"/>
        <v>#REF!</v>
      </c>
      <c r="E106" s="64" t="e">
        <f>VLOOKUP(B106,'115+040'!B104:AB205,3,FALSE)</f>
        <v>#REF!</v>
      </c>
      <c r="F106" s="61" t="e">
        <f t="shared" si="14"/>
        <v>#REF!</v>
      </c>
      <c r="G106" s="63" t="e">
        <f>VLOOKUP(B106,'115+040'!$B$12:$AB$112,20,FALSE)</f>
        <v>#REF!</v>
      </c>
      <c r="H106" s="63" t="e">
        <f>VLOOKUP(B106,'115+040'!$B$12:$AB$112,4,FALSE)</f>
        <v>#REF!</v>
      </c>
      <c r="I106" s="60" t="e">
        <f t="shared" si="15"/>
        <v>#REF!</v>
      </c>
      <c r="J106" s="60" t="e">
        <f>VLOOKUP(B106,'115+040'!$B$12:$AB$112,13,FALSE)</f>
        <v>#REF!</v>
      </c>
      <c r="K106" s="58">
        <f>'115+040'!R104</f>
        <v>0</v>
      </c>
      <c r="L106" s="57">
        <f t="shared" si="20"/>
        <v>253</v>
      </c>
      <c r="M106" s="62" t="e">
        <f>VLOOKUP(B106,'115+040'!$B$11:$AB$112,21,FALSE)</f>
        <v>#REF!</v>
      </c>
      <c r="N106" s="61" t="e">
        <f>VLOOKUP(B106,'115+040'!$B$12:$AB$112,5,FALSE)</f>
        <v>#REF!</v>
      </c>
      <c r="O106" s="60" t="e">
        <f t="shared" si="16"/>
        <v>#REF!</v>
      </c>
      <c r="P106" s="60" t="e">
        <f>VLOOKUP(B106,'115+040'!$B$12:$AB$112,14,FALSE)</f>
        <v>#REF!</v>
      </c>
      <c r="Q106" s="58">
        <f>'115+040'!S104</f>
        <v>0</v>
      </c>
      <c r="R106" s="57">
        <f t="shared" si="21"/>
        <v>286</v>
      </c>
      <c r="S106" s="62" t="e">
        <f>VLOOKUP(B106,'115+040'!$B$11:$AB$112,22,FALSE)</f>
        <v>#REF!</v>
      </c>
      <c r="T106" s="61" t="e">
        <f>VLOOKUP(B106,'115+040'!$B$12:$AB$112,6,FALSE)</f>
        <v>#REF!</v>
      </c>
      <c r="U106" s="60" t="e">
        <f t="shared" si="17"/>
        <v>#REF!</v>
      </c>
      <c r="V106" s="59" t="e">
        <f>VLOOKUP(B106,'115+040'!$B$12:$AB$112,15,FALSE)</f>
        <v>#REF!</v>
      </c>
      <c r="W106" s="58">
        <f>'[4]114+940'!S107</f>
        <v>0</v>
      </c>
      <c r="X106" s="57">
        <f t="shared" si="22"/>
        <v>144</v>
      </c>
      <c r="Y106" s="56" t="e">
        <f t="shared" si="23"/>
        <v>#REF!</v>
      </c>
      <c r="Z106" s="55" t="e">
        <f t="shared" si="24"/>
        <v>#REF!</v>
      </c>
      <c r="AA106" s="54" t="e">
        <f t="shared" si="25"/>
        <v>#REF!</v>
      </c>
      <c r="AB106" s="54" t="e">
        <f t="shared" si="26"/>
        <v>#REF!</v>
      </c>
      <c r="AC106" s="43"/>
      <c r="AD106" s="43"/>
      <c r="AE106" s="43"/>
      <c r="AF106" s="43"/>
    </row>
    <row r="107" spans="1:32" s="68" customFormat="1" ht="15" customHeight="1">
      <c r="A107" s="69"/>
      <c r="B107" s="96" t="e">
        <f>'115+040'!#REF!</f>
        <v>#REF!</v>
      </c>
      <c r="C107" s="66" t="e">
        <f t="shared" si="18"/>
        <v>#REF!</v>
      </c>
      <c r="D107" s="65" t="e">
        <f t="shared" si="19"/>
        <v>#REF!</v>
      </c>
      <c r="E107" s="64" t="e">
        <f>VLOOKUP(B107,'115+040'!B105:AB206,3,FALSE)</f>
        <v>#REF!</v>
      </c>
      <c r="F107" s="61" t="e">
        <f t="shared" si="14"/>
        <v>#REF!</v>
      </c>
      <c r="G107" s="63" t="e">
        <f>VLOOKUP(B107,'115+040'!$B$12:$AB$112,20,FALSE)</f>
        <v>#REF!</v>
      </c>
      <c r="H107" s="63" t="e">
        <f>VLOOKUP(B107,'115+040'!$B$12:$AB$112,4,FALSE)</f>
        <v>#REF!</v>
      </c>
      <c r="I107" s="60" t="e">
        <f t="shared" si="15"/>
        <v>#REF!</v>
      </c>
      <c r="J107" s="60" t="e">
        <f>VLOOKUP(B107,'115+040'!$B$12:$AB$112,13,FALSE)</f>
        <v>#REF!</v>
      </c>
      <c r="K107" s="58">
        <f>'115+040'!R105</f>
        <v>0</v>
      </c>
      <c r="L107" s="57">
        <f t="shared" si="20"/>
        <v>253</v>
      </c>
      <c r="M107" s="62" t="e">
        <f>VLOOKUP(B107,'115+040'!$B$11:$AB$112,21,FALSE)</f>
        <v>#REF!</v>
      </c>
      <c r="N107" s="61" t="e">
        <f>VLOOKUP(B107,'115+040'!$B$12:$AB$112,5,FALSE)</f>
        <v>#REF!</v>
      </c>
      <c r="O107" s="60" t="e">
        <f t="shared" si="16"/>
        <v>#REF!</v>
      </c>
      <c r="P107" s="60" t="e">
        <f>VLOOKUP(B107,'115+040'!$B$12:$AB$112,14,FALSE)</f>
        <v>#REF!</v>
      </c>
      <c r="Q107" s="58">
        <f>'115+040'!S105</f>
        <v>0</v>
      </c>
      <c r="R107" s="57">
        <f t="shared" si="21"/>
        <v>286</v>
      </c>
      <c r="S107" s="62" t="e">
        <f>VLOOKUP(B107,'115+040'!$B$11:$AB$112,22,FALSE)</f>
        <v>#REF!</v>
      </c>
      <c r="T107" s="61" t="e">
        <f>VLOOKUP(B107,'115+040'!$B$12:$AB$112,6,FALSE)</f>
        <v>#REF!</v>
      </c>
      <c r="U107" s="60" t="e">
        <f t="shared" si="17"/>
        <v>#REF!</v>
      </c>
      <c r="V107" s="59" t="e">
        <f>VLOOKUP(B107,'115+040'!$B$12:$AB$112,15,FALSE)</f>
        <v>#REF!</v>
      </c>
      <c r="W107" s="58">
        <f>'[4]114+940'!S108</f>
        <v>0</v>
      </c>
      <c r="X107" s="57">
        <f t="shared" si="22"/>
        <v>144</v>
      </c>
      <c r="Y107" s="56" t="e">
        <f t="shared" si="23"/>
        <v>#REF!</v>
      </c>
      <c r="Z107" s="55" t="e">
        <f t="shared" si="24"/>
        <v>#REF!</v>
      </c>
      <c r="AA107" s="54" t="e">
        <f t="shared" si="25"/>
        <v>#REF!</v>
      </c>
      <c r="AB107" s="54" t="e">
        <f t="shared" si="26"/>
        <v>#REF!</v>
      </c>
      <c r="AC107" s="43"/>
      <c r="AD107" s="43"/>
      <c r="AE107" s="43"/>
      <c r="AF107" s="43"/>
    </row>
    <row r="108" spans="1:32" s="68" customFormat="1" ht="15" customHeight="1">
      <c r="A108" s="69"/>
      <c r="B108" s="96" t="e">
        <f>'115+040'!#REF!</f>
        <v>#REF!</v>
      </c>
      <c r="C108" s="66" t="e">
        <f t="shared" si="18"/>
        <v>#REF!</v>
      </c>
      <c r="D108" s="65" t="e">
        <f t="shared" si="19"/>
        <v>#REF!</v>
      </c>
      <c r="E108" s="64" t="e">
        <f>VLOOKUP(B108,'115+040'!B106:AB207,3,FALSE)</f>
        <v>#REF!</v>
      </c>
      <c r="F108" s="61" t="e">
        <f t="shared" si="14"/>
        <v>#REF!</v>
      </c>
      <c r="G108" s="63" t="e">
        <f>VLOOKUP(B108,'115+040'!$B$12:$AB$112,20,FALSE)</f>
        <v>#REF!</v>
      </c>
      <c r="H108" s="63" t="e">
        <f>VLOOKUP(B108,'115+040'!$B$12:$AB$112,4,FALSE)</f>
        <v>#REF!</v>
      </c>
      <c r="I108" s="60" t="e">
        <f t="shared" si="15"/>
        <v>#REF!</v>
      </c>
      <c r="J108" s="60" t="e">
        <f>VLOOKUP(B108,'115+040'!$B$12:$AB$112,13,FALSE)</f>
        <v>#REF!</v>
      </c>
      <c r="K108" s="58">
        <f>'115+040'!R106</f>
        <v>0</v>
      </c>
      <c r="L108" s="57">
        <f t="shared" si="20"/>
        <v>253</v>
      </c>
      <c r="M108" s="62" t="e">
        <f>VLOOKUP(B108,'115+040'!$B$11:$AB$112,21,FALSE)</f>
        <v>#REF!</v>
      </c>
      <c r="N108" s="61" t="e">
        <f>VLOOKUP(B108,'115+040'!$B$12:$AB$112,5,FALSE)</f>
        <v>#REF!</v>
      </c>
      <c r="O108" s="60" t="e">
        <f t="shared" si="16"/>
        <v>#REF!</v>
      </c>
      <c r="P108" s="60" t="e">
        <f>VLOOKUP(B108,'115+040'!$B$12:$AB$112,14,FALSE)</f>
        <v>#REF!</v>
      </c>
      <c r="Q108" s="58">
        <f>'115+040'!S106</f>
        <v>0</v>
      </c>
      <c r="R108" s="57">
        <f t="shared" si="21"/>
        <v>286</v>
      </c>
      <c r="S108" s="62" t="e">
        <f>VLOOKUP(B108,'115+040'!$B$11:$AB$112,22,FALSE)</f>
        <v>#REF!</v>
      </c>
      <c r="T108" s="61" t="e">
        <f>VLOOKUP(B108,'115+040'!$B$12:$AB$112,6,FALSE)</f>
        <v>#REF!</v>
      </c>
      <c r="U108" s="60" t="e">
        <f t="shared" si="17"/>
        <v>#REF!</v>
      </c>
      <c r="V108" s="59" t="e">
        <f>VLOOKUP(B108,'115+040'!$B$12:$AB$112,15,FALSE)</f>
        <v>#REF!</v>
      </c>
      <c r="W108" s="58">
        <f>'[4]114+940'!S109</f>
        <v>0</v>
      </c>
      <c r="X108" s="57">
        <f t="shared" si="22"/>
        <v>144</v>
      </c>
      <c r="Y108" s="56" t="e">
        <f t="shared" si="23"/>
        <v>#REF!</v>
      </c>
      <c r="Z108" s="55" t="e">
        <f t="shared" si="24"/>
        <v>#REF!</v>
      </c>
      <c r="AA108" s="54" t="e">
        <f t="shared" si="25"/>
        <v>#REF!</v>
      </c>
      <c r="AB108" s="54" t="e">
        <f t="shared" si="26"/>
        <v>#REF!</v>
      </c>
      <c r="AC108" s="43"/>
      <c r="AD108" s="43"/>
      <c r="AE108" s="43"/>
      <c r="AF108" s="43"/>
    </row>
    <row r="109" spans="1:32" s="68" customFormat="1" ht="15" customHeight="1">
      <c r="A109" s="69"/>
      <c r="B109" s="96" t="e">
        <f>'115+040'!#REF!</f>
        <v>#REF!</v>
      </c>
      <c r="C109" s="66" t="e">
        <f t="shared" si="18"/>
        <v>#REF!</v>
      </c>
      <c r="D109" s="65" t="e">
        <f t="shared" si="19"/>
        <v>#REF!</v>
      </c>
      <c r="E109" s="64" t="e">
        <f>VLOOKUP(B109,'115+040'!B107:AB208,3,FALSE)</f>
        <v>#REF!</v>
      </c>
      <c r="F109" s="61" t="e">
        <f t="shared" si="14"/>
        <v>#REF!</v>
      </c>
      <c r="G109" s="63" t="e">
        <f>VLOOKUP(B109,'115+040'!$B$12:$AB$112,20,FALSE)</f>
        <v>#REF!</v>
      </c>
      <c r="H109" s="63" t="e">
        <f>VLOOKUP(B109,'115+040'!$B$12:$AB$112,4,FALSE)</f>
        <v>#REF!</v>
      </c>
      <c r="I109" s="60" t="e">
        <f t="shared" si="15"/>
        <v>#REF!</v>
      </c>
      <c r="J109" s="60" t="e">
        <f>VLOOKUP(B109,'115+040'!$B$12:$AB$112,13,FALSE)</f>
        <v>#REF!</v>
      </c>
      <c r="K109" s="58">
        <f>'115+040'!R107</f>
        <v>0</v>
      </c>
      <c r="L109" s="57">
        <f t="shared" si="20"/>
        <v>253</v>
      </c>
      <c r="M109" s="62" t="e">
        <f>VLOOKUP(B109,'115+040'!$B$11:$AB$112,21,FALSE)</f>
        <v>#REF!</v>
      </c>
      <c r="N109" s="61" t="e">
        <f>VLOOKUP(B109,'115+040'!$B$12:$AB$112,5,FALSE)</f>
        <v>#REF!</v>
      </c>
      <c r="O109" s="60" t="e">
        <f t="shared" si="16"/>
        <v>#REF!</v>
      </c>
      <c r="P109" s="60" t="e">
        <f>VLOOKUP(B109,'115+040'!$B$12:$AB$112,14,FALSE)</f>
        <v>#REF!</v>
      </c>
      <c r="Q109" s="58">
        <f>'115+040'!S107</f>
        <v>0</v>
      </c>
      <c r="R109" s="57">
        <f t="shared" si="21"/>
        <v>286</v>
      </c>
      <c r="S109" s="62" t="e">
        <f>VLOOKUP(B109,'115+040'!$B$11:$AB$112,22,FALSE)</f>
        <v>#REF!</v>
      </c>
      <c r="T109" s="61" t="e">
        <f>VLOOKUP(B109,'115+040'!$B$12:$AB$112,6,FALSE)</f>
        <v>#REF!</v>
      </c>
      <c r="U109" s="60" t="e">
        <f t="shared" si="17"/>
        <v>#REF!</v>
      </c>
      <c r="V109" s="59" t="e">
        <f>VLOOKUP(B109,'115+040'!$B$12:$AB$112,15,FALSE)</f>
        <v>#REF!</v>
      </c>
      <c r="W109" s="58">
        <f>'[4]114+940'!S110</f>
        <v>0</v>
      </c>
      <c r="X109" s="57">
        <f t="shared" si="22"/>
        <v>144</v>
      </c>
      <c r="Y109" s="56" t="e">
        <f t="shared" si="23"/>
        <v>#REF!</v>
      </c>
      <c r="Z109" s="55" t="e">
        <f t="shared" si="24"/>
        <v>#REF!</v>
      </c>
      <c r="AA109" s="54" t="e">
        <f t="shared" si="25"/>
        <v>#REF!</v>
      </c>
      <c r="AB109" s="54" t="e">
        <f t="shared" si="26"/>
        <v>#REF!</v>
      </c>
      <c r="AC109" s="43"/>
      <c r="AD109" s="43"/>
      <c r="AE109" s="43"/>
      <c r="AF109" s="43"/>
    </row>
    <row r="110" spans="1:32" s="68" customFormat="1" ht="15" customHeight="1">
      <c r="A110" s="69"/>
      <c r="B110" s="96" t="e">
        <f>'115+040'!#REF!</f>
        <v>#REF!</v>
      </c>
      <c r="C110" s="66" t="e">
        <f t="shared" si="18"/>
        <v>#REF!</v>
      </c>
      <c r="D110" s="65" t="e">
        <f t="shared" si="19"/>
        <v>#REF!</v>
      </c>
      <c r="E110" s="64" t="e">
        <f>VLOOKUP(B110,'115+040'!B108:AB209,3,FALSE)</f>
        <v>#REF!</v>
      </c>
      <c r="F110" s="61" t="e">
        <f t="shared" si="14"/>
        <v>#REF!</v>
      </c>
      <c r="G110" s="63" t="e">
        <f>VLOOKUP(B110,'115+040'!$B$12:$AB$112,20,FALSE)</f>
        <v>#REF!</v>
      </c>
      <c r="H110" s="63" t="e">
        <f>VLOOKUP(B110,'115+040'!$B$12:$AB$112,4,FALSE)</f>
        <v>#REF!</v>
      </c>
      <c r="I110" s="60" t="e">
        <f t="shared" si="15"/>
        <v>#REF!</v>
      </c>
      <c r="J110" s="60" t="e">
        <f>VLOOKUP(B110,'115+040'!$B$12:$AB$112,13,FALSE)</f>
        <v>#REF!</v>
      </c>
      <c r="K110" s="58">
        <f>'115+040'!R108</f>
        <v>0</v>
      </c>
      <c r="L110" s="57">
        <f t="shared" si="20"/>
        <v>253</v>
      </c>
      <c r="M110" s="62" t="e">
        <f>VLOOKUP(B110,'115+040'!$B$11:$AB$112,21,FALSE)</f>
        <v>#REF!</v>
      </c>
      <c r="N110" s="61" t="e">
        <f>VLOOKUP(B110,'115+040'!$B$12:$AB$112,5,FALSE)</f>
        <v>#REF!</v>
      </c>
      <c r="O110" s="60" t="e">
        <f t="shared" si="16"/>
        <v>#REF!</v>
      </c>
      <c r="P110" s="60" t="e">
        <f>VLOOKUP(B110,'115+040'!$B$12:$AB$112,14,FALSE)</f>
        <v>#REF!</v>
      </c>
      <c r="Q110" s="58">
        <f>'115+040'!S108</f>
        <v>0</v>
      </c>
      <c r="R110" s="57">
        <f t="shared" si="21"/>
        <v>286</v>
      </c>
      <c r="S110" s="62" t="e">
        <f>VLOOKUP(B110,'115+040'!$B$11:$AB$112,22,FALSE)</f>
        <v>#REF!</v>
      </c>
      <c r="T110" s="61" t="e">
        <f>VLOOKUP(B110,'115+040'!$B$12:$AB$112,6,FALSE)</f>
        <v>#REF!</v>
      </c>
      <c r="U110" s="60" t="e">
        <f t="shared" si="17"/>
        <v>#REF!</v>
      </c>
      <c r="V110" s="59" t="e">
        <f>VLOOKUP(B110,'115+040'!$B$12:$AB$112,15,FALSE)</f>
        <v>#REF!</v>
      </c>
      <c r="W110" s="58">
        <f>'[4]114+940'!S111</f>
        <v>0</v>
      </c>
      <c r="X110" s="57">
        <f t="shared" si="22"/>
        <v>144</v>
      </c>
      <c r="Y110" s="56" t="e">
        <f t="shared" si="23"/>
        <v>#REF!</v>
      </c>
      <c r="Z110" s="55" t="e">
        <f t="shared" si="24"/>
        <v>#REF!</v>
      </c>
      <c r="AA110" s="54" t="e">
        <f t="shared" si="25"/>
        <v>#REF!</v>
      </c>
      <c r="AB110" s="54" t="e">
        <f t="shared" si="26"/>
        <v>#REF!</v>
      </c>
      <c r="AC110" s="43"/>
      <c r="AD110" s="43"/>
      <c r="AE110" s="43"/>
      <c r="AF110" s="43"/>
    </row>
    <row r="111" spans="1:32" s="68" customFormat="1" ht="15" customHeight="1">
      <c r="A111" s="69"/>
      <c r="B111" s="96" t="e">
        <f>'115+040'!#REF!</f>
        <v>#REF!</v>
      </c>
      <c r="C111" s="66" t="e">
        <f t="shared" si="18"/>
        <v>#REF!</v>
      </c>
      <c r="D111" s="65" t="e">
        <f t="shared" si="19"/>
        <v>#REF!</v>
      </c>
      <c r="E111" s="64" t="e">
        <f>VLOOKUP(B111,'115+040'!B109:AB210,3,FALSE)</f>
        <v>#REF!</v>
      </c>
      <c r="F111" s="61" t="e">
        <f t="shared" si="14"/>
        <v>#REF!</v>
      </c>
      <c r="G111" s="63" t="e">
        <f>VLOOKUP(B111,'115+040'!$B$12:$AB$112,20,FALSE)</f>
        <v>#REF!</v>
      </c>
      <c r="H111" s="63" t="e">
        <f>VLOOKUP(B111,'115+040'!$B$12:$AB$112,4,FALSE)</f>
        <v>#REF!</v>
      </c>
      <c r="I111" s="60" t="e">
        <f t="shared" si="15"/>
        <v>#REF!</v>
      </c>
      <c r="J111" s="60" t="e">
        <f>VLOOKUP(B111,'115+040'!$B$12:$AB$112,13,FALSE)</f>
        <v>#REF!</v>
      </c>
      <c r="K111" s="58">
        <f>'115+040'!R109</f>
        <v>0</v>
      </c>
      <c r="L111" s="57">
        <f t="shared" si="20"/>
        <v>253</v>
      </c>
      <c r="M111" s="62" t="e">
        <f>VLOOKUP(B111,'115+040'!$B$11:$AB$112,21,FALSE)</f>
        <v>#REF!</v>
      </c>
      <c r="N111" s="61" t="e">
        <f>VLOOKUP(B111,'115+040'!$B$12:$AB$112,5,FALSE)</f>
        <v>#REF!</v>
      </c>
      <c r="O111" s="60" t="e">
        <f t="shared" si="16"/>
        <v>#REF!</v>
      </c>
      <c r="P111" s="60" t="e">
        <f>VLOOKUP(B111,'115+040'!$B$12:$AB$112,14,FALSE)</f>
        <v>#REF!</v>
      </c>
      <c r="Q111" s="58">
        <f>'115+040'!S109</f>
        <v>0</v>
      </c>
      <c r="R111" s="57">
        <f t="shared" si="21"/>
        <v>286</v>
      </c>
      <c r="S111" s="62" t="e">
        <f>VLOOKUP(B111,'115+040'!$B$11:$AB$112,22,FALSE)</f>
        <v>#REF!</v>
      </c>
      <c r="T111" s="61" t="e">
        <f>VLOOKUP(B111,'115+040'!$B$12:$AB$112,6,FALSE)</f>
        <v>#REF!</v>
      </c>
      <c r="U111" s="60" t="e">
        <f t="shared" si="17"/>
        <v>#REF!</v>
      </c>
      <c r="V111" s="59" t="e">
        <f>VLOOKUP(B111,'115+040'!$B$12:$AB$112,15,FALSE)</f>
        <v>#REF!</v>
      </c>
      <c r="W111" s="58">
        <f>'[4]114+940'!S112</f>
        <v>0</v>
      </c>
      <c r="X111" s="57">
        <f t="shared" si="22"/>
        <v>144</v>
      </c>
      <c r="Y111" s="56" t="e">
        <f t="shared" si="23"/>
        <v>#REF!</v>
      </c>
      <c r="Z111" s="55" t="e">
        <f t="shared" si="24"/>
        <v>#REF!</v>
      </c>
      <c r="AA111" s="54" t="e">
        <f t="shared" si="25"/>
        <v>#REF!</v>
      </c>
      <c r="AB111" s="54" t="e">
        <f t="shared" si="26"/>
        <v>#REF!</v>
      </c>
      <c r="AC111" s="43"/>
      <c r="AD111" s="43"/>
      <c r="AE111" s="43"/>
      <c r="AF111" s="43"/>
    </row>
    <row r="112" spans="1:32" s="68" customFormat="1" ht="15" customHeight="1">
      <c r="A112" s="69"/>
      <c r="B112" s="96" t="e">
        <f>'115+040'!#REF!</f>
        <v>#REF!</v>
      </c>
      <c r="C112" s="66" t="e">
        <f t="shared" si="18"/>
        <v>#REF!</v>
      </c>
      <c r="D112" s="65" t="e">
        <f t="shared" si="19"/>
        <v>#REF!</v>
      </c>
      <c r="E112" s="64" t="e">
        <f>VLOOKUP(B112,'115+040'!B110:AB211,3,FALSE)</f>
        <v>#REF!</v>
      </c>
      <c r="F112" s="61" t="e">
        <f t="shared" si="14"/>
        <v>#REF!</v>
      </c>
      <c r="G112" s="63" t="e">
        <f>VLOOKUP(B112,'115+040'!$B$12:$AB$112,20,FALSE)</f>
        <v>#REF!</v>
      </c>
      <c r="H112" s="63" t="e">
        <f>VLOOKUP(B112,'115+040'!$B$12:$AB$112,4,FALSE)</f>
        <v>#REF!</v>
      </c>
      <c r="I112" s="60" t="e">
        <f t="shared" si="15"/>
        <v>#REF!</v>
      </c>
      <c r="J112" s="60" t="e">
        <f>VLOOKUP(B112,'115+040'!$B$12:$AB$112,13,FALSE)</f>
        <v>#REF!</v>
      </c>
      <c r="K112" s="58">
        <f>'115+040'!R110</f>
        <v>0</v>
      </c>
      <c r="L112" s="57">
        <f t="shared" si="20"/>
        <v>253</v>
      </c>
      <c r="M112" s="62" t="e">
        <f>VLOOKUP(B112,'115+040'!$B$11:$AB$112,21,FALSE)</f>
        <v>#REF!</v>
      </c>
      <c r="N112" s="61" t="e">
        <f>VLOOKUP(B112,'115+040'!$B$12:$AB$112,5,FALSE)</f>
        <v>#REF!</v>
      </c>
      <c r="O112" s="60" t="e">
        <f t="shared" si="16"/>
        <v>#REF!</v>
      </c>
      <c r="P112" s="60" t="e">
        <f>VLOOKUP(B112,'115+040'!$B$12:$AB$112,14,FALSE)</f>
        <v>#REF!</v>
      </c>
      <c r="Q112" s="58">
        <f>'115+040'!S110</f>
        <v>0</v>
      </c>
      <c r="R112" s="57">
        <f t="shared" si="21"/>
        <v>286</v>
      </c>
      <c r="S112" s="62" t="e">
        <f>VLOOKUP(B112,'115+040'!$B$11:$AB$112,22,FALSE)</f>
        <v>#REF!</v>
      </c>
      <c r="T112" s="61" t="e">
        <f>VLOOKUP(B112,'115+040'!$B$12:$AB$112,6,FALSE)</f>
        <v>#REF!</v>
      </c>
      <c r="U112" s="60" t="e">
        <f t="shared" si="17"/>
        <v>#REF!</v>
      </c>
      <c r="V112" s="59" t="e">
        <f>VLOOKUP(B112,'115+040'!$B$12:$AB$112,15,FALSE)</f>
        <v>#REF!</v>
      </c>
      <c r="W112" s="58">
        <f>'[4]114+940'!S113</f>
        <v>0</v>
      </c>
      <c r="X112" s="57">
        <f t="shared" si="22"/>
        <v>144</v>
      </c>
      <c r="Y112" s="56" t="e">
        <f t="shared" si="23"/>
        <v>#REF!</v>
      </c>
      <c r="Z112" s="55" t="e">
        <f t="shared" si="24"/>
        <v>#REF!</v>
      </c>
      <c r="AA112" s="54" t="e">
        <f t="shared" si="25"/>
        <v>#REF!</v>
      </c>
      <c r="AB112" s="54" t="e">
        <f t="shared" si="26"/>
        <v>#REF!</v>
      </c>
      <c r="AC112" s="43"/>
      <c r="AD112" s="43"/>
      <c r="AE112" s="43"/>
      <c r="AF112" s="43"/>
    </row>
    <row r="113" spans="1:32" s="68" customFormat="1" ht="15" customHeight="1">
      <c r="A113" s="69"/>
      <c r="B113" s="96" t="e">
        <f>'115+040'!#REF!</f>
        <v>#REF!</v>
      </c>
      <c r="C113" s="66" t="e">
        <f t="shared" si="18"/>
        <v>#REF!</v>
      </c>
      <c r="D113" s="65" t="e">
        <f t="shared" si="19"/>
        <v>#REF!</v>
      </c>
      <c r="E113" s="64" t="e">
        <f>VLOOKUP(B113,'115+040'!B111:AB212,3,FALSE)</f>
        <v>#REF!</v>
      </c>
      <c r="F113" s="61" t="e">
        <f t="shared" si="14"/>
        <v>#REF!</v>
      </c>
      <c r="G113" s="63" t="e">
        <f>VLOOKUP(B113,'115+040'!$B$12:$AB$112,20,FALSE)</f>
        <v>#REF!</v>
      </c>
      <c r="H113" s="63" t="e">
        <f>VLOOKUP(B113,'115+040'!$B$12:$AB$112,4,FALSE)</f>
        <v>#REF!</v>
      </c>
      <c r="I113" s="60" t="e">
        <f t="shared" si="15"/>
        <v>#REF!</v>
      </c>
      <c r="J113" s="60" t="e">
        <f>VLOOKUP(B113,'115+040'!$B$12:$AB$112,13,FALSE)</f>
        <v>#REF!</v>
      </c>
      <c r="K113" s="58">
        <f>'115+040'!R111</f>
        <v>0</v>
      </c>
      <c r="L113" s="57">
        <f t="shared" si="20"/>
        <v>253</v>
      </c>
      <c r="M113" s="62" t="e">
        <f>VLOOKUP(B113,'115+040'!$B$11:$AB$112,21,FALSE)</f>
        <v>#REF!</v>
      </c>
      <c r="N113" s="61" t="e">
        <f>VLOOKUP(B113,'115+040'!$B$12:$AB$112,5,FALSE)</f>
        <v>#REF!</v>
      </c>
      <c r="O113" s="60" t="e">
        <f t="shared" si="16"/>
        <v>#REF!</v>
      </c>
      <c r="P113" s="60" t="e">
        <f>VLOOKUP(B113,'115+040'!$B$12:$AB$112,14,FALSE)</f>
        <v>#REF!</v>
      </c>
      <c r="Q113" s="58">
        <f>'115+040'!S111</f>
        <v>0</v>
      </c>
      <c r="R113" s="57">
        <f t="shared" si="21"/>
        <v>286</v>
      </c>
      <c r="S113" s="62" t="e">
        <f>VLOOKUP(B113,'115+040'!$B$11:$AB$112,22,FALSE)</f>
        <v>#REF!</v>
      </c>
      <c r="T113" s="61" t="e">
        <f>VLOOKUP(B113,'115+040'!$B$12:$AB$112,6,FALSE)</f>
        <v>#REF!</v>
      </c>
      <c r="U113" s="60" t="e">
        <f t="shared" si="17"/>
        <v>#REF!</v>
      </c>
      <c r="V113" s="59" t="e">
        <f>VLOOKUP(B113,'115+040'!$B$12:$AB$112,15,FALSE)</f>
        <v>#REF!</v>
      </c>
      <c r="W113" s="58">
        <f>'[4]114+940'!S114</f>
        <v>0</v>
      </c>
      <c r="X113" s="57">
        <f t="shared" si="22"/>
        <v>144</v>
      </c>
      <c r="Y113" s="56" t="e">
        <f t="shared" si="23"/>
        <v>#REF!</v>
      </c>
      <c r="Z113" s="55" t="e">
        <f t="shared" si="24"/>
        <v>#REF!</v>
      </c>
      <c r="AA113" s="54" t="e">
        <f t="shared" si="25"/>
        <v>#REF!</v>
      </c>
      <c r="AB113" s="54" t="e">
        <f t="shared" si="26"/>
        <v>#REF!</v>
      </c>
      <c r="AC113" s="43"/>
      <c r="AD113" s="43"/>
      <c r="AE113" s="43"/>
      <c r="AF113" s="43"/>
    </row>
    <row r="114" spans="1:32" s="68" customFormat="1" ht="15" customHeight="1">
      <c r="A114" s="69"/>
      <c r="B114" s="96" t="e">
        <f>'115+040'!#REF!</f>
        <v>#REF!</v>
      </c>
      <c r="C114" s="66" t="e">
        <f t="shared" si="18"/>
        <v>#REF!</v>
      </c>
      <c r="D114" s="65" t="e">
        <f t="shared" si="19"/>
        <v>#REF!</v>
      </c>
      <c r="E114" s="64" t="e">
        <f>VLOOKUP(B114,'115+040'!B112:AB213,3,FALSE)</f>
        <v>#REF!</v>
      </c>
      <c r="F114" s="61" t="e">
        <f t="shared" si="14"/>
        <v>#REF!</v>
      </c>
      <c r="G114" s="63" t="e">
        <f>VLOOKUP(B114,'115+040'!$B$12:$AB$112,20,FALSE)</f>
        <v>#REF!</v>
      </c>
      <c r="H114" s="63" t="e">
        <f>VLOOKUP(B114,'115+040'!$B$12:$AB$112,4,FALSE)</f>
        <v>#REF!</v>
      </c>
      <c r="I114" s="60" t="e">
        <f t="shared" si="15"/>
        <v>#REF!</v>
      </c>
      <c r="J114" s="60" t="e">
        <f>VLOOKUP(B114,'115+040'!$B$12:$AB$112,13,FALSE)</f>
        <v>#REF!</v>
      </c>
      <c r="K114" s="58">
        <f>'115+040'!R112</f>
        <v>0</v>
      </c>
      <c r="L114" s="57">
        <f t="shared" si="20"/>
        <v>253</v>
      </c>
      <c r="M114" s="62" t="e">
        <f>VLOOKUP(B114,'115+040'!$B$11:$AB$112,21,FALSE)</f>
        <v>#REF!</v>
      </c>
      <c r="N114" s="61" t="e">
        <f>VLOOKUP(B114,'115+040'!$B$12:$AB$112,5,FALSE)</f>
        <v>#REF!</v>
      </c>
      <c r="O114" s="60" t="e">
        <f t="shared" si="16"/>
        <v>#REF!</v>
      </c>
      <c r="P114" s="60" t="e">
        <f>VLOOKUP(B114,'115+040'!$B$12:$AB$112,14,FALSE)</f>
        <v>#REF!</v>
      </c>
      <c r="Q114" s="58">
        <f>'115+040'!S112</f>
        <v>0</v>
      </c>
      <c r="R114" s="57">
        <f t="shared" si="21"/>
        <v>286</v>
      </c>
      <c r="S114" s="62" t="e">
        <f>VLOOKUP(B114,'115+040'!$B$11:$AB$112,22,FALSE)</f>
        <v>#REF!</v>
      </c>
      <c r="T114" s="61" t="e">
        <f>VLOOKUP(B114,'115+040'!$B$12:$AB$112,6,FALSE)</f>
        <v>#REF!</v>
      </c>
      <c r="U114" s="60" t="e">
        <f t="shared" si="17"/>
        <v>#REF!</v>
      </c>
      <c r="V114" s="59" t="e">
        <f>VLOOKUP(B114,'115+040'!$B$12:$AB$112,15,FALSE)</f>
        <v>#REF!</v>
      </c>
      <c r="W114" s="58">
        <f>'[4]114+940'!S115</f>
        <v>0</v>
      </c>
      <c r="X114" s="57">
        <f t="shared" si="22"/>
        <v>144</v>
      </c>
      <c r="Y114" s="56" t="e">
        <f t="shared" si="23"/>
        <v>#REF!</v>
      </c>
      <c r="Z114" s="55" t="e">
        <f t="shared" si="24"/>
        <v>#REF!</v>
      </c>
      <c r="AA114" s="54" t="e">
        <f t="shared" si="25"/>
        <v>#REF!</v>
      </c>
      <c r="AB114" s="54" t="e">
        <f t="shared" si="26"/>
        <v>#REF!</v>
      </c>
      <c r="AC114" s="43"/>
      <c r="AD114" s="43"/>
      <c r="AE114" s="43"/>
      <c r="AF114" s="43"/>
    </row>
    <row r="115" spans="1:32">
      <c r="B115" s="96" t="e">
        <f>'115+040'!#REF!</f>
        <v>#REF!</v>
      </c>
      <c r="C115" s="66" t="e">
        <f t="shared" si="18"/>
        <v>#REF!</v>
      </c>
      <c r="D115" s="65" t="e">
        <f t="shared" si="19"/>
        <v>#REF!</v>
      </c>
      <c r="E115" s="64" t="e">
        <f>VLOOKUP(B115,'115+040'!B113:AB214,3,FALSE)</f>
        <v>#REF!</v>
      </c>
      <c r="F115" s="61" t="e">
        <f t="shared" si="14"/>
        <v>#REF!</v>
      </c>
      <c r="G115" s="63" t="e">
        <f>VLOOKUP(B115,'115+040'!$B$12:$AB$621,20,FALSE)</f>
        <v>#REF!</v>
      </c>
      <c r="H115" s="63" t="e">
        <f>VLOOKUP(B115,'115+040'!$B$12:$AB$621,4,FALSE)</f>
        <v>#REF!</v>
      </c>
      <c r="I115" s="60" t="e">
        <f t="shared" si="15"/>
        <v>#REF!</v>
      </c>
      <c r="J115" s="60" t="e">
        <f>VLOOKUP(B115,'115+040'!$B$12:$AB$621,13,FALSE)</f>
        <v>#REF!</v>
      </c>
      <c r="K115" s="58">
        <f>'115+040'!R113</f>
        <v>0</v>
      </c>
      <c r="L115" s="57">
        <f t="shared" si="20"/>
        <v>253</v>
      </c>
      <c r="M115" s="62" t="e">
        <f>VLOOKUP(B115,'115+040'!$B$11:$AB$621,21,FALSE)</f>
        <v>#REF!</v>
      </c>
      <c r="N115" s="61" t="e">
        <f>VLOOKUP(B115,'115+040'!$B$12:$AB$621,5,FALSE)</f>
        <v>#REF!</v>
      </c>
      <c r="O115" s="60" t="e">
        <f t="shared" si="16"/>
        <v>#REF!</v>
      </c>
      <c r="P115" s="60" t="e">
        <f>VLOOKUP(B115,'115+040'!$B$12:$AB$621,14,FALSE)</f>
        <v>#REF!</v>
      </c>
      <c r="Q115" s="58">
        <f>'115+040'!S113</f>
        <v>0</v>
      </c>
      <c r="R115" s="57">
        <f t="shared" si="21"/>
        <v>286</v>
      </c>
      <c r="S115" s="62" t="e">
        <f>VLOOKUP(B115,'115+040'!$B$11:$AB$621,22,FALSE)</f>
        <v>#REF!</v>
      </c>
      <c r="T115" s="61" t="e">
        <f>VLOOKUP(B115,'115+040'!$B$12:$AB$621,6,FALSE)</f>
        <v>#REF!</v>
      </c>
      <c r="U115" s="60" t="e">
        <f t="shared" si="17"/>
        <v>#REF!</v>
      </c>
      <c r="V115" s="59" t="e">
        <f>VLOOKUP(B115,'115+040'!$B$12:$AB$621,15,FALSE)</f>
        <v>#REF!</v>
      </c>
      <c r="W115" s="58">
        <f>'[4]114+940'!S116</f>
        <v>0</v>
      </c>
      <c r="X115" s="57">
        <f t="shared" si="22"/>
        <v>144</v>
      </c>
      <c r="Y115" s="56" t="e">
        <f t="shared" si="23"/>
        <v>#REF!</v>
      </c>
      <c r="Z115" s="55" t="e">
        <f t="shared" si="24"/>
        <v>#REF!</v>
      </c>
      <c r="AA115" s="54" t="e">
        <f t="shared" si="25"/>
        <v>#REF!</v>
      </c>
      <c r="AB115" s="54" t="e">
        <f t="shared" si="26"/>
        <v>#REF!</v>
      </c>
      <c r="AD115" s="42"/>
      <c r="AE115" s="41"/>
    </row>
    <row r="116" spans="1:32">
      <c r="B116" s="96" t="e">
        <f>'115+040'!#REF!</f>
        <v>#REF!</v>
      </c>
      <c r="C116" s="66" t="e">
        <f t="shared" si="18"/>
        <v>#REF!</v>
      </c>
      <c r="D116" s="65" t="e">
        <f t="shared" si="19"/>
        <v>#REF!</v>
      </c>
      <c r="E116" s="64" t="e">
        <f>VLOOKUP(B116,'115+040'!B114:AB215,3,FALSE)</f>
        <v>#REF!</v>
      </c>
      <c r="F116" s="61" t="e">
        <f t="shared" si="14"/>
        <v>#REF!</v>
      </c>
      <c r="G116" s="63" t="e">
        <f>VLOOKUP(B116,'115+040'!$B$12:$AB$621,20,FALSE)</f>
        <v>#REF!</v>
      </c>
      <c r="H116" s="63" t="e">
        <f>VLOOKUP(B116,'115+040'!$B$12:$AB$621,4,FALSE)</f>
        <v>#REF!</v>
      </c>
      <c r="I116" s="60" t="e">
        <f t="shared" si="15"/>
        <v>#REF!</v>
      </c>
      <c r="J116" s="60" t="e">
        <f>VLOOKUP(B116,'115+040'!$B$12:$AB$621,13,FALSE)</f>
        <v>#REF!</v>
      </c>
      <c r="K116" s="58">
        <f>'115+040'!R114</f>
        <v>0</v>
      </c>
      <c r="L116" s="57">
        <f t="shared" si="20"/>
        <v>253</v>
      </c>
      <c r="M116" s="62" t="e">
        <f>VLOOKUP(B116,'115+040'!$B$11:$AB$621,21,FALSE)</f>
        <v>#REF!</v>
      </c>
      <c r="N116" s="61" t="e">
        <f>VLOOKUP(B116,'115+040'!$B$12:$AB$621,5,FALSE)</f>
        <v>#REF!</v>
      </c>
      <c r="O116" s="60" t="e">
        <f t="shared" si="16"/>
        <v>#REF!</v>
      </c>
      <c r="P116" s="60" t="e">
        <f>VLOOKUP(B116,'115+040'!$B$12:$AB$621,14,FALSE)</f>
        <v>#REF!</v>
      </c>
      <c r="Q116" s="58">
        <f>'115+040'!S114</f>
        <v>0</v>
      </c>
      <c r="R116" s="57">
        <f t="shared" si="21"/>
        <v>286</v>
      </c>
      <c r="S116" s="62" t="e">
        <f>VLOOKUP(B116,'115+040'!$B$11:$AB$621,22,FALSE)</f>
        <v>#REF!</v>
      </c>
      <c r="T116" s="61" t="e">
        <f>VLOOKUP(B116,'115+040'!$B$12:$AB$621,6,FALSE)</f>
        <v>#REF!</v>
      </c>
      <c r="U116" s="60" t="e">
        <f t="shared" si="17"/>
        <v>#REF!</v>
      </c>
      <c r="V116" s="59" t="e">
        <f>VLOOKUP(B116,'115+040'!$B$12:$AB$621,15,FALSE)</f>
        <v>#REF!</v>
      </c>
      <c r="W116" s="58">
        <f>'[4]114+940'!S117</f>
        <v>0</v>
      </c>
      <c r="X116" s="57">
        <f t="shared" si="22"/>
        <v>144</v>
      </c>
      <c r="Y116" s="56" t="e">
        <f t="shared" si="23"/>
        <v>#REF!</v>
      </c>
      <c r="Z116" s="55" t="e">
        <f t="shared" si="24"/>
        <v>#REF!</v>
      </c>
      <c r="AA116" s="54" t="e">
        <f t="shared" si="25"/>
        <v>#REF!</v>
      </c>
      <c r="AB116" s="54" t="e">
        <f t="shared" si="26"/>
        <v>#REF!</v>
      </c>
      <c r="AD116" s="42"/>
      <c r="AE116" s="41"/>
    </row>
    <row r="117" spans="1:32">
      <c r="B117" s="96" t="e">
        <f>'115+040'!#REF!</f>
        <v>#REF!</v>
      </c>
      <c r="C117" s="66" t="e">
        <f t="shared" si="18"/>
        <v>#REF!</v>
      </c>
      <c r="D117" s="65" t="e">
        <f t="shared" si="19"/>
        <v>#REF!</v>
      </c>
      <c r="E117" s="64" t="e">
        <f>VLOOKUP(B117,'115+040'!B115:AB216,3,FALSE)</f>
        <v>#REF!</v>
      </c>
      <c r="F117" s="61" t="e">
        <f t="shared" si="14"/>
        <v>#REF!</v>
      </c>
      <c r="G117" s="63" t="e">
        <f>VLOOKUP(B117,'115+040'!$B$12:$AB$621,20,FALSE)</f>
        <v>#REF!</v>
      </c>
      <c r="H117" s="63" t="e">
        <f>VLOOKUP(B117,'115+040'!$B$12:$AB$621,4,FALSE)</f>
        <v>#REF!</v>
      </c>
      <c r="I117" s="60" t="e">
        <f t="shared" si="15"/>
        <v>#REF!</v>
      </c>
      <c r="J117" s="60" t="e">
        <f>VLOOKUP(B117,'115+040'!$B$12:$AB$621,13,FALSE)</f>
        <v>#REF!</v>
      </c>
      <c r="K117" s="58">
        <f>'115+040'!R115</f>
        <v>0</v>
      </c>
      <c r="L117" s="57">
        <f t="shared" si="20"/>
        <v>253</v>
      </c>
      <c r="M117" s="62" t="e">
        <f>VLOOKUP(B117,'115+040'!$B$11:$AB$621,21,FALSE)</f>
        <v>#REF!</v>
      </c>
      <c r="N117" s="61" t="e">
        <f>VLOOKUP(B117,'115+040'!$B$12:$AB$621,5,FALSE)</f>
        <v>#REF!</v>
      </c>
      <c r="O117" s="60" t="e">
        <f t="shared" si="16"/>
        <v>#REF!</v>
      </c>
      <c r="P117" s="60" t="e">
        <f>VLOOKUP(B117,'115+040'!$B$12:$AB$621,14,FALSE)</f>
        <v>#REF!</v>
      </c>
      <c r="Q117" s="58">
        <f>'115+040'!S115</f>
        <v>0</v>
      </c>
      <c r="R117" s="57">
        <f t="shared" si="21"/>
        <v>286</v>
      </c>
      <c r="S117" s="62" t="e">
        <f>VLOOKUP(B117,'115+040'!$B$11:$AB$621,22,FALSE)</f>
        <v>#REF!</v>
      </c>
      <c r="T117" s="61" t="e">
        <f>VLOOKUP(B117,'115+040'!$B$12:$AB$621,6,FALSE)</f>
        <v>#REF!</v>
      </c>
      <c r="U117" s="60" t="e">
        <f t="shared" si="17"/>
        <v>#REF!</v>
      </c>
      <c r="V117" s="59" t="e">
        <f>VLOOKUP(B117,'115+040'!$B$12:$AB$621,15,FALSE)</f>
        <v>#REF!</v>
      </c>
      <c r="W117" s="58">
        <f>'[4]114+940'!S118</f>
        <v>0</v>
      </c>
      <c r="X117" s="57">
        <f t="shared" si="22"/>
        <v>144</v>
      </c>
      <c r="Y117" s="56" t="e">
        <f t="shared" si="23"/>
        <v>#REF!</v>
      </c>
      <c r="Z117" s="55" t="e">
        <f t="shared" si="24"/>
        <v>#REF!</v>
      </c>
      <c r="AA117" s="54" t="e">
        <f t="shared" si="25"/>
        <v>#REF!</v>
      </c>
      <c r="AB117" s="54" t="e">
        <f t="shared" si="26"/>
        <v>#REF!</v>
      </c>
      <c r="AD117" s="42"/>
      <c r="AE117" s="41"/>
    </row>
    <row r="118" spans="1:32">
      <c r="B118" s="96" t="e">
        <f>'115+040'!#REF!</f>
        <v>#REF!</v>
      </c>
      <c r="C118" s="66" t="e">
        <f t="shared" si="18"/>
        <v>#REF!</v>
      </c>
      <c r="D118" s="65" t="e">
        <f t="shared" si="19"/>
        <v>#REF!</v>
      </c>
      <c r="E118" s="64" t="e">
        <f>VLOOKUP(B118,'115+040'!B116:AB217,3,FALSE)</f>
        <v>#REF!</v>
      </c>
      <c r="F118" s="61" t="e">
        <f t="shared" si="14"/>
        <v>#REF!</v>
      </c>
      <c r="G118" s="63" t="e">
        <f>VLOOKUP(B118,'115+040'!$B$12:$AB$621,20,FALSE)</f>
        <v>#REF!</v>
      </c>
      <c r="H118" s="63" t="e">
        <f>VLOOKUP(B118,'115+040'!$B$12:$AB$621,4,FALSE)</f>
        <v>#REF!</v>
      </c>
      <c r="I118" s="60" t="e">
        <f t="shared" si="15"/>
        <v>#REF!</v>
      </c>
      <c r="J118" s="60" t="e">
        <f>VLOOKUP(B118,'115+040'!$B$12:$AB$621,13,FALSE)</f>
        <v>#REF!</v>
      </c>
      <c r="K118" s="58">
        <f>'115+040'!R116</f>
        <v>0</v>
      </c>
      <c r="L118" s="57">
        <f t="shared" si="20"/>
        <v>253</v>
      </c>
      <c r="M118" s="62" t="e">
        <f>VLOOKUP(B118,'115+040'!$B$11:$AB$621,21,FALSE)</f>
        <v>#REF!</v>
      </c>
      <c r="N118" s="61" t="e">
        <f>VLOOKUP(B118,'115+040'!$B$12:$AB$621,5,FALSE)</f>
        <v>#REF!</v>
      </c>
      <c r="O118" s="60" t="e">
        <f t="shared" si="16"/>
        <v>#REF!</v>
      </c>
      <c r="P118" s="60" t="e">
        <f>VLOOKUP(B118,'115+040'!$B$12:$AB$621,14,FALSE)</f>
        <v>#REF!</v>
      </c>
      <c r="Q118" s="58">
        <f>'115+040'!S116</f>
        <v>0</v>
      </c>
      <c r="R118" s="57">
        <f t="shared" si="21"/>
        <v>286</v>
      </c>
      <c r="S118" s="62" t="e">
        <f>VLOOKUP(B118,'115+040'!$B$11:$AB$621,22,FALSE)</f>
        <v>#REF!</v>
      </c>
      <c r="T118" s="61" t="e">
        <f>VLOOKUP(B118,'115+040'!$B$12:$AB$621,6,FALSE)</f>
        <v>#REF!</v>
      </c>
      <c r="U118" s="60" t="e">
        <f t="shared" si="17"/>
        <v>#REF!</v>
      </c>
      <c r="V118" s="59" t="e">
        <f>VLOOKUP(B118,'115+040'!$B$12:$AB$621,15,FALSE)</f>
        <v>#REF!</v>
      </c>
      <c r="W118" s="58">
        <f>'[4]114+940'!S119</f>
        <v>0</v>
      </c>
      <c r="X118" s="57">
        <f t="shared" si="22"/>
        <v>144</v>
      </c>
      <c r="Y118" s="56" t="e">
        <f t="shared" si="23"/>
        <v>#REF!</v>
      </c>
      <c r="Z118" s="55" t="e">
        <f t="shared" si="24"/>
        <v>#REF!</v>
      </c>
      <c r="AA118" s="54" t="e">
        <f t="shared" si="25"/>
        <v>#REF!</v>
      </c>
      <c r="AB118" s="54" t="e">
        <f t="shared" si="26"/>
        <v>#REF!</v>
      </c>
      <c r="AD118" s="42"/>
      <c r="AE118" s="41"/>
    </row>
    <row r="119" spans="1:32">
      <c r="B119" s="96" t="e">
        <f>'115+040'!#REF!</f>
        <v>#REF!</v>
      </c>
      <c r="C119" s="66" t="e">
        <f t="shared" si="18"/>
        <v>#REF!</v>
      </c>
      <c r="D119" s="65" t="e">
        <f t="shared" si="19"/>
        <v>#REF!</v>
      </c>
      <c r="E119" s="64" t="e">
        <f>VLOOKUP(B119,'115+040'!B117:AB218,3,FALSE)</f>
        <v>#REF!</v>
      </c>
      <c r="F119" s="61" t="e">
        <f t="shared" si="14"/>
        <v>#REF!</v>
      </c>
      <c r="G119" s="63" t="e">
        <f>VLOOKUP(B119,'115+040'!$B$12:$AB$621,20,FALSE)</f>
        <v>#REF!</v>
      </c>
      <c r="H119" s="63" t="e">
        <f>VLOOKUP(B119,'115+040'!$B$12:$AB$621,4,FALSE)</f>
        <v>#REF!</v>
      </c>
      <c r="I119" s="60" t="e">
        <f t="shared" si="15"/>
        <v>#REF!</v>
      </c>
      <c r="J119" s="60" t="e">
        <f>VLOOKUP(B119,'115+040'!$B$12:$AB$621,13,FALSE)</f>
        <v>#REF!</v>
      </c>
      <c r="K119" s="58">
        <f>'115+040'!R117</f>
        <v>0</v>
      </c>
      <c r="L119" s="57">
        <f t="shared" si="20"/>
        <v>253</v>
      </c>
      <c r="M119" s="62" t="e">
        <f>VLOOKUP(B119,'115+040'!$B$11:$AB$621,21,FALSE)</f>
        <v>#REF!</v>
      </c>
      <c r="N119" s="61" t="e">
        <f>VLOOKUP(B119,'115+040'!$B$12:$AB$621,5,FALSE)</f>
        <v>#REF!</v>
      </c>
      <c r="O119" s="60" t="e">
        <f t="shared" si="16"/>
        <v>#REF!</v>
      </c>
      <c r="P119" s="60" t="e">
        <f>VLOOKUP(B119,'115+040'!$B$12:$AB$621,14,FALSE)</f>
        <v>#REF!</v>
      </c>
      <c r="Q119" s="58">
        <f>'115+040'!S117</f>
        <v>0</v>
      </c>
      <c r="R119" s="57">
        <f t="shared" si="21"/>
        <v>286</v>
      </c>
      <c r="S119" s="62" t="e">
        <f>VLOOKUP(B119,'115+040'!$B$11:$AB$621,22,FALSE)</f>
        <v>#REF!</v>
      </c>
      <c r="T119" s="61" t="e">
        <f>VLOOKUP(B119,'115+040'!$B$12:$AB$621,6,FALSE)</f>
        <v>#REF!</v>
      </c>
      <c r="U119" s="60" t="e">
        <f t="shared" si="17"/>
        <v>#REF!</v>
      </c>
      <c r="V119" s="59" t="e">
        <f>VLOOKUP(B119,'115+040'!$B$12:$AB$621,15,FALSE)</f>
        <v>#REF!</v>
      </c>
      <c r="W119" s="58">
        <f>'[4]114+940'!S120</f>
        <v>0</v>
      </c>
      <c r="X119" s="57">
        <f t="shared" si="22"/>
        <v>144</v>
      </c>
      <c r="Y119" s="56" t="e">
        <f t="shared" si="23"/>
        <v>#REF!</v>
      </c>
      <c r="Z119" s="55" t="e">
        <f t="shared" si="24"/>
        <v>#REF!</v>
      </c>
      <c r="AA119" s="54" t="e">
        <f t="shared" si="25"/>
        <v>#REF!</v>
      </c>
      <c r="AB119" s="54" t="e">
        <f t="shared" si="26"/>
        <v>#REF!</v>
      </c>
      <c r="AD119" s="42"/>
      <c r="AE119" s="41"/>
    </row>
    <row r="120" spans="1:32">
      <c r="B120" s="96" t="e">
        <f>'115+040'!#REF!</f>
        <v>#REF!</v>
      </c>
      <c r="C120" s="66" t="e">
        <f t="shared" si="18"/>
        <v>#REF!</v>
      </c>
      <c r="D120" s="65" t="e">
        <f t="shared" si="19"/>
        <v>#REF!</v>
      </c>
      <c r="E120" s="64" t="e">
        <f>VLOOKUP(B120,'115+040'!B118:AB219,3,FALSE)</f>
        <v>#REF!</v>
      </c>
      <c r="F120" s="61" t="e">
        <f t="shared" si="14"/>
        <v>#REF!</v>
      </c>
      <c r="G120" s="63" t="e">
        <f>VLOOKUP(B120,'115+040'!$B$12:$AB$621,20,FALSE)</f>
        <v>#REF!</v>
      </c>
      <c r="H120" s="63" t="e">
        <f>VLOOKUP(B120,'115+040'!$B$12:$AB$621,4,FALSE)</f>
        <v>#REF!</v>
      </c>
      <c r="I120" s="60" t="e">
        <f t="shared" si="15"/>
        <v>#REF!</v>
      </c>
      <c r="J120" s="60" t="e">
        <f>VLOOKUP(B120,'115+040'!$B$12:$AB$621,13,FALSE)</f>
        <v>#REF!</v>
      </c>
      <c r="K120" s="58">
        <f>'115+040'!R118</f>
        <v>0</v>
      </c>
      <c r="L120" s="57">
        <f t="shared" si="20"/>
        <v>253</v>
      </c>
      <c r="M120" s="62" t="e">
        <f>VLOOKUP(B120,'115+040'!$B$11:$AB$621,21,FALSE)</f>
        <v>#REF!</v>
      </c>
      <c r="N120" s="61" t="e">
        <f>VLOOKUP(B120,'115+040'!$B$12:$AB$621,5,FALSE)</f>
        <v>#REF!</v>
      </c>
      <c r="O120" s="60" t="e">
        <f t="shared" si="16"/>
        <v>#REF!</v>
      </c>
      <c r="P120" s="60" t="e">
        <f>VLOOKUP(B120,'115+040'!$B$12:$AB$621,14,FALSE)</f>
        <v>#REF!</v>
      </c>
      <c r="Q120" s="58">
        <f>'115+040'!S118</f>
        <v>0</v>
      </c>
      <c r="R120" s="57">
        <f t="shared" si="21"/>
        <v>286</v>
      </c>
      <c r="S120" s="62" t="e">
        <f>VLOOKUP(B120,'115+040'!$B$11:$AB$621,22,FALSE)</f>
        <v>#REF!</v>
      </c>
      <c r="T120" s="61" t="e">
        <f>VLOOKUP(B120,'115+040'!$B$12:$AB$621,6,FALSE)</f>
        <v>#REF!</v>
      </c>
      <c r="U120" s="60" t="e">
        <f t="shared" si="17"/>
        <v>#REF!</v>
      </c>
      <c r="V120" s="59" t="e">
        <f>VLOOKUP(B120,'115+040'!$B$12:$AB$621,15,FALSE)</f>
        <v>#REF!</v>
      </c>
      <c r="W120" s="58">
        <f>'[4]114+940'!S121</f>
        <v>0</v>
      </c>
      <c r="X120" s="57">
        <f t="shared" si="22"/>
        <v>144</v>
      </c>
      <c r="Y120" s="56" t="e">
        <f t="shared" si="23"/>
        <v>#REF!</v>
      </c>
      <c r="Z120" s="55" t="e">
        <f t="shared" si="24"/>
        <v>#REF!</v>
      </c>
      <c r="AA120" s="54" t="e">
        <f t="shared" si="25"/>
        <v>#REF!</v>
      </c>
      <c r="AB120" s="54" t="e">
        <f t="shared" si="26"/>
        <v>#REF!</v>
      </c>
      <c r="AD120" s="42"/>
      <c r="AE120" s="41"/>
    </row>
    <row r="121" spans="1:32">
      <c r="B121" s="96" t="e">
        <f>'115+040'!#REF!</f>
        <v>#REF!</v>
      </c>
      <c r="C121" s="66" t="e">
        <f t="shared" si="18"/>
        <v>#REF!</v>
      </c>
      <c r="D121" s="65" t="e">
        <f t="shared" si="19"/>
        <v>#REF!</v>
      </c>
      <c r="E121" s="64" t="e">
        <f>VLOOKUP(B121,'115+040'!B119:AB220,3,FALSE)</f>
        <v>#REF!</v>
      </c>
      <c r="F121" s="61" t="e">
        <f t="shared" si="14"/>
        <v>#REF!</v>
      </c>
      <c r="G121" s="63" t="e">
        <f>VLOOKUP(B121,'115+040'!$B$12:$AB$621,20,FALSE)</f>
        <v>#REF!</v>
      </c>
      <c r="H121" s="63" t="e">
        <f>VLOOKUP(B121,'115+040'!$B$12:$AB$621,4,FALSE)</f>
        <v>#REF!</v>
      </c>
      <c r="I121" s="60" t="e">
        <f t="shared" si="15"/>
        <v>#REF!</v>
      </c>
      <c r="J121" s="60" t="e">
        <f>VLOOKUP(B121,'115+040'!$B$12:$AB$621,13,FALSE)</f>
        <v>#REF!</v>
      </c>
      <c r="K121" s="58">
        <f>'115+040'!R119</f>
        <v>0</v>
      </c>
      <c r="L121" s="57">
        <f t="shared" si="20"/>
        <v>253</v>
      </c>
      <c r="M121" s="62" t="e">
        <f>VLOOKUP(B121,'115+040'!$B$11:$AB$621,21,FALSE)</f>
        <v>#REF!</v>
      </c>
      <c r="N121" s="61" t="e">
        <f>VLOOKUP(B121,'115+040'!$B$12:$AB$621,5,FALSE)</f>
        <v>#REF!</v>
      </c>
      <c r="O121" s="60" t="e">
        <f t="shared" si="16"/>
        <v>#REF!</v>
      </c>
      <c r="P121" s="60" t="e">
        <f>VLOOKUP(B121,'115+040'!$B$12:$AB$621,14,FALSE)</f>
        <v>#REF!</v>
      </c>
      <c r="Q121" s="58">
        <f>'115+040'!S119</f>
        <v>0</v>
      </c>
      <c r="R121" s="57">
        <f t="shared" si="21"/>
        <v>286</v>
      </c>
      <c r="S121" s="62" t="e">
        <f>VLOOKUP(B121,'115+040'!$B$11:$AB$621,22,FALSE)</f>
        <v>#REF!</v>
      </c>
      <c r="T121" s="61" t="e">
        <f>VLOOKUP(B121,'115+040'!$B$12:$AB$621,6,FALSE)</f>
        <v>#REF!</v>
      </c>
      <c r="U121" s="60" t="e">
        <f t="shared" si="17"/>
        <v>#REF!</v>
      </c>
      <c r="V121" s="59" t="e">
        <f>VLOOKUP(B121,'115+040'!$B$12:$AB$621,15,FALSE)</f>
        <v>#REF!</v>
      </c>
      <c r="W121" s="58">
        <f>'[4]114+940'!S122</f>
        <v>0</v>
      </c>
      <c r="X121" s="57">
        <f t="shared" si="22"/>
        <v>144</v>
      </c>
      <c r="Y121" s="56" t="e">
        <f t="shared" si="23"/>
        <v>#REF!</v>
      </c>
      <c r="Z121" s="55" t="e">
        <f t="shared" si="24"/>
        <v>#REF!</v>
      </c>
      <c r="AA121" s="54" t="e">
        <f t="shared" si="25"/>
        <v>#REF!</v>
      </c>
      <c r="AB121" s="54" t="e">
        <f t="shared" si="26"/>
        <v>#REF!</v>
      </c>
      <c r="AD121" s="42"/>
      <c r="AE121" s="41"/>
    </row>
    <row r="122" spans="1:32">
      <c r="B122" s="96" t="e">
        <f>'115+040'!#REF!</f>
        <v>#REF!</v>
      </c>
      <c r="C122" s="66" t="e">
        <f t="shared" si="18"/>
        <v>#REF!</v>
      </c>
      <c r="D122" s="65" t="e">
        <f t="shared" si="19"/>
        <v>#REF!</v>
      </c>
      <c r="E122" s="64" t="e">
        <f>VLOOKUP(B122,'115+040'!B120:AB221,3,FALSE)</f>
        <v>#REF!</v>
      </c>
      <c r="F122" s="61" t="e">
        <f t="shared" si="14"/>
        <v>#REF!</v>
      </c>
      <c r="G122" s="63" t="e">
        <f>VLOOKUP(B122,'115+040'!$B$12:$AB$621,20,FALSE)</f>
        <v>#REF!</v>
      </c>
      <c r="H122" s="63" t="e">
        <f>VLOOKUP(B122,'115+040'!$B$12:$AB$621,4,FALSE)</f>
        <v>#REF!</v>
      </c>
      <c r="I122" s="60" t="e">
        <f t="shared" si="15"/>
        <v>#REF!</v>
      </c>
      <c r="J122" s="60" t="e">
        <f>VLOOKUP(B122,'115+040'!$B$12:$AB$621,13,FALSE)</f>
        <v>#REF!</v>
      </c>
      <c r="K122" s="58">
        <f>'115+040'!R120</f>
        <v>0</v>
      </c>
      <c r="L122" s="57">
        <f t="shared" si="20"/>
        <v>253</v>
      </c>
      <c r="M122" s="62" t="e">
        <f>VLOOKUP(B122,'115+040'!$B$11:$AB$621,21,FALSE)</f>
        <v>#REF!</v>
      </c>
      <c r="N122" s="61" t="e">
        <f>VLOOKUP(B122,'115+040'!$B$12:$AB$621,5,FALSE)</f>
        <v>#REF!</v>
      </c>
      <c r="O122" s="60" t="e">
        <f t="shared" si="16"/>
        <v>#REF!</v>
      </c>
      <c r="P122" s="60" t="e">
        <f>VLOOKUP(B122,'115+040'!$B$12:$AB$621,14,FALSE)</f>
        <v>#REF!</v>
      </c>
      <c r="Q122" s="58">
        <f>'115+040'!S120</f>
        <v>0</v>
      </c>
      <c r="R122" s="57">
        <f t="shared" si="21"/>
        <v>286</v>
      </c>
      <c r="S122" s="62" t="e">
        <f>VLOOKUP(B122,'115+040'!$B$11:$AB$621,22,FALSE)</f>
        <v>#REF!</v>
      </c>
      <c r="T122" s="61" t="e">
        <f>VLOOKUP(B122,'115+040'!$B$12:$AB$621,6,FALSE)</f>
        <v>#REF!</v>
      </c>
      <c r="U122" s="60" t="e">
        <f t="shared" si="17"/>
        <v>#REF!</v>
      </c>
      <c r="V122" s="59" t="e">
        <f>VLOOKUP(B122,'115+040'!$B$12:$AB$621,15,FALSE)</f>
        <v>#REF!</v>
      </c>
      <c r="W122" s="58">
        <f>'[4]114+940'!S123</f>
        <v>0</v>
      </c>
      <c r="X122" s="57">
        <f t="shared" si="22"/>
        <v>144</v>
      </c>
      <c r="Y122" s="56" t="e">
        <f t="shared" si="23"/>
        <v>#REF!</v>
      </c>
      <c r="Z122" s="55" t="e">
        <f t="shared" si="24"/>
        <v>#REF!</v>
      </c>
      <c r="AA122" s="54" t="e">
        <f t="shared" si="25"/>
        <v>#REF!</v>
      </c>
      <c r="AB122" s="54" t="e">
        <f t="shared" si="26"/>
        <v>#REF!</v>
      </c>
      <c r="AD122" s="42"/>
      <c r="AE122" s="41"/>
    </row>
    <row r="123" spans="1:32">
      <c r="B123" s="96" t="e">
        <f>'115+040'!#REF!</f>
        <v>#REF!</v>
      </c>
      <c r="C123" s="66" t="e">
        <f t="shared" si="18"/>
        <v>#REF!</v>
      </c>
      <c r="D123" s="65" t="e">
        <f t="shared" si="19"/>
        <v>#REF!</v>
      </c>
      <c r="E123" s="64" t="e">
        <f>VLOOKUP(B123,'115+040'!B121:AB222,3,FALSE)</f>
        <v>#REF!</v>
      </c>
      <c r="F123" s="61" t="e">
        <f t="shared" si="14"/>
        <v>#REF!</v>
      </c>
      <c r="G123" s="63" t="e">
        <f>VLOOKUP(B123,'115+040'!$B$12:$AB$621,20,FALSE)</f>
        <v>#REF!</v>
      </c>
      <c r="H123" s="63" t="e">
        <f>VLOOKUP(B123,'115+040'!$B$12:$AB$621,4,FALSE)</f>
        <v>#REF!</v>
      </c>
      <c r="I123" s="60" t="e">
        <f t="shared" si="15"/>
        <v>#REF!</v>
      </c>
      <c r="J123" s="60" t="e">
        <f>VLOOKUP(B123,'115+040'!$B$12:$AB$621,13,FALSE)</f>
        <v>#REF!</v>
      </c>
      <c r="K123" s="58">
        <f>'115+040'!R121</f>
        <v>0</v>
      </c>
      <c r="L123" s="57">
        <f t="shared" si="20"/>
        <v>253</v>
      </c>
      <c r="M123" s="62" t="e">
        <f>VLOOKUP(B123,'115+040'!$B$11:$AB$621,21,FALSE)</f>
        <v>#REF!</v>
      </c>
      <c r="N123" s="61" t="e">
        <f>VLOOKUP(B123,'115+040'!$B$12:$AB$621,5,FALSE)</f>
        <v>#REF!</v>
      </c>
      <c r="O123" s="60" t="e">
        <f t="shared" si="16"/>
        <v>#REF!</v>
      </c>
      <c r="P123" s="60" t="e">
        <f>VLOOKUP(B123,'115+040'!$B$12:$AB$621,14,FALSE)</f>
        <v>#REF!</v>
      </c>
      <c r="Q123" s="58">
        <f>'115+040'!S121</f>
        <v>0</v>
      </c>
      <c r="R123" s="57">
        <f t="shared" si="21"/>
        <v>286</v>
      </c>
      <c r="S123" s="62" t="e">
        <f>VLOOKUP(B123,'115+040'!$B$11:$AB$621,22,FALSE)</f>
        <v>#REF!</v>
      </c>
      <c r="T123" s="61" t="e">
        <f>VLOOKUP(B123,'115+040'!$B$12:$AB$621,6,FALSE)</f>
        <v>#REF!</v>
      </c>
      <c r="U123" s="60" t="e">
        <f t="shared" si="17"/>
        <v>#REF!</v>
      </c>
      <c r="V123" s="59" t="e">
        <f>VLOOKUP(B123,'115+040'!$B$12:$AB$621,15,FALSE)</f>
        <v>#REF!</v>
      </c>
      <c r="W123" s="58">
        <f>'[4]114+940'!S124</f>
        <v>0</v>
      </c>
      <c r="X123" s="57">
        <f t="shared" si="22"/>
        <v>144</v>
      </c>
      <c r="Y123" s="56" t="e">
        <f t="shared" si="23"/>
        <v>#REF!</v>
      </c>
      <c r="Z123" s="55" t="e">
        <f t="shared" si="24"/>
        <v>#REF!</v>
      </c>
      <c r="AA123" s="54" t="e">
        <f t="shared" si="25"/>
        <v>#REF!</v>
      </c>
      <c r="AB123" s="54" t="e">
        <f t="shared" si="26"/>
        <v>#REF!</v>
      </c>
      <c r="AD123" s="42"/>
      <c r="AE123" s="41"/>
    </row>
    <row r="124" spans="1:32">
      <c r="B124" s="96" t="e">
        <f>'115+040'!#REF!</f>
        <v>#REF!</v>
      </c>
      <c r="C124" s="66" t="e">
        <f t="shared" si="18"/>
        <v>#REF!</v>
      </c>
      <c r="D124" s="65" t="e">
        <f t="shared" si="19"/>
        <v>#REF!</v>
      </c>
      <c r="E124" s="64" t="e">
        <f>VLOOKUP(B124,'115+040'!B122:AB223,3,FALSE)</f>
        <v>#REF!</v>
      </c>
      <c r="F124" s="61" t="e">
        <f t="shared" si="14"/>
        <v>#REF!</v>
      </c>
      <c r="G124" s="63" t="e">
        <f>VLOOKUP(B124,'115+040'!$B$12:$AB$621,20,FALSE)</f>
        <v>#REF!</v>
      </c>
      <c r="H124" s="63" t="e">
        <f>VLOOKUP(B124,'115+040'!$B$12:$AB$621,4,FALSE)</f>
        <v>#REF!</v>
      </c>
      <c r="I124" s="60" t="e">
        <f t="shared" si="15"/>
        <v>#REF!</v>
      </c>
      <c r="J124" s="60" t="e">
        <f>VLOOKUP(B124,'115+040'!$B$12:$AB$621,13,FALSE)</f>
        <v>#REF!</v>
      </c>
      <c r="K124" s="58">
        <f>'115+040'!R122</f>
        <v>0</v>
      </c>
      <c r="L124" s="57">
        <f t="shared" si="20"/>
        <v>253</v>
      </c>
      <c r="M124" s="62" t="e">
        <f>VLOOKUP(B124,'115+040'!$B$11:$AB$621,21,FALSE)</f>
        <v>#REF!</v>
      </c>
      <c r="N124" s="61" t="e">
        <f>VLOOKUP(B124,'115+040'!$B$12:$AB$621,5,FALSE)</f>
        <v>#REF!</v>
      </c>
      <c r="O124" s="60" t="e">
        <f t="shared" si="16"/>
        <v>#REF!</v>
      </c>
      <c r="P124" s="60" t="e">
        <f>VLOOKUP(B124,'115+040'!$B$12:$AB$621,14,FALSE)</f>
        <v>#REF!</v>
      </c>
      <c r="Q124" s="58">
        <f>'115+040'!S122</f>
        <v>0</v>
      </c>
      <c r="R124" s="57">
        <f t="shared" si="21"/>
        <v>286</v>
      </c>
      <c r="S124" s="62" t="e">
        <f>VLOOKUP(B124,'115+040'!$B$11:$AB$621,22,FALSE)</f>
        <v>#REF!</v>
      </c>
      <c r="T124" s="61" t="e">
        <f>VLOOKUP(B124,'115+040'!$B$12:$AB$621,6,FALSE)</f>
        <v>#REF!</v>
      </c>
      <c r="U124" s="60" t="e">
        <f t="shared" si="17"/>
        <v>#REF!</v>
      </c>
      <c r="V124" s="59" t="e">
        <f>VLOOKUP(B124,'115+040'!$B$12:$AB$621,15,FALSE)</f>
        <v>#REF!</v>
      </c>
      <c r="W124" s="58">
        <f>'[4]114+940'!S125</f>
        <v>0</v>
      </c>
      <c r="X124" s="57">
        <f t="shared" si="22"/>
        <v>144</v>
      </c>
      <c r="Y124" s="56" t="e">
        <f t="shared" si="23"/>
        <v>#REF!</v>
      </c>
      <c r="Z124" s="55" t="e">
        <f t="shared" si="24"/>
        <v>#REF!</v>
      </c>
      <c r="AA124" s="54" t="e">
        <f t="shared" si="25"/>
        <v>#REF!</v>
      </c>
      <c r="AB124" s="54" t="e">
        <f t="shared" si="26"/>
        <v>#REF!</v>
      </c>
      <c r="AD124" s="42"/>
      <c r="AE124" s="41"/>
    </row>
    <row r="125" spans="1:32">
      <c r="B125" s="96" t="e">
        <f>'115+040'!#REF!</f>
        <v>#REF!</v>
      </c>
      <c r="C125" s="66" t="e">
        <f t="shared" si="18"/>
        <v>#REF!</v>
      </c>
      <c r="D125" s="65" t="e">
        <f t="shared" si="19"/>
        <v>#REF!</v>
      </c>
      <c r="E125" s="64" t="e">
        <f>VLOOKUP(B125,'115+040'!B123:AB224,3,FALSE)</f>
        <v>#REF!</v>
      </c>
      <c r="F125" s="61" t="e">
        <f t="shared" si="14"/>
        <v>#REF!</v>
      </c>
      <c r="G125" s="63" t="e">
        <f>VLOOKUP(B125,'115+040'!$B$12:$AB$621,20,FALSE)</f>
        <v>#REF!</v>
      </c>
      <c r="H125" s="63" t="e">
        <f>VLOOKUP(B125,'115+040'!$B$12:$AB$621,4,FALSE)</f>
        <v>#REF!</v>
      </c>
      <c r="I125" s="60" t="e">
        <f t="shared" si="15"/>
        <v>#REF!</v>
      </c>
      <c r="J125" s="60" t="e">
        <f>VLOOKUP(B125,'115+040'!$B$12:$AB$621,13,FALSE)</f>
        <v>#REF!</v>
      </c>
      <c r="K125" s="58">
        <f>'115+040'!R123</f>
        <v>0</v>
      </c>
      <c r="L125" s="57">
        <f t="shared" si="20"/>
        <v>253</v>
      </c>
      <c r="M125" s="62" t="e">
        <f>VLOOKUP(B125,'115+040'!$B$11:$AB$621,21,FALSE)</f>
        <v>#REF!</v>
      </c>
      <c r="N125" s="61" t="e">
        <f>VLOOKUP(B125,'115+040'!$B$12:$AB$621,5,FALSE)</f>
        <v>#REF!</v>
      </c>
      <c r="O125" s="60" t="e">
        <f t="shared" si="16"/>
        <v>#REF!</v>
      </c>
      <c r="P125" s="60" t="e">
        <f>VLOOKUP(B125,'115+040'!$B$12:$AB$621,14,FALSE)</f>
        <v>#REF!</v>
      </c>
      <c r="Q125" s="58">
        <f>'115+040'!S123</f>
        <v>0</v>
      </c>
      <c r="R125" s="57">
        <f t="shared" si="21"/>
        <v>286</v>
      </c>
      <c r="S125" s="62" t="e">
        <f>VLOOKUP(B125,'115+040'!$B$11:$AB$621,22,FALSE)</f>
        <v>#REF!</v>
      </c>
      <c r="T125" s="61" t="e">
        <f>VLOOKUP(B125,'115+040'!$B$12:$AB$621,6,FALSE)</f>
        <v>#REF!</v>
      </c>
      <c r="U125" s="60" t="e">
        <f t="shared" si="17"/>
        <v>#REF!</v>
      </c>
      <c r="V125" s="59" t="e">
        <f>VLOOKUP(B125,'115+040'!$B$12:$AB$621,15,FALSE)</f>
        <v>#REF!</v>
      </c>
      <c r="W125" s="58">
        <f>'[4]114+940'!S126</f>
        <v>0</v>
      </c>
      <c r="X125" s="57">
        <f t="shared" si="22"/>
        <v>144</v>
      </c>
      <c r="Y125" s="56" t="e">
        <f t="shared" si="23"/>
        <v>#REF!</v>
      </c>
      <c r="Z125" s="55" t="e">
        <f t="shared" si="24"/>
        <v>#REF!</v>
      </c>
      <c r="AA125" s="54" t="e">
        <f t="shared" si="25"/>
        <v>#REF!</v>
      </c>
      <c r="AB125" s="54" t="e">
        <f t="shared" si="26"/>
        <v>#REF!</v>
      </c>
      <c r="AD125" s="42"/>
      <c r="AE125" s="41"/>
    </row>
    <row r="126" spans="1:32">
      <c r="B126" s="96" t="e">
        <f>'115+040'!#REF!</f>
        <v>#REF!</v>
      </c>
      <c r="C126" s="66" t="e">
        <f t="shared" si="18"/>
        <v>#REF!</v>
      </c>
      <c r="D126" s="65" t="e">
        <f t="shared" si="19"/>
        <v>#REF!</v>
      </c>
      <c r="E126" s="64" t="e">
        <f>VLOOKUP(B126,'115+040'!B124:AB225,3,FALSE)</f>
        <v>#REF!</v>
      </c>
      <c r="F126" s="61" t="e">
        <f t="shared" si="14"/>
        <v>#REF!</v>
      </c>
      <c r="G126" s="63" t="e">
        <f>VLOOKUP(B126,'115+040'!$B$12:$AB$621,20,FALSE)</f>
        <v>#REF!</v>
      </c>
      <c r="H126" s="63" t="e">
        <f>VLOOKUP(B126,'115+040'!$B$12:$AB$621,4,FALSE)</f>
        <v>#REF!</v>
      </c>
      <c r="I126" s="60" t="e">
        <f t="shared" si="15"/>
        <v>#REF!</v>
      </c>
      <c r="J126" s="60" t="e">
        <f>VLOOKUP(B126,'115+040'!$B$12:$AB$621,13,FALSE)</f>
        <v>#REF!</v>
      </c>
      <c r="K126" s="58">
        <f>'115+040'!R124</f>
        <v>0</v>
      </c>
      <c r="L126" s="57">
        <f t="shared" si="20"/>
        <v>253</v>
      </c>
      <c r="M126" s="62" t="e">
        <f>VLOOKUP(B126,'115+040'!$B$11:$AB$621,21,FALSE)</f>
        <v>#REF!</v>
      </c>
      <c r="N126" s="61" t="e">
        <f>VLOOKUP(B126,'115+040'!$B$12:$AB$621,5,FALSE)</f>
        <v>#REF!</v>
      </c>
      <c r="O126" s="60" t="e">
        <f t="shared" si="16"/>
        <v>#REF!</v>
      </c>
      <c r="P126" s="60" t="e">
        <f>VLOOKUP(B126,'115+040'!$B$12:$AB$621,14,FALSE)</f>
        <v>#REF!</v>
      </c>
      <c r="Q126" s="58">
        <f>'115+040'!S124</f>
        <v>0</v>
      </c>
      <c r="R126" s="57">
        <f t="shared" si="21"/>
        <v>286</v>
      </c>
      <c r="S126" s="62" t="e">
        <f>VLOOKUP(B126,'115+040'!$B$11:$AB$621,22,FALSE)</f>
        <v>#REF!</v>
      </c>
      <c r="T126" s="61" t="e">
        <f>VLOOKUP(B126,'115+040'!$B$12:$AB$621,6,FALSE)</f>
        <v>#REF!</v>
      </c>
      <c r="U126" s="60" t="e">
        <f t="shared" si="17"/>
        <v>#REF!</v>
      </c>
      <c r="V126" s="59" t="e">
        <f>VLOOKUP(B126,'115+040'!$B$12:$AB$621,15,FALSE)</f>
        <v>#REF!</v>
      </c>
      <c r="W126" s="58">
        <f>'[4]114+940'!S127</f>
        <v>0</v>
      </c>
      <c r="X126" s="57">
        <f t="shared" si="22"/>
        <v>144</v>
      </c>
      <c r="Y126" s="56" t="e">
        <f t="shared" si="23"/>
        <v>#REF!</v>
      </c>
      <c r="Z126" s="55" t="e">
        <f t="shared" si="24"/>
        <v>#REF!</v>
      </c>
      <c r="AA126" s="54" t="e">
        <f t="shared" si="25"/>
        <v>#REF!</v>
      </c>
      <c r="AB126" s="54" t="e">
        <f t="shared" si="26"/>
        <v>#REF!</v>
      </c>
      <c r="AD126" s="42"/>
      <c r="AE126" s="41"/>
    </row>
    <row r="127" spans="1:32">
      <c r="B127" s="96" t="e">
        <f>'115+040'!#REF!</f>
        <v>#REF!</v>
      </c>
      <c r="C127" s="66" t="e">
        <f t="shared" si="18"/>
        <v>#REF!</v>
      </c>
      <c r="D127" s="65" t="e">
        <f t="shared" si="19"/>
        <v>#REF!</v>
      </c>
      <c r="E127" s="64" t="e">
        <f>VLOOKUP(B127,'115+040'!B125:AB226,3,FALSE)</f>
        <v>#REF!</v>
      </c>
      <c r="F127" s="61" t="e">
        <f t="shared" si="14"/>
        <v>#REF!</v>
      </c>
      <c r="G127" s="63" t="e">
        <f>VLOOKUP(B127,'115+040'!$B$12:$AB$621,20,FALSE)</f>
        <v>#REF!</v>
      </c>
      <c r="H127" s="63" t="e">
        <f>VLOOKUP(B127,'115+040'!$B$12:$AB$621,4,FALSE)</f>
        <v>#REF!</v>
      </c>
      <c r="I127" s="60" t="e">
        <f t="shared" si="15"/>
        <v>#REF!</v>
      </c>
      <c r="J127" s="60" t="e">
        <f>VLOOKUP(B127,'115+040'!$B$12:$AB$621,13,FALSE)</f>
        <v>#REF!</v>
      </c>
      <c r="K127" s="58">
        <f>'115+040'!R125</f>
        <v>0</v>
      </c>
      <c r="L127" s="57">
        <f t="shared" si="20"/>
        <v>253</v>
      </c>
      <c r="M127" s="62" t="e">
        <f>VLOOKUP(B127,'115+040'!$B$11:$AB$621,21,FALSE)</f>
        <v>#REF!</v>
      </c>
      <c r="N127" s="61" t="e">
        <f>VLOOKUP(B127,'115+040'!$B$12:$AB$621,5,FALSE)</f>
        <v>#REF!</v>
      </c>
      <c r="O127" s="60" t="e">
        <f t="shared" si="16"/>
        <v>#REF!</v>
      </c>
      <c r="P127" s="60" t="e">
        <f>VLOOKUP(B127,'115+040'!$B$12:$AB$621,14,FALSE)</f>
        <v>#REF!</v>
      </c>
      <c r="Q127" s="58">
        <f>'115+040'!S125</f>
        <v>0</v>
      </c>
      <c r="R127" s="57">
        <f t="shared" si="21"/>
        <v>286</v>
      </c>
      <c r="S127" s="62" t="e">
        <f>VLOOKUP(B127,'115+040'!$B$11:$AB$621,22,FALSE)</f>
        <v>#REF!</v>
      </c>
      <c r="T127" s="61" t="e">
        <f>VLOOKUP(B127,'115+040'!$B$12:$AB$621,6,FALSE)</f>
        <v>#REF!</v>
      </c>
      <c r="U127" s="60" t="e">
        <f t="shared" si="17"/>
        <v>#REF!</v>
      </c>
      <c r="V127" s="59" t="e">
        <f>VLOOKUP(B127,'115+040'!$B$12:$AB$621,15,FALSE)</f>
        <v>#REF!</v>
      </c>
      <c r="W127" s="58">
        <f>'[4]114+940'!S128</f>
        <v>0</v>
      </c>
      <c r="X127" s="57">
        <f t="shared" si="22"/>
        <v>144</v>
      </c>
      <c r="Y127" s="56" t="e">
        <f t="shared" si="23"/>
        <v>#REF!</v>
      </c>
      <c r="Z127" s="55" t="e">
        <f t="shared" si="24"/>
        <v>#REF!</v>
      </c>
      <c r="AA127" s="54" t="e">
        <f t="shared" si="25"/>
        <v>#REF!</v>
      </c>
      <c r="AB127" s="54" t="e">
        <f t="shared" si="26"/>
        <v>#REF!</v>
      </c>
      <c r="AD127" s="42"/>
      <c r="AE127" s="41"/>
    </row>
    <row r="128" spans="1:32">
      <c r="B128" s="96" t="e">
        <f>'115+040'!#REF!</f>
        <v>#REF!</v>
      </c>
      <c r="C128" s="66" t="e">
        <f t="shared" si="18"/>
        <v>#REF!</v>
      </c>
      <c r="D128" s="65" t="e">
        <f t="shared" si="19"/>
        <v>#REF!</v>
      </c>
      <c r="E128" s="64" t="e">
        <f>VLOOKUP(B128,'115+040'!B126:AB227,3,FALSE)</f>
        <v>#REF!</v>
      </c>
      <c r="F128" s="61" t="e">
        <f t="shared" si="14"/>
        <v>#REF!</v>
      </c>
      <c r="G128" s="63" t="e">
        <f>VLOOKUP(B128,'115+040'!$B$12:$AB$621,20,FALSE)</f>
        <v>#REF!</v>
      </c>
      <c r="H128" s="63" t="e">
        <f>VLOOKUP(B128,'115+040'!$B$12:$AB$621,4,FALSE)</f>
        <v>#REF!</v>
      </c>
      <c r="I128" s="60" t="e">
        <f t="shared" si="15"/>
        <v>#REF!</v>
      </c>
      <c r="J128" s="60" t="e">
        <f>VLOOKUP(B128,'115+040'!$B$12:$AB$621,13,FALSE)</f>
        <v>#REF!</v>
      </c>
      <c r="K128" s="58">
        <f>'115+040'!R126</f>
        <v>0</v>
      </c>
      <c r="L128" s="57">
        <f t="shared" si="20"/>
        <v>253</v>
      </c>
      <c r="M128" s="62" t="e">
        <f>VLOOKUP(B128,'115+040'!$B$11:$AB$621,21,FALSE)</f>
        <v>#REF!</v>
      </c>
      <c r="N128" s="61" t="e">
        <f>VLOOKUP(B128,'115+040'!$B$12:$AB$621,5,FALSE)</f>
        <v>#REF!</v>
      </c>
      <c r="O128" s="60" t="e">
        <f t="shared" si="16"/>
        <v>#REF!</v>
      </c>
      <c r="P128" s="60" t="e">
        <f>VLOOKUP(B128,'115+040'!$B$12:$AB$621,14,FALSE)</f>
        <v>#REF!</v>
      </c>
      <c r="Q128" s="58">
        <f>'115+040'!S126</f>
        <v>0</v>
      </c>
      <c r="R128" s="57">
        <f t="shared" si="21"/>
        <v>286</v>
      </c>
      <c r="S128" s="62" t="e">
        <f>VLOOKUP(B128,'115+040'!$B$11:$AB$621,22,FALSE)</f>
        <v>#REF!</v>
      </c>
      <c r="T128" s="61" t="e">
        <f>VLOOKUP(B128,'115+040'!$B$12:$AB$621,6,FALSE)</f>
        <v>#REF!</v>
      </c>
      <c r="U128" s="60" t="e">
        <f t="shared" si="17"/>
        <v>#REF!</v>
      </c>
      <c r="V128" s="59" t="e">
        <f>VLOOKUP(B128,'115+040'!$B$12:$AB$621,15,FALSE)</f>
        <v>#REF!</v>
      </c>
      <c r="W128" s="58">
        <f>'[4]114+940'!S129</f>
        <v>0</v>
      </c>
      <c r="X128" s="57">
        <f t="shared" si="22"/>
        <v>144</v>
      </c>
      <c r="Y128" s="56" t="e">
        <f t="shared" si="23"/>
        <v>#REF!</v>
      </c>
      <c r="Z128" s="55" t="e">
        <f t="shared" si="24"/>
        <v>#REF!</v>
      </c>
      <c r="AA128" s="54" t="e">
        <f t="shared" si="25"/>
        <v>#REF!</v>
      </c>
      <c r="AB128" s="54" t="e">
        <f t="shared" si="26"/>
        <v>#REF!</v>
      </c>
      <c r="AD128" s="42"/>
      <c r="AE128" s="41"/>
    </row>
    <row r="129" spans="2:31">
      <c r="B129" s="96" t="e">
        <f>'115+040'!#REF!</f>
        <v>#REF!</v>
      </c>
      <c r="C129" s="66" t="e">
        <f t="shared" si="18"/>
        <v>#REF!</v>
      </c>
      <c r="D129" s="65" t="e">
        <f t="shared" si="19"/>
        <v>#REF!</v>
      </c>
      <c r="E129" s="64" t="e">
        <f>VLOOKUP(B129,'115+040'!B127:AB228,3,FALSE)</f>
        <v>#REF!</v>
      </c>
      <c r="F129" s="61" t="e">
        <f t="shared" si="14"/>
        <v>#REF!</v>
      </c>
      <c r="G129" s="63" t="e">
        <f>VLOOKUP(B129,'115+040'!$B$12:$AB$621,20,FALSE)</f>
        <v>#REF!</v>
      </c>
      <c r="H129" s="63" t="e">
        <f>VLOOKUP(B129,'115+040'!$B$12:$AB$621,4,FALSE)</f>
        <v>#REF!</v>
      </c>
      <c r="I129" s="60" t="e">
        <f t="shared" si="15"/>
        <v>#REF!</v>
      </c>
      <c r="J129" s="60" t="e">
        <f>VLOOKUP(B129,'115+040'!$B$12:$AB$621,13,FALSE)</f>
        <v>#REF!</v>
      </c>
      <c r="K129" s="58">
        <f>'115+040'!R127</f>
        <v>0</v>
      </c>
      <c r="L129" s="57">
        <f t="shared" si="20"/>
        <v>253</v>
      </c>
      <c r="M129" s="62" t="e">
        <f>VLOOKUP(B129,'115+040'!$B$11:$AB$621,21,FALSE)</f>
        <v>#REF!</v>
      </c>
      <c r="N129" s="61" t="e">
        <f>VLOOKUP(B129,'115+040'!$B$12:$AB$621,5,FALSE)</f>
        <v>#REF!</v>
      </c>
      <c r="O129" s="60" t="e">
        <f t="shared" si="16"/>
        <v>#REF!</v>
      </c>
      <c r="P129" s="60" t="e">
        <f>VLOOKUP(B129,'115+040'!$B$12:$AB$621,14,FALSE)</f>
        <v>#REF!</v>
      </c>
      <c r="Q129" s="58">
        <f>'115+040'!S127</f>
        <v>0</v>
      </c>
      <c r="R129" s="57">
        <f t="shared" si="21"/>
        <v>286</v>
      </c>
      <c r="S129" s="62" t="e">
        <f>VLOOKUP(B129,'115+040'!$B$11:$AB$621,22,FALSE)</f>
        <v>#REF!</v>
      </c>
      <c r="T129" s="61" t="e">
        <f>VLOOKUP(B129,'115+040'!$B$12:$AB$621,6,FALSE)</f>
        <v>#REF!</v>
      </c>
      <c r="U129" s="60" t="e">
        <f t="shared" si="17"/>
        <v>#REF!</v>
      </c>
      <c r="V129" s="59" t="e">
        <f>VLOOKUP(B129,'115+040'!$B$12:$AB$621,15,FALSE)</f>
        <v>#REF!</v>
      </c>
      <c r="W129" s="58">
        <f>'[4]114+940'!S130</f>
        <v>0</v>
      </c>
      <c r="X129" s="57">
        <f t="shared" si="22"/>
        <v>144</v>
      </c>
      <c r="Y129" s="56" t="e">
        <f t="shared" si="23"/>
        <v>#REF!</v>
      </c>
      <c r="Z129" s="55" t="e">
        <f t="shared" si="24"/>
        <v>#REF!</v>
      </c>
      <c r="AA129" s="54" t="e">
        <f t="shared" si="25"/>
        <v>#REF!</v>
      </c>
      <c r="AB129" s="54" t="e">
        <f t="shared" si="26"/>
        <v>#REF!</v>
      </c>
      <c r="AD129" s="42"/>
      <c r="AE129" s="41"/>
    </row>
    <row r="130" spans="2:31">
      <c r="B130" s="96" t="e">
        <f>'115+040'!#REF!</f>
        <v>#REF!</v>
      </c>
      <c r="C130" s="66" t="e">
        <f t="shared" si="18"/>
        <v>#REF!</v>
      </c>
      <c r="D130" s="65" t="e">
        <f t="shared" si="19"/>
        <v>#REF!</v>
      </c>
      <c r="E130" s="64" t="e">
        <f>VLOOKUP(B130,'115+040'!B128:AB229,3,FALSE)</f>
        <v>#REF!</v>
      </c>
      <c r="F130" s="61" t="e">
        <f t="shared" si="14"/>
        <v>#REF!</v>
      </c>
      <c r="G130" s="63" t="e">
        <f>VLOOKUP(B130,'115+040'!$B$12:$AB$621,20,FALSE)</f>
        <v>#REF!</v>
      </c>
      <c r="H130" s="63" t="e">
        <f>VLOOKUP(B130,'115+040'!$B$12:$AB$621,4,FALSE)</f>
        <v>#REF!</v>
      </c>
      <c r="I130" s="60" t="e">
        <f t="shared" si="15"/>
        <v>#REF!</v>
      </c>
      <c r="J130" s="60" t="e">
        <f>VLOOKUP(B130,'115+040'!$B$12:$AB$621,13,FALSE)</f>
        <v>#REF!</v>
      </c>
      <c r="K130" s="58">
        <f>'115+040'!R128</f>
        <v>0</v>
      </c>
      <c r="L130" s="57">
        <f t="shared" si="20"/>
        <v>253</v>
      </c>
      <c r="M130" s="62" t="e">
        <f>VLOOKUP(B130,'115+040'!$B$11:$AB$621,21,FALSE)</f>
        <v>#REF!</v>
      </c>
      <c r="N130" s="61" t="e">
        <f>VLOOKUP(B130,'115+040'!$B$12:$AB$621,5,FALSE)</f>
        <v>#REF!</v>
      </c>
      <c r="O130" s="60" t="e">
        <f t="shared" si="16"/>
        <v>#REF!</v>
      </c>
      <c r="P130" s="60" t="e">
        <f>VLOOKUP(B130,'115+040'!$B$12:$AB$621,14,FALSE)</f>
        <v>#REF!</v>
      </c>
      <c r="Q130" s="58">
        <f>'115+040'!S128</f>
        <v>0</v>
      </c>
      <c r="R130" s="57">
        <f t="shared" si="21"/>
        <v>286</v>
      </c>
      <c r="S130" s="62" t="e">
        <f>VLOOKUP(B130,'115+040'!$B$11:$AB$621,22,FALSE)</f>
        <v>#REF!</v>
      </c>
      <c r="T130" s="61" t="e">
        <f>VLOOKUP(B130,'115+040'!$B$12:$AB$621,6,FALSE)</f>
        <v>#REF!</v>
      </c>
      <c r="U130" s="60" t="e">
        <f t="shared" si="17"/>
        <v>#REF!</v>
      </c>
      <c r="V130" s="59" t="e">
        <f>VLOOKUP(B130,'115+040'!$B$12:$AB$621,15,FALSE)</f>
        <v>#REF!</v>
      </c>
      <c r="W130" s="58">
        <f>'[4]114+940'!S131</f>
        <v>0</v>
      </c>
      <c r="X130" s="57">
        <f t="shared" si="22"/>
        <v>144</v>
      </c>
      <c r="Y130" s="56" t="e">
        <f t="shared" si="23"/>
        <v>#REF!</v>
      </c>
      <c r="Z130" s="55" t="e">
        <f t="shared" si="24"/>
        <v>#REF!</v>
      </c>
      <c r="AA130" s="54" t="e">
        <f t="shared" si="25"/>
        <v>#REF!</v>
      </c>
      <c r="AB130" s="54" t="e">
        <f t="shared" si="26"/>
        <v>#REF!</v>
      </c>
      <c r="AD130" s="42"/>
      <c r="AE130" s="41"/>
    </row>
    <row r="131" spans="2:31">
      <c r="B131" s="96" t="e">
        <f>'115+040'!#REF!</f>
        <v>#REF!</v>
      </c>
      <c r="C131" s="66" t="e">
        <f t="shared" si="18"/>
        <v>#REF!</v>
      </c>
      <c r="D131" s="65" t="e">
        <f t="shared" si="19"/>
        <v>#REF!</v>
      </c>
      <c r="E131" s="64" t="e">
        <f>VLOOKUP(B131,'115+040'!B129:AB230,3,FALSE)</f>
        <v>#REF!</v>
      </c>
      <c r="F131" s="61" t="e">
        <f t="shared" si="14"/>
        <v>#REF!</v>
      </c>
      <c r="G131" s="63" t="e">
        <f>VLOOKUP(B131,'115+040'!$B$12:$AB$621,20,FALSE)</f>
        <v>#REF!</v>
      </c>
      <c r="H131" s="63" t="e">
        <f>VLOOKUP(B131,'115+040'!$B$12:$AB$621,4,FALSE)</f>
        <v>#REF!</v>
      </c>
      <c r="I131" s="60" t="e">
        <f t="shared" si="15"/>
        <v>#REF!</v>
      </c>
      <c r="J131" s="60" t="e">
        <f>VLOOKUP(B131,'115+040'!$B$12:$AB$621,13,FALSE)</f>
        <v>#REF!</v>
      </c>
      <c r="K131" s="58">
        <f>'115+040'!R129</f>
        <v>0</v>
      </c>
      <c r="L131" s="57">
        <f t="shared" si="20"/>
        <v>253</v>
      </c>
      <c r="M131" s="62" t="e">
        <f>VLOOKUP(B131,'115+040'!$B$11:$AB$621,21,FALSE)</f>
        <v>#REF!</v>
      </c>
      <c r="N131" s="61" t="e">
        <f>VLOOKUP(B131,'115+040'!$B$12:$AB$621,5,FALSE)</f>
        <v>#REF!</v>
      </c>
      <c r="O131" s="60" t="e">
        <f t="shared" si="16"/>
        <v>#REF!</v>
      </c>
      <c r="P131" s="60" t="e">
        <f>VLOOKUP(B131,'115+040'!$B$12:$AB$621,14,FALSE)</f>
        <v>#REF!</v>
      </c>
      <c r="Q131" s="58">
        <f>'115+040'!S129</f>
        <v>0</v>
      </c>
      <c r="R131" s="57">
        <f t="shared" si="21"/>
        <v>286</v>
      </c>
      <c r="S131" s="62" t="e">
        <f>VLOOKUP(B131,'115+040'!$B$11:$AB$621,22,FALSE)</f>
        <v>#REF!</v>
      </c>
      <c r="T131" s="61" t="e">
        <f>VLOOKUP(B131,'115+040'!$B$12:$AB$621,6,FALSE)</f>
        <v>#REF!</v>
      </c>
      <c r="U131" s="60" t="e">
        <f t="shared" si="17"/>
        <v>#REF!</v>
      </c>
      <c r="V131" s="59" t="e">
        <f>VLOOKUP(B131,'115+040'!$B$12:$AB$621,15,FALSE)</f>
        <v>#REF!</v>
      </c>
      <c r="W131" s="58">
        <f>'[4]114+940'!S132</f>
        <v>0</v>
      </c>
      <c r="X131" s="57">
        <f t="shared" si="22"/>
        <v>144</v>
      </c>
      <c r="Y131" s="56" t="e">
        <f t="shared" si="23"/>
        <v>#REF!</v>
      </c>
      <c r="Z131" s="55" t="e">
        <f t="shared" si="24"/>
        <v>#REF!</v>
      </c>
      <c r="AA131" s="54" t="e">
        <f t="shared" si="25"/>
        <v>#REF!</v>
      </c>
      <c r="AB131" s="54" t="e">
        <f t="shared" si="26"/>
        <v>#REF!</v>
      </c>
    </row>
    <row r="132" spans="2:31">
      <c r="B132" s="96" t="e">
        <f>'115+040'!#REF!</f>
        <v>#REF!</v>
      </c>
      <c r="C132" s="66" t="e">
        <f t="shared" si="18"/>
        <v>#REF!</v>
      </c>
      <c r="D132" s="65" t="e">
        <f t="shared" si="19"/>
        <v>#REF!</v>
      </c>
      <c r="E132" s="64" t="e">
        <f>VLOOKUP(B132,'115+040'!B130:AB231,3,FALSE)</f>
        <v>#REF!</v>
      </c>
      <c r="F132" s="61" t="e">
        <f t="shared" si="14"/>
        <v>#REF!</v>
      </c>
      <c r="G132" s="63" t="e">
        <f>VLOOKUP(B132,'115+040'!$B$12:$AB$621,20,FALSE)</f>
        <v>#REF!</v>
      </c>
      <c r="H132" s="63" t="e">
        <f>VLOOKUP(B132,'115+040'!$B$12:$AB$621,4,FALSE)</f>
        <v>#REF!</v>
      </c>
      <c r="I132" s="60" t="e">
        <f t="shared" si="15"/>
        <v>#REF!</v>
      </c>
      <c r="J132" s="60" t="e">
        <f>VLOOKUP(B132,'115+040'!$B$12:$AB$621,13,FALSE)</f>
        <v>#REF!</v>
      </c>
      <c r="K132" s="58">
        <f>'115+040'!R130</f>
        <v>0</v>
      </c>
      <c r="L132" s="57">
        <f t="shared" si="20"/>
        <v>253</v>
      </c>
      <c r="M132" s="62" t="e">
        <f>VLOOKUP(B132,'115+040'!$B$11:$AB$621,21,FALSE)</f>
        <v>#REF!</v>
      </c>
      <c r="N132" s="61" t="e">
        <f>VLOOKUP(B132,'115+040'!$B$12:$AB$621,5,FALSE)</f>
        <v>#REF!</v>
      </c>
      <c r="O132" s="60" t="e">
        <f t="shared" si="16"/>
        <v>#REF!</v>
      </c>
      <c r="P132" s="60" t="e">
        <f>VLOOKUP(B132,'115+040'!$B$12:$AB$621,14,FALSE)</f>
        <v>#REF!</v>
      </c>
      <c r="Q132" s="58">
        <f>'115+040'!S130</f>
        <v>0</v>
      </c>
      <c r="R132" s="57">
        <f t="shared" si="21"/>
        <v>286</v>
      </c>
      <c r="S132" s="62" t="e">
        <f>VLOOKUP(B132,'115+040'!$B$11:$AB$621,22,FALSE)</f>
        <v>#REF!</v>
      </c>
      <c r="T132" s="61" t="e">
        <f>VLOOKUP(B132,'115+040'!$B$12:$AB$621,6,FALSE)</f>
        <v>#REF!</v>
      </c>
      <c r="U132" s="60" t="e">
        <f t="shared" si="17"/>
        <v>#REF!</v>
      </c>
      <c r="V132" s="59" t="e">
        <f>VLOOKUP(B132,'115+040'!$B$12:$AB$621,15,FALSE)</f>
        <v>#REF!</v>
      </c>
      <c r="W132" s="58">
        <f>'[4]114+940'!S133</f>
        <v>0</v>
      </c>
      <c r="X132" s="57">
        <f t="shared" si="22"/>
        <v>144</v>
      </c>
      <c r="Y132" s="56" t="e">
        <f t="shared" si="23"/>
        <v>#REF!</v>
      </c>
      <c r="Z132" s="55" t="e">
        <f t="shared" si="24"/>
        <v>#REF!</v>
      </c>
      <c r="AA132" s="54" t="e">
        <f t="shared" si="25"/>
        <v>#REF!</v>
      </c>
      <c r="AB132" s="54" t="e">
        <f t="shared" si="26"/>
        <v>#REF!</v>
      </c>
    </row>
    <row r="133" spans="2:31">
      <c r="B133" s="96" t="e">
        <f>'115+040'!#REF!</f>
        <v>#REF!</v>
      </c>
      <c r="C133" s="66" t="e">
        <f t="shared" si="18"/>
        <v>#REF!</v>
      </c>
      <c r="D133" s="65" t="e">
        <f t="shared" si="19"/>
        <v>#REF!</v>
      </c>
      <c r="E133" s="64" t="e">
        <f>VLOOKUP(B133,'115+040'!B131:AB232,3,FALSE)</f>
        <v>#REF!</v>
      </c>
      <c r="F133" s="61" t="e">
        <f t="shared" si="14"/>
        <v>#REF!</v>
      </c>
      <c r="G133" s="63" t="e">
        <f>VLOOKUP(B133,'115+040'!$B$12:$AB$621,20,FALSE)</f>
        <v>#REF!</v>
      </c>
      <c r="H133" s="63" t="e">
        <f>VLOOKUP(B133,'115+040'!$B$12:$AB$621,4,FALSE)</f>
        <v>#REF!</v>
      </c>
      <c r="I133" s="60" t="e">
        <f t="shared" si="15"/>
        <v>#REF!</v>
      </c>
      <c r="J133" s="60" t="e">
        <f>VLOOKUP(B133,'115+040'!$B$12:$AB$621,13,FALSE)</f>
        <v>#REF!</v>
      </c>
      <c r="K133" s="58">
        <f>'115+040'!R131</f>
        <v>0</v>
      </c>
      <c r="L133" s="57">
        <f t="shared" si="20"/>
        <v>253</v>
      </c>
      <c r="M133" s="62" t="e">
        <f>VLOOKUP(B133,'115+040'!$B$11:$AB$621,21,FALSE)</f>
        <v>#REF!</v>
      </c>
      <c r="N133" s="61" t="e">
        <f>VLOOKUP(B133,'115+040'!$B$12:$AB$621,5,FALSE)</f>
        <v>#REF!</v>
      </c>
      <c r="O133" s="60" t="e">
        <f t="shared" si="16"/>
        <v>#REF!</v>
      </c>
      <c r="P133" s="60" t="e">
        <f>VLOOKUP(B133,'115+040'!$B$12:$AB$621,14,FALSE)</f>
        <v>#REF!</v>
      </c>
      <c r="Q133" s="58">
        <f>'115+040'!S131</f>
        <v>0</v>
      </c>
      <c r="R133" s="57">
        <f t="shared" si="21"/>
        <v>286</v>
      </c>
      <c r="S133" s="62" t="e">
        <f>VLOOKUP(B133,'115+040'!$B$11:$AB$621,22,FALSE)</f>
        <v>#REF!</v>
      </c>
      <c r="T133" s="61" t="e">
        <f>VLOOKUP(B133,'115+040'!$B$12:$AB$621,6,FALSE)</f>
        <v>#REF!</v>
      </c>
      <c r="U133" s="60" t="e">
        <f t="shared" si="17"/>
        <v>#REF!</v>
      </c>
      <c r="V133" s="59" t="e">
        <f>VLOOKUP(B133,'115+040'!$B$12:$AB$621,15,FALSE)</f>
        <v>#REF!</v>
      </c>
      <c r="W133" s="58">
        <f>'[4]114+940'!S134</f>
        <v>0</v>
      </c>
      <c r="X133" s="57">
        <f t="shared" si="22"/>
        <v>144</v>
      </c>
      <c r="Y133" s="56" t="e">
        <f t="shared" si="23"/>
        <v>#REF!</v>
      </c>
      <c r="Z133" s="55" t="e">
        <f t="shared" si="24"/>
        <v>#REF!</v>
      </c>
      <c r="AA133" s="54" t="e">
        <f t="shared" si="25"/>
        <v>#REF!</v>
      </c>
      <c r="AB133" s="54" t="e">
        <f t="shared" si="26"/>
        <v>#REF!</v>
      </c>
    </row>
    <row r="134" spans="2:31">
      <c r="B134" s="96" t="e">
        <f>'115+040'!#REF!</f>
        <v>#REF!</v>
      </c>
      <c r="C134" s="66" t="e">
        <f t="shared" si="18"/>
        <v>#REF!</v>
      </c>
      <c r="D134" s="65" t="e">
        <f t="shared" si="19"/>
        <v>#REF!</v>
      </c>
      <c r="E134" s="64" t="e">
        <f>VLOOKUP(B134,'115+040'!B132:AB233,3,FALSE)</f>
        <v>#REF!</v>
      </c>
      <c r="F134" s="61" t="e">
        <f t="shared" si="14"/>
        <v>#REF!</v>
      </c>
      <c r="G134" s="63" t="e">
        <f>VLOOKUP(B134,'115+040'!$B$12:$AB$621,20,FALSE)</f>
        <v>#REF!</v>
      </c>
      <c r="H134" s="63" t="e">
        <f>VLOOKUP(B134,'115+040'!$B$12:$AB$621,4,FALSE)</f>
        <v>#REF!</v>
      </c>
      <c r="I134" s="60" t="e">
        <f t="shared" si="15"/>
        <v>#REF!</v>
      </c>
      <c r="J134" s="60" t="e">
        <f>VLOOKUP(B134,'115+040'!$B$12:$AB$621,13,FALSE)</f>
        <v>#REF!</v>
      </c>
      <c r="K134" s="58">
        <f>'115+040'!R132</f>
        <v>0</v>
      </c>
      <c r="L134" s="57">
        <f t="shared" si="20"/>
        <v>253</v>
      </c>
      <c r="M134" s="62" t="e">
        <f>VLOOKUP(B134,'115+040'!$B$11:$AB$621,21,FALSE)</f>
        <v>#REF!</v>
      </c>
      <c r="N134" s="61" t="e">
        <f>VLOOKUP(B134,'115+040'!$B$12:$AB$621,5,FALSE)</f>
        <v>#REF!</v>
      </c>
      <c r="O134" s="60" t="e">
        <f t="shared" si="16"/>
        <v>#REF!</v>
      </c>
      <c r="P134" s="60" t="e">
        <f>VLOOKUP(B134,'115+040'!$B$12:$AB$621,14,FALSE)</f>
        <v>#REF!</v>
      </c>
      <c r="Q134" s="58">
        <f>'115+040'!S132</f>
        <v>0</v>
      </c>
      <c r="R134" s="57">
        <f t="shared" si="21"/>
        <v>286</v>
      </c>
      <c r="S134" s="62" t="e">
        <f>VLOOKUP(B134,'115+040'!$B$11:$AB$621,22,FALSE)</f>
        <v>#REF!</v>
      </c>
      <c r="T134" s="61" t="e">
        <f>VLOOKUP(B134,'115+040'!$B$12:$AB$621,6,FALSE)</f>
        <v>#REF!</v>
      </c>
      <c r="U134" s="60" t="e">
        <f t="shared" si="17"/>
        <v>#REF!</v>
      </c>
      <c r="V134" s="59" t="e">
        <f>VLOOKUP(B134,'115+040'!$B$12:$AB$621,15,FALSE)</f>
        <v>#REF!</v>
      </c>
      <c r="W134" s="58">
        <f>'[4]114+940'!S135</f>
        <v>0</v>
      </c>
      <c r="X134" s="57">
        <f t="shared" si="22"/>
        <v>144</v>
      </c>
      <c r="Y134" s="56" t="e">
        <f t="shared" si="23"/>
        <v>#REF!</v>
      </c>
      <c r="Z134" s="55" t="e">
        <f t="shared" si="24"/>
        <v>#REF!</v>
      </c>
      <c r="AA134" s="54" t="e">
        <f t="shared" si="25"/>
        <v>#REF!</v>
      </c>
      <c r="AB134" s="54" t="e">
        <f t="shared" si="26"/>
        <v>#REF!</v>
      </c>
    </row>
    <row r="135" spans="2:31">
      <c r="B135" s="96" t="e">
        <f>'115+040'!#REF!</f>
        <v>#REF!</v>
      </c>
      <c r="C135" s="66" t="e">
        <f t="shared" si="18"/>
        <v>#REF!</v>
      </c>
      <c r="D135" s="65" t="e">
        <f t="shared" si="19"/>
        <v>#REF!</v>
      </c>
      <c r="E135" s="64" t="e">
        <f>VLOOKUP(B135,'115+040'!B133:AB234,3,FALSE)</f>
        <v>#REF!</v>
      </c>
      <c r="F135" s="61" t="e">
        <f t="shared" si="14"/>
        <v>#REF!</v>
      </c>
      <c r="G135" s="63" t="e">
        <f>VLOOKUP(B135,'115+040'!$B$12:$AB$621,20,FALSE)</f>
        <v>#REF!</v>
      </c>
      <c r="H135" s="63" t="e">
        <f>VLOOKUP(B135,'115+040'!$B$12:$AB$621,4,FALSE)</f>
        <v>#REF!</v>
      </c>
      <c r="I135" s="60" t="e">
        <f t="shared" si="15"/>
        <v>#REF!</v>
      </c>
      <c r="J135" s="60" t="e">
        <f>VLOOKUP(B135,'115+040'!$B$12:$AB$621,13,FALSE)</f>
        <v>#REF!</v>
      </c>
      <c r="K135" s="58">
        <f>'115+040'!R133</f>
        <v>0</v>
      </c>
      <c r="L135" s="57">
        <f t="shared" si="20"/>
        <v>253</v>
      </c>
      <c r="M135" s="62" t="e">
        <f>VLOOKUP(B135,'115+040'!$B$11:$AB$621,21,FALSE)</f>
        <v>#REF!</v>
      </c>
      <c r="N135" s="61" t="e">
        <f>VLOOKUP(B135,'115+040'!$B$12:$AB$621,5,FALSE)</f>
        <v>#REF!</v>
      </c>
      <c r="O135" s="60" t="e">
        <f t="shared" si="16"/>
        <v>#REF!</v>
      </c>
      <c r="P135" s="60" t="e">
        <f>VLOOKUP(B135,'115+040'!$B$12:$AB$621,14,FALSE)</f>
        <v>#REF!</v>
      </c>
      <c r="Q135" s="58">
        <f>'115+040'!S133</f>
        <v>0</v>
      </c>
      <c r="R135" s="57">
        <f t="shared" si="21"/>
        <v>286</v>
      </c>
      <c r="S135" s="62" t="e">
        <f>VLOOKUP(B135,'115+040'!$B$11:$AB$621,22,FALSE)</f>
        <v>#REF!</v>
      </c>
      <c r="T135" s="61" t="e">
        <f>VLOOKUP(B135,'115+040'!$B$12:$AB$621,6,FALSE)</f>
        <v>#REF!</v>
      </c>
      <c r="U135" s="60" t="e">
        <f t="shared" si="17"/>
        <v>#REF!</v>
      </c>
      <c r="V135" s="59" t="e">
        <f>VLOOKUP(B135,'115+040'!$B$12:$AB$621,15,FALSE)</f>
        <v>#REF!</v>
      </c>
      <c r="W135" s="58">
        <f>'[4]114+940'!S136</f>
        <v>0</v>
      </c>
      <c r="X135" s="57">
        <f t="shared" si="22"/>
        <v>144</v>
      </c>
      <c r="Y135" s="56" t="e">
        <f t="shared" si="23"/>
        <v>#REF!</v>
      </c>
      <c r="Z135" s="55" t="e">
        <f t="shared" si="24"/>
        <v>#REF!</v>
      </c>
      <c r="AA135" s="54" t="e">
        <f t="shared" si="25"/>
        <v>#REF!</v>
      </c>
      <c r="AB135" s="54" t="e">
        <f t="shared" si="26"/>
        <v>#REF!</v>
      </c>
    </row>
    <row r="136" spans="2:31">
      <c r="B136" s="96" t="e">
        <f>'115+040'!#REF!</f>
        <v>#REF!</v>
      </c>
      <c r="C136" s="66" t="e">
        <f t="shared" si="18"/>
        <v>#REF!</v>
      </c>
      <c r="D136" s="65" t="e">
        <f t="shared" si="19"/>
        <v>#REF!</v>
      </c>
      <c r="E136" s="64" t="e">
        <f>VLOOKUP(B136,'115+040'!B134:AB235,3,FALSE)</f>
        <v>#REF!</v>
      </c>
      <c r="F136" s="61" t="e">
        <f t="shared" si="14"/>
        <v>#REF!</v>
      </c>
      <c r="G136" s="63" t="e">
        <f>VLOOKUP(B136,'115+040'!$B$12:$AB$621,20,FALSE)</f>
        <v>#REF!</v>
      </c>
      <c r="H136" s="63" t="e">
        <f>VLOOKUP(B136,'115+040'!$B$12:$AB$621,4,FALSE)</f>
        <v>#REF!</v>
      </c>
      <c r="I136" s="60" t="e">
        <f t="shared" si="15"/>
        <v>#REF!</v>
      </c>
      <c r="J136" s="60" t="e">
        <f>VLOOKUP(B136,'115+040'!$B$12:$AB$621,13,FALSE)</f>
        <v>#REF!</v>
      </c>
      <c r="K136" s="58">
        <f>'115+040'!R134</f>
        <v>0</v>
      </c>
      <c r="L136" s="57">
        <f t="shared" si="20"/>
        <v>253</v>
      </c>
      <c r="M136" s="62" t="e">
        <f>VLOOKUP(B136,'115+040'!$B$11:$AB$621,21,FALSE)</f>
        <v>#REF!</v>
      </c>
      <c r="N136" s="61" t="e">
        <f>VLOOKUP(B136,'115+040'!$B$12:$AB$621,5,FALSE)</f>
        <v>#REF!</v>
      </c>
      <c r="O136" s="60" t="e">
        <f t="shared" si="16"/>
        <v>#REF!</v>
      </c>
      <c r="P136" s="60" t="e">
        <f>VLOOKUP(B136,'115+040'!$B$12:$AB$621,14,FALSE)</f>
        <v>#REF!</v>
      </c>
      <c r="Q136" s="58">
        <f>'115+040'!S134</f>
        <v>0</v>
      </c>
      <c r="R136" s="57">
        <f t="shared" si="21"/>
        <v>286</v>
      </c>
      <c r="S136" s="62" t="e">
        <f>VLOOKUP(B136,'115+040'!$B$11:$AB$621,22,FALSE)</f>
        <v>#REF!</v>
      </c>
      <c r="T136" s="61" t="e">
        <f>VLOOKUP(B136,'115+040'!$B$12:$AB$621,6,FALSE)</f>
        <v>#REF!</v>
      </c>
      <c r="U136" s="60" t="e">
        <f t="shared" si="17"/>
        <v>#REF!</v>
      </c>
      <c r="V136" s="59" t="e">
        <f>VLOOKUP(B136,'115+040'!$B$12:$AB$621,15,FALSE)</f>
        <v>#REF!</v>
      </c>
      <c r="W136" s="58">
        <f>'[4]114+940'!S137</f>
        <v>0</v>
      </c>
      <c r="X136" s="57">
        <f t="shared" si="22"/>
        <v>144</v>
      </c>
      <c r="Y136" s="56" t="e">
        <f t="shared" si="23"/>
        <v>#REF!</v>
      </c>
      <c r="Z136" s="55" t="e">
        <f t="shared" si="24"/>
        <v>#REF!</v>
      </c>
      <c r="AA136" s="54" t="e">
        <f t="shared" si="25"/>
        <v>#REF!</v>
      </c>
      <c r="AB136" s="54" t="e">
        <f t="shared" si="26"/>
        <v>#REF!</v>
      </c>
    </row>
    <row r="137" spans="2:31">
      <c r="B137" s="96" t="e">
        <f>'115+040'!#REF!</f>
        <v>#REF!</v>
      </c>
      <c r="C137" s="66" t="e">
        <f t="shared" si="18"/>
        <v>#REF!</v>
      </c>
      <c r="D137" s="65" t="e">
        <f t="shared" si="19"/>
        <v>#REF!</v>
      </c>
      <c r="E137" s="64" t="e">
        <f>VLOOKUP(B137,'115+040'!B135:AB236,3,FALSE)</f>
        <v>#REF!</v>
      </c>
      <c r="F137" s="61" t="e">
        <f t="shared" si="14"/>
        <v>#REF!</v>
      </c>
      <c r="G137" s="63" t="e">
        <f>VLOOKUP(B137,'115+040'!$B$12:$AB$621,20,FALSE)</f>
        <v>#REF!</v>
      </c>
      <c r="H137" s="63" t="e">
        <f>VLOOKUP(B137,'115+040'!$B$12:$AB$621,4,FALSE)</f>
        <v>#REF!</v>
      </c>
      <c r="I137" s="60" t="e">
        <f t="shared" si="15"/>
        <v>#REF!</v>
      </c>
      <c r="J137" s="60" t="e">
        <f>VLOOKUP(B137,'115+040'!$B$12:$AB$621,13,FALSE)</f>
        <v>#REF!</v>
      </c>
      <c r="K137" s="58">
        <f>'115+040'!R135</f>
        <v>0</v>
      </c>
      <c r="L137" s="57">
        <f t="shared" si="20"/>
        <v>253</v>
      </c>
      <c r="M137" s="62" t="e">
        <f>VLOOKUP(B137,'115+040'!$B$11:$AB$621,21,FALSE)</f>
        <v>#REF!</v>
      </c>
      <c r="N137" s="61" t="e">
        <f>VLOOKUP(B137,'115+040'!$B$12:$AB$621,5,FALSE)</f>
        <v>#REF!</v>
      </c>
      <c r="O137" s="60" t="e">
        <f t="shared" si="16"/>
        <v>#REF!</v>
      </c>
      <c r="P137" s="60" t="e">
        <f>VLOOKUP(B137,'115+040'!$B$12:$AB$621,14,FALSE)</f>
        <v>#REF!</v>
      </c>
      <c r="Q137" s="58">
        <f>'115+040'!S135</f>
        <v>0</v>
      </c>
      <c r="R137" s="57">
        <f t="shared" si="21"/>
        <v>286</v>
      </c>
      <c r="S137" s="62" t="e">
        <f>VLOOKUP(B137,'115+040'!$B$11:$AB$621,22,FALSE)</f>
        <v>#REF!</v>
      </c>
      <c r="T137" s="61" t="e">
        <f>VLOOKUP(B137,'115+040'!$B$12:$AB$621,6,FALSE)</f>
        <v>#REF!</v>
      </c>
      <c r="U137" s="60" t="e">
        <f t="shared" si="17"/>
        <v>#REF!</v>
      </c>
      <c r="V137" s="59" t="e">
        <f>VLOOKUP(B137,'115+040'!$B$12:$AB$621,15,FALSE)</f>
        <v>#REF!</v>
      </c>
      <c r="W137" s="58">
        <f>'[4]114+940'!S138</f>
        <v>0</v>
      </c>
      <c r="X137" s="57">
        <f t="shared" si="22"/>
        <v>144</v>
      </c>
      <c r="Y137" s="56" t="e">
        <f t="shared" si="23"/>
        <v>#REF!</v>
      </c>
      <c r="Z137" s="55" t="e">
        <f t="shared" si="24"/>
        <v>#REF!</v>
      </c>
      <c r="AA137" s="54" t="e">
        <f t="shared" si="25"/>
        <v>#REF!</v>
      </c>
      <c r="AB137" s="54" t="e">
        <f t="shared" si="26"/>
        <v>#REF!</v>
      </c>
    </row>
    <row r="138" spans="2:31">
      <c r="B138" s="96" t="e">
        <f>'115+040'!#REF!</f>
        <v>#REF!</v>
      </c>
      <c r="C138" s="66" t="e">
        <f t="shared" si="18"/>
        <v>#REF!</v>
      </c>
      <c r="D138" s="65" t="e">
        <f t="shared" si="19"/>
        <v>#REF!</v>
      </c>
      <c r="E138" s="64" t="e">
        <f>VLOOKUP(B138,'115+040'!B136:AB237,3,FALSE)</f>
        <v>#REF!</v>
      </c>
      <c r="F138" s="61" t="e">
        <f t="shared" si="14"/>
        <v>#REF!</v>
      </c>
      <c r="G138" s="63" t="e">
        <f>VLOOKUP(B138,'115+040'!$B$12:$AB$621,20,FALSE)</f>
        <v>#REF!</v>
      </c>
      <c r="H138" s="63" t="e">
        <f>VLOOKUP(B138,'115+040'!$B$12:$AB$621,4,FALSE)</f>
        <v>#REF!</v>
      </c>
      <c r="I138" s="60" t="e">
        <f t="shared" si="15"/>
        <v>#REF!</v>
      </c>
      <c r="J138" s="60" t="e">
        <f>VLOOKUP(B138,'115+040'!$B$12:$AB$621,13,FALSE)</f>
        <v>#REF!</v>
      </c>
      <c r="K138" s="58">
        <f>'115+040'!R136</f>
        <v>0</v>
      </c>
      <c r="L138" s="57">
        <f t="shared" si="20"/>
        <v>253</v>
      </c>
      <c r="M138" s="62" t="e">
        <f>VLOOKUP(B138,'115+040'!$B$11:$AB$621,21,FALSE)</f>
        <v>#REF!</v>
      </c>
      <c r="N138" s="61" t="e">
        <f>VLOOKUP(B138,'115+040'!$B$12:$AB$621,5,FALSE)</f>
        <v>#REF!</v>
      </c>
      <c r="O138" s="60" t="e">
        <f t="shared" si="16"/>
        <v>#REF!</v>
      </c>
      <c r="P138" s="60" t="e">
        <f>VLOOKUP(B138,'115+040'!$B$12:$AB$621,14,FALSE)</f>
        <v>#REF!</v>
      </c>
      <c r="Q138" s="58">
        <f>'115+040'!S136</f>
        <v>0</v>
      </c>
      <c r="R138" s="57">
        <f t="shared" si="21"/>
        <v>286</v>
      </c>
      <c r="S138" s="62" t="e">
        <f>VLOOKUP(B138,'115+040'!$B$11:$AB$621,22,FALSE)</f>
        <v>#REF!</v>
      </c>
      <c r="T138" s="61" t="e">
        <f>VLOOKUP(B138,'115+040'!$B$12:$AB$621,6,FALSE)</f>
        <v>#REF!</v>
      </c>
      <c r="U138" s="60" t="e">
        <f t="shared" si="17"/>
        <v>#REF!</v>
      </c>
      <c r="V138" s="59" t="e">
        <f>VLOOKUP(B138,'115+040'!$B$12:$AB$621,15,FALSE)</f>
        <v>#REF!</v>
      </c>
      <c r="W138" s="58">
        <f>'[4]114+940'!S139</f>
        <v>0</v>
      </c>
      <c r="X138" s="57">
        <f t="shared" si="22"/>
        <v>144</v>
      </c>
      <c r="Y138" s="56" t="e">
        <f t="shared" si="23"/>
        <v>#REF!</v>
      </c>
      <c r="Z138" s="55" t="e">
        <f t="shared" si="24"/>
        <v>#REF!</v>
      </c>
      <c r="AA138" s="54" t="e">
        <f t="shared" si="25"/>
        <v>#REF!</v>
      </c>
      <c r="AB138" s="54" t="e">
        <f t="shared" si="26"/>
        <v>#REF!</v>
      </c>
    </row>
    <row r="139" spans="2:31">
      <c r="B139" s="96" t="e">
        <f>'115+040'!#REF!</f>
        <v>#REF!</v>
      </c>
      <c r="C139" s="66" t="e">
        <f t="shared" si="18"/>
        <v>#REF!</v>
      </c>
      <c r="D139" s="65" t="e">
        <f t="shared" si="19"/>
        <v>#REF!</v>
      </c>
      <c r="E139" s="64" t="e">
        <f>VLOOKUP(B139,'115+040'!B137:AB238,3,FALSE)</f>
        <v>#REF!</v>
      </c>
      <c r="F139" s="61" t="e">
        <f t="shared" si="14"/>
        <v>#REF!</v>
      </c>
      <c r="G139" s="63" t="e">
        <f>VLOOKUP(B139,'115+040'!$B$12:$AB$621,20,FALSE)</f>
        <v>#REF!</v>
      </c>
      <c r="H139" s="63" t="e">
        <f>VLOOKUP(B139,'115+040'!$B$12:$AB$621,4,FALSE)</f>
        <v>#REF!</v>
      </c>
      <c r="I139" s="60" t="e">
        <f t="shared" si="15"/>
        <v>#REF!</v>
      </c>
      <c r="J139" s="60" t="e">
        <f>VLOOKUP(B139,'115+040'!$B$12:$AB$621,13,FALSE)</f>
        <v>#REF!</v>
      </c>
      <c r="K139" s="58">
        <f>'115+040'!R137</f>
        <v>4</v>
      </c>
      <c r="L139" s="57">
        <f t="shared" si="20"/>
        <v>257</v>
      </c>
      <c r="M139" s="62" t="e">
        <f>VLOOKUP(B139,'115+040'!$B$11:$AB$621,21,FALSE)</f>
        <v>#REF!</v>
      </c>
      <c r="N139" s="61" t="e">
        <f>VLOOKUP(B139,'115+040'!$B$12:$AB$621,5,FALSE)</f>
        <v>#REF!</v>
      </c>
      <c r="O139" s="60" t="e">
        <f t="shared" si="16"/>
        <v>#REF!</v>
      </c>
      <c r="P139" s="60" t="e">
        <f>VLOOKUP(B139,'115+040'!$B$12:$AB$621,14,FALSE)</f>
        <v>#REF!</v>
      </c>
      <c r="Q139" s="58">
        <f>'115+040'!S137</f>
        <v>5</v>
      </c>
      <c r="R139" s="57">
        <f t="shared" si="21"/>
        <v>291</v>
      </c>
      <c r="S139" s="62" t="e">
        <f>VLOOKUP(B139,'115+040'!$B$11:$AB$621,22,FALSE)</f>
        <v>#REF!</v>
      </c>
      <c r="T139" s="61" t="e">
        <f>VLOOKUP(B139,'115+040'!$B$12:$AB$621,6,FALSE)</f>
        <v>#REF!</v>
      </c>
      <c r="U139" s="60" t="e">
        <f t="shared" si="17"/>
        <v>#REF!</v>
      </c>
      <c r="V139" s="59" t="e">
        <f>VLOOKUP(B139,'115+040'!$B$12:$AB$621,15,FALSE)</f>
        <v>#REF!</v>
      </c>
      <c r="W139" s="58">
        <f>'[4]114+940'!S140</f>
        <v>8</v>
      </c>
      <c r="X139" s="57">
        <f t="shared" si="22"/>
        <v>152</v>
      </c>
      <c r="Y139" s="56" t="e">
        <f t="shared" si="23"/>
        <v>#REF!</v>
      </c>
      <c r="Z139" s="55" t="e">
        <f t="shared" si="24"/>
        <v>#REF!</v>
      </c>
      <c r="AA139" s="54" t="e">
        <f t="shared" si="25"/>
        <v>#REF!</v>
      </c>
      <c r="AB139" s="54" t="e">
        <f t="shared" si="26"/>
        <v>#REF!</v>
      </c>
    </row>
    <row r="140" spans="2:31">
      <c r="B140" s="96" t="e">
        <f>'115+040'!#REF!</f>
        <v>#REF!</v>
      </c>
      <c r="C140" s="66" t="e">
        <f t="shared" si="18"/>
        <v>#REF!</v>
      </c>
      <c r="D140" s="65" t="e">
        <f t="shared" si="19"/>
        <v>#REF!</v>
      </c>
      <c r="E140" s="64" t="e">
        <f>VLOOKUP(B140,'115+040'!B138:AB239,3,FALSE)</f>
        <v>#REF!</v>
      </c>
      <c r="F140" s="61" t="e">
        <f t="shared" si="14"/>
        <v>#REF!</v>
      </c>
      <c r="G140" s="63" t="e">
        <f>VLOOKUP(B140,'115+040'!$B$12:$AB$621,20,FALSE)</f>
        <v>#REF!</v>
      </c>
      <c r="H140" s="63" t="e">
        <f>VLOOKUP(B140,'115+040'!$B$12:$AB$621,4,FALSE)</f>
        <v>#REF!</v>
      </c>
      <c r="I140" s="60" t="e">
        <f t="shared" si="15"/>
        <v>#REF!</v>
      </c>
      <c r="J140" s="60" t="e">
        <f>VLOOKUP(B140,'115+040'!$B$12:$AB$621,13,FALSE)</f>
        <v>#REF!</v>
      </c>
      <c r="K140" s="58">
        <f>'115+040'!R138</f>
        <v>3</v>
      </c>
      <c r="L140" s="57">
        <f t="shared" si="20"/>
        <v>260</v>
      </c>
      <c r="M140" s="62" t="e">
        <f>VLOOKUP(B140,'115+040'!$B$11:$AB$621,21,FALSE)</f>
        <v>#REF!</v>
      </c>
      <c r="N140" s="61" t="e">
        <f>VLOOKUP(B140,'115+040'!$B$12:$AB$621,5,FALSE)</f>
        <v>#REF!</v>
      </c>
      <c r="O140" s="60" t="e">
        <f t="shared" si="16"/>
        <v>#REF!</v>
      </c>
      <c r="P140" s="60" t="e">
        <f>VLOOKUP(B140,'115+040'!$B$12:$AB$621,14,FALSE)</f>
        <v>#REF!</v>
      </c>
      <c r="Q140" s="58">
        <f>'115+040'!S138</f>
        <v>4</v>
      </c>
      <c r="R140" s="57">
        <f t="shared" si="21"/>
        <v>295</v>
      </c>
      <c r="S140" s="62" t="e">
        <f>VLOOKUP(B140,'115+040'!$B$11:$AB$621,22,FALSE)</f>
        <v>#REF!</v>
      </c>
      <c r="T140" s="61" t="e">
        <f>VLOOKUP(B140,'115+040'!$B$12:$AB$621,6,FALSE)</f>
        <v>#REF!</v>
      </c>
      <c r="U140" s="60" t="e">
        <f t="shared" si="17"/>
        <v>#REF!</v>
      </c>
      <c r="V140" s="59" t="e">
        <f>VLOOKUP(B140,'115+040'!$B$12:$AB$621,15,FALSE)</f>
        <v>#REF!</v>
      </c>
      <c r="W140" s="58">
        <f>'[4]114+940'!S141</f>
        <v>3</v>
      </c>
      <c r="X140" s="57">
        <f t="shared" si="22"/>
        <v>155</v>
      </c>
      <c r="Y140" s="56" t="e">
        <f t="shared" si="23"/>
        <v>#REF!</v>
      </c>
      <c r="Z140" s="55" t="e">
        <f t="shared" si="24"/>
        <v>#REF!</v>
      </c>
      <c r="AA140" s="54" t="e">
        <f t="shared" si="25"/>
        <v>#REF!</v>
      </c>
      <c r="AB140" s="54" t="e">
        <f t="shared" si="26"/>
        <v>#REF!</v>
      </c>
    </row>
    <row r="141" spans="2:31">
      <c r="B141" s="96" t="e">
        <f>'115+040'!#REF!</f>
        <v>#REF!</v>
      </c>
      <c r="C141" s="66" t="e">
        <f t="shared" si="18"/>
        <v>#REF!</v>
      </c>
      <c r="D141" s="65" t="e">
        <f t="shared" si="19"/>
        <v>#REF!</v>
      </c>
      <c r="E141" s="64" t="e">
        <f>VLOOKUP(B141,'115+040'!B139:AB240,3,FALSE)</f>
        <v>#REF!</v>
      </c>
      <c r="F141" s="61" t="e">
        <f t="shared" ref="F141:F204" si="27">D141+E141</f>
        <v>#REF!</v>
      </c>
      <c r="G141" s="63" t="e">
        <f>VLOOKUP(B141,'115+040'!$B$12:$AB$621,20,FALSE)</f>
        <v>#REF!</v>
      </c>
      <c r="H141" s="63" t="e">
        <f>VLOOKUP(B141,'115+040'!$B$12:$AB$621,4,FALSE)</f>
        <v>#REF!</v>
      </c>
      <c r="I141" s="60" t="e">
        <f t="shared" ref="I141:I204" si="28">F141-H141</f>
        <v>#REF!</v>
      </c>
      <c r="J141" s="60" t="e">
        <f>VLOOKUP(B141,'115+040'!$B$12:$AB$621,13,FALSE)</f>
        <v>#REF!</v>
      </c>
      <c r="K141" s="58">
        <f>'115+040'!R139</f>
        <v>2</v>
      </c>
      <c r="L141" s="57">
        <f t="shared" si="20"/>
        <v>262</v>
      </c>
      <c r="M141" s="62" t="e">
        <f>VLOOKUP(B141,'115+040'!$B$11:$AB$621,21,FALSE)</f>
        <v>#REF!</v>
      </c>
      <c r="N141" s="61" t="e">
        <f>VLOOKUP(B141,'115+040'!$B$12:$AB$621,5,FALSE)</f>
        <v>#REF!</v>
      </c>
      <c r="O141" s="60" t="e">
        <f t="shared" ref="O141:O204" si="29">F141-N141</f>
        <v>#REF!</v>
      </c>
      <c r="P141" s="60" t="e">
        <f>VLOOKUP(B141,'115+040'!$B$12:$AB$621,14,FALSE)</f>
        <v>#REF!</v>
      </c>
      <c r="Q141" s="58">
        <f>'115+040'!S139</f>
        <v>2</v>
      </c>
      <c r="R141" s="57">
        <f t="shared" si="21"/>
        <v>297</v>
      </c>
      <c r="S141" s="62" t="e">
        <f>VLOOKUP(B141,'115+040'!$B$11:$AB$621,22,FALSE)</f>
        <v>#REF!</v>
      </c>
      <c r="T141" s="61" t="e">
        <f>VLOOKUP(B141,'115+040'!$B$12:$AB$621,6,FALSE)</f>
        <v>#REF!</v>
      </c>
      <c r="U141" s="60" t="e">
        <f t="shared" ref="U141:U204" si="30">F141-T141</f>
        <v>#REF!</v>
      </c>
      <c r="V141" s="59" t="e">
        <f>VLOOKUP(B141,'115+040'!$B$12:$AB$621,15,FALSE)</f>
        <v>#REF!</v>
      </c>
      <c r="W141" s="58">
        <f>'[4]114+940'!S142</f>
        <v>4</v>
      </c>
      <c r="X141" s="57">
        <f t="shared" si="22"/>
        <v>159</v>
      </c>
      <c r="Y141" s="56" t="e">
        <f t="shared" si="23"/>
        <v>#REF!</v>
      </c>
      <c r="Z141" s="55" t="e">
        <f t="shared" si="24"/>
        <v>#REF!</v>
      </c>
      <c r="AA141" s="54" t="e">
        <f t="shared" si="25"/>
        <v>#REF!</v>
      </c>
      <c r="AB141" s="54" t="e">
        <f t="shared" si="26"/>
        <v>#REF!</v>
      </c>
    </row>
    <row r="142" spans="2:31">
      <c r="B142" s="96" t="e">
        <f>'115+040'!#REF!</f>
        <v>#REF!</v>
      </c>
      <c r="C142" s="66" t="e">
        <f t="shared" ref="C142:C205" si="31">B142-B141</f>
        <v>#REF!</v>
      </c>
      <c r="D142" s="65" t="e">
        <f t="shared" ref="D142:D205" si="32">D141</f>
        <v>#REF!</v>
      </c>
      <c r="E142" s="64" t="e">
        <f>VLOOKUP(B142,'115+040'!B140:AB241,3,FALSE)</f>
        <v>#REF!</v>
      </c>
      <c r="F142" s="61" t="e">
        <f t="shared" si="27"/>
        <v>#REF!</v>
      </c>
      <c r="G142" s="63" t="e">
        <f>VLOOKUP(B142,'115+040'!$B$12:$AB$621,20,FALSE)</f>
        <v>#REF!</v>
      </c>
      <c r="H142" s="63" t="e">
        <f>VLOOKUP(B142,'115+040'!$B$12:$AB$621,4,FALSE)</f>
        <v>#REF!</v>
      </c>
      <c r="I142" s="60" t="e">
        <f t="shared" si="28"/>
        <v>#REF!</v>
      </c>
      <c r="J142" s="60" t="e">
        <f>VLOOKUP(B142,'115+040'!$B$12:$AB$621,13,FALSE)</f>
        <v>#REF!</v>
      </c>
      <c r="K142" s="58">
        <f>'115+040'!R140</f>
        <v>0</v>
      </c>
      <c r="L142" s="57">
        <f t="shared" ref="L142:L205" si="33">+K142+L141</f>
        <v>262</v>
      </c>
      <c r="M142" s="62" t="e">
        <f>VLOOKUP(B142,'115+040'!$B$11:$AB$621,21,FALSE)</f>
        <v>#REF!</v>
      </c>
      <c r="N142" s="61" t="e">
        <f>VLOOKUP(B142,'115+040'!$B$12:$AB$621,5,FALSE)</f>
        <v>#REF!</v>
      </c>
      <c r="O142" s="60" t="e">
        <f t="shared" si="29"/>
        <v>#REF!</v>
      </c>
      <c r="P142" s="60" t="e">
        <f>VLOOKUP(B142,'115+040'!$B$12:$AB$621,14,FALSE)</f>
        <v>#REF!</v>
      </c>
      <c r="Q142" s="58">
        <f>'115+040'!S140</f>
        <v>0</v>
      </c>
      <c r="R142" s="57">
        <f t="shared" ref="R142:R205" si="34">+Q142+R141</f>
        <v>297</v>
      </c>
      <c r="S142" s="62" t="e">
        <f>VLOOKUP(B142,'115+040'!$B$11:$AB$621,22,FALSE)</f>
        <v>#REF!</v>
      </c>
      <c r="T142" s="61" t="e">
        <f>VLOOKUP(B142,'115+040'!$B$12:$AB$621,6,FALSE)</f>
        <v>#REF!</v>
      </c>
      <c r="U142" s="60" t="e">
        <f t="shared" si="30"/>
        <v>#REF!</v>
      </c>
      <c r="V142" s="59" t="e">
        <f>VLOOKUP(B142,'115+040'!$B$12:$AB$621,15,FALSE)</f>
        <v>#REF!</v>
      </c>
      <c r="W142" s="58">
        <f>'[4]114+940'!S143</f>
        <v>4</v>
      </c>
      <c r="X142" s="57">
        <f t="shared" ref="X142:X205" si="35">+W142+X141</f>
        <v>163</v>
      </c>
      <c r="Y142" s="56" t="e">
        <f t="shared" ref="Y142:Y205" si="36">S142-S141</f>
        <v>#REF!</v>
      </c>
      <c r="Z142" s="55" t="e">
        <f t="shared" ref="Z142:Z205" si="37">IF(Y142&gt;0,Y142,0)/1000</f>
        <v>#REF!</v>
      </c>
      <c r="AA142" s="54" t="e">
        <f t="shared" ref="AA142:AA205" si="38">AA141+Z142</f>
        <v>#REF!</v>
      </c>
      <c r="AB142" s="54" t="e">
        <f t="shared" ref="AB142:AB205" si="39">(M142-$M$13-R142)/1000</f>
        <v>#REF!</v>
      </c>
    </row>
    <row r="143" spans="2:31">
      <c r="B143" s="96" t="e">
        <f>'115+040'!#REF!</f>
        <v>#REF!</v>
      </c>
      <c r="C143" s="66" t="e">
        <f t="shared" si="31"/>
        <v>#REF!</v>
      </c>
      <c r="D143" s="65" t="e">
        <f t="shared" si="32"/>
        <v>#REF!</v>
      </c>
      <c r="E143" s="64" t="e">
        <f>VLOOKUP(B143,'115+040'!B141:AB242,3,FALSE)</f>
        <v>#REF!</v>
      </c>
      <c r="F143" s="61" t="e">
        <f t="shared" si="27"/>
        <v>#REF!</v>
      </c>
      <c r="G143" s="63" t="e">
        <f>VLOOKUP(B143,'115+040'!$B$12:$AB$621,20,FALSE)</f>
        <v>#REF!</v>
      </c>
      <c r="H143" s="63" t="e">
        <f>VLOOKUP(B143,'115+040'!$B$12:$AB$621,4,FALSE)</f>
        <v>#REF!</v>
      </c>
      <c r="I143" s="60" t="e">
        <f t="shared" si="28"/>
        <v>#REF!</v>
      </c>
      <c r="J143" s="60" t="e">
        <f>VLOOKUP(B143,'115+040'!$B$12:$AB$621,13,FALSE)</f>
        <v>#REF!</v>
      </c>
      <c r="K143" s="58">
        <f>'115+040'!R141</f>
        <v>4</v>
      </c>
      <c r="L143" s="57">
        <f t="shared" si="33"/>
        <v>266</v>
      </c>
      <c r="M143" s="62" t="e">
        <f>VLOOKUP(B143,'115+040'!$B$11:$AB$621,21,FALSE)</f>
        <v>#REF!</v>
      </c>
      <c r="N143" s="61" t="e">
        <f>VLOOKUP(B143,'115+040'!$B$12:$AB$621,5,FALSE)</f>
        <v>#REF!</v>
      </c>
      <c r="O143" s="60" t="e">
        <f t="shared" si="29"/>
        <v>#REF!</v>
      </c>
      <c r="P143" s="60" t="e">
        <f>VLOOKUP(B143,'115+040'!$B$12:$AB$621,14,FALSE)</f>
        <v>#REF!</v>
      </c>
      <c r="Q143" s="58">
        <f>'115+040'!S141</f>
        <v>5</v>
      </c>
      <c r="R143" s="57">
        <f t="shared" si="34"/>
        <v>302</v>
      </c>
      <c r="S143" s="62" t="e">
        <f>VLOOKUP(B143,'115+040'!$B$11:$AB$621,22,FALSE)</f>
        <v>#REF!</v>
      </c>
      <c r="T143" s="61" t="e">
        <f>VLOOKUP(B143,'115+040'!$B$12:$AB$621,6,FALSE)</f>
        <v>#REF!</v>
      </c>
      <c r="U143" s="60" t="e">
        <f t="shared" si="30"/>
        <v>#REF!</v>
      </c>
      <c r="V143" s="59" t="e">
        <f>VLOOKUP(B143,'115+040'!$B$12:$AB$621,15,FALSE)</f>
        <v>#REF!</v>
      </c>
      <c r="W143" s="58">
        <f>'[4]114+940'!S144</f>
        <v>9</v>
      </c>
      <c r="X143" s="57">
        <f t="shared" si="35"/>
        <v>172</v>
      </c>
      <c r="Y143" s="56" t="e">
        <f t="shared" si="36"/>
        <v>#REF!</v>
      </c>
      <c r="Z143" s="55" t="e">
        <f t="shared" si="37"/>
        <v>#REF!</v>
      </c>
      <c r="AA143" s="54" t="e">
        <f t="shared" si="38"/>
        <v>#REF!</v>
      </c>
      <c r="AB143" s="54" t="e">
        <f t="shared" si="39"/>
        <v>#REF!</v>
      </c>
    </row>
    <row r="144" spans="2:31">
      <c r="B144" s="96" t="e">
        <f>'115+040'!#REF!</f>
        <v>#REF!</v>
      </c>
      <c r="C144" s="66" t="e">
        <f t="shared" si="31"/>
        <v>#REF!</v>
      </c>
      <c r="D144" s="65" t="e">
        <f t="shared" si="32"/>
        <v>#REF!</v>
      </c>
      <c r="E144" s="64" t="e">
        <f>VLOOKUP(B144,'115+040'!B142:AB243,3,FALSE)</f>
        <v>#REF!</v>
      </c>
      <c r="F144" s="61" t="e">
        <f t="shared" si="27"/>
        <v>#REF!</v>
      </c>
      <c r="G144" s="63" t="e">
        <f>VLOOKUP(B144,'115+040'!$B$12:$AB$621,20,FALSE)</f>
        <v>#REF!</v>
      </c>
      <c r="H144" s="63" t="e">
        <f>VLOOKUP(B144,'115+040'!$B$12:$AB$621,4,FALSE)</f>
        <v>#REF!</v>
      </c>
      <c r="I144" s="60" t="e">
        <f t="shared" si="28"/>
        <v>#REF!</v>
      </c>
      <c r="J144" s="60" t="e">
        <f>VLOOKUP(B144,'115+040'!$B$12:$AB$621,13,FALSE)</f>
        <v>#REF!</v>
      </c>
      <c r="K144" s="58">
        <f>'115+040'!R142</f>
        <v>3</v>
      </c>
      <c r="L144" s="57">
        <f t="shared" si="33"/>
        <v>269</v>
      </c>
      <c r="M144" s="62" t="e">
        <f>VLOOKUP(B144,'115+040'!$B$11:$AB$621,21,FALSE)</f>
        <v>#REF!</v>
      </c>
      <c r="N144" s="61" t="e">
        <f>VLOOKUP(B144,'115+040'!$B$12:$AB$621,5,FALSE)</f>
        <v>#REF!</v>
      </c>
      <c r="O144" s="60" t="e">
        <f t="shared" si="29"/>
        <v>#REF!</v>
      </c>
      <c r="P144" s="60" t="e">
        <f>VLOOKUP(B144,'115+040'!$B$12:$AB$621,14,FALSE)</f>
        <v>#REF!</v>
      </c>
      <c r="Q144" s="58">
        <f>'115+040'!S142</f>
        <v>4</v>
      </c>
      <c r="R144" s="57">
        <f t="shared" si="34"/>
        <v>306</v>
      </c>
      <c r="S144" s="62" t="e">
        <f>VLOOKUP(B144,'115+040'!$B$11:$AB$621,22,FALSE)</f>
        <v>#REF!</v>
      </c>
      <c r="T144" s="61" t="e">
        <f>VLOOKUP(B144,'115+040'!$B$12:$AB$621,6,FALSE)</f>
        <v>#REF!</v>
      </c>
      <c r="U144" s="60" t="e">
        <f t="shared" si="30"/>
        <v>#REF!</v>
      </c>
      <c r="V144" s="59" t="e">
        <f>VLOOKUP(B144,'115+040'!$B$12:$AB$621,15,FALSE)</f>
        <v>#REF!</v>
      </c>
      <c r="W144" s="58">
        <f>'[4]114+940'!S145</f>
        <v>3</v>
      </c>
      <c r="X144" s="57">
        <f t="shared" si="35"/>
        <v>175</v>
      </c>
      <c r="Y144" s="56" t="e">
        <f t="shared" si="36"/>
        <v>#REF!</v>
      </c>
      <c r="Z144" s="55" t="e">
        <f t="shared" si="37"/>
        <v>#REF!</v>
      </c>
      <c r="AA144" s="54" t="e">
        <f t="shared" si="38"/>
        <v>#REF!</v>
      </c>
      <c r="AB144" s="54" t="e">
        <f t="shared" si="39"/>
        <v>#REF!</v>
      </c>
    </row>
    <row r="145" spans="2:28">
      <c r="B145" s="96" t="e">
        <f>'115+040'!#REF!</f>
        <v>#REF!</v>
      </c>
      <c r="C145" s="66" t="e">
        <f t="shared" si="31"/>
        <v>#REF!</v>
      </c>
      <c r="D145" s="65" t="e">
        <f t="shared" si="32"/>
        <v>#REF!</v>
      </c>
      <c r="E145" s="64" t="e">
        <f>VLOOKUP(B145,'115+040'!B143:AB244,3,FALSE)</f>
        <v>#REF!</v>
      </c>
      <c r="F145" s="61" t="e">
        <f t="shared" si="27"/>
        <v>#REF!</v>
      </c>
      <c r="G145" s="63" t="e">
        <f>VLOOKUP(B145,'115+040'!$B$12:$AB$621,20,FALSE)</f>
        <v>#REF!</v>
      </c>
      <c r="H145" s="63" t="e">
        <f>VLOOKUP(B145,'115+040'!$B$12:$AB$621,4,FALSE)</f>
        <v>#REF!</v>
      </c>
      <c r="I145" s="60" t="e">
        <f t="shared" si="28"/>
        <v>#REF!</v>
      </c>
      <c r="J145" s="60" t="e">
        <f>VLOOKUP(B145,'115+040'!$B$12:$AB$621,13,FALSE)</f>
        <v>#REF!</v>
      </c>
      <c r="K145" s="58">
        <f>'115+040'!R143</f>
        <v>2</v>
      </c>
      <c r="L145" s="57">
        <f t="shared" si="33"/>
        <v>271</v>
      </c>
      <c r="M145" s="62" t="e">
        <f>VLOOKUP(B145,'115+040'!$B$11:$AB$621,21,FALSE)</f>
        <v>#REF!</v>
      </c>
      <c r="N145" s="61" t="e">
        <f>VLOOKUP(B145,'115+040'!$B$12:$AB$621,5,FALSE)</f>
        <v>#REF!</v>
      </c>
      <c r="O145" s="60" t="e">
        <f t="shared" si="29"/>
        <v>#REF!</v>
      </c>
      <c r="P145" s="60" t="e">
        <f>VLOOKUP(B145,'115+040'!$B$12:$AB$621,14,FALSE)</f>
        <v>#REF!</v>
      </c>
      <c r="Q145" s="58">
        <f>'115+040'!S143</f>
        <v>3</v>
      </c>
      <c r="R145" s="57">
        <f t="shared" si="34"/>
        <v>309</v>
      </c>
      <c r="S145" s="62" t="e">
        <f>VLOOKUP(B145,'115+040'!$B$11:$AB$621,22,FALSE)</f>
        <v>#REF!</v>
      </c>
      <c r="T145" s="61" t="e">
        <f>VLOOKUP(B145,'115+040'!$B$12:$AB$621,6,FALSE)</f>
        <v>#REF!</v>
      </c>
      <c r="U145" s="60" t="e">
        <f t="shared" si="30"/>
        <v>#REF!</v>
      </c>
      <c r="V145" s="59" t="e">
        <f>VLOOKUP(B145,'115+040'!$B$12:$AB$621,15,FALSE)</f>
        <v>#REF!</v>
      </c>
      <c r="W145" s="58">
        <f>'[4]114+940'!S146</f>
        <v>4</v>
      </c>
      <c r="X145" s="57">
        <f t="shared" si="35"/>
        <v>179</v>
      </c>
      <c r="Y145" s="56" t="e">
        <f t="shared" si="36"/>
        <v>#REF!</v>
      </c>
      <c r="Z145" s="55" t="e">
        <f t="shared" si="37"/>
        <v>#REF!</v>
      </c>
      <c r="AA145" s="54" t="e">
        <f t="shared" si="38"/>
        <v>#REF!</v>
      </c>
      <c r="AB145" s="54" t="e">
        <f t="shared" si="39"/>
        <v>#REF!</v>
      </c>
    </row>
    <row r="146" spans="2:28">
      <c r="B146" s="96" t="e">
        <f>'115+040'!#REF!</f>
        <v>#REF!</v>
      </c>
      <c r="C146" s="66" t="e">
        <f t="shared" si="31"/>
        <v>#REF!</v>
      </c>
      <c r="D146" s="65" t="e">
        <f t="shared" si="32"/>
        <v>#REF!</v>
      </c>
      <c r="E146" s="64" t="e">
        <f>VLOOKUP(B146,'115+040'!B144:AB245,3,FALSE)</f>
        <v>#REF!</v>
      </c>
      <c r="F146" s="61" t="e">
        <f t="shared" si="27"/>
        <v>#REF!</v>
      </c>
      <c r="G146" s="63" t="e">
        <f>VLOOKUP(B146,'115+040'!$B$12:$AB$621,20,FALSE)</f>
        <v>#REF!</v>
      </c>
      <c r="H146" s="63" t="e">
        <f>VLOOKUP(B146,'115+040'!$B$12:$AB$621,4,FALSE)</f>
        <v>#REF!</v>
      </c>
      <c r="I146" s="60" t="e">
        <f t="shared" si="28"/>
        <v>#REF!</v>
      </c>
      <c r="J146" s="60" t="e">
        <f>VLOOKUP(B146,'115+040'!$B$12:$AB$621,13,FALSE)</f>
        <v>#REF!</v>
      </c>
      <c r="K146" s="58">
        <f>'115+040'!R144</f>
        <v>2</v>
      </c>
      <c r="L146" s="57">
        <f t="shared" si="33"/>
        <v>273</v>
      </c>
      <c r="M146" s="62" t="e">
        <f>VLOOKUP(B146,'115+040'!$B$11:$AB$621,21,FALSE)</f>
        <v>#REF!</v>
      </c>
      <c r="N146" s="61" t="e">
        <f>VLOOKUP(B146,'115+040'!$B$12:$AB$621,5,FALSE)</f>
        <v>#REF!</v>
      </c>
      <c r="O146" s="60" t="e">
        <f t="shared" si="29"/>
        <v>#REF!</v>
      </c>
      <c r="P146" s="60" t="e">
        <f>VLOOKUP(B146,'115+040'!$B$12:$AB$621,14,FALSE)</f>
        <v>#REF!</v>
      </c>
      <c r="Q146" s="58">
        <f>'115+040'!S144</f>
        <v>1</v>
      </c>
      <c r="R146" s="57">
        <f t="shared" si="34"/>
        <v>310</v>
      </c>
      <c r="S146" s="62" t="e">
        <f>VLOOKUP(B146,'115+040'!$B$11:$AB$621,22,FALSE)</f>
        <v>#REF!</v>
      </c>
      <c r="T146" s="61" t="e">
        <f>VLOOKUP(B146,'115+040'!$B$12:$AB$621,6,FALSE)</f>
        <v>#REF!</v>
      </c>
      <c r="U146" s="60" t="e">
        <f t="shared" si="30"/>
        <v>#REF!</v>
      </c>
      <c r="V146" s="59" t="e">
        <f>VLOOKUP(B146,'115+040'!$B$12:$AB$621,15,FALSE)</f>
        <v>#REF!</v>
      </c>
      <c r="W146" s="58">
        <f>'[4]114+940'!S147</f>
        <v>2</v>
      </c>
      <c r="X146" s="57">
        <f t="shared" si="35"/>
        <v>181</v>
      </c>
      <c r="Y146" s="56" t="e">
        <f t="shared" si="36"/>
        <v>#REF!</v>
      </c>
      <c r="Z146" s="55" t="e">
        <f t="shared" si="37"/>
        <v>#REF!</v>
      </c>
      <c r="AA146" s="54" t="e">
        <f t="shared" si="38"/>
        <v>#REF!</v>
      </c>
      <c r="AB146" s="54" t="e">
        <f t="shared" si="39"/>
        <v>#REF!</v>
      </c>
    </row>
    <row r="147" spans="2:28">
      <c r="B147" s="96" t="e">
        <f>'115+040'!#REF!</f>
        <v>#REF!</v>
      </c>
      <c r="C147" s="66" t="e">
        <f t="shared" si="31"/>
        <v>#REF!</v>
      </c>
      <c r="D147" s="65" t="e">
        <f t="shared" si="32"/>
        <v>#REF!</v>
      </c>
      <c r="E147" s="64" t="e">
        <f>VLOOKUP(B147,'115+040'!B145:AB246,3,FALSE)</f>
        <v>#REF!</v>
      </c>
      <c r="F147" s="61" t="e">
        <f t="shared" si="27"/>
        <v>#REF!</v>
      </c>
      <c r="G147" s="63" t="e">
        <f>VLOOKUP(B147,'115+040'!$B$12:$AB$621,20,FALSE)</f>
        <v>#REF!</v>
      </c>
      <c r="H147" s="63" t="e">
        <f>VLOOKUP(B147,'115+040'!$B$12:$AB$621,4,FALSE)</f>
        <v>#REF!</v>
      </c>
      <c r="I147" s="60" t="e">
        <f t="shared" si="28"/>
        <v>#REF!</v>
      </c>
      <c r="J147" s="60" t="e">
        <f>VLOOKUP(B147,'115+040'!$B$12:$AB$621,13,FALSE)</f>
        <v>#REF!</v>
      </c>
      <c r="K147" s="58">
        <f>'115+040'!R145</f>
        <v>0</v>
      </c>
      <c r="L147" s="57">
        <f t="shared" si="33"/>
        <v>273</v>
      </c>
      <c r="M147" s="62" t="e">
        <f>VLOOKUP(B147,'115+040'!$B$11:$AB$621,21,FALSE)</f>
        <v>#REF!</v>
      </c>
      <c r="N147" s="61" t="e">
        <f>VLOOKUP(B147,'115+040'!$B$12:$AB$621,5,FALSE)</f>
        <v>#REF!</v>
      </c>
      <c r="O147" s="60" t="e">
        <f t="shared" si="29"/>
        <v>#REF!</v>
      </c>
      <c r="P147" s="60" t="e">
        <f>VLOOKUP(B147,'115+040'!$B$12:$AB$621,14,FALSE)</f>
        <v>#REF!</v>
      </c>
      <c r="Q147" s="58">
        <f>'115+040'!S145</f>
        <v>0</v>
      </c>
      <c r="R147" s="57">
        <f t="shared" si="34"/>
        <v>310</v>
      </c>
      <c r="S147" s="62" t="e">
        <f>VLOOKUP(B147,'115+040'!$B$11:$AB$621,22,FALSE)</f>
        <v>#REF!</v>
      </c>
      <c r="T147" s="61" t="e">
        <f>VLOOKUP(B147,'115+040'!$B$12:$AB$621,6,FALSE)</f>
        <v>#REF!</v>
      </c>
      <c r="U147" s="60" t="e">
        <f t="shared" si="30"/>
        <v>#REF!</v>
      </c>
      <c r="V147" s="59" t="e">
        <f>VLOOKUP(B147,'115+040'!$B$12:$AB$621,15,FALSE)</f>
        <v>#REF!</v>
      </c>
      <c r="W147" s="58">
        <f>'[4]114+940'!S148</f>
        <v>5</v>
      </c>
      <c r="X147" s="57">
        <f t="shared" si="35"/>
        <v>186</v>
      </c>
      <c r="Y147" s="56" t="e">
        <f t="shared" si="36"/>
        <v>#REF!</v>
      </c>
      <c r="Z147" s="55" t="e">
        <f t="shared" si="37"/>
        <v>#REF!</v>
      </c>
      <c r="AA147" s="54" t="e">
        <f t="shared" si="38"/>
        <v>#REF!</v>
      </c>
      <c r="AB147" s="54" t="e">
        <f t="shared" si="39"/>
        <v>#REF!</v>
      </c>
    </row>
    <row r="148" spans="2:28">
      <c r="B148" s="96" t="e">
        <f>'115+040'!#REF!</f>
        <v>#REF!</v>
      </c>
      <c r="C148" s="66" t="e">
        <f t="shared" si="31"/>
        <v>#REF!</v>
      </c>
      <c r="D148" s="65" t="e">
        <f t="shared" si="32"/>
        <v>#REF!</v>
      </c>
      <c r="E148" s="64" t="e">
        <f>VLOOKUP(B148,'115+040'!B146:AB247,3,FALSE)</f>
        <v>#REF!</v>
      </c>
      <c r="F148" s="61" t="e">
        <f t="shared" si="27"/>
        <v>#REF!</v>
      </c>
      <c r="G148" s="63" t="e">
        <f>VLOOKUP(B148,'115+040'!$B$12:$AB$621,20,FALSE)</f>
        <v>#REF!</v>
      </c>
      <c r="H148" s="63" t="e">
        <f>VLOOKUP(B148,'115+040'!$B$12:$AB$621,4,FALSE)</f>
        <v>#REF!</v>
      </c>
      <c r="I148" s="60" t="e">
        <f t="shared" si="28"/>
        <v>#REF!</v>
      </c>
      <c r="J148" s="60" t="e">
        <f>VLOOKUP(B148,'115+040'!$B$12:$AB$621,13,FALSE)</f>
        <v>#REF!</v>
      </c>
      <c r="K148" s="58">
        <f>'115+040'!R146</f>
        <v>4</v>
      </c>
      <c r="L148" s="57">
        <f t="shared" si="33"/>
        <v>277</v>
      </c>
      <c r="M148" s="62" t="e">
        <f>VLOOKUP(B148,'115+040'!$B$11:$AB$621,21,FALSE)</f>
        <v>#REF!</v>
      </c>
      <c r="N148" s="61" t="e">
        <f>VLOOKUP(B148,'115+040'!$B$12:$AB$621,5,FALSE)</f>
        <v>#REF!</v>
      </c>
      <c r="O148" s="60" t="e">
        <f t="shared" si="29"/>
        <v>#REF!</v>
      </c>
      <c r="P148" s="60" t="e">
        <f>VLOOKUP(B148,'115+040'!$B$12:$AB$621,14,FALSE)</f>
        <v>#REF!</v>
      </c>
      <c r="Q148" s="58">
        <f>'115+040'!S146</f>
        <v>5</v>
      </c>
      <c r="R148" s="57">
        <f t="shared" si="34"/>
        <v>315</v>
      </c>
      <c r="S148" s="62" t="e">
        <f>VLOOKUP(B148,'115+040'!$B$11:$AB$621,22,FALSE)</f>
        <v>#REF!</v>
      </c>
      <c r="T148" s="61" t="e">
        <f>VLOOKUP(B148,'115+040'!$B$12:$AB$621,6,FALSE)</f>
        <v>#REF!</v>
      </c>
      <c r="U148" s="60" t="e">
        <f t="shared" si="30"/>
        <v>#REF!</v>
      </c>
      <c r="V148" s="59" t="e">
        <f>VLOOKUP(B148,'115+040'!$B$12:$AB$621,15,FALSE)</f>
        <v>#REF!</v>
      </c>
      <c r="W148" s="58">
        <f>'[4]114+940'!S149</f>
        <v>8</v>
      </c>
      <c r="X148" s="57">
        <f t="shared" si="35"/>
        <v>194</v>
      </c>
      <c r="Y148" s="56" t="e">
        <f t="shared" si="36"/>
        <v>#REF!</v>
      </c>
      <c r="Z148" s="55" t="e">
        <f t="shared" si="37"/>
        <v>#REF!</v>
      </c>
      <c r="AA148" s="54" t="e">
        <f t="shared" si="38"/>
        <v>#REF!</v>
      </c>
      <c r="AB148" s="54" t="e">
        <f t="shared" si="39"/>
        <v>#REF!</v>
      </c>
    </row>
    <row r="149" spans="2:28">
      <c r="B149" s="96" t="e">
        <f>'115+040'!#REF!</f>
        <v>#REF!</v>
      </c>
      <c r="C149" s="66" t="e">
        <f t="shared" si="31"/>
        <v>#REF!</v>
      </c>
      <c r="D149" s="65" t="e">
        <f t="shared" si="32"/>
        <v>#REF!</v>
      </c>
      <c r="E149" s="64" t="e">
        <f>VLOOKUP(B149,'115+040'!B147:AB248,3,FALSE)</f>
        <v>#REF!</v>
      </c>
      <c r="F149" s="61" t="e">
        <f t="shared" si="27"/>
        <v>#REF!</v>
      </c>
      <c r="G149" s="63" t="e">
        <f>VLOOKUP(B149,'115+040'!$B$12:$AB$621,20,FALSE)</f>
        <v>#REF!</v>
      </c>
      <c r="H149" s="63" t="e">
        <f>VLOOKUP(B149,'115+040'!$B$12:$AB$621,4,FALSE)</f>
        <v>#REF!</v>
      </c>
      <c r="I149" s="60" t="e">
        <f t="shared" si="28"/>
        <v>#REF!</v>
      </c>
      <c r="J149" s="60" t="e">
        <f>VLOOKUP(B149,'115+040'!$B$12:$AB$621,13,FALSE)</f>
        <v>#REF!</v>
      </c>
      <c r="K149" s="58">
        <f>'115+040'!R147</f>
        <v>4</v>
      </c>
      <c r="L149" s="57">
        <f t="shared" si="33"/>
        <v>281</v>
      </c>
      <c r="M149" s="62" t="e">
        <f>VLOOKUP(B149,'115+040'!$B$11:$AB$621,21,FALSE)</f>
        <v>#REF!</v>
      </c>
      <c r="N149" s="61" t="e">
        <f>VLOOKUP(B149,'115+040'!$B$12:$AB$621,5,FALSE)</f>
        <v>#REF!</v>
      </c>
      <c r="O149" s="60" t="e">
        <f t="shared" si="29"/>
        <v>#REF!</v>
      </c>
      <c r="P149" s="60" t="e">
        <f>VLOOKUP(B149,'115+040'!$B$12:$AB$621,14,FALSE)</f>
        <v>#REF!</v>
      </c>
      <c r="Q149" s="58">
        <f>'115+040'!S147</f>
        <v>5</v>
      </c>
      <c r="R149" s="57">
        <f t="shared" si="34"/>
        <v>320</v>
      </c>
      <c r="S149" s="62" t="e">
        <f>VLOOKUP(B149,'115+040'!$B$11:$AB$621,22,FALSE)</f>
        <v>#REF!</v>
      </c>
      <c r="T149" s="61" t="e">
        <f>VLOOKUP(B149,'115+040'!$B$12:$AB$621,6,FALSE)</f>
        <v>#REF!</v>
      </c>
      <c r="U149" s="60" t="e">
        <f t="shared" si="30"/>
        <v>#REF!</v>
      </c>
      <c r="V149" s="59" t="e">
        <f>VLOOKUP(B149,'115+040'!$B$12:$AB$621,15,FALSE)</f>
        <v>#REF!</v>
      </c>
      <c r="W149" s="58">
        <f>'[4]114+940'!S150</f>
        <v>4</v>
      </c>
      <c r="X149" s="57">
        <f t="shared" si="35"/>
        <v>198</v>
      </c>
      <c r="Y149" s="56" t="e">
        <f t="shared" si="36"/>
        <v>#REF!</v>
      </c>
      <c r="Z149" s="55" t="e">
        <f t="shared" si="37"/>
        <v>#REF!</v>
      </c>
      <c r="AA149" s="54" t="e">
        <f t="shared" si="38"/>
        <v>#REF!</v>
      </c>
      <c r="AB149" s="54" t="e">
        <f t="shared" si="39"/>
        <v>#REF!</v>
      </c>
    </row>
    <row r="150" spans="2:28">
      <c r="B150" s="96" t="e">
        <f>'115+040'!#REF!</f>
        <v>#REF!</v>
      </c>
      <c r="C150" s="66" t="e">
        <f t="shared" si="31"/>
        <v>#REF!</v>
      </c>
      <c r="D150" s="65" t="e">
        <f t="shared" si="32"/>
        <v>#REF!</v>
      </c>
      <c r="E150" s="64" t="e">
        <f>VLOOKUP(B150,'115+040'!B148:AB249,3,FALSE)</f>
        <v>#REF!</v>
      </c>
      <c r="F150" s="61" t="e">
        <f t="shared" si="27"/>
        <v>#REF!</v>
      </c>
      <c r="G150" s="63" t="e">
        <f>VLOOKUP(B150,'115+040'!$B$12:$AB$621,20,FALSE)</f>
        <v>#REF!</v>
      </c>
      <c r="H150" s="63" t="e">
        <f>VLOOKUP(B150,'115+040'!$B$12:$AB$621,4,FALSE)</f>
        <v>#REF!</v>
      </c>
      <c r="I150" s="60" t="e">
        <f t="shared" si="28"/>
        <v>#REF!</v>
      </c>
      <c r="J150" s="60" t="e">
        <f>VLOOKUP(B150,'115+040'!$B$12:$AB$621,13,FALSE)</f>
        <v>#REF!</v>
      </c>
      <c r="K150" s="58">
        <f>'115+040'!R148</f>
        <v>4</v>
      </c>
      <c r="L150" s="57">
        <f t="shared" si="33"/>
        <v>285</v>
      </c>
      <c r="M150" s="62" t="e">
        <f>VLOOKUP(B150,'115+040'!$B$11:$AB$621,21,FALSE)</f>
        <v>#REF!</v>
      </c>
      <c r="N150" s="61" t="e">
        <f>VLOOKUP(B150,'115+040'!$B$12:$AB$621,5,FALSE)</f>
        <v>#REF!</v>
      </c>
      <c r="O150" s="60" t="e">
        <f t="shared" si="29"/>
        <v>#REF!</v>
      </c>
      <c r="P150" s="60" t="e">
        <f>VLOOKUP(B150,'115+040'!$B$12:$AB$621,14,FALSE)</f>
        <v>#REF!</v>
      </c>
      <c r="Q150" s="58">
        <f>'115+040'!S148</f>
        <v>5</v>
      </c>
      <c r="R150" s="57">
        <f t="shared" si="34"/>
        <v>325</v>
      </c>
      <c r="S150" s="62" t="e">
        <f>VLOOKUP(B150,'115+040'!$B$11:$AB$621,22,FALSE)</f>
        <v>#REF!</v>
      </c>
      <c r="T150" s="61" t="e">
        <f>VLOOKUP(B150,'115+040'!$B$12:$AB$621,6,FALSE)</f>
        <v>#REF!</v>
      </c>
      <c r="U150" s="60" t="e">
        <f t="shared" si="30"/>
        <v>#REF!</v>
      </c>
      <c r="V150" s="59" t="e">
        <f>VLOOKUP(B150,'115+040'!$B$12:$AB$621,15,FALSE)</f>
        <v>#REF!</v>
      </c>
      <c r="W150" s="58">
        <f>'[4]114+940'!S151</f>
        <v>3</v>
      </c>
      <c r="X150" s="57">
        <f t="shared" si="35"/>
        <v>201</v>
      </c>
      <c r="Y150" s="56" t="e">
        <f t="shared" si="36"/>
        <v>#REF!</v>
      </c>
      <c r="Z150" s="55" t="e">
        <f t="shared" si="37"/>
        <v>#REF!</v>
      </c>
      <c r="AA150" s="54" t="e">
        <f t="shared" si="38"/>
        <v>#REF!</v>
      </c>
      <c r="AB150" s="54" t="e">
        <f t="shared" si="39"/>
        <v>#REF!</v>
      </c>
    </row>
    <row r="151" spans="2:28">
      <c r="B151" s="96" t="e">
        <f>'115+040'!#REF!</f>
        <v>#REF!</v>
      </c>
      <c r="C151" s="66" t="e">
        <f t="shared" si="31"/>
        <v>#REF!</v>
      </c>
      <c r="D151" s="65" t="e">
        <f t="shared" si="32"/>
        <v>#REF!</v>
      </c>
      <c r="E151" s="64" t="e">
        <f>VLOOKUP(B151,'115+040'!B149:AB250,3,FALSE)</f>
        <v>#REF!</v>
      </c>
      <c r="F151" s="61" t="e">
        <f t="shared" si="27"/>
        <v>#REF!</v>
      </c>
      <c r="G151" s="63" t="e">
        <f>VLOOKUP(B151,'115+040'!$B$12:$AB$621,20,FALSE)</f>
        <v>#REF!</v>
      </c>
      <c r="H151" s="63" t="e">
        <f>VLOOKUP(B151,'115+040'!$B$12:$AB$621,4,FALSE)</f>
        <v>#REF!</v>
      </c>
      <c r="I151" s="60" t="e">
        <f t="shared" si="28"/>
        <v>#REF!</v>
      </c>
      <c r="J151" s="60" t="e">
        <f>VLOOKUP(B151,'115+040'!$B$12:$AB$621,13,FALSE)</f>
        <v>#REF!</v>
      </c>
      <c r="K151" s="58">
        <f>'115+040'!R149</f>
        <v>4</v>
      </c>
      <c r="L151" s="57">
        <f t="shared" si="33"/>
        <v>289</v>
      </c>
      <c r="M151" s="62" t="e">
        <f>VLOOKUP(B151,'115+040'!$B$11:$AB$621,21,FALSE)</f>
        <v>#REF!</v>
      </c>
      <c r="N151" s="61" t="e">
        <f>VLOOKUP(B151,'115+040'!$B$12:$AB$621,5,FALSE)</f>
        <v>#REF!</v>
      </c>
      <c r="O151" s="60" t="e">
        <f t="shared" si="29"/>
        <v>#REF!</v>
      </c>
      <c r="P151" s="60" t="e">
        <f>VLOOKUP(B151,'115+040'!$B$12:$AB$621,14,FALSE)</f>
        <v>#REF!</v>
      </c>
      <c r="Q151" s="58">
        <f>'115+040'!S149</f>
        <v>5</v>
      </c>
      <c r="R151" s="57">
        <f t="shared" si="34"/>
        <v>330</v>
      </c>
      <c r="S151" s="62" t="e">
        <f>VLOOKUP(B151,'115+040'!$B$11:$AB$621,22,FALSE)</f>
        <v>#REF!</v>
      </c>
      <c r="T151" s="61" t="e">
        <f>VLOOKUP(B151,'115+040'!$B$12:$AB$621,6,FALSE)</f>
        <v>#REF!</v>
      </c>
      <c r="U151" s="60" t="e">
        <f t="shared" si="30"/>
        <v>#REF!</v>
      </c>
      <c r="V151" s="59" t="e">
        <f>VLOOKUP(B151,'115+040'!$B$12:$AB$621,15,FALSE)</f>
        <v>#REF!</v>
      </c>
      <c r="W151" s="58">
        <f>'[4]114+940'!S152</f>
        <v>1</v>
      </c>
      <c r="X151" s="57">
        <f t="shared" si="35"/>
        <v>202</v>
      </c>
      <c r="Y151" s="56" t="e">
        <f t="shared" si="36"/>
        <v>#REF!</v>
      </c>
      <c r="Z151" s="55" t="e">
        <f t="shared" si="37"/>
        <v>#REF!</v>
      </c>
      <c r="AA151" s="54" t="e">
        <f t="shared" si="38"/>
        <v>#REF!</v>
      </c>
      <c r="AB151" s="54" t="e">
        <f t="shared" si="39"/>
        <v>#REF!</v>
      </c>
    </row>
    <row r="152" spans="2:28">
      <c r="B152" s="96" t="e">
        <f>'115+040'!#REF!</f>
        <v>#REF!</v>
      </c>
      <c r="C152" s="66" t="e">
        <f t="shared" si="31"/>
        <v>#REF!</v>
      </c>
      <c r="D152" s="65" t="e">
        <f t="shared" si="32"/>
        <v>#REF!</v>
      </c>
      <c r="E152" s="64" t="e">
        <f>VLOOKUP(B152,'115+040'!B150:AB251,3,FALSE)</f>
        <v>#REF!</v>
      </c>
      <c r="F152" s="61" t="e">
        <f t="shared" si="27"/>
        <v>#REF!</v>
      </c>
      <c r="G152" s="63" t="e">
        <f>VLOOKUP(B152,'115+040'!$B$12:$AB$621,20,FALSE)</f>
        <v>#REF!</v>
      </c>
      <c r="H152" s="63" t="e">
        <f>VLOOKUP(B152,'115+040'!$B$12:$AB$621,4,FALSE)</f>
        <v>#REF!</v>
      </c>
      <c r="I152" s="60" t="e">
        <f t="shared" si="28"/>
        <v>#REF!</v>
      </c>
      <c r="J152" s="60" t="e">
        <f>VLOOKUP(B152,'115+040'!$B$12:$AB$621,13,FALSE)</f>
        <v>#REF!</v>
      </c>
      <c r="K152" s="58">
        <f>'115+040'!R150</f>
        <v>4</v>
      </c>
      <c r="L152" s="57">
        <f t="shared" si="33"/>
        <v>293</v>
      </c>
      <c r="M152" s="62" t="e">
        <f>VLOOKUP(B152,'115+040'!$B$11:$AB$621,21,FALSE)</f>
        <v>#REF!</v>
      </c>
      <c r="N152" s="61" t="e">
        <f>VLOOKUP(B152,'115+040'!$B$12:$AB$621,5,FALSE)</f>
        <v>#REF!</v>
      </c>
      <c r="O152" s="60" t="e">
        <f t="shared" si="29"/>
        <v>#REF!</v>
      </c>
      <c r="P152" s="60" t="e">
        <f>VLOOKUP(B152,'115+040'!$B$12:$AB$621,14,FALSE)</f>
        <v>#REF!</v>
      </c>
      <c r="Q152" s="58">
        <f>'115+040'!S150</f>
        <v>5</v>
      </c>
      <c r="R152" s="57">
        <f t="shared" si="34"/>
        <v>335</v>
      </c>
      <c r="S152" s="62" t="e">
        <f>VLOOKUP(B152,'115+040'!$B$11:$AB$621,22,FALSE)</f>
        <v>#REF!</v>
      </c>
      <c r="T152" s="61" t="e">
        <f>VLOOKUP(B152,'115+040'!$B$12:$AB$621,6,FALSE)</f>
        <v>#REF!</v>
      </c>
      <c r="U152" s="60" t="e">
        <f t="shared" si="30"/>
        <v>#REF!</v>
      </c>
      <c r="V152" s="59" t="e">
        <f>VLOOKUP(B152,'115+040'!$B$12:$AB$621,15,FALSE)</f>
        <v>#REF!</v>
      </c>
      <c r="W152" s="58">
        <f>'[4]114+940'!S153</f>
        <v>1</v>
      </c>
      <c r="X152" s="57">
        <f t="shared" si="35"/>
        <v>203</v>
      </c>
      <c r="Y152" s="56" t="e">
        <f t="shared" si="36"/>
        <v>#REF!</v>
      </c>
      <c r="Z152" s="55" t="e">
        <f t="shared" si="37"/>
        <v>#REF!</v>
      </c>
      <c r="AA152" s="54" t="e">
        <f t="shared" si="38"/>
        <v>#REF!</v>
      </c>
      <c r="AB152" s="54" t="e">
        <f t="shared" si="39"/>
        <v>#REF!</v>
      </c>
    </row>
    <row r="153" spans="2:28">
      <c r="B153" s="96" t="e">
        <f>'115+040'!#REF!</f>
        <v>#REF!</v>
      </c>
      <c r="C153" s="66" t="e">
        <f t="shared" si="31"/>
        <v>#REF!</v>
      </c>
      <c r="D153" s="65" t="e">
        <f t="shared" si="32"/>
        <v>#REF!</v>
      </c>
      <c r="E153" s="64" t="e">
        <f>VLOOKUP(B153,'115+040'!B151:AB252,3,FALSE)</f>
        <v>#REF!</v>
      </c>
      <c r="F153" s="61" t="e">
        <f t="shared" si="27"/>
        <v>#REF!</v>
      </c>
      <c r="G153" s="63" t="e">
        <f>VLOOKUP(B153,'115+040'!$B$12:$AB$621,20,FALSE)</f>
        <v>#REF!</v>
      </c>
      <c r="H153" s="63" t="e">
        <f>VLOOKUP(B153,'115+040'!$B$12:$AB$621,4,FALSE)</f>
        <v>#REF!</v>
      </c>
      <c r="I153" s="60" t="e">
        <f t="shared" si="28"/>
        <v>#REF!</v>
      </c>
      <c r="J153" s="60" t="e">
        <f>VLOOKUP(B153,'115+040'!$B$12:$AB$621,13,FALSE)</f>
        <v>#REF!</v>
      </c>
      <c r="K153" s="58">
        <f>'115+040'!R151</f>
        <v>4</v>
      </c>
      <c r="L153" s="57">
        <f t="shared" si="33"/>
        <v>297</v>
      </c>
      <c r="M153" s="62" t="e">
        <f>VLOOKUP(B153,'115+040'!$B$11:$AB$621,21,FALSE)</f>
        <v>#REF!</v>
      </c>
      <c r="N153" s="61" t="e">
        <f>VLOOKUP(B153,'115+040'!$B$12:$AB$621,5,FALSE)</f>
        <v>#REF!</v>
      </c>
      <c r="O153" s="60" t="e">
        <f t="shared" si="29"/>
        <v>#REF!</v>
      </c>
      <c r="P153" s="60" t="e">
        <f>VLOOKUP(B153,'115+040'!$B$12:$AB$621,14,FALSE)</f>
        <v>#REF!</v>
      </c>
      <c r="Q153" s="58">
        <f>'115+040'!S151</f>
        <v>5</v>
      </c>
      <c r="R153" s="57">
        <f t="shared" si="34"/>
        <v>340</v>
      </c>
      <c r="S153" s="62" t="e">
        <f>VLOOKUP(B153,'115+040'!$B$11:$AB$621,22,FALSE)</f>
        <v>#REF!</v>
      </c>
      <c r="T153" s="61" t="e">
        <f>VLOOKUP(B153,'115+040'!$B$12:$AB$621,6,FALSE)</f>
        <v>#REF!</v>
      </c>
      <c r="U153" s="60" t="e">
        <f t="shared" si="30"/>
        <v>#REF!</v>
      </c>
      <c r="V153" s="59" t="e">
        <f>VLOOKUP(B153,'115+040'!$B$12:$AB$621,15,FALSE)</f>
        <v>#REF!</v>
      </c>
      <c r="W153" s="58">
        <f>'[4]114+940'!S154</f>
        <v>1</v>
      </c>
      <c r="X153" s="57">
        <f t="shared" si="35"/>
        <v>204</v>
      </c>
      <c r="Y153" s="56" t="e">
        <f t="shared" si="36"/>
        <v>#REF!</v>
      </c>
      <c r="Z153" s="55" t="e">
        <f t="shared" si="37"/>
        <v>#REF!</v>
      </c>
      <c r="AA153" s="54" t="e">
        <f t="shared" si="38"/>
        <v>#REF!</v>
      </c>
      <c r="AB153" s="54" t="e">
        <f t="shared" si="39"/>
        <v>#REF!</v>
      </c>
    </row>
    <row r="154" spans="2:28">
      <c r="B154" s="96" t="e">
        <f>'115+040'!#REF!</f>
        <v>#REF!</v>
      </c>
      <c r="C154" s="66" t="e">
        <f t="shared" si="31"/>
        <v>#REF!</v>
      </c>
      <c r="D154" s="65" t="e">
        <f t="shared" si="32"/>
        <v>#REF!</v>
      </c>
      <c r="E154" s="64" t="e">
        <f>VLOOKUP(B154,'115+040'!B152:AB252,3,FALSE)</f>
        <v>#REF!</v>
      </c>
      <c r="F154" s="61" t="e">
        <f t="shared" si="27"/>
        <v>#REF!</v>
      </c>
      <c r="G154" s="63" t="e">
        <f>VLOOKUP(B154,'115+040'!$B$12:$AB$621,20,FALSE)</f>
        <v>#REF!</v>
      </c>
      <c r="H154" s="63" t="e">
        <f>VLOOKUP(B154,'115+040'!$B$12:$AB$621,4,FALSE)</f>
        <v>#REF!</v>
      </c>
      <c r="I154" s="60" t="e">
        <f t="shared" si="28"/>
        <v>#REF!</v>
      </c>
      <c r="J154" s="60" t="e">
        <f>VLOOKUP(B154,'115+040'!$B$12:$AB$621,13,FALSE)</f>
        <v>#REF!</v>
      </c>
      <c r="K154" s="58">
        <f>'115+040'!R152</f>
        <v>4</v>
      </c>
      <c r="L154" s="57">
        <f t="shared" si="33"/>
        <v>301</v>
      </c>
      <c r="M154" s="62" t="e">
        <f>VLOOKUP(B154,'115+040'!$B$11:$AB$621,21,FALSE)</f>
        <v>#REF!</v>
      </c>
      <c r="N154" s="61" t="e">
        <f>VLOOKUP(B154,'115+040'!$B$12:$AB$621,5,FALSE)</f>
        <v>#REF!</v>
      </c>
      <c r="O154" s="60" t="e">
        <f t="shared" si="29"/>
        <v>#REF!</v>
      </c>
      <c r="P154" s="60" t="e">
        <f>VLOOKUP(B154,'115+040'!$B$12:$AB$621,14,FALSE)</f>
        <v>#REF!</v>
      </c>
      <c r="Q154" s="58">
        <f>'115+040'!S152</f>
        <v>5</v>
      </c>
      <c r="R154" s="57">
        <f t="shared" si="34"/>
        <v>345</v>
      </c>
      <c r="S154" s="62" t="e">
        <f>VLOOKUP(B154,'115+040'!$B$11:$AB$621,22,FALSE)</f>
        <v>#REF!</v>
      </c>
      <c r="T154" s="61" t="e">
        <f>VLOOKUP(B154,'115+040'!$B$12:$AB$621,6,FALSE)</f>
        <v>#REF!</v>
      </c>
      <c r="U154" s="60" t="e">
        <f t="shared" si="30"/>
        <v>#REF!</v>
      </c>
      <c r="V154" s="59" t="e">
        <f>VLOOKUP(B154,'115+040'!$B$12:$AB$621,15,FALSE)</f>
        <v>#REF!</v>
      </c>
      <c r="W154" s="58">
        <f>'[4]114+940'!S155</f>
        <v>3</v>
      </c>
      <c r="X154" s="57">
        <f t="shared" si="35"/>
        <v>207</v>
      </c>
      <c r="Y154" s="56" t="e">
        <f t="shared" si="36"/>
        <v>#REF!</v>
      </c>
      <c r="Z154" s="55" t="e">
        <f t="shared" si="37"/>
        <v>#REF!</v>
      </c>
      <c r="AA154" s="54" t="e">
        <f t="shared" si="38"/>
        <v>#REF!</v>
      </c>
      <c r="AB154" s="54" t="e">
        <f t="shared" si="39"/>
        <v>#REF!</v>
      </c>
    </row>
    <row r="155" spans="2:28">
      <c r="B155" s="96" t="e">
        <f>'115+040'!#REF!</f>
        <v>#REF!</v>
      </c>
      <c r="C155" s="66" t="e">
        <f t="shared" si="31"/>
        <v>#REF!</v>
      </c>
      <c r="D155" s="65" t="e">
        <f t="shared" si="32"/>
        <v>#REF!</v>
      </c>
      <c r="E155" s="64" t="e">
        <f>VLOOKUP(B155,'115+040'!B153:AB252,3,FALSE)</f>
        <v>#REF!</v>
      </c>
      <c r="F155" s="61" t="e">
        <f t="shared" si="27"/>
        <v>#REF!</v>
      </c>
      <c r="G155" s="63" t="e">
        <f>VLOOKUP(B155,'115+040'!$B$12:$AB$621,20,FALSE)</f>
        <v>#REF!</v>
      </c>
      <c r="H155" s="63" t="e">
        <f>VLOOKUP(B155,'115+040'!$B$12:$AB$621,4,FALSE)</f>
        <v>#REF!</v>
      </c>
      <c r="I155" s="60" t="e">
        <f t="shared" si="28"/>
        <v>#REF!</v>
      </c>
      <c r="J155" s="60" t="e">
        <f>VLOOKUP(B155,'115+040'!$B$12:$AB$621,13,FALSE)</f>
        <v>#REF!</v>
      </c>
      <c r="K155" s="58">
        <f>'115+040'!R153</f>
        <v>4</v>
      </c>
      <c r="L155" s="57">
        <f t="shared" si="33"/>
        <v>305</v>
      </c>
      <c r="M155" s="62" t="e">
        <f>VLOOKUP(B155,'115+040'!$B$11:$AB$621,21,FALSE)</f>
        <v>#REF!</v>
      </c>
      <c r="N155" s="61" t="e">
        <f>VLOOKUP(B155,'115+040'!$B$12:$AB$621,5,FALSE)</f>
        <v>#REF!</v>
      </c>
      <c r="O155" s="60" t="e">
        <f t="shared" si="29"/>
        <v>#REF!</v>
      </c>
      <c r="P155" s="60" t="e">
        <f>VLOOKUP(B155,'115+040'!$B$12:$AB$621,14,FALSE)</f>
        <v>#REF!</v>
      </c>
      <c r="Q155" s="58">
        <f>'115+040'!S153</f>
        <v>5</v>
      </c>
      <c r="R155" s="57">
        <f t="shared" si="34"/>
        <v>350</v>
      </c>
      <c r="S155" s="62" t="e">
        <f>VLOOKUP(B155,'115+040'!$B$11:$AB$621,22,FALSE)</f>
        <v>#REF!</v>
      </c>
      <c r="T155" s="61" t="e">
        <f>VLOOKUP(B155,'115+040'!$B$12:$AB$621,6,FALSE)</f>
        <v>#REF!</v>
      </c>
      <c r="U155" s="60" t="e">
        <f t="shared" si="30"/>
        <v>#REF!</v>
      </c>
      <c r="V155" s="59" t="e">
        <f>VLOOKUP(B155,'115+040'!$B$12:$AB$621,15,FALSE)</f>
        <v>#REF!</v>
      </c>
      <c r="W155" s="58">
        <f>'[4]114+940'!S156</f>
        <v>1</v>
      </c>
      <c r="X155" s="57">
        <f t="shared" si="35"/>
        <v>208</v>
      </c>
      <c r="Y155" s="56" t="e">
        <f t="shared" si="36"/>
        <v>#REF!</v>
      </c>
      <c r="Z155" s="55" t="e">
        <f t="shared" si="37"/>
        <v>#REF!</v>
      </c>
      <c r="AA155" s="54" t="e">
        <f t="shared" si="38"/>
        <v>#REF!</v>
      </c>
      <c r="AB155" s="54" t="e">
        <f t="shared" si="39"/>
        <v>#REF!</v>
      </c>
    </row>
    <row r="156" spans="2:28">
      <c r="B156" s="96" t="e">
        <f>'115+040'!#REF!</f>
        <v>#REF!</v>
      </c>
      <c r="C156" s="66" t="e">
        <f t="shared" si="31"/>
        <v>#REF!</v>
      </c>
      <c r="D156" s="65" t="e">
        <f t="shared" si="32"/>
        <v>#REF!</v>
      </c>
      <c r="E156" s="64" t="e">
        <f>VLOOKUP(B156,'115+040'!B154:AB252,3,FALSE)</f>
        <v>#REF!</v>
      </c>
      <c r="F156" s="61" t="e">
        <f t="shared" si="27"/>
        <v>#REF!</v>
      </c>
      <c r="G156" s="63" t="e">
        <f>VLOOKUP(B156,'115+040'!$B$12:$AB$621,20,FALSE)</f>
        <v>#REF!</v>
      </c>
      <c r="H156" s="63" t="e">
        <f>VLOOKUP(B156,'115+040'!$B$12:$AB$621,4,FALSE)</f>
        <v>#REF!</v>
      </c>
      <c r="I156" s="60" t="e">
        <f t="shared" si="28"/>
        <v>#REF!</v>
      </c>
      <c r="J156" s="60" t="e">
        <f>VLOOKUP(B156,'115+040'!$B$12:$AB$621,13,FALSE)</f>
        <v>#REF!</v>
      </c>
      <c r="K156" s="58">
        <f>'115+040'!R154</f>
        <v>4</v>
      </c>
      <c r="L156" s="57">
        <f t="shared" si="33"/>
        <v>309</v>
      </c>
      <c r="M156" s="62" t="e">
        <f>VLOOKUP(B156,'115+040'!$B$11:$AB$621,21,FALSE)</f>
        <v>#REF!</v>
      </c>
      <c r="N156" s="61" t="e">
        <f>VLOOKUP(B156,'115+040'!$B$12:$AB$621,5,FALSE)</f>
        <v>#REF!</v>
      </c>
      <c r="O156" s="60" t="e">
        <f t="shared" si="29"/>
        <v>#REF!</v>
      </c>
      <c r="P156" s="60" t="e">
        <f>VLOOKUP(B156,'115+040'!$B$12:$AB$621,14,FALSE)</f>
        <v>#REF!</v>
      </c>
      <c r="Q156" s="58">
        <f>'115+040'!S154</f>
        <v>5</v>
      </c>
      <c r="R156" s="57">
        <f t="shared" si="34"/>
        <v>355</v>
      </c>
      <c r="S156" s="62" t="e">
        <f>VLOOKUP(B156,'115+040'!$B$11:$AB$621,22,FALSE)</f>
        <v>#REF!</v>
      </c>
      <c r="T156" s="61" t="e">
        <f>VLOOKUP(B156,'115+040'!$B$12:$AB$621,6,FALSE)</f>
        <v>#REF!</v>
      </c>
      <c r="U156" s="60" t="e">
        <f t="shared" si="30"/>
        <v>#REF!</v>
      </c>
      <c r="V156" s="59" t="e">
        <f>VLOOKUP(B156,'115+040'!$B$12:$AB$621,15,FALSE)</f>
        <v>#REF!</v>
      </c>
      <c r="W156" s="58">
        <f>'[4]114+940'!S157</f>
        <v>2</v>
      </c>
      <c r="X156" s="57">
        <f t="shared" si="35"/>
        <v>210</v>
      </c>
      <c r="Y156" s="56" t="e">
        <f t="shared" si="36"/>
        <v>#REF!</v>
      </c>
      <c r="Z156" s="55" t="e">
        <f t="shared" si="37"/>
        <v>#REF!</v>
      </c>
      <c r="AA156" s="54" t="e">
        <f t="shared" si="38"/>
        <v>#REF!</v>
      </c>
      <c r="AB156" s="54" t="e">
        <f t="shared" si="39"/>
        <v>#REF!</v>
      </c>
    </row>
    <row r="157" spans="2:28">
      <c r="B157" s="96" t="e">
        <f>'115+040'!#REF!</f>
        <v>#REF!</v>
      </c>
      <c r="C157" s="66" t="e">
        <f t="shared" si="31"/>
        <v>#REF!</v>
      </c>
      <c r="D157" s="65" t="e">
        <f t="shared" si="32"/>
        <v>#REF!</v>
      </c>
      <c r="E157" s="64" t="e">
        <f>VLOOKUP(B157,'115+040'!B155:AB252,3,FALSE)</f>
        <v>#REF!</v>
      </c>
      <c r="F157" s="61" t="e">
        <f t="shared" si="27"/>
        <v>#REF!</v>
      </c>
      <c r="G157" s="63" t="e">
        <f>VLOOKUP(B157,'115+040'!$B$12:$AB$621,20,FALSE)</f>
        <v>#REF!</v>
      </c>
      <c r="H157" s="63" t="e">
        <f>VLOOKUP(B157,'115+040'!$B$12:$AB$621,4,FALSE)</f>
        <v>#REF!</v>
      </c>
      <c r="I157" s="60" t="e">
        <f t="shared" si="28"/>
        <v>#REF!</v>
      </c>
      <c r="J157" s="60" t="e">
        <f>VLOOKUP(B157,'115+040'!$B$12:$AB$621,13,FALSE)</f>
        <v>#REF!</v>
      </c>
      <c r="K157" s="58">
        <f>'115+040'!R155</f>
        <v>4</v>
      </c>
      <c r="L157" s="57">
        <f t="shared" si="33"/>
        <v>313</v>
      </c>
      <c r="M157" s="62" t="e">
        <f>VLOOKUP(B157,'115+040'!$B$11:$AB$621,21,FALSE)</f>
        <v>#REF!</v>
      </c>
      <c r="N157" s="61" t="e">
        <f>VLOOKUP(B157,'115+040'!$B$12:$AB$621,5,FALSE)</f>
        <v>#REF!</v>
      </c>
      <c r="O157" s="60" t="e">
        <f t="shared" si="29"/>
        <v>#REF!</v>
      </c>
      <c r="P157" s="60" t="e">
        <f>VLOOKUP(B157,'115+040'!$B$12:$AB$621,14,FALSE)</f>
        <v>#REF!</v>
      </c>
      <c r="Q157" s="58">
        <f>'115+040'!S155</f>
        <v>5</v>
      </c>
      <c r="R157" s="57">
        <f t="shared" si="34"/>
        <v>360</v>
      </c>
      <c r="S157" s="62" t="e">
        <f>VLOOKUP(B157,'115+040'!$B$11:$AB$621,22,FALSE)</f>
        <v>#REF!</v>
      </c>
      <c r="T157" s="61" t="e">
        <f>VLOOKUP(B157,'115+040'!$B$12:$AB$621,6,FALSE)</f>
        <v>#REF!</v>
      </c>
      <c r="U157" s="60" t="e">
        <f t="shared" si="30"/>
        <v>#REF!</v>
      </c>
      <c r="V157" s="59" t="e">
        <f>VLOOKUP(B157,'115+040'!$B$12:$AB$621,15,FALSE)</f>
        <v>#REF!</v>
      </c>
      <c r="W157" s="58">
        <f>'[4]114+940'!S158</f>
        <v>1</v>
      </c>
      <c r="X157" s="57">
        <f t="shared" si="35"/>
        <v>211</v>
      </c>
      <c r="Y157" s="56" t="e">
        <f t="shared" si="36"/>
        <v>#REF!</v>
      </c>
      <c r="Z157" s="55" t="e">
        <f t="shared" si="37"/>
        <v>#REF!</v>
      </c>
      <c r="AA157" s="54" t="e">
        <f t="shared" si="38"/>
        <v>#REF!</v>
      </c>
      <c r="AB157" s="54" t="e">
        <f t="shared" si="39"/>
        <v>#REF!</v>
      </c>
    </row>
    <row r="158" spans="2:28">
      <c r="B158" s="96" t="e">
        <f>'115+040'!#REF!</f>
        <v>#REF!</v>
      </c>
      <c r="C158" s="66" t="e">
        <f t="shared" si="31"/>
        <v>#REF!</v>
      </c>
      <c r="D158" s="65" t="e">
        <f t="shared" si="32"/>
        <v>#REF!</v>
      </c>
      <c r="E158" s="64" t="e">
        <f>VLOOKUP(B158,'115+040'!B156:AB252,3,FALSE)</f>
        <v>#REF!</v>
      </c>
      <c r="F158" s="61" t="e">
        <f t="shared" si="27"/>
        <v>#REF!</v>
      </c>
      <c r="G158" s="63" t="e">
        <f>VLOOKUP(B158,'115+040'!$B$12:$AB$621,20,FALSE)</f>
        <v>#REF!</v>
      </c>
      <c r="H158" s="63" t="e">
        <f>VLOOKUP(B158,'115+040'!$B$12:$AB$621,4,FALSE)</f>
        <v>#REF!</v>
      </c>
      <c r="I158" s="60" t="e">
        <f t="shared" si="28"/>
        <v>#REF!</v>
      </c>
      <c r="J158" s="60" t="e">
        <f>VLOOKUP(B158,'115+040'!$B$12:$AB$621,13,FALSE)</f>
        <v>#REF!</v>
      </c>
      <c r="K158" s="58">
        <f>'115+040'!R156</f>
        <v>4</v>
      </c>
      <c r="L158" s="57">
        <f t="shared" si="33"/>
        <v>317</v>
      </c>
      <c r="M158" s="62" t="e">
        <f>VLOOKUP(B158,'115+040'!$B$11:$AB$621,21,FALSE)</f>
        <v>#REF!</v>
      </c>
      <c r="N158" s="61" t="e">
        <f>VLOOKUP(B158,'115+040'!$B$12:$AB$621,5,FALSE)</f>
        <v>#REF!</v>
      </c>
      <c r="O158" s="60" t="e">
        <f t="shared" si="29"/>
        <v>#REF!</v>
      </c>
      <c r="P158" s="60" t="e">
        <f>VLOOKUP(B158,'115+040'!$B$12:$AB$621,14,FALSE)</f>
        <v>#REF!</v>
      </c>
      <c r="Q158" s="58">
        <f>'115+040'!S156</f>
        <v>5</v>
      </c>
      <c r="R158" s="57">
        <f t="shared" si="34"/>
        <v>365</v>
      </c>
      <c r="S158" s="62" t="e">
        <f>VLOOKUP(B158,'115+040'!$B$11:$AB$621,22,FALSE)</f>
        <v>#REF!</v>
      </c>
      <c r="T158" s="61" t="e">
        <f>VLOOKUP(B158,'115+040'!$B$12:$AB$621,6,FALSE)</f>
        <v>#REF!</v>
      </c>
      <c r="U158" s="60" t="e">
        <f t="shared" si="30"/>
        <v>#REF!</v>
      </c>
      <c r="V158" s="59" t="e">
        <f>VLOOKUP(B158,'115+040'!$B$12:$AB$621,15,FALSE)</f>
        <v>#REF!</v>
      </c>
      <c r="W158" s="58">
        <f>'[4]114+940'!S159</f>
        <v>2</v>
      </c>
      <c r="X158" s="57">
        <f t="shared" si="35"/>
        <v>213</v>
      </c>
      <c r="Y158" s="56" t="e">
        <f t="shared" si="36"/>
        <v>#REF!</v>
      </c>
      <c r="Z158" s="55" t="e">
        <f t="shared" si="37"/>
        <v>#REF!</v>
      </c>
      <c r="AA158" s="54" t="e">
        <f t="shared" si="38"/>
        <v>#REF!</v>
      </c>
      <c r="AB158" s="54" t="e">
        <f t="shared" si="39"/>
        <v>#REF!</v>
      </c>
    </row>
    <row r="159" spans="2:28">
      <c r="B159" s="96" t="e">
        <f>'115+040'!#REF!</f>
        <v>#REF!</v>
      </c>
      <c r="C159" s="66" t="e">
        <f t="shared" si="31"/>
        <v>#REF!</v>
      </c>
      <c r="D159" s="65" t="e">
        <f t="shared" si="32"/>
        <v>#REF!</v>
      </c>
      <c r="E159" s="64" t="e">
        <f>VLOOKUP(B159,'115+040'!B157:AB252,3,FALSE)</f>
        <v>#REF!</v>
      </c>
      <c r="F159" s="61" t="e">
        <f t="shared" si="27"/>
        <v>#REF!</v>
      </c>
      <c r="G159" s="63" t="e">
        <f>VLOOKUP(B159,'115+040'!$B$12:$AB$621,20,FALSE)</f>
        <v>#REF!</v>
      </c>
      <c r="H159" s="63" t="e">
        <f>VLOOKUP(B159,'115+040'!$B$12:$AB$621,4,FALSE)</f>
        <v>#REF!</v>
      </c>
      <c r="I159" s="60" t="e">
        <f t="shared" si="28"/>
        <v>#REF!</v>
      </c>
      <c r="J159" s="60" t="e">
        <f>VLOOKUP(B159,'115+040'!$B$12:$AB$621,13,FALSE)</f>
        <v>#REF!</v>
      </c>
      <c r="K159" s="58">
        <f>'115+040'!R157</f>
        <v>4</v>
      </c>
      <c r="L159" s="57">
        <f t="shared" si="33"/>
        <v>321</v>
      </c>
      <c r="M159" s="62" t="e">
        <f>VLOOKUP(B159,'115+040'!$B$11:$AB$621,21,FALSE)</f>
        <v>#REF!</v>
      </c>
      <c r="N159" s="61" t="e">
        <f>VLOOKUP(B159,'115+040'!$B$12:$AB$621,5,FALSE)</f>
        <v>#REF!</v>
      </c>
      <c r="O159" s="60" t="e">
        <f t="shared" si="29"/>
        <v>#REF!</v>
      </c>
      <c r="P159" s="60" t="e">
        <f>VLOOKUP(B159,'115+040'!$B$12:$AB$621,14,FALSE)</f>
        <v>#REF!</v>
      </c>
      <c r="Q159" s="58">
        <f>'115+040'!S157</f>
        <v>5</v>
      </c>
      <c r="R159" s="57">
        <f t="shared" si="34"/>
        <v>370</v>
      </c>
      <c r="S159" s="62" t="e">
        <f>VLOOKUP(B159,'115+040'!$B$11:$AB$621,22,FALSE)</f>
        <v>#REF!</v>
      </c>
      <c r="T159" s="61" t="e">
        <f>VLOOKUP(B159,'115+040'!$B$12:$AB$621,6,FALSE)</f>
        <v>#REF!</v>
      </c>
      <c r="U159" s="60" t="e">
        <f t="shared" si="30"/>
        <v>#REF!</v>
      </c>
      <c r="V159" s="59" t="e">
        <f>VLOOKUP(B159,'115+040'!$B$12:$AB$621,15,FALSE)</f>
        <v>#REF!</v>
      </c>
      <c r="W159" s="58">
        <f>'[4]114+940'!S160</f>
        <v>2</v>
      </c>
      <c r="X159" s="57">
        <f t="shared" si="35"/>
        <v>215</v>
      </c>
      <c r="Y159" s="56" t="e">
        <f t="shared" si="36"/>
        <v>#REF!</v>
      </c>
      <c r="Z159" s="55" t="e">
        <f t="shared" si="37"/>
        <v>#REF!</v>
      </c>
      <c r="AA159" s="54" t="e">
        <f t="shared" si="38"/>
        <v>#REF!</v>
      </c>
      <c r="AB159" s="54" t="e">
        <f t="shared" si="39"/>
        <v>#REF!</v>
      </c>
    </row>
    <row r="160" spans="2:28">
      <c r="B160" s="96" t="e">
        <f>'115+040'!#REF!</f>
        <v>#REF!</v>
      </c>
      <c r="C160" s="66" t="e">
        <f t="shared" si="31"/>
        <v>#REF!</v>
      </c>
      <c r="D160" s="65" t="e">
        <f t="shared" si="32"/>
        <v>#REF!</v>
      </c>
      <c r="E160" s="64" t="e">
        <f>VLOOKUP(B160,'115+040'!B158:AB252,3,FALSE)</f>
        <v>#REF!</v>
      </c>
      <c r="F160" s="61" t="e">
        <f t="shared" si="27"/>
        <v>#REF!</v>
      </c>
      <c r="G160" s="63" t="e">
        <f>VLOOKUP(B160,'115+040'!$B$12:$AB$621,20,FALSE)</f>
        <v>#REF!</v>
      </c>
      <c r="H160" s="63" t="e">
        <f>VLOOKUP(B160,'115+040'!$B$12:$AB$621,4,FALSE)</f>
        <v>#REF!</v>
      </c>
      <c r="I160" s="60" t="e">
        <f t="shared" si="28"/>
        <v>#REF!</v>
      </c>
      <c r="J160" s="60" t="e">
        <f>VLOOKUP(B160,'115+040'!$B$12:$AB$621,13,FALSE)</f>
        <v>#REF!</v>
      </c>
      <c r="K160" s="58">
        <f>'115+040'!R158</f>
        <v>4</v>
      </c>
      <c r="L160" s="57">
        <f t="shared" si="33"/>
        <v>325</v>
      </c>
      <c r="M160" s="62" t="e">
        <f>VLOOKUP(B160,'115+040'!$B$11:$AB$621,21,FALSE)</f>
        <v>#REF!</v>
      </c>
      <c r="N160" s="61" t="e">
        <f>VLOOKUP(B160,'115+040'!$B$12:$AB$621,5,FALSE)</f>
        <v>#REF!</v>
      </c>
      <c r="O160" s="60" t="e">
        <f t="shared" si="29"/>
        <v>#REF!</v>
      </c>
      <c r="P160" s="60" t="e">
        <f>VLOOKUP(B160,'115+040'!$B$12:$AB$621,14,FALSE)</f>
        <v>#REF!</v>
      </c>
      <c r="Q160" s="58">
        <f>'115+040'!S158</f>
        <v>5</v>
      </c>
      <c r="R160" s="57">
        <f t="shared" si="34"/>
        <v>375</v>
      </c>
      <c r="S160" s="62" t="e">
        <f>VLOOKUP(B160,'115+040'!$B$11:$AB$621,22,FALSE)</f>
        <v>#REF!</v>
      </c>
      <c r="T160" s="61" t="e">
        <f>VLOOKUP(B160,'115+040'!$B$12:$AB$621,6,FALSE)</f>
        <v>#REF!</v>
      </c>
      <c r="U160" s="60" t="e">
        <f t="shared" si="30"/>
        <v>#REF!</v>
      </c>
      <c r="V160" s="59" t="e">
        <f>VLOOKUP(B160,'115+040'!$B$12:$AB$621,15,FALSE)</f>
        <v>#REF!</v>
      </c>
      <c r="W160" s="58">
        <f>'[4]114+940'!S161</f>
        <v>0</v>
      </c>
      <c r="X160" s="57">
        <f t="shared" si="35"/>
        <v>215</v>
      </c>
      <c r="Y160" s="56" t="e">
        <f t="shared" si="36"/>
        <v>#REF!</v>
      </c>
      <c r="Z160" s="55" t="e">
        <f t="shared" si="37"/>
        <v>#REF!</v>
      </c>
      <c r="AA160" s="54" t="e">
        <f t="shared" si="38"/>
        <v>#REF!</v>
      </c>
      <c r="AB160" s="54" t="e">
        <f t="shared" si="39"/>
        <v>#REF!</v>
      </c>
    </row>
    <row r="161" spans="2:28">
      <c r="B161" s="96" t="e">
        <f>'115+040'!#REF!</f>
        <v>#REF!</v>
      </c>
      <c r="C161" s="66" t="e">
        <f t="shared" si="31"/>
        <v>#REF!</v>
      </c>
      <c r="D161" s="65" t="e">
        <f t="shared" si="32"/>
        <v>#REF!</v>
      </c>
      <c r="E161" s="64" t="e">
        <f>VLOOKUP(B161,'115+040'!B159:AB252,3,FALSE)</f>
        <v>#REF!</v>
      </c>
      <c r="F161" s="61" t="e">
        <f t="shared" si="27"/>
        <v>#REF!</v>
      </c>
      <c r="G161" s="63" t="e">
        <f>VLOOKUP(B161,'115+040'!$B$12:$AB$621,20,FALSE)</f>
        <v>#REF!</v>
      </c>
      <c r="H161" s="63" t="e">
        <f>VLOOKUP(B161,'115+040'!$B$12:$AB$621,4,FALSE)</f>
        <v>#REF!</v>
      </c>
      <c r="I161" s="60" t="e">
        <f t="shared" si="28"/>
        <v>#REF!</v>
      </c>
      <c r="J161" s="60" t="e">
        <f>VLOOKUP(B161,'115+040'!$B$12:$AB$621,13,FALSE)</f>
        <v>#REF!</v>
      </c>
      <c r="K161" s="58">
        <f>'115+040'!R159</f>
        <v>4</v>
      </c>
      <c r="L161" s="57">
        <f t="shared" si="33"/>
        <v>329</v>
      </c>
      <c r="M161" s="62" t="e">
        <f>VLOOKUP(B161,'115+040'!$B$11:$AB$621,21,FALSE)</f>
        <v>#REF!</v>
      </c>
      <c r="N161" s="61" t="e">
        <f>VLOOKUP(B161,'115+040'!$B$12:$AB$621,5,FALSE)</f>
        <v>#REF!</v>
      </c>
      <c r="O161" s="60" t="e">
        <f t="shared" si="29"/>
        <v>#REF!</v>
      </c>
      <c r="P161" s="60" t="e">
        <f>VLOOKUP(B161,'115+040'!$B$12:$AB$621,14,FALSE)</f>
        <v>#REF!</v>
      </c>
      <c r="Q161" s="58">
        <f>'115+040'!S159</f>
        <v>5</v>
      </c>
      <c r="R161" s="57">
        <f t="shared" si="34"/>
        <v>380</v>
      </c>
      <c r="S161" s="62" t="e">
        <f>VLOOKUP(B161,'115+040'!$B$11:$AB$621,22,FALSE)</f>
        <v>#REF!</v>
      </c>
      <c r="T161" s="61" t="e">
        <f>VLOOKUP(B161,'115+040'!$B$12:$AB$621,6,FALSE)</f>
        <v>#REF!</v>
      </c>
      <c r="U161" s="60" t="e">
        <f t="shared" si="30"/>
        <v>#REF!</v>
      </c>
      <c r="V161" s="59" t="e">
        <f>VLOOKUP(B161,'115+040'!$B$12:$AB$621,15,FALSE)</f>
        <v>#REF!</v>
      </c>
      <c r="W161" s="58">
        <f>'[4]114+940'!S162</f>
        <v>1</v>
      </c>
      <c r="X161" s="57">
        <f t="shared" si="35"/>
        <v>216</v>
      </c>
      <c r="Y161" s="56" t="e">
        <f t="shared" si="36"/>
        <v>#REF!</v>
      </c>
      <c r="Z161" s="55" t="e">
        <f t="shared" si="37"/>
        <v>#REF!</v>
      </c>
      <c r="AA161" s="54" t="e">
        <f t="shared" si="38"/>
        <v>#REF!</v>
      </c>
      <c r="AB161" s="54" t="e">
        <f t="shared" si="39"/>
        <v>#REF!</v>
      </c>
    </row>
    <row r="162" spans="2:28">
      <c r="B162" s="96" t="e">
        <f>'115+040'!#REF!</f>
        <v>#REF!</v>
      </c>
      <c r="C162" s="66" t="e">
        <f t="shared" si="31"/>
        <v>#REF!</v>
      </c>
      <c r="D162" s="65" t="e">
        <f t="shared" si="32"/>
        <v>#REF!</v>
      </c>
      <c r="E162" s="64" t="e">
        <f>VLOOKUP(B162,'115+040'!B160:AB252,3,FALSE)</f>
        <v>#REF!</v>
      </c>
      <c r="F162" s="61" t="e">
        <f t="shared" si="27"/>
        <v>#REF!</v>
      </c>
      <c r="G162" s="63" t="e">
        <f>VLOOKUP(B162,'115+040'!$B$12:$AB$621,20,FALSE)</f>
        <v>#REF!</v>
      </c>
      <c r="H162" s="63" t="e">
        <f>VLOOKUP(B162,'115+040'!$B$12:$AB$621,4,FALSE)</f>
        <v>#REF!</v>
      </c>
      <c r="I162" s="60" t="e">
        <f t="shared" si="28"/>
        <v>#REF!</v>
      </c>
      <c r="J162" s="60" t="e">
        <f>VLOOKUP(B162,'115+040'!$B$12:$AB$621,13,FALSE)</f>
        <v>#REF!</v>
      </c>
      <c r="K162" s="58">
        <f>'115+040'!R160</f>
        <v>4</v>
      </c>
      <c r="L162" s="57">
        <f t="shared" si="33"/>
        <v>333</v>
      </c>
      <c r="M162" s="62" t="e">
        <f>VLOOKUP(B162,'115+040'!$B$11:$AB$621,21,FALSE)</f>
        <v>#REF!</v>
      </c>
      <c r="N162" s="61" t="e">
        <f>VLOOKUP(B162,'115+040'!$B$12:$AB$621,5,FALSE)</f>
        <v>#REF!</v>
      </c>
      <c r="O162" s="60" t="e">
        <f t="shared" si="29"/>
        <v>#REF!</v>
      </c>
      <c r="P162" s="60" t="e">
        <f>VLOOKUP(B162,'115+040'!$B$12:$AB$621,14,FALSE)</f>
        <v>#REF!</v>
      </c>
      <c r="Q162" s="58">
        <f>'115+040'!S160</f>
        <v>5</v>
      </c>
      <c r="R162" s="57">
        <f t="shared" si="34"/>
        <v>385</v>
      </c>
      <c r="S162" s="62" t="e">
        <f>VLOOKUP(B162,'115+040'!$B$11:$AB$621,22,FALSE)</f>
        <v>#REF!</v>
      </c>
      <c r="T162" s="61" t="e">
        <f>VLOOKUP(B162,'115+040'!$B$12:$AB$621,6,FALSE)</f>
        <v>#REF!</v>
      </c>
      <c r="U162" s="60" t="e">
        <f t="shared" si="30"/>
        <v>#REF!</v>
      </c>
      <c r="V162" s="59" t="e">
        <f>VLOOKUP(B162,'115+040'!$B$12:$AB$621,15,FALSE)</f>
        <v>#REF!</v>
      </c>
      <c r="W162" s="58">
        <f>'[4]114+940'!S163</f>
        <v>0</v>
      </c>
      <c r="X162" s="57">
        <f t="shared" si="35"/>
        <v>216</v>
      </c>
      <c r="Y162" s="56" t="e">
        <f t="shared" si="36"/>
        <v>#REF!</v>
      </c>
      <c r="Z162" s="55" t="e">
        <f t="shared" si="37"/>
        <v>#REF!</v>
      </c>
      <c r="AA162" s="54" t="e">
        <f t="shared" si="38"/>
        <v>#REF!</v>
      </c>
      <c r="AB162" s="54" t="e">
        <f t="shared" si="39"/>
        <v>#REF!</v>
      </c>
    </row>
    <row r="163" spans="2:28">
      <c r="B163" s="96" t="e">
        <f>'115+040'!#REF!</f>
        <v>#REF!</v>
      </c>
      <c r="C163" s="66" t="e">
        <f t="shared" si="31"/>
        <v>#REF!</v>
      </c>
      <c r="D163" s="65" t="e">
        <f t="shared" si="32"/>
        <v>#REF!</v>
      </c>
      <c r="E163" s="64" t="e">
        <f>VLOOKUP(B163,'115+040'!B161:AB252,3,FALSE)</f>
        <v>#REF!</v>
      </c>
      <c r="F163" s="61" t="e">
        <f t="shared" si="27"/>
        <v>#REF!</v>
      </c>
      <c r="G163" s="63" t="e">
        <f>VLOOKUP(B163,'115+040'!$B$12:$AB$621,20,FALSE)</f>
        <v>#REF!</v>
      </c>
      <c r="H163" s="63" t="e">
        <f>VLOOKUP(B163,'115+040'!$B$12:$AB$621,4,FALSE)</f>
        <v>#REF!</v>
      </c>
      <c r="I163" s="60" t="e">
        <f t="shared" si="28"/>
        <v>#REF!</v>
      </c>
      <c r="J163" s="60" t="e">
        <f>VLOOKUP(B163,'115+040'!$B$12:$AB$621,13,FALSE)</f>
        <v>#REF!</v>
      </c>
      <c r="K163" s="58">
        <f>'115+040'!R161</f>
        <v>4</v>
      </c>
      <c r="L163" s="57">
        <f t="shared" si="33"/>
        <v>337</v>
      </c>
      <c r="M163" s="62" t="e">
        <f>VLOOKUP(B163,'115+040'!$B$11:$AB$621,21,FALSE)</f>
        <v>#REF!</v>
      </c>
      <c r="N163" s="61" t="e">
        <f>VLOOKUP(B163,'115+040'!$B$12:$AB$621,5,FALSE)</f>
        <v>#REF!</v>
      </c>
      <c r="O163" s="60" t="e">
        <f t="shared" si="29"/>
        <v>#REF!</v>
      </c>
      <c r="P163" s="60" t="e">
        <f>VLOOKUP(B163,'115+040'!$B$12:$AB$621,14,FALSE)</f>
        <v>#REF!</v>
      </c>
      <c r="Q163" s="58">
        <f>'115+040'!S161</f>
        <v>5</v>
      </c>
      <c r="R163" s="57">
        <f t="shared" si="34"/>
        <v>390</v>
      </c>
      <c r="S163" s="62" t="e">
        <f>VLOOKUP(B163,'115+040'!$B$11:$AB$621,22,FALSE)</f>
        <v>#REF!</v>
      </c>
      <c r="T163" s="61" t="e">
        <f>VLOOKUP(B163,'115+040'!$B$12:$AB$621,6,FALSE)</f>
        <v>#REF!</v>
      </c>
      <c r="U163" s="60" t="e">
        <f t="shared" si="30"/>
        <v>#REF!</v>
      </c>
      <c r="V163" s="59" t="e">
        <f>VLOOKUP(B163,'115+040'!$B$12:$AB$621,15,FALSE)</f>
        <v>#REF!</v>
      </c>
      <c r="W163" s="58">
        <f>'[4]114+940'!S164</f>
        <v>0</v>
      </c>
      <c r="X163" s="57">
        <f t="shared" si="35"/>
        <v>216</v>
      </c>
      <c r="Y163" s="56" t="e">
        <f t="shared" si="36"/>
        <v>#REF!</v>
      </c>
      <c r="Z163" s="55" t="e">
        <f t="shared" si="37"/>
        <v>#REF!</v>
      </c>
      <c r="AA163" s="54" t="e">
        <f t="shared" si="38"/>
        <v>#REF!</v>
      </c>
      <c r="AB163" s="54" t="e">
        <f t="shared" si="39"/>
        <v>#REF!</v>
      </c>
    </row>
    <row r="164" spans="2:28">
      <c r="B164" s="96" t="e">
        <f>'115+040'!#REF!</f>
        <v>#REF!</v>
      </c>
      <c r="C164" s="66" t="e">
        <f t="shared" si="31"/>
        <v>#REF!</v>
      </c>
      <c r="D164" s="65" t="e">
        <f t="shared" si="32"/>
        <v>#REF!</v>
      </c>
      <c r="E164" s="64" t="e">
        <f>VLOOKUP(B164,'115+040'!B162:AB252,3,FALSE)</f>
        <v>#REF!</v>
      </c>
      <c r="F164" s="61" t="e">
        <f t="shared" si="27"/>
        <v>#REF!</v>
      </c>
      <c r="G164" s="63" t="e">
        <f>VLOOKUP(B164,'115+040'!$B$12:$AB$621,20,FALSE)</f>
        <v>#REF!</v>
      </c>
      <c r="H164" s="63" t="e">
        <f>VLOOKUP(B164,'115+040'!$B$12:$AB$621,4,FALSE)</f>
        <v>#REF!</v>
      </c>
      <c r="I164" s="60" t="e">
        <f t="shared" si="28"/>
        <v>#REF!</v>
      </c>
      <c r="J164" s="60" t="e">
        <f>VLOOKUP(B164,'115+040'!$B$12:$AB$621,13,FALSE)</f>
        <v>#REF!</v>
      </c>
      <c r="K164" s="58">
        <f>'115+040'!R162</f>
        <v>4</v>
      </c>
      <c r="L164" s="57">
        <f t="shared" si="33"/>
        <v>341</v>
      </c>
      <c r="M164" s="62" t="e">
        <f>VLOOKUP(B164,'115+040'!$B$11:$AB$621,21,FALSE)</f>
        <v>#REF!</v>
      </c>
      <c r="N164" s="61" t="e">
        <f>VLOOKUP(B164,'115+040'!$B$12:$AB$621,5,FALSE)</f>
        <v>#REF!</v>
      </c>
      <c r="O164" s="60" t="e">
        <f t="shared" si="29"/>
        <v>#REF!</v>
      </c>
      <c r="P164" s="60" t="e">
        <f>VLOOKUP(B164,'115+040'!$B$12:$AB$621,14,FALSE)</f>
        <v>#REF!</v>
      </c>
      <c r="Q164" s="58">
        <f>'115+040'!S162</f>
        <v>5</v>
      </c>
      <c r="R164" s="57">
        <f t="shared" si="34"/>
        <v>395</v>
      </c>
      <c r="S164" s="62" t="e">
        <f>VLOOKUP(B164,'115+040'!$B$11:$AB$621,22,FALSE)</f>
        <v>#REF!</v>
      </c>
      <c r="T164" s="61" t="e">
        <f>VLOOKUP(B164,'115+040'!$B$12:$AB$621,6,FALSE)</f>
        <v>#REF!</v>
      </c>
      <c r="U164" s="60" t="e">
        <f t="shared" si="30"/>
        <v>#REF!</v>
      </c>
      <c r="V164" s="59" t="e">
        <f>VLOOKUP(B164,'115+040'!$B$12:$AB$621,15,FALSE)</f>
        <v>#REF!</v>
      </c>
      <c r="W164" s="58">
        <f>'[4]114+940'!S165</f>
        <v>0</v>
      </c>
      <c r="X164" s="57">
        <f t="shared" si="35"/>
        <v>216</v>
      </c>
      <c r="Y164" s="56" t="e">
        <f t="shared" si="36"/>
        <v>#REF!</v>
      </c>
      <c r="Z164" s="55" t="e">
        <f t="shared" si="37"/>
        <v>#REF!</v>
      </c>
      <c r="AA164" s="54" t="e">
        <f t="shared" si="38"/>
        <v>#REF!</v>
      </c>
      <c r="AB164" s="54" t="e">
        <f t="shared" si="39"/>
        <v>#REF!</v>
      </c>
    </row>
    <row r="165" spans="2:28">
      <c r="B165" s="96" t="e">
        <f>'115+040'!#REF!</f>
        <v>#REF!</v>
      </c>
      <c r="C165" s="66" t="e">
        <f t="shared" si="31"/>
        <v>#REF!</v>
      </c>
      <c r="D165" s="65" t="e">
        <f t="shared" si="32"/>
        <v>#REF!</v>
      </c>
      <c r="E165" s="64" t="e">
        <f>VLOOKUP(B165,'115+040'!B163:AB252,3,FALSE)</f>
        <v>#REF!</v>
      </c>
      <c r="F165" s="61" t="e">
        <f t="shared" si="27"/>
        <v>#REF!</v>
      </c>
      <c r="G165" s="63" t="e">
        <f>VLOOKUP(B165,'115+040'!$B$12:$AB$621,20,FALSE)</f>
        <v>#REF!</v>
      </c>
      <c r="H165" s="63" t="e">
        <f>VLOOKUP(B165,'115+040'!$B$12:$AB$621,4,FALSE)</f>
        <v>#REF!</v>
      </c>
      <c r="I165" s="60" t="e">
        <f t="shared" si="28"/>
        <v>#REF!</v>
      </c>
      <c r="J165" s="60" t="e">
        <f>VLOOKUP(B165,'115+040'!$B$12:$AB$621,13,FALSE)</f>
        <v>#REF!</v>
      </c>
      <c r="K165" s="58">
        <f>'115+040'!R163</f>
        <v>4</v>
      </c>
      <c r="L165" s="57">
        <f t="shared" si="33"/>
        <v>345</v>
      </c>
      <c r="M165" s="62" t="e">
        <f>VLOOKUP(B165,'115+040'!$B$11:$AB$621,21,FALSE)</f>
        <v>#REF!</v>
      </c>
      <c r="N165" s="61" t="e">
        <f>VLOOKUP(B165,'115+040'!$B$12:$AB$621,5,FALSE)</f>
        <v>#REF!</v>
      </c>
      <c r="O165" s="60" t="e">
        <f t="shared" si="29"/>
        <v>#REF!</v>
      </c>
      <c r="P165" s="60" t="e">
        <f>VLOOKUP(B165,'115+040'!$B$12:$AB$621,14,FALSE)</f>
        <v>#REF!</v>
      </c>
      <c r="Q165" s="58">
        <f>'115+040'!S163</f>
        <v>5</v>
      </c>
      <c r="R165" s="57">
        <f t="shared" si="34"/>
        <v>400</v>
      </c>
      <c r="S165" s="62" t="e">
        <f>VLOOKUP(B165,'115+040'!$B$11:$AB$621,22,FALSE)</f>
        <v>#REF!</v>
      </c>
      <c r="T165" s="61" t="e">
        <f>VLOOKUP(B165,'115+040'!$B$12:$AB$621,6,FALSE)</f>
        <v>#REF!</v>
      </c>
      <c r="U165" s="60" t="e">
        <f t="shared" si="30"/>
        <v>#REF!</v>
      </c>
      <c r="V165" s="59" t="e">
        <f>VLOOKUP(B165,'115+040'!$B$12:$AB$621,15,FALSE)</f>
        <v>#REF!</v>
      </c>
      <c r="W165" s="58">
        <f>'[4]114+940'!S166</f>
        <v>0</v>
      </c>
      <c r="X165" s="57">
        <f t="shared" si="35"/>
        <v>216</v>
      </c>
      <c r="Y165" s="56" t="e">
        <f t="shared" si="36"/>
        <v>#REF!</v>
      </c>
      <c r="Z165" s="55" t="e">
        <f t="shared" si="37"/>
        <v>#REF!</v>
      </c>
      <c r="AA165" s="54" t="e">
        <f t="shared" si="38"/>
        <v>#REF!</v>
      </c>
      <c r="AB165" s="54" t="e">
        <f t="shared" si="39"/>
        <v>#REF!</v>
      </c>
    </row>
    <row r="166" spans="2:28">
      <c r="B166" s="96" t="e">
        <f>'115+040'!#REF!</f>
        <v>#REF!</v>
      </c>
      <c r="C166" s="66" t="e">
        <f t="shared" si="31"/>
        <v>#REF!</v>
      </c>
      <c r="D166" s="65" t="e">
        <f t="shared" si="32"/>
        <v>#REF!</v>
      </c>
      <c r="E166" s="64" t="e">
        <f>VLOOKUP(B166,'115+040'!B164:AB252,3,FALSE)</f>
        <v>#REF!</v>
      </c>
      <c r="F166" s="61" t="e">
        <f t="shared" si="27"/>
        <v>#REF!</v>
      </c>
      <c r="G166" s="63" t="e">
        <f>VLOOKUP(B166,'115+040'!$B$12:$AB$621,20,FALSE)</f>
        <v>#REF!</v>
      </c>
      <c r="H166" s="63" t="e">
        <f>VLOOKUP(B166,'115+040'!$B$12:$AB$621,4,FALSE)</f>
        <v>#REF!</v>
      </c>
      <c r="I166" s="60" t="e">
        <f t="shared" si="28"/>
        <v>#REF!</v>
      </c>
      <c r="J166" s="60" t="e">
        <f>VLOOKUP(B166,'115+040'!$B$12:$AB$621,13,FALSE)</f>
        <v>#REF!</v>
      </c>
      <c r="K166" s="58">
        <f>'115+040'!R164</f>
        <v>4</v>
      </c>
      <c r="L166" s="57">
        <f t="shared" si="33"/>
        <v>349</v>
      </c>
      <c r="M166" s="62" t="e">
        <f>VLOOKUP(B166,'115+040'!$B$11:$AB$621,21,FALSE)</f>
        <v>#REF!</v>
      </c>
      <c r="N166" s="61" t="e">
        <f>VLOOKUP(B166,'115+040'!$B$12:$AB$621,5,FALSE)</f>
        <v>#REF!</v>
      </c>
      <c r="O166" s="60" t="e">
        <f t="shared" si="29"/>
        <v>#REF!</v>
      </c>
      <c r="P166" s="60" t="e">
        <f>VLOOKUP(B166,'115+040'!$B$12:$AB$621,14,FALSE)</f>
        <v>#REF!</v>
      </c>
      <c r="Q166" s="58">
        <f>'115+040'!S164</f>
        <v>5</v>
      </c>
      <c r="R166" s="57">
        <f t="shared" si="34"/>
        <v>405</v>
      </c>
      <c r="S166" s="62" t="e">
        <f>VLOOKUP(B166,'115+040'!$B$11:$AB$621,22,FALSE)</f>
        <v>#REF!</v>
      </c>
      <c r="T166" s="61" t="e">
        <f>VLOOKUP(B166,'115+040'!$B$12:$AB$621,6,FALSE)</f>
        <v>#REF!</v>
      </c>
      <c r="U166" s="60" t="e">
        <f t="shared" si="30"/>
        <v>#REF!</v>
      </c>
      <c r="V166" s="59" t="e">
        <f>VLOOKUP(B166,'115+040'!$B$12:$AB$621,15,FALSE)</f>
        <v>#REF!</v>
      </c>
      <c r="W166" s="58">
        <f>'[4]114+940'!S167</f>
        <v>0</v>
      </c>
      <c r="X166" s="57">
        <f t="shared" si="35"/>
        <v>216</v>
      </c>
      <c r="Y166" s="56" t="e">
        <f t="shared" si="36"/>
        <v>#REF!</v>
      </c>
      <c r="Z166" s="55" t="e">
        <f t="shared" si="37"/>
        <v>#REF!</v>
      </c>
      <c r="AA166" s="54" t="e">
        <f t="shared" si="38"/>
        <v>#REF!</v>
      </c>
      <c r="AB166" s="54" t="e">
        <f t="shared" si="39"/>
        <v>#REF!</v>
      </c>
    </row>
    <row r="167" spans="2:28">
      <c r="B167" s="96" t="e">
        <f>'115+040'!#REF!</f>
        <v>#REF!</v>
      </c>
      <c r="C167" s="66" t="e">
        <f t="shared" si="31"/>
        <v>#REF!</v>
      </c>
      <c r="D167" s="65" t="e">
        <f t="shared" si="32"/>
        <v>#REF!</v>
      </c>
      <c r="E167" s="64" t="e">
        <f>VLOOKUP(B167,'115+040'!B165:AB252,3,FALSE)</f>
        <v>#REF!</v>
      </c>
      <c r="F167" s="61" t="e">
        <f t="shared" si="27"/>
        <v>#REF!</v>
      </c>
      <c r="G167" s="63" t="e">
        <f>VLOOKUP(B167,'115+040'!$B$12:$AB$621,20,FALSE)</f>
        <v>#REF!</v>
      </c>
      <c r="H167" s="63" t="e">
        <f>VLOOKUP(B167,'115+040'!$B$12:$AB$621,4,FALSE)</f>
        <v>#REF!</v>
      </c>
      <c r="I167" s="60" t="e">
        <f t="shared" si="28"/>
        <v>#REF!</v>
      </c>
      <c r="J167" s="60" t="e">
        <f>VLOOKUP(B167,'115+040'!$B$12:$AB$621,13,FALSE)</f>
        <v>#REF!</v>
      </c>
      <c r="K167" s="58">
        <f>'115+040'!R165</f>
        <v>4</v>
      </c>
      <c r="L167" s="57">
        <f t="shared" si="33"/>
        <v>353</v>
      </c>
      <c r="M167" s="62" t="e">
        <f>VLOOKUP(B167,'115+040'!$B$11:$AB$621,21,FALSE)</f>
        <v>#REF!</v>
      </c>
      <c r="N167" s="61" t="e">
        <f>VLOOKUP(B167,'115+040'!$B$12:$AB$621,5,FALSE)</f>
        <v>#REF!</v>
      </c>
      <c r="O167" s="60" t="e">
        <f t="shared" si="29"/>
        <v>#REF!</v>
      </c>
      <c r="P167" s="60" t="e">
        <f>VLOOKUP(B167,'115+040'!$B$12:$AB$621,14,FALSE)</f>
        <v>#REF!</v>
      </c>
      <c r="Q167" s="58">
        <f>'115+040'!S165</f>
        <v>5</v>
      </c>
      <c r="R167" s="57">
        <f t="shared" si="34"/>
        <v>410</v>
      </c>
      <c r="S167" s="62" t="e">
        <f>VLOOKUP(B167,'115+040'!$B$11:$AB$621,22,FALSE)</f>
        <v>#REF!</v>
      </c>
      <c r="T167" s="61" t="e">
        <f>VLOOKUP(B167,'115+040'!$B$12:$AB$621,6,FALSE)</f>
        <v>#REF!</v>
      </c>
      <c r="U167" s="60" t="e">
        <f t="shared" si="30"/>
        <v>#REF!</v>
      </c>
      <c r="V167" s="59" t="e">
        <f>VLOOKUP(B167,'115+040'!$B$12:$AB$621,15,FALSE)</f>
        <v>#REF!</v>
      </c>
      <c r="W167" s="58">
        <f>'[4]114+940'!S168</f>
        <v>0</v>
      </c>
      <c r="X167" s="57">
        <f t="shared" si="35"/>
        <v>216</v>
      </c>
      <c r="Y167" s="56" t="e">
        <f t="shared" si="36"/>
        <v>#REF!</v>
      </c>
      <c r="Z167" s="55" t="e">
        <f t="shared" si="37"/>
        <v>#REF!</v>
      </c>
      <c r="AA167" s="54" t="e">
        <f t="shared" si="38"/>
        <v>#REF!</v>
      </c>
      <c r="AB167" s="54" t="e">
        <f t="shared" si="39"/>
        <v>#REF!</v>
      </c>
    </row>
    <row r="168" spans="2:28">
      <c r="B168" s="96" t="e">
        <f>'115+040'!#REF!</f>
        <v>#REF!</v>
      </c>
      <c r="C168" s="66" t="e">
        <f t="shared" si="31"/>
        <v>#REF!</v>
      </c>
      <c r="D168" s="65" t="e">
        <f t="shared" si="32"/>
        <v>#REF!</v>
      </c>
      <c r="E168" s="64" t="e">
        <f>VLOOKUP(B168,'115+040'!B166:AB252,3,FALSE)</f>
        <v>#REF!</v>
      </c>
      <c r="F168" s="61" t="e">
        <f t="shared" si="27"/>
        <v>#REF!</v>
      </c>
      <c r="G168" s="63" t="e">
        <f>VLOOKUP(B168,'115+040'!$B$12:$AB$621,20,FALSE)</f>
        <v>#REF!</v>
      </c>
      <c r="H168" s="63" t="e">
        <f>VLOOKUP(B168,'115+040'!$B$12:$AB$621,4,FALSE)</f>
        <v>#REF!</v>
      </c>
      <c r="I168" s="60" t="e">
        <f t="shared" si="28"/>
        <v>#REF!</v>
      </c>
      <c r="J168" s="60" t="e">
        <f>VLOOKUP(B168,'115+040'!$B$12:$AB$621,13,FALSE)</f>
        <v>#REF!</v>
      </c>
      <c r="K168" s="58">
        <f>'115+040'!R166</f>
        <v>4</v>
      </c>
      <c r="L168" s="57">
        <f t="shared" si="33"/>
        <v>357</v>
      </c>
      <c r="M168" s="62" t="e">
        <f>VLOOKUP(B168,'115+040'!$B$11:$AB$621,21,FALSE)</f>
        <v>#REF!</v>
      </c>
      <c r="N168" s="61" t="e">
        <f>VLOOKUP(B168,'115+040'!$B$12:$AB$621,5,FALSE)</f>
        <v>#REF!</v>
      </c>
      <c r="O168" s="60" t="e">
        <f t="shared" si="29"/>
        <v>#REF!</v>
      </c>
      <c r="P168" s="60" t="e">
        <f>VLOOKUP(B168,'115+040'!$B$12:$AB$621,14,FALSE)</f>
        <v>#REF!</v>
      </c>
      <c r="Q168" s="58">
        <f>'115+040'!S166</f>
        <v>5</v>
      </c>
      <c r="R168" s="57">
        <f t="shared" si="34"/>
        <v>415</v>
      </c>
      <c r="S168" s="62" t="e">
        <f>VLOOKUP(B168,'115+040'!$B$11:$AB$621,22,FALSE)</f>
        <v>#REF!</v>
      </c>
      <c r="T168" s="61" t="e">
        <f>VLOOKUP(B168,'115+040'!$B$12:$AB$621,6,FALSE)</f>
        <v>#REF!</v>
      </c>
      <c r="U168" s="60" t="e">
        <f t="shared" si="30"/>
        <v>#REF!</v>
      </c>
      <c r="V168" s="59" t="e">
        <f>VLOOKUP(B168,'115+040'!$B$12:$AB$621,15,FALSE)</f>
        <v>#REF!</v>
      </c>
      <c r="W168" s="58">
        <f>'[4]114+940'!S169</f>
        <v>0</v>
      </c>
      <c r="X168" s="57">
        <f t="shared" si="35"/>
        <v>216</v>
      </c>
      <c r="Y168" s="56" t="e">
        <f t="shared" si="36"/>
        <v>#REF!</v>
      </c>
      <c r="Z168" s="55" t="e">
        <f t="shared" si="37"/>
        <v>#REF!</v>
      </c>
      <c r="AA168" s="54" t="e">
        <f t="shared" si="38"/>
        <v>#REF!</v>
      </c>
      <c r="AB168" s="54" t="e">
        <f t="shared" si="39"/>
        <v>#REF!</v>
      </c>
    </row>
    <row r="169" spans="2:28">
      <c r="B169" s="96" t="e">
        <f>'115+040'!#REF!</f>
        <v>#REF!</v>
      </c>
      <c r="C169" s="66" t="e">
        <f t="shared" si="31"/>
        <v>#REF!</v>
      </c>
      <c r="D169" s="65" t="e">
        <f t="shared" si="32"/>
        <v>#REF!</v>
      </c>
      <c r="E169" s="64" t="e">
        <f>VLOOKUP(B169,'115+040'!B167:AB252,3,FALSE)</f>
        <v>#REF!</v>
      </c>
      <c r="F169" s="61" t="e">
        <f t="shared" si="27"/>
        <v>#REF!</v>
      </c>
      <c r="G169" s="63" t="e">
        <f>VLOOKUP(B169,'115+040'!$B$12:$AB$621,20,FALSE)</f>
        <v>#REF!</v>
      </c>
      <c r="H169" s="63" t="e">
        <f>VLOOKUP(B169,'115+040'!$B$12:$AB$621,4,FALSE)</f>
        <v>#REF!</v>
      </c>
      <c r="I169" s="60" t="e">
        <f t="shared" si="28"/>
        <v>#REF!</v>
      </c>
      <c r="J169" s="60" t="e">
        <f>VLOOKUP(B169,'115+040'!$B$12:$AB$621,13,FALSE)</f>
        <v>#REF!</v>
      </c>
      <c r="K169" s="58">
        <f>'115+040'!R167</f>
        <v>4</v>
      </c>
      <c r="L169" s="57">
        <f t="shared" si="33"/>
        <v>361</v>
      </c>
      <c r="M169" s="62" t="e">
        <f>VLOOKUP(B169,'115+040'!$B$11:$AB$621,21,FALSE)</f>
        <v>#REF!</v>
      </c>
      <c r="N169" s="61" t="e">
        <f>VLOOKUP(B169,'115+040'!$B$12:$AB$621,5,FALSE)</f>
        <v>#REF!</v>
      </c>
      <c r="O169" s="60" t="e">
        <f t="shared" si="29"/>
        <v>#REF!</v>
      </c>
      <c r="P169" s="60" t="e">
        <f>VLOOKUP(B169,'115+040'!$B$12:$AB$621,14,FALSE)</f>
        <v>#REF!</v>
      </c>
      <c r="Q169" s="58">
        <f>'115+040'!S167</f>
        <v>5</v>
      </c>
      <c r="R169" s="57">
        <f t="shared" si="34"/>
        <v>420</v>
      </c>
      <c r="S169" s="62" t="e">
        <f>VLOOKUP(B169,'115+040'!$B$11:$AB$621,22,FALSE)</f>
        <v>#REF!</v>
      </c>
      <c r="T169" s="61" t="e">
        <f>VLOOKUP(B169,'115+040'!$B$12:$AB$621,6,FALSE)</f>
        <v>#REF!</v>
      </c>
      <c r="U169" s="60" t="e">
        <f t="shared" si="30"/>
        <v>#REF!</v>
      </c>
      <c r="V169" s="59" t="e">
        <f>VLOOKUP(B169,'115+040'!$B$12:$AB$621,15,FALSE)</f>
        <v>#REF!</v>
      </c>
      <c r="W169" s="58">
        <f>'[4]114+940'!S170</f>
        <v>0</v>
      </c>
      <c r="X169" s="57">
        <f t="shared" si="35"/>
        <v>216</v>
      </c>
      <c r="Y169" s="56" t="e">
        <f t="shared" si="36"/>
        <v>#REF!</v>
      </c>
      <c r="Z169" s="55" t="e">
        <f t="shared" si="37"/>
        <v>#REF!</v>
      </c>
      <c r="AA169" s="54" t="e">
        <f t="shared" si="38"/>
        <v>#REF!</v>
      </c>
      <c r="AB169" s="54" t="e">
        <f t="shared" si="39"/>
        <v>#REF!</v>
      </c>
    </row>
    <row r="170" spans="2:28">
      <c r="B170" s="96" t="e">
        <f>'115+040'!#REF!</f>
        <v>#REF!</v>
      </c>
      <c r="C170" s="66" t="e">
        <f t="shared" si="31"/>
        <v>#REF!</v>
      </c>
      <c r="D170" s="65" t="e">
        <f t="shared" si="32"/>
        <v>#REF!</v>
      </c>
      <c r="E170" s="64" t="e">
        <f>VLOOKUP(B170,'115+040'!B168:AB252,3,FALSE)</f>
        <v>#REF!</v>
      </c>
      <c r="F170" s="61" t="e">
        <f t="shared" si="27"/>
        <v>#REF!</v>
      </c>
      <c r="G170" s="63" t="e">
        <f>VLOOKUP(B170,'115+040'!$B$12:$AB$621,20,FALSE)</f>
        <v>#REF!</v>
      </c>
      <c r="H170" s="63" t="e">
        <f>VLOOKUP(B170,'115+040'!$B$12:$AB$621,4,FALSE)</f>
        <v>#REF!</v>
      </c>
      <c r="I170" s="60" t="e">
        <f t="shared" si="28"/>
        <v>#REF!</v>
      </c>
      <c r="J170" s="60" t="e">
        <f>VLOOKUP(B170,'115+040'!$B$12:$AB$621,13,FALSE)</f>
        <v>#REF!</v>
      </c>
      <c r="K170" s="58">
        <f>'115+040'!R168</f>
        <v>4</v>
      </c>
      <c r="L170" s="57">
        <f t="shared" si="33"/>
        <v>365</v>
      </c>
      <c r="M170" s="62" t="e">
        <f>VLOOKUP(B170,'115+040'!$B$11:$AB$621,21,FALSE)</f>
        <v>#REF!</v>
      </c>
      <c r="N170" s="61" t="e">
        <f>VLOOKUP(B170,'115+040'!$B$12:$AB$621,5,FALSE)</f>
        <v>#REF!</v>
      </c>
      <c r="O170" s="60" t="e">
        <f t="shared" si="29"/>
        <v>#REF!</v>
      </c>
      <c r="P170" s="60" t="e">
        <f>VLOOKUP(B170,'115+040'!$B$12:$AB$621,14,FALSE)</f>
        <v>#REF!</v>
      </c>
      <c r="Q170" s="58">
        <f>'115+040'!S168</f>
        <v>5</v>
      </c>
      <c r="R170" s="57">
        <f t="shared" si="34"/>
        <v>425</v>
      </c>
      <c r="S170" s="62" t="e">
        <f>VLOOKUP(B170,'115+040'!$B$11:$AB$621,22,FALSE)</f>
        <v>#REF!</v>
      </c>
      <c r="T170" s="61" t="e">
        <f>VLOOKUP(B170,'115+040'!$B$12:$AB$621,6,FALSE)</f>
        <v>#REF!</v>
      </c>
      <c r="U170" s="60" t="e">
        <f t="shared" si="30"/>
        <v>#REF!</v>
      </c>
      <c r="V170" s="59" t="e">
        <f>VLOOKUP(B170,'115+040'!$B$12:$AB$621,15,FALSE)</f>
        <v>#REF!</v>
      </c>
      <c r="W170" s="58">
        <f>'[4]114+940'!S171</f>
        <v>0</v>
      </c>
      <c r="X170" s="57">
        <f t="shared" si="35"/>
        <v>216</v>
      </c>
      <c r="Y170" s="56" t="e">
        <f t="shared" si="36"/>
        <v>#REF!</v>
      </c>
      <c r="Z170" s="55" t="e">
        <f t="shared" si="37"/>
        <v>#REF!</v>
      </c>
      <c r="AA170" s="54" t="e">
        <f t="shared" si="38"/>
        <v>#REF!</v>
      </c>
      <c r="AB170" s="54" t="e">
        <f t="shared" si="39"/>
        <v>#REF!</v>
      </c>
    </row>
    <row r="171" spans="2:28">
      <c r="B171" s="96" t="e">
        <f>'115+040'!#REF!</f>
        <v>#REF!</v>
      </c>
      <c r="C171" s="66" t="e">
        <f t="shared" si="31"/>
        <v>#REF!</v>
      </c>
      <c r="D171" s="65" t="e">
        <f t="shared" si="32"/>
        <v>#REF!</v>
      </c>
      <c r="E171" s="64" t="e">
        <f>VLOOKUP(B171,'115+040'!B169:AB252,3,FALSE)</f>
        <v>#REF!</v>
      </c>
      <c r="F171" s="61" t="e">
        <f t="shared" si="27"/>
        <v>#REF!</v>
      </c>
      <c r="G171" s="63" t="e">
        <f>VLOOKUP(B171,'115+040'!$B$12:$AB$621,20,FALSE)</f>
        <v>#REF!</v>
      </c>
      <c r="H171" s="63" t="e">
        <f>VLOOKUP(B171,'115+040'!$B$12:$AB$621,4,FALSE)</f>
        <v>#REF!</v>
      </c>
      <c r="I171" s="60" t="e">
        <f t="shared" si="28"/>
        <v>#REF!</v>
      </c>
      <c r="J171" s="60" t="e">
        <f>VLOOKUP(B171,'115+040'!$B$12:$AB$621,13,FALSE)</f>
        <v>#REF!</v>
      </c>
      <c r="K171" s="58">
        <f>'115+040'!R169</f>
        <v>4</v>
      </c>
      <c r="L171" s="57">
        <f t="shared" si="33"/>
        <v>369</v>
      </c>
      <c r="M171" s="62" t="e">
        <f>VLOOKUP(B171,'115+040'!$B$11:$AB$621,21,FALSE)</f>
        <v>#REF!</v>
      </c>
      <c r="N171" s="61" t="e">
        <f>VLOOKUP(B171,'115+040'!$B$12:$AB$621,5,FALSE)</f>
        <v>#REF!</v>
      </c>
      <c r="O171" s="60" t="e">
        <f t="shared" si="29"/>
        <v>#REF!</v>
      </c>
      <c r="P171" s="60" t="e">
        <f>VLOOKUP(B171,'115+040'!$B$12:$AB$621,14,FALSE)</f>
        <v>#REF!</v>
      </c>
      <c r="Q171" s="58">
        <f>'115+040'!S169</f>
        <v>5</v>
      </c>
      <c r="R171" s="57">
        <f t="shared" si="34"/>
        <v>430</v>
      </c>
      <c r="S171" s="62" t="e">
        <f>VLOOKUP(B171,'115+040'!$B$11:$AB$621,22,FALSE)</f>
        <v>#REF!</v>
      </c>
      <c r="T171" s="61" t="e">
        <f>VLOOKUP(B171,'115+040'!$B$12:$AB$621,6,FALSE)</f>
        <v>#REF!</v>
      </c>
      <c r="U171" s="60" t="e">
        <f t="shared" si="30"/>
        <v>#REF!</v>
      </c>
      <c r="V171" s="59" t="e">
        <f>VLOOKUP(B171,'115+040'!$B$12:$AB$621,15,FALSE)</f>
        <v>#REF!</v>
      </c>
      <c r="W171" s="58">
        <f>'[4]114+940'!S172</f>
        <v>0</v>
      </c>
      <c r="X171" s="57">
        <f t="shared" si="35"/>
        <v>216</v>
      </c>
      <c r="Y171" s="56" t="e">
        <f t="shared" si="36"/>
        <v>#REF!</v>
      </c>
      <c r="Z171" s="55" t="e">
        <f t="shared" si="37"/>
        <v>#REF!</v>
      </c>
      <c r="AA171" s="54" t="e">
        <f t="shared" si="38"/>
        <v>#REF!</v>
      </c>
      <c r="AB171" s="54" t="e">
        <f t="shared" si="39"/>
        <v>#REF!</v>
      </c>
    </row>
    <row r="172" spans="2:28">
      <c r="B172" s="96" t="e">
        <f>'115+040'!#REF!</f>
        <v>#REF!</v>
      </c>
      <c r="C172" s="66" t="e">
        <f t="shared" si="31"/>
        <v>#REF!</v>
      </c>
      <c r="D172" s="65" t="e">
        <f t="shared" si="32"/>
        <v>#REF!</v>
      </c>
      <c r="E172" s="64" t="e">
        <f>VLOOKUP(B172,'115+040'!B170:AB252,3,FALSE)</f>
        <v>#REF!</v>
      </c>
      <c r="F172" s="61" t="e">
        <f t="shared" si="27"/>
        <v>#REF!</v>
      </c>
      <c r="G172" s="63" t="e">
        <f>VLOOKUP(B172,'115+040'!$B$12:$AB$621,20,FALSE)</f>
        <v>#REF!</v>
      </c>
      <c r="H172" s="63" t="e">
        <f>VLOOKUP(B172,'115+040'!$B$12:$AB$621,4,FALSE)</f>
        <v>#REF!</v>
      </c>
      <c r="I172" s="60" t="e">
        <f t="shared" si="28"/>
        <v>#REF!</v>
      </c>
      <c r="J172" s="60" t="e">
        <f>VLOOKUP(B172,'115+040'!$B$12:$AB$621,13,FALSE)</f>
        <v>#REF!</v>
      </c>
      <c r="K172" s="58">
        <f>'115+040'!R170</f>
        <v>4</v>
      </c>
      <c r="L172" s="57">
        <f t="shared" si="33"/>
        <v>373</v>
      </c>
      <c r="M172" s="62" t="e">
        <f>VLOOKUP(B172,'115+040'!$B$11:$AB$621,21,FALSE)</f>
        <v>#REF!</v>
      </c>
      <c r="N172" s="61" t="e">
        <f>VLOOKUP(B172,'115+040'!$B$12:$AB$621,5,FALSE)</f>
        <v>#REF!</v>
      </c>
      <c r="O172" s="60" t="e">
        <f t="shared" si="29"/>
        <v>#REF!</v>
      </c>
      <c r="P172" s="60" t="e">
        <f>VLOOKUP(B172,'115+040'!$B$12:$AB$621,14,FALSE)</f>
        <v>#REF!</v>
      </c>
      <c r="Q172" s="58">
        <f>'115+040'!S170</f>
        <v>5</v>
      </c>
      <c r="R172" s="57">
        <f t="shared" si="34"/>
        <v>435</v>
      </c>
      <c r="S172" s="62" t="e">
        <f>VLOOKUP(B172,'115+040'!$B$11:$AB$621,22,FALSE)</f>
        <v>#REF!</v>
      </c>
      <c r="T172" s="61" t="e">
        <f>VLOOKUP(B172,'115+040'!$B$12:$AB$621,6,FALSE)</f>
        <v>#REF!</v>
      </c>
      <c r="U172" s="60" t="e">
        <f t="shared" si="30"/>
        <v>#REF!</v>
      </c>
      <c r="V172" s="59" t="e">
        <f>VLOOKUP(B172,'115+040'!$B$12:$AB$621,15,FALSE)</f>
        <v>#REF!</v>
      </c>
      <c r="W172" s="58">
        <f>'[4]114+940'!S173</f>
        <v>0</v>
      </c>
      <c r="X172" s="57">
        <f t="shared" si="35"/>
        <v>216</v>
      </c>
      <c r="Y172" s="56" t="e">
        <f t="shared" si="36"/>
        <v>#REF!</v>
      </c>
      <c r="Z172" s="55" t="e">
        <f t="shared" si="37"/>
        <v>#REF!</v>
      </c>
      <c r="AA172" s="54" t="e">
        <f t="shared" si="38"/>
        <v>#REF!</v>
      </c>
      <c r="AB172" s="54" t="e">
        <f t="shared" si="39"/>
        <v>#REF!</v>
      </c>
    </row>
    <row r="173" spans="2:28">
      <c r="B173" s="96" t="e">
        <f>'115+040'!#REF!</f>
        <v>#REF!</v>
      </c>
      <c r="C173" s="66" t="e">
        <f t="shared" si="31"/>
        <v>#REF!</v>
      </c>
      <c r="D173" s="65" t="e">
        <f t="shared" si="32"/>
        <v>#REF!</v>
      </c>
      <c r="E173" s="64" t="e">
        <f>VLOOKUP(B173,'115+040'!B171:AB252,3,FALSE)</f>
        <v>#REF!</v>
      </c>
      <c r="F173" s="61" t="e">
        <f t="shared" si="27"/>
        <v>#REF!</v>
      </c>
      <c r="G173" s="63" t="e">
        <f>VLOOKUP(B173,'115+040'!$B$12:$AB$621,20,FALSE)</f>
        <v>#REF!</v>
      </c>
      <c r="H173" s="63" t="e">
        <f>VLOOKUP(B173,'115+040'!$B$12:$AB$621,4,FALSE)</f>
        <v>#REF!</v>
      </c>
      <c r="I173" s="60" t="e">
        <f t="shared" si="28"/>
        <v>#REF!</v>
      </c>
      <c r="J173" s="60" t="e">
        <f>VLOOKUP(B173,'115+040'!$B$12:$AB$621,13,FALSE)</f>
        <v>#REF!</v>
      </c>
      <c r="K173" s="58">
        <f>'115+040'!R171</f>
        <v>4</v>
      </c>
      <c r="L173" s="57">
        <f t="shared" si="33"/>
        <v>377</v>
      </c>
      <c r="M173" s="62" t="e">
        <f>VLOOKUP(B173,'115+040'!$B$11:$AB$621,21,FALSE)</f>
        <v>#REF!</v>
      </c>
      <c r="N173" s="61" t="e">
        <f>VLOOKUP(B173,'115+040'!$B$12:$AB$621,5,FALSE)</f>
        <v>#REF!</v>
      </c>
      <c r="O173" s="60" t="e">
        <f t="shared" si="29"/>
        <v>#REF!</v>
      </c>
      <c r="P173" s="60" t="e">
        <f>VLOOKUP(B173,'115+040'!$B$12:$AB$621,14,FALSE)</f>
        <v>#REF!</v>
      </c>
      <c r="Q173" s="58">
        <f>'115+040'!S171</f>
        <v>5</v>
      </c>
      <c r="R173" s="57">
        <f t="shared" si="34"/>
        <v>440</v>
      </c>
      <c r="S173" s="62" t="e">
        <f>VLOOKUP(B173,'115+040'!$B$11:$AB$621,22,FALSE)</f>
        <v>#REF!</v>
      </c>
      <c r="T173" s="61" t="e">
        <f>VLOOKUP(B173,'115+040'!$B$12:$AB$621,6,FALSE)</f>
        <v>#REF!</v>
      </c>
      <c r="U173" s="60" t="e">
        <f t="shared" si="30"/>
        <v>#REF!</v>
      </c>
      <c r="V173" s="59" t="e">
        <f>VLOOKUP(B173,'115+040'!$B$12:$AB$621,15,FALSE)</f>
        <v>#REF!</v>
      </c>
      <c r="W173" s="58">
        <f>'[4]114+940'!S174</f>
        <v>0</v>
      </c>
      <c r="X173" s="57">
        <f t="shared" si="35"/>
        <v>216</v>
      </c>
      <c r="Y173" s="56" t="e">
        <f t="shared" si="36"/>
        <v>#REF!</v>
      </c>
      <c r="Z173" s="55" t="e">
        <f t="shared" si="37"/>
        <v>#REF!</v>
      </c>
      <c r="AA173" s="54" t="e">
        <f t="shared" si="38"/>
        <v>#REF!</v>
      </c>
      <c r="AB173" s="54" t="e">
        <f t="shared" si="39"/>
        <v>#REF!</v>
      </c>
    </row>
    <row r="174" spans="2:28">
      <c r="B174" s="96" t="e">
        <f>'115+040'!#REF!</f>
        <v>#REF!</v>
      </c>
      <c r="C174" s="66" t="e">
        <f t="shared" si="31"/>
        <v>#REF!</v>
      </c>
      <c r="D174" s="65" t="e">
        <f t="shared" si="32"/>
        <v>#REF!</v>
      </c>
      <c r="E174" s="64" t="e">
        <f>VLOOKUP(B174,'115+040'!B172:AB252,3,FALSE)</f>
        <v>#REF!</v>
      </c>
      <c r="F174" s="61" t="e">
        <f t="shared" si="27"/>
        <v>#REF!</v>
      </c>
      <c r="G174" s="63" t="e">
        <f>VLOOKUP(B174,'115+040'!$B$12:$AB$621,20,FALSE)</f>
        <v>#REF!</v>
      </c>
      <c r="H174" s="63" t="e">
        <f>VLOOKUP(B174,'115+040'!$B$12:$AB$621,4,FALSE)</f>
        <v>#REF!</v>
      </c>
      <c r="I174" s="60" t="e">
        <f t="shared" si="28"/>
        <v>#REF!</v>
      </c>
      <c r="J174" s="60" t="e">
        <f>VLOOKUP(B174,'115+040'!$B$12:$AB$621,13,FALSE)</f>
        <v>#REF!</v>
      </c>
      <c r="K174" s="58">
        <f>'115+040'!R172</f>
        <v>4</v>
      </c>
      <c r="L174" s="57">
        <f t="shared" si="33"/>
        <v>381</v>
      </c>
      <c r="M174" s="62" t="e">
        <f>VLOOKUP(B174,'115+040'!$B$11:$AB$621,21,FALSE)</f>
        <v>#REF!</v>
      </c>
      <c r="N174" s="61" t="e">
        <f>VLOOKUP(B174,'115+040'!$B$12:$AB$621,5,FALSE)</f>
        <v>#REF!</v>
      </c>
      <c r="O174" s="60" t="e">
        <f t="shared" si="29"/>
        <v>#REF!</v>
      </c>
      <c r="P174" s="60" t="e">
        <f>VLOOKUP(B174,'115+040'!$B$12:$AB$621,14,FALSE)</f>
        <v>#REF!</v>
      </c>
      <c r="Q174" s="58">
        <f>'115+040'!S172</f>
        <v>5</v>
      </c>
      <c r="R174" s="57">
        <f t="shared" si="34"/>
        <v>445</v>
      </c>
      <c r="S174" s="62" t="e">
        <f>VLOOKUP(B174,'115+040'!$B$11:$AB$621,22,FALSE)</f>
        <v>#REF!</v>
      </c>
      <c r="T174" s="61" t="e">
        <f>VLOOKUP(B174,'115+040'!$B$12:$AB$621,6,FALSE)</f>
        <v>#REF!</v>
      </c>
      <c r="U174" s="60" t="e">
        <f t="shared" si="30"/>
        <v>#REF!</v>
      </c>
      <c r="V174" s="59" t="e">
        <f>VLOOKUP(B174,'115+040'!$B$12:$AB$621,15,FALSE)</f>
        <v>#REF!</v>
      </c>
      <c r="W174" s="58">
        <f>'[4]114+940'!S175</f>
        <v>0</v>
      </c>
      <c r="X174" s="57">
        <f t="shared" si="35"/>
        <v>216</v>
      </c>
      <c r="Y174" s="56" t="e">
        <f t="shared" si="36"/>
        <v>#REF!</v>
      </c>
      <c r="Z174" s="55" t="e">
        <f t="shared" si="37"/>
        <v>#REF!</v>
      </c>
      <c r="AA174" s="54" t="e">
        <f t="shared" si="38"/>
        <v>#REF!</v>
      </c>
      <c r="AB174" s="54" t="e">
        <f t="shared" si="39"/>
        <v>#REF!</v>
      </c>
    </row>
    <row r="175" spans="2:28">
      <c r="B175" s="96" t="e">
        <f>'115+040'!#REF!</f>
        <v>#REF!</v>
      </c>
      <c r="C175" s="66" t="e">
        <f t="shared" si="31"/>
        <v>#REF!</v>
      </c>
      <c r="D175" s="65" t="e">
        <f t="shared" si="32"/>
        <v>#REF!</v>
      </c>
      <c r="E175" s="64" t="e">
        <f>VLOOKUP(B175,'115+040'!B173:AB252,3,FALSE)</f>
        <v>#REF!</v>
      </c>
      <c r="F175" s="61" t="e">
        <f t="shared" si="27"/>
        <v>#REF!</v>
      </c>
      <c r="G175" s="63" t="e">
        <f>VLOOKUP(B175,'115+040'!$B$12:$AB$621,20,FALSE)</f>
        <v>#REF!</v>
      </c>
      <c r="H175" s="63" t="e">
        <f>VLOOKUP(B175,'115+040'!$B$12:$AB$621,4,FALSE)</f>
        <v>#REF!</v>
      </c>
      <c r="I175" s="60" t="e">
        <f t="shared" si="28"/>
        <v>#REF!</v>
      </c>
      <c r="J175" s="60" t="e">
        <f>VLOOKUP(B175,'115+040'!$B$12:$AB$621,13,FALSE)</f>
        <v>#REF!</v>
      </c>
      <c r="K175" s="58">
        <f>'115+040'!R173</f>
        <v>4</v>
      </c>
      <c r="L175" s="57">
        <f t="shared" si="33"/>
        <v>385</v>
      </c>
      <c r="M175" s="62" t="e">
        <f>VLOOKUP(B175,'115+040'!$B$11:$AB$621,21,FALSE)</f>
        <v>#REF!</v>
      </c>
      <c r="N175" s="61" t="e">
        <f>VLOOKUP(B175,'115+040'!$B$12:$AB$621,5,FALSE)</f>
        <v>#REF!</v>
      </c>
      <c r="O175" s="60" t="e">
        <f t="shared" si="29"/>
        <v>#REF!</v>
      </c>
      <c r="P175" s="60" t="e">
        <f>VLOOKUP(B175,'115+040'!$B$12:$AB$621,14,FALSE)</f>
        <v>#REF!</v>
      </c>
      <c r="Q175" s="58">
        <f>'115+040'!S173</f>
        <v>5</v>
      </c>
      <c r="R175" s="57">
        <f t="shared" si="34"/>
        <v>450</v>
      </c>
      <c r="S175" s="62" t="e">
        <f>VLOOKUP(B175,'115+040'!$B$11:$AB$621,22,FALSE)</f>
        <v>#REF!</v>
      </c>
      <c r="T175" s="61" t="e">
        <f>VLOOKUP(B175,'115+040'!$B$12:$AB$621,6,FALSE)</f>
        <v>#REF!</v>
      </c>
      <c r="U175" s="60" t="e">
        <f t="shared" si="30"/>
        <v>#REF!</v>
      </c>
      <c r="V175" s="59" t="e">
        <f>VLOOKUP(B175,'115+040'!$B$12:$AB$621,15,FALSE)</f>
        <v>#REF!</v>
      </c>
      <c r="W175" s="58">
        <f>'[4]114+940'!S176</f>
        <v>0</v>
      </c>
      <c r="X175" s="57">
        <f t="shared" si="35"/>
        <v>216</v>
      </c>
      <c r="Y175" s="56" t="e">
        <f t="shared" si="36"/>
        <v>#REF!</v>
      </c>
      <c r="Z175" s="55" t="e">
        <f t="shared" si="37"/>
        <v>#REF!</v>
      </c>
      <c r="AA175" s="54" t="e">
        <f t="shared" si="38"/>
        <v>#REF!</v>
      </c>
      <c r="AB175" s="54" t="e">
        <f t="shared" si="39"/>
        <v>#REF!</v>
      </c>
    </row>
    <row r="176" spans="2:28">
      <c r="B176" s="96" t="e">
        <f>'115+040'!#REF!</f>
        <v>#REF!</v>
      </c>
      <c r="C176" s="66" t="e">
        <f t="shared" si="31"/>
        <v>#REF!</v>
      </c>
      <c r="D176" s="65" t="e">
        <f t="shared" si="32"/>
        <v>#REF!</v>
      </c>
      <c r="E176" s="64" t="e">
        <f>VLOOKUP(B176,'115+040'!B174:AB252,3,FALSE)</f>
        <v>#REF!</v>
      </c>
      <c r="F176" s="61" t="e">
        <f t="shared" si="27"/>
        <v>#REF!</v>
      </c>
      <c r="G176" s="63" t="e">
        <f>VLOOKUP(B176,'115+040'!$B$12:$AB$621,20,FALSE)</f>
        <v>#REF!</v>
      </c>
      <c r="H176" s="63" t="e">
        <f>VLOOKUP(B176,'115+040'!$B$12:$AB$621,4,FALSE)</f>
        <v>#REF!</v>
      </c>
      <c r="I176" s="60" t="e">
        <f t="shared" si="28"/>
        <v>#REF!</v>
      </c>
      <c r="J176" s="60" t="e">
        <f>VLOOKUP(B176,'115+040'!$B$12:$AB$621,13,FALSE)</f>
        <v>#REF!</v>
      </c>
      <c r="K176" s="58">
        <f>'115+040'!R174</f>
        <v>4</v>
      </c>
      <c r="L176" s="57">
        <f t="shared" si="33"/>
        <v>389</v>
      </c>
      <c r="M176" s="62" t="e">
        <f>VLOOKUP(B176,'115+040'!$B$11:$AB$621,21,FALSE)</f>
        <v>#REF!</v>
      </c>
      <c r="N176" s="61" t="e">
        <f>VLOOKUP(B176,'115+040'!$B$12:$AB$621,5,FALSE)</f>
        <v>#REF!</v>
      </c>
      <c r="O176" s="60" t="e">
        <f t="shared" si="29"/>
        <v>#REF!</v>
      </c>
      <c r="P176" s="60" t="e">
        <f>VLOOKUP(B176,'115+040'!$B$12:$AB$621,14,FALSE)</f>
        <v>#REF!</v>
      </c>
      <c r="Q176" s="58">
        <f>'115+040'!S174</f>
        <v>5</v>
      </c>
      <c r="R176" s="57">
        <f t="shared" si="34"/>
        <v>455</v>
      </c>
      <c r="S176" s="62" t="e">
        <f>VLOOKUP(B176,'115+040'!$B$11:$AB$621,22,FALSE)</f>
        <v>#REF!</v>
      </c>
      <c r="T176" s="61" t="e">
        <f>VLOOKUP(B176,'115+040'!$B$12:$AB$621,6,FALSE)</f>
        <v>#REF!</v>
      </c>
      <c r="U176" s="60" t="e">
        <f t="shared" si="30"/>
        <v>#REF!</v>
      </c>
      <c r="V176" s="59" t="e">
        <f>VLOOKUP(B176,'115+040'!$B$12:$AB$621,15,FALSE)</f>
        <v>#REF!</v>
      </c>
      <c r="W176" s="58">
        <f>'[4]114+940'!S177</f>
        <v>0</v>
      </c>
      <c r="X176" s="57">
        <f t="shared" si="35"/>
        <v>216</v>
      </c>
      <c r="Y176" s="56" t="e">
        <f t="shared" si="36"/>
        <v>#REF!</v>
      </c>
      <c r="Z176" s="55" t="e">
        <f t="shared" si="37"/>
        <v>#REF!</v>
      </c>
      <c r="AA176" s="54" t="e">
        <f t="shared" si="38"/>
        <v>#REF!</v>
      </c>
      <c r="AB176" s="54" t="e">
        <f t="shared" si="39"/>
        <v>#REF!</v>
      </c>
    </row>
    <row r="177" spans="2:28">
      <c r="B177" s="96" t="e">
        <f>'115+040'!#REF!</f>
        <v>#REF!</v>
      </c>
      <c r="C177" s="66" t="e">
        <f t="shared" si="31"/>
        <v>#REF!</v>
      </c>
      <c r="D177" s="65" t="e">
        <f t="shared" si="32"/>
        <v>#REF!</v>
      </c>
      <c r="E177" s="64" t="e">
        <f>VLOOKUP(B177,'115+040'!B175:AB252,3,FALSE)</f>
        <v>#REF!</v>
      </c>
      <c r="F177" s="61" t="e">
        <f t="shared" si="27"/>
        <v>#REF!</v>
      </c>
      <c r="G177" s="63" t="e">
        <f>VLOOKUP(B177,'115+040'!$B$12:$AB$621,20,FALSE)</f>
        <v>#REF!</v>
      </c>
      <c r="H177" s="63" t="e">
        <f>VLOOKUP(B177,'115+040'!$B$12:$AB$621,4,FALSE)</f>
        <v>#REF!</v>
      </c>
      <c r="I177" s="60" t="e">
        <f t="shared" si="28"/>
        <v>#REF!</v>
      </c>
      <c r="J177" s="60" t="e">
        <f>VLOOKUP(B177,'115+040'!$B$12:$AB$621,13,FALSE)</f>
        <v>#REF!</v>
      </c>
      <c r="K177" s="58">
        <f>'115+040'!R175</f>
        <v>4</v>
      </c>
      <c r="L177" s="57">
        <f t="shared" si="33"/>
        <v>393</v>
      </c>
      <c r="M177" s="62" t="e">
        <f>VLOOKUP(B177,'115+040'!$B$11:$AB$621,21,FALSE)</f>
        <v>#REF!</v>
      </c>
      <c r="N177" s="61" t="e">
        <f>VLOOKUP(B177,'115+040'!$B$12:$AB$621,5,FALSE)</f>
        <v>#REF!</v>
      </c>
      <c r="O177" s="60" t="e">
        <f t="shared" si="29"/>
        <v>#REF!</v>
      </c>
      <c r="P177" s="60" t="e">
        <f>VLOOKUP(B177,'115+040'!$B$12:$AB$621,14,FALSE)</f>
        <v>#REF!</v>
      </c>
      <c r="Q177" s="58">
        <f>'115+040'!S175</f>
        <v>5</v>
      </c>
      <c r="R177" s="57">
        <f t="shared" si="34"/>
        <v>460</v>
      </c>
      <c r="S177" s="62" t="e">
        <f>VLOOKUP(B177,'115+040'!$B$11:$AB$621,22,FALSE)</f>
        <v>#REF!</v>
      </c>
      <c r="T177" s="61" t="e">
        <f>VLOOKUP(B177,'115+040'!$B$12:$AB$621,6,FALSE)</f>
        <v>#REF!</v>
      </c>
      <c r="U177" s="60" t="e">
        <f t="shared" si="30"/>
        <v>#REF!</v>
      </c>
      <c r="V177" s="59" t="e">
        <f>VLOOKUP(B177,'115+040'!$B$12:$AB$621,15,FALSE)</f>
        <v>#REF!</v>
      </c>
      <c r="W177" s="58">
        <f>'[4]114+940'!S178</f>
        <v>0</v>
      </c>
      <c r="X177" s="57">
        <f t="shared" si="35"/>
        <v>216</v>
      </c>
      <c r="Y177" s="56" t="e">
        <f t="shared" si="36"/>
        <v>#REF!</v>
      </c>
      <c r="Z177" s="55" t="e">
        <f t="shared" si="37"/>
        <v>#REF!</v>
      </c>
      <c r="AA177" s="54" t="e">
        <f t="shared" si="38"/>
        <v>#REF!</v>
      </c>
      <c r="AB177" s="54" t="e">
        <f t="shared" si="39"/>
        <v>#REF!</v>
      </c>
    </row>
    <row r="178" spans="2:28">
      <c r="B178" s="96" t="e">
        <f>'115+040'!#REF!</f>
        <v>#REF!</v>
      </c>
      <c r="C178" s="66" t="e">
        <f t="shared" si="31"/>
        <v>#REF!</v>
      </c>
      <c r="D178" s="65" t="e">
        <f t="shared" si="32"/>
        <v>#REF!</v>
      </c>
      <c r="E178" s="64" t="e">
        <f>VLOOKUP(B178,'115+040'!B176:AB252,3,FALSE)</f>
        <v>#REF!</v>
      </c>
      <c r="F178" s="61" t="e">
        <f t="shared" si="27"/>
        <v>#REF!</v>
      </c>
      <c r="G178" s="63" t="e">
        <f>VLOOKUP(B178,'115+040'!$B$12:$AB$621,20,FALSE)</f>
        <v>#REF!</v>
      </c>
      <c r="H178" s="63" t="e">
        <f>VLOOKUP(B178,'115+040'!$B$12:$AB$621,4,FALSE)</f>
        <v>#REF!</v>
      </c>
      <c r="I178" s="60" t="e">
        <f t="shared" si="28"/>
        <v>#REF!</v>
      </c>
      <c r="J178" s="60" t="e">
        <f>VLOOKUP(B178,'115+040'!$B$12:$AB$621,13,FALSE)</f>
        <v>#REF!</v>
      </c>
      <c r="K178" s="58">
        <f>'115+040'!R176</f>
        <v>4</v>
      </c>
      <c r="L178" s="57">
        <f t="shared" si="33"/>
        <v>397</v>
      </c>
      <c r="M178" s="62" t="e">
        <f>VLOOKUP(B178,'115+040'!$B$11:$AB$621,21,FALSE)</f>
        <v>#REF!</v>
      </c>
      <c r="N178" s="61" t="e">
        <f>VLOOKUP(B178,'115+040'!$B$12:$AB$621,5,FALSE)</f>
        <v>#REF!</v>
      </c>
      <c r="O178" s="60" t="e">
        <f t="shared" si="29"/>
        <v>#REF!</v>
      </c>
      <c r="P178" s="60" t="e">
        <f>VLOOKUP(B178,'115+040'!$B$12:$AB$621,14,FALSE)</f>
        <v>#REF!</v>
      </c>
      <c r="Q178" s="58">
        <f>'115+040'!S176</f>
        <v>5</v>
      </c>
      <c r="R178" s="57">
        <f t="shared" si="34"/>
        <v>465</v>
      </c>
      <c r="S178" s="62" t="e">
        <f>VLOOKUP(B178,'115+040'!$B$11:$AB$621,22,FALSE)</f>
        <v>#REF!</v>
      </c>
      <c r="T178" s="61" t="e">
        <f>VLOOKUP(B178,'115+040'!$B$12:$AB$621,6,FALSE)</f>
        <v>#REF!</v>
      </c>
      <c r="U178" s="60" t="e">
        <f t="shared" si="30"/>
        <v>#REF!</v>
      </c>
      <c r="V178" s="59" t="e">
        <f>VLOOKUP(B178,'115+040'!$B$12:$AB$621,15,FALSE)</f>
        <v>#REF!</v>
      </c>
      <c r="W178" s="58">
        <f>'[4]114+940'!S179</f>
        <v>0</v>
      </c>
      <c r="X178" s="57">
        <f t="shared" si="35"/>
        <v>216</v>
      </c>
      <c r="Y178" s="56" t="e">
        <f t="shared" si="36"/>
        <v>#REF!</v>
      </c>
      <c r="Z178" s="55" t="e">
        <f t="shared" si="37"/>
        <v>#REF!</v>
      </c>
      <c r="AA178" s="54" t="e">
        <f t="shared" si="38"/>
        <v>#REF!</v>
      </c>
      <c r="AB178" s="54" t="e">
        <f t="shared" si="39"/>
        <v>#REF!</v>
      </c>
    </row>
    <row r="179" spans="2:28">
      <c r="B179" s="96" t="e">
        <f>'115+040'!#REF!</f>
        <v>#REF!</v>
      </c>
      <c r="C179" s="66" t="e">
        <f t="shared" si="31"/>
        <v>#REF!</v>
      </c>
      <c r="D179" s="65" t="e">
        <f t="shared" si="32"/>
        <v>#REF!</v>
      </c>
      <c r="E179" s="64" t="e">
        <f>VLOOKUP(B179,'115+040'!B177:AB252,3,FALSE)</f>
        <v>#REF!</v>
      </c>
      <c r="F179" s="61" t="e">
        <f t="shared" si="27"/>
        <v>#REF!</v>
      </c>
      <c r="G179" s="63" t="e">
        <f>VLOOKUP(B179,'115+040'!$B$12:$AB$621,20,FALSE)</f>
        <v>#REF!</v>
      </c>
      <c r="H179" s="63" t="e">
        <f>VLOOKUP(B179,'115+040'!$B$12:$AB$621,4,FALSE)</f>
        <v>#REF!</v>
      </c>
      <c r="I179" s="60" t="e">
        <f t="shared" si="28"/>
        <v>#REF!</v>
      </c>
      <c r="J179" s="60" t="e">
        <f>VLOOKUP(B179,'115+040'!$B$12:$AB$621,13,FALSE)</f>
        <v>#REF!</v>
      </c>
      <c r="K179" s="58">
        <f>'115+040'!R177</f>
        <v>4</v>
      </c>
      <c r="L179" s="57">
        <f t="shared" si="33"/>
        <v>401</v>
      </c>
      <c r="M179" s="62" t="e">
        <f>VLOOKUP(B179,'115+040'!$B$11:$AB$621,21,FALSE)</f>
        <v>#REF!</v>
      </c>
      <c r="N179" s="61" t="e">
        <f>VLOOKUP(B179,'115+040'!$B$12:$AB$621,5,FALSE)</f>
        <v>#REF!</v>
      </c>
      <c r="O179" s="60" t="e">
        <f t="shared" si="29"/>
        <v>#REF!</v>
      </c>
      <c r="P179" s="60" t="e">
        <f>VLOOKUP(B179,'115+040'!$B$12:$AB$621,14,FALSE)</f>
        <v>#REF!</v>
      </c>
      <c r="Q179" s="58">
        <f>'115+040'!S177</f>
        <v>5</v>
      </c>
      <c r="R179" s="57">
        <f t="shared" si="34"/>
        <v>470</v>
      </c>
      <c r="S179" s="62" t="e">
        <f>VLOOKUP(B179,'115+040'!$B$11:$AB$621,22,FALSE)</f>
        <v>#REF!</v>
      </c>
      <c r="T179" s="61" t="e">
        <f>VLOOKUP(B179,'115+040'!$B$12:$AB$621,6,FALSE)</f>
        <v>#REF!</v>
      </c>
      <c r="U179" s="60" t="e">
        <f t="shared" si="30"/>
        <v>#REF!</v>
      </c>
      <c r="V179" s="59" t="e">
        <f>VLOOKUP(B179,'115+040'!$B$12:$AB$621,15,FALSE)</f>
        <v>#REF!</v>
      </c>
      <c r="W179" s="58">
        <f>'[4]114+940'!S180</f>
        <v>0</v>
      </c>
      <c r="X179" s="57">
        <f t="shared" si="35"/>
        <v>216</v>
      </c>
      <c r="Y179" s="56" t="e">
        <f t="shared" si="36"/>
        <v>#REF!</v>
      </c>
      <c r="Z179" s="55" t="e">
        <f t="shared" si="37"/>
        <v>#REF!</v>
      </c>
      <c r="AA179" s="54" t="e">
        <f t="shared" si="38"/>
        <v>#REF!</v>
      </c>
      <c r="AB179" s="54" t="e">
        <f t="shared" si="39"/>
        <v>#REF!</v>
      </c>
    </row>
    <row r="180" spans="2:28">
      <c r="B180" s="96" t="e">
        <f>'115+040'!#REF!</f>
        <v>#REF!</v>
      </c>
      <c r="C180" s="66" t="e">
        <f t="shared" si="31"/>
        <v>#REF!</v>
      </c>
      <c r="D180" s="65" t="e">
        <f t="shared" si="32"/>
        <v>#REF!</v>
      </c>
      <c r="E180" s="64" t="e">
        <f>VLOOKUP(B180,'115+040'!B178:AB252,3,FALSE)</f>
        <v>#REF!</v>
      </c>
      <c r="F180" s="61" t="e">
        <f t="shared" si="27"/>
        <v>#REF!</v>
      </c>
      <c r="G180" s="63" t="e">
        <f>VLOOKUP(B180,'115+040'!$B$12:$AB$621,20,FALSE)</f>
        <v>#REF!</v>
      </c>
      <c r="H180" s="63" t="e">
        <f>VLOOKUP(B180,'115+040'!$B$12:$AB$621,4,FALSE)</f>
        <v>#REF!</v>
      </c>
      <c r="I180" s="60" t="e">
        <f t="shared" si="28"/>
        <v>#REF!</v>
      </c>
      <c r="J180" s="60" t="e">
        <f>VLOOKUP(B180,'115+040'!$B$12:$AB$621,13,FALSE)</f>
        <v>#REF!</v>
      </c>
      <c r="K180" s="58">
        <f>'115+040'!R178</f>
        <v>4</v>
      </c>
      <c r="L180" s="57">
        <f t="shared" si="33"/>
        <v>405</v>
      </c>
      <c r="M180" s="62" t="e">
        <f>VLOOKUP(B180,'115+040'!$B$11:$AB$621,21,FALSE)</f>
        <v>#REF!</v>
      </c>
      <c r="N180" s="61" t="e">
        <f>VLOOKUP(B180,'115+040'!$B$12:$AB$621,5,FALSE)</f>
        <v>#REF!</v>
      </c>
      <c r="O180" s="60" t="e">
        <f t="shared" si="29"/>
        <v>#REF!</v>
      </c>
      <c r="P180" s="60" t="e">
        <f>VLOOKUP(B180,'115+040'!$B$12:$AB$621,14,FALSE)</f>
        <v>#REF!</v>
      </c>
      <c r="Q180" s="58">
        <f>'115+040'!S178</f>
        <v>5</v>
      </c>
      <c r="R180" s="57">
        <f t="shared" si="34"/>
        <v>475</v>
      </c>
      <c r="S180" s="62" t="e">
        <f>VLOOKUP(B180,'115+040'!$B$11:$AB$621,22,FALSE)</f>
        <v>#REF!</v>
      </c>
      <c r="T180" s="61" t="e">
        <f>VLOOKUP(B180,'115+040'!$B$12:$AB$621,6,FALSE)</f>
        <v>#REF!</v>
      </c>
      <c r="U180" s="60" t="e">
        <f t="shared" si="30"/>
        <v>#REF!</v>
      </c>
      <c r="V180" s="59" t="e">
        <f>VLOOKUP(B180,'115+040'!$B$12:$AB$621,15,FALSE)</f>
        <v>#REF!</v>
      </c>
      <c r="W180" s="58">
        <f>'[4]114+940'!S181</f>
        <v>0</v>
      </c>
      <c r="X180" s="57">
        <f t="shared" si="35"/>
        <v>216</v>
      </c>
      <c r="Y180" s="56" t="e">
        <f t="shared" si="36"/>
        <v>#REF!</v>
      </c>
      <c r="Z180" s="55" t="e">
        <f t="shared" si="37"/>
        <v>#REF!</v>
      </c>
      <c r="AA180" s="54" t="e">
        <f t="shared" si="38"/>
        <v>#REF!</v>
      </c>
      <c r="AB180" s="54" t="e">
        <f t="shared" si="39"/>
        <v>#REF!</v>
      </c>
    </row>
    <row r="181" spans="2:28">
      <c r="B181" s="96" t="e">
        <f>'115+040'!#REF!</f>
        <v>#REF!</v>
      </c>
      <c r="C181" s="66" t="e">
        <f t="shared" si="31"/>
        <v>#REF!</v>
      </c>
      <c r="D181" s="65" t="e">
        <f t="shared" si="32"/>
        <v>#REF!</v>
      </c>
      <c r="E181" s="64" t="e">
        <f>VLOOKUP(B181,'115+040'!B179:AB252,3,FALSE)</f>
        <v>#REF!</v>
      </c>
      <c r="F181" s="61" t="e">
        <f t="shared" si="27"/>
        <v>#REF!</v>
      </c>
      <c r="G181" s="63" t="e">
        <f>VLOOKUP(B181,'115+040'!$B$12:$AB$621,20,FALSE)</f>
        <v>#REF!</v>
      </c>
      <c r="H181" s="63" t="e">
        <f>VLOOKUP(B181,'115+040'!$B$12:$AB$621,4,FALSE)</f>
        <v>#REF!</v>
      </c>
      <c r="I181" s="60" t="e">
        <f t="shared" si="28"/>
        <v>#REF!</v>
      </c>
      <c r="J181" s="60" t="e">
        <f>VLOOKUP(B181,'115+040'!$B$12:$AB$621,13,FALSE)</f>
        <v>#REF!</v>
      </c>
      <c r="K181" s="58">
        <f>'115+040'!R179</f>
        <v>4</v>
      </c>
      <c r="L181" s="57">
        <f t="shared" si="33"/>
        <v>409</v>
      </c>
      <c r="M181" s="62" t="e">
        <f>VLOOKUP(B181,'115+040'!$B$11:$AB$621,21,FALSE)</f>
        <v>#REF!</v>
      </c>
      <c r="N181" s="61" t="e">
        <f>VLOOKUP(B181,'115+040'!$B$12:$AB$621,5,FALSE)</f>
        <v>#REF!</v>
      </c>
      <c r="O181" s="60" t="e">
        <f t="shared" si="29"/>
        <v>#REF!</v>
      </c>
      <c r="P181" s="60" t="e">
        <f>VLOOKUP(B181,'115+040'!$B$12:$AB$621,14,FALSE)</f>
        <v>#REF!</v>
      </c>
      <c r="Q181" s="58">
        <f>'115+040'!S179</f>
        <v>5</v>
      </c>
      <c r="R181" s="57">
        <f t="shared" si="34"/>
        <v>480</v>
      </c>
      <c r="S181" s="62" t="e">
        <f>VLOOKUP(B181,'115+040'!$B$11:$AB$621,22,FALSE)</f>
        <v>#REF!</v>
      </c>
      <c r="T181" s="61" t="e">
        <f>VLOOKUP(B181,'115+040'!$B$12:$AB$621,6,FALSE)</f>
        <v>#REF!</v>
      </c>
      <c r="U181" s="60" t="e">
        <f t="shared" si="30"/>
        <v>#REF!</v>
      </c>
      <c r="V181" s="59" t="e">
        <f>VLOOKUP(B181,'115+040'!$B$12:$AB$621,15,FALSE)</f>
        <v>#REF!</v>
      </c>
      <c r="W181" s="58">
        <f>'[4]114+940'!S182</f>
        <v>0</v>
      </c>
      <c r="X181" s="57">
        <f t="shared" si="35"/>
        <v>216</v>
      </c>
      <c r="Y181" s="56" t="e">
        <f t="shared" si="36"/>
        <v>#REF!</v>
      </c>
      <c r="Z181" s="55" t="e">
        <f t="shared" si="37"/>
        <v>#REF!</v>
      </c>
      <c r="AA181" s="54" t="e">
        <f t="shared" si="38"/>
        <v>#REF!</v>
      </c>
      <c r="AB181" s="54" t="e">
        <f t="shared" si="39"/>
        <v>#REF!</v>
      </c>
    </row>
    <row r="182" spans="2:28">
      <c r="B182" s="96" t="e">
        <f>'115+040'!#REF!</f>
        <v>#REF!</v>
      </c>
      <c r="C182" s="66" t="e">
        <f t="shared" si="31"/>
        <v>#REF!</v>
      </c>
      <c r="D182" s="65" t="e">
        <f t="shared" si="32"/>
        <v>#REF!</v>
      </c>
      <c r="E182" s="64" t="e">
        <f>VLOOKUP(B182,'115+040'!B180:AB252,3,FALSE)</f>
        <v>#REF!</v>
      </c>
      <c r="F182" s="61" t="e">
        <f t="shared" si="27"/>
        <v>#REF!</v>
      </c>
      <c r="G182" s="63" t="e">
        <f>VLOOKUP(B182,'115+040'!$B$12:$AB$621,20,FALSE)</f>
        <v>#REF!</v>
      </c>
      <c r="H182" s="63" t="e">
        <f>VLOOKUP(B182,'115+040'!$B$12:$AB$621,4,FALSE)</f>
        <v>#REF!</v>
      </c>
      <c r="I182" s="60" t="e">
        <f t="shared" si="28"/>
        <v>#REF!</v>
      </c>
      <c r="J182" s="60" t="e">
        <f>VLOOKUP(B182,'115+040'!$B$12:$AB$621,13,FALSE)</f>
        <v>#REF!</v>
      </c>
      <c r="K182" s="58">
        <f>'115+040'!R180</f>
        <v>4</v>
      </c>
      <c r="L182" s="57">
        <f t="shared" si="33"/>
        <v>413</v>
      </c>
      <c r="M182" s="62" t="e">
        <f>VLOOKUP(B182,'115+040'!$B$11:$AB$621,21,FALSE)</f>
        <v>#REF!</v>
      </c>
      <c r="N182" s="61" t="e">
        <f>VLOOKUP(B182,'115+040'!$B$12:$AB$621,5,FALSE)</f>
        <v>#REF!</v>
      </c>
      <c r="O182" s="60" t="e">
        <f t="shared" si="29"/>
        <v>#REF!</v>
      </c>
      <c r="P182" s="60" t="e">
        <f>VLOOKUP(B182,'115+040'!$B$12:$AB$621,14,FALSE)</f>
        <v>#REF!</v>
      </c>
      <c r="Q182" s="58">
        <f>'115+040'!S180</f>
        <v>5</v>
      </c>
      <c r="R182" s="57">
        <f t="shared" si="34"/>
        <v>485</v>
      </c>
      <c r="S182" s="62" t="e">
        <f>VLOOKUP(B182,'115+040'!$B$11:$AB$621,22,FALSE)</f>
        <v>#REF!</v>
      </c>
      <c r="T182" s="61" t="e">
        <f>VLOOKUP(B182,'115+040'!$B$12:$AB$621,6,FALSE)</f>
        <v>#REF!</v>
      </c>
      <c r="U182" s="60" t="e">
        <f t="shared" si="30"/>
        <v>#REF!</v>
      </c>
      <c r="V182" s="59" t="e">
        <f>VLOOKUP(B182,'115+040'!$B$12:$AB$621,15,FALSE)</f>
        <v>#REF!</v>
      </c>
      <c r="W182" s="58">
        <f>'[4]114+940'!S183</f>
        <v>0</v>
      </c>
      <c r="X182" s="57">
        <f t="shared" si="35"/>
        <v>216</v>
      </c>
      <c r="Y182" s="56" t="e">
        <f t="shared" si="36"/>
        <v>#REF!</v>
      </c>
      <c r="Z182" s="55" t="e">
        <f t="shared" si="37"/>
        <v>#REF!</v>
      </c>
      <c r="AA182" s="54" t="e">
        <f t="shared" si="38"/>
        <v>#REF!</v>
      </c>
      <c r="AB182" s="54" t="e">
        <f t="shared" si="39"/>
        <v>#REF!</v>
      </c>
    </row>
    <row r="183" spans="2:28">
      <c r="B183" s="96" t="e">
        <f>'115+040'!#REF!</f>
        <v>#REF!</v>
      </c>
      <c r="C183" s="66" t="e">
        <f t="shared" si="31"/>
        <v>#REF!</v>
      </c>
      <c r="D183" s="65" t="e">
        <f t="shared" si="32"/>
        <v>#REF!</v>
      </c>
      <c r="E183" s="64" t="e">
        <f>VLOOKUP(B183,'115+040'!B181:AB252,3,FALSE)</f>
        <v>#REF!</v>
      </c>
      <c r="F183" s="61" t="e">
        <f t="shared" si="27"/>
        <v>#REF!</v>
      </c>
      <c r="G183" s="63" t="e">
        <f>VLOOKUP(B183,'115+040'!$B$12:$AB$621,20,FALSE)</f>
        <v>#REF!</v>
      </c>
      <c r="H183" s="63" t="e">
        <f>VLOOKUP(B183,'115+040'!$B$12:$AB$621,4,FALSE)</f>
        <v>#REF!</v>
      </c>
      <c r="I183" s="60" t="e">
        <f t="shared" si="28"/>
        <v>#REF!</v>
      </c>
      <c r="J183" s="60" t="e">
        <f>VLOOKUP(B183,'115+040'!$B$12:$AB$621,13,FALSE)</f>
        <v>#REF!</v>
      </c>
      <c r="K183" s="58">
        <f>'115+040'!R181</f>
        <v>4</v>
      </c>
      <c r="L183" s="57">
        <f t="shared" si="33"/>
        <v>417</v>
      </c>
      <c r="M183" s="62" t="e">
        <f>VLOOKUP(B183,'115+040'!$B$11:$AB$621,21,FALSE)</f>
        <v>#REF!</v>
      </c>
      <c r="N183" s="61" t="e">
        <f>VLOOKUP(B183,'115+040'!$B$12:$AB$621,5,FALSE)</f>
        <v>#REF!</v>
      </c>
      <c r="O183" s="60" t="e">
        <f t="shared" si="29"/>
        <v>#REF!</v>
      </c>
      <c r="P183" s="60" t="e">
        <f>VLOOKUP(B183,'115+040'!$B$12:$AB$621,14,FALSE)</f>
        <v>#REF!</v>
      </c>
      <c r="Q183" s="58">
        <f>'115+040'!S181</f>
        <v>5</v>
      </c>
      <c r="R183" s="57">
        <f t="shared" si="34"/>
        <v>490</v>
      </c>
      <c r="S183" s="62" t="e">
        <f>VLOOKUP(B183,'115+040'!$B$11:$AB$621,22,FALSE)</f>
        <v>#REF!</v>
      </c>
      <c r="T183" s="61" t="e">
        <f>VLOOKUP(B183,'115+040'!$B$12:$AB$621,6,FALSE)</f>
        <v>#REF!</v>
      </c>
      <c r="U183" s="60" t="e">
        <f t="shared" si="30"/>
        <v>#REF!</v>
      </c>
      <c r="V183" s="59" t="e">
        <f>VLOOKUP(B183,'115+040'!$B$12:$AB$621,15,FALSE)</f>
        <v>#REF!</v>
      </c>
      <c r="W183" s="58">
        <f>'[4]114+940'!S184</f>
        <v>0</v>
      </c>
      <c r="X183" s="57">
        <f t="shared" si="35"/>
        <v>216</v>
      </c>
      <c r="Y183" s="56" t="e">
        <f t="shared" si="36"/>
        <v>#REF!</v>
      </c>
      <c r="Z183" s="55" t="e">
        <f t="shared" si="37"/>
        <v>#REF!</v>
      </c>
      <c r="AA183" s="54" t="e">
        <f t="shared" si="38"/>
        <v>#REF!</v>
      </c>
      <c r="AB183" s="54" t="e">
        <f t="shared" si="39"/>
        <v>#REF!</v>
      </c>
    </row>
    <row r="184" spans="2:28">
      <c r="B184" s="96" t="e">
        <f>'115+040'!#REF!</f>
        <v>#REF!</v>
      </c>
      <c r="C184" s="66" t="e">
        <f t="shared" si="31"/>
        <v>#REF!</v>
      </c>
      <c r="D184" s="65" t="e">
        <f t="shared" si="32"/>
        <v>#REF!</v>
      </c>
      <c r="E184" s="64" t="e">
        <f>VLOOKUP(B184,'115+040'!B182:AB252,3,FALSE)</f>
        <v>#REF!</v>
      </c>
      <c r="F184" s="61" t="e">
        <f t="shared" si="27"/>
        <v>#REF!</v>
      </c>
      <c r="G184" s="63" t="e">
        <f>VLOOKUP(B184,'115+040'!$B$12:$AB$621,20,FALSE)</f>
        <v>#REF!</v>
      </c>
      <c r="H184" s="63" t="e">
        <f>VLOOKUP(B184,'115+040'!$B$12:$AB$621,4,FALSE)</f>
        <v>#REF!</v>
      </c>
      <c r="I184" s="60" t="e">
        <f t="shared" si="28"/>
        <v>#REF!</v>
      </c>
      <c r="J184" s="60" t="e">
        <f>VLOOKUP(B184,'115+040'!$B$12:$AB$621,13,FALSE)</f>
        <v>#REF!</v>
      </c>
      <c r="K184" s="58">
        <f>'115+040'!R182</f>
        <v>4</v>
      </c>
      <c r="L184" s="57">
        <f t="shared" si="33"/>
        <v>421</v>
      </c>
      <c r="M184" s="62" t="e">
        <f>VLOOKUP(B184,'115+040'!$B$11:$AB$621,21,FALSE)</f>
        <v>#REF!</v>
      </c>
      <c r="N184" s="61" t="e">
        <f>VLOOKUP(B184,'115+040'!$B$12:$AB$621,5,FALSE)</f>
        <v>#REF!</v>
      </c>
      <c r="O184" s="60" t="e">
        <f t="shared" si="29"/>
        <v>#REF!</v>
      </c>
      <c r="P184" s="60" t="e">
        <f>VLOOKUP(B184,'115+040'!$B$12:$AB$621,14,FALSE)</f>
        <v>#REF!</v>
      </c>
      <c r="Q184" s="58">
        <f>'115+040'!S182</f>
        <v>5</v>
      </c>
      <c r="R184" s="57">
        <f t="shared" si="34"/>
        <v>495</v>
      </c>
      <c r="S184" s="62" t="e">
        <f>VLOOKUP(B184,'115+040'!$B$11:$AB$621,22,FALSE)</f>
        <v>#REF!</v>
      </c>
      <c r="T184" s="61" t="e">
        <f>VLOOKUP(B184,'115+040'!$B$12:$AB$621,6,FALSE)</f>
        <v>#REF!</v>
      </c>
      <c r="U184" s="60" t="e">
        <f t="shared" si="30"/>
        <v>#REF!</v>
      </c>
      <c r="V184" s="59" t="e">
        <f>VLOOKUP(B184,'115+040'!$B$12:$AB$621,15,FALSE)</f>
        <v>#REF!</v>
      </c>
      <c r="W184" s="58">
        <f>'[4]114+940'!S185</f>
        <v>0</v>
      </c>
      <c r="X184" s="57">
        <f t="shared" si="35"/>
        <v>216</v>
      </c>
      <c r="Y184" s="56" t="e">
        <f t="shared" si="36"/>
        <v>#REF!</v>
      </c>
      <c r="Z184" s="55" t="e">
        <f t="shared" si="37"/>
        <v>#REF!</v>
      </c>
      <c r="AA184" s="54" t="e">
        <f t="shared" si="38"/>
        <v>#REF!</v>
      </c>
      <c r="AB184" s="54" t="e">
        <f t="shared" si="39"/>
        <v>#REF!</v>
      </c>
    </row>
    <row r="185" spans="2:28">
      <c r="B185" s="96" t="e">
        <f>'115+040'!#REF!</f>
        <v>#REF!</v>
      </c>
      <c r="C185" s="66" t="e">
        <f t="shared" si="31"/>
        <v>#REF!</v>
      </c>
      <c r="D185" s="65" t="e">
        <f t="shared" si="32"/>
        <v>#REF!</v>
      </c>
      <c r="E185" s="64" t="e">
        <f>VLOOKUP(B185,'115+040'!B183:AB252,3,FALSE)</f>
        <v>#REF!</v>
      </c>
      <c r="F185" s="61" t="e">
        <f t="shared" si="27"/>
        <v>#REF!</v>
      </c>
      <c r="G185" s="63" t="e">
        <f>VLOOKUP(B185,'115+040'!$B$12:$AB$621,20,FALSE)</f>
        <v>#REF!</v>
      </c>
      <c r="H185" s="63" t="e">
        <f>VLOOKUP(B185,'115+040'!$B$12:$AB$621,4,FALSE)</f>
        <v>#REF!</v>
      </c>
      <c r="I185" s="60" t="e">
        <f t="shared" si="28"/>
        <v>#REF!</v>
      </c>
      <c r="J185" s="60" t="e">
        <f>VLOOKUP(B185,'115+040'!$B$12:$AB$621,13,FALSE)</f>
        <v>#REF!</v>
      </c>
      <c r="K185" s="58">
        <f>'115+040'!R183</f>
        <v>4</v>
      </c>
      <c r="L185" s="57">
        <f t="shared" si="33"/>
        <v>425</v>
      </c>
      <c r="M185" s="62" t="e">
        <f>VLOOKUP(B185,'115+040'!$B$11:$AB$621,21,FALSE)</f>
        <v>#REF!</v>
      </c>
      <c r="N185" s="61" t="e">
        <f>VLOOKUP(B185,'115+040'!$B$12:$AB$621,5,FALSE)</f>
        <v>#REF!</v>
      </c>
      <c r="O185" s="60" t="e">
        <f t="shared" si="29"/>
        <v>#REF!</v>
      </c>
      <c r="P185" s="60" t="e">
        <f>VLOOKUP(B185,'115+040'!$B$12:$AB$621,14,FALSE)</f>
        <v>#REF!</v>
      </c>
      <c r="Q185" s="58">
        <f>'115+040'!S183</f>
        <v>5</v>
      </c>
      <c r="R185" s="57">
        <f t="shared" si="34"/>
        <v>500</v>
      </c>
      <c r="S185" s="62" t="e">
        <f>VLOOKUP(B185,'115+040'!$B$11:$AB$621,22,FALSE)</f>
        <v>#REF!</v>
      </c>
      <c r="T185" s="61" t="e">
        <f>VLOOKUP(B185,'115+040'!$B$12:$AB$621,6,FALSE)</f>
        <v>#REF!</v>
      </c>
      <c r="U185" s="60" t="e">
        <f t="shared" si="30"/>
        <v>#REF!</v>
      </c>
      <c r="V185" s="59" t="e">
        <f>VLOOKUP(B185,'115+040'!$B$12:$AB$621,15,FALSE)</f>
        <v>#REF!</v>
      </c>
      <c r="W185" s="58">
        <f>'[4]114+940'!S186</f>
        <v>0</v>
      </c>
      <c r="X185" s="57">
        <f t="shared" si="35"/>
        <v>216</v>
      </c>
      <c r="Y185" s="56" t="e">
        <f t="shared" si="36"/>
        <v>#REF!</v>
      </c>
      <c r="Z185" s="55" t="e">
        <f t="shared" si="37"/>
        <v>#REF!</v>
      </c>
      <c r="AA185" s="54" t="e">
        <f t="shared" si="38"/>
        <v>#REF!</v>
      </c>
      <c r="AB185" s="54" t="e">
        <f t="shared" si="39"/>
        <v>#REF!</v>
      </c>
    </row>
    <row r="186" spans="2:28">
      <c r="B186" s="96" t="e">
        <f>'115+040'!#REF!</f>
        <v>#REF!</v>
      </c>
      <c r="C186" s="66" t="e">
        <f t="shared" si="31"/>
        <v>#REF!</v>
      </c>
      <c r="D186" s="65" t="e">
        <f t="shared" si="32"/>
        <v>#REF!</v>
      </c>
      <c r="E186" s="64" t="e">
        <f>VLOOKUP(B186,'115+040'!B184:AB252,3,FALSE)</f>
        <v>#REF!</v>
      </c>
      <c r="F186" s="61" t="e">
        <f t="shared" si="27"/>
        <v>#REF!</v>
      </c>
      <c r="G186" s="63" t="e">
        <f>VLOOKUP(B186,'115+040'!$B$12:$AB$621,20,FALSE)</f>
        <v>#REF!</v>
      </c>
      <c r="H186" s="63" t="e">
        <f>VLOOKUP(B186,'115+040'!$B$12:$AB$621,4,FALSE)</f>
        <v>#REF!</v>
      </c>
      <c r="I186" s="60" t="e">
        <f t="shared" si="28"/>
        <v>#REF!</v>
      </c>
      <c r="J186" s="60" t="e">
        <f>VLOOKUP(B186,'115+040'!$B$12:$AB$621,13,FALSE)</f>
        <v>#REF!</v>
      </c>
      <c r="K186" s="58">
        <f>'115+040'!R184</f>
        <v>4</v>
      </c>
      <c r="L186" s="57">
        <f t="shared" si="33"/>
        <v>429</v>
      </c>
      <c r="M186" s="62" t="e">
        <f>VLOOKUP(B186,'115+040'!$B$11:$AB$621,21,FALSE)</f>
        <v>#REF!</v>
      </c>
      <c r="N186" s="61" t="e">
        <f>VLOOKUP(B186,'115+040'!$B$12:$AB$621,5,FALSE)</f>
        <v>#REF!</v>
      </c>
      <c r="O186" s="60" t="e">
        <f t="shared" si="29"/>
        <v>#REF!</v>
      </c>
      <c r="P186" s="60" t="e">
        <f>VLOOKUP(B186,'115+040'!$B$12:$AB$621,14,FALSE)</f>
        <v>#REF!</v>
      </c>
      <c r="Q186" s="58">
        <f>'115+040'!S184</f>
        <v>5</v>
      </c>
      <c r="R186" s="57">
        <f t="shared" si="34"/>
        <v>505</v>
      </c>
      <c r="S186" s="62" t="e">
        <f>VLOOKUP(B186,'115+040'!$B$11:$AB$621,22,FALSE)</f>
        <v>#REF!</v>
      </c>
      <c r="T186" s="61" t="e">
        <f>VLOOKUP(B186,'115+040'!$B$12:$AB$621,6,FALSE)</f>
        <v>#REF!</v>
      </c>
      <c r="U186" s="60" t="e">
        <f t="shared" si="30"/>
        <v>#REF!</v>
      </c>
      <c r="V186" s="59" t="e">
        <f>VLOOKUP(B186,'115+040'!$B$12:$AB$621,15,FALSE)</f>
        <v>#REF!</v>
      </c>
      <c r="W186" s="58">
        <f>'[4]114+940'!S187</f>
        <v>0</v>
      </c>
      <c r="X186" s="57">
        <f t="shared" si="35"/>
        <v>216</v>
      </c>
      <c r="Y186" s="56" t="e">
        <f t="shared" si="36"/>
        <v>#REF!</v>
      </c>
      <c r="Z186" s="55" t="e">
        <f t="shared" si="37"/>
        <v>#REF!</v>
      </c>
      <c r="AA186" s="54" t="e">
        <f t="shared" si="38"/>
        <v>#REF!</v>
      </c>
      <c r="AB186" s="54" t="e">
        <f t="shared" si="39"/>
        <v>#REF!</v>
      </c>
    </row>
    <row r="187" spans="2:28">
      <c r="B187" s="96" t="e">
        <f>'115+040'!#REF!</f>
        <v>#REF!</v>
      </c>
      <c r="C187" s="66" t="e">
        <f t="shared" si="31"/>
        <v>#REF!</v>
      </c>
      <c r="D187" s="65" t="e">
        <f t="shared" si="32"/>
        <v>#REF!</v>
      </c>
      <c r="E187" s="64" t="e">
        <f>VLOOKUP(B187,'115+040'!B185:AB252,3,FALSE)</f>
        <v>#REF!</v>
      </c>
      <c r="F187" s="61" t="e">
        <f t="shared" si="27"/>
        <v>#REF!</v>
      </c>
      <c r="G187" s="63" t="e">
        <f>VLOOKUP(B187,'115+040'!$B$12:$AB$621,20,FALSE)</f>
        <v>#REF!</v>
      </c>
      <c r="H187" s="63" t="e">
        <f>VLOOKUP(B187,'115+040'!$B$12:$AB$621,4,FALSE)</f>
        <v>#REF!</v>
      </c>
      <c r="I187" s="60" t="e">
        <f t="shared" si="28"/>
        <v>#REF!</v>
      </c>
      <c r="J187" s="60" t="e">
        <f>VLOOKUP(B187,'115+040'!$B$12:$AB$621,13,FALSE)</f>
        <v>#REF!</v>
      </c>
      <c r="K187" s="58">
        <f>'115+040'!R185</f>
        <v>4</v>
      </c>
      <c r="L187" s="57">
        <f t="shared" si="33"/>
        <v>433</v>
      </c>
      <c r="M187" s="62" t="e">
        <f>VLOOKUP(B187,'115+040'!$B$11:$AB$621,21,FALSE)</f>
        <v>#REF!</v>
      </c>
      <c r="N187" s="61" t="e">
        <f>VLOOKUP(B187,'115+040'!$B$12:$AB$621,5,FALSE)</f>
        <v>#REF!</v>
      </c>
      <c r="O187" s="60" t="e">
        <f t="shared" si="29"/>
        <v>#REF!</v>
      </c>
      <c r="P187" s="60" t="e">
        <f>VLOOKUP(B187,'115+040'!$B$12:$AB$621,14,FALSE)</f>
        <v>#REF!</v>
      </c>
      <c r="Q187" s="58">
        <f>'115+040'!S185</f>
        <v>5</v>
      </c>
      <c r="R187" s="57">
        <f t="shared" si="34"/>
        <v>510</v>
      </c>
      <c r="S187" s="62" t="e">
        <f>VLOOKUP(B187,'115+040'!$B$11:$AB$621,22,FALSE)</f>
        <v>#REF!</v>
      </c>
      <c r="T187" s="61" t="e">
        <f>VLOOKUP(B187,'115+040'!$B$12:$AB$621,6,FALSE)</f>
        <v>#REF!</v>
      </c>
      <c r="U187" s="60" t="e">
        <f t="shared" si="30"/>
        <v>#REF!</v>
      </c>
      <c r="V187" s="59" t="e">
        <f>VLOOKUP(B187,'115+040'!$B$12:$AB$621,15,FALSE)</f>
        <v>#REF!</v>
      </c>
      <c r="W187" s="58">
        <f>'[4]114+940'!S188</f>
        <v>0</v>
      </c>
      <c r="X187" s="57">
        <f t="shared" si="35"/>
        <v>216</v>
      </c>
      <c r="Y187" s="56" t="e">
        <f t="shared" si="36"/>
        <v>#REF!</v>
      </c>
      <c r="Z187" s="55" t="e">
        <f t="shared" si="37"/>
        <v>#REF!</v>
      </c>
      <c r="AA187" s="54" t="e">
        <f t="shared" si="38"/>
        <v>#REF!</v>
      </c>
      <c r="AB187" s="54" t="e">
        <f t="shared" si="39"/>
        <v>#REF!</v>
      </c>
    </row>
    <row r="188" spans="2:28">
      <c r="B188" s="96" t="e">
        <f>'115+040'!#REF!</f>
        <v>#REF!</v>
      </c>
      <c r="C188" s="66" t="e">
        <f t="shared" si="31"/>
        <v>#REF!</v>
      </c>
      <c r="D188" s="65" t="e">
        <f t="shared" si="32"/>
        <v>#REF!</v>
      </c>
      <c r="E188" s="64" t="e">
        <f>VLOOKUP(B188,'115+040'!B186:AB252,3,FALSE)</f>
        <v>#REF!</v>
      </c>
      <c r="F188" s="61" t="e">
        <f t="shared" si="27"/>
        <v>#REF!</v>
      </c>
      <c r="G188" s="63" t="e">
        <f>VLOOKUP(B188,'115+040'!$B$12:$AB$621,20,FALSE)</f>
        <v>#REF!</v>
      </c>
      <c r="H188" s="63" t="e">
        <f>VLOOKUP(B188,'115+040'!$B$12:$AB$621,4,FALSE)</f>
        <v>#REF!</v>
      </c>
      <c r="I188" s="60" t="e">
        <f t="shared" si="28"/>
        <v>#REF!</v>
      </c>
      <c r="J188" s="60" t="e">
        <f>VLOOKUP(B188,'115+040'!$B$12:$AB$621,13,FALSE)</f>
        <v>#REF!</v>
      </c>
      <c r="K188" s="58">
        <f>'115+040'!R186</f>
        <v>4</v>
      </c>
      <c r="L188" s="57">
        <f t="shared" si="33"/>
        <v>437</v>
      </c>
      <c r="M188" s="62" t="e">
        <f>VLOOKUP(B188,'115+040'!$B$11:$AB$621,21,FALSE)</f>
        <v>#REF!</v>
      </c>
      <c r="N188" s="61" t="e">
        <f>VLOOKUP(B188,'115+040'!$B$12:$AB$621,5,FALSE)</f>
        <v>#REF!</v>
      </c>
      <c r="O188" s="60" t="e">
        <f t="shared" si="29"/>
        <v>#REF!</v>
      </c>
      <c r="P188" s="60" t="e">
        <f>VLOOKUP(B188,'115+040'!$B$12:$AB$621,14,FALSE)</f>
        <v>#REF!</v>
      </c>
      <c r="Q188" s="58">
        <f>'115+040'!S186</f>
        <v>5</v>
      </c>
      <c r="R188" s="57">
        <f t="shared" si="34"/>
        <v>515</v>
      </c>
      <c r="S188" s="62" t="e">
        <f>VLOOKUP(B188,'115+040'!$B$11:$AB$621,22,FALSE)</f>
        <v>#REF!</v>
      </c>
      <c r="T188" s="61" t="e">
        <f>VLOOKUP(B188,'115+040'!$B$12:$AB$621,6,FALSE)</f>
        <v>#REF!</v>
      </c>
      <c r="U188" s="60" t="e">
        <f t="shared" si="30"/>
        <v>#REF!</v>
      </c>
      <c r="V188" s="59" t="e">
        <f>VLOOKUP(B188,'115+040'!$B$12:$AB$621,15,FALSE)</f>
        <v>#REF!</v>
      </c>
      <c r="W188" s="58">
        <f>'[4]114+940'!S189</f>
        <v>0</v>
      </c>
      <c r="X188" s="57">
        <f t="shared" si="35"/>
        <v>216</v>
      </c>
      <c r="Y188" s="56" t="e">
        <f t="shared" si="36"/>
        <v>#REF!</v>
      </c>
      <c r="Z188" s="55" t="e">
        <f t="shared" si="37"/>
        <v>#REF!</v>
      </c>
      <c r="AA188" s="54" t="e">
        <f t="shared" si="38"/>
        <v>#REF!</v>
      </c>
      <c r="AB188" s="54" t="e">
        <f t="shared" si="39"/>
        <v>#REF!</v>
      </c>
    </row>
    <row r="189" spans="2:28">
      <c r="B189" s="96" t="e">
        <f>'115+040'!#REF!</f>
        <v>#REF!</v>
      </c>
      <c r="C189" s="66" t="e">
        <f t="shared" si="31"/>
        <v>#REF!</v>
      </c>
      <c r="D189" s="65" t="e">
        <f t="shared" si="32"/>
        <v>#REF!</v>
      </c>
      <c r="E189" s="64" t="e">
        <f>VLOOKUP(B189,'115+040'!B187:AB252,3,FALSE)</f>
        <v>#REF!</v>
      </c>
      <c r="F189" s="61" t="e">
        <f t="shared" si="27"/>
        <v>#REF!</v>
      </c>
      <c r="G189" s="63" t="e">
        <f>VLOOKUP(B189,'115+040'!$B$12:$AB$621,20,FALSE)</f>
        <v>#REF!</v>
      </c>
      <c r="H189" s="63" t="e">
        <f>VLOOKUP(B189,'115+040'!$B$12:$AB$621,4,FALSE)</f>
        <v>#REF!</v>
      </c>
      <c r="I189" s="60" t="e">
        <f t="shared" si="28"/>
        <v>#REF!</v>
      </c>
      <c r="J189" s="60" t="e">
        <f>VLOOKUP(B189,'115+040'!$B$12:$AB$621,13,FALSE)</f>
        <v>#REF!</v>
      </c>
      <c r="K189" s="58">
        <f>'115+040'!R187</f>
        <v>4</v>
      </c>
      <c r="L189" s="57">
        <f t="shared" si="33"/>
        <v>441</v>
      </c>
      <c r="M189" s="62" t="e">
        <f>VLOOKUP(B189,'115+040'!$B$11:$AB$621,21,FALSE)</f>
        <v>#REF!</v>
      </c>
      <c r="N189" s="61" t="e">
        <f>VLOOKUP(B189,'115+040'!$B$12:$AB$621,5,FALSE)</f>
        <v>#REF!</v>
      </c>
      <c r="O189" s="60" t="e">
        <f t="shared" si="29"/>
        <v>#REF!</v>
      </c>
      <c r="P189" s="60" t="e">
        <f>VLOOKUP(B189,'115+040'!$B$12:$AB$621,14,FALSE)</f>
        <v>#REF!</v>
      </c>
      <c r="Q189" s="58">
        <f>'115+040'!S187</f>
        <v>5</v>
      </c>
      <c r="R189" s="57">
        <f t="shared" si="34"/>
        <v>520</v>
      </c>
      <c r="S189" s="62" t="e">
        <f>VLOOKUP(B189,'115+040'!$B$11:$AB$621,22,FALSE)</f>
        <v>#REF!</v>
      </c>
      <c r="T189" s="61" t="e">
        <f>VLOOKUP(B189,'115+040'!$B$12:$AB$621,6,FALSE)</f>
        <v>#REF!</v>
      </c>
      <c r="U189" s="60" t="e">
        <f t="shared" si="30"/>
        <v>#REF!</v>
      </c>
      <c r="V189" s="59" t="e">
        <f>VLOOKUP(B189,'115+040'!$B$12:$AB$621,15,FALSE)</f>
        <v>#REF!</v>
      </c>
      <c r="W189" s="58">
        <f>'[4]114+940'!S190</f>
        <v>0</v>
      </c>
      <c r="X189" s="57">
        <f t="shared" si="35"/>
        <v>216</v>
      </c>
      <c r="Y189" s="56" t="e">
        <f t="shared" si="36"/>
        <v>#REF!</v>
      </c>
      <c r="Z189" s="55" t="e">
        <f t="shared" si="37"/>
        <v>#REF!</v>
      </c>
      <c r="AA189" s="54" t="e">
        <f t="shared" si="38"/>
        <v>#REF!</v>
      </c>
      <c r="AB189" s="54" t="e">
        <f t="shared" si="39"/>
        <v>#REF!</v>
      </c>
    </row>
    <row r="190" spans="2:28">
      <c r="B190" s="96" t="e">
        <f>'115+040'!#REF!</f>
        <v>#REF!</v>
      </c>
      <c r="C190" s="66" t="e">
        <f t="shared" si="31"/>
        <v>#REF!</v>
      </c>
      <c r="D190" s="65" t="e">
        <f t="shared" si="32"/>
        <v>#REF!</v>
      </c>
      <c r="E190" s="64" t="e">
        <f>VLOOKUP(B190,'115+040'!B188:AB252,3,FALSE)</f>
        <v>#REF!</v>
      </c>
      <c r="F190" s="61" t="e">
        <f t="shared" si="27"/>
        <v>#REF!</v>
      </c>
      <c r="G190" s="63" t="e">
        <f>VLOOKUP(B190,'115+040'!$B$12:$AB$621,20,FALSE)</f>
        <v>#REF!</v>
      </c>
      <c r="H190" s="63" t="e">
        <f>VLOOKUP(B190,'115+040'!$B$12:$AB$621,4,FALSE)</f>
        <v>#REF!</v>
      </c>
      <c r="I190" s="60" t="e">
        <f t="shared" si="28"/>
        <v>#REF!</v>
      </c>
      <c r="J190" s="60" t="e">
        <f>VLOOKUP(B190,'115+040'!$B$12:$AB$621,13,FALSE)</f>
        <v>#REF!</v>
      </c>
      <c r="K190" s="58">
        <f>'115+040'!R188</f>
        <v>4</v>
      </c>
      <c r="L190" s="57">
        <f t="shared" si="33"/>
        <v>445</v>
      </c>
      <c r="M190" s="62" t="e">
        <f>VLOOKUP(B190,'115+040'!$B$11:$AB$621,21,FALSE)</f>
        <v>#REF!</v>
      </c>
      <c r="N190" s="61" t="e">
        <f>VLOOKUP(B190,'115+040'!$B$12:$AB$621,5,FALSE)</f>
        <v>#REF!</v>
      </c>
      <c r="O190" s="60" t="e">
        <f t="shared" si="29"/>
        <v>#REF!</v>
      </c>
      <c r="P190" s="60" t="e">
        <f>VLOOKUP(B190,'115+040'!$B$12:$AB$621,14,FALSE)</f>
        <v>#REF!</v>
      </c>
      <c r="Q190" s="58">
        <f>'115+040'!S188</f>
        <v>5</v>
      </c>
      <c r="R190" s="57">
        <f t="shared" si="34"/>
        <v>525</v>
      </c>
      <c r="S190" s="62" t="e">
        <f>VLOOKUP(B190,'115+040'!$B$11:$AB$621,22,FALSE)</f>
        <v>#REF!</v>
      </c>
      <c r="T190" s="61" t="e">
        <f>VLOOKUP(B190,'115+040'!$B$12:$AB$621,6,FALSE)</f>
        <v>#REF!</v>
      </c>
      <c r="U190" s="60" t="e">
        <f t="shared" si="30"/>
        <v>#REF!</v>
      </c>
      <c r="V190" s="59" t="e">
        <f>VLOOKUP(B190,'115+040'!$B$12:$AB$621,15,FALSE)</f>
        <v>#REF!</v>
      </c>
      <c r="W190" s="58">
        <f>'[4]114+940'!S191</f>
        <v>0</v>
      </c>
      <c r="X190" s="57">
        <f t="shared" si="35"/>
        <v>216</v>
      </c>
      <c r="Y190" s="56" t="e">
        <f t="shared" si="36"/>
        <v>#REF!</v>
      </c>
      <c r="Z190" s="55" t="e">
        <f t="shared" si="37"/>
        <v>#REF!</v>
      </c>
      <c r="AA190" s="54" t="e">
        <f t="shared" si="38"/>
        <v>#REF!</v>
      </c>
      <c r="AB190" s="54" t="e">
        <f t="shared" si="39"/>
        <v>#REF!</v>
      </c>
    </row>
    <row r="191" spans="2:28">
      <c r="B191" s="96" t="e">
        <f>'115+040'!#REF!</f>
        <v>#REF!</v>
      </c>
      <c r="C191" s="66" t="e">
        <f t="shared" si="31"/>
        <v>#REF!</v>
      </c>
      <c r="D191" s="65" t="e">
        <f t="shared" si="32"/>
        <v>#REF!</v>
      </c>
      <c r="E191" s="64" t="e">
        <f>VLOOKUP(B191,'115+040'!B189:AB252,3,FALSE)</f>
        <v>#REF!</v>
      </c>
      <c r="F191" s="61" t="e">
        <f t="shared" si="27"/>
        <v>#REF!</v>
      </c>
      <c r="G191" s="63" t="e">
        <f>VLOOKUP(B191,'115+040'!$B$12:$AB$621,20,FALSE)</f>
        <v>#REF!</v>
      </c>
      <c r="H191" s="63" t="e">
        <f>VLOOKUP(B191,'115+040'!$B$12:$AB$621,4,FALSE)</f>
        <v>#REF!</v>
      </c>
      <c r="I191" s="60" t="e">
        <f t="shared" si="28"/>
        <v>#REF!</v>
      </c>
      <c r="J191" s="60" t="e">
        <f>VLOOKUP(B191,'115+040'!$B$12:$AB$621,13,FALSE)</f>
        <v>#REF!</v>
      </c>
      <c r="K191" s="58">
        <f>'115+040'!R189</f>
        <v>4</v>
      </c>
      <c r="L191" s="57">
        <f t="shared" si="33"/>
        <v>449</v>
      </c>
      <c r="M191" s="62" t="e">
        <f>VLOOKUP(B191,'115+040'!$B$11:$AB$621,21,FALSE)</f>
        <v>#REF!</v>
      </c>
      <c r="N191" s="61" t="e">
        <f>VLOOKUP(B191,'115+040'!$B$12:$AB$621,5,FALSE)</f>
        <v>#REF!</v>
      </c>
      <c r="O191" s="60" t="e">
        <f t="shared" si="29"/>
        <v>#REF!</v>
      </c>
      <c r="P191" s="60" t="e">
        <f>VLOOKUP(B191,'115+040'!$B$12:$AB$621,14,FALSE)</f>
        <v>#REF!</v>
      </c>
      <c r="Q191" s="58">
        <f>'115+040'!S189</f>
        <v>5</v>
      </c>
      <c r="R191" s="57">
        <f t="shared" si="34"/>
        <v>530</v>
      </c>
      <c r="S191" s="62" t="e">
        <f>VLOOKUP(B191,'115+040'!$B$11:$AB$621,22,FALSE)</f>
        <v>#REF!</v>
      </c>
      <c r="T191" s="61" t="e">
        <f>VLOOKUP(B191,'115+040'!$B$12:$AB$621,6,FALSE)</f>
        <v>#REF!</v>
      </c>
      <c r="U191" s="60" t="e">
        <f t="shared" si="30"/>
        <v>#REF!</v>
      </c>
      <c r="V191" s="59" t="e">
        <f>VLOOKUP(B191,'115+040'!$B$12:$AB$621,15,FALSE)</f>
        <v>#REF!</v>
      </c>
      <c r="W191" s="58">
        <f>'[4]114+940'!S192</f>
        <v>0</v>
      </c>
      <c r="X191" s="57">
        <f t="shared" si="35"/>
        <v>216</v>
      </c>
      <c r="Y191" s="56" t="e">
        <f t="shared" si="36"/>
        <v>#REF!</v>
      </c>
      <c r="Z191" s="55" t="e">
        <f t="shared" si="37"/>
        <v>#REF!</v>
      </c>
      <c r="AA191" s="54" t="e">
        <f t="shared" si="38"/>
        <v>#REF!</v>
      </c>
      <c r="AB191" s="54" t="e">
        <f t="shared" si="39"/>
        <v>#REF!</v>
      </c>
    </row>
    <row r="192" spans="2:28">
      <c r="B192" s="96" t="e">
        <f>'115+040'!#REF!</f>
        <v>#REF!</v>
      </c>
      <c r="C192" s="66" t="e">
        <f t="shared" si="31"/>
        <v>#REF!</v>
      </c>
      <c r="D192" s="65" t="e">
        <f t="shared" si="32"/>
        <v>#REF!</v>
      </c>
      <c r="E192" s="64" t="e">
        <f>VLOOKUP(B192,'115+040'!B190:AB252,3,FALSE)</f>
        <v>#REF!</v>
      </c>
      <c r="F192" s="61" t="e">
        <f t="shared" si="27"/>
        <v>#REF!</v>
      </c>
      <c r="G192" s="63" t="e">
        <f>VLOOKUP(B192,'115+040'!$B$12:$AB$621,20,FALSE)</f>
        <v>#REF!</v>
      </c>
      <c r="H192" s="63" t="e">
        <f>VLOOKUP(B192,'115+040'!$B$12:$AB$621,4,FALSE)</f>
        <v>#REF!</v>
      </c>
      <c r="I192" s="60" t="e">
        <f t="shared" si="28"/>
        <v>#REF!</v>
      </c>
      <c r="J192" s="60" t="e">
        <f>VLOOKUP(B192,'115+040'!$B$12:$AB$621,13,FALSE)</f>
        <v>#REF!</v>
      </c>
      <c r="K192" s="58">
        <f>'115+040'!R190</f>
        <v>4</v>
      </c>
      <c r="L192" s="57">
        <f t="shared" si="33"/>
        <v>453</v>
      </c>
      <c r="M192" s="62" t="e">
        <f>VLOOKUP(B192,'115+040'!$B$11:$AB$621,21,FALSE)</f>
        <v>#REF!</v>
      </c>
      <c r="N192" s="61" t="e">
        <f>VLOOKUP(B192,'115+040'!$B$12:$AB$621,5,FALSE)</f>
        <v>#REF!</v>
      </c>
      <c r="O192" s="60" t="e">
        <f t="shared" si="29"/>
        <v>#REF!</v>
      </c>
      <c r="P192" s="60" t="e">
        <f>VLOOKUP(B192,'115+040'!$B$12:$AB$621,14,FALSE)</f>
        <v>#REF!</v>
      </c>
      <c r="Q192" s="58">
        <f>'115+040'!S190</f>
        <v>5</v>
      </c>
      <c r="R192" s="57">
        <f t="shared" si="34"/>
        <v>535</v>
      </c>
      <c r="S192" s="62" t="e">
        <f>VLOOKUP(B192,'115+040'!$B$11:$AB$621,22,FALSE)</f>
        <v>#REF!</v>
      </c>
      <c r="T192" s="61" t="e">
        <f>VLOOKUP(B192,'115+040'!$B$12:$AB$621,6,FALSE)</f>
        <v>#REF!</v>
      </c>
      <c r="U192" s="60" t="e">
        <f t="shared" si="30"/>
        <v>#REF!</v>
      </c>
      <c r="V192" s="59" t="e">
        <f>VLOOKUP(B192,'115+040'!$B$12:$AB$621,15,FALSE)</f>
        <v>#REF!</v>
      </c>
      <c r="W192" s="58">
        <f>'[4]114+940'!S193</f>
        <v>0</v>
      </c>
      <c r="X192" s="57">
        <f t="shared" si="35"/>
        <v>216</v>
      </c>
      <c r="Y192" s="56" t="e">
        <f t="shared" si="36"/>
        <v>#REF!</v>
      </c>
      <c r="Z192" s="55" t="e">
        <f t="shared" si="37"/>
        <v>#REF!</v>
      </c>
      <c r="AA192" s="54" t="e">
        <f t="shared" si="38"/>
        <v>#REF!</v>
      </c>
      <c r="AB192" s="54" t="e">
        <f t="shared" si="39"/>
        <v>#REF!</v>
      </c>
    </row>
    <row r="193" spans="2:28">
      <c r="B193" s="96" t="e">
        <f>'115+040'!#REF!</f>
        <v>#REF!</v>
      </c>
      <c r="C193" s="66" t="e">
        <f t="shared" si="31"/>
        <v>#REF!</v>
      </c>
      <c r="D193" s="65" t="e">
        <f t="shared" si="32"/>
        <v>#REF!</v>
      </c>
      <c r="E193" s="64" t="e">
        <f>VLOOKUP(B193,'115+040'!B191:AB252,3,FALSE)</f>
        <v>#REF!</v>
      </c>
      <c r="F193" s="61" t="e">
        <f t="shared" si="27"/>
        <v>#REF!</v>
      </c>
      <c r="G193" s="63" t="e">
        <f>VLOOKUP(B193,'115+040'!$B$12:$AB$621,20,FALSE)</f>
        <v>#REF!</v>
      </c>
      <c r="H193" s="63" t="e">
        <f>VLOOKUP(B193,'115+040'!$B$12:$AB$621,4,FALSE)</f>
        <v>#REF!</v>
      </c>
      <c r="I193" s="60" t="e">
        <f t="shared" si="28"/>
        <v>#REF!</v>
      </c>
      <c r="J193" s="60" t="e">
        <f>VLOOKUP(B193,'115+040'!$B$12:$AB$621,13,FALSE)</f>
        <v>#REF!</v>
      </c>
      <c r="K193" s="58">
        <f>'115+040'!R191</f>
        <v>4</v>
      </c>
      <c r="L193" s="57">
        <f t="shared" si="33"/>
        <v>457</v>
      </c>
      <c r="M193" s="62" t="e">
        <f>VLOOKUP(B193,'115+040'!$B$11:$AB$621,21,FALSE)</f>
        <v>#REF!</v>
      </c>
      <c r="N193" s="61" t="e">
        <f>VLOOKUP(B193,'115+040'!$B$12:$AB$621,5,FALSE)</f>
        <v>#REF!</v>
      </c>
      <c r="O193" s="60" t="e">
        <f t="shared" si="29"/>
        <v>#REF!</v>
      </c>
      <c r="P193" s="60" t="e">
        <f>VLOOKUP(B193,'115+040'!$B$12:$AB$621,14,FALSE)</f>
        <v>#REF!</v>
      </c>
      <c r="Q193" s="58">
        <f>'115+040'!S191</f>
        <v>5</v>
      </c>
      <c r="R193" s="57">
        <f t="shared" si="34"/>
        <v>540</v>
      </c>
      <c r="S193" s="62" t="e">
        <f>VLOOKUP(B193,'115+040'!$B$11:$AB$621,22,FALSE)</f>
        <v>#REF!</v>
      </c>
      <c r="T193" s="61" t="e">
        <f>VLOOKUP(B193,'115+040'!$B$12:$AB$621,6,FALSE)</f>
        <v>#REF!</v>
      </c>
      <c r="U193" s="60" t="e">
        <f t="shared" si="30"/>
        <v>#REF!</v>
      </c>
      <c r="V193" s="59" t="e">
        <f>VLOOKUP(B193,'115+040'!$B$12:$AB$621,15,FALSE)</f>
        <v>#REF!</v>
      </c>
      <c r="W193" s="58">
        <f>'[4]114+940'!S194</f>
        <v>0</v>
      </c>
      <c r="X193" s="57">
        <f t="shared" si="35"/>
        <v>216</v>
      </c>
      <c r="Y193" s="56" t="e">
        <f t="shared" si="36"/>
        <v>#REF!</v>
      </c>
      <c r="Z193" s="55" t="e">
        <f t="shared" si="37"/>
        <v>#REF!</v>
      </c>
      <c r="AA193" s="54" t="e">
        <f t="shared" si="38"/>
        <v>#REF!</v>
      </c>
      <c r="AB193" s="54" t="e">
        <f t="shared" si="39"/>
        <v>#REF!</v>
      </c>
    </row>
    <row r="194" spans="2:28">
      <c r="B194" s="96" t="e">
        <f>'115+040'!#REF!</f>
        <v>#REF!</v>
      </c>
      <c r="C194" s="66" t="e">
        <f t="shared" si="31"/>
        <v>#REF!</v>
      </c>
      <c r="D194" s="65" t="e">
        <f t="shared" si="32"/>
        <v>#REF!</v>
      </c>
      <c r="E194" s="64" t="e">
        <f>VLOOKUP(B194,'115+040'!B192:AB252,3,FALSE)</f>
        <v>#REF!</v>
      </c>
      <c r="F194" s="61" t="e">
        <f t="shared" si="27"/>
        <v>#REF!</v>
      </c>
      <c r="G194" s="63" t="e">
        <f>VLOOKUP(B194,'115+040'!$B$12:$AB$621,20,FALSE)</f>
        <v>#REF!</v>
      </c>
      <c r="H194" s="63" t="e">
        <f>VLOOKUP(B194,'115+040'!$B$12:$AB$621,4,FALSE)</f>
        <v>#REF!</v>
      </c>
      <c r="I194" s="60" t="e">
        <f t="shared" si="28"/>
        <v>#REF!</v>
      </c>
      <c r="J194" s="60" t="e">
        <f>VLOOKUP(B194,'115+040'!$B$12:$AB$621,13,FALSE)</f>
        <v>#REF!</v>
      </c>
      <c r="K194" s="58">
        <f>'115+040'!R192</f>
        <v>4</v>
      </c>
      <c r="L194" s="57">
        <f t="shared" si="33"/>
        <v>461</v>
      </c>
      <c r="M194" s="62" t="e">
        <f>VLOOKUP(B194,'115+040'!$B$11:$AB$621,21,FALSE)</f>
        <v>#REF!</v>
      </c>
      <c r="N194" s="61" t="e">
        <f>VLOOKUP(B194,'115+040'!$B$12:$AB$621,5,FALSE)</f>
        <v>#REF!</v>
      </c>
      <c r="O194" s="60" t="e">
        <f t="shared" si="29"/>
        <v>#REF!</v>
      </c>
      <c r="P194" s="60" t="e">
        <f>VLOOKUP(B194,'115+040'!$B$12:$AB$621,14,FALSE)</f>
        <v>#REF!</v>
      </c>
      <c r="Q194" s="58">
        <f>'115+040'!S192</f>
        <v>5</v>
      </c>
      <c r="R194" s="57">
        <f t="shared" si="34"/>
        <v>545</v>
      </c>
      <c r="S194" s="62" t="e">
        <f>VLOOKUP(B194,'115+040'!$B$11:$AB$621,22,FALSE)</f>
        <v>#REF!</v>
      </c>
      <c r="T194" s="61" t="e">
        <f>VLOOKUP(B194,'115+040'!$B$12:$AB$621,6,FALSE)</f>
        <v>#REF!</v>
      </c>
      <c r="U194" s="60" t="e">
        <f t="shared" si="30"/>
        <v>#REF!</v>
      </c>
      <c r="V194" s="59" t="e">
        <f>VLOOKUP(B194,'115+040'!$B$12:$AB$621,15,FALSE)</f>
        <v>#REF!</v>
      </c>
      <c r="W194" s="58">
        <f>'[4]114+940'!S195</f>
        <v>0</v>
      </c>
      <c r="X194" s="57">
        <f t="shared" si="35"/>
        <v>216</v>
      </c>
      <c r="Y194" s="56" t="e">
        <f t="shared" si="36"/>
        <v>#REF!</v>
      </c>
      <c r="Z194" s="55" t="e">
        <f t="shared" si="37"/>
        <v>#REF!</v>
      </c>
      <c r="AA194" s="54" t="e">
        <f t="shared" si="38"/>
        <v>#REF!</v>
      </c>
      <c r="AB194" s="54" t="e">
        <f t="shared" si="39"/>
        <v>#REF!</v>
      </c>
    </row>
    <row r="195" spans="2:28">
      <c r="B195" s="96" t="e">
        <f>'115+040'!#REF!</f>
        <v>#REF!</v>
      </c>
      <c r="C195" s="66" t="e">
        <f t="shared" si="31"/>
        <v>#REF!</v>
      </c>
      <c r="D195" s="65" t="e">
        <f t="shared" si="32"/>
        <v>#REF!</v>
      </c>
      <c r="E195" s="64" t="e">
        <f>VLOOKUP(B195,'115+040'!B193:AB252,3,FALSE)</f>
        <v>#REF!</v>
      </c>
      <c r="F195" s="61" t="e">
        <f t="shared" si="27"/>
        <v>#REF!</v>
      </c>
      <c r="G195" s="63" t="e">
        <f>VLOOKUP(B195,'115+040'!$B$12:$AB$621,20,FALSE)</f>
        <v>#REF!</v>
      </c>
      <c r="H195" s="63" t="e">
        <f>VLOOKUP(B195,'115+040'!$B$12:$AB$621,4,FALSE)</f>
        <v>#REF!</v>
      </c>
      <c r="I195" s="60" t="e">
        <f t="shared" si="28"/>
        <v>#REF!</v>
      </c>
      <c r="J195" s="60" t="e">
        <f>VLOOKUP(B195,'115+040'!$B$12:$AB$621,13,FALSE)</f>
        <v>#REF!</v>
      </c>
      <c r="K195" s="58">
        <f>'115+040'!R193</f>
        <v>4</v>
      </c>
      <c r="L195" s="57">
        <f t="shared" si="33"/>
        <v>465</v>
      </c>
      <c r="M195" s="62" t="e">
        <f>VLOOKUP(B195,'115+040'!$B$11:$AB$621,21,FALSE)</f>
        <v>#REF!</v>
      </c>
      <c r="N195" s="61" t="e">
        <f>VLOOKUP(B195,'115+040'!$B$12:$AB$621,5,FALSE)</f>
        <v>#REF!</v>
      </c>
      <c r="O195" s="60" t="e">
        <f t="shared" si="29"/>
        <v>#REF!</v>
      </c>
      <c r="P195" s="60" t="e">
        <f>VLOOKUP(B195,'115+040'!$B$12:$AB$621,14,FALSE)</f>
        <v>#REF!</v>
      </c>
      <c r="Q195" s="58">
        <f>'115+040'!S193</f>
        <v>5</v>
      </c>
      <c r="R195" s="57">
        <f t="shared" si="34"/>
        <v>550</v>
      </c>
      <c r="S195" s="62" t="e">
        <f>VLOOKUP(B195,'115+040'!$B$11:$AB$621,22,FALSE)</f>
        <v>#REF!</v>
      </c>
      <c r="T195" s="61" t="e">
        <f>VLOOKUP(B195,'115+040'!$B$12:$AB$621,6,FALSE)</f>
        <v>#REF!</v>
      </c>
      <c r="U195" s="60" t="e">
        <f t="shared" si="30"/>
        <v>#REF!</v>
      </c>
      <c r="V195" s="59" t="e">
        <f>VLOOKUP(B195,'115+040'!$B$12:$AB$621,15,FALSE)</f>
        <v>#REF!</v>
      </c>
      <c r="W195" s="58">
        <f>'[4]114+940'!S196</f>
        <v>0</v>
      </c>
      <c r="X195" s="57">
        <f t="shared" si="35"/>
        <v>216</v>
      </c>
      <c r="Y195" s="56" t="e">
        <f t="shared" si="36"/>
        <v>#REF!</v>
      </c>
      <c r="Z195" s="55" t="e">
        <f t="shared" si="37"/>
        <v>#REF!</v>
      </c>
      <c r="AA195" s="54" t="e">
        <f t="shared" si="38"/>
        <v>#REF!</v>
      </c>
      <c r="AB195" s="54" t="e">
        <f t="shared" si="39"/>
        <v>#REF!</v>
      </c>
    </row>
    <row r="196" spans="2:28">
      <c r="B196" s="96" t="e">
        <f>'115+040'!#REF!</f>
        <v>#REF!</v>
      </c>
      <c r="C196" s="66" t="e">
        <f t="shared" si="31"/>
        <v>#REF!</v>
      </c>
      <c r="D196" s="65" t="e">
        <f t="shared" si="32"/>
        <v>#REF!</v>
      </c>
      <c r="E196" s="64" t="e">
        <f>VLOOKUP(B196,'115+040'!B194:AB252,3,FALSE)</f>
        <v>#REF!</v>
      </c>
      <c r="F196" s="61" t="e">
        <f t="shared" si="27"/>
        <v>#REF!</v>
      </c>
      <c r="G196" s="63" t="e">
        <f>VLOOKUP(B196,'115+040'!$B$12:$AB$621,20,FALSE)</f>
        <v>#REF!</v>
      </c>
      <c r="H196" s="63" t="e">
        <f>VLOOKUP(B196,'115+040'!$B$12:$AB$621,4,FALSE)</f>
        <v>#REF!</v>
      </c>
      <c r="I196" s="60" t="e">
        <f t="shared" si="28"/>
        <v>#REF!</v>
      </c>
      <c r="J196" s="60" t="e">
        <f>VLOOKUP(B196,'115+040'!$B$12:$AB$621,13,FALSE)</f>
        <v>#REF!</v>
      </c>
      <c r="K196" s="58">
        <f>'115+040'!R194</f>
        <v>4</v>
      </c>
      <c r="L196" s="57">
        <f t="shared" si="33"/>
        <v>469</v>
      </c>
      <c r="M196" s="62" t="e">
        <f>VLOOKUP(B196,'115+040'!$B$11:$AB$621,21,FALSE)</f>
        <v>#REF!</v>
      </c>
      <c r="N196" s="61" t="e">
        <f>VLOOKUP(B196,'115+040'!$B$12:$AB$621,5,FALSE)</f>
        <v>#REF!</v>
      </c>
      <c r="O196" s="60" t="e">
        <f t="shared" si="29"/>
        <v>#REF!</v>
      </c>
      <c r="P196" s="60" t="e">
        <f>VLOOKUP(B196,'115+040'!$B$12:$AB$621,14,FALSE)</f>
        <v>#REF!</v>
      </c>
      <c r="Q196" s="58">
        <f>'115+040'!S194</f>
        <v>5</v>
      </c>
      <c r="R196" s="57">
        <f t="shared" si="34"/>
        <v>555</v>
      </c>
      <c r="S196" s="62" t="e">
        <f>VLOOKUP(B196,'115+040'!$B$11:$AB$621,22,FALSE)</f>
        <v>#REF!</v>
      </c>
      <c r="T196" s="61" t="e">
        <f>VLOOKUP(B196,'115+040'!$B$12:$AB$621,6,FALSE)</f>
        <v>#REF!</v>
      </c>
      <c r="U196" s="60" t="e">
        <f t="shared" si="30"/>
        <v>#REF!</v>
      </c>
      <c r="V196" s="59" t="e">
        <f>VLOOKUP(B196,'115+040'!$B$12:$AB$621,15,FALSE)</f>
        <v>#REF!</v>
      </c>
      <c r="W196" s="58">
        <f>'[4]114+940'!S197</f>
        <v>0</v>
      </c>
      <c r="X196" s="57">
        <f t="shared" si="35"/>
        <v>216</v>
      </c>
      <c r="Y196" s="56" t="e">
        <f t="shared" si="36"/>
        <v>#REF!</v>
      </c>
      <c r="Z196" s="55" t="e">
        <f t="shared" si="37"/>
        <v>#REF!</v>
      </c>
      <c r="AA196" s="54" t="e">
        <f t="shared" si="38"/>
        <v>#REF!</v>
      </c>
      <c r="AB196" s="54" t="e">
        <f t="shared" si="39"/>
        <v>#REF!</v>
      </c>
    </row>
    <row r="197" spans="2:28">
      <c r="B197" s="96" t="e">
        <f>'115+040'!#REF!</f>
        <v>#REF!</v>
      </c>
      <c r="C197" s="66" t="e">
        <f t="shared" si="31"/>
        <v>#REF!</v>
      </c>
      <c r="D197" s="65" t="e">
        <f t="shared" si="32"/>
        <v>#REF!</v>
      </c>
      <c r="E197" s="64" t="e">
        <f>VLOOKUP(B197,'115+040'!B195:AB252,3,FALSE)</f>
        <v>#REF!</v>
      </c>
      <c r="F197" s="61" t="e">
        <f t="shared" si="27"/>
        <v>#REF!</v>
      </c>
      <c r="G197" s="63" t="e">
        <f>VLOOKUP(B197,'115+040'!$B$12:$AB$621,20,FALSE)</f>
        <v>#REF!</v>
      </c>
      <c r="H197" s="63" t="e">
        <f>VLOOKUP(B197,'115+040'!$B$12:$AB$621,4,FALSE)</f>
        <v>#REF!</v>
      </c>
      <c r="I197" s="60" t="e">
        <f t="shared" si="28"/>
        <v>#REF!</v>
      </c>
      <c r="J197" s="60" t="e">
        <f>VLOOKUP(B197,'115+040'!$B$12:$AB$621,13,FALSE)</f>
        <v>#REF!</v>
      </c>
      <c r="K197" s="58">
        <f>'115+040'!R195</f>
        <v>4</v>
      </c>
      <c r="L197" s="57">
        <f t="shared" si="33"/>
        <v>473</v>
      </c>
      <c r="M197" s="62" t="e">
        <f>VLOOKUP(B197,'115+040'!$B$11:$AB$621,21,FALSE)</f>
        <v>#REF!</v>
      </c>
      <c r="N197" s="61" t="e">
        <f>VLOOKUP(B197,'115+040'!$B$12:$AB$621,5,FALSE)</f>
        <v>#REF!</v>
      </c>
      <c r="O197" s="60" t="e">
        <f t="shared" si="29"/>
        <v>#REF!</v>
      </c>
      <c r="P197" s="60" t="e">
        <f>VLOOKUP(B197,'115+040'!$B$12:$AB$621,14,FALSE)</f>
        <v>#REF!</v>
      </c>
      <c r="Q197" s="58">
        <f>'115+040'!S195</f>
        <v>5</v>
      </c>
      <c r="R197" s="57">
        <f t="shared" si="34"/>
        <v>560</v>
      </c>
      <c r="S197" s="62" t="e">
        <f>VLOOKUP(B197,'115+040'!$B$11:$AB$621,22,FALSE)</f>
        <v>#REF!</v>
      </c>
      <c r="T197" s="61" t="e">
        <f>VLOOKUP(B197,'115+040'!$B$12:$AB$621,6,FALSE)</f>
        <v>#REF!</v>
      </c>
      <c r="U197" s="60" t="e">
        <f t="shared" si="30"/>
        <v>#REF!</v>
      </c>
      <c r="V197" s="59" t="e">
        <f>VLOOKUP(B197,'115+040'!$B$12:$AB$621,15,FALSE)</f>
        <v>#REF!</v>
      </c>
      <c r="W197" s="58">
        <f>'[4]114+940'!S198</f>
        <v>0</v>
      </c>
      <c r="X197" s="57">
        <f t="shared" si="35"/>
        <v>216</v>
      </c>
      <c r="Y197" s="56" t="e">
        <f t="shared" si="36"/>
        <v>#REF!</v>
      </c>
      <c r="Z197" s="55" t="e">
        <f t="shared" si="37"/>
        <v>#REF!</v>
      </c>
      <c r="AA197" s="54" t="e">
        <f t="shared" si="38"/>
        <v>#REF!</v>
      </c>
      <c r="AB197" s="54" t="e">
        <f t="shared" si="39"/>
        <v>#REF!</v>
      </c>
    </row>
    <row r="198" spans="2:28">
      <c r="B198" s="96" t="e">
        <f>'115+040'!#REF!</f>
        <v>#REF!</v>
      </c>
      <c r="C198" s="66" t="e">
        <f t="shared" si="31"/>
        <v>#REF!</v>
      </c>
      <c r="D198" s="65" t="e">
        <f t="shared" si="32"/>
        <v>#REF!</v>
      </c>
      <c r="E198" s="64" t="e">
        <f>VLOOKUP(B198,'115+040'!B196:AB252,3,FALSE)</f>
        <v>#REF!</v>
      </c>
      <c r="F198" s="61" t="e">
        <f t="shared" si="27"/>
        <v>#REF!</v>
      </c>
      <c r="G198" s="63" t="e">
        <f>VLOOKUP(B198,'115+040'!$B$12:$AB$621,20,FALSE)</f>
        <v>#REF!</v>
      </c>
      <c r="H198" s="63" t="e">
        <f>VLOOKUP(B198,'115+040'!$B$12:$AB$621,4,FALSE)</f>
        <v>#REF!</v>
      </c>
      <c r="I198" s="60" t="e">
        <f t="shared" si="28"/>
        <v>#REF!</v>
      </c>
      <c r="J198" s="60" t="e">
        <f>VLOOKUP(B198,'115+040'!$B$12:$AB$621,13,FALSE)</f>
        <v>#REF!</v>
      </c>
      <c r="K198" s="58">
        <f>'115+040'!R196</f>
        <v>4</v>
      </c>
      <c r="L198" s="57">
        <f t="shared" si="33"/>
        <v>477</v>
      </c>
      <c r="M198" s="62" t="e">
        <f>VLOOKUP(B198,'115+040'!$B$11:$AB$621,21,FALSE)</f>
        <v>#REF!</v>
      </c>
      <c r="N198" s="61" t="e">
        <f>VLOOKUP(B198,'115+040'!$B$12:$AB$621,5,FALSE)</f>
        <v>#REF!</v>
      </c>
      <c r="O198" s="60" t="e">
        <f t="shared" si="29"/>
        <v>#REF!</v>
      </c>
      <c r="P198" s="60" t="e">
        <f>VLOOKUP(B198,'115+040'!$B$12:$AB$621,14,FALSE)</f>
        <v>#REF!</v>
      </c>
      <c r="Q198" s="58">
        <f>'115+040'!S196</f>
        <v>5</v>
      </c>
      <c r="R198" s="57">
        <f t="shared" si="34"/>
        <v>565</v>
      </c>
      <c r="S198" s="62" t="e">
        <f>VLOOKUP(B198,'115+040'!$B$11:$AB$621,22,FALSE)</f>
        <v>#REF!</v>
      </c>
      <c r="T198" s="61" t="e">
        <f>VLOOKUP(B198,'115+040'!$B$12:$AB$621,6,FALSE)</f>
        <v>#REF!</v>
      </c>
      <c r="U198" s="60" t="e">
        <f t="shared" si="30"/>
        <v>#REF!</v>
      </c>
      <c r="V198" s="59" t="e">
        <f>VLOOKUP(B198,'115+040'!$B$12:$AB$621,15,FALSE)</f>
        <v>#REF!</v>
      </c>
      <c r="W198" s="58">
        <f>'[4]114+940'!S199</f>
        <v>0</v>
      </c>
      <c r="X198" s="57">
        <f t="shared" si="35"/>
        <v>216</v>
      </c>
      <c r="Y198" s="56" t="e">
        <f t="shared" si="36"/>
        <v>#REF!</v>
      </c>
      <c r="Z198" s="55" t="e">
        <f t="shared" si="37"/>
        <v>#REF!</v>
      </c>
      <c r="AA198" s="54" t="e">
        <f t="shared" si="38"/>
        <v>#REF!</v>
      </c>
      <c r="AB198" s="54" t="e">
        <f t="shared" si="39"/>
        <v>#REF!</v>
      </c>
    </row>
    <row r="199" spans="2:28">
      <c r="B199" s="96" t="e">
        <f>'115+040'!#REF!</f>
        <v>#REF!</v>
      </c>
      <c r="C199" s="66" t="e">
        <f t="shared" si="31"/>
        <v>#REF!</v>
      </c>
      <c r="D199" s="65" t="e">
        <f t="shared" si="32"/>
        <v>#REF!</v>
      </c>
      <c r="E199" s="64" t="e">
        <f>VLOOKUP(B199,'115+040'!B197:AB252,3,FALSE)</f>
        <v>#REF!</v>
      </c>
      <c r="F199" s="61" t="e">
        <f t="shared" si="27"/>
        <v>#REF!</v>
      </c>
      <c r="G199" s="63" t="e">
        <f>VLOOKUP(B199,'115+040'!$B$12:$AB$621,20,FALSE)</f>
        <v>#REF!</v>
      </c>
      <c r="H199" s="63" t="e">
        <f>VLOOKUP(B199,'115+040'!$B$12:$AB$621,4,FALSE)</f>
        <v>#REF!</v>
      </c>
      <c r="I199" s="60" t="e">
        <f t="shared" si="28"/>
        <v>#REF!</v>
      </c>
      <c r="J199" s="60" t="e">
        <f>VLOOKUP(B199,'115+040'!$B$12:$AB$621,13,FALSE)</f>
        <v>#REF!</v>
      </c>
      <c r="K199" s="58">
        <f>'115+040'!R197</f>
        <v>4</v>
      </c>
      <c r="L199" s="57">
        <f t="shared" si="33"/>
        <v>481</v>
      </c>
      <c r="M199" s="62" t="e">
        <f>VLOOKUP(B199,'115+040'!$B$11:$AB$621,21,FALSE)</f>
        <v>#REF!</v>
      </c>
      <c r="N199" s="61" t="e">
        <f>VLOOKUP(B199,'115+040'!$B$12:$AB$621,5,FALSE)</f>
        <v>#REF!</v>
      </c>
      <c r="O199" s="60" t="e">
        <f t="shared" si="29"/>
        <v>#REF!</v>
      </c>
      <c r="P199" s="60" t="e">
        <f>VLOOKUP(B199,'115+040'!$B$12:$AB$621,14,FALSE)</f>
        <v>#REF!</v>
      </c>
      <c r="Q199" s="58">
        <f>'115+040'!S197</f>
        <v>5</v>
      </c>
      <c r="R199" s="57">
        <f t="shared" si="34"/>
        <v>570</v>
      </c>
      <c r="S199" s="62" t="e">
        <f>VLOOKUP(B199,'115+040'!$B$11:$AB$621,22,FALSE)</f>
        <v>#REF!</v>
      </c>
      <c r="T199" s="61" t="e">
        <f>VLOOKUP(B199,'115+040'!$B$12:$AB$621,6,FALSE)</f>
        <v>#REF!</v>
      </c>
      <c r="U199" s="60" t="e">
        <f t="shared" si="30"/>
        <v>#REF!</v>
      </c>
      <c r="V199" s="59" t="e">
        <f>VLOOKUP(B199,'115+040'!$B$12:$AB$621,15,FALSE)</f>
        <v>#REF!</v>
      </c>
      <c r="W199" s="58">
        <f>'[4]114+940'!S200</f>
        <v>0</v>
      </c>
      <c r="X199" s="57">
        <f t="shared" si="35"/>
        <v>216</v>
      </c>
      <c r="Y199" s="56" t="e">
        <f t="shared" si="36"/>
        <v>#REF!</v>
      </c>
      <c r="Z199" s="55" t="e">
        <f t="shared" si="37"/>
        <v>#REF!</v>
      </c>
      <c r="AA199" s="54" t="e">
        <f t="shared" si="38"/>
        <v>#REF!</v>
      </c>
      <c r="AB199" s="54" t="e">
        <f t="shared" si="39"/>
        <v>#REF!</v>
      </c>
    </row>
    <row r="200" spans="2:28">
      <c r="B200" s="96" t="e">
        <f>'115+040'!#REF!</f>
        <v>#REF!</v>
      </c>
      <c r="C200" s="66" t="e">
        <f t="shared" si="31"/>
        <v>#REF!</v>
      </c>
      <c r="D200" s="65" t="e">
        <f t="shared" si="32"/>
        <v>#REF!</v>
      </c>
      <c r="E200" s="64" t="e">
        <f>VLOOKUP(B200,'115+040'!B198:AB252,3,FALSE)</f>
        <v>#REF!</v>
      </c>
      <c r="F200" s="61" t="e">
        <f t="shared" si="27"/>
        <v>#REF!</v>
      </c>
      <c r="G200" s="63" t="e">
        <f>VLOOKUP(B200,'115+040'!$B$12:$AB$621,20,FALSE)</f>
        <v>#REF!</v>
      </c>
      <c r="H200" s="63" t="e">
        <f>VLOOKUP(B200,'115+040'!$B$12:$AB$621,4,FALSE)</f>
        <v>#REF!</v>
      </c>
      <c r="I200" s="60" t="e">
        <f t="shared" si="28"/>
        <v>#REF!</v>
      </c>
      <c r="J200" s="60" t="e">
        <f>VLOOKUP(B200,'115+040'!$B$12:$AB$621,13,FALSE)</f>
        <v>#REF!</v>
      </c>
      <c r="K200" s="58">
        <f>'115+040'!R198</f>
        <v>4</v>
      </c>
      <c r="L200" s="57">
        <f t="shared" si="33"/>
        <v>485</v>
      </c>
      <c r="M200" s="62" t="e">
        <f>VLOOKUP(B200,'115+040'!$B$11:$AB$621,21,FALSE)</f>
        <v>#REF!</v>
      </c>
      <c r="N200" s="61" t="e">
        <f>VLOOKUP(B200,'115+040'!$B$12:$AB$621,5,FALSE)</f>
        <v>#REF!</v>
      </c>
      <c r="O200" s="60" t="e">
        <f t="shared" si="29"/>
        <v>#REF!</v>
      </c>
      <c r="P200" s="60" t="e">
        <f>VLOOKUP(B200,'115+040'!$B$12:$AB$621,14,FALSE)</f>
        <v>#REF!</v>
      </c>
      <c r="Q200" s="58">
        <f>'115+040'!S198</f>
        <v>5</v>
      </c>
      <c r="R200" s="57">
        <f t="shared" si="34"/>
        <v>575</v>
      </c>
      <c r="S200" s="62" t="e">
        <f>VLOOKUP(B200,'115+040'!$B$11:$AB$621,22,FALSE)</f>
        <v>#REF!</v>
      </c>
      <c r="T200" s="61" t="e">
        <f>VLOOKUP(B200,'115+040'!$B$12:$AB$621,6,FALSE)</f>
        <v>#REF!</v>
      </c>
      <c r="U200" s="60" t="e">
        <f t="shared" si="30"/>
        <v>#REF!</v>
      </c>
      <c r="V200" s="59" t="e">
        <f>VLOOKUP(B200,'115+040'!$B$12:$AB$621,15,FALSE)</f>
        <v>#REF!</v>
      </c>
      <c r="W200" s="58">
        <f>'[4]114+940'!S201</f>
        <v>0</v>
      </c>
      <c r="X200" s="57">
        <f t="shared" si="35"/>
        <v>216</v>
      </c>
      <c r="Y200" s="56" t="e">
        <f t="shared" si="36"/>
        <v>#REF!</v>
      </c>
      <c r="Z200" s="55" t="e">
        <f t="shared" si="37"/>
        <v>#REF!</v>
      </c>
      <c r="AA200" s="54" t="e">
        <f t="shared" si="38"/>
        <v>#REF!</v>
      </c>
      <c r="AB200" s="54" t="e">
        <f t="shared" si="39"/>
        <v>#REF!</v>
      </c>
    </row>
    <row r="201" spans="2:28">
      <c r="B201" s="96" t="e">
        <f>'115+040'!#REF!</f>
        <v>#REF!</v>
      </c>
      <c r="C201" s="66" t="e">
        <f t="shared" si="31"/>
        <v>#REF!</v>
      </c>
      <c r="D201" s="65" t="e">
        <f t="shared" si="32"/>
        <v>#REF!</v>
      </c>
      <c r="E201" s="64" t="e">
        <f>VLOOKUP(B201,'115+040'!B199:AB252,3,FALSE)</f>
        <v>#REF!</v>
      </c>
      <c r="F201" s="61" t="e">
        <f t="shared" si="27"/>
        <v>#REF!</v>
      </c>
      <c r="G201" s="63" t="e">
        <f>VLOOKUP(B201,'115+040'!$B$12:$AB$621,20,FALSE)</f>
        <v>#REF!</v>
      </c>
      <c r="H201" s="63" t="e">
        <f>VLOOKUP(B201,'115+040'!$B$12:$AB$621,4,FALSE)</f>
        <v>#REF!</v>
      </c>
      <c r="I201" s="60" t="e">
        <f t="shared" si="28"/>
        <v>#REF!</v>
      </c>
      <c r="J201" s="60" t="e">
        <f>VLOOKUP(B201,'115+040'!$B$12:$AB$621,13,FALSE)</f>
        <v>#REF!</v>
      </c>
      <c r="K201" s="58">
        <f>'115+040'!R199</f>
        <v>4</v>
      </c>
      <c r="L201" s="57">
        <f t="shared" si="33"/>
        <v>489</v>
      </c>
      <c r="M201" s="62" t="e">
        <f>VLOOKUP(B201,'115+040'!$B$11:$AB$621,21,FALSE)</f>
        <v>#REF!</v>
      </c>
      <c r="N201" s="61" t="e">
        <f>VLOOKUP(B201,'115+040'!$B$12:$AB$621,5,FALSE)</f>
        <v>#REF!</v>
      </c>
      <c r="O201" s="60" t="e">
        <f t="shared" si="29"/>
        <v>#REF!</v>
      </c>
      <c r="P201" s="60" t="e">
        <f>VLOOKUP(B201,'115+040'!$B$12:$AB$621,14,FALSE)</f>
        <v>#REF!</v>
      </c>
      <c r="Q201" s="58">
        <f>'115+040'!S199</f>
        <v>5</v>
      </c>
      <c r="R201" s="57">
        <f t="shared" si="34"/>
        <v>580</v>
      </c>
      <c r="S201" s="62" t="e">
        <f>VLOOKUP(B201,'115+040'!$B$11:$AB$621,22,FALSE)</f>
        <v>#REF!</v>
      </c>
      <c r="T201" s="61" t="e">
        <f>VLOOKUP(B201,'115+040'!$B$12:$AB$621,6,FALSE)</f>
        <v>#REF!</v>
      </c>
      <c r="U201" s="60" t="e">
        <f t="shared" si="30"/>
        <v>#REF!</v>
      </c>
      <c r="V201" s="59" t="e">
        <f>VLOOKUP(B201,'115+040'!$B$12:$AB$621,15,FALSE)</f>
        <v>#REF!</v>
      </c>
      <c r="W201" s="58">
        <f>'[4]114+940'!S202</f>
        <v>0</v>
      </c>
      <c r="X201" s="57">
        <f t="shared" si="35"/>
        <v>216</v>
      </c>
      <c r="Y201" s="56" t="e">
        <f t="shared" si="36"/>
        <v>#REF!</v>
      </c>
      <c r="Z201" s="55" t="e">
        <f t="shared" si="37"/>
        <v>#REF!</v>
      </c>
      <c r="AA201" s="54" t="e">
        <f t="shared" si="38"/>
        <v>#REF!</v>
      </c>
      <c r="AB201" s="54" t="e">
        <f t="shared" si="39"/>
        <v>#REF!</v>
      </c>
    </row>
    <row r="202" spans="2:28">
      <c r="B202" s="96" t="e">
        <f>'115+040'!#REF!</f>
        <v>#REF!</v>
      </c>
      <c r="C202" s="66" t="e">
        <f t="shared" si="31"/>
        <v>#REF!</v>
      </c>
      <c r="D202" s="65" t="e">
        <f t="shared" si="32"/>
        <v>#REF!</v>
      </c>
      <c r="E202" s="64" t="e">
        <f>VLOOKUP(B202,'115+040'!B200:AB252,3,FALSE)</f>
        <v>#REF!</v>
      </c>
      <c r="F202" s="61" t="e">
        <f t="shared" si="27"/>
        <v>#REF!</v>
      </c>
      <c r="G202" s="63" t="e">
        <f>VLOOKUP(B202,'115+040'!$B$12:$AB$621,20,FALSE)</f>
        <v>#REF!</v>
      </c>
      <c r="H202" s="63" t="e">
        <f>VLOOKUP(B202,'115+040'!$B$12:$AB$621,4,FALSE)</f>
        <v>#REF!</v>
      </c>
      <c r="I202" s="60" t="e">
        <f t="shared" si="28"/>
        <v>#REF!</v>
      </c>
      <c r="J202" s="60" t="e">
        <f>VLOOKUP(B202,'115+040'!$B$12:$AB$621,13,FALSE)</f>
        <v>#REF!</v>
      </c>
      <c r="K202" s="58">
        <f>'115+040'!R200</f>
        <v>4</v>
      </c>
      <c r="L202" s="57">
        <f t="shared" si="33"/>
        <v>493</v>
      </c>
      <c r="M202" s="62" t="e">
        <f>VLOOKUP(B202,'115+040'!$B$11:$AB$621,21,FALSE)</f>
        <v>#REF!</v>
      </c>
      <c r="N202" s="61" t="e">
        <f>VLOOKUP(B202,'115+040'!$B$12:$AB$621,5,FALSE)</f>
        <v>#REF!</v>
      </c>
      <c r="O202" s="60" t="e">
        <f t="shared" si="29"/>
        <v>#REF!</v>
      </c>
      <c r="P202" s="60" t="e">
        <f>VLOOKUP(B202,'115+040'!$B$12:$AB$621,14,FALSE)</f>
        <v>#REF!</v>
      </c>
      <c r="Q202" s="58">
        <f>'115+040'!S200</f>
        <v>5</v>
      </c>
      <c r="R202" s="57">
        <f t="shared" si="34"/>
        <v>585</v>
      </c>
      <c r="S202" s="62" t="e">
        <f>VLOOKUP(B202,'115+040'!$B$11:$AB$621,22,FALSE)</f>
        <v>#REF!</v>
      </c>
      <c r="T202" s="61" t="e">
        <f>VLOOKUP(B202,'115+040'!$B$12:$AB$621,6,FALSE)</f>
        <v>#REF!</v>
      </c>
      <c r="U202" s="60" t="e">
        <f t="shared" si="30"/>
        <v>#REF!</v>
      </c>
      <c r="V202" s="59" t="e">
        <f>VLOOKUP(B202,'115+040'!$B$12:$AB$621,15,FALSE)</f>
        <v>#REF!</v>
      </c>
      <c r="W202" s="58">
        <f>'[4]114+940'!S203</f>
        <v>0</v>
      </c>
      <c r="X202" s="57">
        <f t="shared" si="35"/>
        <v>216</v>
      </c>
      <c r="Y202" s="56" t="e">
        <f t="shared" si="36"/>
        <v>#REF!</v>
      </c>
      <c r="Z202" s="55" t="e">
        <f t="shared" si="37"/>
        <v>#REF!</v>
      </c>
      <c r="AA202" s="54" t="e">
        <f t="shared" si="38"/>
        <v>#REF!</v>
      </c>
      <c r="AB202" s="54" t="e">
        <f t="shared" si="39"/>
        <v>#REF!</v>
      </c>
    </row>
    <row r="203" spans="2:28">
      <c r="B203" s="96" t="e">
        <f>'115+040'!#REF!</f>
        <v>#REF!</v>
      </c>
      <c r="C203" s="66" t="e">
        <f t="shared" si="31"/>
        <v>#REF!</v>
      </c>
      <c r="D203" s="65" t="e">
        <f t="shared" si="32"/>
        <v>#REF!</v>
      </c>
      <c r="E203" s="64" t="e">
        <f>VLOOKUP(B203,'115+040'!B201:AB252,3,FALSE)</f>
        <v>#REF!</v>
      </c>
      <c r="F203" s="61" t="e">
        <f t="shared" si="27"/>
        <v>#REF!</v>
      </c>
      <c r="G203" s="63" t="e">
        <f>VLOOKUP(B203,'115+040'!$B$12:$AB$621,20,FALSE)</f>
        <v>#REF!</v>
      </c>
      <c r="H203" s="63" t="e">
        <f>VLOOKUP(B203,'115+040'!$B$12:$AB$621,4,FALSE)</f>
        <v>#REF!</v>
      </c>
      <c r="I203" s="60" t="e">
        <f t="shared" si="28"/>
        <v>#REF!</v>
      </c>
      <c r="J203" s="60" t="e">
        <f>VLOOKUP(B203,'115+040'!$B$12:$AB$621,13,FALSE)</f>
        <v>#REF!</v>
      </c>
      <c r="K203" s="58">
        <f>'115+040'!R201</f>
        <v>4</v>
      </c>
      <c r="L203" s="57">
        <f t="shared" si="33"/>
        <v>497</v>
      </c>
      <c r="M203" s="62" t="e">
        <f>VLOOKUP(B203,'115+040'!$B$11:$AB$621,21,FALSE)</f>
        <v>#REF!</v>
      </c>
      <c r="N203" s="61" t="e">
        <f>VLOOKUP(B203,'115+040'!$B$12:$AB$621,5,FALSE)</f>
        <v>#REF!</v>
      </c>
      <c r="O203" s="60" t="e">
        <f t="shared" si="29"/>
        <v>#REF!</v>
      </c>
      <c r="P203" s="60" t="e">
        <f>VLOOKUP(B203,'115+040'!$B$12:$AB$621,14,FALSE)</f>
        <v>#REF!</v>
      </c>
      <c r="Q203" s="58">
        <f>'115+040'!S201</f>
        <v>5</v>
      </c>
      <c r="R203" s="57">
        <f t="shared" si="34"/>
        <v>590</v>
      </c>
      <c r="S203" s="62" t="e">
        <f>VLOOKUP(B203,'115+040'!$B$11:$AB$621,22,FALSE)</f>
        <v>#REF!</v>
      </c>
      <c r="T203" s="61" t="e">
        <f>VLOOKUP(B203,'115+040'!$B$12:$AB$621,6,FALSE)</f>
        <v>#REF!</v>
      </c>
      <c r="U203" s="60" t="e">
        <f t="shared" si="30"/>
        <v>#REF!</v>
      </c>
      <c r="V203" s="59" t="e">
        <f>VLOOKUP(B203,'115+040'!$B$12:$AB$621,15,FALSE)</f>
        <v>#REF!</v>
      </c>
      <c r="W203" s="58">
        <f>'[4]114+940'!S204</f>
        <v>0</v>
      </c>
      <c r="X203" s="57">
        <f t="shared" si="35"/>
        <v>216</v>
      </c>
      <c r="Y203" s="56" t="e">
        <f t="shared" si="36"/>
        <v>#REF!</v>
      </c>
      <c r="Z203" s="55" t="e">
        <f t="shared" si="37"/>
        <v>#REF!</v>
      </c>
      <c r="AA203" s="54" t="e">
        <f t="shared" si="38"/>
        <v>#REF!</v>
      </c>
      <c r="AB203" s="54" t="e">
        <f t="shared" si="39"/>
        <v>#REF!</v>
      </c>
    </row>
    <row r="204" spans="2:28">
      <c r="B204" s="96" t="e">
        <f>'115+040'!#REF!</f>
        <v>#REF!</v>
      </c>
      <c r="C204" s="66" t="e">
        <f t="shared" si="31"/>
        <v>#REF!</v>
      </c>
      <c r="D204" s="65" t="e">
        <f t="shared" si="32"/>
        <v>#REF!</v>
      </c>
      <c r="E204" s="64" t="e">
        <f>VLOOKUP(B204,'115+040'!B202:AB252,3,FALSE)</f>
        <v>#REF!</v>
      </c>
      <c r="F204" s="61" t="e">
        <f t="shared" si="27"/>
        <v>#REF!</v>
      </c>
      <c r="G204" s="63" t="e">
        <f>VLOOKUP(B204,'115+040'!$B$12:$AB$621,20,FALSE)</f>
        <v>#REF!</v>
      </c>
      <c r="H204" s="63" t="e">
        <f>VLOOKUP(B204,'115+040'!$B$12:$AB$621,4,FALSE)</f>
        <v>#REF!</v>
      </c>
      <c r="I204" s="60" t="e">
        <f t="shared" si="28"/>
        <v>#REF!</v>
      </c>
      <c r="J204" s="60" t="e">
        <f>VLOOKUP(B204,'115+040'!$B$12:$AB$621,13,FALSE)</f>
        <v>#REF!</v>
      </c>
      <c r="K204" s="58">
        <f>'115+040'!R202</f>
        <v>4</v>
      </c>
      <c r="L204" s="57">
        <f t="shared" si="33"/>
        <v>501</v>
      </c>
      <c r="M204" s="62" t="e">
        <f>VLOOKUP(B204,'115+040'!$B$11:$AB$621,21,FALSE)</f>
        <v>#REF!</v>
      </c>
      <c r="N204" s="61" t="e">
        <f>VLOOKUP(B204,'115+040'!$B$12:$AB$621,5,FALSE)</f>
        <v>#REF!</v>
      </c>
      <c r="O204" s="60" t="e">
        <f t="shared" si="29"/>
        <v>#REF!</v>
      </c>
      <c r="P204" s="60" t="e">
        <f>VLOOKUP(B204,'115+040'!$B$12:$AB$621,14,FALSE)</f>
        <v>#REF!</v>
      </c>
      <c r="Q204" s="58">
        <f>'115+040'!S202</f>
        <v>5</v>
      </c>
      <c r="R204" s="57">
        <f t="shared" si="34"/>
        <v>595</v>
      </c>
      <c r="S204" s="62" t="e">
        <f>VLOOKUP(B204,'115+040'!$B$11:$AB$621,22,FALSE)</f>
        <v>#REF!</v>
      </c>
      <c r="T204" s="61" t="e">
        <f>VLOOKUP(B204,'115+040'!$B$12:$AB$621,6,FALSE)</f>
        <v>#REF!</v>
      </c>
      <c r="U204" s="60" t="e">
        <f t="shared" si="30"/>
        <v>#REF!</v>
      </c>
      <c r="V204" s="59" t="e">
        <f>VLOOKUP(B204,'115+040'!$B$12:$AB$621,15,FALSE)</f>
        <v>#REF!</v>
      </c>
      <c r="W204" s="58">
        <f>'[4]114+940'!S205</f>
        <v>0</v>
      </c>
      <c r="X204" s="57">
        <f t="shared" si="35"/>
        <v>216</v>
      </c>
      <c r="Y204" s="56" t="e">
        <f t="shared" si="36"/>
        <v>#REF!</v>
      </c>
      <c r="Z204" s="55" t="e">
        <f t="shared" si="37"/>
        <v>#REF!</v>
      </c>
      <c r="AA204" s="54" t="e">
        <f t="shared" si="38"/>
        <v>#REF!</v>
      </c>
      <c r="AB204" s="54" t="e">
        <f t="shared" si="39"/>
        <v>#REF!</v>
      </c>
    </row>
    <row r="205" spans="2:28">
      <c r="B205" s="96" t="e">
        <f>'115+040'!#REF!</f>
        <v>#REF!</v>
      </c>
      <c r="C205" s="66" t="e">
        <f t="shared" si="31"/>
        <v>#REF!</v>
      </c>
      <c r="D205" s="65" t="e">
        <f t="shared" si="32"/>
        <v>#REF!</v>
      </c>
      <c r="E205" s="64" t="e">
        <f>VLOOKUP(B205,'115+040'!B203:AB252,3,FALSE)</f>
        <v>#REF!</v>
      </c>
      <c r="F205" s="61" t="e">
        <f t="shared" ref="F205:F268" si="40">D205+E205</f>
        <v>#REF!</v>
      </c>
      <c r="G205" s="63" t="e">
        <f>VLOOKUP(B205,'115+040'!$B$12:$AB$621,20,FALSE)</f>
        <v>#REF!</v>
      </c>
      <c r="H205" s="63" t="e">
        <f>VLOOKUP(B205,'115+040'!$B$12:$AB$621,4,FALSE)</f>
        <v>#REF!</v>
      </c>
      <c r="I205" s="60" t="e">
        <f t="shared" ref="I205:I268" si="41">F205-H205</f>
        <v>#REF!</v>
      </c>
      <c r="J205" s="60" t="e">
        <f>VLOOKUP(B205,'115+040'!$B$12:$AB$621,13,FALSE)</f>
        <v>#REF!</v>
      </c>
      <c r="K205" s="58">
        <f>'115+040'!R203</f>
        <v>4</v>
      </c>
      <c r="L205" s="57">
        <f t="shared" si="33"/>
        <v>505</v>
      </c>
      <c r="M205" s="62" t="e">
        <f>VLOOKUP(B205,'115+040'!$B$11:$AB$621,21,FALSE)</f>
        <v>#REF!</v>
      </c>
      <c r="N205" s="61" t="e">
        <f>VLOOKUP(B205,'115+040'!$B$12:$AB$621,5,FALSE)</f>
        <v>#REF!</v>
      </c>
      <c r="O205" s="60" t="e">
        <f t="shared" ref="O205:O268" si="42">F205-N205</f>
        <v>#REF!</v>
      </c>
      <c r="P205" s="60" t="e">
        <f>VLOOKUP(B205,'115+040'!$B$12:$AB$621,14,FALSE)</f>
        <v>#REF!</v>
      </c>
      <c r="Q205" s="58">
        <f>'115+040'!S203</f>
        <v>5</v>
      </c>
      <c r="R205" s="57">
        <f t="shared" si="34"/>
        <v>600</v>
      </c>
      <c r="S205" s="62" t="e">
        <f>VLOOKUP(B205,'115+040'!$B$11:$AB$621,22,FALSE)</f>
        <v>#REF!</v>
      </c>
      <c r="T205" s="61" t="e">
        <f>VLOOKUP(B205,'115+040'!$B$12:$AB$621,6,FALSE)</f>
        <v>#REF!</v>
      </c>
      <c r="U205" s="60" t="e">
        <f t="shared" ref="U205:U268" si="43">F205-T205</f>
        <v>#REF!</v>
      </c>
      <c r="V205" s="59" t="e">
        <f>VLOOKUP(B205,'115+040'!$B$12:$AB$621,15,FALSE)</f>
        <v>#REF!</v>
      </c>
      <c r="W205" s="58">
        <f>'[4]114+940'!S206</f>
        <v>0</v>
      </c>
      <c r="X205" s="57">
        <f t="shared" si="35"/>
        <v>216</v>
      </c>
      <c r="Y205" s="56" t="e">
        <f t="shared" si="36"/>
        <v>#REF!</v>
      </c>
      <c r="Z205" s="55" t="e">
        <f t="shared" si="37"/>
        <v>#REF!</v>
      </c>
      <c r="AA205" s="54" t="e">
        <f t="shared" si="38"/>
        <v>#REF!</v>
      </c>
      <c r="AB205" s="54" t="e">
        <f t="shared" si="39"/>
        <v>#REF!</v>
      </c>
    </row>
    <row r="206" spans="2:28">
      <c r="B206" s="96" t="e">
        <f>'115+040'!#REF!</f>
        <v>#REF!</v>
      </c>
      <c r="C206" s="66" t="e">
        <f t="shared" ref="C206:C269" si="44">B206-B205</f>
        <v>#REF!</v>
      </c>
      <c r="D206" s="65" t="e">
        <f t="shared" ref="D206:D269" si="45">D205</f>
        <v>#REF!</v>
      </c>
      <c r="E206" s="64" t="e">
        <f>VLOOKUP(B206,'115+040'!B204:AB252,3,FALSE)</f>
        <v>#REF!</v>
      </c>
      <c r="F206" s="61" t="e">
        <f t="shared" si="40"/>
        <v>#REF!</v>
      </c>
      <c r="G206" s="63" t="e">
        <f>VLOOKUP(B206,'115+040'!$B$12:$AB$621,20,FALSE)</f>
        <v>#REF!</v>
      </c>
      <c r="H206" s="63" t="e">
        <f>VLOOKUP(B206,'115+040'!$B$12:$AB$621,4,FALSE)</f>
        <v>#REF!</v>
      </c>
      <c r="I206" s="60" t="e">
        <f t="shared" si="41"/>
        <v>#REF!</v>
      </c>
      <c r="J206" s="60" t="e">
        <f>VLOOKUP(B206,'115+040'!$B$12:$AB$621,13,FALSE)</f>
        <v>#REF!</v>
      </c>
      <c r="K206" s="58">
        <f>'115+040'!R204</f>
        <v>4</v>
      </c>
      <c r="L206" s="57">
        <f t="shared" ref="L206:L269" si="46">+K206+L205</f>
        <v>509</v>
      </c>
      <c r="M206" s="62" t="e">
        <f>VLOOKUP(B206,'115+040'!$B$11:$AB$621,21,FALSE)</f>
        <v>#REF!</v>
      </c>
      <c r="N206" s="61" t="e">
        <f>VLOOKUP(B206,'115+040'!$B$12:$AB$621,5,FALSE)</f>
        <v>#REF!</v>
      </c>
      <c r="O206" s="60" t="e">
        <f t="shared" si="42"/>
        <v>#REF!</v>
      </c>
      <c r="P206" s="60" t="e">
        <f>VLOOKUP(B206,'115+040'!$B$12:$AB$621,14,FALSE)</f>
        <v>#REF!</v>
      </c>
      <c r="Q206" s="58">
        <f>'115+040'!S204</f>
        <v>5</v>
      </c>
      <c r="R206" s="57">
        <f t="shared" ref="R206:R269" si="47">+Q206+R205</f>
        <v>605</v>
      </c>
      <c r="S206" s="62" t="e">
        <f>VLOOKUP(B206,'115+040'!$B$11:$AB$621,22,FALSE)</f>
        <v>#REF!</v>
      </c>
      <c r="T206" s="61" t="e">
        <f>VLOOKUP(B206,'115+040'!$B$12:$AB$621,6,FALSE)</f>
        <v>#REF!</v>
      </c>
      <c r="U206" s="60" t="e">
        <f t="shared" si="43"/>
        <v>#REF!</v>
      </c>
      <c r="V206" s="59" t="e">
        <f>VLOOKUP(B206,'115+040'!$B$12:$AB$621,15,FALSE)</f>
        <v>#REF!</v>
      </c>
      <c r="W206" s="58">
        <f>'[4]114+940'!S207</f>
        <v>0</v>
      </c>
      <c r="X206" s="57">
        <f t="shared" ref="X206:X269" si="48">+W206+X205</f>
        <v>216</v>
      </c>
      <c r="Y206" s="56" t="e">
        <f t="shared" ref="Y206:Y269" si="49">S206-S205</f>
        <v>#REF!</v>
      </c>
      <c r="Z206" s="55" t="e">
        <f t="shared" ref="Z206:Z269" si="50">IF(Y206&gt;0,Y206,0)/1000</f>
        <v>#REF!</v>
      </c>
      <c r="AA206" s="54" t="e">
        <f t="shared" ref="AA206:AA269" si="51">AA205+Z206</f>
        <v>#REF!</v>
      </c>
      <c r="AB206" s="54" t="e">
        <f t="shared" ref="AB206:AB269" si="52">(M206-$M$13-R206)/1000</f>
        <v>#REF!</v>
      </c>
    </row>
    <row r="207" spans="2:28">
      <c r="B207" s="96" t="e">
        <f>'115+040'!#REF!</f>
        <v>#REF!</v>
      </c>
      <c r="C207" s="66" t="e">
        <f t="shared" si="44"/>
        <v>#REF!</v>
      </c>
      <c r="D207" s="65" t="e">
        <f t="shared" si="45"/>
        <v>#REF!</v>
      </c>
      <c r="E207" s="64" t="e">
        <f>VLOOKUP(B207,'115+040'!B205:AB252,3,FALSE)</f>
        <v>#REF!</v>
      </c>
      <c r="F207" s="61" t="e">
        <f t="shared" si="40"/>
        <v>#REF!</v>
      </c>
      <c r="G207" s="63" t="e">
        <f>VLOOKUP(B207,'115+040'!$B$12:$AB$621,20,FALSE)</f>
        <v>#REF!</v>
      </c>
      <c r="H207" s="63" t="e">
        <f>VLOOKUP(B207,'115+040'!$B$12:$AB$621,4,FALSE)</f>
        <v>#REF!</v>
      </c>
      <c r="I207" s="60" t="e">
        <f t="shared" si="41"/>
        <v>#REF!</v>
      </c>
      <c r="J207" s="60" t="e">
        <f>VLOOKUP(B207,'115+040'!$B$12:$AB$621,13,FALSE)</f>
        <v>#REF!</v>
      </c>
      <c r="K207" s="58">
        <f>'115+040'!R205</f>
        <v>4</v>
      </c>
      <c r="L207" s="57">
        <f t="shared" si="46"/>
        <v>513</v>
      </c>
      <c r="M207" s="62" t="e">
        <f>VLOOKUP(B207,'115+040'!$B$11:$AB$621,21,FALSE)</f>
        <v>#REF!</v>
      </c>
      <c r="N207" s="61" t="e">
        <f>VLOOKUP(B207,'115+040'!$B$12:$AB$621,5,FALSE)</f>
        <v>#REF!</v>
      </c>
      <c r="O207" s="60" t="e">
        <f t="shared" si="42"/>
        <v>#REF!</v>
      </c>
      <c r="P207" s="60" t="e">
        <f>VLOOKUP(B207,'115+040'!$B$12:$AB$621,14,FALSE)</f>
        <v>#REF!</v>
      </c>
      <c r="Q207" s="58">
        <f>'115+040'!S205</f>
        <v>5</v>
      </c>
      <c r="R207" s="57">
        <f t="shared" si="47"/>
        <v>610</v>
      </c>
      <c r="S207" s="62" t="e">
        <f>VLOOKUP(B207,'115+040'!$B$11:$AB$621,22,FALSE)</f>
        <v>#REF!</v>
      </c>
      <c r="T207" s="61" t="e">
        <f>VLOOKUP(B207,'115+040'!$B$12:$AB$621,6,FALSE)</f>
        <v>#REF!</v>
      </c>
      <c r="U207" s="60" t="e">
        <f t="shared" si="43"/>
        <v>#REF!</v>
      </c>
      <c r="V207" s="59" t="e">
        <f>VLOOKUP(B207,'115+040'!$B$12:$AB$621,15,FALSE)</f>
        <v>#REF!</v>
      </c>
      <c r="W207" s="58">
        <f>'[4]114+940'!S208</f>
        <v>0</v>
      </c>
      <c r="X207" s="57">
        <f t="shared" si="48"/>
        <v>216</v>
      </c>
      <c r="Y207" s="56" t="e">
        <f t="shared" si="49"/>
        <v>#REF!</v>
      </c>
      <c r="Z207" s="55" t="e">
        <f t="shared" si="50"/>
        <v>#REF!</v>
      </c>
      <c r="AA207" s="54" t="e">
        <f t="shared" si="51"/>
        <v>#REF!</v>
      </c>
      <c r="AB207" s="54" t="e">
        <f t="shared" si="52"/>
        <v>#REF!</v>
      </c>
    </row>
    <row r="208" spans="2:28">
      <c r="B208" s="96" t="e">
        <f>'115+040'!#REF!</f>
        <v>#REF!</v>
      </c>
      <c r="C208" s="66" t="e">
        <f t="shared" si="44"/>
        <v>#REF!</v>
      </c>
      <c r="D208" s="65" t="e">
        <f t="shared" si="45"/>
        <v>#REF!</v>
      </c>
      <c r="E208" s="64" t="e">
        <f>VLOOKUP(B208,'115+040'!B206:AB252,3,FALSE)</f>
        <v>#REF!</v>
      </c>
      <c r="F208" s="61" t="e">
        <f t="shared" si="40"/>
        <v>#REF!</v>
      </c>
      <c r="G208" s="63" t="e">
        <f>VLOOKUP(B208,'115+040'!$B$12:$AB$621,20,FALSE)</f>
        <v>#REF!</v>
      </c>
      <c r="H208" s="63" t="e">
        <f>VLOOKUP(B208,'115+040'!$B$12:$AB$621,4,FALSE)</f>
        <v>#REF!</v>
      </c>
      <c r="I208" s="60" t="e">
        <f t="shared" si="41"/>
        <v>#REF!</v>
      </c>
      <c r="J208" s="60" t="e">
        <f>VLOOKUP(B208,'115+040'!$B$12:$AB$621,13,FALSE)</f>
        <v>#REF!</v>
      </c>
      <c r="K208" s="58">
        <f>'115+040'!R206</f>
        <v>4</v>
      </c>
      <c r="L208" s="57">
        <f t="shared" si="46"/>
        <v>517</v>
      </c>
      <c r="M208" s="62" t="e">
        <f>VLOOKUP(B208,'115+040'!$B$11:$AB$621,21,FALSE)</f>
        <v>#REF!</v>
      </c>
      <c r="N208" s="61" t="e">
        <f>VLOOKUP(B208,'115+040'!$B$12:$AB$621,5,FALSE)</f>
        <v>#REF!</v>
      </c>
      <c r="O208" s="60" t="e">
        <f t="shared" si="42"/>
        <v>#REF!</v>
      </c>
      <c r="P208" s="60" t="e">
        <f>VLOOKUP(B208,'115+040'!$B$12:$AB$621,14,FALSE)</f>
        <v>#REF!</v>
      </c>
      <c r="Q208" s="58">
        <f>'115+040'!S206</f>
        <v>5</v>
      </c>
      <c r="R208" s="57">
        <f t="shared" si="47"/>
        <v>615</v>
      </c>
      <c r="S208" s="62" t="e">
        <f>VLOOKUP(B208,'115+040'!$B$11:$AB$621,22,FALSE)</f>
        <v>#REF!</v>
      </c>
      <c r="T208" s="61" t="e">
        <f>VLOOKUP(B208,'115+040'!$B$12:$AB$621,6,FALSE)</f>
        <v>#REF!</v>
      </c>
      <c r="U208" s="60" t="e">
        <f t="shared" si="43"/>
        <v>#REF!</v>
      </c>
      <c r="V208" s="59" t="e">
        <f>VLOOKUP(B208,'115+040'!$B$12:$AB$621,15,FALSE)</f>
        <v>#REF!</v>
      </c>
      <c r="W208" s="58">
        <f>'[4]114+940'!S209</f>
        <v>0</v>
      </c>
      <c r="X208" s="57">
        <f t="shared" si="48"/>
        <v>216</v>
      </c>
      <c r="Y208" s="56" t="e">
        <f t="shared" si="49"/>
        <v>#REF!</v>
      </c>
      <c r="Z208" s="55" t="e">
        <f t="shared" si="50"/>
        <v>#REF!</v>
      </c>
      <c r="AA208" s="54" t="e">
        <f t="shared" si="51"/>
        <v>#REF!</v>
      </c>
      <c r="AB208" s="54" t="e">
        <f t="shared" si="52"/>
        <v>#REF!</v>
      </c>
    </row>
    <row r="209" spans="2:28">
      <c r="B209" s="96" t="e">
        <f>'115+040'!#REF!</f>
        <v>#REF!</v>
      </c>
      <c r="C209" s="66" t="e">
        <f t="shared" si="44"/>
        <v>#REF!</v>
      </c>
      <c r="D209" s="65" t="e">
        <f t="shared" si="45"/>
        <v>#REF!</v>
      </c>
      <c r="E209" s="64" t="e">
        <f>VLOOKUP(B209,'115+040'!B207:AB252,3,FALSE)</f>
        <v>#REF!</v>
      </c>
      <c r="F209" s="61" t="e">
        <f t="shared" si="40"/>
        <v>#REF!</v>
      </c>
      <c r="G209" s="63" t="e">
        <f>VLOOKUP(B209,'115+040'!$B$12:$AB$621,20,FALSE)</f>
        <v>#REF!</v>
      </c>
      <c r="H209" s="63" t="e">
        <f>VLOOKUP(B209,'115+040'!$B$12:$AB$621,4,FALSE)</f>
        <v>#REF!</v>
      </c>
      <c r="I209" s="60" t="e">
        <f t="shared" si="41"/>
        <v>#REF!</v>
      </c>
      <c r="J209" s="60" t="e">
        <f>VLOOKUP(B209,'115+040'!$B$12:$AB$621,13,FALSE)</f>
        <v>#REF!</v>
      </c>
      <c r="K209" s="58">
        <f>'115+040'!R207</f>
        <v>4</v>
      </c>
      <c r="L209" s="57">
        <f t="shared" si="46"/>
        <v>521</v>
      </c>
      <c r="M209" s="62" t="e">
        <f>VLOOKUP(B209,'115+040'!$B$11:$AB$621,21,FALSE)</f>
        <v>#REF!</v>
      </c>
      <c r="N209" s="61" t="e">
        <f>VLOOKUP(B209,'115+040'!$B$12:$AB$621,5,FALSE)</f>
        <v>#REF!</v>
      </c>
      <c r="O209" s="60" t="e">
        <f t="shared" si="42"/>
        <v>#REF!</v>
      </c>
      <c r="P209" s="60" t="e">
        <f>VLOOKUP(B209,'115+040'!$B$12:$AB$621,14,FALSE)</f>
        <v>#REF!</v>
      </c>
      <c r="Q209" s="58">
        <f>'115+040'!S207</f>
        <v>5</v>
      </c>
      <c r="R209" s="57">
        <f t="shared" si="47"/>
        <v>620</v>
      </c>
      <c r="S209" s="62" t="e">
        <f>VLOOKUP(B209,'115+040'!$B$11:$AB$621,22,FALSE)</f>
        <v>#REF!</v>
      </c>
      <c r="T209" s="61" t="e">
        <f>VLOOKUP(B209,'115+040'!$B$12:$AB$621,6,FALSE)</f>
        <v>#REF!</v>
      </c>
      <c r="U209" s="60" t="e">
        <f t="shared" si="43"/>
        <v>#REF!</v>
      </c>
      <c r="V209" s="59" t="e">
        <f>VLOOKUP(B209,'115+040'!$B$12:$AB$621,15,FALSE)</f>
        <v>#REF!</v>
      </c>
      <c r="W209" s="58">
        <f>'[4]114+940'!S210</f>
        <v>0</v>
      </c>
      <c r="X209" s="57">
        <f t="shared" si="48"/>
        <v>216</v>
      </c>
      <c r="Y209" s="56" t="e">
        <f t="shared" si="49"/>
        <v>#REF!</v>
      </c>
      <c r="Z209" s="55" t="e">
        <f t="shared" si="50"/>
        <v>#REF!</v>
      </c>
      <c r="AA209" s="54" t="e">
        <f t="shared" si="51"/>
        <v>#REF!</v>
      </c>
      <c r="AB209" s="54" t="e">
        <f t="shared" si="52"/>
        <v>#REF!</v>
      </c>
    </row>
    <row r="210" spans="2:28">
      <c r="B210" s="96" t="e">
        <f>'115+040'!#REF!</f>
        <v>#REF!</v>
      </c>
      <c r="C210" s="66" t="e">
        <f t="shared" si="44"/>
        <v>#REF!</v>
      </c>
      <c r="D210" s="65" t="e">
        <f t="shared" si="45"/>
        <v>#REF!</v>
      </c>
      <c r="E210" s="64" t="e">
        <f>VLOOKUP(B210,'115+040'!B208:AB252,3,FALSE)</f>
        <v>#REF!</v>
      </c>
      <c r="F210" s="61" t="e">
        <f t="shared" si="40"/>
        <v>#REF!</v>
      </c>
      <c r="G210" s="63" t="e">
        <f>VLOOKUP(B210,'115+040'!$B$12:$AB$621,20,FALSE)</f>
        <v>#REF!</v>
      </c>
      <c r="H210" s="63" t="e">
        <f>VLOOKUP(B210,'115+040'!$B$12:$AB$621,4,FALSE)</f>
        <v>#REF!</v>
      </c>
      <c r="I210" s="60" t="e">
        <f t="shared" si="41"/>
        <v>#REF!</v>
      </c>
      <c r="J210" s="60" t="e">
        <f>VLOOKUP(B210,'115+040'!$B$12:$AB$621,13,FALSE)</f>
        <v>#REF!</v>
      </c>
      <c r="K210" s="58">
        <f>'115+040'!R208</f>
        <v>4</v>
      </c>
      <c r="L210" s="57">
        <f t="shared" si="46"/>
        <v>525</v>
      </c>
      <c r="M210" s="62" t="e">
        <f>VLOOKUP(B210,'115+040'!$B$11:$AB$621,21,FALSE)</f>
        <v>#REF!</v>
      </c>
      <c r="N210" s="61" t="e">
        <f>VLOOKUP(B210,'115+040'!$B$12:$AB$621,5,FALSE)</f>
        <v>#REF!</v>
      </c>
      <c r="O210" s="60" t="e">
        <f t="shared" si="42"/>
        <v>#REF!</v>
      </c>
      <c r="P210" s="60" t="e">
        <f>VLOOKUP(B210,'115+040'!$B$12:$AB$621,14,FALSE)</f>
        <v>#REF!</v>
      </c>
      <c r="Q210" s="58">
        <f>'115+040'!S208</f>
        <v>5</v>
      </c>
      <c r="R210" s="57">
        <f t="shared" si="47"/>
        <v>625</v>
      </c>
      <c r="S210" s="62" t="e">
        <f>VLOOKUP(B210,'115+040'!$B$11:$AB$621,22,FALSE)</f>
        <v>#REF!</v>
      </c>
      <c r="T210" s="61" t="e">
        <f>VLOOKUP(B210,'115+040'!$B$12:$AB$621,6,FALSE)</f>
        <v>#REF!</v>
      </c>
      <c r="U210" s="60" t="e">
        <f t="shared" si="43"/>
        <v>#REF!</v>
      </c>
      <c r="V210" s="59" t="e">
        <f>VLOOKUP(B210,'115+040'!$B$12:$AB$621,15,FALSE)</f>
        <v>#REF!</v>
      </c>
      <c r="W210" s="58">
        <f>'[4]114+940'!S211</f>
        <v>0</v>
      </c>
      <c r="X210" s="57">
        <f t="shared" si="48"/>
        <v>216</v>
      </c>
      <c r="Y210" s="56" t="e">
        <f t="shared" si="49"/>
        <v>#REF!</v>
      </c>
      <c r="Z210" s="55" t="e">
        <f t="shared" si="50"/>
        <v>#REF!</v>
      </c>
      <c r="AA210" s="54" t="e">
        <f t="shared" si="51"/>
        <v>#REF!</v>
      </c>
      <c r="AB210" s="54" t="e">
        <f t="shared" si="52"/>
        <v>#REF!</v>
      </c>
    </row>
    <row r="211" spans="2:28">
      <c r="B211" s="96" t="e">
        <f>'115+040'!#REF!</f>
        <v>#REF!</v>
      </c>
      <c r="C211" s="66" t="e">
        <f t="shared" si="44"/>
        <v>#REF!</v>
      </c>
      <c r="D211" s="65" t="e">
        <f t="shared" si="45"/>
        <v>#REF!</v>
      </c>
      <c r="E211" s="64" t="e">
        <f>VLOOKUP(B211,'115+040'!B209:AB252,3,FALSE)</f>
        <v>#REF!</v>
      </c>
      <c r="F211" s="61" t="e">
        <f t="shared" si="40"/>
        <v>#REF!</v>
      </c>
      <c r="G211" s="63" t="e">
        <f>VLOOKUP(B211,'115+040'!$B$12:$AB$621,20,FALSE)</f>
        <v>#REF!</v>
      </c>
      <c r="H211" s="63" t="e">
        <f>VLOOKUP(B211,'115+040'!$B$12:$AB$621,4,FALSE)</f>
        <v>#REF!</v>
      </c>
      <c r="I211" s="60" t="e">
        <f t="shared" si="41"/>
        <v>#REF!</v>
      </c>
      <c r="J211" s="60" t="e">
        <f>VLOOKUP(B211,'115+040'!$B$12:$AB$621,13,FALSE)</f>
        <v>#REF!</v>
      </c>
      <c r="K211" s="58">
        <f>'115+040'!R209</f>
        <v>4</v>
      </c>
      <c r="L211" s="57">
        <f t="shared" si="46"/>
        <v>529</v>
      </c>
      <c r="M211" s="62" t="e">
        <f>VLOOKUP(B211,'115+040'!$B$11:$AB$621,21,FALSE)</f>
        <v>#REF!</v>
      </c>
      <c r="N211" s="61" t="e">
        <f>VLOOKUP(B211,'115+040'!$B$12:$AB$621,5,FALSE)</f>
        <v>#REF!</v>
      </c>
      <c r="O211" s="60" t="e">
        <f t="shared" si="42"/>
        <v>#REF!</v>
      </c>
      <c r="P211" s="60" t="e">
        <f>VLOOKUP(B211,'115+040'!$B$12:$AB$621,14,FALSE)</f>
        <v>#REF!</v>
      </c>
      <c r="Q211" s="58">
        <f>'115+040'!S209</f>
        <v>5</v>
      </c>
      <c r="R211" s="57">
        <f t="shared" si="47"/>
        <v>630</v>
      </c>
      <c r="S211" s="62" t="e">
        <f>VLOOKUP(B211,'115+040'!$B$11:$AB$621,22,FALSE)</f>
        <v>#REF!</v>
      </c>
      <c r="T211" s="61" t="e">
        <f>VLOOKUP(B211,'115+040'!$B$12:$AB$621,6,FALSE)</f>
        <v>#REF!</v>
      </c>
      <c r="U211" s="60" t="e">
        <f t="shared" si="43"/>
        <v>#REF!</v>
      </c>
      <c r="V211" s="59" t="e">
        <f>VLOOKUP(B211,'115+040'!$B$12:$AB$621,15,FALSE)</f>
        <v>#REF!</v>
      </c>
      <c r="W211" s="58">
        <f>'[4]114+940'!S212</f>
        <v>0</v>
      </c>
      <c r="X211" s="57">
        <f t="shared" si="48"/>
        <v>216</v>
      </c>
      <c r="Y211" s="56" t="e">
        <f t="shared" si="49"/>
        <v>#REF!</v>
      </c>
      <c r="Z211" s="55" t="e">
        <f t="shared" si="50"/>
        <v>#REF!</v>
      </c>
      <c r="AA211" s="54" t="e">
        <f t="shared" si="51"/>
        <v>#REF!</v>
      </c>
      <c r="AB211" s="54" t="e">
        <f t="shared" si="52"/>
        <v>#REF!</v>
      </c>
    </row>
    <row r="212" spans="2:28">
      <c r="B212" s="96" t="e">
        <f>'115+040'!#REF!</f>
        <v>#REF!</v>
      </c>
      <c r="C212" s="66" t="e">
        <f t="shared" si="44"/>
        <v>#REF!</v>
      </c>
      <c r="D212" s="65" t="e">
        <f t="shared" si="45"/>
        <v>#REF!</v>
      </c>
      <c r="E212" s="64" t="e">
        <f>VLOOKUP(B212,'115+040'!B210:AB252,3,FALSE)</f>
        <v>#REF!</v>
      </c>
      <c r="F212" s="61" t="e">
        <f t="shared" si="40"/>
        <v>#REF!</v>
      </c>
      <c r="G212" s="63" t="e">
        <f>VLOOKUP(B212,'115+040'!$B$12:$AB$621,20,FALSE)</f>
        <v>#REF!</v>
      </c>
      <c r="H212" s="63" t="e">
        <f>VLOOKUP(B212,'115+040'!$B$12:$AB$621,4,FALSE)</f>
        <v>#REF!</v>
      </c>
      <c r="I212" s="60" t="e">
        <f t="shared" si="41"/>
        <v>#REF!</v>
      </c>
      <c r="J212" s="60" t="e">
        <f>VLOOKUP(B212,'115+040'!$B$12:$AB$621,13,FALSE)</f>
        <v>#REF!</v>
      </c>
      <c r="K212" s="58">
        <f>'115+040'!R210</f>
        <v>4</v>
      </c>
      <c r="L212" s="57">
        <f t="shared" si="46"/>
        <v>533</v>
      </c>
      <c r="M212" s="62" t="e">
        <f>VLOOKUP(B212,'115+040'!$B$11:$AB$621,21,FALSE)</f>
        <v>#REF!</v>
      </c>
      <c r="N212" s="61" t="e">
        <f>VLOOKUP(B212,'115+040'!$B$12:$AB$621,5,FALSE)</f>
        <v>#REF!</v>
      </c>
      <c r="O212" s="60" t="e">
        <f t="shared" si="42"/>
        <v>#REF!</v>
      </c>
      <c r="P212" s="60" t="e">
        <f>VLOOKUP(B212,'115+040'!$B$12:$AB$621,14,FALSE)</f>
        <v>#REF!</v>
      </c>
      <c r="Q212" s="58">
        <f>'115+040'!S210</f>
        <v>5</v>
      </c>
      <c r="R212" s="57">
        <f t="shared" si="47"/>
        <v>635</v>
      </c>
      <c r="S212" s="62" t="e">
        <f>VLOOKUP(B212,'115+040'!$B$11:$AB$621,22,FALSE)</f>
        <v>#REF!</v>
      </c>
      <c r="T212" s="61" t="e">
        <f>VLOOKUP(B212,'115+040'!$B$12:$AB$621,6,FALSE)</f>
        <v>#REF!</v>
      </c>
      <c r="U212" s="60" t="e">
        <f t="shared" si="43"/>
        <v>#REF!</v>
      </c>
      <c r="V212" s="59" t="e">
        <f>VLOOKUP(B212,'115+040'!$B$12:$AB$621,15,FALSE)</f>
        <v>#REF!</v>
      </c>
      <c r="W212" s="58">
        <f>'[4]114+940'!S213</f>
        <v>0</v>
      </c>
      <c r="X212" s="57">
        <f t="shared" si="48"/>
        <v>216</v>
      </c>
      <c r="Y212" s="56" t="e">
        <f t="shared" si="49"/>
        <v>#REF!</v>
      </c>
      <c r="Z212" s="55" t="e">
        <f t="shared" si="50"/>
        <v>#REF!</v>
      </c>
      <c r="AA212" s="54" t="e">
        <f t="shared" si="51"/>
        <v>#REF!</v>
      </c>
      <c r="AB212" s="54" t="e">
        <f t="shared" si="52"/>
        <v>#REF!</v>
      </c>
    </row>
    <row r="213" spans="2:28">
      <c r="B213" s="96" t="e">
        <f>'115+040'!#REF!</f>
        <v>#REF!</v>
      </c>
      <c r="C213" s="66" t="e">
        <f t="shared" si="44"/>
        <v>#REF!</v>
      </c>
      <c r="D213" s="65" t="e">
        <f t="shared" si="45"/>
        <v>#REF!</v>
      </c>
      <c r="E213" s="64" t="e">
        <f>VLOOKUP(B213,'115+040'!B211:AB252,3,FALSE)</f>
        <v>#REF!</v>
      </c>
      <c r="F213" s="61" t="e">
        <f t="shared" si="40"/>
        <v>#REF!</v>
      </c>
      <c r="G213" s="63" t="e">
        <f>VLOOKUP(B213,'115+040'!$B$12:$AB$621,20,FALSE)</f>
        <v>#REF!</v>
      </c>
      <c r="H213" s="63" t="e">
        <f>VLOOKUP(B213,'115+040'!$B$12:$AB$621,4,FALSE)</f>
        <v>#REF!</v>
      </c>
      <c r="I213" s="60" t="e">
        <f t="shared" si="41"/>
        <v>#REF!</v>
      </c>
      <c r="J213" s="60" t="e">
        <f>VLOOKUP(B213,'115+040'!$B$12:$AB$621,13,FALSE)</f>
        <v>#REF!</v>
      </c>
      <c r="K213" s="58">
        <f>'115+040'!R211</f>
        <v>4</v>
      </c>
      <c r="L213" s="57">
        <f t="shared" si="46"/>
        <v>537</v>
      </c>
      <c r="M213" s="62" t="e">
        <f>VLOOKUP(B213,'115+040'!$B$11:$AB$621,21,FALSE)</f>
        <v>#REF!</v>
      </c>
      <c r="N213" s="61" t="e">
        <f>VLOOKUP(B213,'115+040'!$B$12:$AB$621,5,FALSE)</f>
        <v>#REF!</v>
      </c>
      <c r="O213" s="60" t="e">
        <f t="shared" si="42"/>
        <v>#REF!</v>
      </c>
      <c r="P213" s="60" t="e">
        <f>VLOOKUP(B213,'115+040'!$B$12:$AB$621,14,FALSE)</f>
        <v>#REF!</v>
      </c>
      <c r="Q213" s="58">
        <f>'115+040'!S211</f>
        <v>5</v>
      </c>
      <c r="R213" s="57">
        <f t="shared" si="47"/>
        <v>640</v>
      </c>
      <c r="S213" s="62" t="e">
        <f>VLOOKUP(B213,'115+040'!$B$11:$AB$621,22,FALSE)</f>
        <v>#REF!</v>
      </c>
      <c r="T213" s="61" t="e">
        <f>VLOOKUP(B213,'115+040'!$B$12:$AB$621,6,FALSE)</f>
        <v>#REF!</v>
      </c>
      <c r="U213" s="60" t="e">
        <f t="shared" si="43"/>
        <v>#REF!</v>
      </c>
      <c r="V213" s="59" t="e">
        <f>VLOOKUP(B213,'115+040'!$B$12:$AB$621,15,FALSE)</f>
        <v>#REF!</v>
      </c>
      <c r="W213" s="58">
        <f>'[4]114+940'!S214</f>
        <v>0</v>
      </c>
      <c r="X213" s="57">
        <f t="shared" si="48"/>
        <v>216</v>
      </c>
      <c r="Y213" s="56" t="e">
        <f t="shared" si="49"/>
        <v>#REF!</v>
      </c>
      <c r="Z213" s="55" t="e">
        <f t="shared" si="50"/>
        <v>#REF!</v>
      </c>
      <c r="AA213" s="54" t="e">
        <f t="shared" si="51"/>
        <v>#REF!</v>
      </c>
      <c r="AB213" s="54" t="e">
        <f t="shared" si="52"/>
        <v>#REF!</v>
      </c>
    </row>
    <row r="214" spans="2:28">
      <c r="B214" s="96" t="e">
        <f>'115+040'!#REF!</f>
        <v>#REF!</v>
      </c>
      <c r="C214" s="66" t="e">
        <f t="shared" si="44"/>
        <v>#REF!</v>
      </c>
      <c r="D214" s="65" t="e">
        <f t="shared" si="45"/>
        <v>#REF!</v>
      </c>
      <c r="E214" s="64" t="e">
        <f>VLOOKUP(B214,'115+040'!B212:AB252,3,FALSE)</f>
        <v>#REF!</v>
      </c>
      <c r="F214" s="61" t="e">
        <f t="shared" si="40"/>
        <v>#REF!</v>
      </c>
      <c r="G214" s="63" t="e">
        <f>VLOOKUP(B214,'115+040'!$B$12:$AB$621,20,FALSE)</f>
        <v>#REF!</v>
      </c>
      <c r="H214" s="63" t="e">
        <f>VLOOKUP(B214,'115+040'!$B$12:$AB$621,4,FALSE)</f>
        <v>#REF!</v>
      </c>
      <c r="I214" s="60" t="e">
        <f t="shared" si="41"/>
        <v>#REF!</v>
      </c>
      <c r="J214" s="60" t="e">
        <f>VLOOKUP(B214,'115+040'!$B$12:$AB$621,13,FALSE)</f>
        <v>#REF!</v>
      </c>
      <c r="K214" s="58">
        <f>'115+040'!R212</f>
        <v>4</v>
      </c>
      <c r="L214" s="57">
        <f t="shared" si="46"/>
        <v>541</v>
      </c>
      <c r="M214" s="62" t="e">
        <f>VLOOKUP(B214,'115+040'!$B$11:$AB$621,21,FALSE)</f>
        <v>#REF!</v>
      </c>
      <c r="N214" s="61" t="e">
        <f>VLOOKUP(B214,'115+040'!$B$12:$AB$621,5,FALSE)</f>
        <v>#REF!</v>
      </c>
      <c r="O214" s="60" t="e">
        <f t="shared" si="42"/>
        <v>#REF!</v>
      </c>
      <c r="P214" s="60" t="e">
        <f>VLOOKUP(B214,'115+040'!$B$12:$AB$621,14,FALSE)</f>
        <v>#REF!</v>
      </c>
      <c r="Q214" s="58">
        <f>'115+040'!S212</f>
        <v>5</v>
      </c>
      <c r="R214" s="57">
        <f t="shared" si="47"/>
        <v>645</v>
      </c>
      <c r="S214" s="62" t="e">
        <f>VLOOKUP(B214,'115+040'!$B$11:$AB$621,22,FALSE)</f>
        <v>#REF!</v>
      </c>
      <c r="T214" s="61" t="e">
        <f>VLOOKUP(B214,'115+040'!$B$12:$AB$621,6,FALSE)</f>
        <v>#REF!</v>
      </c>
      <c r="U214" s="60" t="e">
        <f t="shared" si="43"/>
        <v>#REF!</v>
      </c>
      <c r="V214" s="59" t="e">
        <f>VLOOKUP(B214,'115+040'!$B$12:$AB$621,15,FALSE)</f>
        <v>#REF!</v>
      </c>
      <c r="W214" s="58">
        <f>'[4]114+940'!S215</f>
        <v>0</v>
      </c>
      <c r="X214" s="57">
        <f t="shared" si="48"/>
        <v>216</v>
      </c>
      <c r="Y214" s="56" t="e">
        <f t="shared" si="49"/>
        <v>#REF!</v>
      </c>
      <c r="Z214" s="55" t="e">
        <f t="shared" si="50"/>
        <v>#REF!</v>
      </c>
      <c r="AA214" s="54" t="e">
        <f t="shared" si="51"/>
        <v>#REF!</v>
      </c>
      <c r="AB214" s="54" t="e">
        <f t="shared" si="52"/>
        <v>#REF!</v>
      </c>
    </row>
    <row r="215" spans="2:28">
      <c r="B215" s="96" t="e">
        <f>'115+040'!#REF!</f>
        <v>#REF!</v>
      </c>
      <c r="C215" s="66" t="e">
        <f t="shared" si="44"/>
        <v>#REF!</v>
      </c>
      <c r="D215" s="65" t="e">
        <f t="shared" si="45"/>
        <v>#REF!</v>
      </c>
      <c r="E215" s="64" t="e">
        <f>VLOOKUP(B215,'115+040'!B213:AB252,3,FALSE)</f>
        <v>#REF!</v>
      </c>
      <c r="F215" s="61" t="e">
        <f t="shared" si="40"/>
        <v>#REF!</v>
      </c>
      <c r="G215" s="63" t="e">
        <f>VLOOKUP(B215,'115+040'!$B$12:$AB$621,20,FALSE)</f>
        <v>#REF!</v>
      </c>
      <c r="H215" s="63" t="e">
        <f>VLOOKUP(B215,'115+040'!$B$12:$AB$621,4,FALSE)</f>
        <v>#REF!</v>
      </c>
      <c r="I215" s="60" t="e">
        <f t="shared" si="41"/>
        <v>#REF!</v>
      </c>
      <c r="J215" s="60" t="e">
        <f>VLOOKUP(B215,'115+040'!$B$12:$AB$621,13,FALSE)</f>
        <v>#REF!</v>
      </c>
      <c r="K215" s="58">
        <f>'115+040'!R213</f>
        <v>4</v>
      </c>
      <c r="L215" s="57">
        <f t="shared" si="46"/>
        <v>545</v>
      </c>
      <c r="M215" s="62" t="e">
        <f>VLOOKUP(B215,'115+040'!$B$11:$AB$621,21,FALSE)</f>
        <v>#REF!</v>
      </c>
      <c r="N215" s="61" t="e">
        <f>VLOOKUP(B215,'115+040'!$B$12:$AB$621,5,FALSE)</f>
        <v>#REF!</v>
      </c>
      <c r="O215" s="60" t="e">
        <f t="shared" si="42"/>
        <v>#REF!</v>
      </c>
      <c r="P215" s="60" t="e">
        <f>VLOOKUP(B215,'115+040'!$B$12:$AB$621,14,FALSE)</f>
        <v>#REF!</v>
      </c>
      <c r="Q215" s="58">
        <f>'115+040'!S213</f>
        <v>5</v>
      </c>
      <c r="R215" s="57">
        <f t="shared" si="47"/>
        <v>650</v>
      </c>
      <c r="S215" s="62" t="e">
        <f>VLOOKUP(B215,'115+040'!$B$11:$AB$621,22,FALSE)</f>
        <v>#REF!</v>
      </c>
      <c r="T215" s="61" t="e">
        <f>VLOOKUP(B215,'115+040'!$B$12:$AB$621,6,FALSE)</f>
        <v>#REF!</v>
      </c>
      <c r="U215" s="60" t="e">
        <f t="shared" si="43"/>
        <v>#REF!</v>
      </c>
      <c r="V215" s="59" t="e">
        <f>VLOOKUP(B215,'115+040'!$B$12:$AB$621,15,FALSE)</f>
        <v>#REF!</v>
      </c>
      <c r="W215" s="58">
        <f>'[4]114+940'!S216</f>
        <v>0</v>
      </c>
      <c r="X215" s="57">
        <f t="shared" si="48"/>
        <v>216</v>
      </c>
      <c r="Y215" s="56" t="e">
        <f t="shared" si="49"/>
        <v>#REF!</v>
      </c>
      <c r="Z215" s="55" t="e">
        <f t="shared" si="50"/>
        <v>#REF!</v>
      </c>
      <c r="AA215" s="54" t="e">
        <f t="shared" si="51"/>
        <v>#REF!</v>
      </c>
      <c r="AB215" s="54" t="e">
        <f t="shared" si="52"/>
        <v>#REF!</v>
      </c>
    </row>
    <row r="216" spans="2:28">
      <c r="B216" s="96" t="e">
        <f>'115+040'!#REF!</f>
        <v>#REF!</v>
      </c>
      <c r="C216" s="66" t="e">
        <f t="shared" si="44"/>
        <v>#REF!</v>
      </c>
      <c r="D216" s="65" t="e">
        <f t="shared" si="45"/>
        <v>#REF!</v>
      </c>
      <c r="E216" s="64" t="e">
        <f>VLOOKUP(B216,'115+040'!B214:AB252,3,FALSE)</f>
        <v>#REF!</v>
      </c>
      <c r="F216" s="61" t="e">
        <f t="shared" si="40"/>
        <v>#REF!</v>
      </c>
      <c r="G216" s="63" t="e">
        <f>VLOOKUP(B216,'115+040'!$B$12:$AB$621,20,FALSE)</f>
        <v>#REF!</v>
      </c>
      <c r="H216" s="63" t="e">
        <f>VLOOKUP(B216,'115+040'!$B$12:$AB$621,4,FALSE)</f>
        <v>#REF!</v>
      </c>
      <c r="I216" s="60" t="e">
        <f t="shared" si="41"/>
        <v>#REF!</v>
      </c>
      <c r="J216" s="60" t="e">
        <f>VLOOKUP(B216,'115+040'!$B$12:$AB$621,13,FALSE)</f>
        <v>#REF!</v>
      </c>
      <c r="K216" s="58">
        <f>'115+040'!R214</f>
        <v>4</v>
      </c>
      <c r="L216" s="57">
        <f t="shared" si="46"/>
        <v>549</v>
      </c>
      <c r="M216" s="62" t="e">
        <f>VLOOKUP(B216,'115+040'!$B$11:$AB$621,21,FALSE)</f>
        <v>#REF!</v>
      </c>
      <c r="N216" s="61" t="e">
        <f>VLOOKUP(B216,'115+040'!$B$12:$AB$621,5,FALSE)</f>
        <v>#REF!</v>
      </c>
      <c r="O216" s="60" t="e">
        <f t="shared" si="42"/>
        <v>#REF!</v>
      </c>
      <c r="P216" s="60" t="e">
        <f>VLOOKUP(B216,'115+040'!$B$12:$AB$621,14,FALSE)</f>
        <v>#REF!</v>
      </c>
      <c r="Q216" s="58">
        <f>'115+040'!S214</f>
        <v>5</v>
      </c>
      <c r="R216" s="57">
        <f t="shared" si="47"/>
        <v>655</v>
      </c>
      <c r="S216" s="62" t="e">
        <f>VLOOKUP(B216,'115+040'!$B$11:$AB$621,22,FALSE)</f>
        <v>#REF!</v>
      </c>
      <c r="T216" s="61" t="e">
        <f>VLOOKUP(B216,'115+040'!$B$12:$AB$621,6,FALSE)</f>
        <v>#REF!</v>
      </c>
      <c r="U216" s="60" t="e">
        <f t="shared" si="43"/>
        <v>#REF!</v>
      </c>
      <c r="V216" s="59" t="e">
        <f>VLOOKUP(B216,'115+040'!$B$12:$AB$621,15,FALSE)</f>
        <v>#REF!</v>
      </c>
      <c r="W216" s="58">
        <f>'[4]114+940'!S217</f>
        <v>0</v>
      </c>
      <c r="X216" s="57">
        <f t="shared" si="48"/>
        <v>216</v>
      </c>
      <c r="Y216" s="56" t="e">
        <f t="shared" si="49"/>
        <v>#REF!</v>
      </c>
      <c r="Z216" s="55" t="e">
        <f t="shared" si="50"/>
        <v>#REF!</v>
      </c>
      <c r="AA216" s="54" t="e">
        <f t="shared" si="51"/>
        <v>#REF!</v>
      </c>
      <c r="AB216" s="54" t="e">
        <f t="shared" si="52"/>
        <v>#REF!</v>
      </c>
    </row>
    <row r="217" spans="2:28">
      <c r="B217" s="96" t="e">
        <f>'115+040'!#REF!</f>
        <v>#REF!</v>
      </c>
      <c r="C217" s="66" t="e">
        <f t="shared" si="44"/>
        <v>#REF!</v>
      </c>
      <c r="D217" s="65" t="e">
        <f t="shared" si="45"/>
        <v>#REF!</v>
      </c>
      <c r="E217" s="64" t="e">
        <f>VLOOKUP(B217,'115+040'!B215:AB252,3,FALSE)</f>
        <v>#REF!</v>
      </c>
      <c r="F217" s="61" t="e">
        <f t="shared" si="40"/>
        <v>#REF!</v>
      </c>
      <c r="G217" s="63" t="e">
        <f>VLOOKUP(B217,'115+040'!$B$12:$AB$621,20,FALSE)</f>
        <v>#REF!</v>
      </c>
      <c r="H217" s="63" t="e">
        <f>VLOOKUP(B217,'115+040'!$B$12:$AB$621,4,FALSE)</f>
        <v>#REF!</v>
      </c>
      <c r="I217" s="60" t="e">
        <f t="shared" si="41"/>
        <v>#REF!</v>
      </c>
      <c r="J217" s="60" t="e">
        <f>VLOOKUP(B217,'115+040'!$B$12:$AB$621,13,FALSE)</f>
        <v>#REF!</v>
      </c>
      <c r="K217" s="58">
        <f>'115+040'!R215</f>
        <v>4</v>
      </c>
      <c r="L217" s="57">
        <f t="shared" si="46"/>
        <v>553</v>
      </c>
      <c r="M217" s="62" t="e">
        <f>VLOOKUP(B217,'115+040'!$B$11:$AB$621,21,FALSE)</f>
        <v>#REF!</v>
      </c>
      <c r="N217" s="61" t="e">
        <f>VLOOKUP(B217,'115+040'!$B$12:$AB$621,5,FALSE)</f>
        <v>#REF!</v>
      </c>
      <c r="O217" s="60" t="e">
        <f t="shared" si="42"/>
        <v>#REF!</v>
      </c>
      <c r="P217" s="60" t="e">
        <f>VLOOKUP(B217,'115+040'!$B$12:$AB$621,14,FALSE)</f>
        <v>#REF!</v>
      </c>
      <c r="Q217" s="58">
        <f>'115+040'!S215</f>
        <v>5</v>
      </c>
      <c r="R217" s="57">
        <f t="shared" si="47"/>
        <v>660</v>
      </c>
      <c r="S217" s="62" t="e">
        <f>VLOOKUP(B217,'115+040'!$B$11:$AB$621,22,FALSE)</f>
        <v>#REF!</v>
      </c>
      <c r="T217" s="61" t="e">
        <f>VLOOKUP(B217,'115+040'!$B$12:$AB$621,6,FALSE)</f>
        <v>#REF!</v>
      </c>
      <c r="U217" s="60" t="e">
        <f t="shared" si="43"/>
        <v>#REF!</v>
      </c>
      <c r="V217" s="59" t="e">
        <f>VLOOKUP(B217,'115+040'!$B$12:$AB$621,15,FALSE)</f>
        <v>#REF!</v>
      </c>
      <c r="W217" s="58">
        <f>'[4]114+940'!S218</f>
        <v>0</v>
      </c>
      <c r="X217" s="57">
        <f t="shared" si="48"/>
        <v>216</v>
      </c>
      <c r="Y217" s="56" t="e">
        <f t="shared" si="49"/>
        <v>#REF!</v>
      </c>
      <c r="Z217" s="55" t="e">
        <f t="shared" si="50"/>
        <v>#REF!</v>
      </c>
      <c r="AA217" s="54" t="e">
        <f t="shared" si="51"/>
        <v>#REF!</v>
      </c>
      <c r="AB217" s="54" t="e">
        <f t="shared" si="52"/>
        <v>#REF!</v>
      </c>
    </row>
    <row r="218" spans="2:28">
      <c r="B218" s="96" t="e">
        <f>'115+040'!#REF!</f>
        <v>#REF!</v>
      </c>
      <c r="C218" s="66" t="e">
        <f t="shared" si="44"/>
        <v>#REF!</v>
      </c>
      <c r="D218" s="65" t="e">
        <f t="shared" si="45"/>
        <v>#REF!</v>
      </c>
      <c r="E218" s="64" t="e">
        <f>VLOOKUP(B218,'115+040'!B216:AB252,3,FALSE)</f>
        <v>#REF!</v>
      </c>
      <c r="F218" s="61" t="e">
        <f t="shared" si="40"/>
        <v>#REF!</v>
      </c>
      <c r="G218" s="63" t="e">
        <f>VLOOKUP(B218,'115+040'!$B$12:$AB$621,20,FALSE)</f>
        <v>#REF!</v>
      </c>
      <c r="H218" s="63" t="e">
        <f>VLOOKUP(B218,'115+040'!$B$12:$AB$621,4,FALSE)</f>
        <v>#REF!</v>
      </c>
      <c r="I218" s="60" t="e">
        <f t="shared" si="41"/>
        <v>#REF!</v>
      </c>
      <c r="J218" s="60" t="e">
        <f>VLOOKUP(B218,'115+040'!$B$12:$AB$621,13,FALSE)</f>
        <v>#REF!</v>
      </c>
      <c r="K218" s="58">
        <f>'115+040'!R216</f>
        <v>4</v>
      </c>
      <c r="L218" s="57">
        <f t="shared" si="46"/>
        <v>557</v>
      </c>
      <c r="M218" s="62" t="e">
        <f>VLOOKUP(B218,'115+040'!$B$11:$AB$621,21,FALSE)</f>
        <v>#REF!</v>
      </c>
      <c r="N218" s="61" t="e">
        <f>VLOOKUP(B218,'115+040'!$B$12:$AB$621,5,FALSE)</f>
        <v>#REF!</v>
      </c>
      <c r="O218" s="60" t="e">
        <f t="shared" si="42"/>
        <v>#REF!</v>
      </c>
      <c r="P218" s="60" t="e">
        <f>VLOOKUP(B218,'115+040'!$B$12:$AB$621,14,FALSE)</f>
        <v>#REF!</v>
      </c>
      <c r="Q218" s="58">
        <f>'115+040'!S216</f>
        <v>5</v>
      </c>
      <c r="R218" s="57">
        <f t="shared" si="47"/>
        <v>665</v>
      </c>
      <c r="S218" s="62" t="e">
        <f>VLOOKUP(B218,'115+040'!$B$11:$AB$621,22,FALSE)</f>
        <v>#REF!</v>
      </c>
      <c r="T218" s="61" t="e">
        <f>VLOOKUP(B218,'115+040'!$B$12:$AB$621,6,FALSE)</f>
        <v>#REF!</v>
      </c>
      <c r="U218" s="60" t="e">
        <f t="shared" si="43"/>
        <v>#REF!</v>
      </c>
      <c r="V218" s="59" t="e">
        <f>VLOOKUP(B218,'115+040'!$B$12:$AB$621,15,FALSE)</f>
        <v>#REF!</v>
      </c>
      <c r="W218" s="58">
        <f>'[4]114+940'!S219</f>
        <v>0</v>
      </c>
      <c r="X218" s="57">
        <f t="shared" si="48"/>
        <v>216</v>
      </c>
      <c r="Y218" s="56" t="e">
        <f t="shared" si="49"/>
        <v>#REF!</v>
      </c>
      <c r="Z218" s="55" t="e">
        <f t="shared" si="50"/>
        <v>#REF!</v>
      </c>
      <c r="AA218" s="54" t="e">
        <f t="shared" si="51"/>
        <v>#REF!</v>
      </c>
      <c r="AB218" s="54" t="e">
        <f t="shared" si="52"/>
        <v>#REF!</v>
      </c>
    </row>
    <row r="219" spans="2:28">
      <c r="B219" s="96" t="e">
        <f>'115+040'!#REF!</f>
        <v>#REF!</v>
      </c>
      <c r="C219" s="66" t="e">
        <f t="shared" si="44"/>
        <v>#REF!</v>
      </c>
      <c r="D219" s="65" t="e">
        <f t="shared" si="45"/>
        <v>#REF!</v>
      </c>
      <c r="E219" s="64" t="e">
        <f>VLOOKUP(B219,'115+040'!B217:AB252,3,FALSE)</f>
        <v>#REF!</v>
      </c>
      <c r="F219" s="61" t="e">
        <f t="shared" si="40"/>
        <v>#REF!</v>
      </c>
      <c r="G219" s="63" t="e">
        <f>VLOOKUP(B219,'115+040'!$B$12:$AB$621,20,FALSE)</f>
        <v>#REF!</v>
      </c>
      <c r="H219" s="63" t="e">
        <f>VLOOKUP(B219,'115+040'!$B$12:$AB$621,4,FALSE)</f>
        <v>#REF!</v>
      </c>
      <c r="I219" s="60" t="e">
        <f t="shared" si="41"/>
        <v>#REF!</v>
      </c>
      <c r="J219" s="60" t="e">
        <f>VLOOKUP(B219,'115+040'!$B$12:$AB$621,13,FALSE)</f>
        <v>#REF!</v>
      </c>
      <c r="K219" s="58">
        <f>'115+040'!R217</f>
        <v>4</v>
      </c>
      <c r="L219" s="57">
        <f t="shared" si="46"/>
        <v>561</v>
      </c>
      <c r="M219" s="62" t="e">
        <f>VLOOKUP(B219,'115+040'!$B$11:$AB$621,21,FALSE)</f>
        <v>#REF!</v>
      </c>
      <c r="N219" s="61" t="e">
        <f>VLOOKUP(B219,'115+040'!$B$12:$AB$621,5,FALSE)</f>
        <v>#REF!</v>
      </c>
      <c r="O219" s="60" t="e">
        <f t="shared" si="42"/>
        <v>#REF!</v>
      </c>
      <c r="P219" s="60" t="e">
        <f>VLOOKUP(B219,'115+040'!$B$12:$AB$621,14,FALSE)</f>
        <v>#REF!</v>
      </c>
      <c r="Q219" s="58">
        <f>'115+040'!S217</f>
        <v>5</v>
      </c>
      <c r="R219" s="57">
        <f t="shared" si="47"/>
        <v>670</v>
      </c>
      <c r="S219" s="62" t="e">
        <f>VLOOKUP(B219,'115+040'!$B$11:$AB$621,22,FALSE)</f>
        <v>#REF!</v>
      </c>
      <c r="T219" s="61" t="e">
        <f>VLOOKUP(B219,'115+040'!$B$12:$AB$621,6,FALSE)</f>
        <v>#REF!</v>
      </c>
      <c r="U219" s="60" t="e">
        <f t="shared" si="43"/>
        <v>#REF!</v>
      </c>
      <c r="V219" s="59" t="e">
        <f>VLOOKUP(B219,'115+040'!$B$12:$AB$621,15,FALSE)</f>
        <v>#REF!</v>
      </c>
      <c r="W219" s="58">
        <f>'[4]114+940'!S220</f>
        <v>0</v>
      </c>
      <c r="X219" s="57">
        <f t="shared" si="48"/>
        <v>216</v>
      </c>
      <c r="Y219" s="56" t="e">
        <f t="shared" si="49"/>
        <v>#REF!</v>
      </c>
      <c r="Z219" s="55" t="e">
        <f t="shared" si="50"/>
        <v>#REF!</v>
      </c>
      <c r="AA219" s="54" t="e">
        <f t="shared" si="51"/>
        <v>#REF!</v>
      </c>
      <c r="AB219" s="54" t="e">
        <f t="shared" si="52"/>
        <v>#REF!</v>
      </c>
    </row>
    <row r="220" spans="2:28">
      <c r="B220" s="96" t="e">
        <f>'115+040'!#REF!</f>
        <v>#REF!</v>
      </c>
      <c r="C220" s="66" t="e">
        <f t="shared" si="44"/>
        <v>#REF!</v>
      </c>
      <c r="D220" s="65" t="e">
        <f t="shared" si="45"/>
        <v>#REF!</v>
      </c>
      <c r="E220" s="64" t="e">
        <f>VLOOKUP(B220,'115+040'!B218:AB252,3,FALSE)</f>
        <v>#REF!</v>
      </c>
      <c r="F220" s="61" t="e">
        <f t="shared" si="40"/>
        <v>#REF!</v>
      </c>
      <c r="G220" s="63" t="e">
        <f>VLOOKUP(B220,'115+040'!$B$12:$AB$621,20,FALSE)</f>
        <v>#REF!</v>
      </c>
      <c r="H220" s="63" t="e">
        <f>VLOOKUP(B220,'115+040'!$B$12:$AB$621,4,FALSE)</f>
        <v>#REF!</v>
      </c>
      <c r="I220" s="60" t="e">
        <f t="shared" si="41"/>
        <v>#REF!</v>
      </c>
      <c r="J220" s="60" t="e">
        <f>VLOOKUP(B220,'115+040'!$B$12:$AB$621,13,FALSE)</f>
        <v>#REF!</v>
      </c>
      <c r="K220" s="58">
        <f>'115+040'!R218</f>
        <v>4</v>
      </c>
      <c r="L220" s="57">
        <f t="shared" si="46"/>
        <v>565</v>
      </c>
      <c r="M220" s="62" t="e">
        <f>VLOOKUP(B220,'115+040'!$B$11:$AB$621,21,FALSE)</f>
        <v>#REF!</v>
      </c>
      <c r="N220" s="61" t="e">
        <f>VLOOKUP(B220,'115+040'!$B$12:$AB$621,5,FALSE)</f>
        <v>#REF!</v>
      </c>
      <c r="O220" s="60" t="e">
        <f t="shared" si="42"/>
        <v>#REF!</v>
      </c>
      <c r="P220" s="60" t="e">
        <f>VLOOKUP(B220,'115+040'!$B$12:$AB$621,14,FALSE)</f>
        <v>#REF!</v>
      </c>
      <c r="Q220" s="58">
        <f>'115+040'!S218</f>
        <v>5</v>
      </c>
      <c r="R220" s="57">
        <f t="shared" si="47"/>
        <v>675</v>
      </c>
      <c r="S220" s="62" t="e">
        <f>VLOOKUP(B220,'115+040'!$B$11:$AB$621,22,FALSE)</f>
        <v>#REF!</v>
      </c>
      <c r="T220" s="61" t="e">
        <f>VLOOKUP(B220,'115+040'!$B$12:$AB$621,6,FALSE)</f>
        <v>#REF!</v>
      </c>
      <c r="U220" s="60" t="e">
        <f t="shared" si="43"/>
        <v>#REF!</v>
      </c>
      <c r="V220" s="59" t="e">
        <f>VLOOKUP(B220,'115+040'!$B$12:$AB$621,15,FALSE)</f>
        <v>#REF!</v>
      </c>
      <c r="W220" s="58">
        <f>'[4]114+940'!S221</f>
        <v>0</v>
      </c>
      <c r="X220" s="57">
        <f t="shared" si="48"/>
        <v>216</v>
      </c>
      <c r="Y220" s="56" t="e">
        <f t="shared" si="49"/>
        <v>#REF!</v>
      </c>
      <c r="Z220" s="55" t="e">
        <f t="shared" si="50"/>
        <v>#REF!</v>
      </c>
      <c r="AA220" s="54" t="e">
        <f t="shared" si="51"/>
        <v>#REF!</v>
      </c>
      <c r="AB220" s="54" t="e">
        <f t="shared" si="52"/>
        <v>#REF!</v>
      </c>
    </row>
    <row r="221" spans="2:28">
      <c r="B221" s="96" t="e">
        <f>'115+040'!#REF!</f>
        <v>#REF!</v>
      </c>
      <c r="C221" s="66" t="e">
        <f t="shared" si="44"/>
        <v>#REF!</v>
      </c>
      <c r="D221" s="65" t="e">
        <f t="shared" si="45"/>
        <v>#REF!</v>
      </c>
      <c r="E221" s="64" t="e">
        <f>VLOOKUP(B221,'115+040'!B219:AB252,3,FALSE)</f>
        <v>#REF!</v>
      </c>
      <c r="F221" s="61" t="e">
        <f t="shared" si="40"/>
        <v>#REF!</v>
      </c>
      <c r="G221" s="63" t="e">
        <f>VLOOKUP(B221,'115+040'!$B$12:$AB$621,20,FALSE)</f>
        <v>#REF!</v>
      </c>
      <c r="H221" s="63" t="e">
        <f>VLOOKUP(B221,'115+040'!$B$12:$AB$621,4,FALSE)</f>
        <v>#REF!</v>
      </c>
      <c r="I221" s="60" t="e">
        <f t="shared" si="41"/>
        <v>#REF!</v>
      </c>
      <c r="J221" s="60" t="e">
        <f>VLOOKUP(B221,'115+040'!$B$12:$AB$621,13,FALSE)</f>
        <v>#REF!</v>
      </c>
      <c r="K221" s="58">
        <f>'115+040'!R219</f>
        <v>4</v>
      </c>
      <c r="L221" s="57">
        <f t="shared" si="46"/>
        <v>569</v>
      </c>
      <c r="M221" s="62" t="e">
        <f>VLOOKUP(B221,'115+040'!$B$11:$AB$621,21,FALSE)</f>
        <v>#REF!</v>
      </c>
      <c r="N221" s="61" t="e">
        <f>VLOOKUP(B221,'115+040'!$B$12:$AB$621,5,FALSE)</f>
        <v>#REF!</v>
      </c>
      <c r="O221" s="60" t="e">
        <f t="shared" si="42"/>
        <v>#REF!</v>
      </c>
      <c r="P221" s="60" t="e">
        <f>VLOOKUP(B221,'115+040'!$B$12:$AB$621,14,FALSE)</f>
        <v>#REF!</v>
      </c>
      <c r="Q221" s="58">
        <f>'115+040'!S219</f>
        <v>5</v>
      </c>
      <c r="R221" s="57">
        <f t="shared" si="47"/>
        <v>680</v>
      </c>
      <c r="S221" s="62" t="e">
        <f>VLOOKUP(B221,'115+040'!$B$11:$AB$621,22,FALSE)</f>
        <v>#REF!</v>
      </c>
      <c r="T221" s="61" t="e">
        <f>VLOOKUP(B221,'115+040'!$B$12:$AB$621,6,FALSE)</f>
        <v>#REF!</v>
      </c>
      <c r="U221" s="60" t="e">
        <f t="shared" si="43"/>
        <v>#REF!</v>
      </c>
      <c r="V221" s="59" t="e">
        <f>VLOOKUP(B221,'115+040'!$B$12:$AB$621,15,FALSE)</f>
        <v>#REF!</v>
      </c>
      <c r="W221" s="58">
        <f>'[4]114+940'!S222</f>
        <v>0</v>
      </c>
      <c r="X221" s="57">
        <f t="shared" si="48"/>
        <v>216</v>
      </c>
      <c r="Y221" s="56" t="e">
        <f t="shared" si="49"/>
        <v>#REF!</v>
      </c>
      <c r="Z221" s="55" t="e">
        <f t="shared" si="50"/>
        <v>#REF!</v>
      </c>
      <c r="AA221" s="54" t="e">
        <f t="shared" si="51"/>
        <v>#REF!</v>
      </c>
      <c r="AB221" s="54" t="e">
        <f t="shared" si="52"/>
        <v>#REF!</v>
      </c>
    </row>
    <row r="222" spans="2:28">
      <c r="B222" s="96" t="e">
        <f>'115+040'!#REF!</f>
        <v>#REF!</v>
      </c>
      <c r="C222" s="66" t="e">
        <f t="shared" si="44"/>
        <v>#REF!</v>
      </c>
      <c r="D222" s="65" t="e">
        <f t="shared" si="45"/>
        <v>#REF!</v>
      </c>
      <c r="E222" s="64" t="e">
        <f>VLOOKUP(B222,'115+040'!B220:AB252,3,FALSE)</f>
        <v>#REF!</v>
      </c>
      <c r="F222" s="61" t="e">
        <f t="shared" si="40"/>
        <v>#REF!</v>
      </c>
      <c r="G222" s="63" t="e">
        <f>VLOOKUP(B222,'115+040'!$B$12:$AB$621,20,FALSE)</f>
        <v>#REF!</v>
      </c>
      <c r="H222" s="63" t="e">
        <f>VLOOKUP(B222,'115+040'!$B$12:$AB$621,4,FALSE)</f>
        <v>#REF!</v>
      </c>
      <c r="I222" s="60" t="e">
        <f t="shared" si="41"/>
        <v>#REF!</v>
      </c>
      <c r="J222" s="60" t="e">
        <f>VLOOKUP(B222,'115+040'!$B$12:$AB$621,13,FALSE)</f>
        <v>#REF!</v>
      </c>
      <c r="K222" s="58">
        <f>'115+040'!R220</f>
        <v>4</v>
      </c>
      <c r="L222" s="57">
        <f t="shared" si="46"/>
        <v>573</v>
      </c>
      <c r="M222" s="62" t="e">
        <f>VLOOKUP(B222,'115+040'!$B$11:$AB$621,21,FALSE)</f>
        <v>#REF!</v>
      </c>
      <c r="N222" s="61" t="e">
        <f>VLOOKUP(B222,'115+040'!$B$12:$AB$621,5,FALSE)</f>
        <v>#REF!</v>
      </c>
      <c r="O222" s="60" t="e">
        <f t="shared" si="42"/>
        <v>#REF!</v>
      </c>
      <c r="P222" s="60" t="e">
        <f>VLOOKUP(B222,'115+040'!$B$12:$AB$621,14,FALSE)</f>
        <v>#REF!</v>
      </c>
      <c r="Q222" s="58">
        <f>'115+040'!S220</f>
        <v>5</v>
      </c>
      <c r="R222" s="57">
        <f t="shared" si="47"/>
        <v>685</v>
      </c>
      <c r="S222" s="62" t="e">
        <f>VLOOKUP(B222,'115+040'!$B$11:$AB$621,22,FALSE)</f>
        <v>#REF!</v>
      </c>
      <c r="T222" s="61" t="e">
        <f>VLOOKUP(B222,'115+040'!$B$12:$AB$621,6,FALSE)</f>
        <v>#REF!</v>
      </c>
      <c r="U222" s="60" t="e">
        <f t="shared" si="43"/>
        <v>#REF!</v>
      </c>
      <c r="V222" s="59" t="e">
        <f>VLOOKUP(B222,'115+040'!$B$12:$AB$621,15,FALSE)</f>
        <v>#REF!</v>
      </c>
      <c r="W222" s="58">
        <f>'[4]114+940'!S223</f>
        <v>0</v>
      </c>
      <c r="X222" s="57">
        <f t="shared" si="48"/>
        <v>216</v>
      </c>
      <c r="Y222" s="56" t="e">
        <f t="shared" si="49"/>
        <v>#REF!</v>
      </c>
      <c r="Z222" s="55" t="e">
        <f t="shared" si="50"/>
        <v>#REF!</v>
      </c>
      <c r="AA222" s="54" t="e">
        <f t="shared" si="51"/>
        <v>#REF!</v>
      </c>
      <c r="AB222" s="54" t="e">
        <f t="shared" si="52"/>
        <v>#REF!</v>
      </c>
    </row>
    <row r="223" spans="2:28">
      <c r="B223" s="96" t="e">
        <f>'115+040'!#REF!</f>
        <v>#REF!</v>
      </c>
      <c r="C223" s="66" t="e">
        <f t="shared" si="44"/>
        <v>#REF!</v>
      </c>
      <c r="D223" s="65" t="e">
        <f t="shared" si="45"/>
        <v>#REF!</v>
      </c>
      <c r="E223" s="64" t="e">
        <f>VLOOKUP(B223,'115+040'!B221:AB252,3,FALSE)</f>
        <v>#REF!</v>
      </c>
      <c r="F223" s="61" t="e">
        <f t="shared" si="40"/>
        <v>#REF!</v>
      </c>
      <c r="G223" s="63" t="e">
        <f>VLOOKUP(B223,'115+040'!$B$12:$AB$621,20,FALSE)</f>
        <v>#REF!</v>
      </c>
      <c r="H223" s="63" t="e">
        <f>VLOOKUP(B223,'115+040'!$B$12:$AB$621,4,FALSE)</f>
        <v>#REF!</v>
      </c>
      <c r="I223" s="60" t="e">
        <f t="shared" si="41"/>
        <v>#REF!</v>
      </c>
      <c r="J223" s="60" t="e">
        <f>VLOOKUP(B223,'115+040'!$B$12:$AB$621,13,FALSE)</f>
        <v>#REF!</v>
      </c>
      <c r="K223" s="58">
        <f>'115+040'!R221</f>
        <v>4</v>
      </c>
      <c r="L223" s="57">
        <f t="shared" si="46"/>
        <v>577</v>
      </c>
      <c r="M223" s="62" t="e">
        <f>VLOOKUP(B223,'115+040'!$B$11:$AB$621,21,FALSE)</f>
        <v>#REF!</v>
      </c>
      <c r="N223" s="61" t="e">
        <f>VLOOKUP(B223,'115+040'!$B$12:$AB$621,5,FALSE)</f>
        <v>#REF!</v>
      </c>
      <c r="O223" s="60" t="e">
        <f t="shared" si="42"/>
        <v>#REF!</v>
      </c>
      <c r="P223" s="60" t="e">
        <f>VLOOKUP(B223,'115+040'!$B$12:$AB$621,14,FALSE)</f>
        <v>#REF!</v>
      </c>
      <c r="Q223" s="58">
        <f>'115+040'!S221</f>
        <v>5</v>
      </c>
      <c r="R223" s="57">
        <f t="shared" si="47"/>
        <v>690</v>
      </c>
      <c r="S223" s="62" t="e">
        <f>VLOOKUP(B223,'115+040'!$B$11:$AB$621,22,FALSE)</f>
        <v>#REF!</v>
      </c>
      <c r="T223" s="61" t="e">
        <f>VLOOKUP(B223,'115+040'!$B$12:$AB$621,6,FALSE)</f>
        <v>#REF!</v>
      </c>
      <c r="U223" s="60" t="e">
        <f t="shared" si="43"/>
        <v>#REF!</v>
      </c>
      <c r="V223" s="59" t="e">
        <f>VLOOKUP(B223,'115+040'!$B$12:$AB$621,15,FALSE)</f>
        <v>#REF!</v>
      </c>
      <c r="W223" s="58">
        <f>'[4]114+940'!S224</f>
        <v>0</v>
      </c>
      <c r="X223" s="57">
        <f t="shared" si="48"/>
        <v>216</v>
      </c>
      <c r="Y223" s="56" t="e">
        <f t="shared" si="49"/>
        <v>#REF!</v>
      </c>
      <c r="Z223" s="55" t="e">
        <f t="shared" si="50"/>
        <v>#REF!</v>
      </c>
      <c r="AA223" s="54" t="e">
        <f t="shared" si="51"/>
        <v>#REF!</v>
      </c>
      <c r="AB223" s="54" t="e">
        <f t="shared" si="52"/>
        <v>#REF!</v>
      </c>
    </row>
    <row r="224" spans="2:28">
      <c r="B224" s="96" t="e">
        <f>'115+040'!#REF!</f>
        <v>#REF!</v>
      </c>
      <c r="C224" s="66" t="e">
        <f t="shared" si="44"/>
        <v>#REF!</v>
      </c>
      <c r="D224" s="65" t="e">
        <f t="shared" si="45"/>
        <v>#REF!</v>
      </c>
      <c r="E224" s="64" t="e">
        <f>VLOOKUP(B224,'115+040'!B222:AB252,3,FALSE)</f>
        <v>#REF!</v>
      </c>
      <c r="F224" s="61" t="e">
        <f t="shared" si="40"/>
        <v>#REF!</v>
      </c>
      <c r="G224" s="63" t="e">
        <f>VLOOKUP(B224,'115+040'!$B$12:$AB$621,20,FALSE)</f>
        <v>#REF!</v>
      </c>
      <c r="H224" s="63" t="e">
        <f>VLOOKUP(B224,'115+040'!$B$12:$AB$621,4,FALSE)</f>
        <v>#REF!</v>
      </c>
      <c r="I224" s="60" t="e">
        <f t="shared" si="41"/>
        <v>#REF!</v>
      </c>
      <c r="J224" s="60" t="e">
        <f>VLOOKUP(B224,'115+040'!$B$12:$AB$621,13,FALSE)</f>
        <v>#REF!</v>
      </c>
      <c r="K224" s="58">
        <f>'115+040'!R222</f>
        <v>4</v>
      </c>
      <c r="L224" s="57">
        <f t="shared" si="46"/>
        <v>581</v>
      </c>
      <c r="M224" s="62" t="e">
        <f>VLOOKUP(B224,'115+040'!$B$11:$AB$621,21,FALSE)</f>
        <v>#REF!</v>
      </c>
      <c r="N224" s="61" t="e">
        <f>VLOOKUP(B224,'115+040'!$B$12:$AB$621,5,FALSE)</f>
        <v>#REF!</v>
      </c>
      <c r="O224" s="60" t="e">
        <f t="shared" si="42"/>
        <v>#REF!</v>
      </c>
      <c r="P224" s="60" t="e">
        <f>VLOOKUP(B224,'115+040'!$B$12:$AB$621,14,FALSE)</f>
        <v>#REF!</v>
      </c>
      <c r="Q224" s="58">
        <f>'115+040'!S222</f>
        <v>5</v>
      </c>
      <c r="R224" s="57">
        <f t="shared" si="47"/>
        <v>695</v>
      </c>
      <c r="S224" s="62" t="e">
        <f>VLOOKUP(B224,'115+040'!$B$11:$AB$621,22,FALSE)</f>
        <v>#REF!</v>
      </c>
      <c r="T224" s="61" t="e">
        <f>VLOOKUP(B224,'115+040'!$B$12:$AB$621,6,FALSE)</f>
        <v>#REF!</v>
      </c>
      <c r="U224" s="60" t="e">
        <f t="shared" si="43"/>
        <v>#REF!</v>
      </c>
      <c r="V224" s="59" t="e">
        <f>VLOOKUP(B224,'115+040'!$B$12:$AB$621,15,FALSE)</f>
        <v>#REF!</v>
      </c>
      <c r="W224" s="58">
        <f>'[4]114+940'!S225</f>
        <v>0</v>
      </c>
      <c r="X224" s="57">
        <f t="shared" si="48"/>
        <v>216</v>
      </c>
      <c r="Y224" s="56" t="e">
        <f t="shared" si="49"/>
        <v>#REF!</v>
      </c>
      <c r="Z224" s="55" t="e">
        <f t="shared" si="50"/>
        <v>#REF!</v>
      </c>
      <c r="AA224" s="54" t="e">
        <f t="shared" si="51"/>
        <v>#REF!</v>
      </c>
      <c r="AB224" s="54" t="e">
        <f t="shared" si="52"/>
        <v>#REF!</v>
      </c>
    </row>
    <row r="225" spans="2:28">
      <c r="B225" s="96" t="e">
        <f>'115+040'!#REF!</f>
        <v>#REF!</v>
      </c>
      <c r="C225" s="66" t="e">
        <f t="shared" si="44"/>
        <v>#REF!</v>
      </c>
      <c r="D225" s="65" t="e">
        <f t="shared" si="45"/>
        <v>#REF!</v>
      </c>
      <c r="E225" s="64" t="e">
        <f>VLOOKUP(B225,'115+040'!B223:AB252,3,FALSE)</f>
        <v>#REF!</v>
      </c>
      <c r="F225" s="61" t="e">
        <f t="shared" si="40"/>
        <v>#REF!</v>
      </c>
      <c r="G225" s="63" t="e">
        <f>VLOOKUP(B225,'115+040'!$B$12:$AB$621,20,FALSE)</f>
        <v>#REF!</v>
      </c>
      <c r="H225" s="63" t="e">
        <f>VLOOKUP(B225,'115+040'!$B$12:$AB$621,4,FALSE)</f>
        <v>#REF!</v>
      </c>
      <c r="I225" s="60" t="e">
        <f t="shared" si="41"/>
        <v>#REF!</v>
      </c>
      <c r="J225" s="60" t="e">
        <f>VLOOKUP(B225,'115+040'!$B$12:$AB$621,13,FALSE)</f>
        <v>#REF!</v>
      </c>
      <c r="K225" s="58">
        <f>'115+040'!R223</f>
        <v>4</v>
      </c>
      <c r="L225" s="57">
        <f t="shared" si="46"/>
        <v>585</v>
      </c>
      <c r="M225" s="62" t="e">
        <f>VLOOKUP(B225,'115+040'!$B$11:$AB$621,21,FALSE)</f>
        <v>#REF!</v>
      </c>
      <c r="N225" s="61" t="e">
        <f>VLOOKUP(B225,'115+040'!$B$12:$AB$621,5,FALSE)</f>
        <v>#REF!</v>
      </c>
      <c r="O225" s="60" t="e">
        <f t="shared" si="42"/>
        <v>#REF!</v>
      </c>
      <c r="P225" s="60" t="e">
        <f>VLOOKUP(B225,'115+040'!$B$12:$AB$621,14,FALSE)</f>
        <v>#REF!</v>
      </c>
      <c r="Q225" s="58">
        <f>'115+040'!S223</f>
        <v>5</v>
      </c>
      <c r="R225" s="57">
        <f t="shared" si="47"/>
        <v>700</v>
      </c>
      <c r="S225" s="62" t="e">
        <f>VLOOKUP(B225,'115+040'!$B$11:$AB$621,22,FALSE)</f>
        <v>#REF!</v>
      </c>
      <c r="T225" s="61" t="e">
        <f>VLOOKUP(B225,'115+040'!$B$12:$AB$621,6,FALSE)</f>
        <v>#REF!</v>
      </c>
      <c r="U225" s="60" t="e">
        <f t="shared" si="43"/>
        <v>#REF!</v>
      </c>
      <c r="V225" s="59" t="e">
        <f>VLOOKUP(B225,'115+040'!$B$12:$AB$621,15,FALSE)</f>
        <v>#REF!</v>
      </c>
      <c r="W225" s="58">
        <f>'[4]114+940'!S226</f>
        <v>0</v>
      </c>
      <c r="X225" s="57">
        <f t="shared" si="48"/>
        <v>216</v>
      </c>
      <c r="Y225" s="56" t="e">
        <f t="shared" si="49"/>
        <v>#REF!</v>
      </c>
      <c r="Z225" s="55" t="e">
        <f t="shared" si="50"/>
        <v>#REF!</v>
      </c>
      <c r="AA225" s="54" t="e">
        <f t="shared" si="51"/>
        <v>#REF!</v>
      </c>
      <c r="AB225" s="54" t="e">
        <f t="shared" si="52"/>
        <v>#REF!</v>
      </c>
    </row>
    <row r="226" spans="2:28">
      <c r="B226" s="96" t="e">
        <f>'115+040'!#REF!</f>
        <v>#REF!</v>
      </c>
      <c r="C226" s="66" t="e">
        <f t="shared" si="44"/>
        <v>#REF!</v>
      </c>
      <c r="D226" s="65" t="e">
        <f t="shared" si="45"/>
        <v>#REF!</v>
      </c>
      <c r="E226" s="64" t="e">
        <f>VLOOKUP(B226,'115+040'!B224:AB252,3,FALSE)</f>
        <v>#REF!</v>
      </c>
      <c r="F226" s="61" t="e">
        <f t="shared" si="40"/>
        <v>#REF!</v>
      </c>
      <c r="G226" s="63" t="e">
        <f>VLOOKUP(B226,'115+040'!$B$12:$AB$621,20,FALSE)</f>
        <v>#REF!</v>
      </c>
      <c r="H226" s="63" t="e">
        <f>VLOOKUP(B226,'115+040'!$B$12:$AB$621,4,FALSE)</f>
        <v>#REF!</v>
      </c>
      <c r="I226" s="60" t="e">
        <f t="shared" si="41"/>
        <v>#REF!</v>
      </c>
      <c r="J226" s="60" t="e">
        <f>VLOOKUP(B226,'115+040'!$B$12:$AB$621,13,FALSE)</f>
        <v>#REF!</v>
      </c>
      <c r="K226" s="58">
        <f>'115+040'!R224</f>
        <v>4</v>
      </c>
      <c r="L226" s="57">
        <f t="shared" si="46"/>
        <v>589</v>
      </c>
      <c r="M226" s="62" t="e">
        <f>VLOOKUP(B226,'115+040'!$B$11:$AB$621,21,FALSE)</f>
        <v>#REF!</v>
      </c>
      <c r="N226" s="61" t="e">
        <f>VLOOKUP(B226,'115+040'!$B$12:$AB$621,5,FALSE)</f>
        <v>#REF!</v>
      </c>
      <c r="O226" s="60" t="e">
        <f t="shared" si="42"/>
        <v>#REF!</v>
      </c>
      <c r="P226" s="60" t="e">
        <f>VLOOKUP(B226,'115+040'!$B$12:$AB$621,14,FALSE)</f>
        <v>#REF!</v>
      </c>
      <c r="Q226" s="58">
        <f>'115+040'!S224</f>
        <v>5</v>
      </c>
      <c r="R226" s="57">
        <f t="shared" si="47"/>
        <v>705</v>
      </c>
      <c r="S226" s="62" t="e">
        <f>VLOOKUP(B226,'115+040'!$B$11:$AB$621,22,FALSE)</f>
        <v>#REF!</v>
      </c>
      <c r="T226" s="61" t="e">
        <f>VLOOKUP(B226,'115+040'!$B$12:$AB$621,6,FALSE)</f>
        <v>#REF!</v>
      </c>
      <c r="U226" s="60" t="e">
        <f t="shared" si="43"/>
        <v>#REF!</v>
      </c>
      <c r="V226" s="59" t="e">
        <f>VLOOKUP(B226,'115+040'!$B$12:$AB$621,15,FALSE)</f>
        <v>#REF!</v>
      </c>
      <c r="W226" s="58">
        <f>'[4]114+940'!S227</f>
        <v>0</v>
      </c>
      <c r="X226" s="57">
        <f t="shared" si="48"/>
        <v>216</v>
      </c>
      <c r="Y226" s="56" t="e">
        <f t="shared" si="49"/>
        <v>#REF!</v>
      </c>
      <c r="Z226" s="55" t="e">
        <f t="shared" si="50"/>
        <v>#REF!</v>
      </c>
      <c r="AA226" s="54" t="e">
        <f t="shared" si="51"/>
        <v>#REF!</v>
      </c>
      <c r="AB226" s="54" t="e">
        <f t="shared" si="52"/>
        <v>#REF!</v>
      </c>
    </row>
    <row r="227" spans="2:28">
      <c r="B227" s="96" t="e">
        <f>'115+040'!#REF!</f>
        <v>#REF!</v>
      </c>
      <c r="C227" s="66" t="e">
        <f t="shared" si="44"/>
        <v>#REF!</v>
      </c>
      <c r="D227" s="65" t="e">
        <f t="shared" si="45"/>
        <v>#REF!</v>
      </c>
      <c r="E227" s="64" t="e">
        <f>VLOOKUP(B227,'115+040'!B225:AB252,3,FALSE)</f>
        <v>#REF!</v>
      </c>
      <c r="F227" s="61" t="e">
        <f t="shared" si="40"/>
        <v>#REF!</v>
      </c>
      <c r="G227" s="63" t="e">
        <f>VLOOKUP(B227,'115+040'!$B$12:$AB$621,20,FALSE)</f>
        <v>#REF!</v>
      </c>
      <c r="H227" s="63" t="e">
        <f>VLOOKUP(B227,'115+040'!$B$12:$AB$621,4,FALSE)</f>
        <v>#REF!</v>
      </c>
      <c r="I227" s="60" t="e">
        <f t="shared" si="41"/>
        <v>#REF!</v>
      </c>
      <c r="J227" s="60" t="e">
        <f>VLOOKUP(B227,'115+040'!$B$12:$AB$621,13,FALSE)</f>
        <v>#REF!</v>
      </c>
      <c r="K227" s="58">
        <f>'115+040'!R225</f>
        <v>4</v>
      </c>
      <c r="L227" s="57">
        <f t="shared" si="46"/>
        <v>593</v>
      </c>
      <c r="M227" s="62" t="e">
        <f>VLOOKUP(B227,'115+040'!$B$11:$AB$621,21,FALSE)</f>
        <v>#REF!</v>
      </c>
      <c r="N227" s="61" t="e">
        <f>VLOOKUP(B227,'115+040'!$B$12:$AB$621,5,FALSE)</f>
        <v>#REF!</v>
      </c>
      <c r="O227" s="60" t="e">
        <f t="shared" si="42"/>
        <v>#REF!</v>
      </c>
      <c r="P227" s="60" t="e">
        <f>VLOOKUP(B227,'115+040'!$B$12:$AB$621,14,FALSE)</f>
        <v>#REF!</v>
      </c>
      <c r="Q227" s="58">
        <f>'115+040'!S225</f>
        <v>5</v>
      </c>
      <c r="R227" s="57">
        <f t="shared" si="47"/>
        <v>710</v>
      </c>
      <c r="S227" s="62" t="e">
        <f>VLOOKUP(B227,'115+040'!$B$11:$AB$621,22,FALSE)</f>
        <v>#REF!</v>
      </c>
      <c r="T227" s="61" t="e">
        <f>VLOOKUP(B227,'115+040'!$B$12:$AB$621,6,FALSE)</f>
        <v>#REF!</v>
      </c>
      <c r="U227" s="60" t="e">
        <f t="shared" si="43"/>
        <v>#REF!</v>
      </c>
      <c r="V227" s="59" t="e">
        <f>VLOOKUP(B227,'115+040'!$B$12:$AB$621,15,FALSE)</f>
        <v>#REF!</v>
      </c>
      <c r="W227" s="58">
        <f>'[4]114+940'!S228</f>
        <v>0</v>
      </c>
      <c r="X227" s="57">
        <f t="shared" si="48"/>
        <v>216</v>
      </c>
      <c r="Y227" s="56" t="e">
        <f t="shared" si="49"/>
        <v>#REF!</v>
      </c>
      <c r="Z227" s="55" t="e">
        <f t="shared" si="50"/>
        <v>#REF!</v>
      </c>
      <c r="AA227" s="54" t="e">
        <f t="shared" si="51"/>
        <v>#REF!</v>
      </c>
      <c r="AB227" s="54" t="e">
        <f t="shared" si="52"/>
        <v>#REF!</v>
      </c>
    </row>
    <row r="228" spans="2:28">
      <c r="B228" s="96" t="e">
        <f>'115+040'!#REF!</f>
        <v>#REF!</v>
      </c>
      <c r="C228" s="66" t="e">
        <f t="shared" si="44"/>
        <v>#REF!</v>
      </c>
      <c r="D228" s="65" t="e">
        <f t="shared" si="45"/>
        <v>#REF!</v>
      </c>
      <c r="E228" s="64" t="e">
        <f>VLOOKUP(B228,'115+040'!B226:AB252,3,FALSE)</f>
        <v>#REF!</v>
      </c>
      <c r="F228" s="61" t="e">
        <f t="shared" si="40"/>
        <v>#REF!</v>
      </c>
      <c r="G228" s="63" t="e">
        <f>VLOOKUP(B228,'115+040'!$B$12:$AB$621,20,FALSE)</f>
        <v>#REF!</v>
      </c>
      <c r="H228" s="63" t="e">
        <f>VLOOKUP(B228,'115+040'!$B$12:$AB$621,4,FALSE)</f>
        <v>#REF!</v>
      </c>
      <c r="I228" s="60" t="e">
        <f t="shared" si="41"/>
        <v>#REF!</v>
      </c>
      <c r="J228" s="60" t="e">
        <f>VLOOKUP(B228,'115+040'!$B$12:$AB$621,13,FALSE)</f>
        <v>#REF!</v>
      </c>
      <c r="K228" s="58">
        <f>'115+040'!R226</f>
        <v>4</v>
      </c>
      <c r="L228" s="57">
        <f t="shared" si="46"/>
        <v>597</v>
      </c>
      <c r="M228" s="62" t="e">
        <f>VLOOKUP(B228,'115+040'!$B$11:$AB$621,21,FALSE)</f>
        <v>#REF!</v>
      </c>
      <c r="N228" s="61" t="e">
        <f>VLOOKUP(B228,'115+040'!$B$12:$AB$621,5,FALSE)</f>
        <v>#REF!</v>
      </c>
      <c r="O228" s="60" t="e">
        <f t="shared" si="42"/>
        <v>#REF!</v>
      </c>
      <c r="P228" s="60" t="e">
        <f>VLOOKUP(B228,'115+040'!$B$12:$AB$621,14,FALSE)</f>
        <v>#REF!</v>
      </c>
      <c r="Q228" s="58">
        <f>'115+040'!S226</f>
        <v>5</v>
      </c>
      <c r="R228" s="57">
        <f t="shared" si="47"/>
        <v>715</v>
      </c>
      <c r="S228" s="62" t="e">
        <f>VLOOKUP(B228,'115+040'!$B$11:$AB$621,22,FALSE)</f>
        <v>#REF!</v>
      </c>
      <c r="T228" s="61" t="e">
        <f>VLOOKUP(B228,'115+040'!$B$12:$AB$621,6,FALSE)</f>
        <v>#REF!</v>
      </c>
      <c r="U228" s="60" t="e">
        <f t="shared" si="43"/>
        <v>#REF!</v>
      </c>
      <c r="V228" s="59" t="e">
        <f>VLOOKUP(B228,'115+040'!$B$12:$AB$621,15,FALSE)</f>
        <v>#REF!</v>
      </c>
      <c r="W228" s="58">
        <f>'[4]114+940'!S229</f>
        <v>0</v>
      </c>
      <c r="X228" s="57">
        <f t="shared" si="48"/>
        <v>216</v>
      </c>
      <c r="Y228" s="56" t="e">
        <f t="shared" si="49"/>
        <v>#REF!</v>
      </c>
      <c r="Z228" s="55" t="e">
        <f t="shared" si="50"/>
        <v>#REF!</v>
      </c>
      <c r="AA228" s="54" t="e">
        <f t="shared" si="51"/>
        <v>#REF!</v>
      </c>
      <c r="AB228" s="54" t="e">
        <f t="shared" si="52"/>
        <v>#REF!</v>
      </c>
    </row>
    <row r="229" spans="2:28">
      <c r="B229" s="96" t="e">
        <f>'115+040'!#REF!</f>
        <v>#REF!</v>
      </c>
      <c r="C229" s="66" t="e">
        <f t="shared" si="44"/>
        <v>#REF!</v>
      </c>
      <c r="D229" s="65" t="e">
        <f t="shared" si="45"/>
        <v>#REF!</v>
      </c>
      <c r="E229" s="64" t="e">
        <f>VLOOKUP(B229,'115+040'!B227:AB252,3,FALSE)</f>
        <v>#REF!</v>
      </c>
      <c r="F229" s="61" t="e">
        <f t="shared" si="40"/>
        <v>#REF!</v>
      </c>
      <c r="G229" s="63" t="e">
        <f>VLOOKUP(B229,'115+040'!$B$12:$AB$621,20,FALSE)</f>
        <v>#REF!</v>
      </c>
      <c r="H229" s="63" t="e">
        <f>VLOOKUP(B229,'115+040'!$B$12:$AB$621,4,FALSE)</f>
        <v>#REF!</v>
      </c>
      <c r="I229" s="60" t="e">
        <f t="shared" si="41"/>
        <v>#REF!</v>
      </c>
      <c r="J229" s="60" t="e">
        <f>VLOOKUP(B229,'115+040'!$B$12:$AB$621,13,FALSE)</f>
        <v>#REF!</v>
      </c>
      <c r="K229" s="58">
        <f>'115+040'!R227</f>
        <v>4</v>
      </c>
      <c r="L229" s="57">
        <f t="shared" si="46"/>
        <v>601</v>
      </c>
      <c r="M229" s="62" t="e">
        <f>VLOOKUP(B229,'115+040'!$B$11:$AB$621,21,FALSE)</f>
        <v>#REF!</v>
      </c>
      <c r="N229" s="61" t="e">
        <f>VLOOKUP(B229,'115+040'!$B$12:$AB$621,5,FALSE)</f>
        <v>#REF!</v>
      </c>
      <c r="O229" s="60" t="e">
        <f t="shared" si="42"/>
        <v>#REF!</v>
      </c>
      <c r="P229" s="60" t="e">
        <f>VLOOKUP(B229,'115+040'!$B$12:$AB$621,14,FALSE)</f>
        <v>#REF!</v>
      </c>
      <c r="Q229" s="58">
        <f>'115+040'!S227</f>
        <v>5</v>
      </c>
      <c r="R229" s="57">
        <f t="shared" si="47"/>
        <v>720</v>
      </c>
      <c r="S229" s="62" t="e">
        <f>VLOOKUP(B229,'115+040'!$B$11:$AB$621,22,FALSE)</f>
        <v>#REF!</v>
      </c>
      <c r="T229" s="61" t="e">
        <f>VLOOKUP(B229,'115+040'!$B$12:$AB$621,6,FALSE)</f>
        <v>#REF!</v>
      </c>
      <c r="U229" s="60" t="e">
        <f t="shared" si="43"/>
        <v>#REF!</v>
      </c>
      <c r="V229" s="59" t="e">
        <f>VLOOKUP(B229,'115+040'!$B$12:$AB$621,15,FALSE)</f>
        <v>#REF!</v>
      </c>
      <c r="W229" s="58">
        <f>'[4]114+940'!S230</f>
        <v>0</v>
      </c>
      <c r="X229" s="57">
        <f t="shared" si="48"/>
        <v>216</v>
      </c>
      <c r="Y229" s="56" t="e">
        <f t="shared" si="49"/>
        <v>#REF!</v>
      </c>
      <c r="Z229" s="55" t="e">
        <f t="shared" si="50"/>
        <v>#REF!</v>
      </c>
      <c r="AA229" s="54" t="e">
        <f t="shared" si="51"/>
        <v>#REF!</v>
      </c>
      <c r="AB229" s="54" t="e">
        <f t="shared" si="52"/>
        <v>#REF!</v>
      </c>
    </row>
    <row r="230" spans="2:28">
      <c r="B230" s="96" t="e">
        <f>'115+040'!#REF!</f>
        <v>#REF!</v>
      </c>
      <c r="C230" s="66" t="e">
        <f t="shared" si="44"/>
        <v>#REF!</v>
      </c>
      <c r="D230" s="65" t="e">
        <f t="shared" si="45"/>
        <v>#REF!</v>
      </c>
      <c r="E230" s="64" t="e">
        <f>VLOOKUP(B230,'115+040'!B228:AB252,3,FALSE)</f>
        <v>#REF!</v>
      </c>
      <c r="F230" s="61" t="e">
        <f t="shared" si="40"/>
        <v>#REF!</v>
      </c>
      <c r="G230" s="63" t="e">
        <f>VLOOKUP(B230,'115+040'!$B$12:$AB$621,20,FALSE)</f>
        <v>#REF!</v>
      </c>
      <c r="H230" s="63" t="e">
        <f>VLOOKUP(B230,'115+040'!$B$12:$AB$621,4,FALSE)</f>
        <v>#REF!</v>
      </c>
      <c r="I230" s="60" t="e">
        <f t="shared" si="41"/>
        <v>#REF!</v>
      </c>
      <c r="J230" s="60" t="e">
        <f>VLOOKUP(B230,'115+040'!$B$12:$AB$621,13,FALSE)</f>
        <v>#REF!</v>
      </c>
      <c r="K230" s="58">
        <f>'115+040'!R228</f>
        <v>4</v>
      </c>
      <c r="L230" s="57">
        <f t="shared" si="46"/>
        <v>605</v>
      </c>
      <c r="M230" s="62" t="e">
        <f>VLOOKUP(B230,'115+040'!$B$11:$AB$621,21,FALSE)</f>
        <v>#REF!</v>
      </c>
      <c r="N230" s="61" t="e">
        <f>VLOOKUP(B230,'115+040'!$B$12:$AB$621,5,FALSE)</f>
        <v>#REF!</v>
      </c>
      <c r="O230" s="60" t="e">
        <f t="shared" si="42"/>
        <v>#REF!</v>
      </c>
      <c r="P230" s="60" t="e">
        <f>VLOOKUP(B230,'115+040'!$B$12:$AB$621,14,FALSE)</f>
        <v>#REF!</v>
      </c>
      <c r="Q230" s="58">
        <f>'115+040'!S228</f>
        <v>5</v>
      </c>
      <c r="R230" s="57">
        <f t="shared" si="47"/>
        <v>725</v>
      </c>
      <c r="S230" s="62" t="e">
        <f>VLOOKUP(B230,'115+040'!$B$11:$AB$621,22,FALSE)</f>
        <v>#REF!</v>
      </c>
      <c r="T230" s="61" t="e">
        <f>VLOOKUP(B230,'115+040'!$B$12:$AB$621,6,FALSE)</f>
        <v>#REF!</v>
      </c>
      <c r="U230" s="60" t="e">
        <f t="shared" si="43"/>
        <v>#REF!</v>
      </c>
      <c r="V230" s="59" t="e">
        <f>VLOOKUP(B230,'115+040'!$B$12:$AB$621,15,FALSE)</f>
        <v>#REF!</v>
      </c>
      <c r="W230" s="58">
        <f>'[4]114+940'!S231</f>
        <v>0</v>
      </c>
      <c r="X230" s="57">
        <f t="shared" si="48"/>
        <v>216</v>
      </c>
      <c r="Y230" s="56" t="e">
        <f t="shared" si="49"/>
        <v>#REF!</v>
      </c>
      <c r="Z230" s="55" t="e">
        <f t="shared" si="50"/>
        <v>#REF!</v>
      </c>
      <c r="AA230" s="54" t="e">
        <f t="shared" si="51"/>
        <v>#REF!</v>
      </c>
      <c r="AB230" s="54" t="e">
        <f t="shared" si="52"/>
        <v>#REF!</v>
      </c>
    </row>
    <row r="231" spans="2:28">
      <c r="B231" s="96" t="e">
        <f>'115+040'!#REF!</f>
        <v>#REF!</v>
      </c>
      <c r="C231" s="66" t="e">
        <f t="shared" si="44"/>
        <v>#REF!</v>
      </c>
      <c r="D231" s="65" t="e">
        <f t="shared" si="45"/>
        <v>#REF!</v>
      </c>
      <c r="E231" s="64" t="e">
        <f>VLOOKUP(B231,'115+040'!B229:AB252,3,FALSE)</f>
        <v>#REF!</v>
      </c>
      <c r="F231" s="61" t="e">
        <f t="shared" si="40"/>
        <v>#REF!</v>
      </c>
      <c r="G231" s="63" t="e">
        <f>VLOOKUP(B231,'115+040'!$B$12:$AB$621,20,FALSE)</f>
        <v>#REF!</v>
      </c>
      <c r="H231" s="63" t="e">
        <f>VLOOKUP(B231,'115+040'!$B$12:$AB$621,4,FALSE)</f>
        <v>#REF!</v>
      </c>
      <c r="I231" s="60" t="e">
        <f t="shared" si="41"/>
        <v>#REF!</v>
      </c>
      <c r="J231" s="60" t="e">
        <f>VLOOKUP(B231,'115+040'!$B$12:$AB$621,13,FALSE)</f>
        <v>#REF!</v>
      </c>
      <c r="K231" s="58">
        <f>'115+040'!R229</f>
        <v>5</v>
      </c>
      <c r="L231" s="57">
        <f t="shared" si="46"/>
        <v>610</v>
      </c>
      <c r="M231" s="62" t="e">
        <f>VLOOKUP(B231,'115+040'!$B$11:$AB$621,21,FALSE)</f>
        <v>#REF!</v>
      </c>
      <c r="N231" s="61" t="e">
        <f>VLOOKUP(B231,'115+040'!$B$12:$AB$621,5,FALSE)</f>
        <v>#REF!</v>
      </c>
      <c r="O231" s="60" t="e">
        <f t="shared" si="42"/>
        <v>#REF!</v>
      </c>
      <c r="P231" s="60" t="e">
        <f>VLOOKUP(B231,'115+040'!$B$12:$AB$621,14,FALSE)</f>
        <v>#REF!</v>
      </c>
      <c r="Q231" s="58">
        <f>'115+040'!S229</f>
        <v>5</v>
      </c>
      <c r="R231" s="57">
        <f t="shared" si="47"/>
        <v>730</v>
      </c>
      <c r="S231" s="62" t="e">
        <f>VLOOKUP(B231,'115+040'!$B$11:$AB$621,22,FALSE)</f>
        <v>#REF!</v>
      </c>
      <c r="T231" s="61" t="e">
        <f>VLOOKUP(B231,'115+040'!$B$12:$AB$621,6,FALSE)</f>
        <v>#REF!</v>
      </c>
      <c r="U231" s="60" t="e">
        <f t="shared" si="43"/>
        <v>#REF!</v>
      </c>
      <c r="V231" s="59" t="e">
        <f>VLOOKUP(B231,'115+040'!$B$12:$AB$621,15,FALSE)</f>
        <v>#REF!</v>
      </c>
      <c r="W231" s="58">
        <f>'[4]114+940'!S232</f>
        <v>0</v>
      </c>
      <c r="X231" s="57">
        <f t="shared" si="48"/>
        <v>216</v>
      </c>
      <c r="Y231" s="56" t="e">
        <f t="shared" si="49"/>
        <v>#REF!</v>
      </c>
      <c r="Z231" s="55" t="e">
        <f t="shared" si="50"/>
        <v>#REF!</v>
      </c>
      <c r="AA231" s="54" t="e">
        <f t="shared" si="51"/>
        <v>#REF!</v>
      </c>
      <c r="AB231" s="54" t="e">
        <f t="shared" si="52"/>
        <v>#REF!</v>
      </c>
    </row>
    <row r="232" spans="2:28">
      <c r="B232" s="96" t="e">
        <f>'115+040'!#REF!</f>
        <v>#REF!</v>
      </c>
      <c r="C232" s="66" t="e">
        <f t="shared" si="44"/>
        <v>#REF!</v>
      </c>
      <c r="D232" s="65" t="e">
        <f t="shared" si="45"/>
        <v>#REF!</v>
      </c>
      <c r="E232" s="64" t="e">
        <f>VLOOKUP(B232,'115+040'!B230:AB252,3,FALSE)</f>
        <v>#REF!</v>
      </c>
      <c r="F232" s="61" t="e">
        <f t="shared" si="40"/>
        <v>#REF!</v>
      </c>
      <c r="G232" s="63" t="e">
        <f>VLOOKUP(B232,'115+040'!$B$12:$AB$621,20,FALSE)</f>
        <v>#REF!</v>
      </c>
      <c r="H232" s="63" t="e">
        <f>VLOOKUP(B232,'115+040'!$B$12:$AB$621,4,FALSE)</f>
        <v>#REF!</v>
      </c>
      <c r="I232" s="60" t="e">
        <f t="shared" si="41"/>
        <v>#REF!</v>
      </c>
      <c r="J232" s="60" t="e">
        <f>VLOOKUP(B232,'115+040'!$B$12:$AB$621,13,FALSE)</f>
        <v>#REF!</v>
      </c>
      <c r="K232" s="58">
        <f>'115+040'!R230</f>
        <v>5</v>
      </c>
      <c r="L232" s="57">
        <f t="shared" si="46"/>
        <v>615</v>
      </c>
      <c r="M232" s="62" t="e">
        <f>VLOOKUP(B232,'115+040'!$B$11:$AB$621,21,FALSE)</f>
        <v>#REF!</v>
      </c>
      <c r="N232" s="61" t="e">
        <f>VLOOKUP(B232,'115+040'!$B$12:$AB$621,5,FALSE)</f>
        <v>#REF!</v>
      </c>
      <c r="O232" s="60" t="e">
        <f t="shared" si="42"/>
        <v>#REF!</v>
      </c>
      <c r="P232" s="60" t="e">
        <f>VLOOKUP(B232,'115+040'!$B$12:$AB$621,14,FALSE)</f>
        <v>#REF!</v>
      </c>
      <c r="Q232" s="58">
        <f>'115+040'!S230</f>
        <v>5</v>
      </c>
      <c r="R232" s="57">
        <f t="shared" si="47"/>
        <v>735</v>
      </c>
      <c r="S232" s="62" t="e">
        <f>VLOOKUP(B232,'115+040'!$B$11:$AB$621,22,FALSE)</f>
        <v>#REF!</v>
      </c>
      <c r="T232" s="61" t="e">
        <f>VLOOKUP(B232,'115+040'!$B$12:$AB$621,6,FALSE)</f>
        <v>#REF!</v>
      </c>
      <c r="U232" s="60" t="e">
        <f t="shared" si="43"/>
        <v>#REF!</v>
      </c>
      <c r="V232" s="59" t="e">
        <f>VLOOKUP(B232,'115+040'!$B$12:$AB$621,15,FALSE)</f>
        <v>#REF!</v>
      </c>
      <c r="W232" s="58">
        <f>'[4]114+940'!S233</f>
        <v>0</v>
      </c>
      <c r="X232" s="57">
        <f t="shared" si="48"/>
        <v>216</v>
      </c>
      <c r="Y232" s="56" t="e">
        <f t="shared" si="49"/>
        <v>#REF!</v>
      </c>
      <c r="Z232" s="55" t="e">
        <f t="shared" si="50"/>
        <v>#REF!</v>
      </c>
      <c r="AA232" s="54" t="e">
        <f t="shared" si="51"/>
        <v>#REF!</v>
      </c>
      <c r="AB232" s="54" t="e">
        <f t="shared" si="52"/>
        <v>#REF!</v>
      </c>
    </row>
    <row r="233" spans="2:28">
      <c r="B233" s="96" t="e">
        <f>'115+040'!#REF!</f>
        <v>#REF!</v>
      </c>
      <c r="C233" s="66" t="e">
        <f t="shared" si="44"/>
        <v>#REF!</v>
      </c>
      <c r="D233" s="65" t="e">
        <f t="shared" si="45"/>
        <v>#REF!</v>
      </c>
      <c r="E233" s="64" t="e">
        <f>VLOOKUP(B233,'115+040'!B231:AB252,3,FALSE)</f>
        <v>#REF!</v>
      </c>
      <c r="F233" s="61" t="e">
        <f t="shared" si="40"/>
        <v>#REF!</v>
      </c>
      <c r="G233" s="63" t="e">
        <f>VLOOKUP(B233,'115+040'!$B$12:$AB$621,20,FALSE)</f>
        <v>#REF!</v>
      </c>
      <c r="H233" s="63" t="e">
        <f>VLOOKUP(B233,'115+040'!$B$12:$AB$621,4,FALSE)</f>
        <v>#REF!</v>
      </c>
      <c r="I233" s="60" t="e">
        <f t="shared" si="41"/>
        <v>#REF!</v>
      </c>
      <c r="J233" s="60" t="e">
        <f>VLOOKUP(B233,'115+040'!$B$12:$AB$621,13,FALSE)</f>
        <v>#REF!</v>
      </c>
      <c r="K233" s="58">
        <f>'115+040'!R231</f>
        <v>5</v>
      </c>
      <c r="L233" s="57">
        <f t="shared" si="46"/>
        <v>620</v>
      </c>
      <c r="M233" s="62" t="e">
        <f>VLOOKUP(B233,'115+040'!$B$11:$AB$621,21,FALSE)</f>
        <v>#REF!</v>
      </c>
      <c r="N233" s="61" t="e">
        <f>VLOOKUP(B233,'115+040'!$B$12:$AB$621,5,FALSE)</f>
        <v>#REF!</v>
      </c>
      <c r="O233" s="60" t="e">
        <f t="shared" si="42"/>
        <v>#REF!</v>
      </c>
      <c r="P233" s="60" t="e">
        <f>VLOOKUP(B233,'115+040'!$B$12:$AB$621,14,FALSE)</f>
        <v>#REF!</v>
      </c>
      <c r="Q233" s="58">
        <f>'115+040'!S231</f>
        <v>5</v>
      </c>
      <c r="R233" s="57">
        <f t="shared" si="47"/>
        <v>740</v>
      </c>
      <c r="S233" s="62" t="e">
        <f>VLOOKUP(B233,'115+040'!$B$11:$AB$621,22,FALSE)</f>
        <v>#REF!</v>
      </c>
      <c r="T233" s="61" t="e">
        <f>VLOOKUP(B233,'115+040'!$B$12:$AB$621,6,FALSE)</f>
        <v>#REF!</v>
      </c>
      <c r="U233" s="60" t="e">
        <f t="shared" si="43"/>
        <v>#REF!</v>
      </c>
      <c r="V233" s="59" t="e">
        <f>VLOOKUP(B233,'115+040'!$B$12:$AB$621,15,FALSE)</f>
        <v>#REF!</v>
      </c>
      <c r="W233" s="58">
        <f>'[4]114+940'!S234</f>
        <v>0</v>
      </c>
      <c r="X233" s="57">
        <f t="shared" si="48"/>
        <v>216</v>
      </c>
      <c r="Y233" s="56" t="e">
        <f t="shared" si="49"/>
        <v>#REF!</v>
      </c>
      <c r="Z233" s="55" t="e">
        <f t="shared" si="50"/>
        <v>#REF!</v>
      </c>
      <c r="AA233" s="54" t="e">
        <f t="shared" si="51"/>
        <v>#REF!</v>
      </c>
      <c r="AB233" s="54" t="e">
        <f t="shared" si="52"/>
        <v>#REF!</v>
      </c>
    </row>
    <row r="234" spans="2:28">
      <c r="B234" s="96" t="e">
        <f>'115+040'!#REF!</f>
        <v>#REF!</v>
      </c>
      <c r="C234" s="66" t="e">
        <f t="shared" si="44"/>
        <v>#REF!</v>
      </c>
      <c r="D234" s="65" t="e">
        <f t="shared" si="45"/>
        <v>#REF!</v>
      </c>
      <c r="E234" s="64" t="e">
        <f>VLOOKUP(B234,'115+040'!B232:AB252,3,FALSE)</f>
        <v>#REF!</v>
      </c>
      <c r="F234" s="61" t="e">
        <f t="shared" si="40"/>
        <v>#REF!</v>
      </c>
      <c r="G234" s="63" t="e">
        <f>VLOOKUP(B234,'115+040'!$B$12:$AB$621,20,FALSE)</f>
        <v>#REF!</v>
      </c>
      <c r="H234" s="63" t="e">
        <f>VLOOKUP(B234,'115+040'!$B$12:$AB$621,4,FALSE)</f>
        <v>#REF!</v>
      </c>
      <c r="I234" s="60" t="e">
        <f t="shared" si="41"/>
        <v>#REF!</v>
      </c>
      <c r="J234" s="60" t="e">
        <f>VLOOKUP(B234,'115+040'!$B$12:$AB$621,13,FALSE)</f>
        <v>#REF!</v>
      </c>
      <c r="K234" s="58">
        <f>'115+040'!R232</f>
        <v>5</v>
      </c>
      <c r="L234" s="57">
        <f t="shared" si="46"/>
        <v>625</v>
      </c>
      <c r="M234" s="62" t="e">
        <f>VLOOKUP(B234,'115+040'!$B$11:$AB$621,21,FALSE)</f>
        <v>#REF!</v>
      </c>
      <c r="N234" s="61" t="e">
        <f>VLOOKUP(B234,'115+040'!$B$12:$AB$621,5,FALSE)</f>
        <v>#REF!</v>
      </c>
      <c r="O234" s="60" t="e">
        <f t="shared" si="42"/>
        <v>#REF!</v>
      </c>
      <c r="P234" s="60" t="e">
        <f>VLOOKUP(B234,'115+040'!$B$12:$AB$621,14,FALSE)</f>
        <v>#REF!</v>
      </c>
      <c r="Q234" s="58">
        <f>'115+040'!S232</f>
        <v>5</v>
      </c>
      <c r="R234" s="57">
        <f t="shared" si="47"/>
        <v>745</v>
      </c>
      <c r="S234" s="62" t="e">
        <f>VLOOKUP(B234,'115+040'!$B$11:$AB$621,22,FALSE)</f>
        <v>#REF!</v>
      </c>
      <c r="T234" s="61" t="e">
        <f>VLOOKUP(B234,'115+040'!$B$12:$AB$621,6,FALSE)</f>
        <v>#REF!</v>
      </c>
      <c r="U234" s="60" t="e">
        <f t="shared" si="43"/>
        <v>#REF!</v>
      </c>
      <c r="V234" s="59" t="e">
        <f>VLOOKUP(B234,'115+040'!$B$12:$AB$621,15,FALSE)</f>
        <v>#REF!</v>
      </c>
      <c r="W234" s="58">
        <f>'[4]114+940'!S235</f>
        <v>0</v>
      </c>
      <c r="X234" s="57">
        <f t="shared" si="48"/>
        <v>216</v>
      </c>
      <c r="Y234" s="56" t="e">
        <f t="shared" si="49"/>
        <v>#REF!</v>
      </c>
      <c r="Z234" s="55" t="e">
        <f t="shared" si="50"/>
        <v>#REF!</v>
      </c>
      <c r="AA234" s="54" t="e">
        <f t="shared" si="51"/>
        <v>#REF!</v>
      </c>
      <c r="AB234" s="54" t="e">
        <f t="shared" si="52"/>
        <v>#REF!</v>
      </c>
    </row>
    <row r="235" spans="2:28">
      <c r="B235" s="96" t="e">
        <f>'115+040'!#REF!</f>
        <v>#REF!</v>
      </c>
      <c r="C235" s="66" t="e">
        <f t="shared" si="44"/>
        <v>#REF!</v>
      </c>
      <c r="D235" s="65" t="e">
        <f t="shared" si="45"/>
        <v>#REF!</v>
      </c>
      <c r="E235" s="64" t="e">
        <f>VLOOKUP(B235,'115+040'!B233:AB252,3,FALSE)</f>
        <v>#REF!</v>
      </c>
      <c r="F235" s="61" t="e">
        <f t="shared" si="40"/>
        <v>#REF!</v>
      </c>
      <c r="G235" s="63" t="e">
        <f>VLOOKUP(B235,'115+040'!$B$12:$AB$621,20,FALSE)</f>
        <v>#REF!</v>
      </c>
      <c r="H235" s="63" t="e">
        <f>VLOOKUP(B235,'115+040'!$B$12:$AB$621,4,FALSE)</f>
        <v>#REF!</v>
      </c>
      <c r="I235" s="60" t="e">
        <f t="shared" si="41"/>
        <v>#REF!</v>
      </c>
      <c r="J235" s="60" t="e">
        <f>VLOOKUP(B235,'115+040'!$B$12:$AB$621,13,FALSE)</f>
        <v>#REF!</v>
      </c>
      <c r="K235" s="58">
        <f>'115+040'!R233</f>
        <v>5</v>
      </c>
      <c r="L235" s="57">
        <f t="shared" si="46"/>
        <v>630</v>
      </c>
      <c r="M235" s="62" t="e">
        <f>VLOOKUP(B235,'115+040'!$B$11:$AB$621,21,FALSE)</f>
        <v>#REF!</v>
      </c>
      <c r="N235" s="61" t="e">
        <f>VLOOKUP(B235,'115+040'!$B$12:$AB$621,5,FALSE)</f>
        <v>#REF!</v>
      </c>
      <c r="O235" s="60" t="e">
        <f t="shared" si="42"/>
        <v>#REF!</v>
      </c>
      <c r="P235" s="60" t="e">
        <f>VLOOKUP(B235,'115+040'!$B$12:$AB$621,14,FALSE)</f>
        <v>#REF!</v>
      </c>
      <c r="Q235" s="58">
        <f>'115+040'!S233</f>
        <v>5</v>
      </c>
      <c r="R235" s="57">
        <f t="shared" si="47"/>
        <v>750</v>
      </c>
      <c r="S235" s="62" t="e">
        <f>VLOOKUP(B235,'115+040'!$B$11:$AB$621,22,FALSE)</f>
        <v>#REF!</v>
      </c>
      <c r="T235" s="61" t="e">
        <f>VLOOKUP(B235,'115+040'!$B$12:$AB$621,6,FALSE)</f>
        <v>#REF!</v>
      </c>
      <c r="U235" s="60" t="e">
        <f t="shared" si="43"/>
        <v>#REF!</v>
      </c>
      <c r="V235" s="59" t="e">
        <f>VLOOKUP(B235,'115+040'!$B$12:$AB$621,15,FALSE)</f>
        <v>#REF!</v>
      </c>
      <c r="W235" s="58">
        <f>'[4]114+940'!S236</f>
        <v>0</v>
      </c>
      <c r="X235" s="57">
        <f t="shared" si="48"/>
        <v>216</v>
      </c>
      <c r="Y235" s="56" t="e">
        <f t="shared" si="49"/>
        <v>#REF!</v>
      </c>
      <c r="Z235" s="55" t="e">
        <f t="shared" si="50"/>
        <v>#REF!</v>
      </c>
      <c r="AA235" s="54" t="e">
        <f t="shared" si="51"/>
        <v>#REF!</v>
      </c>
      <c r="AB235" s="54" t="e">
        <f t="shared" si="52"/>
        <v>#REF!</v>
      </c>
    </row>
    <row r="236" spans="2:28">
      <c r="B236" s="96" t="e">
        <f>'115+040'!#REF!</f>
        <v>#REF!</v>
      </c>
      <c r="C236" s="66" t="e">
        <f t="shared" si="44"/>
        <v>#REF!</v>
      </c>
      <c r="D236" s="65" t="e">
        <f t="shared" si="45"/>
        <v>#REF!</v>
      </c>
      <c r="E236" s="64" t="e">
        <f>VLOOKUP(B236,'115+040'!B234:AB252,3,FALSE)</f>
        <v>#REF!</v>
      </c>
      <c r="F236" s="61" t="e">
        <f t="shared" si="40"/>
        <v>#REF!</v>
      </c>
      <c r="G236" s="63" t="e">
        <f>VLOOKUP(B236,'115+040'!$B$12:$AB$621,20,FALSE)</f>
        <v>#REF!</v>
      </c>
      <c r="H236" s="63" t="e">
        <f>VLOOKUP(B236,'115+040'!$B$12:$AB$621,4,FALSE)</f>
        <v>#REF!</v>
      </c>
      <c r="I236" s="60" t="e">
        <f t="shared" si="41"/>
        <v>#REF!</v>
      </c>
      <c r="J236" s="60" t="e">
        <f>VLOOKUP(B236,'115+040'!$B$12:$AB$621,13,FALSE)</f>
        <v>#REF!</v>
      </c>
      <c r="K236" s="58">
        <f>'115+040'!R234</f>
        <v>5</v>
      </c>
      <c r="L236" s="57">
        <f t="shared" si="46"/>
        <v>635</v>
      </c>
      <c r="M236" s="62" t="e">
        <f>VLOOKUP(B236,'115+040'!$B$11:$AB$621,21,FALSE)</f>
        <v>#REF!</v>
      </c>
      <c r="N236" s="61" t="e">
        <f>VLOOKUP(B236,'115+040'!$B$12:$AB$621,5,FALSE)</f>
        <v>#REF!</v>
      </c>
      <c r="O236" s="60" t="e">
        <f t="shared" si="42"/>
        <v>#REF!</v>
      </c>
      <c r="P236" s="60" t="e">
        <f>VLOOKUP(B236,'115+040'!$B$12:$AB$621,14,FALSE)</f>
        <v>#REF!</v>
      </c>
      <c r="Q236" s="58">
        <f>'115+040'!S234</f>
        <v>5</v>
      </c>
      <c r="R236" s="57">
        <f t="shared" si="47"/>
        <v>755</v>
      </c>
      <c r="S236" s="62" t="e">
        <f>VLOOKUP(B236,'115+040'!$B$11:$AB$621,22,FALSE)</f>
        <v>#REF!</v>
      </c>
      <c r="T236" s="61" t="e">
        <f>VLOOKUP(B236,'115+040'!$B$12:$AB$621,6,FALSE)</f>
        <v>#REF!</v>
      </c>
      <c r="U236" s="60" t="e">
        <f t="shared" si="43"/>
        <v>#REF!</v>
      </c>
      <c r="V236" s="59" t="e">
        <f>VLOOKUP(B236,'115+040'!$B$12:$AB$621,15,FALSE)</f>
        <v>#REF!</v>
      </c>
      <c r="W236" s="58">
        <f>'[4]114+940'!S237</f>
        <v>0</v>
      </c>
      <c r="X236" s="57">
        <f t="shared" si="48"/>
        <v>216</v>
      </c>
      <c r="Y236" s="56" t="e">
        <f t="shared" si="49"/>
        <v>#REF!</v>
      </c>
      <c r="Z236" s="55" t="e">
        <f t="shared" si="50"/>
        <v>#REF!</v>
      </c>
      <c r="AA236" s="54" t="e">
        <f t="shared" si="51"/>
        <v>#REF!</v>
      </c>
      <c r="AB236" s="54" t="e">
        <f t="shared" si="52"/>
        <v>#REF!</v>
      </c>
    </row>
    <row r="237" spans="2:28">
      <c r="B237" s="96" t="e">
        <f>'115+040'!#REF!</f>
        <v>#REF!</v>
      </c>
      <c r="C237" s="66" t="e">
        <f t="shared" si="44"/>
        <v>#REF!</v>
      </c>
      <c r="D237" s="65" t="e">
        <f t="shared" si="45"/>
        <v>#REF!</v>
      </c>
      <c r="E237" s="64" t="e">
        <f>VLOOKUP(B237,'115+040'!B235:AB252,3,FALSE)</f>
        <v>#REF!</v>
      </c>
      <c r="F237" s="61" t="e">
        <f t="shared" si="40"/>
        <v>#REF!</v>
      </c>
      <c r="G237" s="63" t="e">
        <f>VLOOKUP(B237,'115+040'!$B$12:$AB$621,20,FALSE)</f>
        <v>#REF!</v>
      </c>
      <c r="H237" s="63" t="e">
        <f>VLOOKUP(B237,'115+040'!$B$12:$AB$621,4,FALSE)</f>
        <v>#REF!</v>
      </c>
      <c r="I237" s="60" t="e">
        <f t="shared" si="41"/>
        <v>#REF!</v>
      </c>
      <c r="J237" s="60" t="e">
        <f>VLOOKUP(B237,'115+040'!$B$12:$AB$621,13,FALSE)</f>
        <v>#REF!</v>
      </c>
      <c r="K237" s="58">
        <f>'115+040'!R235</f>
        <v>5</v>
      </c>
      <c r="L237" s="57">
        <f t="shared" si="46"/>
        <v>640</v>
      </c>
      <c r="M237" s="62" t="e">
        <f>VLOOKUP(B237,'115+040'!$B$11:$AB$621,21,FALSE)</f>
        <v>#REF!</v>
      </c>
      <c r="N237" s="61" t="e">
        <f>VLOOKUP(B237,'115+040'!$B$12:$AB$621,5,FALSE)</f>
        <v>#REF!</v>
      </c>
      <c r="O237" s="60" t="e">
        <f t="shared" si="42"/>
        <v>#REF!</v>
      </c>
      <c r="P237" s="60" t="e">
        <f>VLOOKUP(B237,'115+040'!$B$12:$AB$621,14,FALSE)</f>
        <v>#REF!</v>
      </c>
      <c r="Q237" s="58">
        <f>'115+040'!S235</f>
        <v>5</v>
      </c>
      <c r="R237" s="57">
        <f t="shared" si="47"/>
        <v>760</v>
      </c>
      <c r="S237" s="62" t="e">
        <f>VLOOKUP(B237,'115+040'!$B$11:$AB$621,22,FALSE)</f>
        <v>#REF!</v>
      </c>
      <c r="T237" s="61" t="e">
        <f>VLOOKUP(B237,'115+040'!$B$12:$AB$621,6,FALSE)</f>
        <v>#REF!</v>
      </c>
      <c r="U237" s="60" t="e">
        <f t="shared" si="43"/>
        <v>#REF!</v>
      </c>
      <c r="V237" s="59" t="e">
        <f>VLOOKUP(B237,'115+040'!$B$12:$AB$621,15,FALSE)</f>
        <v>#REF!</v>
      </c>
      <c r="W237" s="58">
        <f>'[4]114+940'!S238</f>
        <v>0</v>
      </c>
      <c r="X237" s="57">
        <f t="shared" si="48"/>
        <v>216</v>
      </c>
      <c r="Y237" s="56" t="e">
        <f t="shared" si="49"/>
        <v>#REF!</v>
      </c>
      <c r="Z237" s="55" t="e">
        <f t="shared" si="50"/>
        <v>#REF!</v>
      </c>
      <c r="AA237" s="54" t="e">
        <f t="shared" si="51"/>
        <v>#REF!</v>
      </c>
      <c r="AB237" s="54" t="e">
        <f t="shared" si="52"/>
        <v>#REF!</v>
      </c>
    </row>
    <row r="238" spans="2:28">
      <c r="B238" s="96" t="e">
        <f>'115+040'!#REF!</f>
        <v>#REF!</v>
      </c>
      <c r="C238" s="66" t="e">
        <f t="shared" si="44"/>
        <v>#REF!</v>
      </c>
      <c r="D238" s="65" t="e">
        <f t="shared" si="45"/>
        <v>#REF!</v>
      </c>
      <c r="E238" s="64" t="e">
        <f>VLOOKUP(B238,'115+040'!B236:AB252,3,FALSE)</f>
        <v>#REF!</v>
      </c>
      <c r="F238" s="61" t="e">
        <f t="shared" si="40"/>
        <v>#REF!</v>
      </c>
      <c r="G238" s="63" t="e">
        <f>VLOOKUP(B238,'115+040'!$B$12:$AB$621,20,FALSE)</f>
        <v>#REF!</v>
      </c>
      <c r="H238" s="63" t="e">
        <f>VLOOKUP(B238,'115+040'!$B$12:$AB$621,4,FALSE)</f>
        <v>#REF!</v>
      </c>
      <c r="I238" s="60" t="e">
        <f t="shared" si="41"/>
        <v>#REF!</v>
      </c>
      <c r="J238" s="60" t="e">
        <f>VLOOKUP(B238,'115+040'!$B$12:$AB$621,13,FALSE)</f>
        <v>#REF!</v>
      </c>
      <c r="K238" s="58">
        <f>'115+040'!R236</f>
        <v>5</v>
      </c>
      <c r="L238" s="57">
        <f t="shared" si="46"/>
        <v>645</v>
      </c>
      <c r="M238" s="62" t="e">
        <f>VLOOKUP(B238,'115+040'!$B$11:$AB$621,21,FALSE)</f>
        <v>#REF!</v>
      </c>
      <c r="N238" s="61" t="e">
        <f>VLOOKUP(B238,'115+040'!$B$12:$AB$621,5,FALSE)</f>
        <v>#REF!</v>
      </c>
      <c r="O238" s="60" t="e">
        <f t="shared" si="42"/>
        <v>#REF!</v>
      </c>
      <c r="P238" s="60" t="e">
        <f>VLOOKUP(B238,'115+040'!$B$12:$AB$621,14,FALSE)</f>
        <v>#REF!</v>
      </c>
      <c r="Q238" s="58">
        <f>'115+040'!S236</f>
        <v>5</v>
      </c>
      <c r="R238" s="57">
        <f t="shared" si="47"/>
        <v>765</v>
      </c>
      <c r="S238" s="62" t="e">
        <f>VLOOKUP(B238,'115+040'!$B$11:$AB$621,22,FALSE)</f>
        <v>#REF!</v>
      </c>
      <c r="T238" s="61" t="e">
        <f>VLOOKUP(B238,'115+040'!$B$12:$AB$621,6,FALSE)</f>
        <v>#REF!</v>
      </c>
      <c r="U238" s="60" t="e">
        <f t="shared" si="43"/>
        <v>#REF!</v>
      </c>
      <c r="V238" s="59" t="e">
        <f>VLOOKUP(B238,'115+040'!$B$12:$AB$621,15,FALSE)</f>
        <v>#REF!</v>
      </c>
      <c r="W238" s="58">
        <f>'[4]114+940'!S239</f>
        <v>0</v>
      </c>
      <c r="X238" s="57">
        <f t="shared" si="48"/>
        <v>216</v>
      </c>
      <c r="Y238" s="56" t="e">
        <f t="shared" si="49"/>
        <v>#REF!</v>
      </c>
      <c r="Z238" s="55" t="e">
        <f t="shared" si="50"/>
        <v>#REF!</v>
      </c>
      <c r="AA238" s="54" t="e">
        <f t="shared" si="51"/>
        <v>#REF!</v>
      </c>
      <c r="AB238" s="54" t="e">
        <f t="shared" si="52"/>
        <v>#REF!</v>
      </c>
    </row>
    <row r="239" spans="2:28">
      <c r="B239" s="96" t="e">
        <f>'115+040'!#REF!</f>
        <v>#REF!</v>
      </c>
      <c r="C239" s="66" t="e">
        <f t="shared" si="44"/>
        <v>#REF!</v>
      </c>
      <c r="D239" s="65" t="e">
        <f t="shared" si="45"/>
        <v>#REF!</v>
      </c>
      <c r="E239" s="64" t="e">
        <f>VLOOKUP(B239,'115+040'!B237:AB252,3,FALSE)</f>
        <v>#REF!</v>
      </c>
      <c r="F239" s="61" t="e">
        <f t="shared" si="40"/>
        <v>#REF!</v>
      </c>
      <c r="G239" s="63" t="e">
        <f>VLOOKUP(B239,'115+040'!$B$12:$AB$621,20,FALSE)</f>
        <v>#REF!</v>
      </c>
      <c r="H239" s="63" t="e">
        <f>VLOOKUP(B239,'115+040'!$B$12:$AB$621,4,FALSE)</f>
        <v>#REF!</v>
      </c>
      <c r="I239" s="60" t="e">
        <f t="shared" si="41"/>
        <v>#REF!</v>
      </c>
      <c r="J239" s="60" t="e">
        <f>VLOOKUP(B239,'115+040'!$B$12:$AB$621,13,FALSE)</f>
        <v>#REF!</v>
      </c>
      <c r="K239" s="58">
        <f>'115+040'!R237</f>
        <v>5</v>
      </c>
      <c r="L239" s="57">
        <f t="shared" si="46"/>
        <v>650</v>
      </c>
      <c r="M239" s="62" t="e">
        <f>VLOOKUP(B239,'115+040'!$B$11:$AB$621,21,FALSE)</f>
        <v>#REF!</v>
      </c>
      <c r="N239" s="61" t="e">
        <f>VLOOKUP(B239,'115+040'!$B$12:$AB$621,5,FALSE)</f>
        <v>#REF!</v>
      </c>
      <c r="O239" s="60" t="e">
        <f t="shared" si="42"/>
        <v>#REF!</v>
      </c>
      <c r="P239" s="60" t="e">
        <f>VLOOKUP(B239,'115+040'!$B$12:$AB$621,14,FALSE)</f>
        <v>#REF!</v>
      </c>
      <c r="Q239" s="58">
        <f>'115+040'!S237</f>
        <v>5</v>
      </c>
      <c r="R239" s="57">
        <f t="shared" si="47"/>
        <v>770</v>
      </c>
      <c r="S239" s="62" t="e">
        <f>VLOOKUP(B239,'115+040'!$B$11:$AB$621,22,FALSE)</f>
        <v>#REF!</v>
      </c>
      <c r="T239" s="61" t="e">
        <f>VLOOKUP(B239,'115+040'!$B$12:$AB$621,6,FALSE)</f>
        <v>#REF!</v>
      </c>
      <c r="U239" s="60" t="e">
        <f t="shared" si="43"/>
        <v>#REF!</v>
      </c>
      <c r="V239" s="59" t="e">
        <f>VLOOKUP(B239,'115+040'!$B$12:$AB$621,15,FALSE)</f>
        <v>#REF!</v>
      </c>
      <c r="W239" s="58">
        <f>'[4]114+940'!S240</f>
        <v>0</v>
      </c>
      <c r="X239" s="57">
        <f t="shared" si="48"/>
        <v>216</v>
      </c>
      <c r="Y239" s="56" t="e">
        <f t="shared" si="49"/>
        <v>#REF!</v>
      </c>
      <c r="Z239" s="55" t="e">
        <f t="shared" si="50"/>
        <v>#REF!</v>
      </c>
      <c r="AA239" s="54" t="e">
        <f t="shared" si="51"/>
        <v>#REF!</v>
      </c>
      <c r="AB239" s="54" t="e">
        <f t="shared" si="52"/>
        <v>#REF!</v>
      </c>
    </row>
    <row r="240" spans="2:28">
      <c r="B240" s="96" t="e">
        <f>'115+040'!#REF!</f>
        <v>#REF!</v>
      </c>
      <c r="C240" s="66" t="e">
        <f t="shared" si="44"/>
        <v>#REF!</v>
      </c>
      <c r="D240" s="65" t="e">
        <f t="shared" si="45"/>
        <v>#REF!</v>
      </c>
      <c r="E240" s="64" t="e">
        <f>VLOOKUP(B240,'115+040'!B238:AB252,3,FALSE)</f>
        <v>#REF!</v>
      </c>
      <c r="F240" s="61" t="e">
        <f t="shared" si="40"/>
        <v>#REF!</v>
      </c>
      <c r="G240" s="63" t="e">
        <f>VLOOKUP(B240,'115+040'!$B$12:$AB$621,20,FALSE)</f>
        <v>#REF!</v>
      </c>
      <c r="H240" s="63" t="e">
        <f>VLOOKUP(B240,'115+040'!$B$12:$AB$621,4,FALSE)</f>
        <v>#REF!</v>
      </c>
      <c r="I240" s="60" t="e">
        <f t="shared" si="41"/>
        <v>#REF!</v>
      </c>
      <c r="J240" s="60" t="e">
        <f>VLOOKUP(B240,'115+040'!$B$12:$AB$621,13,FALSE)</f>
        <v>#REF!</v>
      </c>
      <c r="K240" s="58">
        <f>'115+040'!R238</f>
        <v>5</v>
      </c>
      <c r="L240" s="57">
        <f t="shared" si="46"/>
        <v>655</v>
      </c>
      <c r="M240" s="62" t="e">
        <f>VLOOKUP(B240,'115+040'!$B$11:$AB$621,21,FALSE)</f>
        <v>#REF!</v>
      </c>
      <c r="N240" s="61" t="e">
        <f>VLOOKUP(B240,'115+040'!$B$12:$AB$621,5,FALSE)</f>
        <v>#REF!</v>
      </c>
      <c r="O240" s="60" t="e">
        <f t="shared" si="42"/>
        <v>#REF!</v>
      </c>
      <c r="P240" s="60" t="e">
        <f>VLOOKUP(B240,'115+040'!$B$12:$AB$621,14,FALSE)</f>
        <v>#REF!</v>
      </c>
      <c r="Q240" s="58">
        <f>'115+040'!S238</f>
        <v>5</v>
      </c>
      <c r="R240" s="57">
        <f t="shared" si="47"/>
        <v>775</v>
      </c>
      <c r="S240" s="62" t="e">
        <f>VLOOKUP(B240,'115+040'!$B$11:$AB$621,22,FALSE)</f>
        <v>#REF!</v>
      </c>
      <c r="T240" s="61" t="e">
        <f>VLOOKUP(B240,'115+040'!$B$12:$AB$621,6,FALSE)</f>
        <v>#REF!</v>
      </c>
      <c r="U240" s="60" t="e">
        <f t="shared" si="43"/>
        <v>#REF!</v>
      </c>
      <c r="V240" s="59" t="e">
        <f>VLOOKUP(B240,'115+040'!$B$12:$AB$621,15,FALSE)</f>
        <v>#REF!</v>
      </c>
      <c r="W240" s="58">
        <f>'[4]114+940'!S241</f>
        <v>0</v>
      </c>
      <c r="X240" s="57">
        <f t="shared" si="48"/>
        <v>216</v>
      </c>
      <c r="Y240" s="56" t="e">
        <f t="shared" si="49"/>
        <v>#REF!</v>
      </c>
      <c r="Z240" s="55" t="e">
        <f t="shared" si="50"/>
        <v>#REF!</v>
      </c>
      <c r="AA240" s="54" t="e">
        <f t="shared" si="51"/>
        <v>#REF!</v>
      </c>
      <c r="AB240" s="54" t="e">
        <f t="shared" si="52"/>
        <v>#REF!</v>
      </c>
    </row>
    <row r="241" spans="2:28">
      <c r="B241" s="96" t="e">
        <f>'115+040'!#REF!</f>
        <v>#REF!</v>
      </c>
      <c r="C241" s="66" t="e">
        <f t="shared" si="44"/>
        <v>#REF!</v>
      </c>
      <c r="D241" s="65" t="e">
        <f t="shared" si="45"/>
        <v>#REF!</v>
      </c>
      <c r="E241" s="64" t="e">
        <f>VLOOKUP(B241,'115+040'!B239:AB252,3,FALSE)</f>
        <v>#REF!</v>
      </c>
      <c r="F241" s="61" t="e">
        <f t="shared" si="40"/>
        <v>#REF!</v>
      </c>
      <c r="G241" s="63" t="e">
        <f>VLOOKUP(B241,'115+040'!$B$12:$AB$621,20,FALSE)</f>
        <v>#REF!</v>
      </c>
      <c r="H241" s="63" t="e">
        <f>VLOOKUP(B241,'115+040'!$B$12:$AB$621,4,FALSE)</f>
        <v>#REF!</v>
      </c>
      <c r="I241" s="60" t="e">
        <f t="shared" si="41"/>
        <v>#REF!</v>
      </c>
      <c r="J241" s="60" t="e">
        <f>VLOOKUP(B241,'115+040'!$B$12:$AB$621,13,FALSE)</f>
        <v>#REF!</v>
      </c>
      <c r="K241" s="58">
        <f>'115+040'!R239</f>
        <v>5</v>
      </c>
      <c r="L241" s="57">
        <f t="shared" si="46"/>
        <v>660</v>
      </c>
      <c r="M241" s="62" t="e">
        <f>VLOOKUP(B241,'115+040'!$B$11:$AB$621,21,FALSE)</f>
        <v>#REF!</v>
      </c>
      <c r="N241" s="61" t="e">
        <f>VLOOKUP(B241,'115+040'!$B$12:$AB$621,5,FALSE)</f>
        <v>#REF!</v>
      </c>
      <c r="O241" s="60" t="e">
        <f t="shared" si="42"/>
        <v>#REF!</v>
      </c>
      <c r="P241" s="60" t="e">
        <f>VLOOKUP(B241,'115+040'!$B$12:$AB$621,14,FALSE)</f>
        <v>#REF!</v>
      </c>
      <c r="Q241" s="58">
        <f>'115+040'!S239</f>
        <v>5</v>
      </c>
      <c r="R241" s="57">
        <f t="shared" si="47"/>
        <v>780</v>
      </c>
      <c r="S241" s="62" t="e">
        <f>VLOOKUP(B241,'115+040'!$B$11:$AB$621,22,FALSE)</f>
        <v>#REF!</v>
      </c>
      <c r="T241" s="61" t="e">
        <f>VLOOKUP(B241,'115+040'!$B$12:$AB$621,6,FALSE)</f>
        <v>#REF!</v>
      </c>
      <c r="U241" s="60" t="e">
        <f t="shared" si="43"/>
        <v>#REF!</v>
      </c>
      <c r="V241" s="59" t="e">
        <f>VLOOKUP(B241,'115+040'!$B$12:$AB$621,15,FALSE)</f>
        <v>#REF!</v>
      </c>
      <c r="W241" s="58">
        <f>'[4]114+940'!S242</f>
        <v>0</v>
      </c>
      <c r="X241" s="57">
        <f t="shared" si="48"/>
        <v>216</v>
      </c>
      <c r="Y241" s="56" t="e">
        <f t="shared" si="49"/>
        <v>#REF!</v>
      </c>
      <c r="Z241" s="55" t="e">
        <f t="shared" si="50"/>
        <v>#REF!</v>
      </c>
      <c r="AA241" s="54" t="e">
        <f t="shared" si="51"/>
        <v>#REF!</v>
      </c>
      <c r="AB241" s="54" t="e">
        <f t="shared" si="52"/>
        <v>#REF!</v>
      </c>
    </row>
    <row r="242" spans="2:28">
      <c r="B242" s="96" t="e">
        <f>'115+040'!#REF!</f>
        <v>#REF!</v>
      </c>
      <c r="C242" s="66" t="e">
        <f t="shared" si="44"/>
        <v>#REF!</v>
      </c>
      <c r="D242" s="65" t="e">
        <f t="shared" si="45"/>
        <v>#REF!</v>
      </c>
      <c r="E242" s="64" t="e">
        <f>VLOOKUP(B242,'115+040'!B240:AB252,3,FALSE)</f>
        <v>#REF!</v>
      </c>
      <c r="F242" s="61" t="e">
        <f t="shared" si="40"/>
        <v>#REF!</v>
      </c>
      <c r="G242" s="63" t="e">
        <f>VLOOKUP(B242,'115+040'!$B$12:$AB$621,20,FALSE)</f>
        <v>#REF!</v>
      </c>
      <c r="H242" s="63" t="e">
        <f>VLOOKUP(B242,'115+040'!$B$12:$AB$621,4,FALSE)</f>
        <v>#REF!</v>
      </c>
      <c r="I242" s="60" t="e">
        <f t="shared" si="41"/>
        <v>#REF!</v>
      </c>
      <c r="J242" s="60" t="e">
        <f>VLOOKUP(B242,'115+040'!$B$12:$AB$621,13,FALSE)</f>
        <v>#REF!</v>
      </c>
      <c r="K242" s="58">
        <f>'115+040'!R240</f>
        <v>5</v>
      </c>
      <c r="L242" s="57">
        <f t="shared" si="46"/>
        <v>665</v>
      </c>
      <c r="M242" s="62" t="e">
        <f>VLOOKUP(B242,'115+040'!$B$11:$AB$621,21,FALSE)</f>
        <v>#REF!</v>
      </c>
      <c r="N242" s="61" t="e">
        <f>VLOOKUP(B242,'115+040'!$B$12:$AB$621,5,FALSE)</f>
        <v>#REF!</v>
      </c>
      <c r="O242" s="60" t="e">
        <f t="shared" si="42"/>
        <v>#REF!</v>
      </c>
      <c r="P242" s="60" t="e">
        <f>VLOOKUP(B242,'115+040'!$B$12:$AB$621,14,FALSE)</f>
        <v>#REF!</v>
      </c>
      <c r="Q242" s="58">
        <f>'115+040'!S240</f>
        <v>5</v>
      </c>
      <c r="R242" s="57">
        <f t="shared" si="47"/>
        <v>785</v>
      </c>
      <c r="S242" s="62" t="e">
        <f>VLOOKUP(B242,'115+040'!$B$11:$AB$621,22,FALSE)</f>
        <v>#REF!</v>
      </c>
      <c r="T242" s="61" t="e">
        <f>VLOOKUP(B242,'115+040'!$B$12:$AB$621,6,FALSE)</f>
        <v>#REF!</v>
      </c>
      <c r="U242" s="60" t="e">
        <f t="shared" si="43"/>
        <v>#REF!</v>
      </c>
      <c r="V242" s="59" t="e">
        <f>VLOOKUP(B242,'115+040'!$B$12:$AB$621,15,FALSE)</f>
        <v>#REF!</v>
      </c>
      <c r="W242" s="58">
        <f>'[4]114+940'!S243</f>
        <v>0</v>
      </c>
      <c r="X242" s="57">
        <f t="shared" si="48"/>
        <v>216</v>
      </c>
      <c r="Y242" s="56" t="e">
        <f t="shared" si="49"/>
        <v>#REF!</v>
      </c>
      <c r="Z242" s="55" t="e">
        <f t="shared" si="50"/>
        <v>#REF!</v>
      </c>
      <c r="AA242" s="54" t="e">
        <f t="shared" si="51"/>
        <v>#REF!</v>
      </c>
      <c r="AB242" s="54" t="e">
        <f t="shared" si="52"/>
        <v>#REF!</v>
      </c>
    </row>
    <row r="243" spans="2:28">
      <c r="B243" s="96" t="e">
        <f>'115+040'!#REF!</f>
        <v>#REF!</v>
      </c>
      <c r="C243" s="66" t="e">
        <f t="shared" si="44"/>
        <v>#REF!</v>
      </c>
      <c r="D243" s="65" t="e">
        <f t="shared" si="45"/>
        <v>#REF!</v>
      </c>
      <c r="E243" s="64" t="e">
        <f>VLOOKUP(B243,'115+040'!B241:AB252,3,FALSE)</f>
        <v>#REF!</v>
      </c>
      <c r="F243" s="61" t="e">
        <f t="shared" si="40"/>
        <v>#REF!</v>
      </c>
      <c r="G243" s="63" t="e">
        <f>VLOOKUP(B243,'115+040'!$B$12:$AB$621,20,FALSE)</f>
        <v>#REF!</v>
      </c>
      <c r="H243" s="63" t="e">
        <f>VLOOKUP(B243,'115+040'!$B$12:$AB$621,4,FALSE)</f>
        <v>#REF!</v>
      </c>
      <c r="I243" s="60" t="e">
        <f t="shared" si="41"/>
        <v>#REF!</v>
      </c>
      <c r="J243" s="60" t="e">
        <f>VLOOKUP(B243,'115+040'!$B$12:$AB$621,13,FALSE)</f>
        <v>#REF!</v>
      </c>
      <c r="K243" s="58">
        <f>'115+040'!R241</f>
        <v>5</v>
      </c>
      <c r="L243" s="57">
        <f t="shared" si="46"/>
        <v>670</v>
      </c>
      <c r="M243" s="62" t="e">
        <f>VLOOKUP(B243,'115+040'!$B$11:$AB$621,21,FALSE)</f>
        <v>#REF!</v>
      </c>
      <c r="N243" s="61" t="e">
        <f>VLOOKUP(B243,'115+040'!$B$12:$AB$621,5,FALSE)</f>
        <v>#REF!</v>
      </c>
      <c r="O243" s="60" t="e">
        <f t="shared" si="42"/>
        <v>#REF!</v>
      </c>
      <c r="P243" s="60" t="e">
        <f>VLOOKUP(B243,'115+040'!$B$12:$AB$621,14,FALSE)</f>
        <v>#REF!</v>
      </c>
      <c r="Q243" s="58">
        <f>'115+040'!S241</f>
        <v>5</v>
      </c>
      <c r="R243" s="57">
        <f t="shared" si="47"/>
        <v>790</v>
      </c>
      <c r="S243" s="62" t="e">
        <f>VLOOKUP(B243,'115+040'!$B$11:$AB$621,22,FALSE)</f>
        <v>#REF!</v>
      </c>
      <c r="T243" s="61" t="e">
        <f>VLOOKUP(B243,'115+040'!$B$12:$AB$621,6,FALSE)</f>
        <v>#REF!</v>
      </c>
      <c r="U243" s="60" t="e">
        <f t="shared" si="43"/>
        <v>#REF!</v>
      </c>
      <c r="V243" s="59" t="e">
        <f>VLOOKUP(B243,'115+040'!$B$12:$AB$621,15,FALSE)</f>
        <v>#REF!</v>
      </c>
      <c r="W243" s="58">
        <f>'[4]114+940'!S244</f>
        <v>0</v>
      </c>
      <c r="X243" s="57">
        <f t="shared" si="48"/>
        <v>216</v>
      </c>
      <c r="Y243" s="56" t="e">
        <f t="shared" si="49"/>
        <v>#REF!</v>
      </c>
      <c r="Z243" s="55" t="e">
        <f t="shared" si="50"/>
        <v>#REF!</v>
      </c>
      <c r="AA243" s="54" t="e">
        <f t="shared" si="51"/>
        <v>#REF!</v>
      </c>
      <c r="AB243" s="54" t="e">
        <f t="shared" si="52"/>
        <v>#REF!</v>
      </c>
    </row>
    <row r="244" spans="2:28">
      <c r="B244" s="96" t="e">
        <f>'115+040'!#REF!</f>
        <v>#REF!</v>
      </c>
      <c r="C244" s="66" t="e">
        <f t="shared" si="44"/>
        <v>#REF!</v>
      </c>
      <c r="D244" s="65" t="e">
        <f t="shared" si="45"/>
        <v>#REF!</v>
      </c>
      <c r="E244" s="64" t="e">
        <f>VLOOKUP(B244,'115+040'!B242:AB252,3,FALSE)</f>
        <v>#REF!</v>
      </c>
      <c r="F244" s="61" t="e">
        <f t="shared" si="40"/>
        <v>#REF!</v>
      </c>
      <c r="G244" s="63" t="e">
        <f>VLOOKUP(B244,'115+040'!$B$12:$AB$621,20,FALSE)</f>
        <v>#REF!</v>
      </c>
      <c r="H244" s="63" t="e">
        <f>VLOOKUP(B244,'115+040'!$B$12:$AB$621,4,FALSE)</f>
        <v>#REF!</v>
      </c>
      <c r="I244" s="60" t="e">
        <f t="shared" si="41"/>
        <v>#REF!</v>
      </c>
      <c r="J244" s="60" t="e">
        <f>VLOOKUP(B244,'115+040'!$B$12:$AB$621,13,FALSE)</f>
        <v>#REF!</v>
      </c>
      <c r="K244" s="58">
        <f>'115+040'!R242</f>
        <v>5</v>
      </c>
      <c r="L244" s="57">
        <f t="shared" si="46"/>
        <v>675</v>
      </c>
      <c r="M244" s="62" t="e">
        <f>VLOOKUP(B244,'115+040'!$B$11:$AB$621,21,FALSE)</f>
        <v>#REF!</v>
      </c>
      <c r="N244" s="61" t="e">
        <f>VLOOKUP(B244,'115+040'!$B$12:$AB$621,5,FALSE)</f>
        <v>#REF!</v>
      </c>
      <c r="O244" s="60" t="e">
        <f t="shared" si="42"/>
        <v>#REF!</v>
      </c>
      <c r="P244" s="60" t="e">
        <f>VLOOKUP(B244,'115+040'!$B$12:$AB$621,14,FALSE)</f>
        <v>#REF!</v>
      </c>
      <c r="Q244" s="58">
        <f>'115+040'!S242</f>
        <v>5</v>
      </c>
      <c r="R244" s="57">
        <f t="shared" si="47"/>
        <v>795</v>
      </c>
      <c r="S244" s="62" t="e">
        <f>VLOOKUP(B244,'115+040'!$B$11:$AB$621,22,FALSE)</f>
        <v>#REF!</v>
      </c>
      <c r="T244" s="61" t="e">
        <f>VLOOKUP(B244,'115+040'!$B$12:$AB$621,6,FALSE)</f>
        <v>#REF!</v>
      </c>
      <c r="U244" s="60" t="e">
        <f t="shared" si="43"/>
        <v>#REF!</v>
      </c>
      <c r="V244" s="59" t="e">
        <f>VLOOKUP(B244,'115+040'!$B$12:$AB$621,15,FALSE)</f>
        <v>#REF!</v>
      </c>
      <c r="W244" s="58">
        <f>'[4]114+940'!S245</f>
        <v>0</v>
      </c>
      <c r="X244" s="57">
        <f t="shared" si="48"/>
        <v>216</v>
      </c>
      <c r="Y244" s="56" t="e">
        <f t="shared" si="49"/>
        <v>#REF!</v>
      </c>
      <c r="Z244" s="55" t="e">
        <f t="shared" si="50"/>
        <v>#REF!</v>
      </c>
      <c r="AA244" s="54" t="e">
        <f t="shared" si="51"/>
        <v>#REF!</v>
      </c>
      <c r="AB244" s="54" t="e">
        <f t="shared" si="52"/>
        <v>#REF!</v>
      </c>
    </row>
    <row r="245" spans="2:28">
      <c r="B245" s="96" t="e">
        <f>'115+040'!#REF!</f>
        <v>#REF!</v>
      </c>
      <c r="C245" s="66" t="e">
        <f t="shared" si="44"/>
        <v>#REF!</v>
      </c>
      <c r="D245" s="65" t="e">
        <f t="shared" si="45"/>
        <v>#REF!</v>
      </c>
      <c r="E245" s="64" t="e">
        <f>VLOOKUP(B245,'115+040'!B243:AB252,3,FALSE)</f>
        <v>#REF!</v>
      </c>
      <c r="F245" s="61" t="e">
        <f t="shared" si="40"/>
        <v>#REF!</v>
      </c>
      <c r="G245" s="63" t="e">
        <f>VLOOKUP(B245,'115+040'!$B$12:$AB$621,20,FALSE)</f>
        <v>#REF!</v>
      </c>
      <c r="H245" s="63" t="e">
        <f>VLOOKUP(B245,'115+040'!$B$12:$AB$621,4,FALSE)</f>
        <v>#REF!</v>
      </c>
      <c r="I245" s="60" t="e">
        <f t="shared" si="41"/>
        <v>#REF!</v>
      </c>
      <c r="J245" s="60" t="e">
        <f>VLOOKUP(B245,'115+040'!$B$12:$AB$621,13,FALSE)</f>
        <v>#REF!</v>
      </c>
      <c r="K245" s="58">
        <f>'115+040'!R243</f>
        <v>5</v>
      </c>
      <c r="L245" s="57">
        <f t="shared" si="46"/>
        <v>680</v>
      </c>
      <c r="M245" s="62" t="e">
        <f>VLOOKUP(B245,'115+040'!$B$11:$AB$621,21,FALSE)</f>
        <v>#REF!</v>
      </c>
      <c r="N245" s="61" t="e">
        <f>VLOOKUP(B245,'115+040'!$B$12:$AB$621,5,FALSE)</f>
        <v>#REF!</v>
      </c>
      <c r="O245" s="60" t="e">
        <f t="shared" si="42"/>
        <v>#REF!</v>
      </c>
      <c r="P245" s="60" t="e">
        <f>VLOOKUP(B245,'115+040'!$B$12:$AB$621,14,FALSE)</f>
        <v>#REF!</v>
      </c>
      <c r="Q245" s="58">
        <f>'115+040'!S243</f>
        <v>5</v>
      </c>
      <c r="R245" s="57">
        <f t="shared" si="47"/>
        <v>800</v>
      </c>
      <c r="S245" s="62" t="e">
        <f>VLOOKUP(B245,'115+040'!$B$11:$AB$621,22,FALSE)</f>
        <v>#REF!</v>
      </c>
      <c r="T245" s="61" t="e">
        <f>VLOOKUP(B245,'115+040'!$B$12:$AB$621,6,FALSE)</f>
        <v>#REF!</v>
      </c>
      <c r="U245" s="60" t="e">
        <f t="shared" si="43"/>
        <v>#REF!</v>
      </c>
      <c r="V245" s="59" t="e">
        <f>VLOOKUP(B245,'115+040'!$B$12:$AB$621,15,FALSE)</f>
        <v>#REF!</v>
      </c>
      <c r="W245" s="58">
        <f>'[4]114+940'!S246</f>
        <v>0</v>
      </c>
      <c r="X245" s="57">
        <f t="shared" si="48"/>
        <v>216</v>
      </c>
      <c r="Y245" s="56" t="e">
        <f t="shared" si="49"/>
        <v>#REF!</v>
      </c>
      <c r="Z245" s="55" t="e">
        <f t="shared" si="50"/>
        <v>#REF!</v>
      </c>
      <c r="AA245" s="54" t="e">
        <f t="shared" si="51"/>
        <v>#REF!</v>
      </c>
      <c r="AB245" s="54" t="e">
        <f t="shared" si="52"/>
        <v>#REF!</v>
      </c>
    </row>
    <row r="246" spans="2:28">
      <c r="B246" s="96" t="e">
        <f>'115+040'!#REF!</f>
        <v>#REF!</v>
      </c>
      <c r="C246" s="66" t="e">
        <f t="shared" si="44"/>
        <v>#REF!</v>
      </c>
      <c r="D246" s="65" t="e">
        <f t="shared" si="45"/>
        <v>#REF!</v>
      </c>
      <c r="E246" s="64" t="e">
        <f>VLOOKUP(B246,'115+040'!B244:AB252,3,FALSE)</f>
        <v>#REF!</v>
      </c>
      <c r="F246" s="61" t="e">
        <f t="shared" si="40"/>
        <v>#REF!</v>
      </c>
      <c r="G246" s="63" t="e">
        <f>VLOOKUP(B246,'115+040'!$B$12:$AB$621,20,FALSE)</f>
        <v>#REF!</v>
      </c>
      <c r="H246" s="63" t="e">
        <f>VLOOKUP(B246,'115+040'!$B$12:$AB$621,4,FALSE)</f>
        <v>#REF!</v>
      </c>
      <c r="I246" s="60" t="e">
        <f t="shared" si="41"/>
        <v>#REF!</v>
      </c>
      <c r="J246" s="60" t="e">
        <f>VLOOKUP(B246,'115+040'!$B$12:$AB$621,13,FALSE)</f>
        <v>#REF!</v>
      </c>
      <c r="K246" s="58">
        <f>'115+040'!R244</f>
        <v>5</v>
      </c>
      <c r="L246" s="57">
        <f t="shared" si="46"/>
        <v>685</v>
      </c>
      <c r="M246" s="62" t="e">
        <f>VLOOKUP(B246,'115+040'!$B$11:$AB$621,21,FALSE)</f>
        <v>#REF!</v>
      </c>
      <c r="N246" s="61" t="e">
        <f>VLOOKUP(B246,'115+040'!$B$12:$AB$621,5,FALSE)</f>
        <v>#REF!</v>
      </c>
      <c r="O246" s="60" t="e">
        <f t="shared" si="42"/>
        <v>#REF!</v>
      </c>
      <c r="P246" s="60" t="e">
        <f>VLOOKUP(B246,'115+040'!$B$12:$AB$621,14,FALSE)</f>
        <v>#REF!</v>
      </c>
      <c r="Q246" s="58">
        <f>'115+040'!S244</f>
        <v>5</v>
      </c>
      <c r="R246" s="57">
        <f t="shared" si="47"/>
        <v>805</v>
      </c>
      <c r="S246" s="62" t="e">
        <f>VLOOKUP(B246,'115+040'!$B$11:$AB$621,22,FALSE)</f>
        <v>#REF!</v>
      </c>
      <c r="T246" s="61" t="e">
        <f>VLOOKUP(B246,'115+040'!$B$12:$AB$621,6,FALSE)</f>
        <v>#REF!</v>
      </c>
      <c r="U246" s="60" t="e">
        <f t="shared" si="43"/>
        <v>#REF!</v>
      </c>
      <c r="V246" s="59" t="e">
        <f>VLOOKUP(B246,'115+040'!$B$12:$AB$621,15,FALSE)</f>
        <v>#REF!</v>
      </c>
      <c r="W246" s="58">
        <f>'[4]114+940'!S247</f>
        <v>0</v>
      </c>
      <c r="X246" s="57">
        <f t="shared" si="48"/>
        <v>216</v>
      </c>
      <c r="Y246" s="56" t="e">
        <f t="shared" si="49"/>
        <v>#REF!</v>
      </c>
      <c r="Z246" s="55" t="e">
        <f t="shared" si="50"/>
        <v>#REF!</v>
      </c>
      <c r="AA246" s="54" t="e">
        <f t="shared" si="51"/>
        <v>#REF!</v>
      </c>
      <c r="AB246" s="54" t="e">
        <f t="shared" si="52"/>
        <v>#REF!</v>
      </c>
    </row>
    <row r="247" spans="2:28">
      <c r="B247" s="96" t="e">
        <f>'115+040'!#REF!</f>
        <v>#REF!</v>
      </c>
      <c r="C247" s="66" t="e">
        <f t="shared" si="44"/>
        <v>#REF!</v>
      </c>
      <c r="D247" s="65" t="e">
        <f t="shared" si="45"/>
        <v>#REF!</v>
      </c>
      <c r="E247" s="64" t="e">
        <f>VLOOKUP(B247,'115+040'!B245:AB252,3,FALSE)</f>
        <v>#REF!</v>
      </c>
      <c r="F247" s="61" t="e">
        <f t="shared" si="40"/>
        <v>#REF!</v>
      </c>
      <c r="G247" s="63" t="e">
        <f>VLOOKUP(B247,'115+040'!$B$12:$AB$621,20,FALSE)</f>
        <v>#REF!</v>
      </c>
      <c r="H247" s="63" t="e">
        <f>VLOOKUP(B247,'115+040'!$B$12:$AB$621,4,FALSE)</f>
        <v>#REF!</v>
      </c>
      <c r="I247" s="60" t="e">
        <f t="shared" si="41"/>
        <v>#REF!</v>
      </c>
      <c r="J247" s="60" t="e">
        <f>VLOOKUP(B247,'115+040'!$B$12:$AB$621,13,FALSE)</f>
        <v>#REF!</v>
      </c>
      <c r="K247" s="58">
        <f>'115+040'!R245</f>
        <v>5</v>
      </c>
      <c r="L247" s="57">
        <f t="shared" si="46"/>
        <v>690</v>
      </c>
      <c r="M247" s="62" t="e">
        <f>VLOOKUP(B247,'115+040'!$B$11:$AB$621,21,FALSE)</f>
        <v>#REF!</v>
      </c>
      <c r="N247" s="61" t="e">
        <f>VLOOKUP(B247,'115+040'!$B$12:$AB$621,5,FALSE)</f>
        <v>#REF!</v>
      </c>
      <c r="O247" s="60" t="e">
        <f t="shared" si="42"/>
        <v>#REF!</v>
      </c>
      <c r="P247" s="60" t="e">
        <f>VLOOKUP(B247,'115+040'!$B$12:$AB$621,14,FALSE)</f>
        <v>#REF!</v>
      </c>
      <c r="Q247" s="58">
        <f>'115+040'!S245</f>
        <v>5</v>
      </c>
      <c r="R247" s="57">
        <f t="shared" si="47"/>
        <v>810</v>
      </c>
      <c r="S247" s="62" t="e">
        <f>VLOOKUP(B247,'115+040'!$B$11:$AB$621,22,FALSE)</f>
        <v>#REF!</v>
      </c>
      <c r="T247" s="61" t="e">
        <f>VLOOKUP(B247,'115+040'!$B$12:$AB$621,6,FALSE)</f>
        <v>#REF!</v>
      </c>
      <c r="U247" s="60" t="e">
        <f t="shared" si="43"/>
        <v>#REF!</v>
      </c>
      <c r="V247" s="59" t="e">
        <f>VLOOKUP(B247,'115+040'!$B$12:$AB$621,15,FALSE)</f>
        <v>#REF!</v>
      </c>
      <c r="W247" s="58">
        <f>'[4]114+940'!S248</f>
        <v>0</v>
      </c>
      <c r="X247" s="57">
        <f t="shared" si="48"/>
        <v>216</v>
      </c>
      <c r="Y247" s="56" t="e">
        <f t="shared" si="49"/>
        <v>#REF!</v>
      </c>
      <c r="Z247" s="55" t="e">
        <f t="shared" si="50"/>
        <v>#REF!</v>
      </c>
      <c r="AA247" s="54" t="e">
        <f t="shared" si="51"/>
        <v>#REF!</v>
      </c>
      <c r="AB247" s="54" t="e">
        <f t="shared" si="52"/>
        <v>#REF!</v>
      </c>
    </row>
    <row r="248" spans="2:28">
      <c r="B248" s="96" t="e">
        <f>'115+040'!#REF!</f>
        <v>#REF!</v>
      </c>
      <c r="C248" s="66" t="e">
        <f t="shared" si="44"/>
        <v>#REF!</v>
      </c>
      <c r="D248" s="65" t="e">
        <f t="shared" si="45"/>
        <v>#REF!</v>
      </c>
      <c r="E248" s="64" t="e">
        <f>VLOOKUP(B248,'115+040'!B246:AB252,3,FALSE)</f>
        <v>#REF!</v>
      </c>
      <c r="F248" s="61" t="e">
        <f t="shared" si="40"/>
        <v>#REF!</v>
      </c>
      <c r="G248" s="63" t="e">
        <f>VLOOKUP(B248,'115+040'!$B$12:$AB$621,20,FALSE)</f>
        <v>#REF!</v>
      </c>
      <c r="H248" s="63" t="e">
        <f>VLOOKUP(B248,'115+040'!$B$12:$AB$621,4,FALSE)</f>
        <v>#REF!</v>
      </c>
      <c r="I248" s="60" t="e">
        <f t="shared" si="41"/>
        <v>#REF!</v>
      </c>
      <c r="J248" s="60" t="e">
        <f>VLOOKUP(B248,'115+040'!$B$12:$AB$621,13,FALSE)</f>
        <v>#REF!</v>
      </c>
      <c r="K248" s="58">
        <f>'115+040'!R246</f>
        <v>5</v>
      </c>
      <c r="L248" s="57">
        <f t="shared" si="46"/>
        <v>695</v>
      </c>
      <c r="M248" s="62" t="e">
        <f>VLOOKUP(B248,'115+040'!$B$11:$AB$621,21,FALSE)</f>
        <v>#REF!</v>
      </c>
      <c r="N248" s="61" t="e">
        <f>VLOOKUP(B248,'115+040'!$B$12:$AB$621,5,FALSE)</f>
        <v>#REF!</v>
      </c>
      <c r="O248" s="60" t="e">
        <f t="shared" si="42"/>
        <v>#REF!</v>
      </c>
      <c r="P248" s="60" t="e">
        <f>VLOOKUP(B248,'115+040'!$B$12:$AB$621,14,FALSE)</f>
        <v>#REF!</v>
      </c>
      <c r="Q248" s="58">
        <f>'115+040'!S246</f>
        <v>5</v>
      </c>
      <c r="R248" s="57">
        <f t="shared" si="47"/>
        <v>815</v>
      </c>
      <c r="S248" s="62" t="e">
        <f>VLOOKUP(B248,'115+040'!$B$11:$AB$621,22,FALSE)</f>
        <v>#REF!</v>
      </c>
      <c r="T248" s="61" t="e">
        <f>VLOOKUP(B248,'115+040'!$B$12:$AB$621,6,FALSE)</f>
        <v>#REF!</v>
      </c>
      <c r="U248" s="60" t="e">
        <f t="shared" si="43"/>
        <v>#REF!</v>
      </c>
      <c r="V248" s="59" t="e">
        <f>VLOOKUP(B248,'115+040'!$B$12:$AB$621,15,FALSE)</f>
        <v>#REF!</v>
      </c>
      <c r="W248" s="58">
        <f>'[4]114+940'!S249</f>
        <v>0</v>
      </c>
      <c r="X248" s="57">
        <f t="shared" si="48"/>
        <v>216</v>
      </c>
      <c r="Y248" s="56" t="e">
        <f t="shared" si="49"/>
        <v>#REF!</v>
      </c>
      <c r="Z248" s="55" t="e">
        <f t="shared" si="50"/>
        <v>#REF!</v>
      </c>
      <c r="AA248" s="54" t="e">
        <f t="shared" si="51"/>
        <v>#REF!</v>
      </c>
      <c r="AB248" s="54" t="e">
        <f t="shared" si="52"/>
        <v>#REF!</v>
      </c>
    </row>
    <row r="249" spans="2:28">
      <c r="B249" s="96" t="e">
        <f>'115+040'!#REF!</f>
        <v>#REF!</v>
      </c>
      <c r="C249" s="66" t="e">
        <f t="shared" si="44"/>
        <v>#REF!</v>
      </c>
      <c r="D249" s="65" t="e">
        <f t="shared" si="45"/>
        <v>#REF!</v>
      </c>
      <c r="E249" s="64" t="e">
        <f>VLOOKUP(B249,'115+040'!B247:AB252,3,FALSE)</f>
        <v>#REF!</v>
      </c>
      <c r="F249" s="61" t="e">
        <f t="shared" si="40"/>
        <v>#REF!</v>
      </c>
      <c r="G249" s="63" t="e">
        <f>VLOOKUP(B249,'115+040'!$B$12:$AB$621,20,FALSE)</f>
        <v>#REF!</v>
      </c>
      <c r="H249" s="63" t="e">
        <f>VLOOKUP(B249,'115+040'!$B$12:$AB$621,4,FALSE)</f>
        <v>#REF!</v>
      </c>
      <c r="I249" s="60" t="e">
        <f t="shared" si="41"/>
        <v>#REF!</v>
      </c>
      <c r="J249" s="60" t="e">
        <f>VLOOKUP(B249,'115+040'!$B$12:$AB$621,13,FALSE)</f>
        <v>#REF!</v>
      </c>
      <c r="K249" s="58">
        <f>'115+040'!R247</f>
        <v>5</v>
      </c>
      <c r="L249" s="57">
        <f t="shared" si="46"/>
        <v>700</v>
      </c>
      <c r="M249" s="62" t="e">
        <f>VLOOKUP(B249,'115+040'!$B$11:$AB$621,21,FALSE)</f>
        <v>#REF!</v>
      </c>
      <c r="N249" s="61" t="e">
        <f>VLOOKUP(B249,'115+040'!$B$12:$AB$621,5,FALSE)</f>
        <v>#REF!</v>
      </c>
      <c r="O249" s="60" t="e">
        <f t="shared" si="42"/>
        <v>#REF!</v>
      </c>
      <c r="P249" s="60" t="e">
        <f>VLOOKUP(B249,'115+040'!$B$12:$AB$621,14,FALSE)</f>
        <v>#REF!</v>
      </c>
      <c r="Q249" s="58">
        <f>'115+040'!S247</f>
        <v>5</v>
      </c>
      <c r="R249" s="57">
        <f t="shared" si="47"/>
        <v>820</v>
      </c>
      <c r="S249" s="62" t="e">
        <f>VLOOKUP(B249,'115+040'!$B$11:$AB$621,22,FALSE)</f>
        <v>#REF!</v>
      </c>
      <c r="T249" s="61" t="e">
        <f>VLOOKUP(B249,'115+040'!$B$12:$AB$621,6,FALSE)</f>
        <v>#REF!</v>
      </c>
      <c r="U249" s="60" t="e">
        <f t="shared" si="43"/>
        <v>#REF!</v>
      </c>
      <c r="V249" s="59" t="e">
        <f>VLOOKUP(B249,'115+040'!$B$12:$AB$621,15,FALSE)</f>
        <v>#REF!</v>
      </c>
      <c r="W249" s="58">
        <f>'[4]114+940'!S250</f>
        <v>0</v>
      </c>
      <c r="X249" s="57">
        <f t="shared" si="48"/>
        <v>216</v>
      </c>
      <c r="Y249" s="56" t="e">
        <f t="shared" si="49"/>
        <v>#REF!</v>
      </c>
      <c r="Z249" s="55" t="e">
        <f t="shared" si="50"/>
        <v>#REF!</v>
      </c>
      <c r="AA249" s="54" t="e">
        <f t="shared" si="51"/>
        <v>#REF!</v>
      </c>
      <c r="AB249" s="54" t="e">
        <f t="shared" si="52"/>
        <v>#REF!</v>
      </c>
    </row>
    <row r="250" spans="2:28">
      <c r="B250" s="96" t="e">
        <f>'115+040'!#REF!</f>
        <v>#REF!</v>
      </c>
      <c r="C250" s="66" t="e">
        <f t="shared" si="44"/>
        <v>#REF!</v>
      </c>
      <c r="D250" s="65" t="e">
        <f t="shared" si="45"/>
        <v>#REF!</v>
      </c>
      <c r="E250" s="64" t="e">
        <f>VLOOKUP(B250,'115+040'!B248:AB252,3,FALSE)</f>
        <v>#REF!</v>
      </c>
      <c r="F250" s="61" t="e">
        <f t="shared" si="40"/>
        <v>#REF!</v>
      </c>
      <c r="G250" s="63" t="e">
        <f>VLOOKUP(B250,'115+040'!$B$12:$AB$621,20,FALSE)</f>
        <v>#REF!</v>
      </c>
      <c r="H250" s="63" t="e">
        <f>VLOOKUP(B250,'115+040'!$B$12:$AB$621,4,FALSE)</f>
        <v>#REF!</v>
      </c>
      <c r="I250" s="60" t="e">
        <f t="shared" si="41"/>
        <v>#REF!</v>
      </c>
      <c r="J250" s="60" t="e">
        <f>VLOOKUP(B250,'115+040'!$B$12:$AB$621,13,FALSE)</f>
        <v>#REF!</v>
      </c>
      <c r="K250" s="58">
        <f>'115+040'!R248</f>
        <v>5</v>
      </c>
      <c r="L250" s="57">
        <f t="shared" si="46"/>
        <v>705</v>
      </c>
      <c r="M250" s="62" t="e">
        <f>VLOOKUP(B250,'115+040'!$B$11:$AB$621,21,FALSE)</f>
        <v>#REF!</v>
      </c>
      <c r="N250" s="61" t="e">
        <f>VLOOKUP(B250,'115+040'!$B$12:$AB$621,5,FALSE)</f>
        <v>#REF!</v>
      </c>
      <c r="O250" s="60" t="e">
        <f t="shared" si="42"/>
        <v>#REF!</v>
      </c>
      <c r="P250" s="60" t="e">
        <f>VLOOKUP(B250,'115+040'!$B$12:$AB$621,14,FALSE)</f>
        <v>#REF!</v>
      </c>
      <c r="Q250" s="58">
        <f>'115+040'!S248</f>
        <v>5</v>
      </c>
      <c r="R250" s="57">
        <f t="shared" si="47"/>
        <v>825</v>
      </c>
      <c r="S250" s="62" t="e">
        <f>VLOOKUP(B250,'115+040'!$B$11:$AB$621,22,FALSE)</f>
        <v>#REF!</v>
      </c>
      <c r="T250" s="61" t="e">
        <f>VLOOKUP(B250,'115+040'!$B$12:$AB$621,6,FALSE)</f>
        <v>#REF!</v>
      </c>
      <c r="U250" s="60" t="e">
        <f t="shared" si="43"/>
        <v>#REF!</v>
      </c>
      <c r="V250" s="59" t="e">
        <f>VLOOKUP(B250,'115+040'!$B$12:$AB$621,15,FALSE)</f>
        <v>#REF!</v>
      </c>
      <c r="W250" s="58">
        <f>'[4]114+940'!S251</f>
        <v>0</v>
      </c>
      <c r="X250" s="57">
        <f t="shared" si="48"/>
        <v>216</v>
      </c>
      <c r="Y250" s="56" t="e">
        <f t="shared" si="49"/>
        <v>#REF!</v>
      </c>
      <c r="Z250" s="55" t="e">
        <f t="shared" si="50"/>
        <v>#REF!</v>
      </c>
      <c r="AA250" s="54" t="e">
        <f t="shared" si="51"/>
        <v>#REF!</v>
      </c>
      <c r="AB250" s="54" t="e">
        <f t="shared" si="52"/>
        <v>#REF!</v>
      </c>
    </row>
    <row r="251" spans="2:28">
      <c r="B251" s="96" t="e">
        <f>'115+040'!#REF!</f>
        <v>#REF!</v>
      </c>
      <c r="C251" s="66" t="e">
        <f t="shared" si="44"/>
        <v>#REF!</v>
      </c>
      <c r="D251" s="65" t="e">
        <f t="shared" si="45"/>
        <v>#REF!</v>
      </c>
      <c r="E251" s="64" t="e">
        <f>VLOOKUP(B251,'115+040'!B249:AB252,3,FALSE)</f>
        <v>#REF!</v>
      </c>
      <c r="F251" s="61" t="e">
        <f t="shared" si="40"/>
        <v>#REF!</v>
      </c>
      <c r="G251" s="63" t="e">
        <f>VLOOKUP(B251,'115+040'!$B$12:$AB$621,20,FALSE)</f>
        <v>#REF!</v>
      </c>
      <c r="H251" s="63" t="e">
        <f>VLOOKUP(B251,'115+040'!$B$12:$AB$621,4,FALSE)</f>
        <v>#REF!</v>
      </c>
      <c r="I251" s="60" t="e">
        <f t="shared" si="41"/>
        <v>#REF!</v>
      </c>
      <c r="J251" s="60" t="e">
        <f>VLOOKUP(B251,'115+040'!$B$12:$AB$621,13,FALSE)</f>
        <v>#REF!</v>
      </c>
      <c r="K251" s="58">
        <f>'115+040'!R249</f>
        <v>5</v>
      </c>
      <c r="L251" s="57">
        <f t="shared" si="46"/>
        <v>710</v>
      </c>
      <c r="M251" s="62" t="e">
        <f>VLOOKUP(B251,'115+040'!$B$11:$AB$621,21,FALSE)</f>
        <v>#REF!</v>
      </c>
      <c r="N251" s="61" t="e">
        <f>VLOOKUP(B251,'115+040'!$B$12:$AB$621,5,FALSE)</f>
        <v>#REF!</v>
      </c>
      <c r="O251" s="60" t="e">
        <f t="shared" si="42"/>
        <v>#REF!</v>
      </c>
      <c r="P251" s="60" t="e">
        <f>VLOOKUP(B251,'115+040'!$B$12:$AB$621,14,FALSE)</f>
        <v>#REF!</v>
      </c>
      <c r="Q251" s="58">
        <f>'115+040'!S249</f>
        <v>5</v>
      </c>
      <c r="R251" s="57">
        <f t="shared" si="47"/>
        <v>830</v>
      </c>
      <c r="S251" s="62" t="e">
        <f>VLOOKUP(B251,'115+040'!$B$11:$AB$621,22,FALSE)</f>
        <v>#REF!</v>
      </c>
      <c r="T251" s="61" t="e">
        <f>VLOOKUP(B251,'115+040'!$B$12:$AB$621,6,FALSE)</f>
        <v>#REF!</v>
      </c>
      <c r="U251" s="60" t="e">
        <f t="shared" si="43"/>
        <v>#REF!</v>
      </c>
      <c r="V251" s="59" t="e">
        <f>VLOOKUP(B251,'115+040'!$B$12:$AB$621,15,FALSE)</f>
        <v>#REF!</v>
      </c>
      <c r="W251" s="58">
        <f>'[4]114+940'!S252</f>
        <v>0</v>
      </c>
      <c r="X251" s="57">
        <f t="shared" si="48"/>
        <v>216</v>
      </c>
      <c r="Y251" s="56" t="e">
        <f t="shared" si="49"/>
        <v>#REF!</v>
      </c>
      <c r="Z251" s="55" t="e">
        <f t="shared" si="50"/>
        <v>#REF!</v>
      </c>
      <c r="AA251" s="54" t="e">
        <f t="shared" si="51"/>
        <v>#REF!</v>
      </c>
      <c r="AB251" s="54" t="e">
        <f t="shared" si="52"/>
        <v>#REF!</v>
      </c>
    </row>
    <row r="252" spans="2:28">
      <c r="B252" s="96" t="e">
        <f>'115+040'!#REF!</f>
        <v>#REF!</v>
      </c>
      <c r="C252" s="66" t="e">
        <f t="shared" si="44"/>
        <v>#REF!</v>
      </c>
      <c r="D252" s="65" t="e">
        <f t="shared" si="45"/>
        <v>#REF!</v>
      </c>
      <c r="E252" s="64" t="e">
        <f>VLOOKUP(B252,'115+040'!B250:AB252,3,FALSE)</f>
        <v>#REF!</v>
      </c>
      <c r="F252" s="61" t="e">
        <f t="shared" si="40"/>
        <v>#REF!</v>
      </c>
      <c r="G252" s="63" t="e">
        <f>VLOOKUP(B252,'115+040'!$B$12:$AB$621,20,FALSE)</f>
        <v>#REF!</v>
      </c>
      <c r="H252" s="63" t="e">
        <f>VLOOKUP(B252,'115+040'!$B$12:$AB$621,4,FALSE)</f>
        <v>#REF!</v>
      </c>
      <c r="I252" s="60" t="e">
        <f t="shared" si="41"/>
        <v>#REF!</v>
      </c>
      <c r="J252" s="60" t="e">
        <f>VLOOKUP(B252,'115+040'!$B$12:$AB$621,13,FALSE)</f>
        <v>#REF!</v>
      </c>
      <c r="K252" s="58">
        <f>'115+040'!R250</f>
        <v>5</v>
      </c>
      <c r="L252" s="57">
        <f t="shared" si="46"/>
        <v>715</v>
      </c>
      <c r="M252" s="62" t="e">
        <f>VLOOKUP(B252,'115+040'!$B$11:$AB$621,21,FALSE)</f>
        <v>#REF!</v>
      </c>
      <c r="N252" s="61" t="e">
        <f>VLOOKUP(B252,'115+040'!$B$12:$AB$621,5,FALSE)</f>
        <v>#REF!</v>
      </c>
      <c r="O252" s="60" t="e">
        <f t="shared" si="42"/>
        <v>#REF!</v>
      </c>
      <c r="P252" s="60" t="e">
        <f>VLOOKUP(B252,'115+040'!$B$12:$AB$621,14,FALSE)</f>
        <v>#REF!</v>
      </c>
      <c r="Q252" s="58">
        <f>'115+040'!S250</f>
        <v>5</v>
      </c>
      <c r="R252" s="57">
        <f t="shared" si="47"/>
        <v>835</v>
      </c>
      <c r="S252" s="62" t="e">
        <f>VLOOKUP(B252,'115+040'!$B$11:$AB$621,22,FALSE)</f>
        <v>#REF!</v>
      </c>
      <c r="T252" s="61" t="e">
        <f>VLOOKUP(B252,'115+040'!$B$12:$AB$621,6,FALSE)</f>
        <v>#REF!</v>
      </c>
      <c r="U252" s="60" t="e">
        <f t="shared" si="43"/>
        <v>#REF!</v>
      </c>
      <c r="V252" s="59" t="e">
        <f>VLOOKUP(B252,'115+040'!$B$12:$AB$621,15,FALSE)</f>
        <v>#REF!</v>
      </c>
      <c r="W252" s="58">
        <f>'[4]114+940'!S253</f>
        <v>0</v>
      </c>
      <c r="X252" s="57">
        <f t="shared" si="48"/>
        <v>216</v>
      </c>
      <c r="Y252" s="56" t="e">
        <f t="shared" si="49"/>
        <v>#REF!</v>
      </c>
      <c r="Z252" s="55" t="e">
        <f t="shared" si="50"/>
        <v>#REF!</v>
      </c>
      <c r="AA252" s="54" t="e">
        <f t="shared" si="51"/>
        <v>#REF!</v>
      </c>
      <c r="AB252" s="54" t="e">
        <f t="shared" si="52"/>
        <v>#REF!</v>
      </c>
    </row>
    <row r="253" spans="2:28">
      <c r="B253" s="96" t="e">
        <f>'115+040'!#REF!</f>
        <v>#REF!</v>
      </c>
      <c r="C253" s="66" t="e">
        <f t="shared" si="44"/>
        <v>#REF!</v>
      </c>
      <c r="D253" s="65" t="e">
        <f t="shared" si="45"/>
        <v>#REF!</v>
      </c>
      <c r="E253" s="64" t="e">
        <f>VLOOKUP(B253,'115+040'!B251:AB252,3,FALSE)</f>
        <v>#REF!</v>
      </c>
      <c r="F253" s="61" t="e">
        <f t="shared" si="40"/>
        <v>#REF!</v>
      </c>
      <c r="G253" s="63" t="e">
        <f>VLOOKUP(B253,'115+040'!$B$12:$AB$621,20,FALSE)</f>
        <v>#REF!</v>
      </c>
      <c r="H253" s="63" t="e">
        <f>VLOOKUP(B253,'115+040'!$B$12:$AB$621,4,FALSE)</f>
        <v>#REF!</v>
      </c>
      <c r="I253" s="60" t="e">
        <f t="shared" si="41"/>
        <v>#REF!</v>
      </c>
      <c r="J253" s="60" t="e">
        <f>VLOOKUP(B253,'115+040'!$B$12:$AB$621,13,FALSE)</f>
        <v>#REF!</v>
      </c>
      <c r="K253" s="58">
        <f>'115+040'!R251</f>
        <v>5</v>
      </c>
      <c r="L253" s="57">
        <f t="shared" si="46"/>
        <v>720</v>
      </c>
      <c r="M253" s="62" t="e">
        <f>VLOOKUP(B253,'115+040'!$B$11:$AB$621,21,FALSE)</f>
        <v>#REF!</v>
      </c>
      <c r="N253" s="61" t="e">
        <f>VLOOKUP(B253,'115+040'!$B$12:$AB$621,5,FALSE)</f>
        <v>#REF!</v>
      </c>
      <c r="O253" s="60" t="e">
        <f t="shared" si="42"/>
        <v>#REF!</v>
      </c>
      <c r="P253" s="60" t="e">
        <f>VLOOKUP(B253,'115+040'!$B$12:$AB$621,14,FALSE)</f>
        <v>#REF!</v>
      </c>
      <c r="Q253" s="58">
        <f>'115+040'!S251</f>
        <v>5</v>
      </c>
      <c r="R253" s="57">
        <f t="shared" si="47"/>
        <v>840</v>
      </c>
      <c r="S253" s="62" t="e">
        <f>VLOOKUP(B253,'115+040'!$B$11:$AB$621,22,FALSE)</f>
        <v>#REF!</v>
      </c>
      <c r="T253" s="61" t="e">
        <f>VLOOKUP(B253,'115+040'!$B$12:$AB$621,6,FALSE)</f>
        <v>#REF!</v>
      </c>
      <c r="U253" s="60" t="e">
        <f t="shared" si="43"/>
        <v>#REF!</v>
      </c>
      <c r="V253" s="59" t="e">
        <f>VLOOKUP(B253,'115+040'!$B$12:$AB$621,15,FALSE)</f>
        <v>#REF!</v>
      </c>
      <c r="W253" s="58">
        <f>'[4]114+940'!S254</f>
        <v>0</v>
      </c>
      <c r="X253" s="57">
        <f t="shared" si="48"/>
        <v>216</v>
      </c>
      <c r="Y253" s="56" t="e">
        <f t="shared" si="49"/>
        <v>#REF!</v>
      </c>
      <c r="Z253" s="55" t="e">
        <f t="shared" si="50"/>
        <v>#REF!</v>
      </c>
      <c r="AA253" s="54" t="e">
        <f t="shared" si="51"/>
        <v>#REF!</v>
      </c>
      <c r="AB253" s="54" t="e">
        <f t="shared" si="52"/>
        <v>#REF!</v>
      </c>
    </row>
    <row r="254" spans="2:28">
      <c r="B254" s="96" t="e">
        <f>'115+040'!#REF!</f>
        <v>#REF!</v>
      </c>
      <c r="C254" s="66" t="e">
        <f t="shared" si="44"/>
        <v>#REF!</v>
      </c>
      <c r="D254" s="65" t="e">
        <f t="shared" si="45"/>
        <v>#REF!</v>
      </c>
      <c r="E254" s="64" t="e">
        <f>VLOOKUP(B254,'115+040'!B252:AB252,3,FALSE)</f>
        <v>#REF!</v>
      </c>
      <c r="F254" s="61" t="e">
        <f t="shared" si="40"/>
        <v>#REF!</v>
      </c>
      <c r="G254" s="63" t="e">
        <f>VLOOKUP(B254,'115+040'!$B$12:$AB$621,20,FALSE)</f>
        <v>#REF!</v>
      </c>
      <c r="H254" s="63" t="e">
        <f>VLOOKUP(B254,'115+040'!$B$12:$AB$621,4,FALSE)</f>
        <v>#REF!</v>
      </c>
      <c r="I254" s="60" t="e">
        <f t="shared" si="41"/>
        <v>#REF!</v>
      </c>
      <c r="J254" s="60" t="e">
        <f>VLOOKUP(B254,'115+040'!$B$12:$AB$621,13,FALSE)</f>
        <v>#REF!</v>
      </c>
      <c r="K254" s="58">
        <f>'115+040'!R252</f>
        <v>5</v>
      </c>
      <c r="L254" s="57">
        <f t="shared" si="46"/>
        <v>725</v>
      </c>
      <c r="M254" s="62" t="e">
        <f>VLOOKUP(B254,'115+040'!$B$11:$AB$621,21,FALSE)</f>
        <v>#REF!</v>
      </c>
      <c r="N254" s="61" t="e">
        <f>VLOOKUP(B254,'115+040'!$B$12:$AB$621,5,FALSE)</f>
        <v>#REF!</v>
      </c>
      <c r="O254" s="60" t="e">
        <f t="shared" si="42"/>
        <v>#REF!</v>
      </c>
      <c r="P254" s="60" t="e">
        <f>VLOOKUP(B254,'115+040'!$B$12:$AB$621,14,FALSE)</f>
        <v>#REF!</v>
      </c>
      <c r="Q254" s="58">
        <f>'115+040'!S252</f>
        <v>5</v>
      </c>
      <c r="R254" s="57">
        <f t="shared" si="47"/>
        <v>845</v>
      </c>
      <c r="S254" s="62" t="e">
        <f>VLOOKUP(B254,'115+040'!$B$11:$AB$621,22,FALSE)</f>
        <v>#REF!</v>
      </c>
      <c r="T254" s="61" t="e">
        <f>VLOOKUP(B254,'115+040'!$B$12:$AB$621,6,FALSE)</f>
        <v>#REF!</v>
      </c>
      <c r="U254" s="60" t="e">
        <f t="shared" si="43"/>
        <v>#REF!</v>
      </c>
      <c r="V254" s="59" t="e">
        <f>VLOOKUP(B254,'115+040'!$B$12:$AB$621,15,FALSE)</f>
        <v>#REF!</v>
      </c>
      <c r="W254" s="58">
        <f>'[4]114+940'!S255</f>
        <v>0</v>
      </c>
      <c r="X254" s="57">
        <f t="shared" si="48"/>
        <v>216</v>
      </c>
      <c r="Y254" s="56" t="e">
        <f t="shared" si="49"/>
        <v>#REF!</v>
      </c>
      <c r="Z254" s="55" t="e">
        <f t="shared" si="50"/>
        <v>#REF!</v>
      </c>
      <c r="AA254" s="54" t="e">
        <f t="shared" si="51"/>
        <v>#REF!</v>
      </c>
      <c r="AB254" s="54" t="e">
        <f t="shared" si="52"/>
        <v>#REF!</v>
      </c>
    </row>
    <row r="255" spans="2:28">
      <c r="B255" s="96" t="e">
        <f>'115+040'!#REF!</f>
        <v>#REF!</v>
      </c>
      <c r="C255" s="66" t="e">
        <f t="shared" si="44"/>
        <v>#REF!</v>
      </c>
      <c r="D255" s="65" t="e">
        <f t="shared" si="45"/>
        <v>#REF!</v>
      </c>
      <c r="E255" s="64" t="e">
        <f>VLOOKUP(B255,'115+040'!B253:AB253,3,FALSE)</f>
        <v>#REF!</v>
      </c>
      <c r="F255" s="61" t="e">
        <f t="shared" si="40"/>
        <v>#REF!</v>
      </c>
      <c r="G255" s="63" t="e">
        <f>VLOOKUP(B255,'115+040'!$B$12:$AB$621,20,FALSE)</f>
        <v>#REF!</v>
      </c>
      <c r="H255" s="63" t="e">
        <f>VLOOKUP(B255,'115+040'!$B$12:$AB$621,4,FALSE)</f>
        <v>#REF!</v>
      </c>
      <c r="I255" s="60" t="e">
        <f t="shared" si="41"/>
        <v>#REF!</v>
      </c>
      <c r="J255" s="60" t="e">
        <f>VLOOKUP(B255,'115+040'!$B$12:$AB$621,13,FALSE)</f>
        <v>#REF!</v>
      </c>
      <c r="K255" s="58">
        <f>'115+040'!R253</f>
        <v>5</v>
      </c>
      <c r="L255" s="57">
        <f t="shared" si="46"/>
        <v>730</v>
      </c>
      <c r="M255" s="62" t="e">
        <f>VLOOKUP(B255,'115+040'!$B$11:$AB$621,21,FALSE)</f>
        <v>#REF!</v>
      </c>
      <c r="N255" s="61" t="e">
        <f>VLOOKUP(B255,'115+040'!$B$12:$AB$621,5,FALSE)</f>
        <v>#REF!</v>
      </c>
      <c r="O255" s="60" t="e">
        <f t="shared" si="42"/>
        <v>#REF!</v>
      </c>
      <c r="P255" s="60" t="e">
        <f>VLOOKUP(B255,'115+040'!$B$12:$AB$621,14,FALSE)</f>
        <v>#REF!</v>
      </c>
      <c r="Q255" s="58">
        <f>'115+040'!S253</f>
        <v>5</v>
      </c>
      <c r="R255" s="57">
        <f t="shared" si="47"/>
        <v>850</v>
      </c>
      <c r="S255" s="62" t="e">
        <f>VLOOKUP(B255,'115+040'!$B$11:$AB$621,22,FALSE)</f>
        <v>#REF!</v>
      </c>
      <c r="T255" s="61" t="e">
        <f>VLOOKUP(B255,'115+040'!$B$12:$AB$621,6,FALSE)</f>
        <v>#REF!</v>
      </c>
      <c r="U255" s="60" t="e">
        <f t="shared" si="43"/>
        <v>#REF!</v>
      </c>
      <c r="V255" s="59" t="e">
        <f>VLOOKUP(B255,'115+040'!$B$12:$AB$621,15,FALSE)</f>
        <v>#REF!</v>
      </c>
      <c r="W255" s="58">
        <f>'[4]114+940'!S256</f>
        <v>0</v>
      </c>
      <c r="X255" s="57">
        <f t="shared" si="48"/>
        <v>216</v>
      </c>
      <c r="Y255" s="56" t="e">
        <f t="shared" si="49"/>
        <v>#REF!</v>
      </c>
      <c r="Z255" s="55" t="e">
        <f t="shared" si="50"/>
        <v>#REF!</v>
      </c>
      <c r="AA255" s="54" t="e">
        <f t="shared" si="51"/>
        <v>#REF!</v>
      </c>
      <c r="AB255" s="54" t="e">
        <f t="shared" si="52"/>
        <v>#REF!</v>
      </c>
    </row>
    <row r="256" spans="2:28">
      <c r="B256" s="96" t="e">
        <f>'115+040'!#REF!</f>
        <v>#REF!</v>
      </c>
      <c r="C256" s="66" t="e">
        <f t="shared" si="44"/>
        <v>#REF!</v>
      </c>
      <c r="D256" s="65" t="e">
        <f t="shared" si="45"/>
        <v>#REF!</v>
      </c>
      <c r="E256" s="64" t="e">
        <f>VLOOKUP(B256,'115+040'!B254:AB254,3,FALSE)</f>
        <v>#REF!</v>
      </c>
      <c r="F256" s="61" t="e">
        <f t="shared" si="40"/>
        <v>#REF!</v>
      </c>
      <c r="G256" s="63" t="e">
        <f>VLOOKUP(B256,'115+040'!$B$12:$AB$621,20,FALSE)</f>
        <v>#REF!</v>
      </c>
      <c r="H256" s="63" t="e">
        <f>VLOOKUP(B256,'115+040'!$B$12:$AB$621,4,FALSE)</f>
        <v>#REF!</v>
      </c>
      <c r="I256" s="60" t="e">
        <f t="shared" si="41"/>
        <v>#REF!</v>
      </c>
      <c r="J256" s="60" t="e">
        <f>VLOOKUP(B256,'115+040'!$B$12:$AB$621,13,FALSE)</f>
        <v>#REF!</v>
      </c>
      <c r="K256" s="58">
        <f>'115+040'!R254</f>
        <v>5</v>
      </c>
      <c r="L256" s="57">
        <f t="shared" si="46"/>
        <v>735</v>
      </c>
      <c r="M256" s="62" t="e">
        <f>VLOOKUP(B256,'115+040'!$B$11:$AB$621,21,FALSE)</f>
        <v>#REF!</v>
      </c>
      <c r="N256" s="61" t="e">
        <f>VLOOKUP(B256,'115+040'!$B$12:$AB$621,5,FALSE)</f>
        <v>#REF!</v>
      </c>
      <c r="O256" s="60" t="e">
        <f t="shared" si="42"/>
        <v>#REF!</v>
      </c>
      <c r="P256" s="60" t="e">
        <f>VLOOKUP(B256,'115+040'!$B$12:$AB$621,14,FALSE)</f>
        <v>#REF!</v>
      </c>
      <c r="Q256" s="58">
        <f>'115+040'!S254</f>
        <v>5</v>
      </c>
      <c r="R256" s="57">
        <f t="shared" si="47"/>
        <v>855</v>
      </c>
      <c r="S256" s="62" t="e">
        <f>VLOOKUP(B256,'115+040'!$B$11:$AB$621,22,FALSE)</f>
        <v>#REF!</v>
      </c>
      <c r="T256" s="61" t="e">
        <f>VLOOKUP(B256,'115+040'!$B$12:$AB$621,6,FALSE)</f>
        <v>#REF!</v>
      </c>
      <c r="U256" s="60" t="e">
        <f t="shared" si="43"/>
        <v>#REF!</v>
      </c>
      <c r="V256" s="59" t="e">
        <f>VLOOKUP(B256,'115+040'!$B$12:$AB$621,15,FALSE)</f>
        <v>#REF!</v>
      </c>
      <c r="W256" s="58">
        <f>'[4]114+940'!S257</f>
        <v>0</v>
      </c>
      <c r="X256" s="57">
        <f t="shared" si="48"/>
        <v>216</v>
      </c>
      <c r="Y256" s="56" t="e">
        <f t="shared" si="49"/>
        <v>#REF!</v>
      </c>
      <c r="Z256" s="55" t="e">
        <f t="shared" si="50"/>
        <v>#REF!</v>
      </c>
      <c r="AA256" s="54" t="e">
        <f t="shared" si="51"/>
        <v>#REF!</v>
      </c>
      <c r="AB256" s="54" t="e">
        <f t="shared" si="52"/>
        <v>#REF!</v>
      </c>
    </row>
    <row r="257" spans="2:28">
      <c r="B257" s="96" t="e">
        <f>'115+040'!#REF!</f>
        <v>#REF!</v>
      </c>
      <c r="C257" s="66" t="e">
        <f t="shared" si="44"/>
        <v>#REF!</v>
      </c>
      <c r="D257" s="65" t="e">
        <f t="shared" si="45"/>
        <v>#REF!</v>
      </c>
      <c r="E257" s="64" t="e">
        <f>VLOOKUP(B257,'115+040'!B255:AB255,3,FALSE)</f>
        <v>#REF!</v>
      </c>
      <c r="F257" s="61" t="e">
        <f t="shared" si="40"/>
        <v>#REF!</v>
      </c>
      <c r="G257" s="63" t="e">
        <f>VLOOKUP(B257,'115+040'!$B$12:$AB$621,20,FALSE)</f>
        <v>#REF!</v>
      </c>
      <c r="H257" s="63" t="e">
        <f>VLOOKUP(B257,'115+040'!$B$12:$AB$621,4,FALSE)</f>
        <v>#REF!</v>
      </c>
      <c r="I257" s="60" t="e">
        <f t="shared" si="41"/>
        <v>#REF!</v>
      </c>
      <c r="J257" s="60" t="e">
        <f>VLOOKUP(B257,'115+040'!$B$12:$AB$621,13,FALSE)</f>
        <v>#REF!</v>
      </c>
      <c r="K257" s="58">
        <f>'115+040'!R255</f>
        <v>5</v>
      </c>
      <c r="L257" s="57">
        <f t="shared" si="46"/>
        <v>740</v>
      </c>
      <c r="M257" s="62" t="e">
        <f>VLOOKUP(B257,'115+040'!$B$11:$AB$621,21,FALSE)</f>
        <v>#REF!</v>
      </c>
      <c r="N257" s="61" t="e">
        <f>VLOOKUP(B257,'115+040'!$B$12:$AB$621,5,FALSE)</f>
        <v>#REF!</v>
      </c>
      <c r="O257" s="60" t="e">
        <f t="shared" si="42"/>
        <v>#REF!</v>
      </c>
      <c r="P257" s="60" t="e">
        <f>VLOOKUP(B257,'115+040'!$B$12:$AB$621,14,FALSE)</f>
        <v>#REF!</v>
      </c>
      <c r="Q257" s="58">
        <f>'115+040'!S255</f>
        <v>6</v>
      </c>
      <c r="R257" s="57">
        <f t="shared" si="47"/>
        <v>861</v>
      </c>
      <c r="S257" s="62" t="e">
        <f>VLOOKUP(B257,'115+040'!$B$11:$AB$621,22,FALSE)</f>
        <v>#REF!</v>
      </c>
      <c r="T257" s="61" t="e">
        <f>VLOOKUP(B257,'115+040'!$B$12:$AB$621,6,FALSE)</f>
        <v>#REF!</v>
      </c>
      <c r="U257" s="60" t="e">
        <f t="shared" si="43"/>
        <v>#REF!</v>
      </c>
      <c r="V257" s="59" t="e">
        <f>VLOOKUP(B257,'115+040'!$B$12:$AB$621,15,FALSE)</f>
        <v>#REF!</v>
      </c>
      <c r="W257" s="58">
        <f>'[4]114+940'!S258</f>
        <v>0</v>
      </c>
      <c r="X257" s="57">
        <f t="shared" si="48"/>
        <v>216</v>
      </c>
      <c r="Y257" s="56" t="e">
        <f t="shared" si="49"/>
        <v>#REF!</v>
      </c>
      <c r="Z257" s="55" t="e">
        <f t="shared" si="50"/>
        <v>#REF!</v>
      </c>
      <c r="AA257" s="54" t="e">
        <f t="shared" si="51"/>
        <v>#REF!</v>
      </c>
      <c r="AB257" s="54" t="e">
        <f t="shared" si="52"/>
        <v>#REF!</v>
      </c>
    </row>
    <row r="258" spans="2:28">
      <c r="B258" s="96" t="e">
        <f>'115+040'!#REF!</f>
        <v>#REF!</v>
      </c>
      <c r="C258" s="66" t="e">
        <f t="shared" si="44"/>
        <v>#REF!</v>
      </c>
      <c r="D258" s="65" t="e">
        <f t="shared" si="45"/>
        <v>#REF!</v>
      </c>
      <c r="E258" s="64" t="e">
        <f>VLOOKUP(B258,'115+040'!B256:AB256,3,FALSE)</f>
        <v>#REF!</v>
      </c>
      <c r="F258" s="61" t="e">
        <f t="shared" si="40"/>
        <v>#REF!</v>
      </c>
      <c r="G258" s="63" t="e">
        <f>VLOOKUP(B258,'115+040'!$B$12:$AB$621,20,FALSE)</f>
        <v>#REF!</v>
      </c>
      <c r="H258" s="63" t="e">
        <f>VLOOKUP(B258,'115+040'!$B$12:$AB$621,4,FALSE)</f>
        <v>#REF!</v>
      </c>
      <c r="I258" s="60" t="e">
        <f t="shared" si="41"/>
        <v>#REF!</v>
      </c>
      <c r="J258" s="60" t="e">
        <f>VLOOKUP(B258,'115+040'!$B$12:$AB$621,13,FALSE)</f>
        <v>#REF!</v>
      </c>
      <c r="K258" s="58">
        <f>'115+040'!R256</f>
        <v>5</v>
      </c>
      <c r="L258" s="57">
        <f t="shared" si="46"/>
        <v>745</v>
      </c>
      <c r="M258" s="62" t="e">
        <f>VLOOKUP(B258,'115+040'!$B$11:$AB$621,21,FALSE)</f>
        <v>#REF!</v>
      </c>
      <c r="N258" s="61" t="e">
        <f>VLOOKUP(B258,'115+040'!$B$12:$AB$621,5,FALSE)</f>
        <v>#REF!</v>
      </c>
      <c r="O258" s="60" t="e">
        <f t="shared" si="42"/>
        <v>#REF!</v>
      </c>
      <c r="P258" s="60" t="e">
        <f>VLOOKUP(B258,'115+040'!$B$12:$AB$621,14,FALSE)</f>
        <v>#REF!</v>
      </c>
      <c r="Q258" s="58">
        <f>'115+040'!S256</f>
        <v>5</v>
      </c>
      <c r="R258" s="57">
        <f t="shared" si="47"/>
        <v>866</v>
      </c>
      <c r="S258" s="62" t="e">
        <f>VLOOKUP(B258,'115+040'!$B$11:$AB$621,22,FALSE)</f>
        <v>#REF!</v>
      </c>
      <c r="T258" s="61" t="e">
        <f>VLOOKUP(B258,'115+040'!$B$12:$AB$621,6,FALSE)</f>
        <v>#REF!</v>
      </c>
      <c r="U258" s="60" t="e">
        <f t="shared" si="43"/>
        <v>#REF!</v>
      </c>
      <c r="V258" s="59" t="e">
        <f>VLOOKUP(B258,'115+040'!$B$12:$AB$621,15,FALSE)</f>
        <v>#REF!</v>
      </c>
      <c r="W258" s="58">
        <f>'[4]114+940'!S259</f>
        <v>0</v>
      </c>
      <c r="X258" s="57">
        <f t="shared" si="48"/>
        <v>216</v>
      </c>
      <c r="Y258" s="56" t="e">
        <f t="shared" si="49"/>
        <v>#REF!</v>
      </c>
      <c r="Z258" s="55" t="e">
        <f t="shared" si="50"/>
        <v>#REF!</v>
      </c>
      <c r="AA258" s="54" t="e">
        <f t="shared" si="51"/>
        <v>#REF!</v>
      </c>
      <c r="AB258" s="54" t="e">
        <f t="shared" si="52"/>
        <v>#REF!</v>
      </c>
    </row>
    <row r="259" spans="2:28">
      <c r="B259" s="96" t="e">
        <f>'115+040'!#REF!</f>
        <v>#REF!</v>
      </c>
      <c r="C259" s="66" t="e">
        <f t="shared" si="44"/>
        <v>#REF!</v>
      </c>
      <c r="D259" s="65" t="e">
        <f t="shared" si="45"/>
        <v>#REF!</v>
      </c>
      <c r="E259" s="64" t="e">
        <f>VLOOKUP(B259,'115+040'!B257:AB257,3,FALSE)</f>
        <v>#REF!</v>
      </c>
      <c r="F259" s="61" t="e">
        <f t="shared" si="40"/>
        <v>#REF!</v>
      </c>
      <c r="G259" s="63" t="e">
        <f>VLOOKUP(B259,'115+040'!$B$12:$AB$621,20,FALSE)</f>
        <v>#REF!</v>
      </c>
      <c r="H259" s="63" t="e">
        <f>VLOOKUP(B259,'115+040'!$B$12:$AB$621,4,FALSE)</f>
        <v>#REF!</v>
      </c>
      <c r="I259" s="60" t="e">
        <f t="shared" si="41"/>
        <v>#REF!</v>
      </c>
      <c r="J259" s="60" t="e">
        <f>VLOOKUP(B259,'115+040'!$B$12:$AB$621,13,FALSE)</f>
        <v>#REF!</v>
      </c>
      <c r="K259" s="58">
        <f>'115+040'!R257</f>
        <v>5</v>
      </c>
      <c r="L259" s="57">
        <f t="shared" si="46"/>
        <v>750</v>
      </c>
      <c r="M259" s="62" t="e">
        <f>VLOOKUP(B259,'115+040'!$B$11:$AB$621,21,FALSE)</f>
        <v>#REF!</v>
      </c>
      <c r="N259" s="61" t="e">
        <f>VLOOKUP(B259,'115+040'!$B$12:$AB$621,5,FALSE)</f>
        <v>#REF!</v>
      </c>
      <c r="O259" s="60" t="e">
        <f t="shared" si="42"/>
        <v>#REF!</v>
      </c>
      <c r="P259" s="60" t="e">
        <f>VLOOKUP(B259,'115+040'!$B$12:$AB$621,14,FALSE)</f>
        <v>#REF!</v>
      </c>
      <c r="Q259" s="58">
        <f>'115+040'!S257</f>
        <v>5</v>
      </c>
      <c r="R259" s="57">
        <f t="shared" si="47"/>
        <v>871</v>
      </c>
      <c r="S259" s="62" t="e">
        <f>VLOOKUP(B259,'115+040'!$B$11:$AB$621,22,FALSE)</f>
        <v>#REF!</v>
      </c>
      <c r="T259" s="61" t="e">
        <f>VLOOKUP(B259,'115+040'!$B$12:$AB$621,6,FALSE)</f>
        <v>#REF!</v>
      </c>
      <c r="U259" s="60" t="e">
        <f t="shared" si="43"/>
        <v>#REF!</v>
      </c>
      <c r="V259" s="59" t="e">
        <f>VLOOKUP(B259,'115+040'!$B$12:$AB$621,15,FALSE)</f>
        <v>#REF!</v>
      </c>
      <c r="W259" s="58">
        <f>'[4]114+940'!S260</f>
        <v>0</v>
      </c>
      <c r="X259" s="57">
        <f t="shared" si="48"/>
        <v>216</v>
      </c>
      <c r="Y259" s="56" t="e">
        <f t="shared" si="49"/>
        <v>#REF!</v>
      </c>
      <c r="Z259" s="55" t="e">
        <f t="shared" si="50"/>
        <v>#REF!</v>
      </c>
      <c r="AA259" s="54" t="e">
        <f t="shared" si="51"/>
        <v>#REF!</v>
      </c>
      <c r="AB259" s="54" t="e">
        <f t="shared" si="52"/>
        <v>#REF!</v>
      </c>
    </row>
    <row r="260" spans="2:28">
      <c r="B260" s="96" t="e">
        <f>'115+040'!#REF!</f>
        <v>#REF!</v>
      </c>
      <c r="C260" s="66" t="e">
        <f t="shared" si="44"/>
        <v>#REF!</v>
      </c>
      <c r="D260" s="65" t="e">
        <f t="shared" si="45"/>
        <v>#REF!</v>
      </c>
      <c r="E260" s="64" t="e">
        <f>VLOOKUP(B260,'115+040'!B258:AB258,3,FALSE)</f>
        <v>#REF!</v>
      </c>
      <c r="F260" s="61" t="e">
        <f t="shared" si="40"/>
        <v>#REF!</v>
      </c>
      <c r="G260" s="63" t="e">
        <f>VLOOKUP(B260,'115+040'!$B$12:$AB$621,20,FALSE)</f>
        <v>#REF!</v>
      </c>
      <c r="H260" s="63" t="e">
        <f>VLOOKUP(B260,'115+040'!$B$12:$AB$621,4,FALSE)</f>
        <v>#REF!</v>
      </c>
      <c r="I260" s="60" t="e">
        <f t="shared" si="41"/>
        <v>#REF!</v>
      </c>
      <c r="J260" s="60" t="e">
        <f>VLOOKUP(B260,'115+040'!$B$12:$AB$621,13,FALSE)</f>
        <v>#REF!</v>
      </c>
      <c r="K260" s="58">
        <f>'115+040'!R258</f>
        <v>4</v>
      </c>
      <c r="L260" s="57">
        <f t="shared" si="46"/>
        <v>754</v>
      </c>
      <c r="M260" s="62" t="e">
        <f>VLOOKUP(B260,'115+040'!$B$11:$AB$621,21,FALSE)</f>
        <v>#REF!</v>
      </c>
      <c r="N260" s="61" t="e">
        <f>VLOOKUP(B260,'115+040'!$B$12:$AB$621,5,FALSE)</f>
        <v>#REF!</v>
      </c>
      <c r="O260" s="60" t="e">
        <f t="shared" si="42"/>
        <v>#REF!</v>
      </c>
      <c r="P260" s="60" t="e">
        <f>VLOOKUP(B260,'115+040'!$B$12:$AB$621,14,FALSE)</f>
        <v>#REF!</v>
      </c>
      <c r="Q260" s="58">
        <f>'115+040'!S258</f>
        <v>5</v>
      </c>
      <c r="R260" s="57">
        <f t="shared" si="47"/>
        <v>876</v>
      </c>
      <c r="S260" s="62" t="e">
        <f>VLOOKUP(B260,'115+040'!$B$11:$AB$621,22,FALSE)</f>
        <v>#REF!</v>
      </c>
      <c r="T260" s="61" t="e">
        <f>VLOOKUP(B260,'115+040'!$B$12:$AB$621,6,FALSE)</f>
        <v>#REF!</v>
      </c>
      <c r="U260" s="60" t="e">
        <f t="shared" si="43"/>
        <v>#REF!</v>
      </c>
      <c r="V260" s="59" t="e">
        <f>VLOOKUP(B260,'115+040'!$B$12:$AB$621,15,FALSE)</f>
        <v>#REF!</v>
      </c>
      <c r="W260" s="58">
        <f>'[4]114+940'!S261</f>
        <v>0</v>
      </c>
      <c r="X260" s="57">
        <f t="shared" si="48"/>
        <v>216</v>
      </c>
      <c r="Y260" s="56" t="e">
        <f t="shared" si="49"/>
        <v>#REF!</v>
      </c>
      <c r="Z260" s="55" t="e">
        <f t="shared" si="50"/>
        <v>#REF!</v>
      </c>
      <c r="AA260" s="54" t="e">
        <f t="shared" si="51"/>
        <v>#REF!</v>
      </c>
      <c r="AB260" s="54" t="e">
        <f t="shared" si="52"/>
        <v>#REF!</v>
      </c>
    </row>
    <row r="261" spans="2:28">
      <c r="B261" s="96" t="e">
        <f>'115+040'!#REF!</f>
        <v>#REF!</v>
      </c>
      <c r="C261" s="66" t="e">
        <f t="shared" si="44"/>
        <v>#REF!</v>
      </c>
      <c r="D261" s="65" t="e">
        <f t="shared" si="45"/>
        <v>#REF!</v>
      </c>
      <c r="E261" s="64" t="e">
        <f>VLOOKUP(B261,'115+040'!B259:AB259,3,FALSE)</f>
        <v>#REF!</v>
      </c>
      <c r="F261" s="61" t="e">
        <f t="shared" si="40"/>
        <v>#REF!</v>
      </c>
      <c r="G261" s="63" t="e">
        <f>VLOOKUP(B261,'115+040'!$B$12:$AB$621,20,FALSE)</f>
        <v>#REF!</v>
      </c>
      <c r="H261" s="63" t="e">
        <f>VLOOKUP(B261,'115+040'!$B$12:$AB$621,4,FALSE)</f>
        <v>#REF!</v>
      </c>
      <c r="I261" s="60" t="e">
        <f t="shared" si="41"/>
        <v>#REF!</v>
      </c>
      <c r="J261" s="60" t="e">
        <f>VLOOKUP(B261,'115+040'!$B$12:$AB$621,13,FALSE)</f>
        <v>#REF!</v>
      </c>
      <c r="K261" s="58">
        <f>'115+040'!R259</f>
        <v>4</v>
      </c>
      <c r="L261" s="57">
        <f t="shared" si="46"/>
        <v>758</v>
      </c>
      <c r="M261" s="62" t="e">
        <f>VLOOKUP(B261,'115+040'!$B$11:$AB$621,21,FALSE)</f>
        <v>#REF!</v>
      </c>
      <c r="N261" s="61" t="e">
        <f>VLOOKUP(B261,'115+040'!$B$12:$AB$621,5,FALSE)</f>
        <v>#REF!</v>
      </c>
      <c r="O261" s="60" t="e">
        <f t="shared" si="42"/>
        <v>#REF!</v>
      </c>
      <c r="P261" s="60" t="e">
        <f>VLOOKUP(B261,'115+040'!$B$12:$AB$621,14,FALSE)</f>
        <v>#REF!</v>
      </c>
      <c r="Q261" s="58">
        <f>'115+040'!S259</f>
        <v>5</v>
      </c>
      <c r="R261" s="57">
        <f t="shared" si="47"/>
        <v>881</v>
      </c>
      <c r="S261" s="62" t="e">
        <f>VLOOKUP(B261,'115+040'!$B$11:$AB$621,22,FALSE)</f>
        <v>#REF!</v>
      </c>
      <c r="T261" s="61" t="e">
        <f>VLOOKUP(B261,'115+040'!$B$12:$AB$621,6,FALSE)</f>
        <v>#REF!</v>
      </c>
      <c r="U261" s="60" t="e">
        <f t="shared" si="43"/>
        <v>#REF!</v>
      </c>
      <c r="V261" s="59" t="e">
        <f>VLOOKUP(B261,'115+040'!$B$12:$AB$621,15,FALSE)</f>
        <v>#REF!</v>
      </c>
      <c r="W261" s="58">
        <f>'[4]114+940'!S262</f>
        <v>0</v>
      </c>
      <c r="X261" s="57">
        <f t="shared" si="48"/>
        <v>216</v>
      </c>
      <c r="Y261" s="56" t="e">
        <f t="shared" si="49"/>
        <v>#REF!</v>
      </c>
      <c r="Z261" s="55" t="e">
        <f t="shared" si="50"/>
        <v>#REF!</v>
      </c>
      <c r="AA261" s="54" t="e">
        <f t="shared" si="51"/>
        <v>#REF!</v>
      </c>
      <c r="AB261" s="54" t="e">
        <f t="shared" si="52"/>
        <v>#REF!</v>
      </c>
    </row>
    <row r="262" spans="2:28">
      <c r="B262" s="96" t="e">
        <f>'115+040'!#REF!</f>
        <v>#REF!</v>
      </c>
      <c r="C262" s="66" t="e">
        <f t="shared" si="44"/>
        <v>#REF!</v>
      </c>
      <c r="D262" s="65" t="e">
        <f t="shared" si="45"/>
        <v>#REF!</v>
      </c>
      <c r="E262" s="64" t="e">
        <f>VLOOKUP(B262,'115+040'!B260:AB260,3,FALSE)</f>
        <v>#REF!</v>
      </c>
      <c r="F262" s="61" t="e">
        <f t="shared" si="40"/>
        <v>#REF!</v>
      </c>
      <c r="G262" s="63" t="e">
        <f>VLOOKUP(B262,'115+040'!$B$12:$AB$621,20,FALSE)</f>
        <v>#REF!</v>
      </c>
      <c r="H262" s="63" t="e">
        <f>VLOOKUP(B262,'115+040'!$B$12:$AB$621,4,FALSE)</f>
        <v>#REF!</v>
      </c>
      <c r="I262" s="60" t="e">
        <f t="shared" si="41"/>
        <v>#REF!</v>
      </c>
      <c r="J262" s="60" t="e">
        <f>VLOOKUP(B262,'115+040'!$B$12:$AB$621,13,FALSE)</f>
        <v>#REF!</v>
      </c>
      <c r="K262" s="58">
        <f>'115+040'!R260</f>
        <v>4</v>
      </c>
      <c r="L262" s="57">
        <f t="shared" si="46"/>
        <v>762</v>
      </c>
      <c r="M262" s="62" t="e">
        <f>VLOOKUP(B262,'115+040'!$B$11:$AB$621,21,FALSE)</f>
        <v>#REF!</v>
      </c>
      <c r="N262" s="61" t="e">
        <f>VLOOKUP(B262,'115+040'!$B$12:$AB$621,5,FALSE)</f>
        <v>#REF!</v>
      </c>
      <c r="O262" s="60" t="e">
        <f t="shared" si="42"/>
        <v>#REF!</v>
      </c>
      <c r="P262" s="60" t="e">
        <f>VLOOKUP(B262,'115+040'!$B$12:$AB$621,14,FALSE)</f>
        <v>#REF!</v>
      </c>
      <c r="Q262" s="58">
        <f>'115+040'!S260</f>
        <v>4</v>
      </c>
      <c r="R262" s="57">
        <f t="shared" si="47"/>
        <v>885</v>
      </c>
      <c r="S262" s="62" t="e">
        <f>VLOOKUP(B262,'115+040'!$B$11:$AB$621,22,FALSE)</f>
        <v>#REF!</v>
      </c>
      <c r="T262" s="61" t="e">
        <f>VLOOKUP(B262,'115+040'!$B$12:$AB$621,6,FALSE)</f>
        <v>#REF!</v>
      </c>
      <c r="U262" s="60" t="e">
        <f t="shared" si="43"/>
        <v>#REF!</v>
      </c>
      <c r="V262" s="59" t="e">
        <f>VLOOKUP(B262,'115+040'!$B$12:$AB$621,15,FALSE)</f>
        <v>#REF!</v>
      </c>
      <c r="W262" s="58">
        <f>'[4]114+940'!S263</f>
        <v>0</v>
      </c>
      <c r="X262" s="57">
        <f t="shared" si="48"/>
        <v>216</v>
      </c>
      <c r="Y262" s="56" t="e">
        <f t="shared" si="49"/>
        <v>#REF!</v>
      </c>
      <c r="Z262" s="55" t="e">
        <f t="shared" si="50"/>
        <v>#REF!</v>
      </c>
      <c r="AA262" s="54" t="e">
        <f t="shared" si="51"/>
        <v>#REF!</v>
      </c>
      <c r="AB262" s="54" t="e">
        <f t="shared" si="52"/>
        <v>#REF!</v>
      </c>
    </row>
    <row r="263" spans="2:28">
      <c r="B263" s="96" t="e">
        <f>'115+040'!#REF!</f>
        <v>#REF!</v>
      </c>
      <c r="C263" s="66" t="e">
        <f t="shared" si="44"/>
        <v>#REF!</v>
      </c>
      <c r="D263" s="65" t="e">
        <f t="shared" si="45"/>
        <v>#REF!</v>
      </c>
      <c r="E263" s="64" t="e">
        <f>VLOOKUP(B263,'115+040'!B261:AB261,3,FALSE)</f>
        <v>#REF!</v>
      </c>
      <c r="F263" s="61" t="e">
        <f t="shared" si="40"/>
        <v>#REF!</v>
      </c>
      <c r="G263" s="63" t="e">
        <f>VLOOKUP(B263,'115+040'!$B$12:$AB$621,20,FALSE)</f>
        <v>#REF!</v>
      </c>
      <c r="H263" s="63" t="e">
        <f>VLOOKUP(B263,'115+040'!$B$12:$AB$621,4,FALSE)</f>
        <v>#REF!</v>
      </c>
      <c r="I263" s="60" t="e">
        <f t="shared" si="41"/>
        <v>#REF!</v>
      </c>
      <c r="J263" s="60" t="e">
        <f>VLOOKUP(B263,'115+040'!$B$12:$AB$621,13,FALSE)</f>
        <v>#REF!</v>
      </c>
      <c r="K263" s="58">
        <f>'115+040'!R261</f>
        <v>3</v>
      </c>
      <c r="L263" s="57">
        <f t="shared" si="46"/>
        <v>765</v>
      </c>
      <c r="M263" s="62" t="e">
        <f>VLOOKUP(B263,'115+040'!$B$11:$AB$621,21,FALSE)</f>
        <v>#REF!</v>
      </c>
      <c r="N263" s="61" t="e">
        <f>VLOOKUP(B263,'115+040'!$B$12:$AB$621,5,FALSE)</f>
        <v>#REF!</v>
      </c>
      <c r="O263" s="60" t="e">
        <f t="shared" si="42"/>
        <v>#REF!</v>
      </c>
      <c r="P263" s="60" t="e">
        <f>VLOOKUP(B263,'115+040'!$B$12:$AB$621,14,FALSE)</f>
        <v>#REF!</v>
      </c>
      <c r="Q263" s="58">
        <f>'115+040'!S261</f>
        <v>4</v>
      </c>
      <c r="R263" s="57">
        <f t="shared" si="47"/>
        <v>889</v>
      </c>
      <c r="S263" s="62" t="e">
        <f>VLOOKUP(B263,'115+040'!$B$11:$AB$621,22,FALSE)</f>
        <v>#REF!</v>
      </c>
      <c r="T263" s="61" t="e">
        <f>VLOOKUP(B263,'115+040'!$B$12:$AB$621,6,FALSE)</f>
        <v>#REF!</v>
      </c>
      <c r="U263" s="60" t="e">
        <f t="shared" si="43"/>
        <v>#REF!</v>
      </c>
      <c r="V263" s="59" t="e">
        <f>VLOOKUP(B263,'115+040'!$B$12:$AB$621,15,FALSE)</f>
        <v>#REF!</v>
      </c>
      <c r="W263" s="58">
        <f>'[4]114+940'!S264</f>
        <v>0</v>
      </c>
      <c r="X263" s="57">
        <f t="shared" si="48"/>
        <v>216</v>
      </c>
      <c r="Y263" s="56" t="e">
        <f t="shared" si="49"/>
        <v>#REF!</v>
      </c>
      <c r="Z263" s="55" t="e">
        <f t="shared" si="50"/>
        <v>#REF!</v>
      </c>
      <c r="AA263" s="54" t="e">
        <f t="shared" si="51"/>
        <v>#REF!</v>
      </c>
      <c r="AB263" s="54" t="e">
        <f t="shared" si="52"/>
        <v>#REF!</v>
      </c>
    </row>
    <row r="264" spans="2:28">
      <c r="B264" s="96" t="e">
        <f>'115+040'!#REF!</f>
        <v>#REF!</v>
      </c>
      <c r="C264" s="66" t="e">
        <f t="shared" si="44"/>
        <v>#REF!</v>
      </c>
      <c r="D264" s="65" t="e">
        <f t="shared" si="45"/>
        <v>#REF!</v>
      </c>
      <c r="E264" s="64" t="e">
        <f>VLOOKUP(B264,'115+040'!B262:AB262,3,FALSE)</f>
        <v>#REF!</v>
      </c>
      <c r="F264" s="61" t="e">
        <f t="shared" si="40"/>
        <v>#REF!</v>
      </c>
      <c r="G264" s="63" t="e">
        <f>VLOOKUP(B264,'115+040'!$B$12:$AB$621,20,FALSE)</f>
        <v>#REF!</v>
      </c>
      <c r="H264" s="63" t="e">
        <f>VLOOKUP(B264,'115+040'!$B$12:$AB$621,4,FALSE)</f>
        <v>#REF!</v>
      </c>
      <c r="I264" s="60" t="e">
        <f t="shared" si="41"/>
        <v>#REF!</v>
      </c>
      <c r="J264" s="60" t="e">
        <f>VLOOKUP(B264,'115+040'!$B$12:$AB$621,13,FALSE)</f>
        <v>#REF!</v>
      </c>
      <c r="K264" s="58">
        <f>'115+040'!R262</f>
        <v>3</v>
      </c>
      <c r="L264" s="57">
        <f t="shared" si="46"/>
        <v>768</v>
      </c>
      <c r="M264" s="62" t="e">
        <f>VLOOKUP(B264,'115+040'!$B$11:$AB$621,21,FALSE)</f>
        <v>#REF!</v>
      </c>
      <c r="N264" s="61" t="e">
        <f>VLOOKUP(B264,'115+040'!$B$12:$AB$621,5,FALSE)</f>
        <v>#REF!</v>
      </c>
      <c r="O264" s="60" t="e">
        <f t="shared" si="42"/>
        <v>#REF!</v>
      </c>
      <c r="P264" s="60" t="e">
        <f>VLOOKUP(B264,'115+040'!$B$12:$AB$621,14,FALSE)</f>
        <v>#REF!</v>
      </c>
      <c r="Q264" s="58">
        <f>'115+040'!S262</f>
        <v>3</v>
      </c>
      <c r="R264" s="57">
        <f t="shared" si="47"/>
        <v>892</v>
      </c>
      <c r="S264" s="62" t="e">
        <f>VLOOKUP(B264,'115+040'!$B$11:$AB$621,22,FALSE)</f>
        <v>#REF!</v>
      </c>
      <c r="T264" s="61" t="e">
        <f>VLOOKUP(B264,'115+040'!$B$12:$AB$621,6,FALSE)</f>
        <v>#REF!</v>
      </c>
      <c r="U264" s="60" t="e">
        <f t="shared" si="43"/>
        <v>#REF!</v>
      </c>
      <c r="V264" s="59" t="e">
        <f>VLOOKUP(B264,'115+040'!$B$12:$AB$621,15,FALSE)</f>
        <v>#REF!</v>
      </c>
      <c r="W264" s="58">
        <f>'[4]114+940'!S265</f>
        <v>0</v>
      </c>
      <c r="X264" s="57">
        <f t="shared" si="48"/>
        <v>216</v>
      </c>
      <c r="Y264" s="56" t="e">
        <f t="shared" si="49"/>
        <v>#REF!</v>
      </c>
      <c r="Z264" s="55" t="e">
        <f t="shared" si="50"/>
        <v>#REF!</v>
      </c>
      <c r="AA264" s="54" t="e">
        <f t="shared" si="51"/>
        <v>#REF!</v>
      </c>
      <c r="AB264" s="54" t="e">
        <f t="shared" si="52"/>
        <v>#REF!</v>
      </c>
    </row>
    <row r="265" spans="2:28">
      <c r="B265" s="96" t="e">
        <f>'115+040'!#REF!</f>
        <v>#REF!</v>
      </c>
      <c r="C265" s="66" t="e">
        <f t="shared" si="44"/>
        <v>#REF!</v>
      </c>
      <c r="D265" s="65" t="e">
        <f t="shared" si="45"/>
        <v>#REF!</v>
      </c>
      <c r="E265" s="64" t="e">
        <f>VLOOKUP(B265,'115+040'!B263:AB263,3,FALSE)</f>
        <v>#REF!</v>
      </c>
      <c r="F265" s="61" t="e">
        <f t="shared" si="40"/>
        <v>#REF!</v>
      </c>
      <c r="G265" s="63" t="e">
        <f>VLOOKUP(B265,'115+040'!$B$12:$AB$621,20,FALSE)</f>
        <v>#REF!</v>
      </c>
      <c r="H265" s="63" t="e">
        <f>VLOOKUP(B265,'115+040'!$B$12:$AB$621,4,FALSE)</f>
        <v>#REF!</v>
      </c>
      <c r="I265" s="60" t="e">
        <f t="shared" si="41"/>
        <v>#REF!</v>
      </c>
      <c r="J265" s="60" t="e">
        <f>VLOOKUP(B265,'115+040'!$B$12:$AB$621,13,FALSE)</f>
        <v>#REF!</v>
      </c>
      <c r="K265" s="58">
        <f>'115+040'!R263</f>
        <v>2</v>
      </c>
      <c r="L265" s="57">
        <f t="shared" si="46"/>
        <v>770</v>
      </c>
      <c r="M265" s="62" t="e">
        <f>VLOOKUP(B265,'115+040'!$B$11:$AB$621,21,FALSE)</f>
        <v>#REF!</v>
      </c>
      <c r="N265" s="61" t="e">
        <f>VLOOKUP(B265,'115+040'!$B$12:$AB$621,5,FALSE)</f>
        <v>#REF!</v>
      </c>
      <c r="O265" s="60" t="e">
        <f t="shared" si="42"/>
        <v>#REF!</v>
      </c>
      <c r="P265" s="60" t="e">
        <f>VLOOKUP(B265,'115+040'!$B$12:$AB$621,14,FALSE)</f>
        <v>#REF!</v>
      </c>
      <c r="Q265" s="58">
        <f>'115+040'!S263</f>
        <v>2</v>
      </c>
      <c r="R265" s="57">
        <f t="shared" si="47"/>
        <v>894</v>
      </c>
      <c r="S265" s="62" t="e">
        <f>VLOOKUP(B265,'115+040'!$B$11:$AB$621,22,FALSE)</f>
        <v>#REF!</v>
      </c>
      <c r="T265" s="61" t="e">
        <f>VLOOKUP(B265,'115+040'!$B$12:$AB$621,6,FALSE)</f>
        <v>#REF!</v>
      </c>
      <c r="U265" s="60" t="e">
        <f t="shared" si="43"/>
        <v>#REF!</v>
      </c>
      <c r="V265" s="59" t="e">
        <f>VLOOKUP(B265,'115+040'!$B$12:$AB$621,15,FALSE)</f>
        <v>#REF!</v>
      </c>
      <c r="W265" s="58">
        <f>'[4]114+940'!S266</f>
        <v>0</v>
      </c>
      <c r="X265" s="57">
        <f t="shared" si="48"/>
        <v>216</v>
      </c>
      <c r="Y265" s="56" t="e">
        <f t="shared" si="49"/>
        <v>#REF!</v>
      </c>
      <c r="Z265" s="55" t="e">
        <f t="shared" si="50"/>
        <v>#REF!</v>
      </c>
      <c r="AA265" s="54" t="e">
        <f t="shared" si="51"/>
        <v>#REF!</v>
      </c>
      <c r="AB265" s="54" t="e">
        <f t="shared" si="52"/>
        <v>#REF!</v>
      </c>
    </row>
    <row r="266" spans="2:28">
      <c r="B266" s="96" t="e">
        <f>'115+040'!#REF!</f>
        <v>#REF!</v>
      </c>
      <c r="C266" s="66" t="e">
        <f t="shared" si="44"/>
        <v>#REF!</v>
      </c>
      <c r="D266" s="65" t="e">
        <f t="shared" si="45"/>
        <v>#REF!</v>
      </c>
      <c r="E266" s="64" t="e">
        <f>VLOOKUP(B266,'115+040'!B264:AB264,3,FALSE)</f>
        <v>#REF!</v>
      </c>
      <c r="F266" s="61" t="e">
        <f t="shared" si="40"/>
        <v>#REF!</v>
      </c>
      <c r="G266" s="63" t="e">
        <f>VLOOKUP(B266,'115+040'!$B$12:$AB$621,20,FALSE)</f>
        <v>#REF!</v>
      </c>
      <c r="H266" s="63" t="e">
        <f>VLOOKUP(B266,'115+040'!$B$12:$AB$621,4,FALSE)</f>
        <v>#REF!</v>
      </c>
      <c r="I266" s="60" t="e">
        <f t="shared" si="41"/>
        <v>#REF!</v>
      </c>
      <c r="J266" s="60" t="e">
        <f>VLOOKUP(B266,'115+040'!$B$12:$AB$621,13,FALSE)</f>
        <v>#REF!</v>
      </c>
      <c r="K266" s="58">
        <f>'115+040'!R264</f>
        <v>0</v>
      </c>
      <c r="L266" s="57">
        <f t="shared" si="46"/>
        <v>770</v>
      </c>
      <c r="M266" s="62" t="e">
        <f>VLOOKUP(B266,'115+040'!$B$11:$AB$621,21,FALSE)</f>
        <v>#REF!</v>
      </c>
      <c r="N266" s="61" t="e">
        <f>VLOOKUP(B266,'115+040'!$B$12:$AB$621,5,FALSE)</f>
        <v>#REF!</v>
      </c>
      <c r="O266" s="60" t="e">
        <f t="shared" si="42"/>
        <v>#REF!</v>
      </c>
      <c r="P266" s="60" t="e">
        <f>VLOOKUP(B266,'115+040'!$B$12:$AB$621,14,FALSE)</f>
        <v>#REF!</v>
      </c>
      <c r="Q266" s="58">
        <f>'115+040'!S264</f>
        <v>0</v>
      </c>
      <c r="R266" s="57">
        <f t="shared" si="47"/>
        <v>894</v>
      </c>
      <c r="S266" s="62" t="e">
        <f>VLOOKUP(B266,'115+040'!$B$11:$AB$621,22,FALSE)</f>
        <v>#REF!</v>
      </c>
      <c r="T266" s="61" t="e">
        <f>VLOOKUP(B266,'115+040'!$B$12:$AB$621,6,FALSE)</f>
        <v>#REF!</v>
      </c>
      <c r="U266" s="60" t="e">
        <f t="shared" si="43"/>
        <v>#REF!</v>
      </c>
      <c r="V266" s="59" t="e">
        <f>VLOOKUP(B266,'115+040'!$B$12:$AB$621,15,FALSE)</f>
        <v>#REF!</v>
      </c>
      <c r="W266" s="58">
        <f>'[4]114+940'!S267</f>
        <v>0</v>
      </c>
      <c r="X266" s="57">
        <f t="shared" si="48"/>
        <v>216</v>
      </c>
      <c r="Y266" s="56" t="e">
        <f t="shared" si="49"/>
        <v>#REF!</v>
      </c>
      <c r="Z266" s="55" t="e">
        <f t="shared" si="50"/>
        <v>#REF!</v>
      </c>
      <c r="AA266" s="54" t="e">
        <f t="shared" si="51"/>
        <v>#REF!</v>
      </c>
      <c r="AB266" s="54" t="e">
        <f t="shared" si="52"/>
        <v>#REF!</v>
      </c>
    </row>
    <row r="267" spans="2:28">
      <c r="B267" s="96" t="e">
        <f>'115+040'!#REF!</f>
        <v>#REF!</v>
      </c>
      <c r="C267" s="66" t="e">
        <f t="shared" si="44"/>
        <v>#REF!</v>
      </c>
      <c r="D267" s="65" t="e">
        <f t="shared" si="45"/>
        <v>#REF!</v>
      </c>
      <c r="E267" s="64" t="e">
        <f>VLOOKUP(B267,'115+040'!B265:AB265,3,FALSE)</f>
        <v>#REF!</v>
      </c>
      <c r="F267" s="61" t="e">
        <f t="shared" si="40"/>
        <v>#REF!</v>
      </c>
      <c r="G267" s="63" t="e">
        <f>VLOOKUP(B267,'115+040'!$B$12:$AB$621,20,FALSE)</f>
        <v>#REF!</v>
      </c>
      <c r="H267" s="63" t="e">
        <f>VLOOKUP(B267,'115+040'!$B$12:$AB$621,4,FALSE)</f>
        <v>#REF!</v>
      </c>
      <c r="I267" s="60" t="e">
        <f t="shared" si="41"/>
        <v>#REF!</v>
      </c>
      <c r="J267" s="60" t="e">
        <f>VLOOKUP(B267,'115+040'!$B$12:$AB$621,13,FALSE)</f>
        <v>#REF!</v>
      </c>
      <c r="K267" s="58">
        <f>'115+040'!R265</f>
        <v>0</v>
      </c>
      <c r="L267" s="57">
        <f t="shared" si="46"/>
        <v>770</v>
      </c>
      <c r="M267" s="62" t="e">
        <f>VLOOKUP(B267,'115+040'!$B$11:$AB$621,21,FALSE)</f>
        <v>#REF!</v>
      </c>
      <c r="N267" s="61" t="e">
        <f>VLOOKUP(B267,'115+040'!$B$12:$AB$621,5,FALSE)</f>
        <v>#REF!</v>
      </c>
      <c r="O267" s="60" t="e">
        <f t="shared" si="42"/>
        <v>#REF!</v>
      </c>
      <c r="P267" s="60" t="e">
        <f>VLOOKUP(B267,'115+040'!$B$12:$AB$621,14,FALSE)</f>
        <v>#REF!</v>
      </c>
      <c r="Q267" s="58">
        <f>'115+040'!S265</f>
        <v>0</v>
      </c>
      <c r="R267" s="57">
        <f t="shared" si="47"/>
        <v>894</v>
      </c>
      <c r="S267" s="62" t="e">
        <f>VLOOKUP(B267,'115+040'!$B$11:$AB$621,22,FALSE)</f>
        <v>#REF!</v>
      </c>
      <c r="T267" s="61" t="e">
        <f>VLOOKUP(B267,'115+040'!$B$12:$AB$621,6,FALSE)</f>
        <v>#REF!</v>
      </c>
      <c r="U267" s="60" t="e">
        <f t="shared" si="43"/>
        <v>#REF!</v>
      </c>
      <c r="V267" s="59" t="e">
        <f>VLOOKUP(B267,'115+040'!$B$12:$AB$621,15,FALSE)</f>
        <v>#REF!</v>
      </c>
      <c r="W267" s="58">
        <f>'[4]114+940'!S268</f>
        <v>0</v>
      </c>
      <c r="X267" s="57">
        <f t="shared" si="48"/>
        <v>216</v>
      </c>
      <c r="Y267" s="56" t="e">
        <f t="shared" si="49"/>
        <v>#REF!</v>
      </c>
      <c r="Z267" s="55" t="e">
        <f t="shared" si="50"/>
        <v>#REF!</v>
      </c>
      <c r="AA267" s="54" t="e">
        <f t="shared" si="51"/>
        <v>#REF!</v>
      </c>
      <c r="AB267" s="54" t="e">
        <f t="shared" si="52"/>
        <v>#REF!</v>
      </c>
    </row>
    <row r="268" spans="2:28">
      <c r="B268" s="96" t="e">
        <f>'115+040'!#REF!</f>
        <v>#REF!</v>
      </c>
      <c r="C268" s="66" t="e">
        <f t="shared" si="44"/>
        <v>#REF!</v>
      </c>
      <c r="D268" s="65" t="e">
        <f t="shared" si="45"/>
        <v>#REF!</v>
      </c>
      <c r="E268" s="64" t="e">
        <f>VLOOKUP(B268,'115+040'!B266:AB266,3,FALSE)</f>
        <v>#REF!</v>
      </c>
      <c r="F268" s="61" t="e">
        <f t="shared" si="40"/>
        <v>#REF!</v>
      </c>
      <c r="G268" s="63" t="e">
        <f>VLOOKUP(B268,'115+040'!$B$12:$AB$621,20,FALSE)</f>
        <v>#REF!</v>
      </c>
      <c r="H268" s="63" t="e">
        <f>VLOOKUP(B268,'115+040'!$B$12:$AB$621,4,FALSE)</f>
        <v>#REF!</v>
      </c>
      <c r="I268" s="60" t="e">
        <f t="shared" si="41"/>
        <v>#REF!</v>
      </c>
      <c r="J268" s="60" t="e">
        <f>VLOOKUP(B268,'115+040'!$B$12:$AB$621,13,FALSE)</f>
        <v>#REF!</v>
      </c>
      <c r="K268" s="58">
        <f>'115+040'!R266</f>
        <v>0</v>
      </c>
      <c r="L268" s="57">
        <f t="shared" si="46"/>
        <v>770</v>
      </c>
      <c r="M268" s="62" t="e">
        <f>VLOOKUP(B268,'115+040'!$B$11:$AB$621,21,FALSE)</f>
        <v>#REF!</v>
      </c>
      <c r="N268" s="61" t="e">
        <f>VLOOKUP(B268,'115+040'!$B$12:$AB$621,5,FALSE)</f>
        <v>#REF!</v>
      </c>
      <c r="O268" s="60" t="e">
        <f t="shared" si="42"/>
        <v>#REF!</v>
      </c>
      <c r="P268" s="60" t="e">
        <f>VLOOKUP(B268,'115+040'!$B$12:$AB$621,14,FALSE)</f>
        <v>#REF!</v>
      </c>
      <c r="Q268" s="58">
        <f>'115+040'!S266</f>
        <v>0</v>
      </c>
      <c r="R268" s="57">
        <f t="shared" si="47"/>
        <v>894</v>
      </c>
      <c r="S268" s="62" t="e">
        <f>VLOOKUP(B268,'115+040'!$B$11:$AB$621,22,FALSE)</f>
        <v>#REF!</v>
      </c>
      <c r="T268" s="61" t="e">
        <f>VLOOKUP(B268,'115+040'!$B$12:$AB$621,6,FALSE)</f>
        <v>#REF!</v>
      </c>
      <c r="U268" s="60" t="e">
        <f t="shared" si="43"/>
        <v>#REF!</v>
      </c>
      <c r="V268" s="59" t="e">
        <f>VLOOKUP(B268,'115+040'!$B$12:$AB$621,15,FALSE)</f>
        <v>#REF!</v>
      </c>
      <c r="W268" s="58">
        <f>'[4]114+940'!S269</f>
        <v>0</v>
      </c>
      <c r="X268" s="57">
        <f t="shared" si="48"/>
        <v>216</v>
      </c>
      <c r="Y268" s="56" t="e">
        <f t="shared" si="49"/>
        <v>#REF!</v>
      </c>
      <c r="Z268" s="55" t="e">
        <f t="shared" si="50"/>
        <v>#REF!</v>
      </c>
      <c r="AA268" s="54" t="e">
        <f t="shared" si="51"/>
        <v>#REF!</v>
      </c>
      <c r="AB268" s="54" t="e">
        <f t="shared" si="52"/>
        <v>#REF!</v>
      </c>
    </row>
    <row r="269" spans="2:28">
      <c r="B269" s="96" t="e">
        <f>'115+040'!#REF!</f>
        <v>#REF!</v>
      </c>
      <c r="C269" s="66" t="e">
        <f t="shared" si="44"/>
        <v>#REF!</v>
      </c>
      <c r="D269" s="65" t="e">
        <f t="shared" si="45"/>
        <v>#REF!</v>
      </c>
      <c r="E269" s="64" t="e">
        <f>VLOOKUP(B269,'115+040'!B267:AB267,3,FALSE)</f>
        <v>#REF!</v>
      </c>
      <c r="F269" s="61" t="e">
        <f t="shared" ref="F269:F332" si="53">D269+E269</f>
        <v>#REF!</v>
      </c>
      <c r="G269" s="63" t="e">
        <f>VLOOKUP(B269,'115+040'!$B$12:$AB$621,20,FALSE)</f>
        <v>#REF!</v>
      </c>
      <c r="H269" s="63" t="e">
        <f>VLOOKUP(B269,'115+040'!$B$12:$AB$621,4,FALSE)</f>
        <v>#REF!</v>
      </c>
      <c r="I269" s="60" t="e">
        <f t="shared" ref="I269:I332" si="54">F269-H269</f>
        <v>#REF!</v>
      </c>
      <c r="J269" s="60" t="e">
        <f>VLOOKUP(B269,'115+040'!$B$12:$AB$621,13,FALSE)</f>
        <v>#REF!</v>
      </c>
      <c r="K269" s="58">
        <f>'115+040'!R267</f>
        <v>0</v>
      </c>
      <c r="L269" s="57">
        <f t="shared" si="46"/>
        <v>770</v>
      </c>
      <c r="M269" s="62" t="e">
        <f>VLOOKUP(B269,'115+040'!$B$11:$AB$621,21,FALSE)</f>
        <v>#REF!</v>
      </c>
      <c r="N269" s="61" t="e">
        <f>VLOOKUP(B269,'115+040'!$B$12:$AB$621,5,FALSE)</f>
        <v>#REF!</v>
      </c>
      <c r="O269" s="60" t="e">
        <f t="shared" ref="O269:O332" si="55">F269-N269</f>
        <v>#REF!</v>
      </c>
      <c r="P269" s="60" t="e">
        <f>VLOOKUP(B269,'115+040'!$B$12:$AB$621,14,FALSE)</f>
        <v>#REF!</v>
      </c>
      <c r="Q269" s="58">
        <f>'115+040'!S267</f>
        <v>0</v>
      </c>
      <c r="R269" s="57">
        <f t="shared" si="47"/>
        <v>894</v>
      </c>
      <c r="S269" s="62" t="e">
        <f>VLOOKUP(B269,'115+040'!$B$11:$AB$621,22,FALSE)</f>
        <v>#REF!</v>
      </c>
      <c r="T269" s="61" t="e">
        <f>VLOOKUP(B269,'115+040'!$B$12:$AB$621,6,FALSE)</f>
        <v>#REF!</v>
      </c>
      <c r="U269" s="60" t="e">
        <f t="shared" ref="U269:U332" si="56">F269-T269</f>
        <v>#REF!</v>
      </c>
      <c r="V269" s="59" t="e">
        <f>VLOOKUP(B269,'115+040'!$B$12:$AB$621,15,FALSE)</f>
        <v>#REF!</v>
      </c>
      <c r="W269" s="58">
        <f>'[4]114+940'!S270</f>
        <v>0</v>
      </c>
      <c r="X269" s="57">
        <f t="shared" si="48"/>
        <v>216</v>
      </c>
      <c r="Y269" s="56" t="e">
        <f t="shared" si="49"/>
        <v>#REF!</v>
      </c>
      <c r="Z269" s="55" t="e">
        <f t="shared" si="50"/>
        <v>#REF!</v>
      </c>
      <c r="AA269" s="54" t="e">
        <f t="shared" si="51"/>
        <v>#REF!</v>
      </c>
      <c r="AB269" s="54" t="e">
        <f t="shared" si="52"/>
        <v>#REF!</v>
      </c>
    </row>
    <row r="270" spans="2:28">
      <c r="B270" s="96" t="e">
        <f>'115+040'!#REF!</f>
        <v>#REF!</v>
      </c>
      <c r="C270" s="66" t="e">
        <f t="shared" ref="C270:C333" si="57">B270-B269</f>
        <v>#REF!</v>
      </c>
      <c r="D270" s="65" t="e">
        <f t="shared" ref="D270:D333" si="58">D269</f>
        <v>#REF!</v>
      </c>
      <c r="E270" s="64" t="e">
        <f>VLOOKUP(B270,'115+040'!B268:AB268,3,FALSE)</f>
        <v>#REF!</v>
      </c>
      <c r="F270" s="61" t="e">
        <f t="shared" si="53"/>
        <v>#REF!</v>
      </c>
      <c r="G270" s="63" t="e">
        <f>VLOOKUP(B270,'115+040'!$B$12:$AB$621,20,FALSE)</f>
        <v>#REF!</v>
      </c>
      <c r="H270" s="63" t="e">
        <f>VLOOKUP(B270,'115+040'!$B$12:$AB$621,4,FALSE)</f>
        <v>#REF!</v>
      </c>
      <c r="I270" s="60" t="e">
        <f t="shared" si="54"/>
        <v>#REF!</v>
      </c>
      <c r="J270" s="60" t="e">
        <f>VLOOKUP(B270,'115+040'!$B$12:$AB$621,13,FALSE)</f>
        <v>#REF!</v>
      </c>
      <c r="K270" s="58">
        <f>'115+040'!R268</f>
        <v>0</v>
      </c>
      <c r="L270" s="57">
        <f t="shared" ref="L270:L333" si="59">+K270+L269</f>
        <v>770</v>
      </c>
      <c r="M270" s="62" t="e">
        <f>VLOOKUP(B270,'115+040'!$B$11:$AB$621,21,FALSE)</f>
        <v>#REF!</v>
      </c>
      <c r="N270" s="61" t="e">
        <f>VLOOKUP(B270,'115+040'!$B$12:$AB$621,5,FALSE)</f>
        <v>#REF!</v>
      </c>
      <c r="O270" s="60" t="e">
        <f t="shared" si="55"/>
        <v>#REF!</v>
      </c>
      <c r="P270" s="60" t="e">
        <f>VLOOKUP(B270,'115+040'!$B$12:$AB$621,14,FALSE)</f>
        <v>#REF!</v>
      </c>
      <c r="Q270" s="58">
        <f>'115+040'!S268</f>
        <v>0</v>
      </c>
      <c r="R270" s="57">
        <f t="shared" ref="R270:R333" si="60">+Q270+R269</f>
        <v>894</v>
      </c>
      <c r="S270" s="62" t="e">
        <f>VLOOKUP(B270,'115+040'!$B$11:$AB$621,22,FALSE)</f>
        <v>#REF!</v>
      </c>
      <c r="T270" s="61" t="e">
        <f>VLOOKUP(B270,'115+040'!$B$12:$AB$621,6,FALSE)</f>
        <v>#REF!</v>
      </c>
      <c r="U270" s="60" t="e">
        <f t="shared" si="56"/>
        <v>#REF!</v>
      </c>
      <c r="V270" s="59" t="e">
        <f>VLOOKUP(B270,'115+040'!$B$12:$AB$621,15,FALSE)</f>
        <v>#REF!</v>
      </c>
      <c r="W270" s="58">
        <f>'[4]114+940'!S271</f>
        <v>0</v>
      </c>
      <c r="X270" s="57">
        <f t="shared" ref="X270:X333" si="61">+W270+X269</f>
        <v>216</v>
      </c>
      <c r="Y270" s="56" t="e">
        <f t="shared" ref="Y270:Y333" si="62">S270-S269</f>
        <v>#REF!</v>
      </c>
      <c r="Z270" s="55" t="e">
        <f t="shared" ref="Z270:Z333" si="63">IF(Y270&gt;0,Y270,0)/1000</f>
        <v>#REF!</v>
      </c>
      <c r="AA270" s="54" t="e">
        <f t="shared" ref="AA270:AA333" si="64">AA269+Z270</f>
        <v>#REF!</v>
      </c>
      <c r="AB270" s="54" t="e">
        <f t="shared" ref="AB270:AB333" si="65">(M270-$M$13-R270)/1000</f>
        <v>#REF!</v>
      </c>
    </row>
    <row r="271" spans="2:28">
      <c r="B271" s="96" t="e">
        <f>'115+040'!#REF!</f>
        <v>#REF!</v>
      </c>
      <c r="C271" s="66" t="e">
        <f t="shared" si="57"/>
        <v>#REF!</v>
      </c>
      <c r="D271" s="65" t="e">
        <f t="shared" si="58"/>
        <v>#REF!</v>
      </c>
      <c r="E271" s="64" t="e">
        <f>VLOOKUP(B271,'115+040'!B269:AB269,3,FALSE)</f>
        <v>#REF!</v>
      </c>
      <c r="F271" s="61" t="e">
        <f t="shared" si="53"/>
        <v>#REF!</v>
      </c>
      <c r="G271" s="63" t="e">
        <f>VLOOKUP(B271,'115+040'!$B$12:$AB$621,20,FALSE)</f>
        <v>#REF!</v>
      </c>
      <c r="H271" s="63" t="e">
        <f>VLOOKUP(B271,'115+040'!$B$12:$AB$621,4,FALSE)</f>
        <v>#REF!</v>
      </c>
      <c r="I271" s="60" t="e">
        <f t="shared" si="54"/>
        <v>#REF!</v>
      </c>
      <c r="J271" s="60" t="e">
        <f>VLOOKUP(B271,'115+040'!$B$12:$AB$621,13,FALSE)</f>
        <v>#REF!</v>
      </c>
      <c r="K271" s="58">
        <f>'115+040'!R269</f>
        <v>0</v>
      </c>
      <c r="L271" s="57">
        <f t="shared" si="59"/>
        <v>770</v>
      </c>
      <c r="M271" s="62" t="e">
        <f>VLOOKUP(B271,'115+040'!$B$11:$AB$621,21,FALSE)</f>
        <v>#REF!</v>
      </c>
      <c r="N271" s="61" t="e">
        <f>VLOOKUP(B271,'115+040'!$B$12:$AB$621,5,FALSE)</f>
        <v>#REF!</v>
      </c>
      <c r="O271" s="60" t="e">
        <f t="shared" si="55"/>
        <v>#REF!</v>
      </c>
      <c r="P271" s="60" t="e">
        <f>VLOOKUP(B271,'115+040'!$B$12:$AB$621,14,FALSE)</f>
        <v>#REF!</v>
      </c>
      <c r="Q271" s="58">
        <f>'115+040'!S269</f>
        <v>0</v>
      </c>
      <c r="R271" s="57">
        <f t="shared" si="60"/>
        <v>894</v>
      </c>
      <c r="S271" s="62" t="e">
        <f>VLOOKUP(B271,'115+040'!$B$11:$AB$621,22,FALSE)</f>
        <v>#REF!</v>
      </c>
      <c r="T271" s="61" t="e">
        <f>VLOOKUP(B271,'115+040'!$B$12:$AB$621,6,FALSE)</f>
        <v>#REF!</v>
      </c>
      <c r="U271" s="60" t="e">
        <f t="shared" si="56"/>
        <v>#REF!</v>
      </c>
      <c r="V271" s="59" t="e">
        <f>VLOOKUP(B271,'115+040'!$B$12:$AB$621,15,FALSE)</f>
        <v>#REF!</v>
      </c>
      <c r="W271" s="58">
        <f>'[4]114+940'!S272</f>
        <v>0</v>
      </c>
      <c r="X271" s="57">
        <f t="shared" si="61"/>
        <v>216</v>
      </c>
      <c r="Y271" s="56" t="e">
        <f t="shared" si="62"/>
        <v>#REF!</v>
      </c>
      <c r="Z271" s="55" t="e">
        <f t="shared" si="63"/>
        <v>#REF!</v>
      </c>
      <c r="AA271" s="54" t="e">
        <f t="shared" si="64"/>
        <v>#REF!</v>
      </c>
      <c r="AB271" s="54" t="e">
        <f t="shared" si="65"/>
        <v>#REF!</v>
      </c>
    </row>
    <row r="272" spans="2:28">
      <c r="B272" s="96" t="e">
        <f>'115+040'!#REF!</f>
        <v>#REF!</v>
      </c>
      <c r="C272" s="66" t="e">
        <f t="shared" si="57"/>
        <v>#REF!</v>
      </c>
      <c r="D272" s="65" t="e">
        <f t="shared" si="58"/>
        <v>#REF!</v>
      </c>
      <c r="E272" s="64" t="e">
        <f>VLOOKUP(B272,'115+040'!B270:AB270,3,FALSE)</f>
        <v>#REF!</v>
      </c>
      <c r="F272" s="61" t="e">
        <f t="shared" si="53"/>
        <v>#REF!</v>
      </c>
      <c r="G272" s="63" t="e">
        <f>VLOOKUP(B272,'115+040'!$B$12:$AB$621,20,FALSE)</f>
        <v>#REF!</v>
      </c>
      <c r="H272" s="63" t="e">
        <f>VLOOKUP(B272,'115+040'!$B$12:$AB$621,4,FALSE)</f>
        <v>#REF!</v>
      </c>
      <c r="I272" s="60" t="e">
        <f t="shared" si="54"/>
        <v>#REF!</v>
      </c>
      <c r="J272" s="60" t="e">
        <f>VLOOKUP(B272,'115+040'!$B$12:$AB$621,13,FALSE)</f>
        <v>#REF!</v>
      </c>
      <c r="K272" s="58">
        <f>'115+040'!R270</f>
        <v>0</v>
      </c>
      <c r="L272" s="57">
        <f t="shared" si="59"/>
        <v>770</v>
      </c>
      <c r="M272" s="62" t="e">
        <f>VLOOKUP(B272,'115+040'!$B$11:$AB$621,21,FALSE)</f>
        <v>#REF!</v>
      </c>
      <c r="N272" s="61" t="e">
        <f>VLOOKUP(B272,'115+040'!$B$12:$AB$621,5,FALSE)</f>
        <v>#REF!</v>
      </c>
      <c r="O272" s="60" t="e">
        <f t="shared" si="55"/>
        <v>#REF!</v>
      </c>
      <c r="P272" s="60" t="e">
        <f>VLOOKUP(B272,'115+040'!$B$12:$AB$621,14,FALSE)</f>
        <v>#REF!</v>
      </c>
      <c r="Q272" s="58">
        <f>'115+040'!S270</f>
        <v>0</v>
      </c>
      <c r="R272" s="57">
        <f t="shared" si="60"/>
        <v>894</v>
      </c>
      <c r="S272" s="62" t="e">
        <f>VLOOKUP(B272,'115+040'!$B$11:$AB$621,22,FALSE)</f>
        <v>#REF!</v>
      </c>
      <c r="T272" s="61" t="e">
        <f>VLOOKUP(B272,'115+040'!$B$12:$AB$621,6,FALSE)</f>
        <v>#REF!</v>
      </c>
      <c r="U272" s="60" t="e">
        <f t="shared" si="56"/>
        <v>#REF!</v>
      </c>
      <c r="V272" s="59" t="e">
        <f>VLOOKUP(B272,'115+040'!$B$12:$AB$621,15,FALSE)</f>
        <v>#REF!</v>
      </c>
      <c r="W272" s="58">
        <f>'[4]114+940'!S273</f>
        <v>0</v>
      </c>
      <c r="X272" s="57">
        <f t="shared" si="61"/>
        <v>216</v>
      </c>
      <c r="Y272" s="56" t="e">
        <f t="shared" si="62"/>
        <v>#REF!</v>
      </c>
      <c r="Z272" s="55" t="e">
        <f t="shared" si="63"/>
        <v>#REF!</v>
      </c>
      <c r="AA272" s="54" t="e">
        <f t="shared" si="64"/>
        <v>#REF!</v>
      </c>
      <c r="AB272" s="54" t="e">
        <f t="shared" si="65"/>
        <v>#REF!</v>
      </c>
    </row>
    <row r="273" spans="2:28">
      <c r="B273" s="96" t="e">
        <f>'115+040'!#REF!</f>
        <v>#REF!</v>
      </c>
      <c r="C273" s="66" t="e">
        <f t="shared" si="57"/>
        <v>#REF!</v>
      </c>
      <c r="D273" s="65" t="e">
        <f t="shared" si="58"/>
        <v>#REF!</v>
      </c>
      <c r="E273" s="64" t="e">
        <f>VLOOKUP(B273,'115+040'!B271:AB271,3,FALSE)</f>
        <v>#REF!</v>
      </c>
      <c r="F273" s="61" t="e">
        <f t="shared" si="53"/>
        <v>#REF!</v>
      </c>
      <c r="G273" s="63" t="e">
        <f>VLOOKUP(B273,'115+040'!$B$12:$AB$621,20,FALSE)</f>
        <v>#REF!</v>
      </c>
      <c r="H273" s="63" t="e">
        <f>VLOOKUP(B273,'115+040'!$B$12:$AB$621,4,FALSE)</f>
        <v>#REF!</v>
      </c>
      <c r="I273" s="60" t="e">
        <f t="shared" si="54"/>
        <v>#REF!</v>
      </c>
      <c r="J273" s="60" t="e">
        <f>VLOOKUP(B273,'115+040'!$B$12:$AB$621,13,FALSE)</f>
        <v>#REF!</v>
      </c>
      <c r="K273" s="58">
        <f>'115+040'!R271</f>
        <v>0</v>
      </c>
      <c r="L273" s="57">
        <f t="shared" si="59"/>
        <v>770</v>
      </c>
      <c r="M273" s="62" t="e">
        <f>VLOOKUP(B273,'115+040'!$B$11:$AB$621,21,FALSE)</f>
        <v>#REF!</v>
      </c>
      <c r="N273" s="61" t="e">
        <f>VLOOKUP(B273,'115+040'!$B$12:$AB$621,5,FALSE)</f>
        <v>#REF!</v>
      </c>
      <c r="O273" s="60" t="e">
        <f t="shared" si="55"/>
        <v>#REF!</v>
      </c>
      <c r="P273" s="60" t="e">
        <f>VLOOKUP(B273,'115+040'!$B$12:$AB$621,14,FALSE)</f>
        <v>#REF!</v>
      </c>
      <c r="Q273" s="58">
        <f>'115+040'!S271</f>
        <v>0</v>
      </c>
      <c r="R273" s="57">
        <f t="shared" si="60"/>
        <v>894</v>
      </c>
      <c r="S273" s="62" t="e">
        <f>VLOOKUP(B273,'115+040'!$B$11:$AB$621,22,FALSE)</f>
        <v>#REF!</v>
      </c>
      <c r="T273" s="61" t="e">
        <f>VLOOKUP(B273,'115+040'!$B$12:$AB$621,6,FALSE)</f>
        <v>#REF!</v>
      </c>
      <c r="U273" s="60" t="e">
        <f t="shared" si="56"/>
        <v>#REF!</v>
      </c>
      <c r="V273" s="59" t="e">
        <f>VLOOKUP(B273,'115+040'!$B$12:$AB$621,15,FALSE)</f>
        <v>#REF!</v>
      </c>
      <c r="W273" s="58">
        <f>'[4]114+940'!S274</f>
        <v>0</v>
      </c>
      <c r="X273" s="57">
        <f t="shared" si="61"/>
        <v>216</v>
      </c>
      <c r="Y273" s="56" t="e">
        <f t="shared" si="62"/>
        <v>#REF!</v>
      </c>
      <c r="Z273" s="55" t="e">
        <f t="shared" si="63"/>
        <v>#REF!</v>
      </c>
      <c r="AA273" s="54" t="e">
        <f t="shared" si="64"/>
        <v>#REF!</v>
      </c>
      <c r="AB273" s="54" t="e">
        <f t="shared" si="65"/>
        <v>#REF!</v>
      </c>
    </row>
    <row r="274" spans="2:28">
      <c r="B274" s="96" t="e">
        <f>'115+040'!#REF!</f>
        <v>#REF!</v>
      </c>
      <c r="C274" s="66" t="e">
        <f t="shared" si="57"/>
        <v>#REF!</v>
      </c>
      <c r="D274" s="65" t="e">
        <f t="shared" si="58"/>
        <v>#REF!</v>
      </c>
      <c r="E274" s="64" t="e">
        <f>VLOOKUP(B274,'115+040'!B272:AB272,3,FALSE)</f>
        <v>#REF!</v>
      </c>
      <c r="F274" s="61" t="e">
        <f t="shared" si="53"/>
        <v>#REF!</v>
      </c>
      <c r="G274" s="63" t="e">
        <f>VLOOKUP(B274,'115+040'!$B$12:$AB$621,20,FALSE)</f>
        <v>#REF!</v>
      </c>
      <c r="H274" s="63" t="e">
        <f>VLOOKUP(B274,'115+040'!$B$12:$AB$621,4,FALSE)</f>
        <v>#REF!</v>
      </c>
      <c r="I274" s="60" t="e">
        <f t="shared" si="54"/>
        <v>#REF!</v>
      </c>
      <c r="J274" s="60" t="e">
        <f>VLOOKUP(B274,'115+040'!$B$12:$AB$621,13,FALSE)</f>
        <v>#REF!</v>
      </c>
      <c r="K274" s="58">
        <f>'115+040'!R272</f>
        <v>0</v>
      </c>
      <c r="L274" s="57">
        <f t="shared" si="59"/>
        <v>770</v>
      </c>
      <c r="M274" s="62" t="e">
        <f>VLOOKUP(B274,'115+040'!$B$11:$AB$621,21,FALSE)</f>
        <v>#REF!</v>
      </c>
      <c r="N274" s="61" t="e">
        <f>VLOOKUP(B274,'115+040'!$B$12:$AB$621,5,FALSE)</f>
        <v>#REF!</v>
      </c>
      <c r="O274" s="60" t="e">
        <f t="shared" si="55"/>
        <v>#REF!</v>
      </c>
      <c r="P274" s="60" t="e">
        <f>VLOOKUP(B274,'115+040'!$B$12:$AB$621,14,FALSE)</f>
        <v>#REF!</v>
      </c>
      <c r="Q274" s="58">
        <f>'115+040'!S272</f>
        <v>0</v>
      </c>
      <c r="R274" s="57">
        <f t="shared" si="60"/>
        <v>894</v>
      </c>
      <c r="S274" s="62" t="e">
        <f>VLOOKUP(B274,'115+040'!$B$11:$AB$621,22,FALSE)</f>
        <v>#REF!</v>
      </c>
      <c r="T274" s="61" t="e">
        <f>VLOOKUP(B274,'115+040'!$B$12:$AB$621,6,FALSE)</f>
        <v>#REF!</v>
      </c>
      <c r="U274" s="60" t="e">
        <f t="shared" si="56"/>
        <v>#REF!</v>
      </c>
      <c r="V274" s="59" t="e">
        <f>VLOOKUP(B274,'115+040'!$B$12:$AB$621,15,FALSE)</f>
        <v>#REF!</v>
      </c>
      <c r="W274" s="58">
        <f>'[4]114+940'!S275</f>
        <v>0</v>
      </c>
      <c r="X274" s="57">
        <f t="shared" si="61"/>
        <v>216</v>
      </c>
      <c r="Y274" s="56" t="e">
        <f t="shared" si="62"/>
        <v>#REF!</v>
      </c>
      <c r="Z274" s="55" t="e">
        <f t="shared" si="63"/>
        <v>#REF!</v>
      </c>
      <c r="AA274" s="54" t="e">
        <f t="shared" si="64"/>
        <v>#REF!</v>
      </c>
      <c r="AB274" s="54" t="e">
        <f t="shared" si="65"/>
        <v>#REF!</v>
      </c>
    </row>
    <row r="275" spans="2:28">
      <c r="B275" s="96" t="e">
        <f>'115+040'!#REF!</f>
        <v>#REF!</v>
      </c>
      <c r="C275" s="66" t="e">
        <f t="shared" si="57"/>
        <v>#REF!</v>
      </c>
      <c r="D275" s="65" t="e">
        <f t="shared" si="58"/>
        <v>#REF!</v>
      </c>
      <c r="E275" s="64" t="e">
        <f>VLOOKUP(B275,'115+040'!B273:AB273,3,FALSE)</f>
        <v>#REF!</v>
      </c>
      <c r="F275" s="61" t="e">
        <f t="shared" si="53"/>
        <v>#REF!</v>
      </c>
      <c r="G275" s="63" t="e">
        <f>VLOOKUP(B275,'115+040'!$B$12:$AB$621,20,FALSE)</f>
        <v>#REF!</v>
      </c>
      <c r="H275" s="63" t="e">
        <f>VLOOKUP(B275,'115+040'!$B$12:$AB$621,4,FALSE)</f>
        <v>#REF!</v>
      </c>
      <c r="I275" s="60" t="e">
        <f t="shared" si="54"/>
        <v>#REF!</v>
      </c>
      <c r="J275" s="60" t="e">
        <f>VLOOKUP(B275,'115+040'!$B$12:$AB$621,13,FALSE)</f>
        <v>#REF!</v>
      </c>
      <c r="K275" s="58">
        <f>'115+040'!R273</f>
        <v>0</v>
      </c>
      <c r="L275" s="57">
        <f t="shared" si="59"/>
        <v>770</v>
      </c>
      <c r="M275" s="62" t="e">
        <f>VLOOKUP(B275,'115+040'!$B$11:$AB$621,21,FALSE)</f>
        <v>#REF!</v>
      </c>
      <c r="N275" s="61" t="e">
        <f>VLOOKUP(B275,'115+040'!$B$12:$AB$621,5,FALSE)</f>
        <v>#REF!</v>
      </c>
      <c r="O275" s="60" t="e">
        <f t="shared" si="55"/>
        <v>#REF!</v>
      </c>
      <c r="P275" s="60" t="e">
        <f>VLOOKUP(B275,'115+040'!$B$12:$AB$621,14,FALSE)</f>
        <v>#REF!</v>
      </c>
      <c r="Q275" s="58">
        <f>'115+040'!S273</f>
        <v>0</v>
      </c>
      <c r="R275" s="57">
        <f t="shared" si="60"/>
        <v>894</v>
      </c>
      <c r="S275" s="62" t="e">
        <f>VLOOKUP(B275,'115+040'!$B$11:$AB$621,22,FALSE)</f>
        <v>#REF!</v>
      </c>
      <c r="T275" s="61" t="e">
        <f>VLOOKUP(B275,'115+040'!$B$12:$AB$621,6,FALSE)</f>
        <v>#REF!</v>
      </c>
      <c r="U275" s="60" t="e">
        <f t="shared" si="56"/>
        <v>#REF!</v>
      </c>
      <c r="V275" s="59" t="e">
        <f>VLOOKUP(B275,'115+040'!$B$12:$AB$621,15,FALSE)</f>
        <v>#REF!</v>
      </c>
      <c r="W275" s="58">
        <f>'[4]114+940'!S276</f>
        <v>0</v>
      </c>
      <c r="X275" s="57">
        <f t="shared" si="61"/>
        <v>216</v>
      </c>
      <c r="Y275" s="56" t="e">
        <f t="shared" si="62"/>
        <v>#REF!</v>
      </c>
      <c r="Z275" s="55" t="e">
        <f t="shared" si="63"/>
        <v>#REF!</v>
      </c>
      <c r="AA275" s="54" t="e">
        <f t="shared" si="64"/>
        <v>#REF!</v>
      </c>
      <c r="AB275" s="54" t="e">
        <f t="shared" si="65"/>
        <v>#REF!</v>
      </c>
    </row>
    <row r="276" spans="2:28">
      <c r="B276" s="96" t="e">
        <f>'115+040'!#REF!</f>
        <v>#REF!</v>
      </c>
      <c r="C276" s="66" t="e">
        <f t="shared" si="57"/>
        <v>#REF!</v>
      </c>
      <c r="D276" s="65" t="e">
        <f t="shared" si="58"/>
        <v>#REF!</v>
      </c>
      <c r="E276" s="64" t="e">
        <f>VLOOKUP(B276,'115+040'!B274:AB274,3,FALSE)</f>
        <v>#REF!</v>
      </c>
      <c r="F276" s="61" t="e">
        <f t="shared" si="53"/>
        <v>#REF!</v>
      </c>
      <c r="G276" s="63" t="e">
        <f>VLOOKUP(B276,'115+040'!$B$12:$AB$621,20,FALSE)</f>
        <v>#REF!</v>
      </c>
      <c r="H276" s="63" t="e">
        <f>VLOOKUP(B276,'115+040'!$B$12:$AB$621,4,FALSE)</f>
        <v>#REF!</v>
      </c>
      <c r="I276" s="60" t="e">
        <f t="shared" si="54"/>
        <v>#REF!</v>
      </c>
      <c r="J276" s="60" t="e">
        <f>VLOOKUP(B276,'115+040'!$B$12:$AB$621,13,FALSE)</f>
        <v>#REF!</v>
      </c>
      <c r="K276" s="58">
        <f>'115+040'!R274</f>
        <v>0</v>
      </c>
      <c r="L276" s="57">
        <f t="shared" si="59"/>
        <v>770</v>
      </c>
      <c r="M276" s="62" t="e">
        <f>VLOOKUP(B276,'115+040'!$B$11:$AB$621,21,FALSE)</f>
        <v>#REF!</v>
      </c>
      <c r="N276" s="61" t="e">
        <f>VLOOKUP(B276,'115+040'!$B$12:$AB$621,5,FALSE)</f>
        <v>#REF!</v>
      </c>
      <c r="O276" s="60" t="e">
        <f t="shared" si="55"/>
        <v>#REF!</v>
      </c>
      <c r="P276" s="60" t="e">
        <f>VLOOKUP(B276,'115+040'!$B$12:$AB$621,14,FALSE)</f>
        <v>#REF!</v>
      </c>
      <c r="Q276" s="58">
        <f>'115+040'!S274</f>
        <v>0</v>
      </c>
      <c r="R276" s="57">
        <f t="shared" si="60"/>
        <v>894</v>
      </c>
      <c r="S276" s="62" t="e">
        <f>VLOOKUP(B276,'115+040'!$B$11:$AB$621,22,FALSE)</f>
        <v>#REF!</v>
      </c>
      <c r="T276" s="61" t="e">
        <f>VLOOKUP(B276,'115+040'!$B$12:$AB$621,6,FALSE)</f>
        <v>#REF!</v>
      </c>
      <c r="U276" s="60" t="e">
        <f t="shared" si="56"/>
        <v>#REF!</v>
      </c>
      <c r="V276" s="59" t="e">
        <f>VLOOKUP(B276,'115+040'!$B$12:$AB$621,15,FALSE)</f>
        <v>#REF!</v>
      </c>
      <c r="W276" s="58">
        <f>'[4]114+940'!S277</f>
        <v>0</v>
      </c>
      <c r="X276" s="57">
        <f t="shared" si="61"/>
        <v>216</v>
      </c>
      <c r="Y276" s="56" t="e">
        <f t="shared" si="62"/>
        <v>#REF!</v>
      </c>
      <c r="Z276" s="55" t="e">
        <f t="shared" si="63"/>
        <v>#REF!</v>
      </c>
      <c r="AA276" s="54" t="e">
        <f t="shared" si="64"/>
        <v>#REF!</v>
      </c>
      <c r="AB276" s="54" t="e">
        <f t="shared" si="65"/>
        <v>#REF!</v>
      </c>
    </row>
    <row r="277" spans="2:28">
      <c r="B277" s="96" t="e">
        <f>'115+040'!#REF!</f>
        <v>#REF!</v>
      </c>
      <c r="C277" s="66" t="e">
        <f t="shared" si="57"/>
        <v>#REF!</v>
      </c>
      <c r="D277" s="65" t="e">
        <f t="shared" si="58"/>
        <v>#REF!</v>
      </c>
      <c r="E277" s="64" t="e">
        <f>VLOOKUP(B277,'115+040'!B275:AB275,3,FALSE)</f>
        <v>#REF!</v>
      </c>
      <c r="F277" s="61" t="e">
        <f t="shared" si="53"/>
        <v>#REF!</v>
      </c>
      <c r="G277" s="63" t="e">
        <f>VLOOKUP(B277,'115+040'!$B$12:$AB$621,20,FALSE)</f>
        <v>#REF!</v>
      </c>
      <c r="H277" s="63" t="e">
        <f>VLOOKUP(B277,'115+040'!$B$12:$AB$621,4,FALSE)</f>
        <v>#REF!</v>
      </c>
      <c r="I277" s="60" t="e">
        <f t="shared" si="54"/>
        <v>#REF!</v>
      </c>
      <c r="J277" s="60" t="e">
        <f>VLOOKUP(B277,'115+040'!$B$12:$AB$621,13,FALSE)</f>
        <v>#REF!</v>
      </c>
      <c r="K277" s="58">
        <f>'115+040'!R275</f>
        <v>0</v>
      </c>
      <c r="L277" s="57">
        <f t="shared" si="59"/>
        <v>770</v>
      </c>
      <c r="M277" s="62" t="e">
        <f>VLOOKUP(B277,'115+040'!$B$11:$AB$621,21,FALSE)</f>
        <v>#REF!</v>
      </c>
      <c r="N277" s="61" t="e">
        <f>VLOOKUP(B277,'115+040'!$B$12:$AB$621,5,FALSE)</f>
        <v>#REF!</v>
      </c>
      <c r="O277" s="60" t="e">
        <f t="shared" si="55"/>
        <v>#REF!</v>
      </c>
      <c r="P277" s="60" t="e">
        <f>VLOOKUP(B277,'115+040'!$B$12:$AB$621,14,FALSE)</f>
        <v>#REF!</v>
      </c>
      <c r="Q277" s="58">
        <f>'115+040'!S275</f>
        <v>0</v>
      </c>
      <c r="R277" s="57">
        <f t="shared" si="60"/>
        <v>894</v>
      </c>
      <c r="S277" s="62" t="e">
        <f>VLOOKUP(B277,'115+040'!$B$11:$AB$621,22,FALSE)</f>
        <v>#REF!</v>
      </c>
      <c r="T277" s="61" t="e">
        <f>VLOOKUP(B277,'115+040'!$B$12:$AB$621,6,FALSE)</f>
        <v>#REF!</v>
      </c>
      <c r="U277" s="60" t="e">
        <f t="shared" si="56"/>
        <v>#REF!</v>
      </c>
      <c r="V277" s="59" t="e">
        <f>VLOOKUP(B277,'115+040'!$B$12:$AB$621,15,FALSE)</f>
        <v>#REF!</v>
      </c>
      <c r="W277" s="58">
        <f>'[4]114+940'!S278</f>
        <v>0</v>
      </c>
      <c r="X277" s="57">
        <f t="shared" si="61"/>
        <v>216</v>
      </c>
      <c r="Y277" s="56" t="e">
        <f t="shared" si="62"/>
        <v>#REF!</v>
      </c>
      <c r="Z277" s="55" t="e">
        <f t="shared" si="63"/>
        <v>#REF!</v>
      </c>
      <c r="AA277" s="54" t="e">
        <f t="shared" si="64"/>
        <v>#REF!</v>
      </c>
      <c r="AB277" s="54" t="e">
        <f t="shared" si="65"/>
        <v>#REF!</v>
      </c>
    </row>
    <row r="278" spans="2:28">
      <c r="B278" s="96" t="e">
        <f>'115+040'!#REF!</f>
        <v>#REF!</v>
      </c>
      <c r="C278" s="66" t="e">
        <f t="shared" si="57"/>
        <v>#REF!</v>
      </c>
      <c r="D278" s="65" t="e">
        <f t="shared" si="58"/>
        <v>#REF!</v>
      </c>
      <c r="E278" s="64" t="e">
        <f>VLOOKUP(B278,'115+040'!B276:AB276,3,FALSE)</f>
        <v>#REF!</v>
      </c>
      <c r="F278" s="61" t="e">
        <f t="shared" si="53"/>
        <v>#REF!</v>
      </c>
      <c r="G278" s="63" t="e">
        <f>VLOOKUP(B278,'115+040'!$B$12:$AB$621,20,FALSE)</f>
        <v>#REF!</v>
      </c>
      <c r="H278" s="63" t="e">
        <f>VLOOKUP(B278,'115+040'!$B$12:$AB$621,4,FALSE)</f>
        <v>#REF!</v>
      </c>
      <c r="I278" s="60" t="e">
        <f t="shared" si="54"/>
        <v>#REF!</v>
      </c>
      <c r="J278" s="60" t="e">
        <f>VLOOKUP(B278,'115+040'!$B$12:$AB$621,13,FALSE)</f>
        <v>#REF!</v>
      </c>
      <c r="K278" s="58">
        <f>'115+040'!R276</f>
        <v>0</v>
      </c>
      <c r="L278" s="57">
        <f t="shared" si="59"/>
        <v>770</v>
      </c>
      <c r="M278" s="62" t="e">
        <f>VLOOKUP(B278,'115+040'!$B$11:$AB$621,21,FALSE)</f>
        <v>#REF!</v>
      </c>
      <c r="N278" s="61" t="e">
        <f>VLOOKUP(B278,'115+040'!$B$12:$AB$621,5,FALSE)</f>
        <v>#REF!</v>
      </c>
      <c r="O278" s="60" t="e">
        <f t="shared" si="55"/>
        <v>#REF!</v>
      </c>
      <c r="P278" s="60" t="e">
        <f>VLOOKUP(B278,'115+040'!$B$12:$AB$621,14,FALSE)</f>
        <v>#REF!</v>
      </c>
      <c r="Q278" s="58">
        <f>'115+040'!S276</f>
        <v>0</v>
      </c>
      <c r="R278" s="57">
        <f t="shared" si="60"/>
        <v>894</v>
      </c>
      <c r="S278" s="62" t="e">
        <f>VLOOKUP(B278,'115+040'!$B$11:$AB$621,22,FALSE)</f>
        <v>#REF!</v>
      </c>
      <c r="T278" s="61" t="e">
        <f>VLOOKUP(B278,'115+040'!$B$12:$AB$621,6,FALSE)</f>
        <v>#REF!</v>
      </c>
      <c r="U278" s="60" t="e">
        <f t="shared" si="56"/>
        <v>#REF!</v>
      </c>
      <c r="V278" s="59" t="e">
        <f>VLOOKUP(B278,'115+040'!$B$12:$AB$621,15,FALSE)</f>
        <v>#REF!</v>
      </c>
      <c r="W278" s="58">
        <f>'[4]114+940'!S279</f>
        <v>0</v>
      </c>
      <c r="X278" s="57">
        <f t="shared" si="61"/>
        <v>216</v>
      </c>
      <c r="Y278" s="56" t="e">
        <f t="shared" si="62"/>
        <v>#REF!</v>
      </c>
      <c r="Z278" s="55" t="e">
        <f t="shared" si="63"/>
        <v>#REF!</v>
      </c>
      <c r="AA278" s="54" t="e">
        <f t="shared" si="64"/>
        <v>#REF!</v>
      </c>
      <c r="AB278" s="54" t="e">
        <f t="shared" si="65"/>
        <v>#REF!</v>
      </c>
    </row>
    <row r="279" spans="2:28">
      <c r="B279" s="96" t="e">
        <f>'115+040'!#REF!</f>
        <v>#REF!</v>
      </c>
      <c r="C279" s="66" t="e">
        <f t="shared" si="57"/>
        <v>#REF!</v>
      </c>
      <c r="D279" s="65" t="e">
        <f t="shared" si="58"/>
        <v>#REF!</v>
      </c>
      <c r="E279" s="64" t="e">
        <f>VLOOKUP(B279,'115+040'!B277:AB277,3,FALSE)</f>
        <v>#REF!</v>
      </c>
      <c r="F279" s="61" t="e">
        <f t="shared" si="53"/>
        <v>#REF!</v>
      </c>
      <c r="G279" s="63" t="e">
        <f>VLOOKUP(B279,'115+040'!$B$12:$AB$621,20,FALSE)</f>
        <v>#REF!</v>
      </c>
      <c r="H279" s="63" t="e">
        <f>VLOOKUP(B279,'115+040'!$B$12:$AB$621,4,FALSE)</f>
        <v>#REF!</v>
      </c>
      <c r="I279" s="60" t="e">
        <f t="shared" si="54"/>
        <v>#REF!</v>
      </c>
      <c r="J279" s="60" t="e">
        <f>VLOOKUP(B279,'115+040'!$B$12:$AB$621,13,FALSE)</f>
        <v>#REF!</v>
      </c>
      <c r="K279" s="58">
        <f>'115+040'!R277</f>
        <v>0</v>
      </c>
      <c r="L279" s="57">
        <f t="shared" si="59"/>
        <v>770</v>
      </c>
      <c r="M279" s="62" t="e">
        <f>VLOOKUP(B279,'115+040'!$B$11:$AB$621,21,FALSE)</f>
        <v>#REF!</v>
      </c>
      <c r="N279" s="61" t="e">
        <f>VLOOKUP(B279,'115+040'!$B$12:$AB$621,5,FALSE)</f>
        <v>#REF!</v>
      </c>
      <c r="O279" s="60" t="e">
        <f t="shared" si="55"/>
        <v>#REF!</v>
      </c>
      <c r="P279" s="60" t="e">
        <f>VLOOKUP(B279,'115+040'!$B$12:$AB$621,14,FALSE)</f>
        <v>#REF!</v>
      </c>
      <c r="Q279" s="58">
        <f>'115+040'!S277</f>
        <v>0</v>
      </c>
      <c r="R279" s="57">
        <f t="shared" si="60"/>
        <v>894</v>
      </c>
      <c r="S279" s="62" t="e">
        <f>VLOOKUP(B279,'115+040'!$B$11:$AB$621,22,FALSE)</f>
        <v>#REF!</v>
      </c>
      <c r="T279" s="61" t="e">
        <f>VLOOKUP(B279,'115+040'!$B$12:$AB$621,6,FALSE)</f>
        <v>#REF!</v>
      </c>
      <c r="U279" s="60" t="e">
        <f t="shared" si="56"/>
        <v>#REF!</v>
      </c>
      <c r="V279" s="59" t="e">
        <f>VLOOKUP(B279,'115+040'!$B$12:$AB$621,15,FALSE)</f>
        <v>#REF!</v>
      </c>
      <c r="W279" s="58">
        <f>'[4]114+940'!S280</f>
        <v>0</v>
      </c>
      <c r="X279" s="57">
        <f t="shared" si="61"/>
        <v>216</v>
      </c>
      <c r="Y279" s="56" t="e">
        <f t="shared" si="62"/>
        <v>#REF!</v>
      </c>
      <c r="Z279" s="55" t="e">
        <f t="shared" si="63"/>
        <v>#REF!</v>
      </c>
      <c r="AA279" s="54" t="e">
        <f t="shared" si="64"/>
        <v>#REF!</v>
      </c>
      <c r="AB279" s="54" t="e">
        <f t="shared" si="65"/>
        <v>#REF!</v>
      </c>
    </row>
    <row r="280" spans="2:28">
      <c r="B280" s="96" t="e">
        <f>'115+040'!#REF!</f>
        <v>#REF!</v>
      </c>
      <c r="C280" s="66" t="e">
        <f t="shared" si="57"/>
        <v>#REF!</v>
      </c>
      <c r="D280" s="65" t="e">
        <f t="shared" si="58"/>
        <v>#REF!</v>
      </c>
      <c r="E280" s="64" t="e">
        <f>VLOOKUP(B280,'115+040'!B278:AB278,3,FALSE)</f>
        <v>#REF!</v>
      </c>
      <c r="F280" s="61" t="e">
        <f t="shared" si="53"/>
        <v>#REF!</v>
      </c>
      <c r="G280" s="63" t="e">
        <f>VLOOKUP(B280,'115+040'!$B$12:$AB$621,20,FALSE)</f>
        <v>#REF!</v>
      </c>
      <c r="H280" s="63" t="e">
        <f>VLOOKUP(B280,'115+040'!$B$12:$AB$621,4,FALSE)</f>
        <v>#REF!</v>
      </c>
      <c r="I280" s="60" t="e">
        <f t="shared" si="54"/>
        <v>#REF!</v>
      </c>
      <c r="J280" s="60" t="e">
        <f>VLOOKUP(B280,'115+040'!$B$12:$AB$621,13,FALSE)</f>
        <v>#REF!</v>
      </c>
      <c r="K280" s="58">
        <f>'115+040'!R278</f>
        <v>0</v>
      </c>
      <c r="L280" s="57">
        <f t="shared" si="59"/>
        <v>770</v>
      </c>
      <c r="M280" s="62" t="e">
        <f>VLOOKUP(B280,'115+040'!$B$11:$AB$621,21,FALSE)</f>
        <v>#REF!</v>
      </c>
      <c r="N280" s="61" t="e">
        <f>VLOOKUP(B280,'115+040'!$B$12:$AB$621,5,FALSE)</f>
        <v>#REF!</v>
      </c>
      <c r="O280" s="60" t="e">
        <f t="shared" si="55"/>
        <v>#REF!</v>
      </c>
      <c r="P280" s="60" t="e">
        <f>VLOOKUP(B280,'115+040'!$B$12:$AB$621,14,FALSE)</f>
        <v>#REF!</v>
      </c>
      <c r="Q280" s="58">
        <f>'115+040'!S278</f>
        <v>0</v>
      </c>
      <c r="R280" s="57">
        <f t="shared" si="60"/>
        <v>894</v>
      </c>
      <c r="S280" s="62" t="e">
        <f>VLOOKUP(B280,'115+040'!$B$11:$AB$621,22,FALSE)</f>
        <v>#REF!</v>
      </c>
      <c r="T280" s="61" t="e">
        <f>VLOOKUP(B280,'115+040'!$B$12:$AB$621,6,FALSE)</f>
        <v>#REF!</v>
      </c>
      <c r="U280" s="60" t="e">
        <f t="shared" si="56"/>
        <v>#REF!</v>
      </c>
      <c r="V280" s="59" t="e">
        <f>VLOOKUP(B280,'115+040'!$B$12:$AB$621,15,FALSE)</f>
        <v>#REF!</v>
      </c>
      <c r="W280" s="58">
        <f>'[4]114+940'!S281</f>
        <v>0</v>
      </c>
      <c r="X280" s="57">
        <f t="shared" si="61"/>
        <v>216</v>
      </c>
      <c r="Y280" s="56" t="e">
        <f t="shared" si="62"/>
        <v>#REF!</v>
      </c>
      <c r="Z280" s="55" t="e">
        <f t="shared" si="63"/>
        <v>#REF!</v>
      </c>
      <c r="AA280" s="54" t="e">
        <f t="shared" si="64"/>
        <v>#REF!</v>
      </c>
      <c r="AB280" s="54" t="e">
        <f t="shared" si="65"/>
        <v>#REF!</v>
      </c>
    </row>
    <row r="281" spans="2:28">
      <c r="B281" s="96" t="e">
        <f>'115+040'!#REF!</f>
        <v>#REF!</v>
      </c>
      <c r="C281" s="66" t="e">
        <f t="shared" si="57"/>
        <v>#REF!</v>
      </c>
      <c r="D281" s="65" t="e">
        <f t="shared" si="58"/>
        <v>#REF!</v>
      </c>
      <c r="E281" s="64" t="e">
        <f>VLOOKUP(B281,'115+040'!B279:AB279,3,FALSE)</f>
        <v>#REF!</v>
      </c>
      <c r="F281" s="61" t="e">
        <f t="shared" si="53"/>
        <v>#REF!</v>
      </c>
      <c r="G281" s="63" t="e">
        <f>VLOOKUP(B281,'115+040'!$B$12:$AB$621,20,FALSE)</f>
        <v>#REF!</v>
      </c>
      <c r="H281" s="63" t="e">
        <f>VLOOKUP(B281,'115+040'!$B$12:$AB$621,4,FALSE)</f>
        <v>#REF!</v>
      </c>
      <c r="I281" s="60" t="e">
        <f t="shared" si="54"/>
        <v>#REF!</v>
      </c>
      <c r="J281" s="60" t="e">
        <f>VLOOKUP(B281,'115+040'!$B$12:$AB$621,13,FALSE)</f>
        <v>#REF!</v>
      </c>
      <c r="K281" s="58">
        <f>'115+040'!R279</f>
        <v>0</v>
      </c>
      <c r="L281" s="57">
        <f t="shared" si="59"/>
        <v>770</v>
      </c>
      <c r="M281" s="62" t="e">
        <f>VLOOKUP(B281,'115+040'!$B$11:$AB$621,21,FALSE)</f>
        <v>#REF!</v>
      </c>
      <c r="N281" s="61" t="e">
        <f>VLOOKUP(B281,'115+040'!$B$12:$AB$621,5,FALSE)</f>
        <v>#REF!</v>
      </c>
      <c r="O281" s="60" t="e">
        <f t="shared" si="55"/>
        <v>#REF!</v>
      </c>
      <c r="P281" s="60" t="e">
        <f>VLOOKUP(B281,'115+040'!$B$12:$AB$621,14,FALSE)</f>
        <v>#REF!</v>
      </c>
      <c r="Q281" s="58">
        <f>'115+040'!S279</f>
        <v>0</v>
      </c>
      <c r="R281" s="57">
        <f t="shared" si="60"/>
        <v>894</v>
      </c>
      <c r="S281" s="62" t="e">
        <f>VLOOKUP(B281,'115+040'!$B$11:$AB$621,22,FALSE)</f>
        <v>#REF!</v>
      </c>
      <c r="T281" s="61" t="e">
        <f>VLOOKUP(B281,'115+040'!$B$12:$AB$621,6,FALSE)</f>
        <v>#REF!</v>
      </c>
      <c r="U281" s="60" t="e">
        <f t="shared" si="56"/>
        <v>#REF!</v>
      </c>
      <c r="V281" s="59" t="e">
        <f>VLOOKUP(B281,'115+040'!$B$12:$AB$621,15,FALSE)</f>
        <v>#REF!</v>
      </c>
      <c r="W281" s="58">
        <f>'[4]114+940'!S282</f>
        <v>0</v>
      </c>
      <c r="X281" s="57">
        <f t="shared" si="61"/>
        <v>216</v>
      </c>
      <c r="Y281" s="56" t="e">
        <f t="shared" si="62"/>
        <v>#REF!</v>
      </c>
      <c r="Z281" s="55" t="e">
        <f t="shared" si="63"/>
        <v>#REF!</v>
      </c>
      <c r="AA281" s="54" t="e">
        <f t="shared" si="64"/>
        <v>#REF!</v>
      </c>
      <c r="AB281" s="54" t="e">
        <f t="shared" si="65"/>
        <v>#REF!</v>
      </c>
    </row>
    <row r="282" spans="2:28">
      <c r="B282" s="96" t="e">
        <f>'115+040'!#REF!</f>
        <v>#REF!</v>
      </c>
      <c r="C282" s="66" t="e">
        <f t="shared" si="57"/>
        <v>#REF!</v>
      </c>
      <c r="D282" s="65" t="e">
        <f t="shared" si="58"/>
        <v>#REF!</v>
      </c>
      <c r="E282" s="64" t="e">
        <f>VLOOKUP(B282,'115+040'!B280:AB280,3,FALSE)</f>
        <v>#REF!</v>
      </c>
      <c r="F282" s="61" t="e">
        <f t="shared" si="53"/>
        <v>#REF!</v>
      </c>
      <c r="G282" s="63" t="e">
        <f>VLOOKUP(B282,'115+040'!$B$12:$AB$621,20,FALSE)</f>
        <v>#REF!</v>
      </c>
      <c r="H282" s="63" t="e">
        <f>VLOOKUP(B282,'115+040'!$B$12:$AB$621,4,FALSE)</f>
        <v>#REF!</v>
      </c>
      <c r="I282" s="60" t="e">
        <f t="shared" si="54"/>
        <v>#REF!</v>
      </c>
      <c r="J282" s="60" t="e">
        <f>VLOOKUP(B282,'115+040'!$B$12:$AB$621,13,FALSE)</f>
        <v>#REF!</v>
      </c>
      <c r="K282" s="58">
        <f>'115+040'!R280</f>
        <v>0</v>
      </c>
      <c r="L282" s="57">
        <f t="shared" si="59"/>
        <v>770</v>
      </c>
      <c r="M282" s="62" t="e">
        <f>VLOOKUP(B282,'115+040'!$B$11:$AB$621,21,FALSE)</f>
        <v>#REF!</v>
      </c>
      <c r="N282" s="61" t="e">
        <f>VLOOKUP(B282,'115+040'!$B$12:$AB$621,5,FALSE)</f>
        <v>#REF!</v>
      </c>
      <c r="O282" s="60" t="e">
        <f t="shared" si="55"/>
        <v>#REF!</v>
      </c>
      <c r="P282" s="60" t="e">
        <f>VLOOKUP(B282,'115+040'!$B$12:$AB$621,14,FALSE)</f>
        <v>#REF!</v>
      </c>
      <c r="Q282" s="58">
        <f>'115+040'!S280</f>
        <v>0</v>
      </c>
      <c r="R282" s="57">
        <f t="shared" si="60"/>
        <v>894</v>
      </c>
      <c r="S282" s="62" t="e">
        <f>VLOOKUP(B282,'115+040'!$B$11:$AB$621,22,FALSE)</f>
        <v>#REF!</v>
      </c>
      <c r="T282" s="61" t="e">
        <f>VLOOKUP(B282,'115+040'!$B$12:$AB$621,6,FALSE)</f>
        <v>#REF!</v>
      </c>
      <c r="U282" s="60" t="e">
        <f t="shared" si="56"/>
        <v>#REF!</v>
      </c>
      <c r="V282" s="59" t="e">
        <f>VLOOKUP(B282,'115+040'!$B$12:$AB$621,15,FALSE)</f>
        <v>#REF!</v>
      </c>
      <c r="W282" s="58">
        <f>'[4]114+940'!S283</f>
        <v>0</v>
      </c>
      <c r="X282" s="57">
        <f t="shared" si="61"/>
        <v>216</v>
      </c>
      <c r="Y282" s="56" t="e">
        <f t="shared" si="62"/>
        <v>#REF!</v>
      </c>
      <c r="Z282" s="55" t="e">
        <f t="shared" si="63"/>
        <v>#REF!</v>
      </c>
      <c r="AA282" s="54" t="e">
        <f t="shared" si="64"/>
        <v>#REF!</v>
      </c>
      <c r="AB282" s="54" t="e">
        <f t="shared" si="65"/>
        <v>#REF!</v>
      </c>
    </row>
    <row r="283" spans="2:28">
      <c r="B283" s="96" t="e">
        <f>'115+040'!#REF!</f>
        <v>#REF!</v>
      </c>
      <c r="C283" s="66" t="e">
        <f t="shared" si="57"/>
        <v>#REF!</v>
      </c>
      <c r="D283" s="65" t="e">
        <f t="shared" si="58"/>
        <v>#REF!</v>
      </c>
      <c r="E283" s="64" t="e">
        <f>VLOOKUP(B283,'115+040'!B281:AB281,3,FALSE)</f>
        <v>#REF!</v>
      </c>
      <c r="F283" s="61" t="e">
        <f t="shared" si="53"/>
        <v>#REF!</v>
      </c>
      <c r="G283" s="63" t="e">
        <f>VLOOKUP(B283,'115+040'!$B$12:$AB$621,20,FALSE)</f>
        <v>#REF!</v>
      </c>
      <c r="H283" s="63" t="e">
        <f>VLOOKUP(B283,'115+040'!$B$12:$AB$621,4,FALSE)</f>
        <v>#REF!</v>
      </c>
      <c r="I283" s="60" t="e">
        <f t="shared" si="54"/>
        <v>#REF!</v>
      </c>
      <c r="J283" s="60" t="e">
        <f>VLOOKUP(B283,'115+040'!$B$12:$AB$621,13,FALSE)</f>
        <v>#REF!</v>
      </c>
      <c r="K283" s="58">
        <f>'115+040'!R281</f>
        <v>0</v>
      </c>
      <c r="L283" s="57">
        <f t="shared" si="59"/>
        <v>770</v>
      </c>
      <c r="M283" s="62" t="e">
        <f>VLOOKUP(B283,'115+040'!$B$11:$AB$621,21,FALSE)</f>
        <v>#REF!</v>
      </c>
      <c r="N283" s="61" t="e">
        <f>VLOOKUP(B283,'115+040'!$B$12:$AB$621,5,FALSE)</f>
        <v>#REF!</v>
      </c>
      <c r="O283" s="60" t="e">
        <f t="shared" si="55"/>
        <v>#REF!</v>
      </c>
      <c r="P283" s="60" t="e">
        <f>VLOOKUP(B283,'115+040'!$B$12:$AB$621,14,FALSE)</f>
        <v>#REF!</v>
      </c>
      <c r="Q283" s="58">
        <f>'115+040'!S281</f>
        <v>0</v>
      </c>
      <c r="R283" s="57">
        <f t="shared" si="60"/>
        <v>894</v>
      </c>
      <c r="S283" s="62" t="e">
        <f>VLOOKUP(B283,'115+040'!$B$11:$AB$621,22,FALSE)</f>
        <v>#REF!</v>
      </c>
      <c r="T283" s="61" t="e">
        <f>VLOOKUP(B283,'115+040'!$B$12:$AB$621,6,FALSE)</f>
        <v>#REF!</v>
      </c>
      <c r="U283" s="60" t="e">
        <f t="shared" si="56"/>
        <v>#REF!</v>
      </c>
      <c r="V283" s="59" t="e">
        <f>VLOOKUP(B283,'115+040'!$B$12:$AB$621,15,FALSE)</f>
        <v>#REF!</v>
      </c>
      <c r="W283" s="58">
        <f>'[4]114+940'!S284</f>
        <v>0</v>
      </c>
      <c r="X283" s="57">
        <f t="shared" si="61"/>
        <v>216</v>
      </c>
      <c r="Y283" s="56" t="e">
        <f t="shared" si="62"/>
        <v>#REF!</v>
      </c>
      <c r="Z283" s="55" t="e">
        <f t="shared" si="63"/>
        <v>#REF!</v>
      </c>
      <c r="AA283" s="54" t="e">
        <f t="shared" si="64"/>
        <v>#REF!</v>
      </c>
      <c r="AB283" s="54" t="e">
        <f t="shared" si="65"/>
        <v>#REF!</v>
      </c>
    </row>
    <row r="284" spans="2:28">
      <c r="B284" s="96" t="e">
        <f>'115+040'!#REF!</f>
        <v>#REF!</v>
      </c>
      <c r="C284" s="66" t="e">
        <f t="shared" si="57"/>
        <v>#REF!</v>
      </c>
      <c r="D284" s="65" t="e">
        <f t="shared" si="58"/>
        <v>#REF!</v>
      </c>
      <c r="E284" s="64" t="e">
        <f>VLOOKUP(B284,'115+040'!B282:AB282,3,FALSE)</f>
        <v>#REF!</v>
      </c>
      <c r="F284" s="61" t="e">
        <f t="shared" si="53"/>
        <v>#REF!</v>
      </c>
      <c r="G284" s="63" t="e">
        <f>VLOOKUP(B284,'115+040'!$B$12:$AB$621,20,FALSE)</f>
        <v>#REF!</v>
      </c>
      <c r="H284" s="63" t="e">
        <f>VLOOKUP(B284,'115+040'!$B$12:$AB$621,4,FALSE)</f>
        <v>#REF!</v>
      </c>
      <c r="I284" s="60" t="e">
        <f t="shared" si="54"/>
        <v>#REF!</v>
      </c>
      <c r="J284" s="60" t="e">
        <f>VLOOKUP(B284,'115+040'!$B$12:$AB$621,13,FALSE)</f>
        <v>#REF!</v>
      </c>
      <c r="K284" s="58">
        <f>'115+040'!R282</f>
        <v>0</v>
      </c>
      <c r="L284" s="57">
        <f t="shared" si="59"/>
        <v>770</v>
      </c>
      <c r="M284" s="62" t="e">
        <f>VLOOKUP(B284,'115+040'!$B$11:$AB$621,21,FALSE)</f>
        <v>#REF!</v>
      </c>
      <c r="N284" s="61" t="e">
        <f>VLOOKUP(B284,'115+040'!$B$12:$AB$621,5,FALSE)</f>
        <v>#REF!</v>
      </c>
      <c r="O284" s="60" t="e">
        <f t="shared" si="55"/>
        <v>#REF!</v>
      </c>
      <c r="P284" s="60" t="e">
        <f>VLOOKUP(B284,'115+040'!$B$12:$AB$621,14,FALSE)</f>
        <v>#REF!</v>
      </c>
      <c r="Q284" s="58">
        <f>'115+040'!S282</f>
        <v>0</v>
      </c>
      <c r="R284" s="57">
        <f t="shared" si="60"/>
        <v>894</v>
      </c>
      <c r="S284" s="62" t="e">
        <f>VLOOKUP(B284,'115+040'!$B$11:$AB$621,22,FALSE)</f>
        <v>#REF!</v>
      </c>
      <c r="T284" s="61" t="e">
        <f>VLOOKUP(B284,'115+040'!$B$12:$AB$621,6,FALSE)</f>
        <v>#REF!</v>
      </c>
      <c r="U284" s="60" t="e">
        <f t="shared" si="56"/>
        <v>#REF!</v>
      </c>
      <c r="V284" s="59" t="e">
        <f>VLOOKUP(B284,'115+040'!$B$12:$AB$621,15,FALSE)</f>
        <v>#REF!</v>
      </c>
      <c r="W284" s="58">
        <f>'[4]114+940'!S285</f>
        <v>0</v>
      </c>
      <c r="X284" s="57">
        <f t="shared" si="61"/>
        <v>216</v>
      </c>
      <c r="Y284" s="56" t="e">
        <f t="shared" si="62"/>
        <v>#REF!</v>
      </c>
      <c r="Z284" s="55" t="e">
        <f t="shared" si="63"/>
        <v>#REF!</v>
      </c>
      <c r="AA284" s="54" t="e">
        <f t="shared" si="64"/>
        <v>#REF!</v>
      </c>
      <c r="AB284" s="54" t="e">
        <f t="shared" si="65"/>
        <v>#REF!</v>
      </c>
    </row>
    <row r="285" spans="2:28">
      <c r="B285" s="96" t="e">
        <f>'115+040'!#REF!</f>
        <v>#REF!</v>
      </c>
      <c r="C285" s="66" t="e">
        <f t="shared" si="57"/>
        <v>#REF!</v>
      </c>
      <c r="D285" s="65" t="e">
        <f t="shared" si="58"/>
        <v>#REF!</v>
      </c>
      <c r="E285" s="64" t="e">
        <f>VLOOKUP(B285,'115+040'!B283:AB283,3,FALSE)</f>
        <v>#REF!</v>
      </c>
      <c r="F285" s="61" t="e">
        <f t="shared" si="53"/>
        <v>#REF!</v>
      </c>
      <c r="G285" s="63" t="e">
        <f>VLOOKUP(B285,'115+040'!$B$12:$AB$621,20,FALSE)</f>
        <v>#REF!</v>
      </c>
      <c r="H285" s="63" t="e">
        <f>VLOOKUP(B285,'115+040'!$B$12:$AB$621,4,FALSE)</f>
        <v>#REF!</v>
      </c>
      <c r="I285" s="60" t="e">
        <f t="shared" si="54"/>
        <v>#REF!</v>
      </c>
      <c r="J285" s="60" t="e">
        <f>VLOOKUP(B285,'115+040'!$B$12:$AB$621,13,FALSE)</f>
        <v>#REF!</v>
      </c>
      <c r="K285" s="58">
        <f>'115+040'!R283</f>
        <v>0</v>
      </c>
      <c r="L285" s="57">
        <f t="shared" si="59"/>
        <v>770</v>
      </c>
      <c r="M285" s="62" t="e">
        <f>VLOOKUP(B285,'115+040'!$B$11:$AB$621,21,FALSE)</f>
        <v>#REF!</v>
      </c>
      <c r="N285" s="61" t="e">
        <f>VLOOKUP(B285,'115+040'!$B$12:$AB$621,5,FALSE)</f>
        <v>#REF!</v>
      </c>
      <c r="O285" s="60" t="e">
        <f t="shared" si="55"/>
        <v>#REF!</v>
      </c>
      <c r="P285" s="60" t="e">
        <f>VLOOKUP(B285,'115+040'!$B$12:$AB$621,14,FALSE)</f>
        <v>#REF!</v>
      </c>
      <c r="Q285" s="58">
        <f>'115+040'!S283</f>
        <v>0</v>
      </c>
      <c r="R285" s="57">
        <f t="shared" si="60"/>
        <v>894</v>
      </c>
      <c r="S285" s="62" t="e">
        <f>VLOOKUP(B285,'115+040'!$B$11:$AB$621,22,FALSE)</f>
        <v>#REF!</v>
      </c>
      <c r="T285" s="61" t="e">
        <f>VLOOKUP(B285,'115+040'!$B$12:$AB$621,6,FALSE)</f>
        <v>#REF!</v>
      </c>
      <c r="U285" s="60" t="e">
        <f t="shared" si="56"/>
        <v>#REF!</v>
      </c>
      <c r="V285" s="59" t="e">
        <f>VLOOKUP(B285,'115+040'!$B$12:$AB$621,15,FALSE)</f>
        <v>#REF!</v>
      </c>
      <c r="W285" s="58">
        <f>'[4]114+940'!S286</f>
        <v>0</v>
      </c>
      <c r="X285" s="57">
        <f t="shared" si="61"/>
        <v>216</v>
      </c>
      <c r="Y285" s="56" t="e">
        <f t="shared" si="62"/>
        <v>#REF!</v>
      </c>
      <c r="Z285" s="55" t="e">
        <f t="shared" si="63"/>
        <v>#REF!</v>
      </c>
      <c r="AA285" s="54" t="e">
        <f t="shared" si="64"/>
        <v>#REF!</v>
      </c>
      <c r="AB285" s="54" t="e">
        <f t="shared" si="65"/>
        <v>#REF!</v>
      </c>
    </row>
    <row r="286" spans="2:28">
      <c r="B286" s="96" t="e">
        <f>'115+040'!#REF!</f>
        <v>#REF!</v>
      </c>
      <c r="C286" s="66" t="e">
        <f t="shared" si="57"/>
        <v>#REF!</v>
      </c>
      <c r="D286" s="65" t="e">
        <f t="shared" si="58"/>
        <v>#REF!</v>
      </c>
      <c r="E286" s="64" t="e">
        <f>VLOOKUP(B286,'115+040'!B284:AB284,3,FALSE)</f>
        <v>#REF!</v>
      </c>
      <c r="F286" s="61" t="e">
        <f t="shared" si="53"/>
        <v>#REF!</v>
      </c>
      <c r="G286" s="63" t="e">
        <f>VLOOKUP(B286,'115+040'!$B$12:$AB$621,20,FALSE)</f>
        <v>#REF!</v>
      </c>
      <c r="H286" s="63" t="e">
        <f>VLOOKUP(B286,'115+040'!$B$12:$AB$621,4,FALSE)</f>
        <v>#REF!</v>
      </c>
      <c r="I286" s="60" t="e">
        <f t="shared" si="54"/>
        <v>#REF!</v>
      </c>
      <c r="J286" s="60" t="e">
        <f>VLOOKUP(B286,'115+040'!$B$12:$AB$621,13,FALSE)</f>
        <v>#REF!</v>
      </c>
      <c r="K286" s="58">
        <f>'115+040'!R284</f>
        <v>0</v>
      </c>
      <c r="L286" s="57">
        <f t="shared" si="59"/>
        <v>770</v>
      </c>
      <c r="M286" s="62" t="e">
        <f>VLOOKUP(B286,'115+040'!$B$11:$AB$621,21,FALSE)</f>
        <v>#REF!</v>
      </c>
      <c r="N286" s="61" t="e">
        <f>VLOOKUP(B286,'115+040'!$B$12:$AB$621,5,FALSE)</f>
        <v>#REF!</v>
      </c>
      <c r="O286" s="60" t="e">
        <f t="shared" si="55"/>
        <v>#REF!</v>
      </c>
      <c r="P286" s="60" t="e">
        <f>VLOOKUP(B286,'115+040'!$B$12:$AB$621,14,FALSE)</f>
        <v>#REF!</v>
      </c>
      <c r="Q286" s="58">
        <f>'115+040'!S284</f>
        <v>0</v>
      </c>
      <c r="R286" s="57">
        <f t="shared" si="60"/>
        <v>894</v>
      </c>
      <c r="S286" s="62" t="e">
        <f>VLOOKUP(B286,'115+040'!$B$11:$AB$621,22,FALSE)</f>
        <v>#REF!</v>
      </c>
      <c r="T286" s="61" t="e">
        <f>VLOOKUP(B286,'115+040'!$B$12:$AB$621,6,FALSE)</f>
        <v>#REF!</v>
      </c>
      <c r="U286" s="60" t="e">
        <f t="shared" si="56"/>
        <v>#REF!</v>
      </c>
      <c r="V286" s="59" t="e">
        <f>VLOOKUP(B286,'115+040'!$B$12:$AB$621,15,FALSE)</f>
        <v>#REF!</v>
      </c>
      <c r="W286" s="58">
        <f>'[4]114+940'!S287</f>
        <v>0</v>
      </c>
      <c r="X286" s="57">
        <f t="shared" si="61"/>
        <v>216</v>
      </c>
      <c r="Y286" s="56" t="e">
        <f t="shared" si="62"/>
        <v>#REF!</v>
      </c>
      <c r="Z286" s="55" t="e">
        <f t="shared" si="63"/>
        <v>#REF!</v>
      </c>
      <c r="AA286" s="54" t="e">
        <f t="shared" si="64"/>
        <v>#REF!</v>
      </c>
      <c r="AB286" s="54" t="e">
        <f t="shared" si="65"/>
        <v>#REF!</v>
      </c>
    </row>
    <row r="287" spans="2:28">
      <c r="B287" s="96" t="e">
        <f>'115+040'!#REF!</f>
        <v>#REF!</v>
      </c>
      <c r="C287" s="66" t="e">
        <f t="shared" si="57"/>
        <v>#REF!</v>
      </c>
      <c r="D287" s="65" t="e">
        <f t="shared" si="58"/>
        <v>#REF!</v>
      </c>
      <c r="E287" s="64" t="e">
        <f>VLOOKUP(B287,'115+040'!B285:AB285,3,FALSE)</f>
        <v>#REF!</v>
      </c>
      <c r="F287" s="61" t="e">
        <f t="shared" si="53"/>
        <v>#REF!</v>
      </c>
      <c r="G287" s="63" t="e">
        <f>VLOOKUP(B287,'115+040'!$B$12:$AB$621,20,FALSE)</f>
        <v>#REF!</v>
      </c>
      <c r="H287" s="63" t="e">
        <f>VLOOKUP(B287,'115+040'!$B$12:$AB$621,4,FALSE)</f>
        <v>#REF!</v>
      </c>
      <c r="I287" s="60" t="e">
        <f t="shared" si="54"/>
        <v>#REF!</v>
      </c>
      <c r="J287" s="60" t="e">
        <f>VLOOKUP(B287,'115+040'!$B$12:$AB$621,13,FALSE)</f>
        <v>#REF!</v>
      </c>
      <c r="K287" s="58">
        <f>'115+040'!R285</f>
        <v>0</v>
      </c>
      <c r="L287" s="57">
        <f t="shared" si="59"/>
        <v>770</v>
      </c>
      <c r="M287" s="62" t="e">
        <f>VLOOKUP(B287,'115+040'!$B$11:$AB$621,21,FALSE)</f>
        <v>#REF!</v>
      </c>
      <c r="N287" s="61" t="e">
        <f>VLOOKUP(B287,'115+040'!$B$12:$AB$621,5,FALSE)</f>
        <v>#REF!</v>
      </c>
      <c r="O287" s="60" t="e">
        <f t="shared" si="55"/>
        <v>#REF!</v>
      </c>
      <c r="P287" s="60" t="e">
        <f>VLOOKUP(B287,'115+040'!$B$12:$AB$621,14,FALSE)</f>
        <v>#REF!</v>
      </c>
      <c r="Q287" s="58">
        <f>'115+040'!S285</f>
        <v>0</v>
      </c>
      <c r="R287" s="57">
        <f t="shared" si="60"/>
        <v>894</v>
      </c>
      <c r="S287" s="62" t="e">
        <f>VLOOKUP(B287,'115+040'!$B$11:$AB$621,22,FALSE)</f>
        <v>#REF!</v>
      </c>
      <c r="T287" s="61" t="e">
        <f>VLOOKUP(B287,'115+040'!$B$12:$AB$621,6,FALSE)</f>
        <v>#REF!</v>
      </c>
      <c r="U287" s="60" t="e">
        <f t="shared" si="56"/>
        <v>#REF!</v>
      </c>
      <c r="V287" s="59" t="e">
        <f>VLOOKUP(B287,'115+040'!$B$12:$AB$621,15,FALSE)</f>
        <v>#REF!</v>
      </c>
      <c r="W287" s="58">
        <f>'[4]114+940'!S288</f>
        <v>0</v>
      </c>
      <c r="X287" s="57">
        <f t="shared" si="61"/>
        <v>216</v>
      </c>
      <c r="Y287" s="56" t="e">
        <f t="shared" si="62"/>
        <v>#REF!</v>
      </c>
      <c r="Z287" s="55" t="e">
        <f t="shared" si="63"/>
        <v>#REF!</v>
      </c>
      <c r="AA287" s="54" t="e">
        <f t="shared" si="64"/>
        <v>#REF!</v>
      </c>
      <c r="AB287" s="54" t="e">
        <f t="shared" si="65"/>
        <v>#REF!</v>
      </c>
    </row>
    <row r="288" spans="2:28">
      <c r="B288" s="96" t="e">
        <f>'115+040'!#REF!</f>
        <v>#REF!</v>
      </c>
      <c r="C288" s="66" t="e">
        <f t="shared" si="57"/>
        <v>#REF!</v>
      </c>
      <c r="D288" s="65" t="e">
        <f t="shared" si="58"/>
        <v>#REF!</v>
      </c>
      <c r="E288" s="64" t="e">
        <f>VLOOKUP(B288,'115+040'!B286:AB286,3,FALSE)</f>
        <v>#REF!</v>
      </c>
      <c r="F288" s="61" t="e">
        <f t="shared" si="53"/>
        <v>#REF!</v>
      </c>
      <c r="G288" s="63" t="e">
        <f>VLOOKUP(B288,'115+040'!$B$12:$AB$621,20,FALSE)</f>
        <v>#REF!</v>
      </c>
      <c r="H288" s="63" t="e">
        <f>VLOOKUP(B288,'115+040'!$B$12:$AB$621,4,FALSE)</f>
        <v>#REF!</v>
      </c>
      <c r="I288" s="60" t="e">
        <f t="shared" si="54"/>
        <v>#REF!</v>
      </c>
      <c r="J288" s="60" t="e">
        <f>VLOOKUP(B288,'115+040'!$B$12:$AB$621,13,FALSE)</f>
        <v>#REF!</v>
      </c>
      <c r="K288" s="58">
        <f>'115+040'!R286</f>
        <v>0</v>
      </c>
      <c r="L288" s="57">
        <f t="shared" si="59"/>
        <v>770</v>
      </c>
      <c r="M288" s="62" t="e">
        <f>VLOOKUP(B288,'115+040'!$B$11:$AB$621,21,FALSE)</f>
        <v>#REF!</v>
      </c>
      <c r="N288" s="61" t="e">
        <f>VLOOKUP(B288,'115+040'!$B$12:$AB$621,5,FALSE)</f>
        <v>#REF!</v>
      </c>
      <c r="O288" s="60" t="e">
        <f t="shared" si="55"/>
        <v>#REF!</v>
      </c>
      <c r="P288" s="60" t="e">
        <f>VLOOKUP(B288,'115+040'!$B$12:$AB$621,14,FALSE)</f>
        <v>#REF!</v>
      </c>
      <c r="Q288" s="58">
        <f>'115+040'!S286</f>
        <v>0</v>
      </c>
      <c r="R288" s="57">
        <f t="shared" si="60"/>
        <v>894</v>
      </c>
      <c r="S288" s="62" t="e">
        <f>VLOOKUP(B288,'115+040'!$B$11:$AB$621,22,FALSE)</f>
        <v>#REF!</v>
      </c>
      <c r="T288" s="61" t="e">
        <f>VLOOKUP(B288,'115+040'!$B$12:$AB$621,6,FALSE)</f>
        <v>#REF!</v>
      </c>
      <c r="U288" s="60" t="e">
        <f t="shared" si="56"/>
        <v>#REF!</v>
      </c>
      <c r="V288" s="59" t="e">
        <f>VLOOKUP(B288,'115+040'!$B$12:$AB$621,15,FALSE)</f>
        <v>#REF!</v>
      </c>
      <c r="W288" s="58">
        <f>'[4]114+940'!S289</f>
        <v>0</v>
      </c>
      <c r="X288" s="57">
        <f t="shared" si="61"/>
        <v>216</v>
      </c>
      <c r="Y288" s="56" t="e">
        <f t="shared" si="62"/>
        <v>#REF!</v>
      </c>
      <c r="Z288" s="55" t="e">
        <f t="shared" si="63"/>
        <v>#REF!</v>
      </c>
      <c r="AA288" s="54" t="e">
        <f t="shared" si="64"/>
        <v>#REF!</v>
      </c>
      <c r="AB288" s="54" t="e">
        <f t="shared" si="65"/>
        <v>#REF!</v>
      </c>
    </row>
    <row r="289" spans="2:28">
      <c r="B289" s="96" t="e">
        <f>'115+040'!#REF!</f>
        <v>#REF!</v>
      </c>
      <c r="C289" s="66" t="e">
        <f t="shared" si="57"/>
        <v>#REF!</v>
      </c>
      <c r="D289" s="65" t="e">
        <f t="shared" si="58"/>
        <v>#REF!</v>
      </c>
      <c r="E289" s="64" t="e">
        <f>VLOOKUP(B289,'115+040'!B287:AB287,3,FALSE)</f>
        <v>#REF!</v>
      </c>
      <c r="F289" s="61" t="e">
        <f t="shared" si="53"/>
        <v>#REF!</v>
      </c>
      <c r="G289" s="63" t="e">
        <f>VLOOKUP(B289,'115+040'!$B$12:$AB$621,20,FALSE)</f>
        <v>#REF!</v>
      </c>
      <c r="H289" s="63" t="e">
        <f>VLOOKUP(B289,'115+040'!$B$12:$AB$621,4,FALSE)</f>
        <v>#REF!</v>
      </c>
      <c r="I289" s="60" t="e">
        <f t="shared" si="54"/>
        <v>#REF!</v>
      </c>
      <c r="J289" s="60" t="e">
        <f>VLOOKUP(B289,'115+040'!$B$12:$AB$621,13,FALSE)</f>
        <v>#REF!</v>
      </c>
      <c r="K289" s="58">
        <f>'115+040'!R287</f>
        <v>0</v>
      </c>
      <c r="L289" s="57">
        <f t="shared" si="59"/>
        <v>770</v>
      </c>
      <c r="M289" s="62" t="e">
        <f>VLOOKUP(B289,'115+040'!$B$11:$AB$621,21,FALSE)</f>
        <v>#REF!</v>
      </c>
      <c r="N289" s="61" t="e">
        <f>VLOOKUP(B289,'115+040'!$B$12:$AB$621,5,FALSE)</f>
        <v>#REF!</v>
      </c>
      <c r="O289" s="60" t="e">
        <f t="shared" si="55"/>
        <v>#REF!</v>
      </c>
      <c r="P289" s="60" t="e">
        <f>VLOOKUP(B289,'115+040'!$B$12:$AB$621,14,FALSE)</f>
        <v>#REF!</v>
      </c>
      <c r="Q289" s="58">
        <f>'115+040'!S287</f>
        <v>0</v>
      </c>
      <c r="R289" s="57">
        <f t="shared" si="60"/>
        <v>894</v>
      </c>
      <c r="S289" s="62" t="e">
        <f>VLOOKUP(B289,'115+040'!$B$11:$AB$621,22,FALSE)</f>
        <v>#REF!</v>
      </c>
      <c r="T289" s="61" t="e">
        <f>VLOOKUP(B289,'115+040'!$B$12:$AB$621,6,FALSE)</f>
        <v>#REF!</v>
      </c>
      <c r="U289" s="60" t="e">
        <f t="shared" si="56"/>
        <v>#REF!</v>
      </c>
      <c r="V289" s="59" t="e">
        <f>VLOOKUP(B289,'115+040'!$B$12:$AB$621,15,FALSE)</f>
        <v>#REF!</v>
      </c>
      <c r="W289" s="58">
        <f>'[4]114+940'!S290</f>
        <v>0</v>
      </c>
      <c r="X289" s="57">
        <f t="shared" si="61"/>
        <v>216</v>
      </c>
      <c r="Y289" s="56" t="e">
        <f t="shared" si="62"/>
        <v>#REF!</v>
      </c>
      <c r="Z289" s="55" t="e">
        <f t="shared" si="63"/>
        <v>#REF!</v>
      </c>
      <c r="AA289" s="54" t="e">
        <f t="shared" si="64"/>
        <v>#REF!</v>
      </c>
      <c r="AB289" s="54" t="e">
        <f t="shared" si="65"/>
        <v>#REF!</v>
      </c>
    </row>
    <row r="290" spans="2:28">
      <c r="B290" s="96" t="e">
        <f>'115+040'!#REF!</f>
        <v>#REF!</v>
      </c>
      <c r="C290" s="66" t="e">
        <f t="shared" si="57"/>
        <v>#REF!</v>
      </c>
      <c r="D290" s="65" t="e">
        <f t="shared" si="58"/>
        <v>#REF!</v>
      </c>
      <c r="E290" s="64" t="e">
        <f>VLOOKUP(B290,'115+040'!B288:AB288,3,FALSE)</f>
        <v>#REF!</v>
      </c>
      <c r="F290" s="61" t="e">
        <f t="shared" si="53"/>
        <v>#REF!</v>
      </c>
      <c r="G290" s="63" t="e">
        <f>VLOOKUP(B290,'115+040'!$B$12:$AB$621,20,FALSE)</f>
        <v>#REF!</v>
      </c>
      <c r="H290" s="63" t="e">
        <f>VLOOKUP(B290,'115+040'!$B$12:$AB$621,4,FALSE)</f>
        <v>#REF!</v>
      </c>
      <c r="I290" s="60" t="e">
        <f t="shared" si="54"/>
        <v>#REF!</v>
      </c>
      <c r="J290" s="60" t="e">
        <f>VLOOKUP(B290,'115+040'!$B$12:$AB$621,13,FALSE)</f>
        <v>#REF!</v>
      </c>
      <c r="K290" s="58">
        <f>'115+040'!R288</f>
        <v>0</v>
      </c>
      <c r="L290" s="57">
        <f t="shared" si="59"/>
        <v>770</v>
      </c>
      <c r="M290" s="62" t="e">
        <f>VLOOKUP(B290,'115+040'!$B$11:$AB$621,21,FALSE)</f>
        <v>#REF!</v>
      </c>
      <c r="N290" s="61" t="e">
        <f>VLOOKUP(B290,'115+040'!$B$12:$AB$621,5,FALSE)</f>
        <v>#REF!</v>
      </c>
      <c r="O290" s="60" t="e">
        <f t="shared" si="55"/>
        <v>#REF!</v>
      </c>
      <c r="P290" s="60" t="e">
        <f>VLOOKUP(B290,'115+040'!$B$12:$AB$621,14,FALSE)</f>
        <v>#REF!</v>
      </c>
      <c r="Q290" s="58">
        <f>'115+040'!S288</f>
        <v>0</v>
      </c>
      <c r="R290" s="57">
        <f t="shared" si="60"/>
        <v>894</v>
      </c>
      <c r="S290" s="62" t="e">
        <f>VLOOKUP(B290,'115+040'!$B$11:$AB$621,22,FALSE)</f>
        <v>#REF!</v>
      </c>
      <c r="T290" s="61" t="e">
        <f>VLOOKUP(B290,'115+040'!$B$12:$AB$621,6,FALSE)</f>
        <v>#REF!</v>
      </c>
      <c r="U290" s="60" t="e">
        <f t="shared" si="56"/>
        <v>#REF!</v>
      </c>
      <c r="V290" s="59" t="e">
        <f>VLOOKUP(B290,'115+040'!$B$12:$AB$621,15,FALSE)</f>
        <v>#REF!</v>
      </c>
      <c r="W290" s="58">
        <f>'[4]114+940'!S291</f>
        <v>0</v>
      </c>
      <c r="X290" s="57">
        <f t="shared" si="61"/>
        <v>216</v>
      </c>
      <c r="Y290" s="56" t="e">
        <f t="shared" si="62"/>
        <v>#REF!</v>
      </c>
      <c r="Z290" s="55" t="e">
        <f t="shared" si="63"/>
        <v>#REF!</v>
      </c>
      <c r="AA290" s="54" t="e">
        <f t="shared" si="64"/>
        <v>#REF!</v>
      </c>
      <c r="AB290" s="54" t="e">
        <f t="shared" si="65"/>
        <v>#REF!</v>
      </c>
    </row>
    <row r="291" spans="2:28">
      <c r="B291" s="96" t="e">
        <f>'115+040'!#REF!</f>
        <v>#REF!</v>
      </c>
      <c r="C291" s="66" t="e">
        <f t="shared" si="57"/>
        <v>#REF!</v>
      </c>
      <c r="D291" s="65" t="e">
        <f t="shared" si="58"/>
        <v>#REF!</v>
      </c>
      <c r="E291" s="64" t="e">
        <f>VLOOKUP(B291,'115+040'!B289:AB289,3,FALSE)</f>
        <v>#REF!</v>
      </c>
      <c r="F291" s="61" t="e">
        <f t="shared" si="53"/>
        <v>#REF!</v>
      </c>
      <c r="G291" s="63" t="e">
        <f>VLOOKUP(B291,'115+040'!$B$12:$AB$621,20,FALSE)</f>
        <v>#REF!</v>
      </c>
      <c r="H291" s="63" t="e">
        <f>VLOOKUP(B291,'115+040'!$B$12:$AB$621,4,FALSE)</f>
        <v>#REF!</v>
      </c>
      <c r="I291" s="60" t="e">
        <f t="shared" si="54"/>
        <v>#REF!</v>
      </c>
      <c r="J291" s="60" t="e">
        <f>VLOOKUP(B291,'115+040'!$B$12:$AB$621,13,FALSE)</f>
        <v>#REF!</v>
      </c>
      <c r="K291" s="58">
        <f>'115+040'!R289</f>
        <v>0</v>
      </c>
      <c r="L291" s="57">
        <f t="shared" si="59"/>
        <v>770</v>
      </c>
      <c r="M291" s="62" t="e">
        <f>VLOOKUP(B291,'115+040'!$B$11:$AB$621,21,FALSE)</f>
        <v>#REF!</v>
      </c>
      <c r="N291" s="61" t="e">
        <f>VLOOKUP(B291,'115+040'!$B$12:$AB$621,5,FALSE)</f>
        <v>#REF!</v>
      </c>
      <c r="O291" s="60" t="e">
        <f t="shared" si="55"/>
        <v>#REF!</v>
      </c>
      <c r="P291" s="60" t="e">
        <f>VLOOKUP(B291,'115+040'!$B$12:$AB$621,14,FALSE)</f>
        <v>#REF!</v>
      </c>
      <c r="Q291" s="58">
        <f>'115+040'!S289</f>
        <v>0</v>
      </c>
      <c r="R291" s="57">
        <f t="shared" si="60"/>
        <v>894</v>
      </c>
      <c r="S291" s="62" t="e">
        <f>VLOOKUP(B291,'115+040'!$B$11:$AB$621,22,FALSE)</f>
        <v>#REF!</v>
      </c>
      <c r="T291" s="61" t="e">
        <f>VLOOKUP(B291,'115+040'!$B$12:$AB$621,6,FALSE)</f>
        <v>#REF!</v>
      </c>
      <c r="U291" s="60" t="e">
        <f t="shared" si="56"/>
        <v>#REF!</v>
      </c>
      <c r="V291" s="59" t="e">
        <f>VLOOKUP(B291,'115+040'!$B$12:$AB$621,15,FALSE)</f>
        <v>#REF!</v>
      </c>
      <c r="W291" s="58">
        <f>'[4]114+940'!S292</f>
        <v>0</v>
      </c>
      <c r="X291" s="57">
        <f t="shared" si="61"/>
        <v>216</v>
      </c>
      <c r="Y291" s="56" t="e">
        <f t="shared" si="62"/>
        <v>#REF!</v>
      </c>
      <c r="Z291" s="55" t="e">
        <f t="shared" si="63"/>
        <v>#REF!</v>
      </c>
      <c r="AA291" s="54" t="e">
        <f t="shared" si="64"/>
        <v>#REF!</v>
      </c>
      <c r="AB291" s="54" t="e">
        <f t="shared" si="65"/>
        <v>#REF!</v>
      </c>
    </row>
    <row r="292" spans="2:28">
      <c r="B292" s="96" t="e">
        <f>'115+040'!#REF!</f>
        <v>#REF!</v>
      </c>
      <c r="C292" s="66" t="e">
        <f t="shared" si="57"/>
        <v>#REF!</v>
      </c>
      <c r="D292" s="65" t="e">
        <f t="shared" si="58"/>
        <v>#REF!</v>
      </c>
      <c r="E292" s="64" t="e">
        <f>VLOOKUP(B292,'115+040'!B290:AB290,3,FALSE)</f>
        <v>#REF!</v>
      </c>
      <c r="F292" s="61" t="e">
        <f t="shared" si="53"/>
        <v>#REF!</v>
      </c>
      <c r="G292" s="63" t="e">
        <f>VLOOKUP(B292,'115+040'!$B$12:$AB$621,20,FALSE)</f>
        <v>#REF!</v>
      </c>
      <c r="H292" s="63" t="e">
        <f>VLOOKUP(B292,'115+040'!$B$12:$AB$621,4,FALSE)</f>
        <v>#REF!</v>
      </c>
      <c r="I292" s="60" t="e">
        <f t="shared" si="54"/>
        <v>#REF!</v>
      </c>
      <c r="J292" s="60" t="e">
        <f>VLOOKUP(B292,'115+040'!$B$12:$AB$621,13,FALSE)</f>
        <v>#REF!</v>
      </c>
      <c r="K292" s="58">
        <f>'115+040'!R290</f>
        <v>0</v>
      </c>
      <c r="L292" s="57">
        <f t="shared" si="59"/>
        <v>770</v>
      </c>
      <c r="M292" s="62" t="e">
        <f>VLOOKUP(B292,'115+040'!$B$11:$AB$621,21,FALSE)</f>
        <v>#REF!</v>
      </c>
      <c r="N292" s="61" t="e">
        <f>VLOOKUP(B292,'115+040'!$B$12:$AB$621,5,FALSE)</f>
        <v>#REF!</v>
      </c>
      <c r="O292" s="60" t="e">
        <f t="shared" si="55"/>
        <v>#REF!</v>
      </c>
      <c r="P292" s="60" t="e">
        <f>VLOOKUP(B292,'115+040'!$B$12:$AB$621,14,FALSE)</f>
        <v>#REF!</v>
      </c>
      <c r="Q292" s="58">
        <f>'115+040'!S290</f>
        <v>0</v>
      </c>
      <c r="R292" s="57">
        <f t="shared" si="60"/>
        <v>894</v>
      </c>
      <c r="S292" s="62" t="e">
        <f>VLOOKUP(B292,'115+040'!$B$11:$AB$621,22,FALSE)</f>
        <v>#REF!</v>
      </c>
      <c r="T292" s="61" t="e">
        <f>VLOOKUP(B292,'115+040'!$B$12:$AB$621,6,FALSE)</f>
        <v>#REF!</v>
      </c>
      <c r="U292" s="60" t="e">
        <f t="shared" si="56"/>
        <v>#REF!</v>
      </c>
      <c r="V292" s="59" t="e">
        <f>VLOOKUP(B292,'115+040'!$B$12:$AB$621,15,FALSE)</f>
        <v>#REF!</v>
      </c>
      <c r="W292" s="58">
        <f>'[4]114+940'!S293</f>
        <v>0</v>
      </c>
      <c r="X292" s="57">
        <f t="shared" si="61"/>
        <v>216</v>
      </c>
      <c r="Y292" s="56" t="e">
        <f t="shared" si="62"/>
        <v>#REF!</v>
      </c>
      <c r="Z292" s="55" t="e">
        <f t="shared" si="63"/>
        <v>#REF!</v>
      </c>
      <c r="AA292" s="54" t="e">
        <f t="shared" si="64"/>
        <v>#REF!</v>
      </c>
      <c r="AB292" s="54" t="e">
        <f t="shared" si="65"/>
        <v>#REF!</v>
      </c>
    </row>
    <row r="293" spans="2:28">
      <c r="B293" s="96" t="e">
        <f>'115+040'!#REF!</f>
        <v>#REF!</v>
      </c>
      <c r="C293" s="66" t="e">
        <f t="shared" si="57"/>
        <v>#REF!</v>
      </c>
      <c r="D293" s="65" t="e">
        <f t="shared" si="58"/>
        <v>#REF!</v>
      </c>
      <c r="E293" s="64" t="e">
        <f>VLOOKUP(B293,'115+040'!B291:AB291,3,FALSE)</f>
        <v>#REF!</v>
      </c>
      <c r="F293" s="61" t="e">
        <f t="shared" si="53"/>
        <v>#REF!</v>
      </c>
      <c r="G293" s="63" t="e">
        <f>VLOOKUP(B293,'115+040'!$B$12:$AB$621,20,FALSE)</f>
        <v>#REF!</v>
      </c>
      <c r="H293" s="63" t="e">
        <f>VLOOKUP(B293,'115+040'!$B$12:$AB$621,4,FALSE)</f>
        <v>#REF!</v>
      </c>
      <c r="I293" s="60" t="e">
        <f t="shared" si="54"/>
        <v>#REF!</v>
      </c>
      <c r="J293" s="60" t="e">
        <f>VLOOKUP(B293,'115+040'!$B$12:$AB$621,13,FALSE)</f>
        <v>#REF!</v>
      </c>
      <c r="K293" s="58">
        <f>'115+040'!R291</f>
        <v>0</v>
      </c>
      <c r="L293" s="57">
        <f t="shared" si="59"/>
        <v>770</v>
      </c>
      <c r="M293" s="62" t="e">
        <f>VLOOKUP(B293,'115+040'!$B$11:$AB$621,21,FALSE)</f>
        <v>#REF!</v>
      </c>
      <c r="N293" s="61" t="e">
        <f>VLOOKUP(B293,'115+040'!$B$12:$AB$621,5,FALSE)</f>
        <v>#REF!</v>
      </c>
      <c r="O293" s="60" t="e">
        <f t="shared" si="55"/>
        <v>#REF!</v>
      </c>
      <c r="P293" s="60" t="e">
        <f>VLOOKUP(B293,'115+040'!$B$12:$AB$621,14,FALSE)</f>
        <v>#REF!</v>
      </c>
      <c r="Q293" s="58">
        <f>'115+040'!S291</f>
        <v>0</v>
      </c>
      <c r="R293" s="57">
        <f t="shared" si="60"/>
        <v>894</v>
      </c>
      <c r="S293" s="62" t="e">
        <f>VLOOKUP(B293,'115+040'!$B$11:$AB$621,22,FALSE)</f>
        <v>#REF!</v>
      </c>
      <c r="T293" s="61" t="e">
        <f>VLOOKUP(B293,'115+040'!$B$12:$AB$621,6,FALSE)</f>
        <v>#REF!</v>
      </c>
      <c r="U293" s="60" t="e">
        <f t="shared" si="56"/>
        <v>#REF!</v>
      </c>
      <c r="V293" s="59" t="e">
        <f>VLOOKUP(B293,'115+040'!$B$12:$AB$621,15,FALSE)</f>
        <v>#REF!</v>
      </c>
      <c r="W293" s="58">
        <f>'[4]114+940'!S294</f>
        <v>0</v>
      </c>
      <c r="X293" s="57">
        <f t="shared" si="61"/>
        <v>216</v>
      </c>
      <c r="Y293" s="56" t="e">
        <f t="shared" si="62"/>
        <v>#REF!</v>
      </c>
      <c r="Z293" s="55" t="e">
        <f t="shared" si="63"/>
        <v>#REF!</v>
      </c>
      <c r="AA293" s="54" t="e">
        <f t="shared" si="64"/>
        <v>#REF!</v>
      </c>
      <c r="AB293" s="54" t="e">
        <f t="shared" si="65"/>
        <v>#REF!</v>
      </c>
    </row>
    <row r="294" spans="2:28">
      <c r="B294" s="96" t="e">
        <f>'115+040'!#REF!</f>
        <v>#REF!</v>
      </c>
      <c r="C294" s="66" t="e">
        <f t="shared" si="57"/>
        <v>#REF!</v>
      </c>
      <c r="D294" s="65" t="e">
        <f t="shared" si="58"/>
        <v>#REF!</v>
      </c>
      <c r="E294" s="64" t="e">
        <f>VLOOKUP(B294,'115+040'!B292:AB292,3,FALSE)</f>
        <v>#REF!</v>
      </c>
      <c r="F294" s="61" t="e">
        <f t="shared" si="53"/>
        <v>#REF!</v>
      </c>
      <c r="G294" s="63" t="e">
        <f>VLOOKUP(B294,'115+040'!$B$12:$AB$621,20,FALSE)</f>
        <v>#REF!</v>
      </c>
      <c r="H294" s="63" t="e">
        <f>VLOOKUP(B294,'115+040'!$B$12:$AB$621,4,FALSE)</f>
        <v>#REF!</v>
      </c>
      <c r="I294" s="60" t="e">
        <f t="shared" si="54"/>
        <v>#REF!</v>
      </c>
      <c r="J294" s="60" t="e">
        <f>VLOOKUP(B294,'115+040'!$B$12:$AB$621,13,FALSE)</f>
        <v>#REF!</v>
      </c>
      <c r="K294" s="58">
        <f>'115+040'!R292</f>
        <v>0</v>
      </c>
      <c r="L294" s="57">
        <f t="shared" si="59"/>
        <v>770</v>
      </c>
      <c r="M294" s="62" t="e">
        <f>VLOOKUP(B294,'115+040'!$B$11:$AB$621,21,FALSE)</f>
        <v>#REF!</v>
      </c>
      <c r="N294" s="61" t="e">
        <f>VLOOKUP(B294,'115+040'!$B$12:$AB$621,5,FALSE)</f>
        <v>#REF!</v>
      </c>
      <c r="O294" s="60" t="e">
        <f t="shared" si="55"/>
        <v>#REF!</v>
      </c>
      <c r="P294" s="60" t="e">
        <f>VLOOKUP(B294,'115+040'!$B$12:$AB$621,14,FALSE)</f>
        <v>#REF!</v>
      </c>
      <c r="Q294" s="58">
        <f>'115+040'!S292</f>
        <v>0</v>
      </c>
      <c r="R294" s="57">
        <f t="shared" si="60"/>
        <v>894</v>
      </c>
      <c r="S294" s="62" t="e">
        <f>VLOOKUP(B294,'115+040'!$B$11:$AB$621,22,FALSE)</f>
        <v>#REF!</v>
      </c>
      <c r="T294" s="61" t="e">
        <f>VLOOKUP(B294,'115+040'!$B$12:$AB$621,6,FALSE)</f>
        <v>#REF!</v>
      </c>
      <c r="U294" s="60" t="e">
        <f t="shared" si="56"/>
        <v>#REF!</v>
      </c>
      <c r="V294" s="59" t="e">
        <f>VLOOKUP(B294,'115+040'!$B$12:$AB$621,15,FALSE)</f>
        <v>#REF!</v>
      </c>
      <c r="W294" s="58">
        <f>'[4]114+940'!S295</f>
        <v>0</v>
      </c>
      <c r="X294" s="57">
        <f t="shared" si="61"/>
        <v>216</v>
      </c>
      <c r="Y294" s="56" t="e">
        <f t="shared" si="62"/>
        <v>#REF!</v>
      </c>
      <c r="Z294" s="55" t="e">
        <f t="shared" si="63"/>
        <v>#REF!</v>
      </c>
      <c r="AA294" s="54" t="e">
        <f t="shared" si="64"/>
        <v>#REF!</v>
      </c>
      <c r="AB294" s="54" t="e">
        <f t="shared" si="65"/>
        <v>#REF!</v>
      </c>
    </row>
    <row r="295" spans="2:28">
      <c r="B295" s="96" t="e">
        <f>'115+040'!#REF!</f>
        <v>#REF!</v>
      </c>
      <c r="C295" s="66" t="e">
        <f t="shared" si="57"/>
        <v>#REF!</v>
      </c>
      <c r="D295" s="65" t="e">
        <f t="shared" si="58"/>
        <v>#REF!</v>
      </c>
      <c r="E295" s="64" t="e">
        <f>VLOOKUP(B295,'115+040'!B293:AB293,3,FALSE)</f>
        <v>#REF!</v>
      </c>
      <c r="F295" s="61" t="e">
        <f t="shared" si="53"/>
        <v>#REF!</v>
      </c>
      <c r="G295" s="63" t="e">
        <f>VLOOKUP(B295,'115+040'!$B$12:$AB$621,20,FALSE)</f>
        <v>#REF!</v>
      </c>
      <c r="H295" s="63" t="e">
        <f>VLOOKUP(B295,'115+040'!$B$12:$AB$621,4,FALSE)</f>
        <v>#REF!</v>
      </c>
      <c r="I295" s="60" t="e">
        <f t="shared" si="54"/>
        <v>#REF!</v>
      </c>
      <c r="J295" s="60" t="e">
        <f>VLOOKUP(B295,'115+040'!$B$12:$AB$621,13,FALSE)</f>
        <v>#REF!</v>
      </c>
      <c r="K295" s="58">
        <f>'115+040'!R293</f>
        <v>0</v>
      </c>
      <c r="L295" s="57">
        <f t="shared" si="59"/>
        <v>770</v>
      </c>
      <c r="M295" s="62" t="e">
        <f>VLOOKUP(B295,'115+040'!$B$11:$AB$621,21,FALSE)</f>
        <v>#REF!</v>
      </c>
      <c r="N295" s="61" t="e">
        <f>VLOOKUP(B295,'115+040'!$B$12:$AB$621,5,FALSE)</f>
        <v>#REF!</v>
      </c>
      <c r="O295" s="60" t="e">
        <f t="shared" si="55"/>
        <v>#REF!</v>
      </c>
      <c r="P295" s="60" t="e">
        <f>VLOOKUP(B295,'115+040'!$B$12:$AB$621,14,FALSE)</f>
        <v>#REF!</v>
      </c>
      <c r="Q295" s="58">
        <f>'115+040'!S293</f>
        <v>0</v>
      </c>
      <c r="R295" s="57">
        <f t="shared" si="60"/>
        <v>894</v>
      </c>
      <c r="S295" s="62" t="e">
        <f>VLOOKUP(B295,'115+040'!$B$11:$AB$621,22,FALSE)</f>
        <v>#REF!</v>
      </c>
      <c r="T295" s="61" t="e">
        <f>VLOOKUP(B295,'115+040'!$B$12:$AB$621,6,FALSE)</f>
        <v>#REF!</v>
      </c>
      <c r="U295" s="60" t="e">
        <f t="shared" si="56"/>
        <v>#REF!</v>
      </c>
      <c r="V295" s="59" t="e">
        <f>VLOOKUP(B295,'115+040'!$B$12:$AB$621,15,FALSE)</f>
        <v>#REF!</v>
      </c>
      <c r="W295" s="58">
        <f>'[4]114+940'!S296</f>
        <v>0</v>
      </c>
      <c r="X295" s="57">
        <f t="shared" si="61"/>
        <v>216</v>
      </c>
      <c r="Y295" s="56" t="e">
        <f t="shared" si="62"/>
        <v>#REF!</v>
      </c>
      <c r="Z295" s="55" t="e">
        <f t="shared" si="63"/>
        <v>#REF!</v>
      </c>
      <c r="AA295" s="54" t="e">
        <f t="shared" si="64"/>
        <v>#REF!</v>
      </c>
      <c r="AB295" s="54" t="e">
        <f t="shared" si="65"/>
        <v>#REF!</v>
      </c>
    </row>
    <row r="296" spans="2:28">
      <c r="B296" s="96" t="e">
        <f>'115+040'!#REF!</f>
        <v>#REF!</v>
      </c>
      <c r="C296" s="66" t="e">
        <f t="shared" si="57"/>
        <v>#REF!</v>
      </c>
      <c r="D296" s="65" t="e">
        <f t="shared" si="58"/>
        <v>#REF!</v>
      </c>
      <c r="E296" s="64" t="e">
        <f>VLOOKUP(B296,'115+040'!B294:AB294,3,FALSE)</f>
        <v>#REF!</v>
      </c>
      <c r="F296" s="61" t="e">
        <f t="shared" si="53"/>
        <v>#REF!</v>
      </c>
      <c r="G296" s="63" t="e">
        <f>VLOOKUP(B296,'115+040'!$B$12:$AB$621,20,FALSE)</f>
        <v>#REF!</v>
      </c>
      <c r="H296" s="63" t="e">
        <f>VLOOKUP(B296,'115+040'!$B$12:$AB$621,4,FALSE)</f>
        <v>#REF!</v>
      </c>
      <c r="I296" s="60" t="e">
        <f t="shared" si="54"/>
        <v>#REF!</v>
      </c>
      <c r="J296" s="60" t="e">
        <f>VLOOKUP(B296,'115+040'!$B$12:$AB$621,13,FALSE)</f>
        <v>#REF!</v>
      </c>
      <c r="K296" s="58">
        <f>'115+040'!R294</f>
        <v>0</v>
      </c>
      <c r="L296" s="57">
        <f t="shared" si="59"/>
        <v>770</v>
      </c>
      <c r="M296" s="62" t="e">
        <f>VLOOKUP(B296,'115+040'!$B$11:$AB$621,21,FALSE)</f>
        <v>#REF!</v>
      </c>
      <c r="N296" s="61" t="e">
        <f>VLOOKUP(B296,'115+040'!$B$12:$AB$621,5,FALSE)</f>
        <v>#REF!</v>
      </c>
      <c r="O296" s="60" t="e">
        <f t="shared" si="55"/>
        <v>#REF!</v>
      </c>
      <c r="P296" s="60" t="e">
        <f>VLOOKUP(B296,'115+040'!$B$12:$AB$621,14,FALSE)</f>
        <v>#REF!</v>
      </c>
      <c r="Q296" s="58">
        <f>'115+040'!S294</f>
        <v>0</v>
      </c>
      <c r="R296" s="57">
        <f t="shared" si="60"/>
        <v>894</v>
      </c>
      <c r="S296" s="62" t="e">
        <f>VLOOKUP(B296,'115+040'!$B$11:$AB$621,22,FALSE)</f>
        <v>#REF!</v>
      </c>
      <c r="T296" s="61" t="e">
        <f>VLOOKUP(B296,'115+040'!$B$12:$AB$621,6,FALSE)</f>
        <v>#REF!</v>
      </c>
      <c r="U296" s="60" t="e">
        <f t="shared" si="56"/>
        <v>#REF!</v>
      </c>
      <c r="V296" s="59" t="e">
        <f>VLOOKUP(B296,'115+040'!$B$12:$AB$621,15,FALSE)</f>
        <v>#REF!</v>
      </c>
      <c r="W296" s="58">
        <f>'[4]114+940'!S297</f>
        <v>0</v>
      </c>
      <c r="X296" s="57">
        <f t="shared" si="61"/>
        <v>216</v>
      </c>
      <c r="Y296" s="56" t="e">
        <f t="shared" si="62"/>
        <v>#REF!</v>
      </c>
      <c r="Z296" s="55" t="e">
        <f t="shared" si="63"/>
        <v>#REF!</v>
      </c>
      <c r="AA296" s="54" t="e">
        <f t="shared" si="64"/>
        <v>#REF!</v>
      </c>
      <c r="AB296" s="54" t="e">
        <f t="shared" si="65"/>
        <v>#REF!</v>
      </c>
    </row>
    <row r="297" spans="2:28">
      <c r="B297" s="96" t="e">
        <f>'115+040'!#REF!</f>
        <v>#REF!</v>
      </c>
      <c r="C297" s="66" t="e">
        <f t="shared" si="57"/>
        <v>#REF!</v>
      </c>
      <c r="D297" s="65" t="e">
        <f t="shared" si="58"/>
        <v>#REF!</v>
      </c>
      <c r="E297" s="64" t="e">
        <f>VLOOKUP(B297,'115+040'!B295:AB295,3,FALSE)</f>
        <v>#REF!</v>
      </c>
      <c r="F297" s="61" t="e">
        <f t="shared" si="53"/>
        <v>#REF!</v>
      </c>
      <c r="G297" s="63" t="e">
        <f>VLOOKUP(B297,'115+040'!$B$12:$AB$621,20,FALSE)</f>
        <v>#REF!</v>
      </c>
      <c r="H297" s="63" t="e">
        <f>VLOOKUP(B297,'115+040'!$B$12:$AB$621,4,FALSE)</f>
        <v>#REF!</v>
      </c>
      <c r="I297" s="60" t="e">
        <f t="shared" si="54"/>
        <v>#REF!</v>
      </c>
      <c r="J297" s="60" t="e">
        <f>VLOOKUP(B297,'115+040'!$B$12:$AB$621,13,FALSE)</f>
        <v>#REF!</v>
      </c>
      <c r="K297" s="58">
        <f>'115+040'!R295</f>
        <v>0</v>
      </c>
      <c r="L297" s="57">
        <f t="shared" si="59"/>
        <v>770</v>
      </c>
      <c r="M297" s="62" t="e">
        <f>VLOOKUP(B297,'115+040'!$B$11:$AB$621,21,FALSE)</f>
        <v>#REF!</v>
      </c>
      <c r="N297" s="61" t="e">
        <f>VLOOKUP(B297,'115+040'!$B$12:$AB$621,5,FALSE)</f>
        <v>#REF!</v>
      </c>
      <c r="O297" s="60" t="e">
        <f t="shared" si="55"/>
        <v>#REF!</v>
      </c>
      <c r="P297" s="60" t="e">
        <f>VLOOKUP(B297,'115+040'!$B$12:$AB$621,14,FALSE)</f>
        <v>#REF!</v>
      </c>
      <c r="Q297" s="58">
        <f>'115+040'!S295</f>
        <v>0</v>
      </c>
      <c r="R297" s="57">
        <f t="shared" si="60"/>
        <v>894</v>
      </c>
      <c r="S297" s="62" t="e">
        <f>VLOOKUP(B297,'115+040'!$B$11:$AB$621,22,FALSE)</f>
        <v>#REF!</v>
      </c>
      <c r="T297" s="61" t="e">
        <f>VLOOKUP(B297,'115+040'!$B$12:$AB$621,6,FALSE)</f>
        <v>#REF!</v>
      </c>
      <c r="U297" s="60" t="e">
        <f t="shared" si="56"/>
        <v>#REF!</v>
      </c>
      <c r="V297" s="59" t="e">
        <f>VLOOKUP(B297,'115+040'!$B$12:$AB$621,15,FALSE)</f>
        <v>#REF!</v>
      </c>
      <c r="W297" s="58">
        <f>'[4]114+940'!S298</f>
        <v>0</v>
      </c>
      <c r="X297" s="57">
        <f t="shared" si="61"/>
        <v>216</v>
      </c>
      <c r="Y297" s="56" t="e">
        <f t="shared" si="62"/>
        <v>#REF!</v>
      </c>
      <c r="Z297" s="55" t="e">
        <f t="shared" si="63"/>
        <v>#REF!</v>
      </c>
      <c r="AA297" s="54" t="e">
        <f t="shared" si="64"/>
        <v>#REF!</v>
      </c>
      <c r="AB297" s="54" t="e">
        <f t="shared" si="65"/>
        <v>#REF!</v>
      </c>
    </row>
    <row r="298" spans="2:28">
      <c r="B298" s="96" t="e">
        <f>'115+040'!#REF!</f>
        <v>#REF!</v>
      </c>
      <c r="C298" s="66" t="e">
        <f t="shared" si="57"/>
        <v>#REF!</v>
      </c>
      <c r="D298" s="65" t="e">
        <f t="shared" si="58"/>
        <v>#REF!</v>
      </c>
      <c r="E298" s="64" t="e">
        <f>VLOOKUP(B298,'115+040'!B296:AB296,3,FALSE)</f>
        <v>#REF!</v>
      </c>
      <c r="F298" s="61" t="e">
        <f t="shared" si="53"/>
        <v>#REF!</v>
      </c>
      <c r="G298" s="63" t="e">
        <f>VLOOKUP(B298,'115+040'!$B$12:$AB$621,20,FALSE)</f>
        <v>#REF!</v>
      </c>
      <c r="H298" s="63" t="e">
        <f>VLOOKUP(B298,'115+040'!$B$12:$AB$621,4,FALSE)</f>
        <v>#REF!</v>
      </c>
      <c r="I298" s="60" t="e">
        <f t="shared" si="54"/>
        <v>#REF!</v>
      </c>
      <c r="J298" s="60" t="e">
        <f>VLOOKUP(B298,'115+040'!$B$12:$AB$621,13,FALSE)</f>
        <v>#REF!</v>
      </c>
      <c r="K298" s="58">
        <f>'115+040'!R296</f>
        <v>0</v>
      </c>
      <c r="L298" s="57">
        <f t="shared" si="59"/>
        <v>770</v>
      </c>
      <c r="M298" s="62" t="e">
        <f>VLOOKUP(B298,'115+040'!$B$11:$AB$621,21,FALSE)</f>
        <v>#REF!</v>
      </c>
      <c r="N298" s="61" t="e">
        <f>VLOOKUP(B298,'115+040'!$B$12:$AB$621,5,FALSE)</f>
        <v>#REF!</v>
      </c>
      <c r="O298" s="60" t="e">
        <f t="shared" si="55"/>
        <v>#REF!</v>
      </c>
      <c r="P298" s="60" t="e">
        <f>VLOOKUP(B298,'115+040'!$B$12:$AB$621,14,FALSE)</f>
        <v>#REF!</v>
      </c>
      <c r="Q298" s="58">
        <f>'115+040'!S296</f>
        <v>0</v>
      </c>
      <c r="R298" s="57">
        <f t="shared" si="60"/>
        <v>894</v>
      </c>
      <c r="S298" s="62" t="e">
        <f>VLOOKUP(B298,'115+040'!$B$11:$AB$621,22,FALSE)</f>
        <v>#REF!</v>
      </c>
      <c r="T298" s="61" t="e">
        <f>VLOOKUP(B298,'115+040'!$B$12:$AB$621,6,FALSE)</f>
        <v>#REF!</v>
      </c>
      <c r="U298" s="60" t="e">
        <f t="shared" si="56"/>
        <v>#REF!</v>
      </c>
      <c r="V298" s="59" t="e">
        <f>VLOOKUP(B298,'115+040'!$B$12:$AB$621,15,FALSE)</f>
        <v>#REF!</v>
      </c>
      <c r="W298" s="58">
        <f>'[4]114+940'!S299</f>
        <v>0</v>
      </c>
      <c r="X298" s="57">
        <f t="shared" si="61"/>
        <v>216</v>
      </c>
      <c r="Y298" s="56" t="e">
        <f t="shared" si="62"/>
        <v>#REF!</v>
      </c>
      <c r="Z298" s="55" t="e">
        <f t="shared" si="63"/>
        <v>#REF!</v>
      </c>
      <c r="AA298" s="54" t="e">
        <f t="shared" si="64"/>
        <v>#REF!</v>
      </c>
      <c r="AB298" s="54" t="e">
        <f t="shared" si="65"/>
        <v>#REF!</v>
      </c>
    </row>
    <row r="299" spans="2:28">
      <c r="B299" s="96" t="e">
        <f>'115+040'!#REF!</f>
        <v>#REF!</v>
      </c>
      <c r="C299" s="66" t="e">
        <f t="shared" si="57"/>
        <v>#REF!</v>
      </c>
      <c r="D299" s="65" t="e">
        <f t="shared" si="58"/>
        <v>#REF!</v>
      </c>
      <c r="E299" s="64" t="e">
        <f>VLOOKUP(B299,'115+040'!B297:AB297,3,FALSE)</f>
        <v>#REF!</v>
      </c>
      <c r="F299" s="61" t="e">
        <f t="shared" si="53"/>
        <v>#REF!</v>
      </c>
      <c r="G299" s="63" t="e">
        <f>VLOOKUP(B299,'115+040'!$B$12:$AB$621,20,FALSE)</f>
        <v>#REF!</v>
      </c>
      <c r="H299" s="63" t="e">
        <f>VLOOKUP(B299,'115+040'!$B$12:$AB$621,4,FALSE)</f>
        <v>#REF!</v>
      </c>
      <c r="I299" s="60" t="e">
        <f t="shared" si="54"/>
        <v>#REF!</v>
      </c>
      <c r="J299" s="60" t="e">
        <f>VLOOKUP(B299,'115+040'!$B$12:$AB$621,13,FALSE)</f>
        <v>#REF!</v>
      </c>
      <c r="K299" s="58">
        <f>'115+040'!R297</f>
        <v>0</v>
      </c>
      <c r="L299" s="57">
        <f t="shared" si="59"/>
        <v>770</v>
      </c>
      <c r="M299" s="62" t="e">
        <f>VLOOKUP(B299,'115+040'!$B$11:$AB$621,21,FALSE)</f>
        <v>#REF!</v>
      </c>
      <c r="N299" s="61" t="e">
        <f>VLOOKUP(B299,'115+040'!$B$12:$AB$621,5,FALSE)</f>
        <v>#REF!</v>
      </c>
      <c r="O299" s="60" t="e">
        <f t="shared" si="55"/>
        <v>#REF!</v>
      </c>
      <c r="P299" s="60" t="e">
        <f>VLOOKUP(B299,'115+040'!$B$12:$AB$621,14,FALSE)</f>
        <v>#REF!</v>
      </c>
      <c r="Q299" s="58">
        <f>'115+040'!S297</f>
        <v>0</v>
      </c>
      <c r="R299" s="57">
        <f t="shared" si="60"/>
        <v>894</v>
      </c>
      <c r="S299" s="62" t="e">
        <f>VLOOKUP(B299,'115+040'!$B$11:$AB$621,22,FALSE)</f>
        <v>#REF!</v>
      </c>
      <c r="T299" s="61" t="e">
        <f>VLOOKUP(B299,'115+040'!$B$12:$AB$621,6,FALSE)</f>
        <v>#REF!</v>
      </c>
      <c r="U299" s="60" t="e">
        <f t="shared" si="56"/>
        <v>#REF!</v>
      </c>
      <c r="V299" s="59" t="e">
        <f>VLOOKUP(B299,'115+040'!$B$12:$AB$621,15,FALSE)</f>
        <v>#REF!</v>
      </c>
      <c r="W299" s="58">
        <f>'[4]114+940'!S300</f>
        <v>0</v>
      </c>
      <c r="X299" s="57">
        <f t="shared" si="61"/>
        <v>216</v>
      </c>
      <c r="Y299" s="56" t="e">
        <f t="shared" si="62"/>
        <v>#REF!</v>
      </c>
      <c r="Z299" s="55" t="e">
        <f t="shared" si="63"/>
        <v>#REF!</v>
      </c>
      <c r="AA299" s="54" t="e">
        <f t="shared" si="64"/>
        <v>#REF!</v>
      </c>
      <c r="AB299" s="54" t="e">
        <f t="shared" si="65"/>
        <v>#REF!</v>
      </c>
    </row>
    <row r="300" spans="2:28">
      <c r="B300" s="96" t="e">
        <f>'115+040'!#REF!</f>
        <v>#REF!</v>
      </c>
      <c r="C300" s="66" t="e">
        <f t="shared" si="57"/>
        <v>#REF!</v>
      </c>
      <c r="D300" s="65" t="e">
        <f t="shared" si="58"/>
        <v>#REF!</v>
      </c>
      <c r="E300" s="64" t="e">
        <f>VLOOKUP(B300,'115+040'!B298:AB298,3,FALSE)</f>
        <v>#REF!</v>
      </c>
      <c r="F300" s="61" t="e">
        <f t="shared" si="53"/>
        <v>#REF!</v>
      </c>
      <c r="G300" s="63" t="e">
        <f>VLOOKUP(B300,'115+040'!$B$12:$AB$621,20,FALSE)</f>
        <v>#REF!</v>
      </c>
      <c r="H300" s="63" t="e">
        <f>VLOOKUP(B300,'115+040'!$B$12:$AB$621,4,FALSE)</f>
        <v>#REF!</v>
      </c>
      <c r="I300" s="60" t="e">
        <f t="shared" si="54"/>
        <v>#REF!</v>
      </c>
      <c r="J300" s="60" t="e">
        <f>VLOOKUP(B300,'115+040'!$B$12:$AB$621,13,FALSE)</f>
        <v>#REF!</v>
      </c>
      <c r="K300" s="58">
        <f>'115+040'!R298</f>
        <v>0</v>
      </c>
      <c r="L300" s="57">
        <f t="shared" si="59"/>
        <v>770</v>
      </c>
      <c r="M300" s="62" t="e">
        <f>VLOOKUP(B300,'115+040'!$B$11:$AB$621,21,FALSE)</f>
        <v>#REF!</v>
      </c>
      <c r="N300" s="61" t="e">
        <f>VLOOKUP(B300,'115+040'!$B$12:$AB$621,5,FALSE)</f>
        <v>#REF!</v>
      </c>
      <c r="O300" s="60" t="e">
        <f t="shared" si="55"/>
        <v>#REF!</v>
      </c>
      <c r="P300" s="60" t="e">
        <f>VLOOKUP(B300,'115+040'!$B$12:$AB$621,14,FALSE)</f>
        <v>#REF!</v>
      </c>
      <c r="Q300" s="58">
        <f>'115+040'!S298</f>
        <v>0</v>
      </c>
      <c r="R300" s="57">
        <f t="shared" si="60"/>
        <v>894</v>
      </c>
      <c r="S300" s="62" t="e">
        <f>VLOOKUP(B300,'115+040'!$B$11:$AB$621,22,FALSE)</f>
        <v>#REF!</v>
      </c>
      <c r="T300" s="61" t="e">
        <f>VLOOKUP(B300,'115+040'!$B$12:$AB$621,6,FALSE)</f>
        <v>#REF!</v>
      </c>
      <c r="U300" s="60" t="e">
        <f t="shared" si="56"/>
        <v>#REF!</v>
      </c>
      <c r="V300" s="59" t="e">
        <f>VLOOKUP(B300,'115+040'!$B$12:$AB$621,15,FALSE)</f>
        <v>#REF!</v>
      </c>
      <c r="W300" s="58">
        <f>'[4]114+940'!S301</f>
        <v>0</v>
      </c>
      <c r="X300" s="57">
        <f t="shared" si="61"/>
        <v>216</v>
      </c>
      <c r="Y300" s="56" t="e">
        <f t="shared" si="62"/>
        <v>#REF!</v>
      </c>
      <c r="Z300" s="55" t="e">
        <f t="shared" si="63"/>
        <v>#REF!</v>
      </c>
      <c r="AA300" s="54" t="e">
        <f t="shared" si="64"/>
        <v>#REF!</v>
      </c>
      <c r="AB300" s="54" t="e">
        <f t="shared" si="65"/>
        <v>#REF!</v>
      </c>
    </row>
    <row r="301" spans="2:28">
      <c r="B301" s="96" t="e">
        <f>'115+040'!#REF!</f>
        <v>#REF!</v>
      </c>
      <c r="C301" s="66" t="e">
        <f t="shared" si="57"/>
        <v>#REF!</v>
      </c>
      <c r="D301" s="65" t="e">
        <f t="shared" si="58"/>
        <v>#REF!</v>
      </c>
      <c r="E301" s="64" t="e">
        <f>VLOOKUP(B301,'115+040'!B299:AB299,3,FALSE)</f>
        <v>#REF!</v>
      </c>
      <c r="F301" s="61" t="e">
        <f t="shared" si="53"/>
        <v>#REF!</v>
      </c>
      <c r="G301" s="63" t="e">
        <f>VLOOKUP(B301,'115+040'!$B$12:$AB$621,20,FALSE)</f>
        <v>#REF!</v>
      </c>
      <c r="H301" s="63" t="e">
        <f>VLOOKUP(B301,'115+040'!$B$12:$AB$621,4,FALSE)</f>
        <v>#REF!</v>
      </c>
      <c r="I301" s="60" t="e">
        <f t="shared" si="54"/>
        <v>#REF!</v>
      </c>
      <c r="J301" s="60" t="e">
        <f>VLOOKUP(B301,'115+040'!$B$12:$AB$621,13,FALSE)</f>
        <v>#REF!</v>
      </c>
      <c r="K301" s="58">
        <f>'115+040'!R299</f>
        <v>0</v>
      </c>
      <c r="L301" s="57">
        <f t="shared" si="59"/>
        <v>770</v>
      </c>
      <c r="M301" s="62" t="e">
        <f>VLOOKUP(B301,'115+040'!$B$11:$AB$621,21,FALSE)</f>
        <v>#REF!</v>
      </c>
      <c r="N301" s="61" t="e">
        <f>VLOOKUP(B301,'115+040'!$B$12:$AB$621,5,FALSE)</f>
        <v>#REF!</v>
      </c>
      <c r="O301" s="60" t="e">
        <f t="shared" si="55"/>
        <v>#REF!</v>
      </c>
      <c r="P301" s="60" t="e">
        <f>VLOOKUP(B301,'115+040'!$B$12:$AB$621,14,FALSE)</f>
        <v>#REF!</v>
      </c>
      <c r="Q301" s="58">
        <f>'115+040'!S299</f>
        <v>0</v>
      </c>
      <c r="R301" s="57">
        <f t="shared" si="60"/>
        <v>894</v>
      </c>
      <c r="S301" s="62" t="e">
        <f>VLOOKUP(B301,'115+040'!$B$11:$AB$621,22,FALSE)</f>
        <v>#REF!</v>
      </c>
      <c r="T301" s="61" t="e">
        <f>VLOOKUP(B301,'115+040'!$B$12:$AB$621,6,FALSE)</f>
        <v>#REF!</v>
      </c>
      <c r="U301" s="60" t="e">
        <f t="shared" si="56"/>
        <v>#REF!</v>
      </c>
      <c r="V301" s="59" t="e">
        <f>VLOOKUP(B301,'115+040'!$B$12:$AB$621,15,FALSE)</f>
        <v>#REF!</v>
      </c>
      <c r="W301" s="58">
        <f>'[4]114+940'!S302</f>
        <v>0</v>
      </c>
      <c r="X301" s="57">
        <f t="shared" si="61"/>
        <v>216</v>
      </c>
      <c r="Y301" s="56" t="e">
        <f t="shared" si="62"/>
        <v>#REF!</v>
      </c>
      <c r="Z301" s="55" t="e">
        <f t="shared" si="63"/>
        <v>#REF!</v>
      </c>
      <c r="AA301" s="54" t="e">
        <f t="shared" si="64"/>
        <v>#REF!</v>
      </c>
      <c r="AB301" s="54" t="e">
        <f t="shared" si="65"/>
        <v>#REF!</v>
      </c>
    </row>
    <row r="302" spans="2:28">
      <c r="B302" s="96" t="e">
        <f>'115+040'!#REF!</f>
        <v>#REF!</v>
      </c>
      <c r="C302" s="66" t="e">
        <f t="shared" si="57"/>
        <v>#REF!</v>
      </c>
      <c r="D302" s="65" t="e">
        <f t="shared" si="58"/>
        <v>#REF!</v>
      </c>
      <c r="E302" s="64" t="e">
        <f>VLOOKUP(B302,'115+040'!B300:AB300,3,FALSE)</f>
        <v>#REF!</v>
      </c>
      <c r="F302" s="61" t="e">
        <f t="shared" si="53"/>
        <v>#REF!</v>
      </c>
      <c r="G302" s="63" t="e">
        <f>VLOOKUP(B302,'115+040'!$B$12:$AB$621,20,FALSE)</f>
        <v>#REF!</v>
      </c>
      <c r="H302" s="63" t="e">
        <f>VLOOKUP(B302,'115+040'!$B$12:$AB$621,4,FALSE)</f>
        <v>#REF!</v>
      </c>
      <c r="I302" s="60" t="e">
        <f t="shared" si="54"/>
        <v>#REF!</v>
      </c>
      <c r="J302" s="60" t="e">
        <f>VLOOKUP(B302,'115+040'!$B$12:$AB$621,13,FALSE)</f>
        <v>#REF!</v>
      </c>
      <c r="K302" s="58">
        <f>'115+040'!R300</f>
        <v>0</v>
      </c>
      <c r="L302" s="57">
        <f t="shared" si="59"/>
        <v>770</v>
      </c>
      <c r="M302" s="62" t="e">
        <f>VLOOKUP(B302,'115+040'!$B$11:$AB$621,21,FALSE)</f>
        <v>#REF!</v>
      </c>
      <c r="N302" s="61" t="e">
        <f>VLOOKUP(B302,'115+040'!$B$12:$AB$621,5,FALSE)</f>
        <v>#REF!</v>
      </c>
      <c r="O302" s="60" t="e">
        <f t="shared" si="55"/>
        <v>#REF!</v>
      </c>
      <c r="P302" s="60" t="e">
        <f>VLOOKUP(B302,'115+040'!$B$12:$AB$621,14,FALSE)</f>
        <v>#REF!</v>
      </c>
      <c r="Q302" s="58">
        <f>'115+040'!S300</f>
        <v>0</v>
      </c>
      <c r="R302" s="57">
        <f t="shared" si="60"/>
        <v>894</v>
      </c>
      <c r="S302" s="62" t="e">
        <f>VLOOKUP(B302,'115+040'!$B$11:$AB$621,22,FALSE)</f>
        <v>#REF!</v>
      </c>
      <c r="T302" s="61" t="e">
        <f>VLOOKUP(B302,'115+040'!$B$12:$AB$621,6,FALSE)</f>
        <v>#REF!</v>
      </c>
      <c r="U302" s="60" t="e">
        <f t="shared" si="56"/>
        <v>#REF!</v>
      </c>
      <c r="V302" s="59" t="e">
        <f>VLOOKUP(B302,'115+040'!$B$12:$AB$621,15,FALSE)</f>
        <v>#REF!</v>
      </c>
      <c r="W302" s="58">
        <f>'[4]114+940'!S303</f>
        <v>0</v>
      </c>
      <c r="X302" s="57">
        <f t="shared" si="61"/>
        <v>216</v>
      </c>
      <c r="Y302" s="56" t="e">
        <f t="shared" si="62"/>
        <v>#REF!</v>
      </c>
      <c r="Z302" s="55" t="e">
        <f t="shared" si="63"/>
        <v>#REF!</v>
      </c>
      <c r="AA302" s="54" t="e">
        <f t="shared" si="64"/>
        <v>#REF!</v>
      </c>
      <c r="AB302" s="54" t="e">
        <f t="shared" si="65"/>
        <v>#REF!</v>
      </c>
    </row>
    <row r="303" spans="2:28">
      <c r="B303" s="96" t="e">
        <f>'115+040'!#REF!</f>
        <v>#REF!</v>
      </c>
      <c r="C303" s="66" t="e">
        <f t="shared" si="57"/>
        <v>#REF!</v>
      </c>
      <c r="D303" s="65" t="e">
        <f t="shared" si="58"/>
        <v>#REF!</v>
      </c>
      <c r="E303" s="64" t="e">
        <f>VLOOKUP(B303,'115+040'!B301:AB301,3,FALSE)</f>
        <v>#REF!</v>
      </c>
      <c r="F303" s="61" t="e">
        <f t="shared" si="53"/>
        <v>#REF!</v>
      </c>
      <c r="G303" s="63" t="e">
        <f>VLOOKUP(B303,'115+040'!$B$12:$AB$621,20,FALSE)</f>
        <v>#REF!</v>
      </c>
      <c r="H303" s="63" t="e">
        <f>VLOOKUP(B303,'115+040'!$B$12:$AB$621,4,FALSE)</f>
        <v>#REF!</v>
      </c>
      <c r="I303" s="60" t="e">
        <f t="shared" si="54"/>
        <v>#REF!</v>
      </c>
      <c r="J303" s="60" t="e">
        <f>VLOOKUP(B303,'115+040'!$B$12:$AB$621,13,FALSE)</f>
        <v>#REF!</v>
      </c>
      <c r="K303" s="58">
        <f>'115+040'!R301</f>
        <v>0</v>
      </c>
      <c r="L303" s="57">
        <f t="shared" si="59"/>
        <v>770</v>
      </c>
      <c r="M303" s="62" t="e">
        <f>VLOOKUP(B303,'115+040'!$B$11:$AB$621,21,FALSE)</f>
        <v>#REF!</v>
      </c>
      <c r="N303" s="61" t="e">
        <f>VLOOKUP(B303,'115+040'!$B$12:$AB$621,5,FALSE)</f>
        <v>#REF!</v>
      </c>
      <c r="O303" s="60" t="e">
        <f t="shared" si="55"/>
        <v>#REF!</v>
      </c>
      <c r="P303" s="60" t="e">
        <f>VLOOKUP(B303,'115+040'!$B$12:$AB$621,14,FALSE)</f>
        <v>#REF!</v>
      </c>
      <c r="Q303" s="58">
        <f>'115+040'!S301</f>
        <v>0</v>
      </c>
      <c r="R303" s="57">
        <f t="shared" si="60"/>
        <v>894</v>
      </c>
      <c r="S303" s="62" t="e">
        <f>VLOOKUP(B303,'115+040'!$B$11:$AB$621,22,FALSE)</f>
        <v>#REF!</v>
      </c>
      <c r="T303" s="61" t="e">
        <f>VLOOKUP(B303,'115+040'!$B$12:$AB$621,6,FALSE)</f>
        <v>#REF!</v>
      </c>
      <c r="U303" s="60" t="e">
        <f t="shared" si="56"/>
        <v>#REF!</v>
      </c>
      <c r="V303" s="59" t="e">
        <f>VLOOKUP(B303,'115+040'!$B$12:$AB$621,15,FALSE)</f>
        <v>#REF!</v>
      </c>
      <c r="W303" s="58">
        <f>'[4]114+940'!S304</f>
        <v>0</v>
      </c>
      <c r="X303" s="57">
        <f t="shared" si="61"/>
        <v>216</v>
      </c>
      <c r="Y303" s="56" t="e">
        <f t="shared" si="62"/>
        <v>#REF!</v>
      </c>
      <c r="Z303" s="55" t="e">
        <f t="shared" si="63"/>
        <v>#REF!</v>
      </c>
      <c r="AA303" s="54" t="e">
        <f t="shared" si="64"/>
        <v>#REF!</v>
      </c>
      <c r="AB303" s="54" t="e">
        <f t="shared" si="65"/>
        <v>#REF!</v>
      </c>
    </row>
    <row r="304" spans="2:28">
      <c r="B304" s="96" t="e">
        <f>'115+040'!#REF!</f>
        <v>#REF!</v>
      </c>
      <c r="C304" s="66" t="e">
        <f t="shared" si="57"/>
        <v>#REF!</v>
      </c>
      <c r="D304" s="65" t="e">
        <f t="shared" si="58"/>
        <v>#REF!</v>
      </c>
      <c r="E304" s="64" t="e">
        <f>VLOOKUP(B304,'115+040'!B302:AB302,3,FALSE)</f>
        <v>#REF!</v>
      </c>
      <c r="F304" s="61" t="e">
        <f t="shared" si="53"/>
        <v>#REF!</v>
      </c>
      <c r="G304" s="63" t="e">
        <f>VLOOKUP(B304,'115+040'!$B$12:$AB$621,20,FALSE)</f>
        <v>#REF!</v>
      </c>
      <c r="H304" s="63" t="e">
        <f>VLOOKUP(B304,'115+040'!$B$12:$AB$621,4,FALSE)</f>
        <v>#REF!</v>
      </c>
      <c r="I304" s="60" t="e">
        <f t="shared" si="54"/>
        <v>#REF!</v>
      </c>
      <c r="J304" s="60" t="e">
        <f>VLOOKUP(B304,'115+040'!$B$12:$AB$621,13,FALSE)</f>
        <v>#REF!</v>
      </c>
      <c r="K304" s="58">
        <f>'115+040'!R302</f>
        <v>0</v>
      </c>
      <c r="L304" s="57">
        <f t="shared" si="59"/>
        <v>770</v>
      </c>
      <c r="M304" s="62" t="e">
        <f>VLOOKUP(B304,'115+040'!$B$11:$AB$621,21,FALSE)</f>
        <v>#REF!</v>
      </c>
      <c r="N304" s="61" t="e">
        <f>VLOOKUP(B304,'115+040'!$B$12:$AB$621,5,FALSE)</f>
        <v>#REF!</v>
      </c>
      <c r="O304" s="60" t="e">
        <f t="shared" si="55"/>
        <v>#REF!</v>
      </c>
      <c r="P304" s="60" t="e">
        <f>VLOOKUP(B304,'115+040'!$B$12:$AB$621,14,FALSE)</f>
        <v>#REF!</v>
      </c>
      <c r="Q304" s="58">
        <f>'115+040'!S302</f>
        <v>0</v>
      </c>
      <c r="R304" s="57">
        <f t="shared" si="60"/>
        <v>894</v>
      </c>
      <c r="S304" s="62" t="e">
        <f>VLOOKUP(B304,'115+040'!$B$11:$AB$621,22,FALSE)</f>
        <v>#REF!</v>
      </c>
      <c r="T304" s="61" t="e">
        <f>VLOOKUP(B304,'115+040'!$B$12:$AB$621,6,FALSE)</f>
        <v>#REF!</v>
      </c>
      <c r="U304" s="60" t="e">
        <f t="shared" si="56"/>
        <v>#REF!</v>
      </c>
      <c r="V304" s="59" t="e">
        <f>VLOOKUP(B304,'115+040'!$B$12:$AB$621,15,FALSE)</f>
        <v>#REF!</v>
      </c>
      <c r="W304" s="58">
        <f>'[4]114+940'!S305</f>
        <v>0</v>
      </c>
      <c r="X304" s="57">
        <f t="shared" si="61"/>
        <v>216</v>
      </c>
      <c r="Y304" s="56" t="e">
        <f t="shared" si="62"/>
        <v>#REF!</v>
      </c>
      <c r="Z304" s="55" t="e">
        <f t="shared" si="63"/>
        <v>#REF!</v>
      </c>
      <c r="AA304" s="54" t="e">
        <f t="shared" si="64"/>
        <v>#REF!</v>
      </c>
      <c r="AB304" s="54" t="e">
        <f t="shared" si="65"/>
        <v>#REF!</v>
      </c>
    </row>
    <row r="305" spans="2:28">
      <c r="B305" s="96" t="e">
        <f>'115+040'!#REF!</f>
        <v>#REF!</v>
      </c>
      <c r="C305" s="66" t="e">
        <f t="shared" si="57"/>
        <v>#REF!</v>
      </c>
      <c r="D305" s="65" t="e">
        <f t="shared" si="58"/>
        <v>#REF!</v>
      </c>
      <c r="E305" s="64" t="e">
        <f>VLOOKUP(B305,'115+040'!B303:AB303,3,FALSE)</f>
        <v>#REF!</v>
      </c>
      <c r="F305" s="61" t="e">
        <f t="shared" si="53"/>
        <v>#REF!</v>
      </c>
      <c r="G305" s="63" t="e">
        <f>VLOOKUP(B305,'115+040'!$B$12:$AB$621,20,FALSE)</f>
        <v>#REF!</v>
      </c>
      <c r="H305" s="63" t="e">
        <f>VLOOKUP(B305,'115+040'!$B$12:$AB$621,4,FALSE)</f>
        <v>#REF!</v>
      </c>
      <c r="I305" s="60" t="e">
        <f t="shared" si="54"/>
        <v>#REF!</v>
      </c>
      <c r="J305" s="60" t="e">
        <f>VLOOKUP(B305,'115+040'!$B$12:$AB$621,13,FALSE)</f>
        <v>#REF!</v>
      </c>
      <c r="K305" s="58">
        <f>'115+040'!R303</f>
        <v>0</v>
      </c>
      <c r="L305" s="57">
        <f t="shared" si="59"/>
        <v>770</v>
      </c>
      <c r="M305" s="62" t="e">
        <f>VLOOKUP(B305,'115+040'!$B$11:$AB$621,21,FALSE)</f>
        <v>#REF!</v>
      </c>
      <c r="N305" s="61" t="e">
        <f>VLOOKUP(B305,'115+040'!$B$12:$AB$621,5,FALSE)</f>
        <v>#REF!</v>
      </c>
      <c r="O305" s="60" t="e">
        <f t="shared" si="55"/>
        <v>#REF!</v>
      </c>
      <c r="P305" s="60" t="e">
        <f>VLOOKUP(B305,'115+040'!$B$12:$AB$621,14,FALSE)</f>
        <v>#REF!</v>
      </c>
      <c r="Q305" s="58">
        <f>'115+040'!S303</f>
        <v>0</v>
      </c>
      <c r="R305" s="57">
        <f t="shared" si="60"/>
        <v>894</v>
      </c>
      <c r="S305" s="62" t="e">
        <f>VLOOKUP(B305,'115+040'!$B$11:$AB$621,22,FALSE)</f>
        <v>#REF!</v>
      </c>
      <c r="T305" s="61" t="e">
        <f>VLOOKUP(B305,'115+040'!$B$12:$AB$621,6,FALSE)</f>
        <v>#REF!</v>
      </c>
      <c r="U305" s="60" t="e">
        <f t="shared" si="56"/>
        <v>#REF!</v>
      </c>
      <c r="V305" s="59" t="e">
        <f>VLOOKUP(B305,'115+040'!$B$12:$AB$621,15,FALSE)</f>
        <v>#REF!</v>
      </c>
      <c r="W305" s="58">
        <f>'[4]114+940'!S306</f>
        <v>0</v>
      </c>
      <c r="X305" s="57">
        <f t="shared" si="61"/>
        <v>216</v>
      </c>
      <c r="Y305" s="56" t="e">
        <f t="shared" si="62"/>
        <v>#REF!</v>
      </c>
      <c r="Z305" s="55" t="e">
        <f t="shared" si="63"/>
        <v>#REF!</v>
      </c>
      <c r="AA305" s="54" t="e">
        <f t="shared" si="64"/>
        <v>#REF!</v>
      </c>
      <c r="AB305" s="54" t="e">
        <f t="shared" si="65"/>
        <v>#REF!</v>
      </c>
    </row>
    <row r="306" spans="2:28">
      <c r="B306" s="96" t="e">
        <f>'115+040'!#REF!</f>
        <v>#REF!</v>
      </c>
      <c r="C306" s="66" t="e">
        <f t="shared" si="57"/>
        <v>#REF!</v>
      </c>
      <c r="D306" s="65" t="e">
        <f t="shared" si="58"/>
        <v>#REF!</v>
      </c>
      <c r="E306" s="64" t="e">
        <f>VLOOKUP(B306,'115+040'!B304:AB304,3,FALSE)</f>
        <v>#REF!</v>
      </c>
      <c r="F306" s="61" t="e">
        <f t="shared" si="53"/>
        <v>#REF!</v>
      </c>
      <c r="G306" s="63" t="e">
        <f>VLOOKUP(B306,'115+040'!$B$12:$AB$621,20,FALSE)</f>
        <v>#REF!</v>
      </c>
      <c r="H306" s="63" t="e">
        <f>VLOOKUP(B306,'115+040'!$B$12:$AB$621,4,FALSE)</f>
        <v>#REF!</v>
      </c>
      <c r="I306" s="60" t="e">
        <f t="shared" si="54"/>
        <v>#REF!</v>
      </c>
      <c r="J306" s="60" t="e">
        <f>VLOOKUP(B306,'115+040'!$B$12:$AB$621,13,FALSE)</f>
        <v>#REF!</v>
      </c>
      <c r="K306" s="58">
        <f>'115+040'!R304</f>
        <v>0</v>
      </c>
      <c r="L306" s="57">
        <f t="shared" si="59"/>
        <v>770</v>
      </c>
      <c r="M306" s="62" t="e">
        <f>VLOOKUP(B306,'115+040'!$B$11:$AB$621,21,FALSE)</f>
        <v>#REF!</v>
      </c>
      <c r="N306" s="61" t="e">
        <f>VLOOKUP(B306,'115+040'!$B$12:$AB$621,5,FALSE)</f>
        <v>#REF!</v>
      </c>
      <c r="O306" s="60" t="e">
        <f t="shared" si="55"/>
        <v>#REF!</v>
      </c>
      <c r="P306" s="60" t="e">
        <f>VLOOKUP(B306,'115+040'!$B$12:$AB$621,14,FALSE)</f>
        <v>#REF!</v>
      </c>
      <c r="Q306" s="58">
        <f>'115+040'!S304</f>
        <v>0</v>
      </c>
      <c r="R306" s="57">
        <f t="shared" si="60"/>
        <v>894</v>
      </c>
      <c r="S306" s="62" t="e">
        <f>VLOOKUP(B306,'115+040'!$B$11:$AB$621,22,FALSE)</f>
        <v>#REF!</v>
      </c>
      <c r="T306" s="61" t="e">
        <f>VLOOKUP(B306,'115+040'!$B$12:$AB$621,6,FALSE)</f>
        <v>#REF!</v>
      </c>
      <c r="U306" s="60" t="e">
        <f t="shared" si="56"/>
        <v>#REF!</v>
      </c>
      <c r="V306" s="59" t="e">
        <f>VLOOKUP(B306,'115+040'!$B$12:$AB$621,15,FALSE)</f>
        <v>#REF!</v>
      </c>
      <c r="W306" s="58">
        <f>'[4]114+940'!S307</f>
        <v>0</v>
      </c>
      <c r="X306" s="57">
        <f t="shared" si="61"/>
        <v>216</v>
      </c>
      <c r="Y306" s="56" t="e">
        <f t="shared" si="62"/>
        <v>#REF!</v>
      </c>
      <c r="Z306" s="55" t="e">
        <f t="shared" si="63"/>
        <v>#REF!</v>
      </c>
      <c r="AA306" s="54" t="e">
        <f t="shared" si="64"/>
        <v>#REF!</v>
      </c>
      <c r="AB306" s="54" t="e">
        <f t="shared" si="65"/>
        <v>#REF!</v>
      </c>
    </row>
    <row r="307" spans="2:28">
      <c r="B307" s="96" t="e">
        <f>'115+040'!#REF!</f>
        <v>#REF!</v>
      </c>
      <c r="C307" s="66" t="e">
        <f t="shared" si="57"/>
        <v>#REF!</v>
      </c>
      <c r="D307" s="65" t="e">
        <f t="shared" si="58"/>
        <v>#REF!</v>
      </c>
      <c r="E307" s="64" t="e">
        <f>VLOOKUP(B307,'115+040'!B305:AB305,3,FALSE)</f>
        <v>#REF!</v>
      </c>
      <c r="F307" s="61" t="e">
        <f t="shared" si="53"/>
        <v>#REF!</v>
      </c>
      <c r="G307" s="63" t="e">
        <f>VLOOKUP(B307,'115+040'!$B$12:$AB$621,20,FALSE)</f>
        <v>#REF!</v>
      </c>
      <c r="H307" s="63" t="e">
        <f>VLOOKUP(B307,'115+040'!$B$12:$AB$621,4,FALSE)</f>
        <v>#REF!</v>
      </c>
      <c r="I307" s="60" t="e">
        <f t="shared" si="54"/>
        <v>#REF!</v>
      </c>
      <c r="J307" s="60" t="e">
        <f>VLOOKUP(B307,'115+040'!$B$12:$AB$621,13,FALSE)</f>
        <v>#REF!</v>
      </c>
      <c r="K307" s="58">
        <f>'115+040'!R305</f>
        <v>0</v>
      </c>
      <c r="L307" s="57">
        <f t="shared" si="59"/>
        <v>770</v>
      </c>
      <c r="M307" s="62" t="e">
        <f>VLOOKUP(B307,'115+040'!$B$11:$AB$621,21,FALSE)</f>
        <v>#REF!</v>
      </c>
      <c r="N307" s="61" t="e">
        <f>VLOOKUP(B307,'115+040'!$B$12:$AB$621,5,FALSE)</f>
        <v>#REF!</v>
      </c>
      <c r="O307" s="60" t="e">
        <f t="shared" si="55"/>
        <v>#REF!</v>
      </c>
      <c r="P307" s="60" t="e">
        <f>VLOOKUP(B307,'115+040'!$B$12:$AB$621,14,FALSE)</f>
        <v>#REF!</v>
      </c>
      <c r="Q307" s="58">
        <f>'115+040'!S305</f>
        <v>0</v>
      </c>
      <c r="R307" s="57">
        <f t="shared" si="60"/>
        <v>894</v>
      </c>
      <c r="S307" s="62" t="e">
        <f>VLOOKUP(B307,'115+040'!$B$11:$AB$621,22,FALSE)</f>
        <v>#REF!</v>
      </c>
      <c r="T307" s="61" t="e">
        <f>VLOOKUP(B307,'115+040'!$B$12:$AB$621,6,FALSE)</f>
        <v>#REF!</v>
      </c>
      <c r="U307" s="60" t="e">
        <f t="shared" si="56"/>
        <v>#REF!</v>
      </c>
      <c r="V307" s="59" t="e">
        <f>VLOOKUP(B307,'115+040'!$B$12:$AB$621,15,FALSE)</f>
        <v>#REF!</v>
      </c>
      <c r="W307" s="58">
        <f>'[4]114+940'!S308</f>
        <v>0</v>
      </c>
      <c r="X307" s="57">
        <f t="shared" si="61"/>
        <v>216</v>
      </c>
      <c r="Y307" s="56" t="e">
        <f t="shared" si="62"/>
        <v>#REF!</v>
      </c>
      <c r="Z307" s="55" t="e">
        <f t="shared" si="63"/>
        <v>#REF!</v>
      </c>
      <c r="AA307" s="54" t="e">
        <f t="shared" si="64"/>
        <v>#REF!</v>
      </c>
      <c r="AB307" s="54" t="e">
        <f t="shared" si="65"/>
        <v>#REF!</v>
      </c>
    </row>
    <row r="308" spans="2:28">
      <c r="B308" s="96" t="e">
        <f>'115+040'!#REF!</f>
        <v>#REF!</v>
      </c>
      <c r="C308" s="66" t="e">
        <f t="shared" si="57"/>
        <v>#REF!</v>
      </c>
      <c r="D308" s="65" t="e">
        <f t="shared" si="58"/>
        <v>#REF!</v>
      </c>
      <c r="E308" s="64" t="e">
        <f>VLOOKUP(B308,'115+040'!B306:AB306,3,FALSE)</f>
        <v>#REF!</v>
      </c>
      <c r="F308" s="61" t="e">
        <f t="shared" si="53"/>
        <v>#REF!</v>
      </c>
      <c r="G308" s="63" t="e">
        <f>VLOOKUP(B308,'115+040'!$B$12:$AB$621,20,FALSE)</f>
        <v>#REF!</v>
      </c>
      <c r="H308" s="63" t="e">
        <f>VLOOKUP(B308,'115+040'!$B$12:$AB$621,4,FALSE)</f>
        <v>#REF!</v>
      </c>
      <c r="I308" s="60" t="e">
        <f t="shared" si="54"/>
        <v>#REF!</v>
      </c>
      <c r="J308" s="60" t="e">
        <f>VLOOKUP(B308,'115+040'!$B$12:$AB$621,13,FALSE)</f>
        <v>#REF!</v>
      </c>
      <c r="K308" s="58">
        <f>'115+040'!R306</f>
        <v>0</v>
      </c>
      <c r="L308" s="57">
        <f t="shared" si="59"/>
        <v>770</v>
      </c>
      <c r="M308" s="62" t="e">
        <f>VLOOKUP(B308,'115+040'!$B$11:$AB$621,21,FALSE)</f>
        <v>#REF!</v>
      </c>
      <c r="N308" s="61" t="e">
        <f>VLOOKUP(B308,'115+040'!$B$12:$AB$621,5,FALSE)</f>
        <v>#REF!</v>
      </c>
      <c r="O308" s="60" t="e">
        <f t="shared" si="55"/>
        <v>#REF!</v>
      </c>
      <c r="P308" s="60" t="e">
        <f>VLOOKUP(B308,'115+040'!$B$12:$AB$621,14,FALSE)</f>
        <v>#REF!</v>
      </c>
      <c r="Q308" s="58">
        <f>'115+040'!S306</f>
        <v>0</v>
      </c>
      <c r="R308" s="57">
        <f t="shared" si="60"/>
        <v>894</v>
      </c>
      <c r="S308" s="62" t="e">
        <f>VLOOKUP(B308,'115+040'!$B$11:$AB$621,22,FALSE)</f>
        <v>#REF!</v>
      </c>
      <c r="T308" s="61" t="e">
        <f>VLOOKUP(B308,'115+040'!$B$12:$AB$621,6,FALSE)</f>
        <v>#REF!</v>
      </c>
      <c r="U308" s="60" t="e">
        <f t="shared" si="56"/>
        <v>#REF!</v>
      </c>
      <c r="V308" s="59" t="e">
        <f>VLOOKUP(B308,'115+040'!$B$12:$AB$621,15,FALSE)</f>
        <v>#REF!</v>
      </c>
      <c r="W308" s="58">
        <f>'[4]114+940'!S309</f>
        <v>0</v>
      </c>
      <c r="X308" s="57">
        <f t="shared" si="61"/>
        <v>216</v>
      </c>
      <c r="Y308" s="56" t="e">
        <f t="shared" si="62"/>
        <v>#REF!</v>
      </c>
      <c r="Z308" s="55" t="e">
        <f t="shared" si="63"/>
        <v>#REF!</v>
      </c>
      <c r="AA308" s="54" t="e">
        <f t="shared" si="64"/>
        <v>#REF!</v>
      </c>
      <c r="AB308" s="54" t="e">
        <f t="shared" si="65"/>
        <v>#REF!</v>
      </c>
    </row>
    <row r="309" spans="2:28">
      <c r="B309" s="96" t="e">
        <f>'115+040'!#REF!</f>
        <v>#REF!</v>
      </c>
      <c r="C309" s="66" t="e">
        <f t="shared" si="57"/>
        <v>#REF!</v>
      </c>
      <c r="D309" s="65" t="e">
        <f t="shared" si="58"/>
        <v>#REF!</v>
      </c>
      <c r="E309" s="64" t="e">
        <f>VLOOKUP(B309,'115+040'!B307:AB307,3,FALSE)</f>
        <v>#REF!</v>
      </c>
      <c r="F309" s="61" t="e">
        <f t="shared" si="53"/>
        <v>#REF!</v>
      </c>
      <c r="G309" s="63" t="e">
        <f>VLOOKUP(B309,'115+040'!$B$12:$AB$621,20,FALSE)</f>
        <v>#REF!</v>
      </c>
      <c r="H309" s="63" t="e">
        <f>VLOOKUP(B309,'115+040'!$B$12:$AB$621,4,FALSE)</f>
        <v>#REF!</v>
      </c>
      <c r="I309" s="60" t="e">
        <f t="shared" si="54"/>
        <v>#REF!</v>
      </c>
      <c r="J309" s="60" t="e">
        <f>VLOOKUP(B309,'115+040'!$B$12:$AB$621,13,FALSE)</f>
        <v>#REF!</v>
      </c>
      <c r="K309" s="58">
        <f>'115+040'!R307</f>
        <v>0</v>
      </c>
      <c r="L309" s="57">
        <f t="shared" si="59"/>
        <v>770</v>
      </c>
      <c r="M309" s="62" t="e">
        <f>VLOOKUP(B309,'115+040'!$B$11:$AB$621,21,FALSE)</f>
        <v>#REF!</v>
      </c>
      <c r="N309" s="61" t="e">
        <f>VLOOKUP(B309,'115+040'!$B$12:$AB$621,5,FALSE)</f>
        <v>#REF!</v>
      </c>
      <c r="O309" s="60" t="e">
        <f t="shared" si="55"/>
        <v>#REF!</v>
      </c>
      <c r="P309" s="60" t="e">
        <f>VLOOKUP(B309,'115+040'!$B$12:$AB$621,14,FALSE)</f>
        <v>#REF!</v>
      </c>
      <c r="Q309" s="58">
        <f>'115+040'!S307</f>
        <v>0</v>
      </c>
      <c r="R309" s="57">
        <f t="shared" si="60"/>
        <v>894</v>
      </c>
      <c r="S309" s="62" t="e">
        <f>VLOOKUP(B309,'115+040'!$B$11:$AB$621,22,FALSE)</f>
        <v>#REF!</v>
      </c>
      <c r="T309" s="61" t="e">
        <f>VLOOKUP(B309,'115+040'!$B$12:$AB$621,6,FALSE)</f>
        <v>#REF!</v>
      </c>
      <c r="U309" s="60" t="e">
        <f t="shared" si="56"/>
        <v>#REF!</v>
      </c>
      <c r="V309" s="59" t="e">
        <f>VLOOKUP(B309,'115+040'!$B$12:$AB$621,15,FALSE)</f>
        <v>#REF!</v>
      </c>
      <c r="W309" s="58">
        <f>'[4]114+940'!S310</f>
        <v>0</v>
      </c>
      <c r="X309" s="57">
        <f t="shared" si="61"/>
        <v>216</v>
      </c>
      <c r="Y309" s="56" t="e">
        <f t="shared" si="62"/>
        <v>#REF!</v>
      </c>
      <c r="Z309" s="55" t="e">
        <f t="shared" si="63"/>
        <v>#REF!</v>
      </c>
      <c r="AA309" s="54" t="e">
        <f t="shared" si="64"/>
        <v>#REF!</v>
      </c>
      <c r="AB309" s="54" t="e">
        <f t="shared" si="65"/>
        <v>#REF!</v>
      </c>
    </row>
    <row r="310" spans="2:28">
      <c r="B310" s="96" t="e">
        <f>'115+040'!#REF!</f>
        <v>#REF!</v>
      </c>
      <c r="C310" s="66" t="e">
        <f t="shared" si="57"/>
        <v>#REF!</v>
      </c>
      <c r="D310" s="65" t="e">
        <f t="shared" si="58"/>
        <v>#REF!</v>
      </c>
      <c r="E310" s="64" t="e">
        <f>VLOOKUP(B310,'115+040'!B308:AB308,3,FALSE)</f>
        <v>#REF!</v>
      </c>
      <c r="F310" s="61" t="e">
        <f t="shared" si="53"/>
        <v>#REF!</v>
      </c>
      <c r="G310" s="63" t="e">
        <f>VLOOKUP(B310,'115+040'!$B$12:$AB$621,20,FALSE)</f>
        <v>#REF!</v>
      </c>
      <c r="H310" s="63" t="e">
        <f>VLOOKUP(B310,'115+040'!$B$12:$AB$621,4,FALSE)</f>
        <v>#REF!</v>
      </c>
      <c r="I310" s="60" t="e">
        <f t="shared" si="54"/>
        <v>#REF!</v>
      </c>
      <c r="J310" s="60" t="e">
        <f>VLOOKUP(B310,'115+040'!$B$12:$AB$621,13,FALSE)</f>
        <v>#REF!</v>
      </c>
      <c r="K310" s="58">
        <f>'115+040'!R308</f>
        <v>0</v>
      </c>
      <c r="L310" s="57">
        <f t="shared" si="59"/>
        <v>770</v>
      </c>
      <c r="M310" s="62" t="e">
        <f>VLOOKUP(B310,'115+040'!$B$11:$AB$621,21,FALSE)</f>
        <v>#REF!</v>
      </c>
      <c r="N310" s="61" t="e">
        <f>VLOOKUP(B310,'115+040'!$B$12:$AB$621,5,FALSE)</f>
        <v>#REF!</v>
      </c>
      <c r="O310" s="60" t="e">
        <f t="shared" si="55"/>
        <v>#REF!</v>
      </c>
      <c r="P310" s="60" t="e">
        <f>VLOOKUP(B310,'115+040'!$B$12:$AB$621,14,FALSE)</f>
        <v>#REF!</v>
      </c>
      <c r="Q310" s="58">
        <f>'115+040'!S308</f>
        <v>0</v>
      </c>
      <c r="R310" s="57">
        <f t="shared" si="60"/>
        <v>894</v>
      </c>
      <c r="S310" s="62" t="e">
        <f>VLOOKUP(B310,'115+040'!$B$11:$AB$621,22,FALSE)</f>
        <v>#REF!</v>
      </c>
      <c r="T310" s="61" t="e">
        <f>VLOOKUP(B310,'115+040'!$B$12:$AB$621,6,FALSE)</f>
        <v>#REF!</v>
      </c>
      <c r="U310" s="60" t="e">
        <f t="shared" si="56"/>
        <v>#REF!</v>
      </c>
      <c r="V310" s="59" t="e">
        <f>VLOOKUP(B310,'115+040'!$B$12:$AB$621,15,FALSE)</f>
        <v>#REF!</v>
      </c>
      <c r="W310" s="58">
        <f>'[4]114+940'!S311</f>
        <v>0</v>
      </c>
      <c r="X310" s="57">
        <f t="shared" si="61"/>
        <v>216</v>
      </c>
      <c r="Y310" s="56" t="e">
        <f t="shared" si="62"/>
        <v>#REF!</v>
      </c>
      <c r="Z310" s="55" t="e">
        <f t="shared" si="63"/>
        <v>#REF!</v>
      </c>
      <c r="AA310" s="54" t="e">
        <f t="shared" si="64"/>
        <v>#REF!</v>
      </c>
      <c r="AB310" s="54" t="e">
        <f t="shared" si="65"/>
        <v>#REF!</v>
      </c>
    </row>
    <row r="311" spans="2:28">
      <c r="B311" s="96" t="e">
        <f>'115+040'!#REF!</f>
        <v>#REF!</v>
      </c>
      <c r="C311" s="66" t="e">
        <f t="shared" si="57"/>
        <v>#REF!</v>
      </c>
      <c r="D311" s="65" t="e">
        <f t="shared" si="58"/>
        <v>#REF!</v>
      </c>
      <c r="E311" s="64" t="e">
        <f>VLOOKUP(B311,'115+040'!B309:AB309,3,FALSE)</f>
        <v>#REF!</v>
      </c>
      <c r="F311" s="61" t="e">
        <f t="shared" si="53"/>
        <v>#REF!</v>
      </c>
      <c r="G311" s="63" t="e">
        <f>VLOOKUP(B311,'115+040'!$B$12:$AB$621,20,FALSE)</f>
        <v>#REF!</v>
      </c>
      <c r="H311" s="63" t="e">
        <f>VLOOKUP(B311,'115+040'!$B$12:$AB$621,4,FALSE)</f>
        <v>#REF!</v>
      </c>
      <c r="I311" s="60" t="e">
        <f t="shared" si="54"/>
        <v>#REF!</v>
      </c>
      <c r="J311" s="60" t="e">
        <f>VLOOKUP(B311,'115+040'!$B$12:$AB$621,13,FALSE)</f>
        <v>#REF!</v>
      </c>
      <c r="K311" s="58">
        <f>'115+040'!R309</f>
        <v>0</v>
      </c>
      <c r="L311" s="57">
        <f t="shared" si="59"/>
        <v>770</v>
      </c>
      <c r="M311" s="62" t="e">
        <f>VLOOKUP(B311,'115+040'!$B$11:$AB$621,21,FALSE)</f>
        <v>#REF!</v>
      </c>
      <c r="N311" s="61" t="e">
        <f>VLOOKUP(B311,'115+040'!$B$12:$AB$621,5,FALSE)</f>
        <v>#REF!</v>
      </c>
      <c r="O311" s="60" t="e">
        <f t="shared" si="55"/>
        <v>#REF!</v>
      </c>
      <c r="P311" s="60" t="e">
        <f>VLOOKUP(B311,'115+040'!$B$12:$AB$621,14,FALSE)</f>
        <v>#REF!</v>
      </c>
      <c r="Q311" s="58">
        <f>'115+040'!S309</f>
        <v>0</v>
      </c>
      <c r="R311" s="57">
        <f t="shared" si="60"/>
        <v>894</v>
      </c>
      <c r="S311" s="62" t="e">
        <f>VLOOKUP(B311,'115+040'!$B$11:$AB$621,22,FALSE)</f>
        <v>#REF!</v>
      </c>
      <c r="T311" s="61" t="e">
        <f>VLOOKUP(B311,'115+040'!$B$12:$AB$621,6,FALSE)</f>
        <v>#REF!</v>
      </c>
      <c r="U311" s="60" t="e">
        <f t="shared" si="56"/>
        <v>#REF!</v>
      </c>
      <c r="V311" s="59" t="e">
        <f>VLOOKUP(B311,'115+040'!$B$12:$AB$621,15,FALSE)</f>
        <v>#REF!</v>
      </c>
      <c r="W311" s="58">
        <f>'[4]114+940'!S312</f>
        <v>0</v>
      </c>
      <c r="X311" s="57">
        <f t="shared" si="61"/>
        <v>216</v>
      </c>
      <c r="Y311" s="56" t="e">
        <f t="shared" si="62"/>
        <v>#REF!</v>
      </c>
      <c r="Z311" s="55" t="e">
        <f t="shared" si="63"/>
        <v>#REF!</v>
      </c>
      <c r="AA311" s="54" t="e">
        <f t="shared" si="64"/>
        <v>#REF!</v>
      </c>
      <c r="AB311" s="54" t="e">
        <f t="shared" si="65"/>
        <v>#REF!</v>
      </c>
    </row>
    <row r="312" spans="2:28">
      <c r="B312" s="96" t="e">
        <f>'115+040'!#REF!</f>
        <v>#REF!</v>
      </c>
      <c r="C312" s="66" t="e">
        <f t="shared" si="57"/>
        <v>#REF!</v>
      </c>
      <c r="D312" s="65" t="e">
        <f t="shared" si="58"/>
        <v>#REF!</v>
      </c>
      <c r="E312" s="64" t="e">
        <f>VLOOKUP(B312,'115+040'!B310:AB310,3,FALSE)</f>
        <v>#REF!</v>
      </c>
      <c r="F312" s="61" t="e">
        <f t="shared" si="53"/>
        <v>#REF!</v>
      </c>
      <c r="G312" s="63" t="e">
        <f>VLOOKUP(B312,'115+040'!$B$12:$AB$621,20,FALSE)</f>
        <v>#REF!</v>
      </c>
      <c r="H312" s="63" t="e">
        <f>VLOOKUP(B312,'115+040'!$B$12:$AB$621,4,FALSE)</f>
        <v>#REF!</v>
      </c>
      <c r="I312" s="60" t="e">
        <f t="shared" si="54"/>
        <v>#REF!</v>
      </c>
      <c r="J312" s="60" t="e">
        <f>VLOOKUP(B312,'115+040'!$B$12:$AB$621,13,FALSE)</f>
        <v>#REF!</v>
      </c>
      <c r="K312" s="58">
        <f>'115+040'!R310</f>
        <v>0</v>
      </c>
      <c r="L312" s="57">
        <f t="shared" si="59"/>
        <v>770</v>
      </c>
      <c r="M312" s="62" t="e">
        <f>VLOOKUP(B312,'115+040'!$B$11:$AB$621,21,FALSE)</f>
        <v>#REF!</v>
      </c>
      <c r="N312" s="61" t="e">
        <f>VLOOKUP(B312,'115+040'!$B$12:$AB$621,5,FALSE)</f>
        <v>#REF!</v>
      </c>
      <c r="O312" s="60" t="e">
        <f t="shared" si="55"/>
        <v>#REF!</v>
      </c>
      <c r="P312" s="60" t="e">
        <f>VLOOKUP(B312,'115+040'!$B$12:$AB$621,14,FALSE)</f>
        <v>#REF!</v>
      </c>
      <c r="Q312" s="58">
        <f>'115+040'!S310</f>
        <v>0</v>
      </c>
      <c r="R312" s="57">
        <f t="shared" si="60"/>
        <v>894</v>
      </c>
      <c r="S312" s="62" t="e">
        <f>VLOOKUP(B312,'115+040'!$B$11:$AB$621,22,FALSE)</f>
        <v>#REF!</v>
      </c>
      <c r="T312" s="61" t="e">
        <f>VLOOKUP(B312,'115+040'!$B$12:$AB$621,6,FALSE)</f>
        <v>#REF!</v>
      </c>
      <c r="U312" s="60" t="e">
        <f t="shared" si="56"/>
        <v>#REF!</v>
      </c>
      <c r="V312" s="59" t="e">
        <f>VLOOKUP(B312,'115+040'!$B$12:$AB$621,15,FALSE)</f>
        <v>#REF!</v>
      </c>
      <c r="W312" s="58">
        <f>'[4]114+940'!S313</f>
        <v>0</v>
      </c>
      <c r="X312" s="57">
        <f t="shared" si="61"/>
        <v>216</v>
      </c>
      <c r="Y312" s="56" t="e">
        <f t="shared" si="62"/>
        <v>#REF!</v>
      </c>
      <c r="Z312" s="55" t="e">
        <f t="shared" si="63"/>
        <v>#REF!</v>
      </c>
      <c r="AA312" s="54" t="e">
        <f t="shared" si="64"/>
        <v>#REF!</v>
      </c>
      <c r="AB312" s="54" t="e">
        <f t="shared" si="65"/>
        <v>#REF!</v>
      </c>
    </row>
    <row r="313" spans="2:28">
      <c r="B313" s="96" t="e">
        <f>'115+040'!#REF!</f>
        <v>#REF!</v>
      </c>
      <c r="C313" s="66" t="e">
        <f t="shared" si="57"/>
        <v>#REF!</v>
      </c>
      <c r="D313" s="65" t="e">
        <f t="shared" si="58"/>
        <v>#REF!</v>
      </c>
      <c r="E313" s="64" t="e">
        <f>VLOOKUP(B313,'115+040'!B311:AB311,3,FALSE)</f>
        <v>#REF!</v>
      </c>
      <c r="F313" s="61" t="e">
        <f t="shared" si="53"/>
        <v>#REF!</v>
      </c>
      <c r="G313" s="63" t="e">
        <f>VLOOKUP(B313,'115+040'!$B$12:$AB$621,20,FALSE)</f>
        <v>#REF!</v>
      </c>
      <c r="H313" s="63" t="e">
        <f>VLOOKUP(B313,'115+040'!$B$12:$AB$621,4,FALSE)</f>
        <v>#REF!</v>
      </c>
      <c r="I313" s="60" t="e">
        <f t="shared" si="54"/>
        <v>#REF!</v>
      </c>
      <c r="J313" s="60" t="e">
        <f>VLOOKUP(B313,'115+040'!$B$12:$AB$621,13,FALSE)</f>
        <v>#REF!</v>
      </c>
      <c r="K313" s="58">
        <f>'115+040'!R311</f>
        <v>0</v>
      </c>
      <c r="L313" s="57">
        <f t="shared" si="59"/>
        <v>770</v>
      </c>
      <c r="M313" s="62" t="e">
        <f>VLOOKUP(B313,'115+040'!$B$11:$AB$621,21,FALSE)</f>
        <v>#REF!</v>
      </c>
      <c r="N313" s="61" t="e">
        <f>VLOOKUP(B313,'115+040'!$B$12:$AB$621,5,FALSE)</f>
        <v>#REF!</v>
      </c>
      <c r="O313" s="60" t="e">
        <f t="shared" si="55"/>
        <v>#REF!</v>
      </c>
      <c r="P313" s="60" t="e">
        <f>VLOOKUP(B313,'115+040'!$B$12:$AB$621,14,FALSE)</f>
        <v>#REF!</v>
      </c>
      <c r="Q313" s="58">
        <f>'115+040'!S311</f>
        <v>0</v>
      </c>
      <c r="R313" s="57">
        <f t="shared" si="60"/>
        <v>894</v>
      </c>
      <c r="S313" s="62" t="e">
        <f>VLOOKUP(B313,'115+040'!$B$11:$AB$621,22,FALSE)</f>
        <v>#REF!</v>
      </c>
      <c r="T313" s="61" t="e">
        <f>VLOOKUP(B313,'115+040'!$B$12:$AB$621,6,FALSE)</f>
        <v>#REF!</v>
      </c>
      <c r="U313" s="60" t="e">
        <f t="shared" si="56"/>
        <v>#REF!</v>
      </c>
      <c r="V313" s="59" t="e">
        <f>VLOOKUP(B313,'115+040'!$B$12:$AB$621,15,FALSE)</f>
        <v>#REF!</v>
      </c>
      <c r="W313" s="58">
        <f>'[4]114+940'!S314</f>
        <v>0</v>
      </c>
      <c r="X313" s="57">
        <f t="shared" si="61"/>
        <v>216</v>
      </c>
      <c r="Y313" s="56" t="e">
        <f t="shared" si="62"/>
        <v>#REF!</v>
      </c>
      <c r="Z313" s="55" t="e">
        <f t="shared" si="63"/>
        <v>#REF!</v>
      </c>
      <c r="AA313" s="54" t="e">
        <f t="shared" si="64"/>
        <v>#REF!</v>
      </c>
      <c r="AB313" s="54" t="e">
        <f t="shared" si="65"/>
        <v>#REF!</v>
      </c>
    </row>
    <row r="314" spans="2:28">
      <c r="B314" s="96" t="e">
        <f>'115+040'!#REF!</f>
        <v>#REF!</v>
      </c>
      <c r="C314" s="66" t="e">
        <f t="shared" si="57"/>
        <v>#REF!</v>
      </c>
      <c r="D314" s="65" t="e">
        <f t="shared" si="58"/>
        <v>#REF!</v>
      </c>
      <c r="E314" s="64" t="e">
        <f>VLOOKUP(B314,'115+040'!B312:AB312,3,FALSE)</f>
        <v>#REF!</v>
      </c>
      <c r="F314" s="61" t="e">
        <f t="shared" si="53"/>
        <v>#REF!</v>
      </c>
      <c r="G314" s="63" t="e">
        <f>VLOOKUP(B314,'115+040'!$B$12:$AB$621,20,FALSE)</f>
        <v>#REF!</v>
      </c>
      <c r="H314" s="63" t="e">
        <f>VLOOKUP(B314,'115+040'!$B$12:$AB$621,4,FALSE)</f>
        <v>#REF!</v>
      </c>
      <c r="I314" s="60" t="e">
        <f t="shared" si="54"/>
        <v>#REF!</v>
      </c>
      <c r="J314" s="60" t="e">
        <f>VLOOKUP(B314,'115+040'!$B$12:$AB$621,13,FALSE)</f>
        <v>#REF!</v>
      </c>
      <c r="K314" s="58">
        <f>'115+040'!R312</f>
        <v>0</v>
      </c>
      <c r="L314" s="57">
        <f t="shared" si="59"/>
        <v>770</v>
      </c>
      <c r="M314" s="62" t="e">
        <f>VLOOKUP(B314,'115+040'!$B$11:$AB$621,21,FALSE)</f>
        <v>#REF!</v>
      </c>
      <c r="N314" s="61" t="e">
        <f>VLOOKUP(B314,'115+040'!$B$12:$AB$621,5,FALSE)</f>
        <v>#REF!</v>
      </c>
      <c r="O314" s="60" t="e">
        <f t="shared" si="55"/>
        <v>#REF!</v>
      </c>
      <c r="P314" s="60" t="e">
        <f>VLOOKUP(B314,'115+040'!$B$12:$AB$621,14,FALSE)</f>
        <v>#REF!</v>
      </c>
      <c r="Q314" s="58">
        <f>'115+040'!S312</f>
        <v>0</v>
      </c>
      <c r="R314" s="57">
        <f t="shared" si="60"/>
        <v>894</v>
      </c>
      <c r="S314" s="62" t="e">
        <f>VLOOKUP(B314,'115+040'!$B$11:$AB$621,22,FALSE)</f>
        <v>#REF!</v>
      </c>
      <c r="T314" s="61" t="e">
        <f>VLOOKUP(B314,'115+040'!$B$12:$AB$621,6,FALSE)</f>
        <v>#REF!</v>
      </c>
      <c r="U314" s="60" t="e">
        <f t="shared" si="56"/>
        <v>#REF!</v>
      </c>
      <c r="V314" s="59" t="e">
        <f>VLOOKUP(B314,'115+040'!$B$12:$AB$621,15,FALSE)</f>
        <v>#REF!</v>
      </c>
      <c r="W314" s="58">
        <f>'[4]114+940'!S315</f>
        <v>0</v>
      </c>
      <c r="X314" s="57">
        <f t="shared" si="61"/>
        <v>216</v>
      </c>
      <c r="Y314" s="56" t="e">
        <f t="shared" si="62"/>
        <v>#REF!</v>
      </c>
      <c r="Z314" s="55" t="e">
        <f t="shared" si="63"/>
        <v>#REF!</v>
      </c>
      <c r="AA314" s="54" t="e">
        <f t="shared" si="64"/>
        <v>#REF!</v>
      </c>
      <c r="AB314" s="54" t="e">
        <f t="shared" si="65"/>
        <v>#REF!</v>
      </c>
    </row>
    <row r="315" spans="2:28">
      <c r="B315" s="96" t="e">
        <f>'115+040'!#REF!</f>
        <v>#REF!</v>
      </c>
      <c r="C315" s="66" t="e">
        <f t="shared" si="57"/>
        <v>#REF!</v>
      </c>
      <c r="D315" s="65" t="e">
        <f t="shared" si="58"/>
        <v>#REF!</v>
      </c>
      <c r="E315" s="64" t="e">
        <f>VLOOKUP(B315,'115+040'!B313:AB313,3,FALSE)</f>
        <v>#REF!</v>
      </c>
      <c r="F315" s="61" t="e">
        <f t="shared" si="53"/>
        <v>#REF!</v>
      </c>
      <c r="G315" s="63" t="e">
        <f>VLOOKUP(B315,'115+040'!$B$12:$AB$621,20,FALSE)</f>
        <v>#REF!</v>
      </c>
      <c r="H315" s="63" t="e">
        <f>VLOOKUP(B315,'115+040'!$B$12:$AB$621,4,FALSE)</f>
        <v>#REF!</v>
      </c>
      <c r="I315" s="60" t="e">
        <f t="shared" si="54"/>
        <v>#REF!</v>
      </c>
      <c r="J315" s="60" t="e">
        <f>VLOOKUP(B315,'115+040'!$B$12:$AB$621,13,FALSE)</f>
        <v>#REF!</v>
      </c>
      <c r="K315" s="58">
        <f>'115+040'!R313</f>
        <v>0</v>
      </c>
      <c r="L315" s="57">
        <f t="shared" si="59"/>
        <v>770</v>
      </c>
      <c r="M315" s="62" t="e">
        <f>VLOOKUP(B315,'115+040'!$B$11:$AB$621,21,FALSE)</f>
        <v>#REF!</v>
      </c>
      <c r="N315" s="61" t="e">
        <f>VLOOKUP(B315,'115+040'!$B$12:$AB$621,5,FALSE)</f>
        <v>#REF!</v>
      </c>
      <c r="O315" s="60" t="e">
        <f t="shared" si="55"/>
        <v>#REF!</v>
      </c>
      <c r="P315" s="60" t="e">
        <f>VLOOKUP(B315,'115+040'!$B$12:$AB$621,14,FALSE)</f>
        <v>#REF!</v>
      </c>
      <c r="Q315" s="58">
        <f>'115+040'!S313</f>
        <v>0</v>
      </c>
      <c r="R315" s="57">
        <f t="shared" si="60"/>
        <v>894</v>
      </c>
      <c r="S315" s="62" t="e">
        <f>VLOOKUP(B315,'115+040'!$B$11:$AB$621,22,FALSE)</f>
        <v>#REF!</v>
      </c>
      <c r="T315" s="61" t="e">
        <f>VLOOKUP(B315,'115+040'!$B$12:$AB$621,6,FALSE)</f>
        <v>#REF!</v>
      </c>
      <c r="U315" s="60" t="e">
        <f t="shared" si="56"/>
        <v>#REF!</v>
      </c>
      <c r="V315" s="59" t="e">
        <f>VLOOKUP(B315,'115+040'!$B$12:$AB$621,15,FALSE)</f>
        <v>#REF!</v>
      </c>
      <c r="W315" s="58">
        <f>'[4]114+940'!S316</f>
        <v>0</v>
      </c>
      <c r="X315" s="57">
        <f t="shared" si="61"/>
        <v>216</v>
      </c>
      <c r="Y315" s="56" t="e">
        <f t="shared" si="62"/>
        <v>#REF!</v>
      </c>
      <c r="Z315" s="55" t="e">
        <f t="shared" si="63"/>
        <v>#REF!</v>
      </c>
      <c r="AA315" s="54" t="e">
        <f t="shared" si="64"/>
        <v>#REF!</v>
      </c>
      <c r="AB315" s="54" t="e">
        <f t="shared" si="65"/>
        <v>#REF!</v>
      </c>
    </row>
    <row r="316" spans="2:28">
      <c r="B316" s="96" t="e">
        <f>'115+040'!#REF!</f>
        <v>#REF!</v>
      </c>
      <c r="C316" s="66" t="e">
        <f t="shared" si="57"/>
        <v>#REF!</v>
      </c>
      <c r="D316" s="65" t="e">
        <f t="shared" si="58"/>
        <v>#REF!</v>
      </c>
      <c r="E316" s="64" t="e">
        <f>VLOOKUP(B316,'115+040'!B314:AB314,3,FALSE)</f>
        <v>#REF!</v>
      </c>
      <c r="F316" s="61" t="e">
        <f t="shared" si="53"/>
        <v>#REF!</v>
      </c>
      <c r="G316" s="63" t="e">
        <f>VLOOKUP(B316,'115+040'!$B$12:$AB$621,20,FALSE)</f>
        <v>#REF!</v>
      </c>
      <c r="H316" s="63" t="e">
        <f>VLOOKUP(B316,'115+040'!$B$12:$AB$621,4,FALSE)</f>
        <v>#REF!</v>
      </c>
      <c r="I316" s="60" t="e">
        <f t="shared" si="54"/>
        <v>#REF!</v>
      </c>
      <c r="J316" s="60" t="e">
        <f>VLOOKUP(B316,'115+040'!$B$12:$AB$621,13,FALSE)</f>
        <v>#REF!</v>
      </c>
      <c r="K316" s="58">
        <f>'115+040'!R314</f>
        <v>0</v>
      </c>
      <c r="L316" s="57">
        <f t="shared" si="59"/>
        <v>770</v>
      </c>
      <c r="M316" s="62" t="e">
        <f>VLOOKUP(B316,'115+040'!$B$11:$AB$621,21,FALSE)</f>
        <v>#REF!</v>
      </c>
      <c r="N316" s="61" t="e">
        <f>VLOOKUP(B316,'115+040'!$B$12:$AB$621,5,FALSE)</f>
        <v>#REF!</v>
      </c>
      <c r="O316" s="60" t="e">
        <f t="shared" si="55"/>
        <v>#REF!</v>
      </c>
      <c r="P316" s="60" t="e">
        <f>VLOOKUP(B316,'115+040'!$B$12:$AB$621,14,FALSE)</f>
        <v>#REF!</v>
      </c>
      <c r="Q316" s="58">
        <f>'115+040'!S314</f>
        <v>0</v>
      </c>
      <c r="R316" s="57">
        <f t="shared" si="60"/>
        <v>894</v>
      </c>
      <c r="S316" s="62" t="e">
        <f>VLOOKUP(B316,'115+040'!$B$11:$AB$621,22,FALSE)</f>
        <v>#REF!</v>
      </c>
      <c r="T316" s="61" t="e">
        <f>VLOOKUP(B316,'115+040'!$B$12:$AB$621,6,FALSE)</f>
        <v>#REF!</v>
      </c>
      <c r="U316" s="60" t="e">
        <f t="shared" si="56"/>
        <v>#REF!</v>
      </c>
      <c r="V316" s="59" t="e">
        <f>VLOOKUP(B316,'115+040'!$B$12:$AB$621,15,FALSE)</f>
        <v>#REF!</v>
      </c>
      <c r="W316" s="58">
        <f>'[4]114+940'!S317</f>
        <v>0</v>
      </c>
      <c r="X316" s="57">
        <f t="shared" si="61"/>
        <v>216</v>
      </c>
      <c r="Y316" s="56" t="e">
        <f t="shared" si="62"/>
        <v>#REF!</v>
      </c>
      <c r="Z316" s="55" t="e">
        <f t="shared" si="63"/>
        <v>#REF!</v>
      </c>
      <c r="AA316" s="54" t="e">
        <f t="shared" si="64"/>
        <v>#REF!</v>
      </c>
      <c r="AB316" s="54" t="e">
        <f t="shared" si="65"/>
        <v>#REF!</v>
      </c>
    </row>
    <row r="317" spans="2:28">
      <c r="B317" s="96" t="e">
        <f>'115+040'!#REF!</f>
        <v>#REF!</v>
      </c>
      <c r="C317" s="66" t="e">
        <f t="shared" si="57"/>
        <v>#REF!</v>
      </c>
      <c r="D317" s="65" t="e">
        <f t="shared" si="58"/>
        <v>#REF!</v>
      </c>
      <c r="E317" s="64" t="e">
        <f>VLOOKUP(B317,'115+040'!B315:AB315,3,FALSE)</f>
        <v>#REF!</v>
      </c>
      <c r="F317" s="61" t="e">
        <f t="shared" si="53"/>
        <v>#REF!</v>
      </c>
      <c r="G317" s="63" t="e">
        <f>VLOOKUP(B317,'115+040'!$B$12:$AB$621,20,FALSE)</f>
        <v>#REF!</v>
      </c>
      <c r="H317" s="63" t="e">
        <f>VLOOKUP(B317,'115+040'!$B$12:$AB$621,4,FALSE)</f>
        <v>#REF!</v>
      </c>
      <c r="I317" s="60" t="e">
        <f t="shared" si="54"/>
        <v>#REF!</v>
      </c>
      <c r="J317" s="60" t="e">
        <f>VLOOKUP(B317,'115+040'!$B$12:$AB$621,13,FALSE)</f>
        <v>#REF!</v>
      </c>
      <c r="K317" s="58">
        <f>'115+040'!R315</f>
        <v>0</v>
      </c>
      <c r="L317" s="57">
        <f t="shared" si="59"/>
        <v>770</v>
      </c>
      <c r="M317" s="62" t="e">
        <f>VLOOKUP(B317,'115+040'!$B$11:$AB$621,21,FALSE)</f>
        <v>#REF!</v>
      </c>
      <c r="N317" s="61" t="e">
        <f>VLOOKUP(B317,'115+040'!$B$12:$AB$621,5,FALSE)</f>
        <v>#REF!</v>
      </c>
      <c r="O317" s="60" t="e">
        <f t="shared" si="55"/>
        <v>#REF!</v>
      </c>
      <c r="P317" s="60" t="e">
        <f>VLOOKUP(B317,'115+040'!$B$12:$AB$621,14,FALSE)</f>
        <v>#REF!</v>
      </c>
      <c r="Q317" s="58">
        <f>'115+040'!S315</f>
        <v>0</v>
      </c>
      <c r="R317" s="57">
        <f t="shared" si="60"/>
        <v>894</v>
      </c>
      <c r="S317" s="62" t="e">
        <f>VLOOKUP(B317,'115+040'!$B$11:$AB$621,22,FALSE)</f>
        <v>#REF!</v>
      </c>
      <c r="T317" s="61" t="e">
        <f>VLOOKUP(B317,'115+040'!$B$12:$AB$621,6,FALSE)</f>
        <v>#REF!</v>
      </c>
      <c r="U317" s="60" t="e">
        <f t="shared" si="56"/>
        <v>#REF!</v>
      </c>
      <c r="V317" s="59" t="e">
        <f>VLOOKUP(B317,'115+040'!$B$12:$AB$621,15,FALSE)</f>
        <v>#REF!</v>
      </c>
      <c r="W317" s="58">
        <f>'[4]114+940'!S318</f>
        <v>0</v>
      </c>
      <c r="X317" s="57">
        <f t="shared" si="61"/>
        <v>216</v>
      </c>
      <c r="Y317" s="56" t="e">
        <f t="shared" si="62"/>
        <v>#REF!</v>
      </c>
      <c r="Z317" s="55" t="e">
        <f t="shared" si="63"/>
        <v>#REF!</v>
      </c>
      <c r="AA317" s="54" t="e">
        <f t="shared" si="64"/>
        <v>#REF!</v>
      </c>
      <c r="AB317" s="54" t="e">
        <f t="shared" si="65"/>
        <v>#REF!</v>
      </c>
    </row>
    <row r="318" spans="2:28">
      <c r="B318" s="96" t="e">
        <f>'115+040'!#REF!</f>
        <v>#REF!</v>
      </c>
      <c r="C318" s="66" t="e">
        <f t="shared" si="57"/>
        <v>#REF!</v>
      </c>
      <c r="D318" s="65" t="e">
        <f t="shared" si="58"/>
        <v>#REF!</v>
      </c>
      <c r="E318" s="64" t="e">
        <f>VLOOKUP(B318,'115+040'!B316:AB316,3,FALSE)</f>
        <v>#REF!</v>
      </c>
      <c r="F318" s="61" t="e">
        <f t="shared" si="53"/>
        <v>#REF!</v>
      </c>
      <c r="G318" s="63" t="e">
        <f>VLOOKUP(B318,'115+040'!$B$12:$AB$621,20,FALSE)</f>
        <v>#REF!</v>
      </c>
      <c r="H318" s="63" t="e">
        <f>VLOOKUP(B318,'115+040'!$B$12:$AB$621,4,FALSE)</f>
        <v>#REF!</v>
      </c>
      <c r="I318" s="60" t="e">
        <f t="shared" si="54"/>
        <v>#REF!</v>
      </c>
      <c r="J318" s="60" t="e">
        <f>VLOOKUP(B318,'115+040'!$B$12:$AB$621,13,FALSE)</f>
        <v>#REF!</v>
      </c>
      <c r="K318" s="58">
        <f>'115+040'!R316</f>
        <v>0</v>
      </c>
      <c r="L318" s="57">
        <f t="shared" si="59"/>
        <v>770</v>
      </c>
      <c r="M318" s="62" t="e">
        <f>VLOOKUP(B318,'115+040'!$B$11:$AB$621,21,FALSE)</f>
        <v>#REF!</v>
      </c>
      <c r="N318" s="61" t="e">
        <f>VLOOKUP(B318,'115+040'!$B$12:$AB$621,5,FALSE)</f>
        <v>#REF!</v>
      </c>
      <c r="O318" s="60" t="e">
        <f t="shared" si="55"/>
        <v>#REF!</v>
      </c>
      <c r="P318" s="60" t="e">
        <f>VLOOKUP(B318,'115+040'!$B$12:$AB$621,14,FALSE)</f>
        <v>#REF!</v>
      </c>
      <c r="Q318" s="58">
        <f>'115+040'!S316</f>
        <v>0</v>
      </c>
      <c r="R318" s="57">
        <f t="shared" si="60"/>
        <v>894</v>
      </c>
      <c r="S318" s="62" t="e">
        <f>VLOOKUP(B318,'115+040'!$B$11:$AB$621,22,FALSE)</f>
        <v>#REF!</v>
      </c>
      <c r="T318" s="61" t="e">
        <f>VLOOKUP(B318,'115+040'!$B$12:$AB$621,6,FALSE)</f>
        <v>#REF!</v>
      </c>
      <c r="U318" s="60" t="e">
        <f t="shared" si="56"/>
        <v>#REF!</v>
      </c>
      <c r="V318" s="59" t="e">
        <f>VLOOKUP(B318,'115+040'!$B$12:$AB$621,15,FALSE)</f>
        <v>#REF!</v>
      </c>
      <c r="W318" s="58">
        <f>'[4]114+940'!S319</f>
        <v>0</v>
      </c>
      <c r="X318" s="57">
        <f t="shared" si="61"/>
        <v>216</v>
      </c>
      <c r="Y318" s="56" t="e">
        <f t="shared" si="62"/>
        <v>#REF!</v>
      </c>
      <c r="Z318" s="55" t="e">
        <f t="shared" si="63"/>
        <v>#REF!</v>
      </c>
      <c r="AA318" s="54" t="e">
        <f t="shared" si="64"/>
        <v>#REF!</v>
      </c>
      <c r="AB318" s="54" t="e">
        <f t="shared" si="65"/>
        <v>#REF!</v>
      </c>
    </row>
    <row r="319" spans="2:28">
      <c r="B319" s="96" t="e">
        <f>'115+040'!#REF!</f>
        <v>#REF!</v>
      </c>
      <c r="C319" s="66" t="e">
        <f t="shared" si="57"/>
        <v>#REF!</v>
      </c>
      <c r="D319" s="65" t="e">
        <f t="shared" si="58"/>
        <v>#REF!</v>
      </c>
      <c r="E319" s="64" t="e">
        <f>VLOOKUP(B319,'115+040'!B317:AB317,3,FALSE)</f>
        <v>#REF!</v>
      </c>
      <c r="F319" s="61" t="e">
        <f t="shared" si="53"/>
        <v>#REF!</v>
      </c>
      <c r="G319" s="63" t="e">
        <f>VLOOKUP(B319,'115+040'!$B$12:$AB$621,20,FALSE)</f>
        <v>#REF!</v>
      </c>
      <c r="H319" s="63" t="e">
        <f>VLOOKUP(B319,'115+040'!$B$12:$AB$621,4,FALSE)</f>
        <v>#REF!</v>
      </c>
      <c r="I319" s="60" t="e">
        <f t="shared" si="54"/>
        <v>#REF!</v>
      </c>
      <c r="J319" s="60" t="e">
        <f>VLOOKUP(B319,'115+040'!$B$12:$AB$621,13,FALSE)</f>
        <v>#REF!</v>
      </c>
      <c r="K319" s="58">
        <f>'115+040'!R317</f>
        <v>0</v>
      </c>
      <c r="L319" s="57">
        <f t="shared" si="59"/>
        <v>770</v>
      </c>
      <c r="M319" s="62" t="e">
        <f>VLOOKUP(B319,'115+040'!$B$11:$AB$621,21,FALSE)</f>
        <v>#REF!</v>
      </c>
      <c r="N319" s="61" t="e">
        <f>VLOOKUP(B319,'115+040'!$B$12:$AB$621,5,FALSE)</f>
        <v>#REF!</v>
      </c>
      <c r="O319" s="60" t="e">
        <f t="shared" si="55"/>
        <v>#REF!</v>
      </c>
      <c r="P319" s="60" t="e">
        <f>VLOOKUP(B319,'115+040'!$B$12:$AB$621,14,FALSE)</f>
        <v>#REF!</v>
      </c>
      <c r="Q319" s="58">
        <f>'115+040'!S317</f>
        <v>0</v>
      </c>
      <c r="R319" s="57">
        <f t="shared" si="60"/>
        <v>894</v>
      </c>
      <c r="S319" s="62" t="e">
        <f>VLOOKUP(B319,'115+040'!$B$11:$AB$621,22,FALSE)</f>
        <v>#REF!</v>
      </c>
      <c r="T319" s="61" t="e">
        <f>VLOOKUP(B319,'115+040'!$B$12:$AB$621,6,FALSE)</f>
        <v>#REF!</v>
      </c>
      <c r="U319" s="60" t="e">
        <f t="shared" si="56"/>
        <v>#REF!</v>
      </c>
      <c r="V319" s="59" t="e">
        <f>VLOOKUP(B319,'115+040'!$B$12:$AB$621,15,FALSE)</f>
        <v>#REF!</v>
      </c>
      <c r="W319" s="58">
        <f>'[4]114+940'!S320</f>
        <v>0</v>
      </c>
      <c r="X319" s="57">
        <f t="shared" si="61"/>
        <v>216</v>
      </c>
      <c r="Y319" s="56" t="e">
        <f t="shared" si="62"/>
        <v>#REF!</v>
      </c>
      <c r="Z319" s="55" t="e">
        <f t="shared" si="63"/>
        <v>#REF!</v>
      </c>
      <c r="AA319" s="54" t="e">
        <f t="shared" si="64"/>
        <v>#REF!</v>
      </c>
      <c r="AB319" s="54" t="e">
        <f t="shared" si="65"/>
        <v>#REF!</v>
      </c>
    </row>
    <row r="320" spans="2:28">
      <c r="B320" s="96" t="e">
        <f>'115+040'!#REF!</f>
        <v>#REF!</v>
      </c>
      <c r="C320" s="66" t="e">
        <f t="shared" si="57"/>
        <v>#REF!</v>
      </c>
      <c r="D320" s="65" t="e">
        <f t="shared" si="58"/>
        <v>#REF!</v>
      </c>
      <c r="E320" s="64" t="e">
        <f>VLOOKUP(B320,'115+040'!B318:AB318,3,FALSE)</f>
        <v>#REF!</v>
      </c>
      <c r="F320" s="61" t="e">
        <f t="shared" si="53"/>
        <v>#REF!</v>
      </c>
      <c r="G320" s="63" t="e">
        <f>VLOOKUP(B320,'115+040'!$B$12:$AB$621,20,FALSE)</f>
        <v>#REF!</v>
      </c>
      <c r="H320" s="63" t="e">
        <f>VLOOKUP(B320,'115+040'!$B$12:$AB$621,4,FALSE)</f>
        <v>#REF!</v>
      </c>
      <c r="I320" s="60" t="e">
        <f t="shared" si="54"/>
        <v>#REF!</v>
      </c>
      <c r="J320" s="60" t="e">
        <f>VLOOKUP(B320,'115+040'!$B$12:$AB$621,13,FALSE)</f>
        <v>#REF!</v>
      </c>
      <c r="K320" s="58">
        <f>'115+040'!R318</f>
        <v>0</v>
      </c>
      <c r="L320" s="57">
        <f t="shared" si="59"/>
        <v>770</v>
      </c>
      <c r="M320" s="62" t="e">
        <f>VLOOKUP(B320,'115+040'!$B$11:$AB$621,21,FALSE)</f>
        <v>#REF!</v>
      </c>
      <c r="N320" s="61" t="e">
        <f>VLOOKUP(B320,'115+040'!$B$12:$AB$621,5,FALSE)</f>
        <v>#REF!</v>
      </c>
      <c r="O320" s="60" t="e">
        <f t="shared" si="55"/>
        <v>#REF!</v>
      </c>
      <c r="P320" s="60" t="e">
        <f>VLOOKUP(B320,'115+040'!$B$12:$AB$621,14,FALSE)</f>
        <v>#REF!</v>
      </c>
      <c r="Q320" s="58">
        <f>'115+040'!S318</f>
        <v>0</v>
      </c>
      <c r="R320" s="57">
        <f t="shared" si="60"/>
        <v>894</v>
      </c>
      <c r="S320" s="62" t="e">
        <f>VLOOKUP(B320,'115+040'!$B$11:$AB$621,22,FALSE)</f>
        <v>#REF!</v>
      </c>
      <c r="T320" s="61" t="e">
        <f>VLOOKUP(B320,'115+040'!$B$12:$AB$621,6,FALSE)</f>
        <v>#REF!</v>
      </c>
      <c r="U320" s="60" t="e">
        <f t="shared" si="56"/>
        <v>#REF!</v>
      </c>
      <c r="V320" s="59" t="e">
        <f>VLOOKUP(B320,'115+040'!$B$12:$AB$621,15,FALSE)</f>
        <v>#REF!</v>
      </c>
      <c r="W320" s="58">
        <f>'[4]114+940'!S321</f>
        <v>0</v>
      </c>
      <c r="X320" s="57">
        <f t="shared" si="61"/>
        <v>216</v>
      </c>
      <c r="Y320" s="56" t="e">
        <f t="shared" si="62"/>
        <v>#REF!</v>
      </c>
      <c r="Z320" s="55" t="e">
        <f t="shared" si="63"/>
        <v>#REF!</v>
      </c>
      <c r="AA320" s="54" t="e">
        <f t="shared" si="64"/>
        <v>#REF!</v>
      </c>
      <c r="AB320" s="54" t="e">
        <f t="shared" si="65"/>
        <v>#REF!</v>
      </c>
    </row>
    <row r="321" spans="2:28">
      <c r="B321" s="96" t="e">
        <f>'115+040'!#REF!</f>
        <v>#REF!</v>
      </c>
      <c r="C321" s="66" t="e">
        <f t="shared" si="57"/>
        <v>#REF!</v>
      </c>
      <c r="D321" s="65" t="e">
        <f t="shared" si="58"/>
        <v>#REF!</v>
      </c>
      <c r="E321" s="64" t="e">
        <f>VLOOKUP(B321,'115+040'!B319:AB319,3,FALSE)</f>
        <v>#REF!</v>
      </c>
      <c r="F321" s="61" t="e">
        <f t="shared" si="53"/>
        <v>#REF!</v>
      </c>
      <c r="G321" s="63" t="e">
        <f>VLOOKUP(B321,'115+040'!$B$12:$AB$621,20,FALSE)</f>
        <v>#REF!</v>
      </c>
      <c r="H321" s="63" t="e">
        <f>VLOOKUP(B321,'115+040'!$B$12:$AB$621,4,FALSE)</f>
        <v>#REF!</v>
      </c>
      <c r="I321" s="60" t="e">
        <f t="shared" si="54"/>
        <v>#REF!</v>
      </c>
      <c r="J321" s="60" t="e">
        <f>VLOOKUP(B321,'115+040'!$B$12:$AB$621,13,FALSE)</f>
        <v>#REF!</v>
      </c>
      <c r="K321" s="58">
        <f>'115+040'!R319</f>
        <v>0</v>
      </c>
      <c r="L321" s="57">
        <f t="shared" si="59"/>
        <v>770</v>
      </c>
      <c r="M321" s="62" t="e">
        <f>VLOOKUP(B321,'115+040'!$B$11:$AB$621,21,FALSE)</f>
        <v>#REF!</v>
      </c>
      <c r="N321" s="61" t="e">
        <f>VLOOKUP(B321,'115+040'!$B$12:$AB$621,5,FALSE)</f>
        <v>#REF!</v>
      </c>
      <c r="O321" s="60" t="e">
        <f t="shared" si="55"/>
        <v>#REF!</v>
      </c>
      <c r="P321" s="60" t="e">
        <f>VLOOKUP(B321,'115+040'!$B$12:$AB$621,14,FALSE)</f>
        <v>#REF!</v>
      </c>
      <c r="Q321" s="58">
        <f>'115+040'!S319</f>
        <v>0</v>
      </c>
      <c r="R321" s="57">
        <f t="shared" si="60"/>
        <v>894</v>
      </c>
      <c r="S321" s="62" t="e">
        <f>VLOOKUP(B321,'115+040'!$B$11:$AB$621,22,FALSE)</f>
        <v>#REF!</v>
      </c>
      <c r="T321" s="61" t="e">
        <f>VLOOKUP(B321,'115+040'!$B$12:$AB$621,6,FALSE)</f>
        <v>#REF!</v>
      </c>
      <c r="U321" s="60" t="e">
        <f t="shared" si="56"/>
        <v>#REF!</v>
      </c>
      <c r="V321" s="59" t="e">
        <f>VLOOKUP(B321,'115+040'!$B$12:$AB$621,15,FALSE)</f>
        <v>#REF!</v>
      </c>
      <c r="W321" s="58">
        <f>'[4]114+940'!S322</f>
        <v>0</v>
      </c>
      <c r="X321" s="57">
        <f t="shared" si="61"/>
        <v>216</v>
      </c>
      <c r="Y321" s="56" t="e">
        <f t="shared" si="62"/>
        <v>#REF!</v>
      </c>
      <c r="Z321" s="55" t="e">
        <f t="shared" si="63"/>
        <v>#REF!</v>
      </c>
      <c r="AA321" s="54" t="e">
        <f t="shared" si="64"/>
        <v>#REF!</v>
      </c>
      <c r="AB321" s="54" t="e">
        <f t="shared" si="65"/>
        <v>#REF!</v>
      </c>
    </row>
    <row r="322" spans="2:28">
      <c r="B322" s="96" t="e">
        <f>'115+040'!#REF!</f>
        <v>#REF!</v>
      </c>
      <c r="C322" s="66" t="e">
        <f t="shared" si="57"/>
        <v>#REF!</v>
      </c>
      <c r="D322" s="65" t="e">
        <f t="shared" si="58"/>
        <v>#REF!</v>
      </c>
      <c r="E322" s="64" t="e">
        <f>VLOOKUP(B322,'115+040'!B320:AB320,3,FALSE)</f>
        <v>#REF!</v>
      </c>
      <c r="F322" s="61" t="e">
        <f t="shared" si="53"/>
        <v>#REF!</v>
      </c>
      <c r="G322" s="63" t="e">
        <f>VLOOKUP(B322,'115+040'!$B$12:$AB$621,20,FALSE)</f>
        <v>#REF!</v>
      </c>
      <c r="H322" s="63" t="e">
        <f>VLOOKUP(B322,'115+040'!$B$12:$AB$621,4,FALSE)</f>
        <v>#REF!</v>
      </c>
      <c r="I322" s="60" t="e">
        <f t="shared" si="54"/>
        <v>#REF!</v>
      </c>
      <c r="J322" s="60" t="e">
        <f>VLOOKUP(B322,'115+040'!$B$12:$AB$621,13,FALSE)</f>
        <v>#REF!</v>
      </c>
      <c r="K322" s="58">
        <f>'115+040'!R320</f>
        <v>0</v>
      </c>
      <c r="L322" s="57">
        <f t="shared" si="59"/>
        <v>770</v>
      </c>
      <c r="M322" s="62" t="e">
        <f>VLOOKUP(B322,'115+040'!$B$11:$AB$621,21,FALSE)</f>
        <v>#REF!</v>
      </c>
      <c r="N322" s="61" t="e">
        <f>VLOOKUP(B322,'115+040'!$B$12:$AB$621,5,FALSE)</f>
        <v>#REF!</v>
      </c>
      <c r="O322" s="60" t="e">
        <f t="shared" si="55"/>
        <v>#REF!</v>
      </c>
      <c r="P322" s="60" t="e">
        <f>VLOOKUP(B322,'115+040'!$B$12:$AB$621,14,FALSE)</f>
        <v>#REF!</v>
      </c>
      <c r="Q322" s="58">
        <f>'115+040'!S320</f>
        <v>0</v>
      </c>
      <c r="R322" s="57">
        <f t="shared" si="60"/>
        <v>894</v>
      </c>
      <c r="S322" s="62" t="e">
        <f>VLOOKUP(B322,'115+040'!$B$11:$AB$621,22,FALSE)</f>
        <v>#REF!</v>
      </c>
      <c r="T322" s="61" t="e">
        <f>VLOOKUP(B322,'115+040'!$B$12:$AB$621,6,FALSE)</f>
        <v>#REF!</v>
      </c>
      <c r="U322" s="60" t="e">
        <f t="shared" si="56"/>
        <v>#REF!</v>
      </c>
      <c r="V322" s="59" t="e">
        <f>VLOOKUP(B322,'115+040'!$B$12:$AB$621,15,FALSE)</f>
        <v>#REF!</v>
      </c>
      <c r="W322" s="58">
        <f>'[4]114+940'!S323</f>
        <v>0</v>
      </c>
      <c r="X322" s="57">
        <f t="shared" si="61"/>
        <v>216</v>
      </c>
      <c r="Y322" s="56" t="e">
        <f t="shared" si="62"/>
        <v>#REF!</v>
      </c>
      <c r="Z322" s="55" t="e">
        <f t="shared" si="63"/>
        <v>#REF!</v>
      </c>
      <c r="AA322" s="54" t="e">
        <f t="shared" si="64"/>
        <v>#REF!</v>
      </c>
      <c r="AB322" s="54" t="e">
        <f t="shared" si="65"/>
        <v>#REF!</v>
      </c>
    </row>
    <row r="323" spans="2:28">
      <c r="B323" s="96" t="e">
        <f>'115+040'!#REF!</f>
        <v>#REF!</v>
      </c>
      <c r="C323" s="66" t="e">
        <f t="shared" si="57"/>
        <v>#REF!</v>
      </c>
      <c r="D323" s="65" t="e">
        <f t="shared" si="58"/>
        <v>#REF!</v>
      </c>
      <c r="E323" s="64" t="e">
        <f>VLOOKUP(B323,'115+040'!B321:AB321,3,FALSE)</f>
        <v>#REF!</v>
      </c>
      <c r="F323" s="61" t="e">
        <f t="shared" si="53"/>
        <v>#REF!</v>
      </c>
      <c r="G323" s="63" t="e">
        <f>VLOOKUP(B323,'115+040'!$B$12:$AB$621,20,FALSE)</f>
        <v>#REF!</v>
      </c>
      <c r="H323" s="63" t="e">
        <f>VLOOKUP(B323,'115+040'!$B$12:$AB$621,4,FALSE)</f>
        <v>#REF!</v>
      </c>
      <c r="I323" s="60" t="e">
        <f t="shared" si="54"/>
        <v>#REF!</v>
      </c>
      <c r="J323" s="60" t="e">
        <f>VLOOKUP(B323,'115+040'!$B$12:$AB$621,13,FALSE)</f>
        <v>#REF!</v>
      </c>
      <c r="K323" s="58">
        <f>'115+040'!R321</f>
        <v>0</v>
      </c>
      <c r="L323" s="57">
        <f t="shared" si="59"/>
        <v>770</v>
      </c>
      <c r="M323" s="62" t="e">
        <f>VLOOKUP(B323,'115+040'!$B$11:$AB$621,21,FALSE)</f>
        <v>#REF!</v>
      </c>
      <c r="N323" s="61" t="e">
        <f>VLOOKUP(B323,'115+040'!$B$12:$AB$621,5,FALSE)</f>
        <v>#REF!</v>
      </c>
      <c r="O323" s="60" t="e">
        <f t="shared" si="55"/>
        <v>#REF!</v>
      </c>
      <c r="P323" s="60" t="e">
        <f>VLOOKUP(B323,'115+040'!$B$12:$AB$621,14,FALSE)</f>
        <v>#REF!</v>
      </c>
      <c r="Q323" s="58">
        <f>'115+040'!S321</f>
        <v>0</v>
      </c>
      <c r="R323" s="57">
        <f t="shared" si="60"/>
        <v>894</v>
      </c>
      <c r="S323" s="62" t="e">
        <f>VLOOKUP(B323,'115+040'!$B$11:$AB$621,22,FALSE)</f>
        <v>#REF!</v>
      </c>
      <c r="T323" s="61" t="e">
        <f>VLOOKUP(B323,'115+040'!$B$12:$AB$621,6,FALSE)</f>
        <v>#REF!</v>
      </c>
      <c r="U323" s="60" t="e">
        <f t="shared" si="56"/>
        <v>#REF!</v>
      </c>
      <c r="V323" s="59" t="e">
        <f>VLOOKUP(B323,'115+040'!$B$12:$AB$621,15,FALSE)</f>
        <v>#REF!</v>
      </c>
      <c r="W323" s="58">
        <f>'[4]114+940'!S324</f>
        <v>0</v>
      </c>
      <c r="X323" s="57">
        <f t="shared" si="61"/>
        <v>216</v>
      </c>
      <c r="Y323" s="56" t="e">
        <f t="shared" si="62"/>
        <v>#REF!</v>
      </c>
      <c r="Z323" s="55" t="e">
        <f t="shared" si="63"/>
        <v>#REF!</v>
      </c>
      <c r="AA323" s="54" t="e">
        <f t="shared" si="64"/>
        <v>#REF!</v>
      </c>
      <c r="AB323" s="54" t="e">
        <f t="shared" si="65"/>
        <v>#REF!</v>
      </c>
    </row>
    <row r="324" spans="2:28">
      <c r="B324" s="96" t="e">
        <f>'115+040'!#REF!</f>
        <v>#REF!</v>
      </c>
      <c r="C324" s="66" t="e">
        <f t="shared" si="57"/>
        <v>#REF!</v>
      </c>
      <c r="D324" s="65" t="e">
        <f t="shared" si="58"/>
        <v>#REF!</v>
      </c>
      <c r="E324" s="64" t="e">
        <f>VLOOKUP(B324,'115+040'!B322:AB322,3,FALSE)</f>
        <v>#REF!</v>
      </c>
      <c r="F324" s="61" t="e">
        <f t="shared" si="53"/>
        <v>#REF!</v>
      </c>
      <c r="G324" s="63" t="e">
        <f>VLOOKUP(B324,'115+040'!$B$12:$AB$621,20,FALSE)</f>
        <v>#REF!</v>
      </c>
      <c r="H324" s="63" t="e">
        <f>VLOOKUP(B324,'115+040'!$B$12:$AB$621,4,FALSE)</f>
        <v>#REF!</v>
      </c>
      <c r="I324" s="60" t="e">
        <f t="shared" si="54"/>
        <v>#REF!</v>
      </c>
      <c r="J324" s="60" t="e">
        <f>VLOOKUP(B324,'115+040'!$B$12:$AB$621,13,FALSE)</f>
        <v>#REF!</v>
      </c>
      <c r="K324" s="58">
        <f>'115+040'!R322</f>
        <v>0</v>
      </c>
      <c r="L324" s="57">
        <f t="shared" si="59"/>
        <v>770</v>
      </c>
      <c r="M324" s="62" t="e">
        <f>VLOOKUP(B324,'115+040'!$B$11:$AB$621,21,FALSE)</f>
        <v>#REF!</v>
      </c>
      <c r="N324" s="61" t="e">
        <f>VLOOKUP(B324,'115+040'!$B$12:$AB$621,5,FALSE)</f>
        <v>#REF!</v>
      </c>
      <c r="O324" s="60" t="e">
        <f t="shared" si="55"/>
        <v>#REF!</v>
      </c>
      <c r="P324" s="60" t="e">
        <f>VLOOKUP(B324,'115+040'!$B$12:$AB$621,14,FALSE)</f>
        <v>#REF!</v>
      </c>
      <c r="Q324" s="58">
        <f>'115+040'!S322</f>
        <v>0</v>
      </c>
      <c r="R324" s="57">
        <f t="shared" si="60"/>
        <v>894</v>
      </c>
      <c r="S324" s="62" t="e">
        <f>VLOOKUP(B324,'115+040'!$B$11:$AB$621,22,FALSE)</f>
        <v>#REF!</v>
      </c>
      <c r="T324" s="61" t="e">
        <f>VLOOKUP(B324,'115+040'!$B$12:$AB$621,6,FALSE)</f>
        <v>#REF!</v>
      </c>
      <c r="U324" s="60" t="e">
        <f t="shared" si="56"/>
        <v>#REF!</v>
      </c>
      <c r="V324" s="59" t="e">
        <f>VLOOKUP(B324,'115+040'!$B$12:$AB$621,15,FALSE)</f>
        <v>#REF!</v>
      </c>
      <c r="W324" s="58">
        <f>'[4]114+940'!S325</f>
        <v>0</v>
      </c>
      <c r="X324" s="57">
        <f t="shared" si="61"/>
        <v>216</v>
      </c>
      <c r="Y324" s="56" t="e">
        <f t="shared" si="62"/>
        <v>#REF!</v>
      </c>
      <c r="Z324" s="55" t="e">
        <f t="shared" si="63"/>
        <v>#REF!</v>
      </c>
      <c r="AA324" s="54" t="e">
        <f t="shared" si="64"/>
        <v>#REF!</v>
      </c>
      <c r="AB324" s="54" t="e">
        <f t="shared" si="65"/>
        <v>#REF!</v>
      </c>
    </row>
    <row r="325" spans="2:28">
      <c r="B325" s="96" t="e">
        <f>'115+040'!#REF!</f>
        <v>#REF!</v>
      </c>
      <c r="C325" s="66" t="e">
        <f t="shared" si="57"/>
        <v>#REF!</v>
      </c>
      <c r="D325" s="65" t="e">
        <f t="shared" si="58"/>
        <v>#REF!</v>
      </c>
      <c r="E325" s="64" t="e">
        <f>VLOOKUP(B325,'115+040'!B323:AB323,3,FALSE)</f>
        <v>#REF!</v>
      </c>
      <c r="F325" s="61" t="e">
        <f t="shared" si="53"/>
        <v>#REF!</v>
      </c>
      <c r="G325" s="63" t="e">
        <f>VLOOKUP(B325,'115+040'!$B$12:$AB$621,20,FALSE)</f>
        <v>#REF!</v>
      </c>
      <c r="H325" s="63" t="e">
        <f>VLOOKUP(B325,'115+040'!$B$12:$AB$621,4,FALSE)</f>
        <v>#REF!</v>
      </c>
      <c r="I325" s="60" t="e">
        <f t="shared" si="54"/>
        <v>#REF!</v>
      </c>
      <c r="J325" s="60" t="e">
        <f>VLOOKUP(B325,'115+040'!$B$12:$AB$621,13,FALSE)</f>
        <v>#REF!</v>
      </c>
      <c r="K325" s="58">
        <f>'115+040'!R323</f>
        <v>0</v>
      </c>
      <c r="L325" s="57">
        <f t="shared" si="59"/>
        <v>770</v>
      </c>
      <c r="M325" s="62" t="e">
        <f>VLOOKUP(B325,'115+040'!$B$11:$AB$621,21,FALSE)</f>
        <v>#REF!</v>
      </c>
      <c r="N325" s="61" t="e">
        <f>VLOOKUP(B325,'115+040'!$B$12:$AB$621,5,FALSE)</f>
        <v>#REF!</v>
      </c>
      <c r="O325" s="60" t="e">
        <f t="shared" si="55"/>
        <v>#REF!</v>
      </c>
      <c r="P325" s="60" t="e">
        <f>VLOOKUP(B325,'115+040'!$B$12:$AB$621,14,FALSE)</f>
        <v>#REF!</v>
      </c>
      <c r="Q325" s="58">
        <f>'115+040'!S323</f>
        <v>0</v>
      </c>
      <c r="R325" s="57">
        <f t="shared" si="60"/>
        <v>894</v>
      </c>
      <c r="S325" s="62" t="e">
        <f>VLOOKUP(B325,'115+040'!$B$11:$AB$621,22,FALSE)</f>
        <v>#REF!</v>
      </c>
      <c r="T325" s="61" t="e">
        <f>VLOOKUP(B325,'115+040'!$B$12:$AB$621,6,FALSE)</f>
        <v>#REF!</v>
      </c>
      <c r="U325" s="60" t="e">
        <f t="shared" si="56"/>
        <v>#REF!</v>
      </c>
      <c r="V325" s="59" t="e">
        <f>VLOOKUP(B325,'115+040'!$B$12:$AB$621,15,FALSE)</f>
        <v>#REF!</v>
      </c>
      <c r="W325" s="58">
        <f>'[4]114+940'!S326</f>
        <v>0</v>
      </c>
      <c r="X325" s="57">
        <f t="shared" si="61"/>
        <v>216</v>
      </c>
      <c r="Y325" s="56" t="e">
        <f t="shared" si="62"/>
        <v>#REF!</v>
      </c>
      <c r="Z325" s="55" t="e">
        <f t="shared" si="63"/>
        <v>#REF!</v>
      </c>
      <c r="AA325" s="54" t="e">
        <f t="shared" si="64"/>
        <v>#REF!</v>
      </c>
      <c r="AB325" s="54" t="e">
        <f t="shared" si="65"/>
        <v>#REF!</v>
      </c>
    </row>
    <row r="326" spans="2:28">
      <c r="B326" s="96" t="e">
        <f>'115+040'!#REF!</f>
        <v>#REF!</v>
      </c>
      <c r="C326" s="66" t="e">
        <f t="shared" si="57"/>
        <v>#REF!</v>
      </c>
      <c r="D326" s="65" t="e">
        <f t="shared" si="58"/>
        <v>#REF!</v>
      </c>
      <c r="E326" s="64" t="e">
        <f>VLOOKUP(B326,'115+040'!B324:AB324,3,FALSE)</f>
        <v>#REF!</v>
      </c>
      <c r="F326" s="61" t="e">
        <f t="shared" si="53"/>
        <v>#REF!</v>
      </c>
      <c r="G326" s="63" t="e">
        <f>VLOOKUP(B326,'115+040'!$B$12:$AB$621,20,FALSE)</f>
        <v>#REF!</v>
      </c>
      <c r="H326" s="63" t="e">
        <f>VLOOKUP(B326,'115+040'!$B$12:$AB$621,4,FALSE)</f>
        <v>#REF!</v>
      </c>
      <c r="I326" s="60" t="e">
        <f t="shared" si="54"/>
        <v>#REF!</v>
      </c>
      <c r="J326" s="60" t="e">
        <f>VLOOKUP(B326,'115+040'!$B$12:$AB$621,13,FALSE)</f>
        <v>#REF!</v>
      </c>
      <c r="K326" s="58">
        <f>'115+040'!R324</f>
        <v>0</v>
      </c>
      <c r="L326" s="57">
        <f t="shared" si="59"/>
        <v>770</v>
      </c>
      <c r="M326" s="62" t="e">
        <f>VLOOKUP(B326,'115+040'!$B$11:$AB$621,21,FALSE)</f>
        <v>#REF!</v>
      </c>
      <c r="N326" s="61" t="e">
        <f>VLOOKUP(B326,'115+040'!$B$12:$AB$621,5,FALSE)</f>
        <v>#REF!</v>
      </c>
      <c r="O326" s="60" t="e">
        <f t="shared" si="55"/>
        <v>#REF!</v>
      </c>
      <c r="P326" s="60" t="e">
        <f>VLOOKUP(B326,'115+040'!$B$12:$AB$621,14,FALSE)</f>
        <v>#REF!</v>
      </c>
      <c r="Q326" s="58">
        <f>'115+040'!S324</f>
        <v>0</v>
      </c>
      <c r="R326" s="57">
        <f t="shared" si="60"/>
        <v>894</v>
      </c>
      <c r="S326" s="62" t="e">
        <f>VLOOKUP(B326,'115+040'!$B$11:$AB$621,22,FALSE)</f>
        <v>#REF!</v>
      </c>
      <c r="T326" s="61" t="e">
        <f>VLOOKUP(B326,'115+040'!$B$12:$AB$621,6,FALSE)</f>
        <v>#REF!</v>
      </c>
      <c r="U326" s="60" t="e">
        <f t="shared" si="56"/>
        <v>#REF!</v>
      </c>
      <c r="V326" s="59" t="e">
        <f>VLOOKUP(B326,'115+040'!$B$12:$AB$621,15,FALSE)</f>
        <v>#REF!</v>
      </c>
      <c r="W326" s="58">
        <f>'[4]114+940'!S327</f>
        <v>0</v>
      </c>
      <c r="X326" s="57">
        <f t="shared" si="61"/>
        <v>216</v>
      </c>
      <c r="Y326" s="56" t="e">
        <f t="shared" si="62"/>
        <v>#REF!</v>
      </c>
      <c r="Z326" s="55" t="e">
        <f t="shared" si="63"/>
        <v>#REF!</v>
      </c>
      <c r="AA326" s="54" t="e">
        <f t="shared" si="64"/>
        <v>#REF!</v>
      </c>
      <c r="AB326" s="54" t="e">
        <f t="shared" si="65"/>
        <v>#REF!</v>
      </c>
    </row>
    <row r="327" spans="2:28">
      <c r="B327" s="96" t="e">
        <f>'115+040'!#REF!</f>
        <v>#REF!</v>
      </c>
      <c r="C327" s="66" t="e">
        <f t="shared" si="57"/>
        <v>#REF!</v>
      </c>
      <c r="D327" s="65" t="e">
        <f t="shared" si="58"/>
        <v>#REF!</v>
      </c>
      <c r="E327" s="64" t="e">
        <f>VLOOKUP(B327,'115+040'!B325:AB325,3,FALSE)</f>
        <v>#REF!</v>
      </c>
      <c r="F327" s="61" t="e">
        <f t="shared" si="53"/>
        <v>#REF!</v>
      </c>
      <c r="G327" s="63" t="e">
        <f>VLOOKUP(B327,'115+040'!$B$12:$AB$621,20,FALSE)</f>
        <v>#REF!</v>
      </c>
      <c r="H327" s="63" t="e">
        <f>VLOOKUP(B327,'115+040'!$B$12:$AB$621,4,FALSE)</f>
        <v>#REF!</v>
      </c>
      <c r="I327" s="60" t="e">
        <f t="shared" si="54"/>
        <v>#REF!</v>
      </c>
      <c r="J327" s="60" t="e">
        <f>VLOOKUP(B327,'115+040'!$B$12:$AB$621,13,FALSE)</f>
        <v>#REF!</v>
      </c>
      <c r="K327" s="58">
        <f>'115+040'!R325</f>
        <v>0</v>
      </c>
      <c r="L327" s="57">
        <f t="shared" si="59"/>
        <v>770</v>
      </c>
      <c r="M327" s="62" t="e">
        <f>VLOOKUP(B327,'115+040'!$B$11:$AB$621,21,FALSE)</f>
        <v>#REF!</v>
      </c>
      <c r="N327" s="61" t="e">
        <f>VLOOKUP(B327,'115+040'!$B$12:$AB$621,5,FALSE)</f>
        <v>#REF!</v>
      </c>
      <c r="O327" s="60" t="e">
        <f t="shared" si="55"/>
        <v>#REF!</v>
      </c>
      <c r="P327" s="60" t="e">
        <f>VLOOKUP(B327,'115+040'!$B$12:$AB$621,14,FALSE)</f>
        <v>#REF!</v>
      </c>
      <c r="Q327" s="58">
        <f>'115+040'!S325</f>
        <v>0</v>
      </c>
      <c r="R327" s="57">
        <f t="shared" si="60"/>
        <v>894</v>
      </c>
      <c r="S327" s="62" t="e">
        <f>VLOOKUP(B327,'115+040'!$B$11:$AB$621,22,FALSE)</f>
        <v>#REF!</v>
      </c>
      <c r="T327" s="61" t="e">
        <f>VLOOKUP(B327,'115+040'!$B$12:$AB$621,6,FALSE)</f>
        <v>#REF!</v>
      </c>
      <c r="U327" s="60" t="e">
        <f t="shared" si="56"/>
        <v>#REF!</v>
      </c>
      <c r="V327" s="59" t="e">
        <f>VLOOKUP(B327,'115+040'!$B$12:$AB$621,15,FALSE)</f>
        <v>#REF!</v>
      </c>
      <c r="W327" s="58">
        <f>'[4]114+940'!S328</f>
        <v>0</v>
      </c>
      <c r="X327" s="57">
        <f t="shared" si="61"/>
        <v>216</v>
      </c>
      <c r="Y327" s="56" t="e">
        <f t="shared" si="62"/>
        <v>#REF!</v>
      </c>
      <c r="Z327" s="55" t="e">
        <f t="shared" si="63"/>
        <v>#REF!</v>
      </c>
      <c r="AA327" s="54" t="e">
        <f t="shared" si="64"/>
        <v>#REF!</v>
      </c>
      <c r="AB327" s="54" t="e">
        <f t="shared" si="65"/>
        <v>#REF!</v>
      </c>
    </row>
    <row r="328" spans="2:28">
      <c r="B328" s="96" t="e">
        <f>'115+040'!#REF!</f>
        <v>#REF!</v>
      </c>
      <c r="C328" s="66" t="e">
        <f t="shared" si="57"/>
        <v>#REF!</v>
      </c>
      <c r="D328" s="65" t="e">
        <f t="shared" si="58"/>
        <v>#REF!</v>
      </c>
      <c r="E328" s="64" t="e">
        <f>VLOOKUP(B328,'115+040'!B326:AB326,3,FALSE)</f>
        <v>#REF!</v>
      </c>
      <c r="F328" s="61" t="e">
        <f t="shared" si="53"/>
        <v>#REF!</v>
      </c>
      <c r="G328" s="63" t="e">
        <f>VLOOKUP(B328,'115+040'!$B$12:$AB$621,20,FALSE)</f>
        <v>#REF!</v>
      </c>
      <c r="H328" s="63" t="e">
        <f>VLOOKUP(B328,'115+040'!$B$12:$AB$621,4,FALSE)</f>
        <v>#REF!</v>
      </c>
      <c r="I328" s="60" t="e">
        <f t="shared" si="54"/>
        <v>#REF!</v>
      </c>
      <c r="J328" s="60" t="e">
        <f>VLOOKUP(B328,'115+040'!$B$12:$AB$621,13,FALSE)</f>
        <v>#REF!</v>
      </c>
      <c r="K328" s="58">
        <f>'115+040'!R326</f>
        <v>0</v>
      </c>
      <c r="L328" s="57">
        <f t="shared" si="59"/>
        <v>770</v>
      </c>
      <c r="M328" s="62" t="e">
        <f>VLOOKUP(B328,'115+040'!$B$11:$AB$621,21,FALSE)</f>
        <v>#REF!</v>
      </c>
      <c r="N328" s="61" t="e">
        <f>VLOOKUP(B328,'115+040'!$B$12:$AB$621,5,FALSE)</f>
        <v>#REF!</v>
      </c>
      <c r="O328" s="60" t="e">
        <f t="shared" si="55"/>
        <v>#REF!</v>
      </c>
      <c r="P328" s="60" t="e">
        <f>VLOOKUP(B328,'115+040'!$B$12:$AB$621,14,FALSE)</f>
        <v>#REF!</v>
      </c>
      <c r="Q328" s="58">
        <f>'115+040'!S326</f>
        <v>0</v>
      </c>
      <c r="R328" s="57">
        <f t="shared" si="60"/>
        <v>894</v>
      </c>
      <c r="S328" s="62" t="e">
        <f>VLOOKUP(B328,'115+040'!$B$11:$AB$621,22,FALSE)</f>
        <v>#REF!</v>
      </c>
      <c r="T328" s="61" t="e">
        <f>VLOOKUP(B328,'115+040'!$B$12:$AB$621,6,FALSE)</f>
        <v>#REF!</v>
      </c>
      <c r="U328" s="60" t="e">
        <f t="shared" si="56"/>
        <v>#REF!</v>
      </c>
      <c r="V328" s="59" t="e">
        <f>VLOOKUP(B328,'115+040'!$B$12:$AB$621,15,FALSE)</f>
        <v>#REF!</v>
      </c>
      <c r="W328" s="58">
        <f>'[4]114+940'!S329</f>
        <v>0</v>
      </c>
      <c r="X328" s="57">
        <f t="shared" si="61"/>
        <v>216</v>
      </c>
      <c r="Y328" s="56" t="e">
        <f t="shared" si="62"/>
        <v>#REF!</v>
      </c>
      <c r="Z328" s="55" t="e">
        <f t="shared" si="63"/>
        <v>#REF!</v>
      </c>
      <c r="AA328" s="54" t="e">
        <f t="shared" si="64"/>
        <v>#REF!</v>
      </c>
      <c r="AB328" s="54" t="e">
        <f t="shared" si="65"/>
        <v>#REF!</v>
      </c>
    </row>
    <row r="329" spans="2:28">
      <c r="B329" s="96" t="e">
        <f>'115+040'!#REF!</f>
        <v>#REF!</v>
      </c>
      <c r="C329" s="66" t="e">
        <f t="shared" si="57"/>
        <v>#REF!</v>
      </c>
      <c r="D329" s="65" t="e">
        <f t="shared" si="58"/>
        <v>#REF!</v>
      </c>
      <c r="E329" s="64" t="e">
        <f>VLOOKUP(B329,'115+040'!B327:AB327,3,FALSE)</f>
        <v>#REF!</v>
      </c>
      <c r="F329" s="61" t="e">
        <f t="shared" si="53"/>
        <v>#REF!</v>
      </c>
      <c r="G329" s="63" t="e">
        <f>VLOOKUP(B329,'115+040'!$B$12:$AB$621,20,FALSE)</f>
        <v>#REF!</v>
      </c>
      <c r="H329" s="63" t="e">
        <f>VLOOKUP(B329,'115+040'!$B$12:$AB$621,4,FALSE)</f>
        <v>#REF!</v>
      </c>
      <c r="I329" s="60" t="e">
        <f t="shared" si="54"/>
        <v>#REF!</v>
      </c>
      <c r="J329" s="60" t="e">
        <f>VLOOKUP(B329,'115+040'!$B$12:$AB$621,13,FALSE)</f>
        <v>#REF!</v>
      </c>
      <c r="K329" s="58">
        <f>'115+040'!R327</f>
        <v>0</v>
      </c>
      <c r="L329" s="57">
        <f t="shared" si="59"/>
        <v>770</v>
      </c>
      <c r="M329" s="62" t="e">
        <f>VLOOKUP(B329,'115+040'!$B$11:$AB$621,21,FALSE)</f>
        <v>#REF!</v>
      </c>
      <c r="N329" s="61" t="e">
        <f>VLOOKUP(B329,'115+040'!$B$12:$AB$621,5,FALSE)</f>
        <v>#REF!</v>
      </c>
      <c r="O329" s="60" t="e">
        <f t="shared" si="55"/>
        <v>#REF!</v>
      </c>
      <c r="P329" s="60" t="e">
        <f>VLOOKUP(B329,'115+040'!$B$12:$AB$621,14,FALSE)</f>
        <v>#REF!</v>
      </c>
      <c r="Q329" s="58">
        <f>'115+040'!S327</f>
        <v>0</v>
      </c>
      <c r="R329" s="57">
        <f t="shared" si="60"/>
        <v>894</v>
      </c>
      <c r="S329" s="62" t="e">
        <f>VLOOKUP(B329,'115+040'!$B$11:$AB$621,22,FALSE)</f>
        <v>#REF!</v>
      </c>
      <c r="T329" s="61" t="e">
        <f>VLOOKUP(B329,'115+040'!$B$12:$AB$621,6,FALSE)</f>
        <v>#REF!</v>
      </c>
      <c r="U329" s="60" t="e">
        <f t="shared" si="56"/>
        <v>#REF!</v>
      </c>
      <c r="V329" s="59" t="e">
        <f>VLOOKUP(B329,'115+040'!$B$12:$AB$621,15,FALSE)</f>
        <v>#REF!</v>
      </c>
      <c r="W329" s="58">
        <f>'[4]114+940'!S330</f>
        <v>0</v>
      </c>
      <c r="X329" s="57">
        <f t="shared" si="61"/>
        <v>216</v>
      </c>
      <c r="Y329" s="56" t="e">
        <f t="shared" si="62"/>
        <v>#REF!</v>
      </c>
      <c r="Z329" s="55" t="e">
        <f t="shared" si="63"/>
        <v>#REF!</v>
      </c>
      <c r="AA329" s="54" t="e">
        <f t="shared" si="64"/>
        <v>#REF!</v>
      </c>
      <c r="AB329" s="54" t="e">
        <f t="shared" si="65"/>
        <v>#REF!</v>
      </c>
    </row>
    <row r="330" spans="2:28">
      <c r="B330" s="96" t="e">
        <f>'115+040'!#REF!</f>
        <v>#REF!</v>
      </c>
      <c r="C330" s="66" t="e">
        <f t="shared" si="57"/>
        <v>#REF!</v>
      </c>
      <c r="D330" s="65" t="e">
        <f t="shared" si="58"/>
        <v>#REF!</v>
      </c>
      <c r="E330" s="64" t="e">
        <f>VLOOKUP(B330,'115+040'!B328:AB328,3,FALSE)</f>
        <v>#REF!</v>
      </c>
      <c r="F330" s="61" t="e">
        <f t="shared" si="53"/>
        <v>#REF!</v>
      </c>
      <c r="G330" s="63" t="e">
        <f>VLOOKUP(B330,'115+040'!$B$12:$AB$621,20,FALSE)</f>
        <v>#REF!</v>
      </c>
      <c r="H330" s="63" t="e">
        <f>VLOOKUP(B330,'115+040'!$B$12:$AB$621,4,FALSE)</f>
        <v>#REF!</v>
      </c>
      <c r="I330" s="60" t="e">
        <f t="shared" si="54"/>
        <v>#REF!</v>
      </c>
      <c r="J330" s="60" t="e">
        <f>VLOOKUP(B330,'115+040'!$B$12:$AB$621,13,FALSE)</f>
        <v>#REF!</v>
      </c>
      <c r="K330" s="58">
        <f>'115+040'!R328</f>
        <v>0</v>
      </c>
      <c r="L330" s="57">
        <f t="shared" si="59"/>
        <v>770</v>
      </c>
      <c r="M330" s="62" t="e">
        <f>VLOOKUP(B330,'115+040'!$B$11:$AB$621,21,FALSE)</f>
        <v>#REF!</v>
      </c>
      <c r="N330" s="61" t="e">
        <f>VLOOKUP(B330,'115+040'!$B$12:$AB$621,5,FALSE)</f>
        <v>#REF!</v>
      </c>
      <c r="O330" s="60" t="e">
        <f t="shared" si="55"/>
        <v>#REF!</v>
      </c>
      <c r="P330" s="60" t="e">
        <f>VLOOKUP(B330,'115+040'!$B$12:$AB$621,14,FALSE)</f>
        <v>#REF!</v>
      </c>
      <c r="Q330" s="58">
        <f>'115+040'!S328</f>
        <v>0</v>
      </c>
      <c r="R330" s="57">
        <f t="shared" si="60"/>
        <v>894</v>
      </c>
      <c r="S330" s="62" t="e">
        <f>VLOOKUP(B330,'115+040'!$B$11:$AB$621,22,FALSE)</f>
        <v>#REF!</v>
      </c>
      <c r="T330" s="61" t="e">
        <f>VLOOKUP(B330,'115+040'!$B$12:$AB$621,6,FALSE)</f>
        <v>#REF!</v>
      </c>
      <c r="U330" s="60" t="e">
        <f t="shared" si="56"/>
        <v>#REF!</v>
      </c>
      <c r="V330" s="59" t="e">
        <f>VLOOKUP(B330,'115+040'!$B$12:$AB$621,15,FALSE)</f>
        <v>#REF!</v>
      </c>
      <c r="W330" s="58">
        <f>'[4]114+940'!S331</f>
        <v>0</v>
      </c>
      <c r="X330" s="57">
        <f t="shared" si="61"/>
        <v>216</v>
      </c>
      <c r="Y330" s="56" t="e">
        <f t="shared" si="62"/>
        <v>#REF!</v>
      </c>
      <c r="Z330" s="55" t="e">
        <f t="shared" si="63"/>
        <v>#REF!</v>
      </c>
      <c r="AA330" s="54" t="e">
        <f t="shared" si="64"/>
        <v>#REF!</v>
      </c>
      <c r="AB330" s="54" t="e">
        <f t="shared" si="65"/>
        <v>#REF!</v>
      </c>
    </row>
    <row r="331" spans="2:28">
      <c r="B331" s="96" t="e">
        <f>'115+040'!#REF!</f>
        <v>#REF!</v>
      </c>
      <c r="C331" s="66" t="e">
        <f t="shared" si="57"/>
        <v>#REF!</v>
      </c>
      <c r="D331" s="65" t="e">
        <f t="shared" si="58"/>
        <v>#REF!</v>
      </c>
      <c r="E331" s="64" t="e">
        <f>VLOOKUP(B331,'115+040'!B329:AB329,3,FALSE)</f>
        <v>#REF!</v>
      </c>
      <c r="F331" s="61" t="e">
        <f t="shared" si="53"/>
        <v>#REF!</v>
      </c>
      <c r="G331" s="63" t="e">
        <f>VLOOKUP(B331,'115+040'!$B$12:$AB$621,20,FALSE)</f>
        <v>#REF!</v>
      </c>
      <c r="H331" s="63" t="e">
        <f>VLOOKUP(B331,'115+040'!$B$12:$AB$621,4,FALSE)</f>
        <v>#REF!</v>
      </c>
      <c r="I331" s="60" t="e">
        <f t="shared" si="54"/>
        <v>#REF!</v>
      </c>
      <c r="J331" s="60" t="e">
        <f>VLOOKUP(B331,'115+040'!$B$12:$AB$621,13,FALSE)</f>
        <v>#REF!</v>
      </c>
      <c r="K331" s="58">
        <f>'115+040'!R329</f>
        <v>0</v>
      </c>
      <c r="L331" s="57">
        <f t="shared" si="59"/>
        <v>770</v>
      </c>
      <c r="M331" s="62" t="e">
        <f>VLOOKUP(B331,'115+040'!$B$11:$AB$621,21,FALSE)</f>
        <v>#REF!</v>
      </c>
      <c r="N331" s="61" t="e">
        <f>VLOOKUP(B331,'115+040'!$B$12:$AB$621,5,FALSE)</f>
        <v>#REF!</v>
      </c>
      <c r="O331" s="60" t="e">
        <f t="shared" si="55"/>
        <v>#REF!</v>
      </c>
      <c r="P331" s="60" t="e">
        <f>VLOOKUP(B331,'115+040'!$B$12:$AB$621,14,FALSE)</f>
        <v>#REF!</v>
      </c>
      <c r="Q331" s="58">
        <f>'115+040'!S329</f>
        <v>0</v>
      </c>
      <c r="R331" s="57">
        <f t="shared" si="60"/>
        <v>894</v>
      </c>
      <c r="S331" s="62" t="e">
        <f>VLOOKUP(B331,'115+040'!$B$11:$AB$621,22,FALSE)</f>
        <v>#REF!</v>
      </c>
      <c r="T331" s="61" t="e">
        <f>VLOOKUP(B331,'115+040'!$B$12:$AB$621,6,FALSE)</f>
        <v>#REF!</v>
      </c>
      <c r="U331" s="60" t="e">
        <f t="shared" si="56"/>
        <v>#REF!</v>
      </c>
      <c r="V331" s="59" t="e">
        <f>VLOOKUP(B331,'115+040'!$B$12:$AB$621,15,FALSE)</f>
        <v>#REF!</v>
      </c>
      <c r="W331" s="58">
        <f>'[4]114+940'!S332</f>
        <v>0</v>
      </c>
      <c r="X331" s="57">
        <f t="shared" si="61"/>
        <v>216</v>
      </c>
      <c r="Y331" s="56" t="e">
        <f t="shared" si="62"/>
        <v>#REF!</v>
      </c>
      <c r="Z331" s="55" t="e">
        <f t="shared" si="63"/>
        <v>#REF!</v>
      </c>
      <c r="AA331" s="54" t="e">
        <f t="shared" si="64"/>
        <v>#REF!</v>
      </c>
      <c r="AB331" s="54" t="e">
        <f t="shared" si="65"/>
        <v>#REF!</v>
      </c>
    </row>
    <row r="332" spans="2:28">
      <c r="B332" s="96" t="e">
        <f>'115+040'!#REF!</f>
        <v>#REF!</v>
      </c>
      <c r="C332" s="66" t="e">
        <f t="shared" si="57"/>
        <v>#REF!</v>
      </c>
      <c r="D332" s="65" t="e">
        <f t="shared" si="58"/>
        <v>#REF!</v>
      </c>
      <c r="E332" s="64" t="e">
        <f>VLOOKUP(B332,'115+040'!B330:AB330,3,FALSE)</f>
        <v>#REF!</v>
      </c>
      <c r="F332" s="61" t="e">
        <f t="shared" si="53"/>
        <v>#REF!</v>
      </c>
      <c r="G332" s="63" t="e">
        <f>VLOOKUP(B332,'115+040'!$B$12:$AB$621,20,FALSE)</f>
        <v>#REF!</v>
      </c>
      <c r="H332" s="63" t="e">
        <f>VLOOKUP(B332,'115+040'!$B$12:$AB$621,4,FALSE)</f>
        <v>#REF!</v>
      </c>
      <c r="I332" s="60" t="e">
        <f t="shared" si="54"/>
        <v>#REF!</v>
      </c>
      <c r="J332" s="60" t="e">
        <f>VLOOKUP(B332,'115+040'!$B$12:$AB$621,13,FALSE)</f>
        <v>#REF!</v>
      </c>
      <c r="K332" s="58">
        <f>'115+040'!R330</f>
        <v>0</v>
      </c>
      <c r="L332" s="57">
        <f t="shared" si="59"/>
        <v>770</v>
      </c>
      <c r="M332" s="62" t="e">
        <f>VLOOKUP(B332,'115+040'!$B$11:$AB$621,21,FALSE)</f>
        <v>#REF!</v>
      </c>
      <c r="N332" s="61" t="e">
        <f>VLOOKUP(B332,'115+040'!$B$12:$AB$621,5,FALSE)</f>
        <v>#REF!</v>
      </c>
      <c r="O332" s="60" t="e">
        <f t="shared" si="55"/>
        <v>#REF!</v>
      </c>
      <c r="P332" s="60" t="e">
        <f>VLOOKUP(B332,'115+040'!$B$12:$AB$621,14,FALSE)</f>
        <v>#REF!</v>
      </c>
      <c r="Q332" s="58">
        <f>'115+040'!S330</f>
        <v>0</v>
      </c>
      <c r="R332" s="57">
        <f t="shared" si="60"/>
        <v>894</v>
      </c>
      <c r="S332" s="62" t="e">
        <f>VLOOKUP(B332,'115+040'!$B$11:$AB$621,22,FALSE)</f>
        <v>#REF!</v>
      </c>
      <c r="T332" s="61" t="e">
        <f>VLOOKUP(B332,'115+040'!$B$12:$AB$621,6,FALSE)</f>
        <v>#REF!</v>
      </c>
      <c r="U332" s="60" t="e">
        <f t="shared" si="56"/>
        <v>#REF!</v>
      </c>
      <c r="V332" s="59" t="e">
        <f>VLOOKUP(B332,'115+040'!$B$12:$AB$621,15,FALSE)</f>
        <v>#REF!</v>
      </c>
      <c r="W332" s="58">
        <f>'[4]114+940'!S333</f>
        <v>0</v>
      </c>
      <c r="X332" s="57">
        <f t="shared" si="61"/>
        <v>216</v>
      </c>
      <c r="Y332" s="56" t="e">
        <f t="shared" si="62"/>
        <v>#REF!</v>
      </c>
      <c r="Z332" s="55" t="e">
        <f t="shared" si="63"/>
        <v>#REF!</v>
      </c>
      <c r="AA332" s="54" t="e">
        <f t="shared" si="64"/>
        <v>#REF!</v>
      </c>
      <c r="AB332" s="54" t="e">
        <f t="shared" si="65"/>
        <v>#REF!</v>
      </c>
    </row>
    <row r="333" spans="2:28">
      <c r="B333" s="96" t="e">
        <f>'115+040'!#REF!</f>
        <v>#REF!</v>
      </c>
      <c r="C333" s="66" t="e">
        <f t="shared" si="57"/>
        <v>#REF!</v>
      </c>
      <c r="D333" s="65" t="e">
        <f t="shared" si="58"/>
        <v>#REF!</v>
      </c>
      <c r="E333" s="64" t="e">
        <f>VLOOKUP(B333,'115+040'!B331:AB331,3,FALSE)</f>
        <v>#REF!</v>
      </c>
      <c r="F333" s="61" t="e">
        <f t="shared" ref="F333:F396" si="66">D333+E333</f>
        <v>#REF!</v>
      </c>
      <c r="G333" s="63" t="e">
        <f>VLOOKUP(B333,'115+040'!$B$12:$AB$621,20,FALSE)</f>
        <v>#REF!</v>
      </c>
      <c r="H333" s="63" t="e">
        <f>VLOOKUP(B333,'115+040'!$B$12:$AB$621,4,FALSE)</f>
        <v>#REF!</v>
      </c>
      <c r="I333" s="60" t="e">
        <f t="shared" ref="I333:I396" si="67">F333-H333</f>
        <v>#REF!</v>
      </c>
      <c r="J333" s="60" t="e">
        <f>VLOOKUP(B333,'115+040'!$B$12:$AB$621,13,FALSE)</f>
        <v>#REF!</v>
      </c>
      <c r="K333" s="58">
        <f>'115+040'!R331</f>
        <v>0</v>
      </c>
      <c r="L333" s="57">
        <f t="shared" si="59"/>
        <v>770</v>
      </c>
      <c r="M333" s="62" t="e">
        <f>VLOOKUP(B333,'115+040'!$B$11:$AB$621,21,FALSE)</f>
        <v>#REF!</v>
      </c>
      <c r="N333" s="61" t="e">
        <f>VLOOKUP(B333,'115+040'!$B$12:$AB$621,5,FALSE)</f>
        <v>#REF!</v>
      </c>
      <c r="O333" s="60" t="e">
        <f t="shared" ref="O333:O396" si="68">F333-N333</f>
        <v>#REF!</v>
      </c>
      <c r="P333" s="60" t="e">
        <f>VLOOKUP(B333,'115+040'!$B$12:$AB$621,14,FALSE)</f>
        <v>#REF!</v>
      </c>
      <c r="Q333" s="58">
        <f>'115+040'!S331</f>
        <v>0</v>
      </c>
      <c r="R333" s="57">
        <f t="shared" si="60"/>
        <v>894</v>
      </c>
      <c r="S333" s="62" t="e">
        <f>VLOOKUP(B333,'115+040'!$B$11:$AB$621,22,FALSE)</f>
        <v>#REF!</v>
      </c>
      <c r="T333" s="61" t="e">
        <f>VLOOKUP(B333,'115+040'!$B$12:$AB$621,6,FALSE)</f>
        <v>#REF!</v>
      </c>
      <c r="U333" s="60" t="e">
        <f t="shared" ref="U333:U396" si="69">F333-T333</f>
        <v>#REF!</v>
      </c>
      <c r="V333" s="59" t="e">
        <f>VLOOKUP(B333,'115+040'!$B$12:$AB$621,15,FALSE)</f>
        <v>#REF!</v>
      </c>
      <c r="W333" s="58">
        <f>'[4]114+940'!S334</f>
        <v>0</v>
      </c>
      <c r="X333" s="57">
        <f t="shared" si="61"/>
        <v>216</v>
      </c>
      <c r="Y333" s="56" t="e">
        <f t="shared" si="62"/>
        <v>#REF!</v>
      </c>
      <c r="Z333" s="55" t="e">
        <f t="shared" si="63"/>
        <v>#REF!</v>
      </c>
      <c r="AA333" s="54" t="e">
        <f t="shared" si="64"/>
        <v>#REF!</v>
      </c>
      <c r="AB333" s="54" t="e">
        <f t="shared" si="65"/>
        <v>#REF!</v>
      </c>
    </row>
    <row r="334" spans="2:28">
      <c r="B334" s="96" t="e">
        <f>'115+040'!#REF!</f>
        <v>#REF!</v>
      </c>
      <c r="C334" s="66" t="e">
        <f t="shared" ref="C334:C397" si="70">B334-B333</f>
        <v>#REF!</v>
      </c>
      <c r="D334" s="65" t="e">
        <f t="shared" ref="D334:D397" si="71">D333</f>
        <v>#REF!</v>
      </c>
      <c r="E334" s="64" t="e">
        <f>VLOOKUP(B334,'115+040'!B332:AB332,3,FALSE)</f>
        <v>#REF!</v>
      </c>
      <c r="F334" s="61" t="e">
        <f t="shared" si="66"/>
        <v>#REF!</v>
      </c>
      <c r="G334" s="63" t="e">
        <f>VLOOKUP(B334,'115+040'!$B$12:$AB$621,20,FALSE)</f>
        <v>#REF!</v>
      </c>
      <c r="H334" s="63" t="e">
        <f>VLOOKUP(B334,'115+040'!$B$12:$AB$621,4,FALSE)</f>
        <v>#REF!</v>
      </c>
      <c r="I334" s="60" t="e">
        <f t="shared" si="67"/>
        <v>#REF!</v>
      </c>
      <c r="J334" s="60" t="e">
        <f>VLOOKUP(B334,'115+040'!$B$12:$AB$621,13,FALSE)</f>
        <v>#REF!</v>
      </c>
      <c r="K334" s="58">
        <f>'115+040'!R332</f>
        <v>0</v>
      </c>
      <c r="L334" s="57">
        <f t="shared" ref="L334:L397" si="72">+K334+L333</f>
        <v>770</v>
      </c>
      <c r="M334" s="62" t="e">
        <f>VLOOKUP(B334,'115+040'!$B$11:$AB$621,21,FALSE)</f>
        <v>#REF!</v>
      </c>
      <c r="N334" s="61" t="e">
        <f>VLOOKUP(B334,'115+040'!$B$12:$AB$621,5,FALSE)</f>
        <v>#REF!</v>
      </c>
      <c r="O334" s="60" t="e">
        <f t="shared" si="68"/>
        <v>#REF!</v>
      </c>
      <c r="P334" s="60" t="e">
        <f>VLOOKUP(B334,'115+040'!$B$12:$AB$621,14,FALSE)</f>
        <v>#REF!</v>
      </c>
      <c r="Q334" s="58">
        <f>'115+040'!S332</f>
        <v>0</v>
      </c>
      <c r="R334" s="57">
        <f t="shared" ref="R334:R397" si="73">+Q334+R333</f>
        <v>894</v>
      </c>
      <c r="S334" s="62" t="e">
        <f>VLOOKUP(B334,'115+040'!$B$11:$AB$621,22,FALSE)</f>
        <v>#REF!</v>
      </c>
      <c r="T334" s="61" t="e">
        <f>VLOOKUP(B334,'115+040'!$B$12:$AB$621,6,FALSE)</f>
        <v>#REF!</v>
      </c>
      <c r="U334" s="60" t="e">
        <f t="shared" si="69"/>
        <v>#REF!</v>
      </c>
      <c r="V334" s="59" t="e">
        <f>VLOOKUP(B334,'115+040'!$B$12:$AB$621,15,FALSE)</f>
        <v>#REF!</v>
      </c>
      <c r="W334" s="58">
        <f>'[4]114+940'!S335</f>
        <v>0</v>
      </c>
      <c r="X334" s="57">
        <f t="shared" ref="X334:X397" si="74">+W334+X333</f>
        <v>216</v>
      </c>
      <c r="Y334" s="56" t="e">
        <f t="shared" ref="Y334:Y397" si="75">S334-S333</f>
        <v>#REF!</v>
      </c>
      <c r="Z334" s="55" t="e">
        <f t="shared" ref="Z334:Z397" si="76">IF(Y334&gt;0,Y334,0)/1000</f>
        <v>#REF!</v>
      </c>
      <c r="AA334" s="54" t="e">
        <f t="shared" ref="AA334:AA397" si="77">AA333+Z334</f>
        <v>#REF!</v>
      </c>
      <c r="AB334" s="54" t="e">
        <f t="shared" ref="AB334:AB397" si="78">(M334-$M$13-R334)/1000</f>
        <v>#REF!</v>
      </c>
    </row>
    <row r="335" spans="2:28">
      <c r="B335" s="96" t="e">
        <f>'115+040'!#REF!</f>
        <v>#REF!</v>
      </c>
      <c r="C335" s="66" t="e">
        <f t="shared" si="70"/>
        <v>#REF!</v>
      </c>
      <c r="D335" s="65" t="e">
        <f t="shared" si="71"/>
        <v>#REF!</v>
      </c>
      <c r="E335" s="64" t="e">
        <f>VLOOKUP(B335,'115+040'!B333:AB333,3,FALSE)</f>
        <v>#REF!</v>
      </c>
      <c r="F335" s="61" t="e">
        <f t="shared" si="66"/>
        <v>#REF!</v>
      </c>
      <c r="G335" s="63" t="e">
        <f>VLOOKUP(B335,'115+040'!$B$12:$AB$621,20,FALSE)</f>
        <v>#REF!</v>
      </c>
      <c r="H335" s="63" t="e">
        <f>VLOOKUP(B335,'115+040'!$B$12:$AB$621,4,FALSE)</f>
        <v>#REF!</v>
      </c>
      <c r="I335" s="60" t="e">
        <f t="shared" si="67"/>
        <v>#REF!</v>
      </c>
      <c r="J335" s="60" t="e">
        <f>VLOOKUP(B335,'115+040'!$B$12:$AB$621,13,FALSE)</f>
        <v>#REF!</v>
      </c>
      <c r="K335" s="58">
        <f>'115+040'!R333</f>
        <v>0</v>
      </c>
      <c r="L335" s="57">
        <f t="shared" si="72"/>
        <v>770</v>
      </c>
      <c r="M335" s="62" t="e">
        <f>VLOOKUP(B335,'115+040'!$B$11:$AB$621,21,FALSE)</f>
        <v>#REF!</v>
      </c>
      <c r="N335" s="61" t="e">
        <f>VLOOKUP(B335,'115+040'!$B$12:$AB$621,5,FALSE)</f>
        <v>#REF!</v>
      </c>
      <c r="O335" s="60" t="e">
        <f t="shared" si="68"/>
        <v>#REF!</v>
      </c>
      <c r="P335" s="60" t="e">
        <f>VLOOKUP(B335,'115+040'!$B$12:$AB$621,14,FALSE)</f>
        <v>#REF!</v>
      </c>
      <c r="Q335" s="58">
        <f>'115+040'!S333</f>
        <v>0</v>
      </c>
      <c r="R335" s="57">
        <f t="shared" si="73"/>
        <v>894</v>
      </c>
      <c r="S335" s="62" t="e">
        <f>VLOOKUP(B335,'115+040'!$B$11:$AB$621,22,FALSE)</f>
        <v>#REF!</v>
      </c>
      <c r="T335" s="61" t="e">
        <f>VLOOKUP(B335,'115+040'!$B$12:$AB$621,6,FALSE)</f>
        <v>#REF!</v>
      </c>
      <c r="U335" s="60" t="e">
        <f t="shared" si="69"/>
        <v>#REF!</v>
      </c>
      <c r="V335" s="59" t="e">
        <f>VLOOKUP(B335,'115+040'!$B$12:$AB$621,15,FALSE)</f>
        <v>#REF!</v>
      </c>
      <c r="W335" s="58">
        <f>'[4]114+940'!S336</f>
        <v>0</v>
      </c>
      <c r="X335" s="57">
        <f t="shared" si="74"/>
        <v>216</v>
      </c>
      <c r="Y335" s="56" t="e">
        <f t="shared" si="75"/>
        <v>#REF!</v>
      </c>
      <c r="Z335" s="55" t="e">
        <f t="shared" si="76"/>
        <v>#REF!</v>
      </c>
      <c r="AA335" s="54" t="e">
        <f t="shared" si="77"/>
        <v>#REF!</v>
      </c>
      <c r="AB335" s="54" t="e">
        <f t="shared" si="78"/>
        <v>#REF!</v>
      </c>
    </row>
    <row r="336" spans="2:28">
      <c r="B336" s="96" t="e">
        <f>'115+040'!#REF!</f>
        <v>#REF!</v>
      </c>
      <c r="C336" s="66" t="e">
        <f t="shared" si="70"/>
        <v>#REF!</v>
      </c>
      <c r="D336" s="65" t="e">
        <f t="shared" si="71"/>
        <v>#REF!</v>
      </c>
      <c r="E336" s="64" t="e">
        <f>VLOOKUP(B336,'115+040'!B334:AB334,3,FALSE)</f>
        <v>#REF!</v>
      </c>
      <c r="F336" s="61" t="e">
        <f t="shared" si="66"/>
        <v>#REF!</v>
      </c>
      <c r="G336" s="63" t="e">
        <f>VLOOKUP(B336,'115+040'!$B$12:$AB$621,20,FALSE)</f>
        <v>#REF!</v>
      </c>
      <c r="H336" s="63" t="e">
        <f>VLOOKUP(B336,'115+040'!$B$12:$AB$621,4,FALSE)</f>
        <v>#REF!</v>
      </c>
      <c r="I336" s="60" t="e">
        <f t="shared" si="67"/>
        <v>#REF!</v>
      </c>
      <c r="J336" s="60" t="e">
        <f>VLOOKUP(B336,'115+040'!$B$12:$AB$621,13,FALSE)</f>
        <v>#REF!</v>
      </c>
      <c r="K336" s="58">
        <f>'115+040'!R334</f>
        <v>0</v>
      </c>
      <c r="L336" s="57">
        <f t="shared" si="72"/>
        <v>770</v>
      </c>
      <c r="M336" s="62" t="e">
        <f>VLOOKUP(B336,'115+040'!$B$11:$AB$621,21,FALSE)</f>
        <v>#REF!</v>
      </c>
      <c r="N336" s="61" t="e">
        <f>VLOOKUP(B336,'115+040'!$B$12:$AB$621,5,FALSE)</f>
        <v>#REF!</v>
      </c>
      <c r="O336" s="60" t="e">
        <f t="shared" si="68"/>
        <v>#REF!</v>
      </c>
      <c r="P336" s="60" t="e">
        <f>VLOOKUP(B336,'115+040'!$B$12:$AB$621,14,FALSE)</f>
        <v>#REF!</v>
      </c>
      <c r="Q336" s="58">
        <f>'115+040'!S334</f>
        <v>0</v>
      </c>
      <c r="R336" s="57">
        <f t="shared" si="73"/>
        <v>894</v>
      </c>
      <c r="S336" s="62" t="e">
        <f>VLOOKUP(B336,'115+040'!$B$11:$AB$621,22,FALSE)</f>
        <v>#REF!</v>
      </c>
      <c r="T336" s="61" t="e">
        <f>VLOOKUP(B336,'115+040'!$B$12:$AB$621,6,FALSE)</f>
        <v>#REF!</v>
      </c>
      <c r="U336" s="60" t="e">
        <f t="shared" si="69"/>
        <v>#REF!</v>
      </c>
      <c r="V336" s="59" t="e">
        <f>VLOOKUP(B336,'115+040'!$B$12:$AB$621,15,FALSE)</f>
        <v>#REF!</v>
      </c>
      <c r="W336" s="58">
        <f>'[4]114+940'!S337</f>
        <v>0</v>
      </c>
      <c r="X336" s="57">
        <f t="shared" si="74"/>
        <v>216</v>
      </c>
      <c r="Y336" s="56" t="e">
        <f t="shared" si="75"/>
        <v>#REF!</v>
      </c>
      <c r="Z336" s="55" t="e">
        <f t="shared" si="76"/>
        <v>#REF!</v>
      </c>
      <c r="AA336" s="54" t="e">
        <f t="shared" si="77"/>
        <v>#REF!</v>
      </c>
      <c r="AB336" s="54" t="e">
        <f t="shared" si="78"/>
        <v>#REF!</v>
      </c>
    </row>
    <row r="337" spans="2:28">
      <c r="B337" s="96" t="e">
        <f>'115+040'!#REF!</f>
        <v>#REF!</v>
      </c>
      <c r="C337" s="66" t="e">
        <f t="shared" si="70"/>
        <v>#REF!</v>
      </c>
      <c r="D337" s="65" t="e">
        <f t="shared" si="71"/>
        <v>#REF!</v>
      </c>
      <c r="E337" s="64" t="e">
        <f>VLOOKUP(B337,'115+040'!B335:AB335,3,FALSE)</f>
        <v>#REF!</v>
      </c>
      <c r="F337" s="61" t="e">
        <f t="shared" si="66"/>
        <v>#REF!</v>
      </c>
      <c r="G337" s="63" t="e">
        <f>VLOOKUP(B337,'115+040'!$B$12:$AB$621,20,FALSE)</f>
        <v>#REF!</v>
      </c>
      <c r="H337" s="63" t="e">
        <f>VLOOKUP(B337,'115+040'!$B$12:$AB$621,4,FALSE)</f>
        <v>#REF!</v>
      </c>
      <c r="I337" s="60" t="e">
        <f t="shared" si="67"/>
        <v>#REF!</v>
      </c>
      <c r="J337" s="60" t="e">
        <f>VLOOKUP(B337,'115+040'!$B$12:$AB$621,13,FALSE)</f>
        <v>#REF!</v>
      </c>
      <c r="K337" s="58">
        <f>'115+040'!R335</f>
        <v>0</v>
      </c>
      <c r="L337" s="57">
        <f t="shared" si="72"/>
        <v>770</v>
      </c>
      <c r="M337" s="62" t="e">
        <f>VLOOKUP(B337,'115+040'!$B$11:$AB$621,21,FALSE)</f>
        <v>#REF!</v>
      </c>
      <c r="N337" s="61" t="e">
        <f>VLOOKUP(B337,'115+040'!$B$12:$AB$621,5,FALSE)</f>
        <v>#REF!</v>
      </c>
      <c r="O337" s="60" t="e">
        <f t="shared" si="68"/>
        <v>#REF!</v>
      </c>
      <c r="P337" s="60" t="e">
        <f>VLOOKUP(B337,'115+040'!$B$12:$AB$621,14,FALSE)</f>
        <v>#REF!</v>
      </c>
      <c r="Q337" s="58">
        <f>'115+040'!S335</f>
        <v>0</v>
      </c>
      <c r="R337" s="57">
        <f t="shared" si="73"/>
        <v>894</v>
      </c>
      <c r="S337" s="62" t="e">
        <f>VLOOKUP(B337,'115+040'!$B$11:$AB$621,22,FALSE)</f>
        <v>#REF!</v>
      </c>
      <c r="T337" s="61" t="e">
        <f>VLOOKUP(B337,'115+040'!$B$12:$AB$621,6,FALSE)</f>
        <v>#REF!</v>
      </c>
      <c r="U337" s="60" t="e">
        <f t="shared" si="69"/>
        <v>#REF!</v>
      </c>
      <c r="V337" s="59" t="e">
        <f>VLOOKUP(B337,'115+040'!$B$12:$AB$621,15,FALSE)</f>
        <v>#REF!</v>
      </c>
      <c r="W337" s="58">
        <f>'[4]114+940'!S338</f>
        <v>0</v>
      </c>
      <c r="X337" s="57">
        <f t="shared" si="74"/>
        <v>216</v>
      </c>
      <c r="Y337" s="56" t="e">
        <f t="shared" si="75"/>
        <v>#REF!</v>
      </c>
      <c r="Z337" s="55" t="e">
        <f t="shared" si="76"/>
        <v>#REF!</v>
      </c>
      <c r="AA337" s="54" t="e">
        <f t="shared" si="77"/>
        <v>#REF!</v>
      </c>
      <c r="AB337" s="54" t="e">
        <f t="shared" si="78"/>
        <v>#REF!</v>
      </c>
    </row>
    <row r="338" spans="2:28">
      <c r="B338" s="96" t="e">
        <f>'115+040'!#REF!</f>
        <v>#REF!</v>
      </c>
      <c r="C338" s="66" t="e">
        <f t="shared" si="70"/>
        <v>#REF!</v>
      </c>
      <c r="D338" s="65" t="e">
        <f t="shared" si="71"/>
        <v>#REF!</v>
      </c>
      <c r="E338" s="64" t="e">
        <f>VLOOKUP(B338,'115+040'!B336:AB336,3,FALSE)</f>
        <v>#REF!</v>
      </c>
      <c r="F338" s="61" t="e">
        <f t="shared" si="66"/>
        <v>#REF!</v>
      </c>
      <c r="G338" s="63" t="e">
        <f>VLOOKUP(B338,'115+040'!$B$12:$AB$621,20,FALSE)</f>
        <v>#REF!</v>
      </c>
      <c r="H338" s="63" t="e">
        <f>VLOOKUP(B338,'115+040'!$B$12:$AB$621,4,FALSE)</f>
        <v>#REF!</v>
      </c>
      <c r="I338" s="60" t="e">
        <f t="shared" si="67"/>
        <v>#REF!</v>
      </c>
      <c r="J338" s="60" t="e">
        <f>VLOOKUP(B338,'115+040'!$B$12:$AB$621,13,FALSE)</f>
        <v>#REF!</v>
      </c>
      <c r="K338" s="58">
        <f>'115+040'!R336</f>
        <v>0</v>
      </c>
      <c r="L338" s="57">
        <f t="shared" si="72"/>
        <v>770</v>
      </c>
      <c r="M338" s="62" t="e">
        <f>VLOOKUP(B338,'115+040'!$B$11:$AB$621,21,FALSE)</f>
        <v>#REF!</v>
      </c>
      <c r="N338" s="61" t="e">
        <f>VLOOKUP(B338,'115+040'!$B$12:$AB$621,5,FALSE)</f>
        <v>#REF!</v>
      </c>
      <c r="O338" s="60" t="e">
        <f t="shared" si="68"/>
        <v>#REF!</v>
      </c>
      <c r="P338" s="60" t="e">
        <f>VLOOKUP(B338,'115+040'!$B$12:$AB$621,14,FALSE)</f>
        <v>#REF!</v>
      </c>
      <c r="Q338" s="58">
        <f>'115+040'!S336</f>
        <v>0</v>
      </c>
      <c r="R338" s="57">
        <f t="shared" si="73"/>
        <v>894</v>
      </c>
      <c r="S338" s="62" t="e">
        <f>VLOOKUP(B338,'115+040'!$B$11:$AB$621,22,FALSE)</f>
        <v>#REF!</v>
      </c>
      <c r="T338" s="61" t="e">
        <f>VLOOKUP(B338,'115+040'!$B$12:$AB$621,6,FALSE)</f>
        <v>#REF!</v>
      </c>
      <c r="U338" s="60" t="e">
        <f t="shared" si="69"/>
        <v>#REF!</v>
      </c>
      <c r="V338" s="59" t="e">
        <f>VLOOKUP(B338,'115+040'!$B$12:$AB$621,15,FALSE)</f>
        <v>#REF!</v>
      </c>
      <c r="W338" s="58">
        <f>'[4]114+940'!S339</f>
        <v>0</v>
      </c>
      <c r="X338" s="57">
        <f t="shared" si="74"/>
        <v>216</v>
      </c>
      <c r="Y338" s="56" t="e">
        <f t="shared" si="75"/>
        <v>#REF!</v>
      </c>
      <c r="Z338" s="55" t="e">
        <f t="shared" si="76"/>
        <v>#REF!</v>
      </c>
      <c r="AA338" s="54" t="e">
        <f t="shared" si="77"/>
        <v>#REF!</v>
      </c>
      <c r="AB338" s="54" t="e">
        <f t="shared" si="78"/>
        <v>#REF!</v>
      </c>
    </row>
    <row r="339" spans="2:28">
      <c r="B339" s="96" t="e">
        <f>'115+040'!#REF!</f>
        <v>#REF!</v>
      </c>
      <c r="C339" s="66" t="e">
        <f t="shared" si="70"/>
        <v>#REF!</v>
      </c>
      <c r="D339" s="65" t="e">
        <f t="shared" si="71"/>
        <v>#REF!</v>
      </c>
      <c r="E339" s="64" t="e">
        <f>VLOOKUP(B339,'115+040'!B337:AB337,3,FALSE)</f>
        <v>#REF!</v>
      </c>
      <c r="F339" s="61" t="e">
        <f t="shared" si="66"/>
        <v>#REF!</v>
      </c>
      <c r="G339" s="63" t="e">
        <f>VLOOKUP(B339,'115+040'!$B$12:$AB$621,20,FALSE)</f>
        <v>#REF!</v>
      </c>
      <c r="H339" s="63" t="e">
        <f>VLOOKUP(B339,'115+040'!$B$12:$AB$621,4,FALSE)</f>
        <v>#REF!</v>
      </c>
      <c r="I339" s="60" t="e">
        <f t="shared" si="67"/>
        <v>#REF!</v>
      </c>
      <c r="J339" s="60" t="e">
        <f>VLOOKUP(B339,'115+040'!$B$12:$AB$621,13,FALSE)</f>
        <v>#REF!</v>
      </c>
      <c r="K339" s="58">
        <f>'115+040'!R337</f>
        <v>0</v>
      </c>
      <c r="L339" s="57">
        <f t="shared" si="72"/>
        <v>770</v>
      </c>
      <c r="M339" s="62" t="e">
        <f>VLOOKUP(B339,'115+040'!$B$11:$AB$621,21,FALSE)</f>
        <v>#REF!</v>
      </c>
      <c r="N339" s="61" t="e">
        <f>VLOOKUP(B339,'115+040'!$B$12:$AB$621,5,FALSE)</f>
        <v>#REF!</v>
      </c>
      <c r="O339" s="60" t="e">
        <f t="shared" si="68"/>
        <v>#REF!</v>
      </c>
      <c r="P339" s="60" t="e">
        <f>VLOOKUP(B339,'115+040'!$B$12:$AB$621,14,FALSE)</f>
        <v>#REF!</v>
      </c>
      <c r="Q339" s="58">
        <f>'115+040'!S337</f>
        <v>0</v>
      </c>
      <c r="R339" s="57">
        <f t="shared" si="73"/>
        <v>894</v>
      </c>
      <c r="S339" s="62" t="e">
        <f>VLOOKUP(B339,'115+040'!$B$11:$AB$621,22,FALSE)</f>
        <v>#REF!</v>
      </c>
      <c r="T339" s="61" t="e">
        <f>VLOOKUP(B339,'115+040'!$B$12:$AB$621,6,FALSE)</f>
        <v>#REF!</v>
      </c>
      <c r="U339" s="60" t="e">
        <f t="shared" si="69"/>
        <v>#REF!</v>
      </c>
      <c r="V339" s="59" t="e">
        <f>VLOOKUP(B339,'115+040'!$B$12:$AB$621,15,FALSE)</f>
        <v>#REF!</v>
      </c>
      <c r="W339" s="58">
        <f>'[4]114+940'!S340</f>
        <v>0</v>
      </c>
      <c r="X339" s="57">
        <f t="shared" si="74"/>
        <v>216</v>
      </c>
      <c r="Y339" s="56" t="e">
        <f t="shared" si="75"/>
        <v>#REF!</v>
      </c>
      <c r="Z339" s="55" t="e">
        <f t="shared" si="76"/>
        <v>#REF!</v>
      </c>
      <c r="AA339" s="54" t="e">
        <f t="shared" si="77"/>
        <v>#REF!</v>
      </c>
      <c r="AB339" s="54" t="e">
        <f t="shared" si="78"/>
        <v>#REF!</v>
      </c>
    </row>
    <row r="340" spans="2:28">
      <c r="B340" s="96" t="e">
        <f>'115+040'!#REF!</f>
        <v>#REF!</v>
      </c>
      <c r="C340" s="66" t="e">
        <f t="shared" si="70"/>
        <v>#REF!</v>
      </c>
      <c r="D340" s="65" t="e">
        <f t="shared" si="71"/>
        <v>#REF!</v>
      </c>
      <c r="E340" s="64" t="e">
        <f>VLOOKUP(B340,'115+040'!B338:AB338,3,FALSE)</f>
        <v>#REF!</v>
      </c>
      <c r="F340" s="61" t="e">
        <f t="shared" si="66"/>
        <v>#REF!</v>
      </c>
      <c r="G340" s="63" t="e">
        <f>VLOOKUP(B340,'115+040'!$B$12:$AB$621,20,FALSE)</f>
        <v>#REF!</v>
      </c>
      <c r="H340" s="63" t="e">
        <f>VLOOKUP(B340,'115+040'!$B$12:$AB$621,4,FALSE)</f>
        <v>#REF!</v>
      </c>
      <c r="I340" s="60" t="e">
        <f t="shared" si="67"/>
        <v>#REF!</v>
      </c>
      <c r="J340" s="60" t="e">
        <f>VLOOKUP(B340,'115+040'!$B$12:$AB$621,13,FALSE)</f>
        <v>#REF!</v>
      </c>
      <c r="K340" s="58">
        <f>'115+040'!R338</f>
        <v>0</v>
      </c>
      <c r="L340" s="57">
        <f t="shared" si="72"/>
        <v>770</v>
      </c>
      <c r="M340" s="62" t="e">
        <f>VLOOKUP(B340,'115+040'!$B$11:$AB$621,21,FALSE)</f>
        <v>#REF!</v>
      </c>
      <c r="N340" s="61" t="e">
        <f>VLOOKUP(B340,'115+040'!$B$12:$AB$621,5,FALSE)</f>
        <v>#REF!</v>
      </c>
      <c r="O340" s="60" t="e">
        <f t="shared" si="68"/>
        <v>#REF!</v>
      </c>
      <c r="P340" s="60" t="e">
        <f>VLOOKUP(B340,'115+040'!$B$12:$AB$621,14,FALSE)</f>
        <v>#REF!</v>
      </c>
      <c r="Q340" s="58">
        <f>'115+040'!S338</f>
        <v>0</v>
      </c>
      <c r="R340" s="57">
        <f t="shared" si="73"/>
        <v>894</v>
      </c>
      <c r="S340" s="62" t="e">
        <f>VLOOKUP(B340,'115+040'!$B$11:$AB$621,22,FALSE)</f>
        <v>#REF!</v>
      </c>
      <c r="T340" s="61" t="e">
        <f>VLOOKUP(B340,'115+040'!$B$12:$AB$621,6,FALSE)</f>
        <v>#REF!</v>
      </c>
      <c r="U340" s="60" t="e">
        <f t="shared" si="69"/>
        <v>#REF!</v>
      </c>
      <c r="V340" s="59" t="e">
        <f>VLOOKUP(B340,'115+040'!$B$12:$AB$621,15,FALSE)</f>
        <v>#REF!</v>
      </c>
      <c r="W340" s="58">
        <f>'[4]114+940'!S341</f>
        <v>0</v>
      </c>
      <c r="X340" s="57">
        <f t="shared" si="74"/>
        <v>216</v>
      </c>
      <c r="Y340" s="56" t="e">
        <f t="shared" si="75"/>
        <v>#REF!</v>
      </c>
      <c r="Z340" s="55" t="e">
        <f t="shared" si="76"/>
        <v>#REF!</v>
      </c>
      <c r="AA340" s="54" t="e">
        <f t="shared" si="77"/>
        <v>#REF!</v>
      </c>
      <c r="AB340" s="54" t="e">
        <f t="shared" si="78"/>
        <v>#REF!</v>
      </c>
    </row>
    <row r="341" spans="2:28">
      <c r="B341" s="96" t="e">
        <f>'115+040'!#REF!</f>
        <v>#REF!</v>
      </c>
      <c r="C341" s="66" t="e">
        <f t="shared" si="70"/>
        <v>#REF!</v>
      </c>
      <c r="D341" s="65" t="e">
        <f t="shared" si="71"/>
        <v>#REF!</v>
      </c>
      <c r="E341" s="64" t="e">
        <f>VLOOKUP(B341,'115+040'!B339:AB339,3,FALSE)</f>
        <v>#REF!</v>
      </c>
      <c r="F341" s="61" t="e">
        <f t="shared" si="66"/>
        <v>#REF!</v>
      </c>
      <c r="G341" s="63" t="e">
        <f>VLOOKUP(B341,'115+040'!$B$12:$AB$621,20,FALSE)</f>
        <v>#REF!</v>
      </c>
      <c r="H341" s="63" t="e">
        <f>VLOOKUP(B341,'115+040'!$B$12:$AB$621,4,FALSE)</f>
        <v>#REF!</v>
      </c>
      <c r="I341" s="60" t="e">
        <f t="shared" si="67"/>
        <v>#REF!</v>
      </c>
      <c r="J341" s="60" t="e">
        <f>VLOOKUP(B341,'115+040'!$B$12:$AB$621,13,FALSE)</f>
        <v>#REF!</v>
      </c>
      <c r="K341" s="58">
        <f>'115+040'!R339</f>
        <v>0</v>
      </c>
      <c r="L341" s="57">
        <f t="shared" si="72"/>
        <v>770</v>
      </c>
      <c r="M341" s="62" t="e">
        <f>VLOOKUP(B341,'115+040'!$B$11:$AB$621,21,FALSE)</f>
        <v>#REF!</v>
      </c>
      <c r="N341" s="61" t="e">
        <f>VLOOKUP(B341,'115+040'!$B$12:$AB$621,5,FALSE)</f>
        <v>#REF!</v>
      </c>
      <c r="O341" s="60" t="e">
        <f t="shared" si="68"/>
        <v>#REF!</v>
      </c>
      <c r="P341" s="60" t="e">
        <f>VLOOKUP(B341,'115+040'!$B$12:$AB$621,14,FALSE)</f>
        <v>#REF!</v>
      </c>
      <c r="Q341" s="58">
        <f>'115+040'!S339</f>
        <v>0</v>
      </c>
      <c r="R341" s="57">
        <f t="shared" si="73"/>
        <v>894</v>
      </c>
      <c r="S341" s="62" t="e">
        <f>VLOOKUP(B341,'115+040'!$B$11:$AB$621,22,FALSE)</f>
        <v>#REF!</v>
      </c>
      <c r="T341" s="61" t="e">
        <f>VLOOKUP(B341,'115+040'!$B$12:$AB$621,6,FALSE)</f>
        <v>#REF!</v>
      </c>
      <c r="U341" s="60" t="e">
        <f t="shared" si="69"/>
        <v>#REF!</v>
      </c>
      <c r="V341" s="59" t="e">
        <f>VLOOKUP(B341,'115+040'!$B$12:$AB$621,15,FALSE)</f>
        <v>#REF!</v>
      </c>
      <c r="W341" s="58">
        <f>'[4]114+940'!S342</f>
        <v>0</v>
      </c>
      <c r="X341" s="57">
        <f t="shared" si="74"/>
        <v>216</v>
      </c>
      <c r="Y341" s="56" t="e">
        <f t="shared" si="75"/>
        <v>#REF!</v>
      </c>
      <c r="Z341" s="55" t="e">
        <f t="shared" si="76"/>
        <v>#REF!</v>
      </c>
      <c r="AA341" s="54" t="e">
        <f t="shared" si="77"/>
        <v>#REF!</v>
      </c>
      <c r="AB341" s="54" t="e">
        <f t="shared" si="78"/>
        <v>#REF!</v>
      </c>
    </row>
    <row r="342" spans="2:28">
      <c r="B342" s="96" t="e">
        <f>'115+040'!#REF!</f>
        <v>#REF!</v>
      </c>
      <c r="C342" s="66" t="e">
        <f t="shared" si="70"/>
        <v>#REF!</v>
      </c>
      <c r="D342" s="65" t="e">
        <f t="shared" si="71"/>
        <v>#REF!</v>
      </c>
      <c r="E342" s="64" t="e">
        <f>VLOOKUP(B342,'115+040'!B340:AB340,3,FALSE)</f>
        <v>#REF!</v>
      </c>
      <c r="F342" s="61" t="e">
        <f t="shared" si="66"/>
        <v>#REF!</v>
      </c>
      <c r="G342" s="63" t="e">
        <f>VLOOKUP(B342,'115+040'!$B$12:$AB$621,20,FALSE)</f>
        <v>#REF!</v>
      </c>
      <c r="H342" s="63" t="e">
        <f>VLOOKUP(B342,'115+040'!$B$12:$AB$621,4,FALSE)</f>
        <v>#REF!</v>
      </c>
      <c r="I342" s="60" t="e">
        <f t="shared" si="67"/>
        <v>#REF!</v>
      </c>
      <c r="J342" s="60" t="e">
        <f>VLOOKUP(B342,'115+040'!$B$12:$AB$621,13,FALSE)</f>
        <v>#REF!</v>
      </c>
      <c r="K342" s="58">
        <f>'115+040'!R340</f>
        <v>0</v>
      </c>
      <c r="L342" s="57">
        <f t="shared" si="72"/>
        <v>770</v>
      </c>
      <c r="M342" s="62" t="e">
        <f>VLOOKUP(B342,'115+040'!$B$11:$AB$621,21,FALSE)</f>
        <v>#REF!</v>
      </c>
      <c r="N342" s="61" t="e">
        <f>VLOOKUP(B342,'115+040'!$B$12:$AB$621,5,FALSE)</f>
        <v>#REF!</v>
      </c>
      <c r="O342" s="60" t="e">
        <f t="shared" si="68"/>
        <v>#REF!</v>
      </c>
      <c r="P342" s="60" t="e">
        <f>VLOOKUP(B342,'115+040'!$B$12:$AB$621,14,FALSE)</f>
        <v>#REF!</v>
      </c>
      <c r="Q342" s="58">
        <f>'115+040'!S340</f>
        <v>0</v>
      </c>
      <c r="R342" s="57">
        <f t="shared" si="73"/>
        <v>894</v>
      </c>
      <c r="S342" s="62" t="e">
        <f>VLOOKUP(B342,'115+040'!$B$11:$AB$621,22,FALSE)</f>
        <v>#REF!</v>
      </c>
      <c r="T342" s="61" t="e">
        <f>VLOOKUP(B342,'115+040'!$B$12:$AB$621,6,FALSE)</f>
        <v>#REF!</v>
      </c>
      <c r="U342" s="60" t="e">
        <f t="shared" si="69"/>
        <v>#REF!</v>
      </c>
      <c r="V342" s="59" t="e">
        <f>VLOOKUP(B342,'115+040'!$B$12:$AB$621,15,FALSE)</f>
        <v>#REF!</v>
      </c>
      <c r="W342" s="58">
        <f>'[4]114+940'!S343</f>
        <v>0</v>
      </c>
      <c r="X342" s="57">
        <f t="shared" si="74"/>
        <v>216</v>
      </c>
      <c r="Y342" s="56" t="e">
        <f t="shared" si="75"/>
        <v>#REF!</v>
      </c>
      <c r="Z342" s="55" t="e">
        <f t="shared" si="76"/>
        <v>#REF!</v>
      </c>
      <c r="AA342" s="54" t="e">
        <f t="shared" si="77"/>
        <v>#REF!</v>
      </c>
      <c r="AB342" s="54" t="e">
        <f t="shared" si="78"/>
        <v>#REF!</v>
      </c>
    </row>
    <row r="343" spans="2:28">
      <c r="B343" s="96" t="e">
        <f>'115+040'!#REF!</f>
        <v>#REF!</v>
      </c>
      <c r="C343" s="66" t="e">
        <f t="shared" si="70"/>
        <v>#REF!</v>
      </c>
      <c r="D343" s="65" t="e">
        <f t="shared" si="71"/>
        <v>#REF!</v>
      </c>
      <c r="E343" s="64" t="e">
        <f>VLOOKUP(B343,'115+040'!B341:AB341,3,FALSE)</f>
        <v>#REF!</v>
      </c>
      <c r="F343" s="61" t="e">
        <f t="shared" si="66"/>
        <v>#REF!</v>
      </c>
      <c r="G343" s="63" t="e">
        <f>VLOOKUP(B343,'115+040'!$B$12:$AB$621,20,FALSE)</f>
        <v>#REF!</v>
      </c>
      <c r="H343" s="63" t="e">
        <f>VLOOKUP(B343,'115+040'!$B$12:$AB$621,4,FALSE)</f>
        <v>#REF!</v>
      </c>
      <c r="I343" s="60" t="e">
        <f t="shared" si="67"/>
        <v>#REF!</v>
      </c>
      <c r="J343" s="60" t="e">
        <f>VLOOKUP(B343,'115+040'!$B$12:$AB$621,13,FALSE)</f>
        <v>#REF!</v>
      </c>
      <c r="K343" s="58">
        <f>'115+040'!R341</f>
        <v>0</v>
      </c>
      <c r="L343" s="57">
        <f t="shared" si="72"/>
        <v>770</v>
      </c>
      <c r="M343" s="62" t="e">
        <f>VLOOKUP(B343,'115+040'!$B$11:$AB$621,21,FALSE)</f>
        <v>#REF!</v>
      </c>
      <c r="N343" s="61" t="e">
        <f>VLOOKUP(B343,'115+040'!$B$12:$AB$621,5,FALSE)</f>
        <v>#REF!</v>
      </c>
      <c r="O343" s="60" t="e">
        <f t="shared" si="68"/>
        <v>#REF!</v>
      </c>
      <c r="P343" s="60" t="e">
        <f>VLOOKUP(B343,'115+040'!$B$12:$AB$621,14,FALSE)</f>
        <v>#REF!</v>
      </c>
      <c r="Q343" s="58">
        <f>'115+040'!S341</f>
        <v>0</v>
      </c>
      <c r="R343" s="57">
        <f t="shared" si="73"/>
        <v>894</v>
      </c>
      <c r="S343" s="62" t="e">
        <f>VLOOKUP(B343,'115+040'!$B$11:$AB$621,22,FALSE)</f>
        <v>#REF!</v>
      </c>
      <c r="T343" s="61" t="e">
        <f>VLOOKUP(B343,'115+040'!$B$12:$AB$621,6,FALSE)</f>
        <v>#REF!</v>
      </c>
      <c r="U343" s="60" t="e">
        <f t="shared" si="69"/>
        <v>#REF!</v>
      </c>
      <c r="V343" s="59" t="e">
        <f>VLOOKUP(B343,'115+040'!$B$12:$AB$621,15,FALSE)</f>
        <v>#REF!</v>
      </c>
      <c r="W343" s="58">
        <f>'[4]114+940'!S344</f>
        <v>0</v>
      </c>
      <c r="X343" s="57">
        <f t="shared" si="74"/>
        <v>216</v>
      </c>
      <c r="Y343" s="56" t="e">
        <f t="shared" si="75"/>
        <v>#REF!</v>
      </c>
      <c r="Z343" s="55" t="e">
        <f t="shared" si="76"/>
        <v>#REF!</v>
      </c>
      <c r="AA343" s="54" t="e">
        <f t="shared" si="77"/>
        <v>#REF!</v>
      </c>
      <c r="AB343" s="54" t="e">
        <f t="shared" si="78"/>
        <v>#REF!</v>
      </c>
    </row>
    <row r="344" spans="2:28">
      <c r="B344" s="96" t="e">
        <f>'115+040'!#REF!</f>
        <v>#REF!</v>
      </c>
      <c r="C344" s="66" t="e">
        <f t="shared" si="70"/>
        <v>#REF!</v>
      </c>
      <c r="D344" s="65" t="e">
        <f t="shared" si="71"/>
        <v>#REF!</v>
      </c>
      <c r="E344" s="64" t="e">
        <f>VLOOKUP(B344,'115+040'!B342:AB342,3,FALSE)</f>
        <v>#REF!</v>
      </c>
      <c r="F344" s="61" t="e">
        <f t="shared" si="66"/>
        <v>#REF!</v>
      </c>
      <c r="G344" s="63" t="e">
        <f>VLOOKUP(B344,'115+040'!$B$12:$AB$621,20,FALSE)</f>
        <v>#REF!</v>
      </c>
      <c r="H344" s="63" t="e">
        <f>VLOOKUP(B344,'115+040'!$B$12:$AB$621,4,FALSE)</f>
        <v>#REF!</v>
      </c>
      <c r="I344" s="60" t="e">
        <f t="shared" si="67"/>
        <v>#REF!</v>
      </c>
      <c r="J344" s="60" t="e">
        <f>VLOOKUP(B344,'115+040'!$B$12:$AB$621,13,FALSE)</f>
        <v>#REF!</v>
      </c>
      <c r="K344" s="58">
        <f>'115+040'!R342</f>
        <v>0</v>
      </c>
      <c r="L344" s="57">
        <f t="shared" si="72"/>
        <v>770</v>
      </c>
      <c r="M344" s="62" t="e">
        <f>VLOOKUP(B344,'115+040'!$B$11:$AB$621,21,FALSE)</f>
        <v>#REF!</v>
      </c>
      <c r="N344" s="61" t="e">
        <f>VLOOKUP(B344,'115+040'!$B$12:$AB$621,5,FALSE)</f>
        <v>#REF!</v>
      </c>
      <c r="O344" s="60" t="e">
        <f t="shared" si="68"/>
        <v>#REF!</v>
      </c>
      <c r="P344" s="60" t="e">
        <f>VLOOKUP(B344,'115+040'!$B$12:$AB$621,14,FALSE)</f>
        <v>#REF!</v>
      </c>
      <c r="Q344" s="58">
        <f>'115+040'!S342</f>
        <v>0</v>
      </c>
      <c r="R344" s="57">
        <f t="shared" si="73"/>
        <v>894</v>
      </c>
      <c r="S344" s="62" t="e">
        <f>VLOOKUP(B344,'115+040'!$B$11:$AB$621,22,FALSE)</f>
        <v>#REF!</v>
      </c>
      <c r="T344" s="61" t="e">
        <f>VLOOKUP(B344,'115+040'!$B$12:$AB$621,6,FALSE)</f>
        <v>#REF!</v>
      </c>
      <c r="U344" s="60" t="e">
        <f t="shared" si="69"/>
        <v>#REF!</v>
      </c>
      <c r="V344" s="59" t="e">
        <f>VLOOKUP(B344,'115+040'!$B$12:$AB$621,15,FALSE)</f>
        <v>#REF!</v>
      </c>
      <c r="W344" s="58">
        <f>'[4]114+940'!S345</f>
        <v>0</v>
      </c>
      <c r="X344" s="57">
        <f t="shared" si="74"/>
        <v>216</v>
      </c>
      <c r="Y344" s="56" t="e">
        <f t="shared" si="75"/>
        <v>#REF!</v>
      </c>
      <c r="Z344" s="55" t="e">
        <f t="shared" si="76"/>
        <v>#REF!</v>
      </c>
      <c r="AA344" s="54" t="e">
        <f t="shared" si="77"/>
        <v>#REF!</v>
      </c>
      <c r="AB344" s="54" t="e">
        <f t="shared" si="78"/>
        <v>#REF!</v>
      </c>
    </row>
    <row r="345" spans="2:28">
      <c r="B345" s="96" t="e">
        <f>'115+040'!#REF!</f>
        <v>#REF!</v>
      </c>
      <c r="C345" s="66" t="e">
        <f t="shared" si="70"/>
        <v>#REF!</v>
      </c>
      <c r="D345" s="65" t="e">
        <f t="shared" si="71"/>
        <v>#REF!</v>
      </c>
      <c r="E345" s="64" t="e">
        <f>VLOOKUP(B345,'115+040'!B343:AB343,3,FALSE)</f>
        <v>#REF!</v>
      </c>
      <c r="F345" s="61" t="e">
        <f t="shared" si="66"/>
        <v>#REF!</v>
      </c>
      <c r="G345" s="63" t="e">
        <f>VLOOKUP(B345,'115+040'!$B$12:$AB$621,20,FALSE)</f>
        <v>#REF!</v>
      </c>
      <c r="H345" s="63" t="e">
        <f>VLOOKUP(B345,'115+040'!$B$12:$AB$621,4,FALSE)</f>
        <v>#REF!</v>
      </c>
      <c r="I345" s="60" t="e">
        <f t="shared" si="67"/>
        <v>#REF!</v>
      </c>
      <c r="J345" s="60" t="e">
        <f>VLOOKUP(B345,'115+040'!$B$12:$AB$621,13,FALSE)</f>
        <v>#REF!</v>
      </c>
      <c r="K345" s="58">
        <f>'115+040'!R343</f>
        <v>0</v>
      </c>
      <c r="L345" s="57">
        <f t="shared" si="72"/>
        <v>770</v>
      </c>
      <c r="M345" s="62" t="e">
        <f>VLOOKUP(B345,'115+040'!$B$11:$AB$621,21,FALSE)</f>
        <v>#REF!</v>
      </c>
      <c r="N345" s="61" t="e">
        <f>VLOOKUP(B345,'115+040'!$B$12:$AB$621,5,FALSE)</f>
        <v>#REF!</v>
      </c>
      <c r="O345" s="60" t="e">
        <f t="shared" si="68"/>
        <v>#REF!</v>
      </c>
      <c r="P345" s="60" t="e">
        <f>VLOOKUP(B345,'115+040'!$B$12:$AB$621,14,FALSE)</f>
        <v>#REF!</v>
      </c>
      <c r="Q345" s="58">
        <f>'115+040'!S343</f>
        <v>0</v>
      </c>
      <c r="R345" s="57">
        <f t="shared" si="73"/>
        <v>894</v>
      </c>
      <c r="S345" s="62" t="e">
        <f>VLOOKUP(B345,'115+040'!$B$11:$AB$621,22,FALSE)</f>
        <v>#REF!</v>
      </c>
      <c r="T345" s="61" t="e">
        <f>VLOOKUP(B345,'115+040'!$B$12:$AB$621,6,FALSE)</f>
        <v>#REF!</v>
      </c>
      <c r="U345" s="60" t="e">
        <f t="shared" si="69"/>
        <v>#REF!</v>
      </c>
      <c r="V345" s="59" t="e">
        <f>VLOOKUP(B345,'115+040'!$B$12:$AB$621,15,FALSE)</f>
        <v>#REF!</v>
      </c>
      <c r="W345" s="58">
        <f>'[4]114+940'!S346</f>
        <v>0</v>
      </c>
      <c r="X345" s="57">
        <f t="shared" si="74"/>
        <v>216</v>
      </c>
      <c r="Y345" s="56" t="e">
        <f t="shared" si="75"/>
        <v>#REF!</v>
      </c>
      <c r="Z345" s="55" t="e">
        <f t="shared" si="76"/>
        <v>#REF!</v>
      </c>
      <c r="AA345" s="54" t="e">
        <f t="shared" si="77"/>
        <v>#REF!</v>
      </c>
      <c r="AB345" s="54" t="e">
        <f t="shared" si="78"/>
        <v>#REF!</v>
      </c>
    </row>
    <row r="346" spans="2:28">
      <c r="B346" s="96" t="e">
        <f>'115+040'!#REF!</f>
        <v>#REF!</v>
      </c>
      <c r="C346" s="66" t="e">
        <f t="shared" si="70"/>
        <v>#REF!</v>
      </c>
      <c r="D346" s="65" t="e">
        <f t="shared" si="71"/>
        <v>#REF!</v>
      </c>
      <c r="E346" s="64" t="e">
        <f>VLOOKUP(B346,'115+040'!B344:AB344,3,FALSE)</f>
        <v>#REF!</v>
      </c>
      <c r="F346" s="61" t="e">
        <f t="shared" si="66"/>
        <v>#REF!</v>
      </c>
      <c r="G346" s="63" t="e">
        <f>VLOOKUP(B346,'115+040'!$B$12:$AB$621,20,FALSE)</f>
        <v>#REF!</v>
      </c>
      <c r="H346" s="63" t="e">
        <f>VLOOKUP(B346,'115+040'!$B$12:$AB$621,4,FALSE)</f>
        <v>#REF!</v>
      </c>
      <c r="I346" s="60" t="e">
        <f t="shared" si="67"/>
        <v>#REF!</v>
      </c>
      <c r="J346" s="60" t="e">
        <f>VLOOKUP(B346,'115+040'!$B$12:$AB$621,13,FALSE)</f>
        <v>#REF!</v>
      </c>
      <c r="K346" s="58">
        <f>'115+040'!R344</f>
        <v>0</v>
      </c>
      <c r="L346" s="57">
        <f t="shared" si="72"/>
        <v>770</v>
      </c>
      <c r="M346" s="62" t="e">
        <f>VLOOKUP(B346,'115+040'!$B$11:$AB$621,21,FALSE)</f>
        <v>#REF!</v>
      </c>
      <c r="N346" s="61" t="e">
        <f>VLOOKUP(B346,'115+040'!$B$12:$AB$621,5,FALSE)</f>
        <v>#REF!</v>
      </c>
      <c r="O346" s="60" t="e">
        <f t="shared" si="68"/>
        <v>#REF!</v>
      </c>
      <c r="P346" s="60" t="e">
        <f>VLOOKUP(B346,'115+040'!$B$12:$AB$621,14,FALSE)</f>
        <v>#REF!</v>
      </c>
      <c r="Q346" s="58">
        <f>'115+040'!S344</f>
        <v>0</v>
      </c>
      <c r="R346" s="57">
        <f t="shared" si="73"/>
        <v>894</v>
      </c>
      <c r="S346" s="62" t="e">
        <f>VLOOKUP(B346,'115+040'!$B$11:$AB$621,22,FALSE)</f>
        <v>#REF!</v>
      </c>
      <c r="T346" s="61" t="e">
        <f>VLOOKUP(B346,'115+040'!$B$12:$AB$621,6,FALSE)</f>
        <v>#REF!</v>
      </c>
      <c r="U346" s="60" t="e">
        <f t="shared" si="69"/>
        <v>#REF!</v>
      </c>
      <c r="V346" s="59" t="e">
        <f>VLOOKUP(B346,'115+040'!$B$12:$AB$621,15,FALSE)</f>
        <v>#REF!</v>
      </c>
      <c r="W346" s="58">
        <f>'[4]114+940'!S347</f>
        <v>0</v>
      </c>
      <c r="X346" s="57">
        <f t="shared" si="74"/>
        <v>216</v>
      </c>
      <c r="Y346" s="56" t="e">
        <f t="shared" si="75"/>
        <v>#REF!</v>
      </c>
      <c r="Z346" s="55" t="e">
        <f t="shared" si="76"/>
        <v>#REF!</v>
      </c>
      <c r="AA346" s="54" t="e">
        <f t="shared" si="77"/>
        <v>#REF!</v>
      </c>
      <c r="AB346" s="54" t="e">
        <f t="shared" si="78"/>
        <v>#REF!</v>
      </c>
    </row>
    <row r="347" spans="2:28">
      <c r="B347" s="96" t="e">
        <f>'115+040'!#REF!</f>
        <v>#REF!</v>
      </c>
      <c r="C347" s="66" t="e">
        <f t="shared" si="70"/>
        <v>#REF!</v>
      </c>
      <c r="D347" s="65" t="e">
        <f t="shared" si="71"/>
        <v>#REF!</v>
      </c>
      <c r="E347" s="64" t="e">
        <f>VLOOKUP(B347,'115+040'!B345:AB345,3,FALSE)</f>
        <v>#REF!</v>
      </c>
      <c r="F347" s="61" t="e">
        <f t="shared" si="66"/>
        <v>#REF!</v>
      </c>
      <c r="G347" s="63" t="e">
        <f>VLOOKUP(B347,'115+040'!$B$12:$AB$621,20,FALSE)</f>
        <v>#REF!</v>
      </c>
      <c r="H347" s="63" t="e">
        <f>VLOOKUP(B347,'115+040'!$B$12:$AB$621,4,FALSE)</f>
        <v>#REF!</v>
      </c>
      <c r="I347" s="60" t="e">
        <f t="shared" si="67"/>
        <v>#REF!</v>
      </c>
      <c r="J347" s="60" t="e">
        <f>VLOOKUP(B347,'115+040'!$B$12:$AB$621,13,FALSE)</f>
        <v>#REF!</v>
      </c>
      <c r="K347" s="58">
        <f>'115+040'!R345</f>
        <v>0</v>
      </c>
      <c r="L347" s="57">
        <f t="shared" si="72"/>
        <v>770</v>
      </c>
      <c r="M347" s="62" t="e">
        <f>VLOOKUP(B347,'115+040'!$B$11:$AB$621,21,FALSE)</f>
        <v>#REF!</v>
      </c>
      <c r="N347" s="61" t="e">
        <f>VLOOKUP(B347,'115+040'!$B$12:$AB$621,5,FALSE)</f>
        <v>#REF!</v>
      </c>
      <c r="O347" s="60" t="e">
        <f t="shared" si="68"/>
        <v>#REF!</v>
      </c>
      <c r="P347" s="60" t="e">
        <f>VLOOKUP(B347,'115+040'!$B$12:$AB$621,14,FALSE)</f>
        <v>#REF!</v>
      </c>
      <c r="Q347" s="58">
        <f>'115+040'!S345</f>
        <v>0</v>
      </c>
      <c r="R347" s="57">
        <f t="shared" si="73"/>
        <v>894</v>
      </c>
      <c r="S347" s="62" t="e">
        <f>VLOOKUP(B347,'115+040'!$B$11:$AB$621,22,FALSE)</f>
        <v>#REF!</v>
      </c>
      <c r="T347" s="61" t="e">
        <f>VLOOKUP(B347,'115+040'!$B$12:$AB$621,6,FALSE)</f>
        <v>#REF!</v>
      </c>
      <c r="U347" s="60" t="e">
        <f t="shared" si="69"/>
        <v>#REF!</v>
      </c>
      <c r="V347" s="59" t="e">
        <f>VLOOKUP(B347,'115+040'!$B$12:$AB$621,15,FALSE)</f>
        <v>#REF!</v>
      </c>
      <c r="W347" s="58">
        <f>'[4]114+940'!S348</f>
        <v>0</v>
      </c>
      <c r="X347" s="57">
        <f t="shared" si="74"/>
        <v>216</v>
      </c>
      <c r="Y347" s="56" t="e">
        <f t="shared" si="75"/>
        <v>#REF!</v>
      </c>
      <c r="Z347" s="55" t="e">
        <f t="shared" si="76"/>
        <v>#REF!</v>
      </c>
      <c r="AA347" s="54" t="e">
        <f t="shared" si="77"/>
        <v>#REF!</v>
      </c>
      <c r="AB347" s="54" t="e">
        <f t="shared" si="78"/>
        <v>#REF!</v>
      </c>
    </row>
    <row r="348" spans="2:28">
      <c r="B348" s="96" t="e">
        <f>'115+040'!#REF!</f>
        <v>#REF!</v>
      </c>
      <c r="C348" s="66" t="e">
        <f t="shared" si="70"/>
        <v>#REF!</v>
      </c>
      <c r="D348" s="65" t="e">
        <f t="shared" si="71"/>
        <v>#REF!</v>
      </c>
      <c r="E348" s="64" t="e">
        <f>VLOOKUP(B348,'115+040'!B346:AB346,3,FALSE)</f>
        <v>#REF!</v>
      </c>
      <c r="F348" s="61" t="e">
        <f t="shared" si="66"/>
        <v>#REF!</v>
      </c>
      <c r="G348" s="63" t="e">
        <f>VLOOKUP(B348,'115+040'!$B$12:$AB$621,20,FALSE)</f>
        <v>#REF!</v>
      </c>
      <c r="H348" s="63" t="e">
        <f>VLOOKUP(B348,'115+040'!$B$12:$AB$621,4,FALSE)</f>
        <v>#REF!</v>
      </c>
      <c r="I348" s="60" t="e">
        <f t="shared" si="67"/>
        <v>#REF!</v>
      </c>
      <c r="J348" s="60" t="e">
        <f>VLOOKUP(B348,'115+040'!$B$12:$AB$621,13,FALSE)</f>
        <v>#REF!</v>
      </c>
      <c r="K348" s="58">
        <f>'115+040'!R346</f>
        <v>0</v>
      </c>
      <c r="L348" s="57">
        <f t="shared" si="72"/>
        <v>770</v>
      </c>
      <c r="M348" s="62" t="e">
        <f>VLOOKUP(B348,'115+040'!$B$11:$AB$621,21,FALSE)</f>
        <v>#REF!</v>
      </c>
      <c r="N348" s="61" t="e">
        <f>VLOOKUP(B348,'115+040'!$B$12:$AB$621,5,FALSE)</f>
        <v>#REF!</v>
      </c>
      <c r="O348" s="60" t="e">
        <f t="shared" si="68"/>
        <v>#REF!</v>
      </c>
      <c r="P348" s="60" t="e">
        <f>VLOOKUP(B348,'115+040'!$B$12:$AB$621,14,FALSE)</f>
        <v>#REF!</v>
      </c>
      <c r="Q348" s="58">
        <f>'115+040'!S346</f>
        <v>0</v>
      </c>
      <c r="R348" s="57">
        <f t="shared" si="73"/>
        <v>894</v>
      </c>
      <c r="S348" s="62" t="e">
        <f>VLOOKUP(B348,'115+040'!$B$11:$AB$621,22,FALSE)</f>
        <v>#REF!</v>
      </c>
      <c r="T348" s="61" t="e">
        <f>VLOOKUP(B348,'115+040'!$B$12:$AB$621,6,FALSE)</f>
        <v>#REF!</v>
      </c>
      <c r="U348" s="60" t="e">
        <f t="shared" si="69"/>
        <v>#REF!</v>
      </c>
      <c r="V348" s="59" t="e">
        <f>VLOOKUP(B348,'115+040'!$B$12:$AB$621,15,FALSE)</f>
        <v>#REF!</v>
      </c>
      <c r="W348" s="58">
        <f>'[4]114+940'!S349</f>
        <v>0</v>
      </c>
      <c r="X348" s="57">
        <f t="shared" si="74"/>
        <v>216</v>
      </c>
      <c r="Y348" s="56" t="e">
        <f t="shared" si="75"/>
        <v>#REF!</v>
      </c>
      <c r="Z348" s="55" t="e">
        <f t="shared" si="76"/>
        <v>#REF!</v>
      </c>
      <c r="AA348" s="54" t="e">
        <f t="shared" si="77"/>
        <v>#REF!</v>
      </c>
      <c r="AB348" s="54" t="e">
        <f t="shared" si="78"/>
        <v>#REF!</v>
      </c>
    </row>
    <row r="349" spans="2:28">
      <c r="B349" s="96" t="e">
        <f>'115+040'!#REF!</f>
        <v>#REF!</v>
      </c>
      <c r="C349" s="66" t="e">
        <f t="shared" si="70"/>
        <v>#REF!</v>
      </c>
      <c r="D349" s="65" t="e">
        <f t="shared" si="71"/>
        <v>#REF!</v>
      </c>
      <c r="E349" s="64" t="e">
        <f>VLOOKUP(B349,'115+040'!B347:AB347,3,FALSE)</f>
        <v>#REF!</v>
      </c>
      <c r="F349" s="61" t="e">
        <f t="shared" si="66"/>
        <v>#REF!</v>
      </c>
      <c r="G349" s="63" t="e">
        <f>VLOOKUP(B349,'115+040'!$B$12:$AB$621,20,FALSE)</f>
        <v>#REF!</v>
      </c>
      <c r="H349" s="63" t="e">
        <f>VLOOKUP(B349,'115+040'!$B$12:$AB$621,4,FALSE)</f>
        <v>#REF!</v>
      </c>
      <c r="I349" s="60" t="e">
        <f t="shared" si="67"/>
        <v>#REF!</v>
      </c>
      <c r="J349" s="60" t="e">
        <f>VLOOKUP(B349,'115+040'!$B$12:$AB$621,13,FALSE)</f>
        <v>#REF!</v>
      </c>
      <c r="K349" s="58">
        <f>'115+040'!R347</f>
        <v>0</v>
      </c>
      <c r="L349" s="57">
        <f t="shared" si="72"/>
        <v>770</v>
      </c>
      <c r="M349" s="62" t="e">
        <f>VLOOKUP(B349,'115+040'!$B$11:$AB$621,21,FALSE)</f>
        <v>#REF!</v>
      </c>
      <c r="N349" s="61" t="e">
        <f>VLOOKUP(B349,'115+040'!$B$12:$AB$621,5,FALSE)</f>
        <v>#REF!</v>
      </c>
      <c r="O349" s="60" t="e">
        <f t="shared" si="68"/>
        <v>#REF!</v>
      </c>
      <c r="P349" s="60" t="e">
        <f>VLOOKUP(B349,'115+040'!$B$12:$AB$621,14,FALSE)</f>
        <v>#REF!</v>
      </c>
      <c r="Q349" s="58">
        <f>'115+040'!S347</f>
        <v>0</v>
      </c>
      <c r="R349" s="57">
        <f t="shared" si="73"/>
        <v>894</v>
      </c>
      <c r="S349" s="62" t="e">
        <f>VLOOKUP(B349,'115+040'!$B$11:$AB$621,22,FALSE)</f>
        <v>#REF!</v>
      </c>
      <c r="T349" s="61" t="e">
        <f>VLOOKUP(B349,'115+040'!$B$12:$AB$621,6,FALSE)</f>
        <v>#REF!</v>
      </c>
      <c r="U349" s="60" t="e">
        <f t="shared" si="69"/>
        <v>#REF!</v>
      </c>
      <c r="V349" s="59" t="e">
        <f>VLOOKUP(B349,'115+040'!$B$12:$AB$621,15,FALSE)</f>
        <v>#REF!</v>
      </c>
      <c r="W349" s="58">
        <f>'[4]114+940'!S350</f>
        <v>0</v>
      </c>
      <c r="X349" s="57">
        <f t="shared" si="74"/>
        <v>216</v>
      </c>
      <c r="Y349" s="56" t="e">
        <f t="shared" si="75"/>
        <v>#REF!</v>
      </c>
      <c r="Z349" s="55" t="e">
        <f t="shared" si="76"/>
        <v>#REF!</v>
      </c>
      <c r="AA349" s="54" t="e">
        <f t="shared" si="77"/>
        <v>#REF!</v>
      </c>
      <c r="AB349" s="54" t="e">
        <f t="shared" si="78"/>
        <v>#REF!</v>
      </c>
    </row>
    <row r="350" spans="2:28">
      <c r="B350" s="96" t="e">
        <f>'115+040'!#REF!</f>
        <v>#REF!</v>
      </c>
      <c r="C350" s="66" t="e">
        <f t="shared" si="70"/>
        <v>#REF!</v>
      </c>
      <c r="D350" s="65" t="e">
        <f t="shared" si="71"/>
        <v>#REF!</v>
      </c>
      <c r="E350" s="64" t="e">
        <f>VLOOKUP(B350,'115+040'!B348:AB348,3,FALSE)</f>
        <v>#REF!</v>
      </c>
      <c r="F350" s="61" t="e">
        <f t="shared" si="66"/>
        <v>#REF!</v>
      </c>
      <c r="G350" s="63" t="e">
        <f>VLOOKUP(B350,'115+040'!$B$12:$AB$621,20,FALSE)</f>
        <v>#REF!</v>
      </c>
      <c r="H350" s="63" t="e">
        <f>VLOOKUP(B350,'115+040'!$B$12:$AB$621,4,FALSE)</f>
        <v>#REF!</v>
      </c>
      <c r="I350" s="60" t="e">
        <f t="shared" si="67"/>
        <v>#REF!</v>
      </c>
      <c r="J350" s="60" t="e">
        <f>VLOOKUP(B350,'115+040'!$B$12:$AB$621,13,FALSE)</f>
        <v>#REF!</v>
      </c>
      <c r="K350" s="58">
        <f>'115+040'!R348</f>
        <v>0</v>
      </c>
      <c r="L350" s="57">
        <f t="shared" si="72"/>
        <v>770</v>
      </c>
      <c r="M350" s="62" t="e">
        <f>VLOOKUP(B350,'115+040'!$B$11:$AB$621,21,FALSE)</f>
        <v>#REF!</v>
      </c>
      <c r="N350" s="61" t="e">
        <f>VLOOKUP(B350,'115+040'!$B$12:$AB$621,5,FALSE)</f>
        <v>#REF!</v>
      </c>
      <c r="O350" s="60" t="e">
        <f t="shared" si="68"/>
        <v>#REF!</v>
      </c>
      <c r="P350" s="60" t="e">
        <f>VLOOKUP(B350,'115+040'!$B$12:$AB$621,14,FALSE)</f>
        <v>#REF!</v>
      </c>
      <c r="Q350" s="58">
        <f>'115+040'!S348</f>
        <v>0</v>
      </c>
      <c r="R350" s="57">
        <f t="shared" si="73"/>
        <v>894</v>
      </c>
      <c r="S350" s="62" t="e">
        <f>VLOOKUP(B350,'115+040'!$B$11:$AB$621,22,FALSE)</f>
        <v>#REF!</v>
      </c>
      <c r="T350" s="61" t="e">
        <f>VLOOKUP(B350,'115+040'!$B$12:$AB$621,6,FALSE)</f>
        <v>#REF!</v>
      </c>
      <c r="U350" s="60" t="e">
        <f t="shared" si="69"/>
        <v>#REF!</v>
      </c>
      <c r="V350" s="59" t="e">
        <f>VLOOKUP(B350,'115+040'!$B$12:$AB$621,15,FALSE)</f>
        <v>#REF!</v>
      </c>
      <c r="W350" s="58">
        <f>'[4]114+940'!S351</f>
        <v>0</v>
      </c>
      <c r="X350" s="57">
        <f t="shared" si="74"/>
        <v>216</v>
      </c>
      <c r="Y350" s="56" t="e">
        <f t="shared" si="75"/>
        <v>#REF!</v>
      </c>
      <c r="Z350" s="55" t="e">
        <f t="shared" si="76"/>
        <v>#REF!</v>
      </c>
      <c r="AA350" s="54" t="e">
        <f t="shared" si="77"/>
        <v>#REF!</v>
      </c>
      <c r="AB350" s="54" t="e">
        <f t="shared" si="78"/>
        <v>#REF!</v>
      </c>
    </row>
    <row r="351" spans="2:28">
      <c r="B351" s="96" t="e">
        <f>'115+040'!#REF!</f>
        <v>#REF!</v>
      </c>
      <c r="C351" s="66" t="e">
        <f t="shared" si="70"/>
        <v>#REF!</v>
      </c>
      <c r="D351" s="65" t="e">
        <f t="shared" si="71"/>
        <v>#REF!</v>
      </c>
      <c r="E351" s="64" t="e">
        <f>VLOOKUP(B351,'115+040'!B349:AB349,3,FALSE)</f>
        <v>#REF!</v>
      </c>
      <c r="F351" s="61" t="e">
        <f t="shared" si="66"/>
        <v>#REF!</v>
      </c>
      <c r="G351" s="63" t="e">
        <f>VLOOKUP(B351,'115+040'!$B$12:$AB$621,20,FALSE)</f>
        <v>#REF!</v>
      </c>
      <c r="H351" s="63" t="e">
        <f>VLOOKUP(B351,'115+040'!$B$12:$AB$621,4,FALSE)</f>
        <v>#REF!</v>
      </c>
      <c r="I351" s="60" t="e">
        <f t="shared" si="67"/>
        <v>#REF!</v>
      </c>
      <c r="J351" s="60" t="e">
        <f>VLOOKUP(B351,'115+040'!$B$12:$AB$621,13,FALSE)</f>
        <v>#REF!</v>
      </c>
      <c r="K351" s="58">
        <f>'115+040'!R349</f>
        <v>0</v>
      </c>
      <c r="L351" s="57">
        <f t="shared" si="72"/>
        <v>770</v>
      </c>
      <c r="M351" s="62" t="e">
        <f>VLOOKUP(B351,'115+040'!$B$11:$AB$621,21,FALSE)</f>
        <v>#REF!</v>
      </c>
      <c r="N351" s="61" t="e">
        <f>VLOOKUP(B351,'115+040'!$B$12:$AB$621,5,FALSE)</f>
        <v>#REF!</v>
      </c>
      <c r="O351" s="60" t="e">
        <f t="shared" si="68"/>
        <v>#REF!</v>
      </c>
      <c r="P351" s="60" t="e">
        <f>VLOOKUP(B351,'115+040'!$B$12:$AB$621,14,FALSE)</f>
        <v>#REF!</v>
      </c>
      <c r="Q351" s="58">
        <f>'115+040'!S349</f>
        <v>0</v>
      </c>
      <c r="R351" s="57">
        <f t="shared" si="73"/>
        <v>894</v>
      </c>
      <c r="S351" s="62" t="e">
        <f>VLOOKUP(B351,'115+040'!$B$11:$AB$621,22,FALSE)</f>
        <v>#REF!</v>
      </c>
      <c r="T351" s="61" t="e">
        <f>VLOOKUP(B351,'115+040'!$B$12:$AB$621,6,FALSE)</f>
        <v>#REF!</v>
      </c>
      <c r="U351" s="60" t="e">
        <f t="shared" si="69"/>
        <v>#REF!</v>
      </c>
      <c r="V351" s="59" t="e">
        <f>VLOOKUP(B351,'115+040'!$B$12:$AB$621,15,FALSE)</f>
        <v>#REF!</v>
      </c>
      <c r="W351" s="58">
        <f>'[4]114+940'!S352</f>
        <v>0</v>
      </c>
      <c r="X351" s="57">
        <f t="shared" si="74"/>
        <v>216</v>
      </c>
      <c r="Y351" s="56" t="e">
        <f t="shared" si="75"/>
        <v>#REF!</v>
      </c>
      <c r="Z351" s="55" t="e">
        <f t="shared" si="76"/>
        <v>#REF!</v>
      </c>
      <c r="AA351" s="54" t="e">
        <f t="shared" si="77"/>
        <v>#REF!</v>
      </c>
      <c r="AB351" s="54" t="e">
        <f t="shared" si="78"/>
        <v>#REF!</v>
      </c>
    </row>
    <row r="352" spans="2:28">
      <c r="B352" s="96" t="e">
        <f>'115+040'!#REF!</f>
        <v>#REF!</v>
      </c>
      <c r="C352" s="66" t="e">
        <f t="shared" si="70"/>
        <v>#REF!</v>
      </c>
      <c r="D352" s="65" t="e">
        <f t="shared" si="71"/>
        <v>#REF!</v>
      </c>
      <c r="E352" s="64" t="e">
        <f>VLOOKUP(B352,'115+040'!B350:AB350,3,FALSE)</f>
        <v>#REF!</v>
      </c>
      <c r="F352" s="61" t="e">
        <f t="shared" si="66"/>
        <v>#REF!</v>
      </c>
      <c r="G352" s="63" t="e">
        <f>VLOOKUP(B352,'115+040'!$B$12:$AB$621,20,FALSE)</f>
        <v>#REF!</v>
      </c>
      <c r="H352" s="63" t="e">
        <f>VLOOKUP(B352,'115+040'!$B$12:$AB$621,4,FALSE)</f>
        <v>#REF!</v>
      </c>
      <c r="I352" s="60" t="e">
        <f t="shared" si="67"/>
        <v>#REF!</v>
      </c>
      <c r="J352" s="60" t="e">
        <f>VLOOKUP(B352,'115+040'!$B$12:$AB$621,13,FALSE)</f>
        <v>#REF!</v>
      </c>
      <c r="K352" s="58">
        <f>'115+040'!R350</f>
        <v>0</v>
      </c>
      <c r="L352" s="57">
        <f t="shared" si="72"/>
        <v>770</v>
      </c>
      <c r="M352" s="62" t="e">
        <f>VLOOKUP(B352,'115+040'!$B$11:$AB$621,21,FALSE)</f>
        <v>#REF!</v>
      </c>
      <c r="N352" s="61" t="e">
        <f>VLOOKUP(B352,'115+040'!$B$12:$AB$621,5,FALSE)</f>
        <v>#REF!</v>
      </c>
      <c r="O352" s="60" t="e">
        <f t="shared" si="68"/>
        <v>#REF!</v>
      </c>
      <c r="P352" s="60" t="e">
        <f>VLOOKUP(B352,'115+040'!$B$12:$AB$621,14,FALSE)</f>
        <v>#REF!</v>
      </c>
      <c r="Q352" s="58">
        <f>'115+040'!S350</f>
        <v>0</v>
      </c>
      <c r="R352" s="57">
        <f t="shared" si="73"/>
        <v>894</v>
      </c>
      <c r="S352" s="62" t="e">
        <f>VLOOKUP(B352,'115+040'!$B$11:$AB$621,22,FALSE)</f>
        <v>#REF!</v>
      </c>
      <c r="T352" s="61" t="e">
        <f>VLOOKUP(B352,'115+040'!$B$12:$AB$621,6,FALSE)</f>
        <v>#REF!</v>
      </c>
      <c r="U352" s="60" t="e">
        <f t="shared" si="69"/>
        <v>#REF!</v>
      </c>
      <c r="V352" s="59" t="e">
        <f>VLOOKUP(B352,'115+040'!$B$12:$AB$621,15,FALSE)</f>
        <v>#REF!</v>
      </c>
      <c r="W352" s="58">
        <f>'[4]114+940'!S353</f>
        <v>0</v>
      </c>
      <c r="X352" s="57">
        <f t="shared" si="74"/>
        <v>216</v>
      </c>
      <c r="Y352" s="56" t="e">
        <f t="shared" si="75"/>
        <v>#REF!</v>
      </c>
      <c r="Z352" s="55" t="e">
        <f t="shared" si="76"/>
        <v>#REF!</v>
      </c>
      <c r="AA352" s="54" t="e">
        <f t="shared" si="77"/>
        <v>#REF!</v>
      </c>
      <c r="AB352" s="54" t="e">
        <f t="shared" si="78"/>
        <v>#REF!</v>
      </c>
    </row>
    <row r="353" spans="2:28">
      <c r="B353" s="96" t="e">
        <f>'115+040'!#REF!</f>
        <v>#REF!</v>
      </c>
      <c r="C353" s="66" t="e">
        <f t="shared" si="70"/>
        <v>#REF!</v>
      </c>
      <c r="D353" s="65" t="e">
        <f t="shared" si="71"/>
        <v>#REF!</v>
      </c>
      <c r="E353" s="64" t="e">
        <f>VLOOKUP(B353,'115+040'!B351:AB351,3,FALSE)</f>
        <v>#REF!</v>
      </c>
      <c r="F353" s="61" t="e">
        <f t="shared" si="66"/>
        <v>#REF!</v>
      </c>
      <c r="G353" s="63" t="e">
        <f>VLOOKUP(B353,'115+040'!$B$12:$AB$621,20,FALSE)</f>
        <v>#REF!</v>
      </c>
      <c r="H353" s="63" t="e">
        <f>VLOOKUP(B353,'115+040'!$B$12:$AB$621,4,FALSE)</f>
        <v>#REF!</v>
      </c>
      <c r="I353" s="60" t="e">
        <f t="shared" si="67"/>
        <v>#REF!</v>
      </c>
      <c r="J353" s="60" t="e">
        <f>VLOOKUP(B353,'115+040'!$B$12:$AB$621,13,FALSE)</f>
        <v>#REF!</v>
      </c>
      <c r="K353" s="58">
        <f>'115+040'!R351</f>
        <v>0</v>
      </c>
      <c r="L353" s="57">
        <f t="shared" si="72"/>
        <v>770</v>
      </c>
      <c r="M353" s="62" t="e">
        <f>VLOOKUP(B353,'115+040'!$B$11:$AB$621,21,FALSE)</f>
        <v>#REF!</v>
      </c>
      <c r="N353" s="61" t="e">
        <f>VLOOKUP(B353,'115+040'!$B$12:$AB$621,5,FALSE)</f>
        <v>#REF!</v>
      </c>
      <c r="O353" s="60" t="e">
        <f t="shared" si="68"/>
        <v>#REF!</v>
      </c>
      <c r="P353" s="60" t="e">
        <f>VLOOKUP(B353,'115+040'!$B$12:$AB$621,14,FALSE)</f>
        <v>#REF!</v>
      </c>
      <c r="Q353" s="58">
        <f>'115+040'!S351</f>
        <v>0</v>
      </c>
      <c r="R353" s="57">
        <f t="shared" si="73"/>
        <v>894</v>
      </c>
      <c r="S353" s="62" t="e">
        <f>VLOOKUP(B353,'115+040'!$B$11:$AB$621,22,FALSE)</f>
        <v>#REF!</v>
      </c>
      <c r="T353" s="61" t="e">
        <f>VLOOKUP(B353,'115+040'!$B$12:$AB$621,6,FALSE)</f>
        <v>#REF!</v>
      </c>
      <c r="U353" s="60" t="e">
        <f t="shared" si="69"/>
        <v>#REF!</v>
      </c>
      <c r="V353" s="59" t="e">
        <f>VLOOKUP(B353,'115+040'!$B$12:$AB$621,15,FALSE)</f>
        <v>#REF!</v>
      </c>
      <c r="W353" s="58">
        <f>'[4]114+940'!S354</f>
        <v>0</v>
      </c>
      <c r="X353" s="57">
        <f t="shared" si="74"/>
        <v>216</v>
      </c>
      <c r="Y353" s="56" t="e">
        <f t="shared" si="75"/>
        <v>#REF!</v>
      </c>
      <c r="Z353" s="55" t="e">
        <f t="shared" si="76"/>
        <v>#REF!</v>
      </c>
      <c r="AA353" s="54" t="e">
        <f t="shared" si="77"/>
        <v>#REF!</v>
      </c>
      <c r="AB353" s="54" t="e">
        <f t="shared" si="78"/>
        <v>#REF!</v>
      </c>
    </row>
    <row r="354" spans="2:28">
      <c r="B354" s="96" t="e">
        <f>'115+040'!#REF!</f>
        <v>#REF!</v>
      </c>
      <c r="C354" s="66" t="e">
        <f t="shared" si="70"/>
        <v>#REF!</v>
      </c>
      <c r="D354" s="65" t="e">
        <f t="shared" si="71"/>
        <v>#REF!</v>
      </c>
      <c r="E354" s="64" t="e">
        <f>VLOOKUP(B354,'115+040'!B352:AB352,3,FALSE)</f>
        <v>#REF!</v>
      </c>
      <c r="F354" s="61" t="e">
        <f t="shared" si="66"/>
        <v>#REF!</v>
      </c>
      <c r="G354" s="63" t="e">
        <f>VLOOKUP(B354,'115+040'!$B$12:$AB$621,20,FALSE)</f>
        <v>#REF!</v>
      </c>
      <c r="H354" s="63" t="e">
        <f>VLOOKUP(B354,'115+040'!$B$12:$AB$621,4,FALSE)</f>
        <v>#REF!</v>
      </c>
      <c r="I354" s="60" t="e">
        <f t="shared" si="67"/>
        <v>#REF!</v>
      </c>
      <c r="J354" s="60" t="e">
        <f>VLOOKUP(B354,'115+040'!$B$12:$AB$621,13,FALSE)</f>
        <v>#REF!</v>
      </c>
      <c r="K354" s="58">
        <f>'115+040'!R352</f>
        <v>0</v>
      </c>
      <c r="L354" s="57">
        <f t="shared" si="72"/>
        <v>770</v>
      </c>
      <c r="M354" s="62" t="e">
        <f>VLOOKUP(B354,'115+040'!$B$11:$AB$621,21,FALSE)</f>
        <v>#REF!</v>
      </c>
      <c r="N354" s="61" t="e">
        <f>VLOOKUP(B354,'115+040'!$B$12:$AB$621,5,FALSE)</f>
        <v>#REF!</v>
      </c>
      <c r="O354" s="60" t="e">
        <f t="shared" si="68"/>
        <v>#REF!</v>
      </c>
      <c r="P354" s="60" t="e">
        <f>VLOOKUP(B354,'115+040'!$B$12:$AB$621,14,FALSE)</f>
        <v>#REF!</v>
      </c>
      <c r="Q354" s="58">
        <f>'115+040'!S352</f>
        <v>0</v>
      </c>
      <c r="R354" s="57">
        <f t="shared" si="73"/>
        <v>894</v>
      </c>
      <c r="S354" s="62" t="e">
        <f>VLOOKUP(B354,'115+040'!$B$11:$AB$621,22,FALSE)</f>
        <v>#REF!</v>
      </c>
      <c r="T354" s="61" t="e">
        <f>VLOOKUP(B354,'115+040'!$B$12:$AB$621,6,FALSE)</f>
        <v>#REF!</v>
      </c>
      <c r="U354" s="60" t="e">
        <f t="shared" si="69"/>
        <v>#REF!</v>
      </c>
      <c r="V354" s="59" t="e">
        <f>VLOOKUP(B354,'115+040'!$B$12:$AB$621,15,FALSE)</f>
        <v>#REF!</v>
      </c>
      <c r="W354" s="58">
        <f>'[4]114+940'!S355</f>
        <v>0</v>
      </c>
      <c r="X354" s="57">
        <f t="shared" si="74"/>
        <v>216</v>
      </c>
      <c r="Y354" s="56" t="e">
        <f t="shared" si="75"/>
        <v>#REF!</v>
      </c>
      <c r="Z354" s="55" t="e">
        <f t="shared" si="76"/>
        <v>#REF!</v>
      </c>
      <c r="AA354" s="54" t="e">
        <f t="shared" si="77"/>
        <v>#REF!</v>
      </c>
      <c r="AB354" s="54" t="e">
        <f t="shared" si="78"/>
        <v>#REF!</v>
      </c>
    </row>
    <row r="355" spans="2:28">
      <c r="B355" s="96" t="e">
        <f>'115+040'!#REF!</f>
        <v>#REF!</v>
      </c>
      <c r="C355" s="66" t="e">
        <f t="shared" si="70"/>
        <v>#REF!</v>
      </c>
      <c r="D355" s="65" t="e">
        <f t="shared" si="71"/>
        <v>#REF!</v>
      </c>
      <c r="E355" s="64" t="e">
        <f>VLOOKUP(B355,'115+040'!B353:AB353,3,FALSE)</f>
        <v>#REF!</v>
      </c>
      <c r="F355" s="61" t="e">
        <f t="shared" si="66"/>
        <v>#REF!</v>
      </c>
      <c r="G355" s="63" t="e">
        <f>VLOOKUP(B355,'115+040'!$B$12:$AB$621,20,FALSE)</f>
        <v>#REF!</v>
      </c>
      <c r="H355" s="63" t="e">
        <f>VLOOKUP(B355,'115+040'!$B$12:$AB$621,4,FALSE)</f>
        <v>#REF!</v>
      </c>
      <c r="I355" s="60" t="e">
        <f t="shared" si="67"/>
        <v>#REF!</v>
      </c>
      <c r="J355" s="60" t="e">
        <f>VLOOKUP(B355,'115+040'!$B$12:$AB$621,13,FALSE)</f>
        <v>#REF!</v>
      </c>
      <c r="K355" s="58">
        <f>'115+040'!R353</f>
        <v>0</v>
      </c>
      <c r="L355" s="57">
        <f t="shared" si="72"/>
        <v>770</v>
      </c>
      <c r="M355" s="62" t="e">
        <f>VLOOKUP(B355,'115+040'!$B$11:$AB$621,21,FALSE)</f>
        <v>#REF!</v>
      </c>
      <c r="N355" s="61" t="e">
        <f>VLOOKUP(B355,'115+040'!$B$12:$AB$621,5,FALSE)</f>
        <v>#REF!</v>
      </c>
      <c r="O355" s="60" t="e">
        <f t="shared" si="68"/>
        <v>#REF!</v>
      </c>
      <c r="P355" s="60" t="e">
        <f>VLOOKUP(B355,'115+040'!$B$12:$AB$621,14,FALSE)</f>
        <v>#REF!</v>
      </c>
      <c r="Q355" s="58">
        <f>'115+040'!S353</f>
        <v>0</v>
      </c>
      <c r="R355" s="57">
        <f t="shared" si="73"/>
        <v>894</v>
      </c>
      <c r="S355" s="62" t="e">
        <f>VLOOKUP(B355,'115+040'!$B$11:$AB$621,22,FALSE)</f>
        <v>#REF!</v>
      </c>
      <c r="T355" s="61" t="e">
        <f>VLOOKUP(B355,'115+040'!$B$12:$AB$621,6,FALSE)</f>
        <v>#REF!</v>
      </c>
      <c r="U355" s="60" t="e">
        <f t="shared" si="69"/>
        <v>#REF!</v>
      </c>
      <c r="V355" s="59" t="e">
        <f>VLOOKUP(B355,'115+040'!$B$12:$AB$621,15,FALSE)</f>
        <v>#REF!</v>
      </c>
      <c r="W355" s="58">
        <f>'[4]114+940'!S356</f>
        <v>0</v>
      </c>
      <c r="X355" s="57">
        <f t="shared" si="74"/>
        <v>216</v>
      </c>
      <c r="Y355" s="56" t="e">
        <f t="shared" si="75"/>
        <v>#REF!</v>
      </c>
      <c r="Z355" s="55" t="e">
        <f t="shared" si="76"/>
        <v>#REF!</v>
      </c>
      <c r="AA355" s="54" t="e">
        <f t="shared" si="77"/>
        <v>#REF!</v>
      </c>
      <c r="AB355" s="54" t="e">
        <f t="shared" si="78"/>
        <v>#REF!</v>
      </c>
    </row>
    <row r="356" spans="2:28">
      <c r="B356" s="96" t="e">
        <f>'115+040'!#REF!</f>
        <v>#REF!</v>
      </c>
      <c r="C356" s="66" t="e">
        <f t="shared" si="70"/>
        <v>#REF!</v>
      </c>
      <c r="D356" s="65" t="e">
        <f t="shared" si="71"/>
        <v>#REF!</v>
      </c>
      <c r="E356" s="64" t="e">
        <f>VLOOKUP(B356,'115+040'!B354:AB354,3,FALSE)</f>
        <v>#REF!</v>
      </c>
      <c r="F356" s="61" t="e">
        <f t="shared" si="66"/>
        <v>#REF!</v>
      </c>
      <c r="G356" s="63" t="e">
        <f>VLOOKUP(B356,'115+040'!$B$12:$AB$621,20,FALSE)</f>
        <v>#REF!</v>
      </c>
      <c r="H356" s="63" t="e">
        <f>VLOOKUP(B356,'115+040'!$B$12:$AB$621,4,FALSE)</f>
        <v>#REF!</v>
      </c>
      <c r="I356" s="60" t="e">
        <f t="shared" si="67"/>
        <v>#REF!</v>
      </c>
      <c r="J356" s="60" t="e">
        <f>VLOOKUP(B356,'115+040'!$B$12:$AB$621,13,FALSE)</f>
        <v>#REF!</v>
      </c>
      <c r="K356" s="58">
        <f>'115+040'!R354</f>
        <v>0</v>
      </c>
      <c r="L356" s="57">
        <f t="shared" si="72"/>
        <v>770</v>
      </c>
      <c r="M356" s="62" t="e">
        <f>VLOOKUP(B356,'115+040'!$B$11:$AB$621,21,FALSE)</f>
        <v>#REF!</v>
      </c>
      <c r="N356" s="61" t="e">
        <f>VLOOKUP(B356,'115+040'!$B$12:$AB$621,5,FALSE)</f>
        <v>#REF!</v>
      </c>
      <c r="O356" s="60" t="e">
        <f t="shared" si="68"/>
        <v>#REF!</v>
      </c>
      <c r="P356" s="60" t="e">
        <f>VLOOKUP(B356,'115+040'!$B$12:$AB$621,14,FALSE)</f>
        <v>#REF!</v>
      </c>
      <c r="Q356" s="58">
        <f>'115+040'!S354</f>
        <v>0</v>
      </c>
      <c r="R356" s="57">
        <f t="shared" si="73"/>
        <v>894</v>
      </c>
      <c r="S356" s="62" t="e">
        <f>VLOOKUP(B356,'115+040'!$B$11:$AB$621,22,FALSE)</f>
        <v>#REF!</v>
      </c>
      <c r="T356" s="61" t="e">
        <f>VLOOKUP(B356,'115+040'!$B$12:$AB$621,6,FALSE)</f>
        <v>#REF!</v>
      </c>
      <c r="U356" s="60" t="e">
        <f t="shared" si="69"/>
        <v>#REF!</v>
      </c>
      <c r="V356" s="59" t="e">
        <f>VLOOKUP(B356,'115+040'!$B$12:$AB$621,15,FALSE)</f>
        <v>#REF!</v>
      </c>
      <c r="W356" s="58">
        <f>'[4]114+940'!S357</f>
        <v>0</v>
      </c>
      <c r="X356" s="57">
        <f t="shared" si="74"/>
        <v>216</v>
      </c>
      <c r="Y356" s="56" t="e">
        <f t="shared" si="75"/>
        <v>#REF!</v>
      </c>
      <c r="Z356" s="55" t="e">
        <f t="shared" si="76"/>
        <v>#REF!</v>
      </c>
      <c r="AA356" s="54" t="e">
        <f t="shared" si="77"/>
        <v>#REF!</v>
      </c>
      <c r="AB356" s="54" t="e">
        <f t="shared" si="78"/>
        <v>#REF!</v>
      </c>
    </row>
    <row r="357" spans="2:28">
      <c r="B357" s="96" t="e">
        <f>'115+040'!#REF!</f>
        <v>#REF!</v>
      </c>
      <c r="C357" s="66" t="e">
        <f t="shared" si="70"/>
        <v>#REF!</v>
      </c>
      <c r="D357" s="65" t="e">
        <f t="shared" si="71"/>
        <v>#REF!</v>
      </c>
      <c r="E357" s="64" t="e">
        <f>VLOOKUP(B357,'115+040'!B355:AB355,3,FALSE)</f>
        <v>#REF!</v>
      </c>
      <c r="F357" s="61" t="e">
        <f t="shared" si="66"/>
        <v>#REF!</v>
      </c>
      <c r="G357" s="63" t="e">
        <f>VLOOKUP(B357,'115+040'!$B$12:$AB$621,20,FALSE)</f>
        <v>#REF!</v>
      </c>
      <c r="H357" s="63" t="e">
        <f>VLOOKUP(B357,'115+040'!$B$12:$AB$621,4,FALSE)</f>
        <v>#REF!</v>
      </c>
      <c r="I357" s="60" t="e">
        <f t="shared" si="67"/>
        <v>#REF!</v>
      </c>
      <c r="J357" s="60" t="e">
        <f>VLOOKUP(B357,'115+040'!$B$12:$AB$621,13,FALSE)</f>
        <v>#REF!</v>
      </c>
      <c r="K357" s="58">
        <f>'115+040'!R355</f>
        <v>0</v>
      </c>
      <c r="L357" s="57">
        <f t="shared" si="72"/>
        <v>770</v>
      </c>
      <c r="M357" s="62" t="e">
        <f>VLOOKUP(B357,'115+040'!$B$11:$AB$621,21,FALSE)</f>
        <v>#REF!</v>
      </c>
      <c r="N357" s="61" t="e">
        <f>VLOOKUP(B357,'115+040'!$B$12:$AB$621,5,FALSE)</f>
        <v>#REF!</v>
      </c>
      <c r="O357" s="60" t="e">
        <f t="shared" si="68"/>
        <v>#REF!</v>
      </c>
      <c r="P357" s="60" t="e">
        <f>VLOOKUP(B357,'115+040'!$B$12:$AB$621,14,FALSE)</f>
        <v>#REF!</v>
      </c>
      <c r="Q357" s="58">
        <f>'115+040'!S355</f>
        <v>0</v>
      </c>
      <c r="R357" s="57">
        <f t="shared" si="73"/>
        <v>894</v>
      </c>
      <c r="S357" s="62" t="e">
        <f>VLOOKUP(B357,'115+040'!$B$11:$AB$621,22,FALSE)</f>
        <v>#REF!</v>
      </c>
      <c r="T357" s="61" t="e">
        <f>VLOOKUP(B357,'115+040'!$B$12:$AB$621,6,FALSE)</f>
        <v>#REF!</v>
      </c>
      <c r="U357" s="60" t="e">
        <f t="shared" si="69"/>
        <v>#REF!</v>
      </c>
      <c r="V357" s="59" t="e">
        <f>VLOOKUP(B357,'115+040'!$B$12:$AB$621,15,FALSE)</f>
        <v>#REF!</v>
      </c>
      <c r="W357" s="58">
        <f>'[4]114+940'!S358</f>
        <v>0</v>
      </c>
      <c r="X357" s="57">
        <f t="shared" si="74"/>
        <v>216</v>
      </c>
      <c r="Y357" s="56" t="e">
        <f t="shared" si="75"/>
        <v>#REF!</v>
      </c>
      <c r="Z357" s="55" t="e">
        <f t="shared" si="76"/>
        <v>#REF!</v>
      </c>
      <c r="AA357" s="54" t="e">
        <f t="shared" si="77"/>
        <v>#REF!</v>
      </c>
      <c r="AB357" s="54" t="e">
        <f t="shared" si="78"/>
        <v>#REF!</v>
      </c>
    </row>
    <row r="358" spans="2:28">
      <c r="B358" s="96" t="e">
        <f>'115+040'!#REF!</f>
        <v>#REF!</v>
      </c>
      <c r="C358" s="66" t="e">
        <f t="shared" si="70"/>
        <v>#REF!</v>
      </c>
      <c r="D358" s="65" t="e">
        <f t="shared" si="71"/>
        <v>#REF!</v>
      </c>
      <c r="E358" s="64" t="e">
        <f>VLOOKUP(B358,'115+040'!B356:AB356,3,FALSE)</f>
        <v>#REF!</v>
      </c>
      <c r="F358" s="61" t="e">
        <f t="shared" si="66"/>
        <v>#REF!</v>
      </c>
      <c r="G358" s="63" t="e">
        <f>VLOOKUP(B358,'115+040'!$B$12:$AB$621,20,FALSE)</f>
        <v>#REF!</v>
      </c>
      <c r="H358" s="63" t="e">
        <f>VLOOKUP(B358,'115+040'!$B$12:$AB$621,4,FALSE)</f>
        <v>#REF!</v>
      </c>
      <c r="I358" s="60" t="e">
        <f t="shared" si="67"/>
        <v>#REF!</v>
      </c>
      <c r="J358" s="60" t="e">
        <f>VLOOKUP(B358,'115+040'!$B$12:$AB$621,13,FALSE)</f>
        <v>#REF!</v>
      </c>
      <c r="K358" s="58">
        <f>'115+040'!R356</f>
        <v>0</v>
      </c>
      <c r="L358" s="57">
        <f t="shared" si="72"/>
        <v>770</v>
      </c>
      <c r="M358" s="62" t="e">
        <f>VLOOKUP(B358,'115+040'!$B$11:$AB$621,21,FALSE)</f>
        <v>#REF!</v>
      </c>
      <c r="N358" s="61" t="e">
        <f>VLOOKUP(B358,'115+040'!$B$12:$AB$621,5,FALSE)</f>
        <v>#REF!</v>
      </c>
      <c r="O358" s="60" t="e">
        <f t="shared" si="68"/>
        <v>#REF!</v>
      </c>
      <c r="P358" s="60" t="e">
        <f>VLOOKUP(B358,'115+040'!$B$12:$AB$621,14,FALSE)</f>
        <v>#REF!</v>
      </c>
      <c r="Q358" s="58">
        <f>'115+040'!S356</f>
        <v>0</v>
      </c>
      <c r="R358" s="57">
        <f t="shared" si="73"/>
        <v>894</v>
      </c>
      <c r="S358" s="62" t="e">
        <f>VLOOKUP(B358,'115+040'!$B$11:$AB$621,22,FALSE)</f>
        <v>#REF!</v>
      </c>
      <c r="T358" s="61" t="e">
        <f>VLOOKUP(B358,'115+040'!$B$12:$AB$621,6,FALSE)</f>
        <v>#REF!</v>
      </c>
      <c r="U358" s="60" t="e">
        <f t="shared" si="69"/>
        <v>#REF!</v>
      </c>
      <c r="V358" s="59" t="e">
        <f>VLOOKUP(B358,'115+040'!$B$12:$AB$621,15,FALSE)</f>
        <v>#REF!</v>
      </c>
      <c r="W358" s="58">
        <f>'[4]114+940'!S359</f>
        <v>0</v>
      </c>
      <c r="X358" s="57">
        <f t="shared" si="74"/>
        <v>216</v>
      </c>
      <c r="Y358" s="56" t="e">
        <f t="shared" si="75"/>
        <v>#REF!</v>
      </c>
      <c r="Z358" s="55" t="e">
        <f t="shared" si="76"/>
        <v>#REF!</v>
      </c>
      <c r="AA358" s="54" t="e">
        <f t="shared" si="77"/>
        <v>#REF!</v>
      </c>
      <c r="AB358" s="54" t="e">
        <f t="shared" si="78"/>
        <v>#REF!</v>
      </c>
    </row>
    <row r="359" spans="2:28">
      <c r="B359" s="96" t="e">
        <f>'115+040'!#REF!</f>
        <v>#REF!</v>
      </c>
      <c r="C359" s="66" t="e">
        <f t="shared" si="70"/>
        <v>#REF!</v>
      </c>
      <c r="D359" s="65" t="e">
        <f t="shared" si="71"/>
        <v>#REF!</v>
      </c>
      <c r="E359" s="64" t="e">
        <f>VLOOKUP(B359,'115+040'!B357:AB357,3,FALSE)</f>
        <v>#REF!</v>
      </c>
      <c r="F359" s="61" t="e">
        <f t="shared" si="66"/>
        <v>#REF!</v>
      </c>
      <c r="G359" s="63" t="e">
        <f>VLOOKUP(B359,'115+040'!$B$12:$AB$621,20,FALSE)</f>
        <v>#REF!</v>
      </c>
      <c r="H359" s="63" t="e">
        <f>VLOOKUP(B359,'115+040'!$B$12:$AB$621,4,FALSE)</f>
        <v>#REF!</v>
      </c>
      <c r="I359" s="60" t="e">
        <f t="shared" si="67"/>
        <v>#REF!</v>
      </c>
      <c r="J359" s="60" t="e">
        <f>VLOOKUP(B359,'115+040'!$B$12:$AB$621,13,FALSE)</f>
        <v>#REF!</v>
      </c>
      <c r="K359" s="58">
        <f>'115+040'!R357</f>
        <v>0</v>
      </c>
      <c r="L359" s="57">
        <f t="shared" si="72"/>
        <v>770</v>
      </c>
      <c r="M359" s="62" t="e">
        <f>VLOOKUP(B359,'115+040'!$B$11:$AB$621,21,FALSE)</f>
        <v>#REF!</v>
      </c>
      <c r="N359" s="61" t="e">
        <f>VLOOKUP(B359,'115+040'!$B$12:$AB$621,5,FALSE)</f>
        <v>#REF!</v>
      </c>
      <c r="O359" s="60" t="e">
        <f t="shared" si="68"/>
        <v>#REF!</v>
      </c>
      <c r="P359" s="60" t="e">
        <f>VLOOKUP(B359,'115+040'!$B$12:$AB$621,14,FALSE)</f>
        <v>#REF!</v>
      </c>
      <c r="Q359" s="58">
        <f>'115+040'!S357</f>
        <v>0</v>
      </c>
      <c r="R359" s="57">
        <f t="shared" si="73"/>
        <v>894</v>
      </c>
      <c r="S359" s="62" t="e">
        <f>VLOOKUP(B359,'115+040'!$B$11:$AB$621,22,FALSE)</f>
        <v>#REF!</v>
      </c>
      <c r="T359" s="61" t="e">
        <f>VLOOKUP(B359,'115+040'!$B$12:$AB$621,6,FALSE)</f>
        <v>#REF!</v>
      </c>
      <c r="U359" s="60" t="e">
        <f t="shared" si="69"/>
        <v>#REF!</v>
      </c>
      <c r="V359" s="59" t="e">
        <f>VLOOKUP(B359,'115+040'!$B$12:$AB$621,15,FALSE)</f>
        <v>#REF!</v>
      </c>
      <c r="W359" s="58">
        <f>'[4]114+940'!S360</f>
        <v>0</v>
      </c>
      <c r="X359" s="57">
        <f t="shared" si="74"/>
        <v>216</v>
      </c>
      <c r="Y359" s="56" t="e">
        <f t="shared" si="75"/>
        <v>#REF!</v>
      </c>
      <c r="Z359" s="55" t="e">
        <f t="shared" si="76"/>
        <v>#REF!</v>
      </c>
      <c r="AA359" s="54" t="e">
        <f t="shared" si="77"/>
        <v>#REF!</v>
      </c>
      <c r="AB359" s="54" t="e">
        <f t="shared" si="78"/>
        <v>#REF!</v>
      </c>
    </row>
    <row r="360" spans="2:28">
      <c r="B360" s="96" t="e">
        <f>'115+040'!#REF!</f>
        <v>#REF!</v>
      </c>
      <c r="C360" s="66" t="e">
        <f t="shared" si="70"/>
        <v>#REF!</v>
      </c>
      <c r="D360" s="65" t="e">
        <f t="shared" si="71"/>
        <v>#REF!</v>
      </c>
      <c r="E360" s="64" t="e">
        <f>VLOOKUP(B360,'115+040'!B358:AB358,3,FALSE)</f>
        <v>#REF!</v>
      </c>
      <c r="F360" s="61" t="e">
        <f t="shared" si="66"/>
        <v>#REF!</v>
      </c>
      <c r="G360" s="63" t="e">
        <f>VLOOKUP(B360,'115+040'!$B$12:$AB$621,20,FALSE)</f>
        <v>#REF!</v>
      </c>
      <c r="H360" s="63" t="e">
        <f>VLOOKUP(B360,'115+040'!$B$12:$AB$621,4,FALSE)</f>
        <v>#REF!</v>
      </c>
      <c r="I360" s="60" t="e">
        <f t="shared" si="67"/>
        <v>#REF!</v>
      </c>
      <c r="J360" s="60" t="e">
        <f>VLOOKUP(B360,'115+040'!$B$12:$AB$621,13,FALSE)</f>
        <v>#REF!</v>
      </c>
      <c r="K360" s="58">
        <f>'115+040'!R358</f>
        <v>0</v>
      </c>
      <c r="L360" s="57">
        <f t="shared" si="72"/>
        <v>770</v>
      </c>
      <c r="M360" s="62" t="e">
        <f>VLOOKUP(B360,'115+040'!$B$11:$AB$621,21,FALSE)</f>
        <v>#REF!</v>
      </c>
      <c r="N360" s="61" t="e">
        <f>VLOOKUP(B360,'115+040'!$B$12:$AB$621,5,FALSE)</f>
        <v>#REF!</v>
      </c>
      <c r="O360" s="60" t="e">
        <f t="shared" si="68"/>
        <v>#REF!</v>
      </c>
      <c r="P360" s="60" t="e">
        <f>VLOOKUP(B360,'115+040'!$B$12:$AB$621,14,FALSE)</f>
        <v>#REF!</v>
      </c>
      <c r="Q360" s="58">
        <f>'115+040'!S358</f>
        <v>0</v>
      </c>
      <c r="R360" s="57">
        <f t="shared" si="73"/>
        <v>894</v>
      </c>
      <c r="S360" s="62" t="e">
        <f>VLOOKUP(B360,'115+040'!$B$11:$AB$621,22,FALSE)</f>
        <v>#REF!</v>
      </c>
      <c r="T360" s="61" t="e">
        <f>VLOOKUP(B360,'115+040'!$B$12:$AB$621,6,FALSE)</f>
        <v>#REF!</v>
      </c>
      <c r="U360" s="60" t="e">
        <f t="shared" si="69"/>
        <v>#REF!</v>
      </c>
      <c r="V360" s="59" t="e">
        <f>VLOOKUP(B360,'115+040'!$B$12:$AB$621,15,FALSE)</f>
        <v>#REF!</v>
      </c>
      <c r="W360" s="58">
        <f>'[4]114+940'!S361</f>
        <v>0</v>
      </c>
      <c r="X360" s="57">
        <f t="shared" si="74"/>
        <v>216</v>
      </c>
      <c r="Y360" s="56" t="e">
        <f t="shared" si="75"/>
        <v>#REF!</v>
      </c>
      <c r="Z360" s="55" t="e">
        <f t="shared" si="76"/>
        <v>#REF!</v>
      </c>
      <c r="AA360" s="54" t="e">
        <f t="shared" si="77"/>
        <v>#REF!</v>
      </c>
      <c r="AB360" s="54" t="e">
        <f t="shared" si="78"/>
        <v>#REF!</v>
      </c>
    </row>
    <row r="361" spans="2:28">
      <c r="B361" s="96" t="e">
        <f>'115+040'!#REF!</f>
        <v>#REF!</v>
      </c>
      <c r="C361" s="66" t="e">
        <f t="shared" si="70"/>
        <v>#REF!</v>
      </c>
      <c r="D361" s="65" t="e">
        <f t="shared" si="71"/>
        <v>#REF!</v>
      </c>
      <c r="E361" s="64" t="e">
        <f>VLOOKUP(B361,'115+040'!B359:AB359,3,FALSE)</f>
        <v>#REF!</v>
      </c>
      <c r="F361" s="61" t="e">
        <f t="shared" si="66"/>
        <v>#REF!</v>
      </c>
      <c r="G361" s="63" t="e">
        <f>VLOOKUP(B361,'115+040'!$B$12:$AB$621,20,FALSE)</f>
        <v>#REF!</v>
      </c>
      <c r="H361" s="63" t="e">
        <f>VLOOKUP(B361,'115+040'!$B$12:$AB$621,4,FALSE)</f>
        <v>#REF!</v>
      </c>
      <c r="I361" s="60" t="e">
        <f t="shared" si="67"/>
        <v>#REF!</v>
      </c>
      <c r="J361" s="60" t="e">
        <f>VLOOKUP(B361,'115+040'!$B$12:$AB$621,13,FALSE)</f>
        <v>#REF!</v>
      </c>
      <c r="K361" s="58">
        <f>'115+040'!R359</f>
        <v>0</v>
      </c>
      <c r="L361" s="57">
        <f t="shared" si="72"/>
        <v>770</v>
      </c>
      <c r="M361" s="62" t="e">
        <f>VLOOKUP(B361,'115+040'!$B$11:$AB$621,21,FALSE)</f>
        <v>#REF!</v>
      </c>
      <c r="N361" s="61" t="e">
        <f>VLOOKUP(B361,'115+040'!$B$12:$AB$621,5,FALSE)</f>
        <v>#REF!</v>
      </c>
      <c r="O361" s="60" t="e">
        <f t="shared" si="68"/>
        <v>#REF!</v>
      </c>
      <c r="P361" s="60" t="e">
        <f>VLOOKUP(B361,'115+040'!$B$12:$AB$621,14,FALSE)</f>
        <v>#REF!</v>
      </c>
      <c r="Q361" s="58">
        <f>'115+040'!S359</f>
        <v>0</v>
      </c>
      <c r="R361" s="57">
        <f t="shared" si="73"/>
        <v>894</v>
      </c>
      <c r="S361" s="62" t="e">
        <f>VLOOKUP(B361,'115+040'!$B$11:$AB$621,22,FALSE)</f>
        <v>#REF!</v>
      </c>
      <c r="T361" s="61" t="e">
        <f>VLOOKUP(B361,'115+040'!$B$12:$AB$621,6,FALSE)</f>
        <v>#REF!</v>
      </c>
      <c r="U361" s="60" t="e">
        <f t="shared" si="69"/>
        <v>#REF!</v>
      </c>
      <c r="V361" s="59" t="e">
        <f>VLOOKUP(B361,'115+040'!$B$12:$AB$621,15,FALSE)</f>
        <v>#REF!</v>
      </c>
      <c r="W361" s="58">
        <f>'[4]114+940'!S362</f>
        <v>0</v>
      </c>
      <c r="X361" s="57">
        <f t="shared" si="74"/>
        <v>216</v>
      </c>
      <c r="Y361" s="56" t="e">
        <f t="shared" si="75"/>
        <v>#REF!</v>
      </c>
      <c r="Z361" s="55" t="e">
        <f t="shared" si="76"/>
        <v>#REF!</v>
      </c>
      <c r="AA361" s="54" t="e">
        <f t="shared" si="77"/>
        <v>#REF!</v>
      </c>
      <c r="AB361" s="54" t="e">
        <f t="shared" si="78"/>
        <v>#REF!</v>
      </c>
    </row>
    <row r="362" spans="2:28">
      <c r="B362" s="96" t="e">
        <f>'115+040'!#REF!</f>
        <v>#REF!</v>
      </c>
      <c r="C362" s="66" t="e">
        <f t="shared" si="70"/>
        <v>#REF!</v>
      </c>
      <c r="D362" s="65" t="e">
        <f t="shared" si="71"/>
        <v>#REF!</v>
      </c>
      <c r="E362" s="64" t="e">
        <f>VLOOKUP(B362,'115+040'!B360:AB360,3,FALSE)</f>
        <v>#REF!</v>
      </c>
      <c r="F362" s="61" t="e">
        <f t="shared" si="66"/>
        <v>#REF!</v>
      </c>
      <c r="G362" s="63" t="e">
        <f>VLOOKUP(B362,'115+040'!$B$12:$AB$621,20,FALSE)</f>
        <v>#REF!</v>
      </c>
      <c r="H362" s="63" t="e">
        <f>VLOOKUP(B362,'115+040'!$B$12:$AB$621,4,FALSE)</f>
        <v>#REF!</v>
      </c>
      <c r="I362" s="60" t="e">
        <f t="shared" si="67"/>
        <v>#REF!</v>
      </c>
      <c r="J362" s="60" t="e">
        <f>VLOOKUP(B362,'115+040'!$B$12:$AB$621,13,FALSE)</f>
        <v>#REF!</v>
      </c>
      <c r="K362" s="58">
        <f>'115+040'!R360</f>
        <v>0</v>
      </c>
      <c r="L362" s="57">
        <f t="shared" si="72"/>
        <v>770</v>
      </c>
      <c r="M362" s="62" t="e">
        <f>VLOOKUP(B362,'115+040'!$B$11:$AB$621,21,FALSE)</f>
        <v>#REF!</v>
      </c>
      <c r="N362" s="61" t="e">
        <f>VLOOKUP(B362,'115+040'!$B$12:$AB$621,5,FALSE)</f>
        <v>#REF!</v>
      </c>
      <c r="O362" s="60" t="e">
        <f t="shared" si="68"/>
        <v>#REF!</v>
      </c>
      <c r="P362" s="60" t="e">
        <f>VLOOKUP(B362,'115+040'!$B$12:$AB$621,14,FALSE)</f>
        <v>#REF!</v>
      </c>
      <c r="Q362" s="58">
        <f>'115+040'!S360</f>
        <v>0</v>
      </c>
      <c r="R362" s="57">
        <f t="shared" si="73"/>
        <v>894</v>
      </c>
      <c r="S362" s="62" t="e">
        <f>VLOOKUP(B362,'115+040'!$B$11:$AB$621,22,FALSE)</f>
        <v>#REF!</v>
      </c>
      <c r="T362" s="61" t="e">
        <f>VLOOKUP(B362,'115+040'!$B$12:$AB$621,6,FALSE)</f>
        <v>#REF!</v>
      </c>
      <c r="U362" s="60" t="e">
        <f t="shared" si="69"/>
        <v>#REF!</v>
      </c>
      <c r="V362" s="59" t="e">
        <f>VLOOKUP(B362,'115+040'!$B$12:$AB$621,15,FALSE)</f>
        <v>#REF!</v>
      </c>
      <c r="W362" s="58">
        <f>'[4]114+940'!S363</f>
        <v>0</v>
      </c>
      <c r="X362" s="57">
        <f t="shared" si="74"/>
        <v>216</v>
      </c>
      <c r="Y362" s="56" t="e">
        <f t="shared" si="75"/>
        <v>#REF!</v>
      </c>
      <c r="Z362" s="55" t="e">
        <f t="shared" si="76"/>
        <v>#REF!</v>
      </c>
      <c r="AA362" s="54" t="e">
        <f t="shared" si="77"/>
        <v>#REF!</v>
      </c>
      <c r="AB362" s="54" t="e">
        <f t="shared" si="78"/>
        <v>#REF!</v>
      </c>
    </row>
    <row r="363" spans="2:28">
      <c r="B363" s="96" t="e">
        <f>'115+040'!#REF!</f>
        <v>#REF!</v>
      </c>
      <c r="C363" s="66" t="e">
        <f t="shared" si="70"/>
        <v>#REF!</v>
      </c>
      <c r="D363" s="65" t="e">
        <f t="shared" si="71"/>
        <v>#REF!</v>
      </c>
      <c r="E363" s="64" t="e">
        <f>VLOOKUP(B363,'115+040'!B361:AB361,3,FALSE)</f>
        <v>#REF!</v>
      </c>
      <c r="F363" s="61" t="e">
        <f t="shared" si="66"/>
        <v>#REF!</v>
      </c>
      <c r="G363" s="63" t="e">
        <f>VLOOKUP(B363,'115+040'!$B$12:$AB$621,20,FALSE)</f>
        <v>#REF!</v>
      </c>
      <c r="H363" s="63" t="e">
        <f>VLOOKUP(B363,'115+040'!$B$12:$AB$621,4,FALSE)</f>
        <v>#REF!</v>
      </c>
      <c r="I363" s="60" t="e">
        <f t="shared" si="67"/>
        <v>#REF!</v>
      </c>
      <c r="J363" s="60" t="e">
        <f>VLOOKUP(B363,'115+040'!$B$12:$AB$621,13,FALSE)</f>
        <v>#REF!</v>
      </c>
      <c r="K363" s="58">
        <f>'115+040'!R361</f>
        <v>0</v>
      </c>
      <c r="L363" s="57">
        <f t="shared" si="72"/>
        <v>770</v>
      </c>
      <c r="M363" s="62" t="e">
        <f>VLOOKUP(B363,'115+040'!$B$11:$AB$621,21,FALSE)</f>
        <v>#REF!</v>
      </c>
      <c r="N363" s="61" t="e">
        <f>VLOOKUP(B363,'115+040'!$B$12:$AB$621,5,FALSE)</f>
        <v>#REF!</v>
      </c>
      <c r="O363" s="60" t="e">
        <f t="shared" si="68"/>
        <v>#REF!</v>
      </c>
      <c r="P363" s="60" t="e">
        <f>VLOOKUP(B363,'115+040'!$B$12:$AB$621,14,FALSE)</f>
        <v>#REF!</v>
      </c>
      <c r="Q363" s="58">
        <f>'115+040'!S361</f>
        <v>0</v>
      </c>
      <c r="R363" s="57">
        <f t="shared" si="73"/>
        <v>894</v>
      </c>
      <c r="S363" s="62" t="e">
        <f>VLOOKUP(B363,'115+040'!$B$11:$AB$621,22,FALSE)</f>
        <v>#REF!</v>
      </c>
      <c r="T363" s="61" t="e">
        <f>VLOOKUP(B363,'115+040'!$B$12:$AB$621,6,FALSE)</f>
        <v>#REF!</v>
      </c>
      <c r="U363" s="60" t="e">
        <f t="shared" si="69"/>
        <v>#REF!</v>
      </c>
      <c r="V363" s="59" t="e">
        <f>VLOOKUP(B363,'115+040'!$B$12:$AB$621,15,FALSE)</f>
        <v>#REF!</v>
      </c>
      <c r="W363" s="58">
        <f>'[4]114+940'!S364</f>
        <v>0</v>
      </c>
      <c r="X363" s="57">
        <f t="shared" si="74"/>
        <v>216</v>
      </c>
      <c r="Y363" s="56" t="e">
        <f t="shared" si="75"/>
        <v>#REF!</v>
      </c>
      <c r="Z363" s="55" t="e">
        <f t="shared" si="76"/>
        <v>#REF!</v>
      </c>
      <c r="AA363" s="54" t="e">
        <f t="shared" si="77"/>
        <v>#REF!</v>
      </c>
      <c r="AB363" s="54" t="e">
        <f t="shared" si="78"/>
        <v>#REF!</v>
      </c>
    </row>
    <row r="364" spans="2:28">
      <c r="B364" s="96" t="e">
        <f>'115+040'!#REF!</f>
        <v>#REF!</v>
      </c>
      <c r="C364" s="66" t="e">
        <f t="shared" si="70"/>
        <v>#REF!</v>
      </c>
      <c r="D364" s="65" t="e">
        <f t="shared" si="71"/>
        <v>#REF!</v>
      </c>
      <c r="E364" s="64" t="e">
        <f>VLOOKUP(B364,'115+040'!B362:AB362,3,FALSE)</f>
        <v>#REF!</v>
      </c>
      <c r="F364" s="61" t="e">
        <f t="shared" si="66"/>
        <v>#REF!</v>
      </c>
      <c r="G364" s="63" t="e">
        <f>VLOOKUP(B364,'115+040'!$B$12:$AB$621,20,FALSE)</f>
        <v>#REF!</v>
      </c>
      <c r="H364" s="63" t="e">
        <f>VLOOKUP(B364,'115+040'!$B$12:$AB$621,4,FALSE)</f>
        <v>#REF!</v>
      </c>
      <c r="I364" s="60" t="e">
        <f t="shared" si="67"/>
        <v>#REF!</v>
      </c>
      <c r="J364" s="60" t="e">
        <f>VLOOKUP(B364,'115+040'!$B$12:$AB$621,13,FALSE)</f>
        <v>#REF!</v>
      </c>
      <c r="K364" s="58">
        <f>'115+040'!R362</f>
        <v>0</v>
      </c>
      <c r="L364" s="57">
        <f t="shared" si="72"/>
        <v>770</v>
      </c>
      <c r="M364" s="62" t="e">
        <f>VLOOKUP(B364,'115+040'!$B$11:$AB$621,21,FALSE)</f>
        <v>#REF!</v>
      </c>
      <c r="N364" s="61" t="e">
        <f>VLOOKUP(B364,'115+040'!$B$12:$AB$621,5,FALSE)</f>
        <v>#REF!</v>
      </c>
      <c r="O364" s="60" t="e">
        <f t="shared" si="68"/>
        <v>#REF!</v>
      </c>
      <c r="P364" s="60" t="e">
        <f>VLOOKUP(B364,'115+040'!$B$12:$AB$621,14,FALSE)</f>
        <v>#REF!</v>
      </c>
      <c r="Q364" s="58">
        <f>'115+040'!S362</f>
        <v>0</v>
      </c>
      <c r="R364" s="57">
        <f t="shared" si="73"/>
        <v>894</v>
      </c>
      <c r="S364" s="62" t="e">
        <f>VLOOKUP(B364,'115+040'!$B$11:$AB$621,22,FALSE)</f>
        <v>#REF!</v>
      </c>
      <c r="T364" s="61" t="e">
        <f>VLOOKUP(B364,'115+040'!$B$12:$AB$621,6,FALSE)</f>
        <v>#REF!</v>
      </c>
      <c r="U364" s="60" t="e">
        <f t="shared" si="69"/>
        <v>#REF!</v>
      </c>
      <c r="V364" s="59" t="e">
        <f>VLOOKUP(B364,'115+040'!$B$12:$AB$621,15,FALSE)</f>
        <v>#REF!</v>
      </c>
      <c r="W364" s="58">
        <f>'[4]114+940'!S365</f>
        <v>0</v>
      </c>
      <c r="X364" s="57">
        <f t="shared" si="74"/>
        <v>216</v>
      </c>
      <c r="Y364" s="56" t="e">
        <f t="shared" si="75"/>
        <v>#REF!</v>
      </c>
      <c r="Z364" s="55" t="e">
        <f t="shared" si="76"/>
        <v>#REF!</v>
      </c>
      <c r="AA364" s="54" t="e">
        <f t="shared" si="77"/>
        <v>#REF!</v>
      </c>
      <c r="AB364" s="54" t="e">
        <f t="shared" si="78"/>
        <v>#REF!</v>
      </c>
    </row>
    <row r="365" spans="2:28">
      <c r="B365" s="96" t="e">
        <f>'115+040'!#REF!</f>
        <v>#REF!</v>
      </c>
      <c r="C365" s="66" t="e">
        <f t="shared" si="70"/>
        <v>#REF!</v>
      </c>
      <c r="D365" s="65" t="e">
        <f t="shared" si="71"/>
        <v>#REF!</v>
      </c>
      <c r="E365" s="64" t="e">
        <f>VLOOKUP(B365,'115+040'!B363:AB363,3,FALSE)</f>
        <v>#REF!</v>
      </c>
      <c r="F365" s="61" t="e">
        <f t="shared" si="66"/>
        <v>#REF!</v>
      </c>
      <c r="G365" s="63" t="e">
        <f>VLOOKUP(B365,'115+040'!$B$12:$AB$621,20,FALSE)</f>
        <v>#REF!</v>
      </c>
      <c r="H365" s="63" t="e">
        <f>VLOOKUP(B365,'115+040'!$B$12:$AB$621,4,FALSE)</f>
        <v>#REF!</v>
      </c>
      <c r="I365" s="60" t="e">
        <f t="shared" si="67"/>
        <v>#REF!</v>
      </c>
      <c r="J365" s="60" t="e">
        <f>VLOOKUP(B365,'115+040'!$B$12:$AB$621,13,FALSE)</f>
        <v>#REF!</v>
      </c>
      <c r="K365" s="58">
        <f>'115+040'!R363</f>
        <v>0</v>
      </c>
      <c r="L365" s="57">
        <f t="shared" si="72"/>
        <v>770</v>
      </c>
      <c r="M365" s="62" t="e">
        <f>VLOOKUP(B365,'115+040'!$B$11:$AB$621,21,FALSE)</f>
        <v>#REF!</v>
      </c>
      <c r="N365" s="61" t="e">
        <f>VLOOKUP(B365,'115+040'!$B$12:$AB$621,5,FALSE)</f>
        <v>#REF!</v>
      </c>
      <c r="O365" s="60" t="e">
        <f t="shared" si="68"/>
        <v>#REF!</v>
      </c>
      <c r="P365" s="60" t="e">
        <f>VLOOKUP(B365,'115+040'!$B$12:$AB$621,14,FALSE)</f>
        <v>#REF!</v>
      </c>
      <c r="Q365" s="58">
        <f>'115+040'!S363</f>
        <v>0</v>
      </c>
      <c r="R365" s="57">
        <f t="shared" si="73"/>
        <v>894</v>
      </c>
      <c r="S365" s="62" t="e">
        <f>VLOOKUP(B365,'115+040'!$B$11:$AB$621,22,FALSE)</f>
        <v>#REF!</v>
      </c>
      <c r="T365" s="61" t="e">
        <f>VLOOKUP(B365,'115+040'!$B$12:$AB$621,6,FALSE)</f>
        <v>#REF!</v>
      </c>
      <c r="U365" s="60" t="e">
        <f t="shared" si="69"/>
        <v>#REF!</v>
      </c>
      <c r="V365" s="59" t="e">
        <f>VLOOKUP(B365,'115+040'!$B$12:$AB$621,15,FALSE)</f>
        <v>#REF!</v>
      </c>
      <c r="W365" s="58">
        <f>'[4]114+940'!S366</f>
        <v>0</v>
      </c>
      <c r="X365" s="57">
        <f t="shared" si="74"/>
        <v>216</v>
      </c>
      <c r="Y365" s="56" t="e">
        <f t="shared" si="75"/>
        <v>#REF!</v>
      </c>
      <c r="Z365" s="55" t="e">
        <f t="shared" si="76"/>
        <v>#REF!</v>
      </c>
      <c r="AA365" s="54" t="e">
        <f t="shared" si="77"/>
        <v>#REF!</v>
      </c>
      <c r="AB365" s="54" t="e">
        <f t="shared" si="78"/>
        <v>#REF!</v>
      </c>
    </row>
    <row r="366" spans="2:28">
      <c r="B366" s="96" t="e">
        <f>'115+040'!#REF!</f>
        <v>#REF!</v>
      </c>
      <c r="C366" s="66" t="e">
        <f t="shared" si="70"/>
        <v>#REF!</v>
      </c>
      <c r="D366" s="65" t="e">
        <f t="shared" si="71"/>
        <v>#REF!</v>
      </c>
      <c r="E366" s="64" t="e">
        <f>VLOOKUP(B366,'115+040'!B364:AB364,3,FALSE)</f>
        <v>#REF!</v>
      </c>
      <c r="F366" s="61" t="e">
        <f t="shared" si="66"/>
        <v>#REF!</v>
      </c>
      <c r="G366" s="63" t="e">
        <f>VLOOKUP(B366,'115+040'!$B$12:$AB$621,20,FALSE)</f>
        <v>#REF!</v>
      </c>
      <c r="H366" s="63" t="e">
        <f>VLOOKUP(B366,'115+040'!$B$12:$AB$621,4,FALSE)</f>
        <v>#REF!</v>
      </c>
      <c r="I366" s="60" t="e">
        <f t="shared" si="67"/>
        <v>#REF!</v>
      </c>
      <c r="J366" s="60" t="e">
        <f>VLOOKUP(B366,'115+040'!$B$12:$AB$621,13,FALSE)</f>
        <v>#REF!</v>
      </c>
      <c r="K366" s="58">
        <f>'115+040'!R364</f>
        <v>0</v>
      </c>
      <c r="L366" s="57">
        <f t="shared" si="72"/>
        <v>770</v>
      </c>
      <c r="M366" s="62" t="e">
        <f>VLOOKUP(B366,'115+040'!$B$11:$AB$621,21,FALSE)</f>
        <v>#REF!</v>
      </c>
      <c r="N366" s="61" t="e">
        <f>VLOOKUP(B366,'115+040'!$B$12:$AB$621,5,FALSE)</f>
        <v>#REF!</v>
      </c>
      <c r="O366" s="60" t="e">
        <f t="shared" si="68"/>
        <v>#REF!</v>
      </c>
      <c r="P366" s="60" t="e">
        <f>VLOOKUP(B366,'115+040'!$B$12:$AB$621,14,FALSE)</f>
        <v>#REF!</v>
      </c>
      <c r="Q366" s="58">
        <f>'115+040'!S364</f>
        <v>0</v>
      </c>
      <c r="R366" s="57">
        <f t="shared" si="73"/>
        <v>894</v>
      </c>
      <c r="S366" s="62" t="e">
        <f>VLOOKUP(B366,'115+040'!$B$11:$AB$621,22,FALSE)</f>
        <v>#REF!</v>
      </c>
      <c r="T366" s="61" t="e">
        <f>VLOOKUP(B366,'115+040'!$B$12:$AB$621,6,FALSE)</f>
        <v>#REF!</v>
      </c>
      <c r="U366" s="60" t="e">
        <f t="shared" si="69"/>
        <v>#REF!</v>
      </c>
      <c r="V366" s="59" t="e">
        <f>VLOOKUP(B366,'115+040'!$B$12:$AB$621,15,FALSE)</f>
        <v>#REF!</v>
      </c>
      <c r="W366" s="58">
        <f>'[4]114+940'!S367</f>
        <v>0</v>
      </c>
      <c r="X366" s="57">
        <f t="shared" si="74"/>
        <v>216</v>
      </c>
      <c r="Y366" s="56" t="e">
        <f t="shared" si="75"/>
        <v>#REF!</v>
      </c>
      <c r="Z366" s="55" t="e">
        <f t="shared" si="76"/>
        <v>#REF!</v>
      </c>
      <c r="AA366" s="54" t="e">
        <f t="shared" si="77"/>
        <v>#REF!</v>
      </c>
      <c r="AB366" s="54" t="e">
        <f t="shared" si="78"/>
        <v>#REF!</v>
      </c>
    </row>
    <row r="367" spans="2:28">
      <c r="B367" s="96" t="e">
        <f>'115+040'!#REF!</f>
        <v>#REF!</v>
      </c>
      <c r="C367" s="66" t="e">
        <f t="shared" si="70"/>
        <v>#REF!</v>
      </c>
      <c r="D367" s="65" t="e">
        <f t="shared" si="71"/>
        <v>#REF!</v>
      </c>
      <c r="E367" s="64" t="e">
        <f>VLOOKUP(B367,'115+040'!B365:AB365,3,FALSE)</f>
        <v>#REF!</v>
      </c>
      <c r="F367" s="61" t="e">
        <f t="shared" si="66"/>
        <v>#REF!</v>
      </c>
      <c r="G367" s="63" t="e">
        <f>VLOOKUP(B367,'115+040'!$B$12:$AB$621,20,FALSE)</f>
        <v>#REF!</v>
      </c>
      <c r="H367" s="63" t="e">
        <f>VLOOKUP(B367,'115+040'!$B$12:$AB$621,4,FALSE)</f>
        <v>#REF!</v>
      </c>
      <c r="I367" s="60" t="e">
        <f t="shared" si="67"/>
        <v>#REF!</v>
      </c>
      <c r="J367" s="60" t="e">
        <f>VLOOKUP(B367,'115+040'!$B$12:$AB$621,13,FALSE)</f>
        <v>#REF!</v>
      </c>
      <c r="K367" s="58">
        <f>'115+040'!R365</f>
        <v>0</v>
      </c>
      <c r="L367" s="57">
        <f t="shared" si="72"/>
        <v>770</v>
      </c>
      <c r="M367" s="62" t="e">
        <f>VLOOKUP(B367,'115+040'!$B$11:$AB$621,21,FALSE)</f>
        <v>#REF!</v>
      </c>
      <c r="N367" s="61" t="e">
        <f>VLOOKUP(B367,'115+040'!$B$12:$AB$621,5,FALSE)</f>
        <v>#REF!</v>
      </c>
      <c r="O367" s="60" t="e">
        <f t="shared" si="68"/>
        <v>#REF!</v>
      </c>
      <c r="P367" s="60" t="e">
        <f>VLOOKUP(B367,'115+040'!$B$12:$AB$621,14,FALSE)</f>
        <v>#REF!</v>
      </c>
      <c r="Q367" s="58">
        <f>'115+040'!S365</f>
        <v>0</v>
      </c>
      <c r="R367" s="57">
        <f t="shared" si="73"/>
        <v>894</v>
      </c>
      <c r="S367" s="62" t="e">
        <f>VLOOKUP(B367,'115+040'!$B$11:$AB$621,22,FALSE)</f>
        <v>#REF!</v>
      </c>
      <c r="T367" s="61" t="e">
        <f>VLOOKUP(B367,'115+040'!$B$12:$AB$621,6,FALSE)</f>
        <v>#REF!</v>
      </c>
      <c r="U367" s="60" t="e">
        <f t="shared" si="69"/>
        <v>#REF!</v>
      </c>
      <c r="V367" s="59" t="e">
        <f>VLOOKUP(B367,'115+040'!$B$12:$AB$621,15,FALSE)</f>
        <v>#REF!</v>
      </c>
      <c r="W367" s="58">
        <f>'[4]114+940'!S368</f>
        <v>0</v>
      </c>
      <c r="X367" s="57">
        <f t="shared" si="74"/>
        <v>216</v>
      </c>
      <c r="Y367" s="56" t="e">
        <f t="shared" si="75"/>
        <v>#REF!</v>
      </c>
      <c r="Z367" s="55" t="e">
        <f t="shared" si="76"/>
        <v>#REF!</v>
      </c>
      <c r="AA367" s="54" t="e">
        <f t="shared" si="77"/>
        <v>#REF!</v>
      </c>
      <c r="AB367" s="54" t="e">
        <f t="shared" si="78"/>
        <v>#REF!</v>
      </c>
    </row>
    <row r="368" spans="2:28">
      <c r="B368" s="96" t="e">
        <f>'115+040'!#REF!</f>
        <v>#REF!</v>
      </c>
      <c r="C368" s="66" t="e">
        <f t="shared" si="70"/>
        <v>#REF!</v>
      </c>
      <c r="D368" s="65" t="e">
        <f t="shared" si="71"/>
        <v>#REF!</v>
      </c>
      <c r="E368" s="64" t="e">
        <f>VLOOKUP(B368,'115+040'!B366:AB366,3,FALSE)</f>
        <v>#REF!</v>
      </c>
      <c r="F368" s="61" t="e">
        <f t="shared" si="66"/>
        <v>#REF!</v>
      </c>
      <c r="G368" s="63" t="e">
        <f>VLOOKUP(B368,'115+040'!$B$12:$AB$621,20,FALSE)</f>
        <v>#REF!</v>
      </c>
      <c r="H368" s="63" t="e">
        <f>VLOOKUP(B368,'115+040'!$B$12:$AB$621,4,FALSE)</f>
        <v>#REF!</v>
      </c>
      <c r="I368" s="60" t="e">
        <f t="shared" si="67"/>
        <v>#REF!</v>
      </c>
      <c r="J368" s="60" t="e">
        <f>VLOOKUP(B368,'115+040'!$B$12:$AB$621,13,FALSE)</f>
        <v>#REF!</v>
      </c>
      <c r="K368" s="58">
        <f>'115+040'!R366</f>
        <v>0</v>
      </c>
      <c r="L368" s="57">
        <f t="shared" si="72"/>
        <v>770</v>
      </c>
      <c r="M368" s="62" t="e">
        <f>VLOOKUP(B368,'115+040'!$B$11:$AB$621,21,FALSE)</f>
        <v>#REF!</v>
      </c>
      <c r="N368" s="61" t="e">
        <f>VLOOKUP(B368,'115+040'!$B$12:$AB$621,5,FALSE)</f>
        <v>#REF!</v>
      </c>
      <c r="O368" s="60" t="e">
        <f t="shared" si="68"/>
        <v>#REF!</v>
      </c>
      <c r="P368" s="60" t="e">
        <f>VLOOKUP(B368,'115+040'!$B$12:$AB$621,14,FALSE)</f>
        <v>#REF!</v>
      </c>
      <c r="Q368" s="58">
        <f>'115+040'!S366</f>
        <v>0</v>
      </c>
      <c r="R368" s="57">
        <f t="shared" si="73"/>
        <v>894</v>
      </c>
      <c r="S368" s="62" t="e">
        <f>VLOOKUP(B368,'115+040'!$B$11:$AB$621,22,FALSE)</f>
        <v>#REF!</v>
      </c>
      <c r="T368" s="61" t="e">
        <f>VLOOKUP(B368,'115+040'!$B$12:$AB$621,6,FALSE)</f>
        <v>#REF!</v>
      </c>
      <c r="U368" s="60" t="e">
        <f t="shared" si="69"/>
        <v>#REF!</v>
      </c>
      <c r="V368" s="59" t="e">
        <f>VLOOKUP(B368,'115+040'!$B$12:$AB$621,15,FALSE)</f>
        <v>#REF!</v>
      </c>
      <c r="W368" s="58">
        <f>'[4]114+940'!S369</f>
        <v>0</v>
      </c>
      <c r="X368" s="57">
        <f t="shared" si="74"/>
        <v>216</v>
      </c>
      <c r="Y368" s="56" t="e">
        <f t="shared" si="75"/>
        <v>#REF!</v>
      </c>
      <c r="Z368" s="55" t="e">
        <f t="shared" si="76"/>
        <v>#REF!</v>
      </c>
      <c r="AA368" s="54" t="e">
        <f t="shared" si="77"/>
        <v>#REF!</v>
      </c>
      <c r="AB368" s="54" t="e">
        <f t="shared" si="78"/>
        <v>#REF!</v>
      </c>
    </row>
    <row r="369" spans="2:28">
      <c r="B369" s="96" t="e">
        <f>'115+040'!#REF!</f>
        <v>#REF!</v>
      </c>
      <c r="C369" s="66" t="e">
        <f t="shared" si="70"/>
        <v>#REF!</v>
      </c>
      <c r="D369" s="65" t="e">
        <f t="shared" si="71"/>
        <v>#REF!</v>
      </c>
      <c r="E369" s="64" t="e">
        <f>VLOOKUP(B369,'115+040'!B367:AB367,3,FALSE)</f>
        <v>#REF!</v>
      </c>
      <c r="F369" s="61" t="e">
        <f t="shared" si="66"/>
        <v>#REF!</v>
      </c>
      <c r="G369" s="63" t="e">
        <f>VLOOKUP(B369,'115+040'!$B$12:$AB$621,20,FALSE)</f>
        <v>#REF!</v>
      </c>
      <c r="H369" s="63" t="e">
        <f>VLOOKUP(B369,'115+040'!$B$12:$AB$621,4,FALSE)</f>
        <v>#REF!</v>
      </c>
      <c r="I369" s="60" t="e">
        <f t="shared" si="67"/>
        <v>#REF!</v>
      </c>
      <c r="J369" s="60" t="e">
        <f>VLOOKUP(B369,'115+040'!$B$12:$AB$621,13,FALSE)</f>
        <v>#REF!</v>
      </c>
      <c r="K369" s="58">
        <f>'115+040'!R367</f>
        <v>0</v>
      </c>
      <c r="L369" s="57">
        <f t="shared" si="72"/>
        <v>770</v>
      </c>
      <c r="M369" s="62" t="e">
        <f>VLOOKUP(B369,'115+040'!$B$11:$AB$621,21,FALSE)</f>
        <v>#REF!</v>
      </c>
      <c r="N369" s="61" t="e">
        <f>VLOOKUP(B369,'115+040'!$B$12:$AB$621,5,FALSE)</f>
        <v>#REF!</v>
      </c>
      <c r="O369" s="60" t="e">
        <f t="shared" si="68"/>
        <v>#REF!</v>
      </c>
      <c r="P369" s="60" t="e">
        <f>VLOOKUP(B369,'115+040'!$B$12:$AB$621,14,FALSE)</f>
        <v>#REF!</v>
      </c>
      <c r="Q369" s="58">
        <f>'115+040'!S367</f>
        <v>0</v>
      </c>
      <c r="R369" s="57">
        <f t="shared" si="73"/>
        <v>894</v>
      </c>
      <c r="S369" s="62" t="e">
        <f>VLOOKUP(B369,'115+040'!$B$11:$AB$621,22,FALSE)</f>
        <v>#REF!</v>
      </c>
      <c r="T369" s="61" t="e">
        <f>VLOOKUP(B369,'115+040'!$B$12:$AB$621,6,FALSE)</f>
        <v>#REF!</v>
      </c>
      <c r="U369" s="60" t="e">
        <f t="shared" si="69"/>
        <v>#REF!</v>
      </c>
      <c r="V369" s="59" t="e">
        <f>VLOOKUP(B369,'115+040'!$B$12:$AB$621,15,FALSE)</f>
        <v>#REF!</v>
      </c>
      <c r="W369" s="58">
        <f>'[4]114+940'!S370</f>
        <v>0</v>
      </c>
      <c r="X369" s="57">
        <f t="shared" si="74"/>
        <v>216</v>
      </c>
      <c r="Y369" s="56" t="e">
        <f t="shared" si="75"/>
        <v>#REF!</v>
      </c>
      <c r="Z369" s="55" t="e">
        <f t="shared" si="76"/>
        <v>#REF!</v>
      </c>
      <c r="AA369" s="54" t="e">
        <f t="shared" si="77"/>
        <v>#REF!</v>
      </c>
      <c r="AB369" s="54" t="e">
        <f t="shared" si="78"/>
        <v>#REF!</v>
      </c>
    </row>
    <row r="370" spans="2:28">
      <c r="B370" s="96" t="e">
        <f>'115+040'!#REF!</f>
        <v>#REF!</v>
      </c>
      <c r="C370" s="66" t="e">
        <f t="shared" si="70"/>
        <v>#REF!</v>
      </c>
      <c r="D370" s="65" t="e">
        <f t="shared" si="71"/>
        <v>#REF!</v>
      </c>
      <c r="E370" s="64" t="e">
        <f>VLOOKUP(B370,'115+040'!B368:AB368,3,FALSE)</f>
        <v>#REF!</v>
      </c>
      <c r="F370" s="61" t="e">
        <f t="shared" si="66"/>
        <v>#REF!</v>
      </c>
      <c r="G370" s="63" t="e">
        <f>VLOOKUP(B370,'115+040'!$B$12:$AB$621,20,FALSE)</f>
        <v>#REF!</v>
      </c>
      <c r="H370" s="63" t="e">
        <f>VLOOKUP(B370,'115+040'!$B$12:$AB$621,4,FALSE)</f>
        <v>#REF!</v>
      </c>
      <c r="I370" s="60" t="e">
        <f t="shared" si="67"/>
        <v>#REF!</v>
      </c>
      <c r="J370" s="60" t="e">
        <f>VLOOKUP(B370,'115+040'!$B$12:$AB$621,13,FALSE)</f>
        <v>#REF!</v>
      </c>
      <c r="K370" s="58">
        <f>'115+040'!R368</f>
        <v>0</v>
      </c>
      <c r="L370" s="57">
        <f t="shared" si="72"/>
        <v>770</v>
      </c>
      <c r="M370" s="62" t="e">
        <f>VLOOKUP(B370,'115+040'!$B$11:$AB$621,21,FALSE)</f>
        <v>#REF!</v>
      </c>
      <c r="N370" s="61" t="e">
        <f>VLOOKUP(B370,'115+040'!$B$12:$AB$621,5,FALSE)</f>
        <v>#REF!</v>
      </c>
      <c r="O370" s="60" t="e">
        <f t="shared" si="68"/>
        <v>#REF!</v>
      </c>
      <c r="P370" s="60" t="e">
        <f>VLOOKUP(B370,'115+040'!$B$12:$AB$621,14,FALSE)</f>
        <v>#REF!</v>
      </c>
      <c r="Q370" s="58">
        <f>'115+040'!S368</f>
        <v>0</v>
      </c>
      <c r="R370" s="57">
        <f t="shared" si="73"/>
        <v>894</v>
      </c>
      <c r="S370" s="62" t="e">
        <f>VLOOKUP(B370,'115+040'!$B$11:$AB$621,22,FALSE)</f>
        <v>#REF!</v>
      </c>
      <c r="T370" s="61" t="e">
        <f>VLOOKUP(B370,'115+040'!$B$12:$AB$621,6,FALSE)</f>
        <v>#REF!</v>
      </c>
      <c r="U370" s="60" t="e">
        <f t="shared" si="69"/>
        <v>#REF!</v>
      </c>
      <c r="V370" s="59" t="e">
        <f>VLOOKUP(B370,'115+040'!$B$12:$AB$621,15,FALSE)</f>
        <v>#REF!</v>
      </c>
      <c r="W370" s="58">
        <f>'[4]114+940'!S371</f>
        <v>0</v>
      </c>
      <c r="X370" s="57">
        <f t="shared" si="74"/>
        <v>216</v>
      </c>
      <c r="Y370" s="56" t="e">
        <f t="shared" si="75"/>
        <v>#REF!</v>
      </c>
      <c r="Z370" s="55" t="e">
        <f t="shared" si="76"/>
        <v>#REF!</v>
      </c>
      <c r="AA370" s="54" t="e">
        <f t="shared" si="77"/>
        <v>#REF!</v>
      </c>
      <c r="AB370" s="54" t="e">
        <f t="shared" si="78"/>
        <v>#REF!</v>
      </c>
    </row>
    <row r="371" spans="2:28">
      <c r="B371" s="96" t="e">
        <f>'115+040'!#REF!</f>
        <v>#REF!</v>
      </c>
      <c r="C371" s="66" t="e">
        <f t="shared" si="70"/>
        <v>#REF!</v>
      </c>
      <c r="D371" s="65" t="e">
        <f t="shared" si="71"/>
        <v>#REF!</v>
      </c>
      <c r="E371" s="64" t="e">
        <f>VLOOKUP(B371,'115+040'!B369:AB369,3,FALSE)</f>
        <v>#REF!</v>
      </c>
      <c r="F371" s="61" t="e">
        <f t="shared" si="66"/>
        <v>#REF!</v>
      </c>
      <c r="G371" s="63" t="e">
        <f>VLOOKUP(B371,'115+040'!$B$12:$AB$621,20,FALSE)</f>
        <v>#REF!</v>
      </c>
      <c r="H371" s="63" t="e">
        <f>VLOOKUP(B371,'115+040'!$B$12:$AB$621,4,FALSE)</f>
        <v>#REF!</v>
      </c>
      <c r="I371" s="60" t="e">
        <f t="shared" si="67"/>
        <v>#REF!</v>
      </c>
      <c r="J371" s="60" t="e">
        <f>VLOOKUP(B371,'115+040'!$B$12:$AB$621,13,FALSE)</f>
        <v>#REF!</v>
      </c>
      <c r="K371" s="58">
        <f>'115+040'!R369</f>
        <v>0</v>
      </c>
      <c r="L371" s="57">
        <f t="shared" si="72"/>
        <v>770</v>
      </c>
      <c r="M371" s="62" t="e">
        <f>VLOOKUP(B371,'115+040'!$B$11:$AB$621,21,FALSE)</f>
        <v>#REF!</v>
      </c>
      <c r="N371" s="61" t="e">
        <f>VLOOKUP(B371,'115+040'!$B$12:$AB$621,5,FALSE)</f>
        <v>#REF!</v>
      </c>
      <c r="O371" s="60" t="e">
        <f t="shared" si="68"/>
        <v>#REF!</v>
      </c>
      <c r="P371" s="60" t="e">
        <f>VLOOKUP(B371,'115+040'!$B$12:$AB$621,14,FALSE)</f>
        <v>#REF!</v>
      </c>
      <c r="Q371" s="58">
        <f>'115+040'!S369</f>
        <v>0</v>
      </c>
      <c r="R371" s="57">
        <f t="shared" si="73"/>
        <v>894</v>
      </c>
      <c r="S371" s="62" t="e">
        <f>VLOOKUP(B371,'115+040'!$B$11:$AB$621,22,FALSE)</f>
        <v>#REF!</v>
      </c>
      <c r="T371" s="61" t="e">
        <f>VLOOKUP(B371,'115+040'!$B$12:$AB$621,6,FALSE)</f>
        <v>#REF!</v>
      </c>
      <c r="U371" s="60" t="e">
        <f t="shared" si="69"/>
        <v>#REF!</v>
      </c>
      <c r="V371" s="59" t="e">
        <f>VLOOKUP(B371,'115+040'!$B$12:$AB$621,15,FALSE)</f>
        <v>#REF!</v>
      </c>
      <c r="W371" s="58">
        <f>'[4]114+940'!S372</f>
        <v>0</v>
      </c>
      <c r="X371" s="57">
        <f t="shared" si="74"/>
        <v>216</v>
      </c>
      <c r="Y371" s="56" t="e">
        <f t="shared" si="75"/>
        <v>#REF!</v>
      </c>
      <c r="Z371" s="55" t="e">
        <f t="shared" si="76"/>
        <v>#REF!</v>
      </c>
      <c r="AA371" s="54" t="e">
        <f t="shared" si="77"/>
        <v>#REF!</v>
      </c>
      <c r="AB371" s="54" t="e">
        <f t="shared" si="78"/>
        <v>#REF!</v>
      </c>
    </row>
    <row r="372" spans="2:28">
      <c r="B372" s="96" t="e">
        <f>'115+040'!#REF!</f>
        <v>#REF!</v>
      </c>
      <c r="C372" s="66" t="e">
        <f t="shared" si="70"/>
        <v>#REF!</v>
      </c>
      <c r="D372" s="65" t="e">
        <f t="shared" si="71"/>
        <v>#REF!</v>
      </c>
      <c r="E372" s="64" t="e">
        <f>VLOOKUP(B372,'115+040'!B370:AB370,3,FALSE)</f>
        <v>#REF!</v>
      </c>
      <c r="F372" s="61" t="e">
        <f t="shared" si="66"/>
        <v>#REF!</v>
      </c>
      <c r="G372" s="63" t="e">
        <f>VLOOKUP(B372,'115+040'!$B$12:$AB$621,20,FALSE)</f>
        <v>#REF!</v>
      </c>
      <c r="H372" s="63" t="e">
        <f>VLOOKUP(B372,'115+040'!$B$12:$AB$621,4,FALSE)</f>
        <v>#REF!</v>
      </c>
      <c r="I372" s="60" t="e">
        <f t="shared" si="67"/>
        <v>#REF!</v>
      </c>
      <c r="J372" s="60" t="e">
        <f>VLOOKUP(B372,'115+040'!$B$12:$AB$621,13,FALSE)</f>
        <v>#REF!</v>
      </c>
      <c r="K372" s="58">
        <f>'115+040'!R370</f>
        <v>0</v>
      </c>
      <c r="L372" s="57">
        <f t="shared" si="72"/>
        <v>770</v>
      </c>
      <c r="M372" s="62" t="e">
        <f>VLOOKUP(B372,'115+040'!$B$11:$AB$621,21,FALSE)</f>
        <v>#REF!</v>
      </c>
      <c r="N372" s="61" t="e">
        <f>VLOOKUP(B372,'115+040'!$B$12:$AB$621,5,FALSE)</f>
        <v>#REF!</v>
      </c>
      <c r="O372" s="60" t="e">
        <f t="shared" si="68"/>
        <v>#REF!</v>
      </c>
      <c r="P372" s="60" t="e">
        <f>VLOOKUP(B372,'115+040'!$B$12:$AB$621,14,FALSE)</f>
        <v>#REF!</v>
      </c>
      <c r="Q372" s="58">
        <f>'115+040'!S370</f>
        <v>0</v>
      </c>
      <c r="R372" s="57">
        <f t="shared" si="73"/>
        <v>894</v>
      </c>
      <c r="S372" s="62" t="e">
        <f>VLOOKUP(B372,'115+040'!$B$11:$AB$621,22,FALSE)</f>
        <v>#REF!</v>
      </c>
      <c r="T372" s="61" t="e">
        <f>VLOOKUP(B372,'115+040'!$B$12:$AB$621,6,FALSE)</f>
        <v>#REF!</v>
      </c>
      <c r="U372" s="60" t="e">
        <f t="shared" si="69"/>
        <v>#REF!</v>
      </c>
      <c r="V372" s="59" t="e">
        <f>VLOOKUP(B372,'115+040'!$B$12:$AB$621,15,FALSE)</f>
        <v>#REF!</v>
      </c>
      <c r="W372" s="58">
        <f>'[4]114+940'!S373</f>
        <v>0</v>
      </c>
      <c r="X372" s="57">
        <f t="shared" si="74"/>
        <v>216</v>
      </c>
      <c r="Y372" s="56" t="e">
        <f t="shared" si="75"/>
        <v>#REF!</v>
      </c>
      <c r="Z372" s="55" t="e">
        <f t="shared" si="76"/>
        <v>#REF!</v>
      </c>
      <c r="AA372" s="54" t="e">
        <f t="shared" si="77"/>
        <v>#REF!</v>
      </c>
      <c r="AB372" s="54" t="e">
        <f t="shared" si="78"/>
        <v>#REF!</v>
      </c>
    </row>
    <row r="373" spans="2:28">
      <c r="B373" s="96" t="e">
        <f>'115+040'!#REF!</f>
        <v>#REF!</v>
      </c>
      <c r="C373" s="66" t="e">
        <f t="shared" si="70"/>
        <v>#REF!</v>
      </c>
      <c r="D373" s="65" t="e">
        <f t="shared" si="71"/>
        <v>#REF!</v>
      </c>
      <c r="E373" s="64" t="e">
        <f>VLOOKUP(B373,'115+040'!B371:AB371,3,FALSE)</f>
        <v>#REF!</v>
      </c>
      <c r="F373" s="61" t="e">
        <f t="shared" si="66"/>
        <v>#REF!</v>
      </c>
      <c r="G373" s="63" t="e">
        <f>VLOOKUP(B373,'115+040'!$B$12:$AB$621,20,FALSE)</f>
        <v>#REF!</v>
      </c>
      <c r="H373" s="63" t="e">
        <f>VLOOKUP(B373,'115+040'!$B$12:$AB$621,4,FALSE)</f>
        <v>#REF!</v>
      </c>
      <c r="I373" s="60" t="e">
        <f t="shared" si="67"/>
        <v>#REF!</v>
      </c>
      <c r="J373" s="60" t="e">
        <f>VLOOKUP(B373,'115+040'!$B$12:$AB$621,13,FALSE)</f>
        <v>#REF!</v>
      </c>
      <c r="K373" s="58">
        <f>'115+040'!R371</f>
        <v>0</v>
      </c>
      <c r="L373" s="57">
        <f t="shared" si="72"/>
        <v>770</v>
      </c>
      <c r="M373" s="62" t="e">
        <f>VLOOKUP(B373,'115+040'!$B$11:$AB$621,21,FALSE)</f>
        <v>#REF!</v>
      </c>
      <c r="N373" s="61" t="e">
        <f>VLOOKUP(B373,'115+040'!$B$12:$AB$621,5,FALSE)</f>
        <v>#REF!</v>
      </c>
      <c r="O373" s="60" t="e">
        <f t="shared" si="68"/>
        <v>#REF!</v>
      </c>
      <c r="P373" s="60" t="e">
        <f>VLOOKUP(B373,'115+040'!$B$12:$AB$621,14,FALSE)</f>
        <v>#REF!</v>
      </c>
      <c r="Q373" s="58">
        <f>'115+040'!S371</f>
        <v>0</v>
      </c>
      <c r="R373" s="57">
        <f t="shared" si="73"/>
        <v>894</v>
      </c>
      <c r="S373" s="62" t="e">
        <f>VLOOKUP(B373,'115+040'!$B$11:$AB$621,22,FALSE)</f>
        <v>#REF!</v>
      </c>
      <c r="T373" s="61" t="e">
        <f>VLOOKUP(B373,'115+040'!$B$12:$AB$621,6,FALSE)</f>
        <v>#REF!</v>
      </c>
      <c r="U373" s="60" t="e">
        <f t="shared" si="69"/>
        <v>#REF!</v>
      </c>
      <c r="V373" s="59" t="e">
        <f>VLOOKUP(B373,'115+040'!$B$12:$AB$621,15,FALSE)</f>
        <v>#REF!</v>
      </c>
      <c r="W373" s="58">
        <f>'[4]114+940'!S374</f>
        <v>0</v>
      </c>
      <c r="X373" s="57">
        <f t="shared" si="74"/>
        <v>216</v>
      </c>
      <c r="Y373" s="56" t="e">
        <f t="shared" si="75"/>
        <v>#REF!</v>
      </c>
      <c r="Z373" s="55" t="e">
        <f t="shared" si="76"/>
        <v>#REF!</v>
      </c>
      <c r="AA373" s="54" t="e">
        <f t="shared" si="77"/>
        <v>#REF!</v>
      </c>
      <c r="AB373" s="54" t="e">
        <f t="shared" si="78"/>
        <v>#REF!</v>
      </c>
    </row>
    <row r="374" spans="2:28">
      <c r="B374" s="96" t="e">
        <f>'115+040'!#REF!</f>
        <v>#REF!</v>
      </c>
      <c r="C374" s="66" t="e">
        <f t="shared" si="70"/>
        <v>#REF!</v>
      </c>
      <c r="D374" s="65" t="e">
        <f t="shared" si="71"/>
        <v>#REF!</v>
      </c>
      <c r="E374" s="64" t="e">
        <f>VLOOKUP(B374,'115+040'!B372:AB372,3,FALSE)</f>
        <v>#REF!</v>
      </c>
      <c r="F374" s="61" t="e">
        <f t="shared" si="66"/>
        <v>#REF!</v>
      </c>
      <c r="G374" s="63" t="e">
        <f>VLOOKUP(B374,'115+040'!$B$12:$AB$621,20,FALSE)</f>
        <v>#REF!</v>
      </c>
      <c r="H374" s="63" t="e">
        <f>VLOOKUP(B374,'115+040'!$B$12:$AB$621,4,FALSE)</f>
        <v>#REF!</v>
      </c>
      <c r="I374" s="60" t="e">
        <f t="shared" si="67"/>
        <v>#REF!</v>
      </c>
      <c r="J374" s="60" t="e">
        <f>VLOOKUP(B374,'115+040'!$B$12:$AB$621,13,FALSE)</f>
        <v>#REF!</v>
      </c>
      <c r="K374" s="58">
        <f>'115+040'!R372</f>
        <v>0</v>
      </c>
      <c r="L374" s="57">
        <f t="shared" si="72"/>
        <v>770</v>
      </c>
      <c r="M374" s="62" t="e">
        <f>VLOOKUP(B374,'115+040'!$B$11:$AB$621,21,FALSE)</f>
        <v>#REF!</v>
      </c>
      <c r="N374" s="61" t="e">
        <f>VLOOKUP(B374,'115+040'!$B$12:$AB$621,5,FALSE)</f>
        <v>#REF!</v>
      </c>
      <c r="O374" s="60" t="e">
        <f t="shared" si="68"/>
        <v>#REF!</v>
      </c>
      <c r="P374" s="60" t="e">
        <f>VLOOKUP(B374,'115+040'!$B$12:$AB$621,14,FALSE)</f>
        <v>#REF!</v>
      </c>
      <c r="Q374" s="58">
        <f>'115+040'!S372</f>
        <v>0</v>
      </c>
      <c r="R374" s="57">
        <f t="shared" si="73"/>
        <v>894</v>
      </c>
      <c r="S374" s="62" t="e">
        <f>VLOOKUP(B374,'115+040'!$B$11:$AB$621,22,FALSE)</f>
        <v>#REF!</v>
      </c>
      <c r="T374" s="61" t="e">
        <f>VLOOKUP(B374,'115+040'!$B$12:$AB$621,6,FALSE)</f>
        <v>#REF!</v>
      </c>
      <c r="U374" s="60" t="e">
        <f t="shared" si="69"/>
        <v>#REF!</v>
      </c>
      <c r="V374" s="59" t="e">
        <f>VLOOKUP(B374,'115+040'!$B$12:$AB$621,15,FALSE)</f>
        <v>#REF!</v>
      </c>
      <c r="W374" s="58">
        <f>'[4]114+940'!S375</f>
        <v>0</v>
      </c>
      <c r="X374" s="57">
        <f t="shared" si="74"/>
        <v>216</v>
      </c>
      <c r="Y374" s="56" t="e">
        <f t="shared" si="75"/>
        <v>#REF!</v>
      </c>
      <c r="Z374" s="55" t="e">
        <f t="shared" si="76"/>
        <v>#REF!</v>
      </c>
      <c r="AA374" s="54" t="e">
        <f t="shared" si="77"/>
        <v>#REF!</v>
      </c>
      <c r="AB374" s="54" t="e">
        <f t="shared" si="78"/>
        <v>#REF!</v>
      </c>
    </row>
    <row r="375" spans="2:28">
      <c r="B375" s="96" t="e">
        <f>'115+040'!#REF!</f>
        <v>#REF!</v>
      </c>
      <c r="C375" s="66" t="e">
        <f t="shared" si="70"/>
        <v>#REF!</v>
      </c>
      <c r="D375" s="65" t="e">
        <f t="shared" si="71"/>
        <v>#REF!</v>
      </c>
      <c r="E375" s="64" t="e">
        <f>VLOOKUP(B375,'115+040'!B373:AB373,3,FALSE)</f>
        <v>#REF!</v>
      </c>
      <c r="F375" s="61" t="e">
        <f t="shared" si="66"/>
        <v>#REF!</v>
      </c>
      <c r="G375" s="63" t="e">
        <f>VLOOKUP(B375,'115+040'!$B$12:$AB$621,20,FALSE)</f>
        <v>#REF!</v>
      </c>
      <c r="H375" s="63" t="e">
        <f>VLOOKUP(B375,'115+040'!$B$12:$AB$621,4,FALSE)</f>
        <v>#REF!</v>
      </c>
      <c r="I375" s="60" t="e">
        <f t="shared" si="67"/>
        <v>#REF!</v>
      </c>
      <c r="J375" s="60" t="e">
        <f>VLOOKUP(B375,'115+040'!$B$12:$AB$621,13,FALSE)</f>
        <v>#REF!</v>
      </c>
      <c r="K375" s="58">
        <f>'115+040'!R373</f>
        <v>0</v>
      </c>
      <c r="L375" s="57">
        <f t="shared" si="72"/>
        <v>770</v>
      </c>
      <c r="M375" s="62" t="e">
        <f>VLOOKUP(B375,'115+040'!$B$11:$AB$621,21,FALSE)</f>
        <v>#REF!</v>
      </c>
      <c r="N375" s="61" t="e">
        <f>VLOOKUP(B375,'115+040'!$B$12:$AB$621,5,FALSE)</f>
        <v>#REF!</v>
      </c>
      <c r="O375" s="60" t="e">
        <f t="shared" si="68"/>
        <v>#REF!</v>
      </c>
      <c r="P375" s="60" t="e">
        <f>VLOOKUP(B375,'115+040'!$B$12:$AB$621,14,FALSE)</f>
        <v>#REF!</v>
      </c>
      <c r="Q375" s="58">
        <f>'115+040'!S373</f>
        <v>0</v>
      </c>
      <c r="R375" s="57">
        <f t="shared" si="73"/>
        <v>894</v>
      </c>
      <c r="S375" s="62" t="e">
        <f>VLOOKUP(B375,'115+040'!$B$11:$AB$621,22,FALSE)</f>
        <v>#REF!</v>
      </c>
      <c r="T375" s="61" t="e">
        <f>VLOOKUP(B375,'115+040'!$B$12:$AB$621,6,FALSE)</f>
        <v>#REF!</v>
      </c>
      <c r="U375" s="60" t="e">
        <f t="shared" si="69"/>
        <v>#REF!</v>
      </c>
      <c r="V375" s="59" t="e">
        <f>VLOOKUP(B375,'115+040'!$B$12:$AB$621,15,FALSE)</f>
        <v>#REF!</v>
      </c>
      <c r="W375" s="58">
        <f>'[4]114+940'!S376</f>
        <v>0</v>
      </c>
      <c r="X375" s="57">
        <f t="shared" si="74"/>
        <v>216</v>
      </c>
      <c r="Y375" s="56" t="e">
        <f t="shared" si="75"/>
        <v>#REF!</v>
      </c>
      <c r="Z375" s="55" t="e">
        <f t="shared" si="76"/>
        <v>#REF!</v>
      </c>
      <c r="AA375" s="54" t="e">
        <f t="shared" si="77"/>
        <v>#REF!</v>
      </c>
      <c r="AB375" s="54" t="e">
        <f t="shared" si="78"/>
        <v>#REF!</v>
      </c>
    </row>
    <row r="376" spans="2:28">
      <c r="B376" s="96" t="e">
        <f>'115+040'!#REF!</f>
        <v>#REF!</v>
      </c>
      <c r="C376" s="66" t="e">
        <f t="shared" si="70"/>
        <v>#REF!</v>
      </c>
      <c r="D376" s="65" t="e">
        <f t="shared" si="71"/>
        <v>#REF!</v>
      </c>
      <c r="E376" s="64" t="e">
        <f>VLOOKUP(B376,'115+040'!B374:AB374,3,FALSE)</f>
        <v>#REF!</v>
      </c>
      <c r="F376" s="61" t="e">
        <f t="shared" si="66"/>
        <v>#REF!</v>
      </c>
      <c r="G376" s="63" t="e">
        <f>VLOOKUP(B376,'115+040'!$B$12:$AB$621,20,FALSE)</f>
        <v>#REF!</v>
      </c>
      <c r="H376" s="63" t="e">
        <f>VLOOKUP(B376,'115+040'!$B$12:$AB$621,4,FALSE)</f>
        <v>#REF!</v>
      </c>
      <c r="I376" s="60" t="e">
        <f t="shared" si="67"/>
        <v>#REF!</v>
      </c>
      <c r="J376" s="60" t="e">
        <f>VLOOKUP(B376,'115+040'!$B$12:$AB$621,13,FALSE)</f>
        <v>#REF!</v>
      </c>
      <c r="K376" s="58">
        <f>'115+040'!R374</f>
        <v>0</v>
      </c>
      <c r="L376" s="57">
        <f t="shared" si="72"/>
        <v>770</v>
      </c>
      <c r="M376" s="62" t="e">
        <f>VLOOKUP(B376,'115+040'!$B$11:$AB$621,21,FALSE)</f>
        <v>#REF!</v>
      </c>
      <c r="N376" s="61" t="e">
        <f>VLOOKUP(B376,'115+040'!$B$12:$AB$621,5,FALSE)</f>
        <v>#REF!</v>
      </c>
      <c r="O376" s="60" t="e">
        <f t="shared" si="68"/>
        <v>#REF!</v>
      </c>
      <c r="P376" s="60" t="e">
        <f>VLOOKUP(B376,'115+040'!$B$12:$AB$621,14,FALSE)</f>
        <v>#REF!</v>
      </c>
      <c r="Q376" s="58">
        <f>'115+040'!S374</f>
        <v>0</v>
      </c>
      <c r="R376" s="57">
        <f t="shared" si="73"/>
        <v>894</v>
      </c>
      <c r="S376" s="62" t="e">
        <f>VLOOKUP(B376,'115+040'!$B$11:$AB$621,22,FALSE)</f>
        <v>#REF!</v>
      </c>
      <c r="T376" s="61" t="e">
        <f>VLOOKUP(B376,'115+040'!$B$12:$AB$621,6,FALSE)</f>
        <v>#REF!</v>
      </c>
      <c r="U376" s="60" t="e">
        <f t="shared" si="69"/>
        <v>#REF!</v>
      </c>
      <c r="V376" s="59" t="e">
        <f>VLOOKUP(B376,'115+040'!$B$12:$AB$621,15,FALSE)</f>
        <v>#REF!</v>
      </c>
      <c r="W376" s="58">
        <f>'[4]114+940'!S377</f>
        <v>0</v>
      </c>
      <c r="X376" s="57">
        <f t="shared" si="74"/>
        <v>216</v>
      </c>
      <c r="Y376" s="56" t="e">
        <f t="shared" si="75"/>
        <v>#REF!</v>
      </c>
      <c r="Z376" s="55" t="e">
        <f t="shared" si="76"/>
        <v>#REF!</v>
      </c>
      <c r="AA376" s="54" t="e">
        <f t="shared" si="77"/>
        <v>#REF!</v>
      </c>
      <c r="AB376" s="54" t="e">
        <f t="shared" si="78"/>
        <v>#REF!</v>
      </c>
    </row>
    <row r="377" spans="2:28">
      <c r="B377" s="96" t="e">
        <f>'115+040'!#REF!</f>
        <v>#REF!</v>
      </c>
      <c r="C377" s="66" t="e">
        <f t="shared" si="70"/>
        <v>#REF!</v>
      </c>
      <c r="D377" s="65" t="e">
        <f t="shared" si="71"/>
        <v>#REF!</v>
      </c>
      <c r="E377" s="64" t="e">
        <f>VLOOKUP(B377,'115+040'!B375:AB375,3,FALSE)</f>
        <v>#REF!</v>
      </c>
      <c r="F377" s="61" t="e">
        <f t="shared" si="66"/>
        <v>#REF!</v>
      </c>
      <c r="G377" s="63" t="e">
        <f>VLOOKUP(B377,'115+040'!$B$12:$AB$621,20,FALSE)</f>
        <v>#REF!</v>
      </c>
      <c r="H377" s="63" t="e">
        <f>VLOOKUP(B377,'115+040'!$B$12:$AB$621,4,FALSE)</f>
        <v>#REF!</v>
      </c>
      <c r="I377" s="60" t="e">
        <f t="shared" si="67"/>
        <v>#REF!</v>
      </c>
      <c r="J377" s="60" t="e">
        <f>VLOOKUP(B377,'115+040'!$B$12:$AB$621,13,FALSE)</f>
        <v>#REF!</v>
      </c>
      <c r="K377" s="58">
        <f>'115+040'!R375</f>
        <v>0</v>
      </c>
      <c r="L377" s="57">
        <f t="shared" si="72"/>
        <v>770</v>
      </c>
      <c r="M377" s="62" t="e">
        <f>VLOOKUP(B377,'115+040'!$B$11:$AB$621,21,FALSE)</f>
        <v>#REF!</v>
      </c>
      <c r="N377" s="61" t="e">
        <f>VLOOKUP(B377,'115+040'!$B$12:$AB$621,5,FALSE)</f>
        <v>#REF!</v>
      </c>
      <c r="O377" s="60" t="e">
        <f t="shared" si="68"/>
        <v>#REF!</v>
      </c>
      <c r="P377" s="60" t="e">
        <f>VLOOKUP(B377,'115+040'!$B$12:$AB$621,14,FALSE)</f>
        <v>#REF!</v>
      </c>
      <c r="Q377" s="58">
        <f>'115+040'!S375</f>
        <v>0</v>
      </c>
      <c r="R377" s="57">
        <f t="shared" si="73"/>
        <v>894</v>
      </c>
      <c r="S377" s="62" t="e">
        <f>VLOOKUP(B377,'115+040'!$B$11:$AB$621,22,FALSE)</f>
        <v>#REF!</v>
      </c>
      <c r="T377" s="61" t="e">
        <f>VLOOKUP(B377,'115+040'!$B$12:$AB$621,6,FALSE)</f>
        <v>#REF!</v>
      </c>
      <c r="U377" s="60" t="e">
        <f t="shared" si="69"/>
        <v>#REF!</v>
      </c>
      <c r="V377" s="59" t="e">
        <f>VLOOKUP(B377,'115+040'!$B$12:$AB$621,15,FALSE)</f>
        <v>#REF!</v>
      </c>
      <c r="W377" s="58">
        <f>'[4]114+940'!S378</f>
        <v>0</v>
      </c>
      <c r="X377" s="57">
        <f t="shared" si="74"/>
        <v>216</v>
      </c>
      <c r="Y377" s="56" t="e">
        <f t="shared" si="75"/>
        <v>#REF!</v>
      </c>
      <c r="Z377" s="55" t="e">
        <f t="shared" si="76"/>
        <v>#REF!</v>
      </c>
      <c r="AA377" s="54" t="e">
        <f t="shared" si="77"/>
        <v>#REF!</v>
      </c>
      <c r="AB377" s="54" t="e">
        <f t="shared" si="78"/>
        <v>#REF!</v>
      </c>
    </row>
    <row r="378" spans="2:28">
      <c r="B378" s="96" t="e">
        <f>'115+040'!#REF!</f>
        <v>#REF!</v>
      </c>
      <c r="C378" s="66" t="e">
        <f t="shared" si="70"/>
        <v>#REF!</v>
      </c>
      <c r="D378" s="65" t="e">
        <f t="shared" si="71"/>
        <v>#REF!</v>
      </c>
      <c r="E378" s="64" t="e">
        <f>VLOOKUP(B378,'115+040'!B376:AB376,3,FALSE)</f>
        <v>#REF!</v>
      </c>
      <c r="F378" s="61" t="e">
        <f t="shared" si="66"/>
        <v>#REF!</v>
      </c>
      <c r="G378" s="63" t="e">
        <f>VLOOKUP(B378,'115+040'!$B$12:$AB$621,20,FALSE)</f>
        <v>#REF!</v>
      </c>
      <c r="H378" s="63" t="e">
        <f>VLOOKUP(B378,'115+040'!$B$12:$AB$621,4,FALSE)</f>
        <v>#REF!</v>
      </c>
      <c r="I378" s="60" t="e">
        <f t="shared" si="67"/>
        <v>#REF!</v>
      </c>
      <c r="J378" s="60" t="e">
        <f>VLOOKUP(B378,'115+040'!$B$12:$AB$621,13,FALSE)</f>
        <v>#REF!</v>
      </c>
      <c r="K378" s="58">
        <f>'115+040'!R376</f>
        <v>0</v>
      </c>
      <c r="L378" s="57">
        <f t="shared" si="72"/>
        <v>770</v>
      </c>
      <c r="M378" s="62" t="e">
        <f>VLOOKUP(B378,'115+040'!$B$11:$AB$621,21,FALSE)</f>
        <v>#REF!</v>
      </c>
      <c r="N378" s="61" t="e">
        <f>VLOOKUP(B378,'115+040'!$B$12:$AB$621,5,FALSE)</f>
        <v>#REF!</v>
      </c>
      <c r="O378" s="60" t="e">
        <f t="shared" si="68"/>
        <v>#REF!</v>
      </c>
      <c r="P378" s="60" t="e">
        <f>VLOOKUP(B378,'115+040'!$B$12:$AB$621,14,FALSE)</f>
        <v>#REF!</v>
      </c>
      <c r="Q378" s="58">
        <f>'115+040'!S376</f>
        <v>0</v>
      </c>
      <c r="R378" s="57">
        <f t="shared" si="73"/>
        <v>894</v>
      </c>
      <c r="S378" s="62" t="e">
        <f>VLOOKUP(B378,'115+040'!$B$11:$AB$621,22,FALSE)</f>
        <v>#REF!</v>
      </c>
      <c r="T378" s="61" t="e">
        <f>VLOOKUP(B378,'115+040'!$B$12:$AB$621,6,FALSE)</f>
        <v>#REF!</v>
      </c>
      <c r="U378" s="60" t="e">
        <f t="shared" si="69"/>
        <v>#REF!</v>
      </c>
      <c r="V378" s="59" t="e">
        <f>VLOOKUP(B378,'115+040'!$B$12:$AB$621,15,FALSE)</f>
        <v>#REF!</v>
      </c>
      <c r="W378" s="58">
        <f>'[4]114+940'!S379</f>
        <v>0</v>
      </c>
      <c r="X378" s="57">
        <f t="shared" si="74"/>
        <v>216</v>
      </c>
      <c r="Y378" s="56" t="e">
        <f t="shared" si="75"/>
        <v>#REF!</v>
      </c>
      <c r="Z378" s="55" t="e">
        <f t="shared" si="76"/>
        <v>#REF!</v>
      </c>
      <c r="AA378" s="54" t="e">
        <f t="shared" si="77"/>
        <v>#REF!</v>
      </c>
      <c r="AB378" s="54" t="e">
        <f t="shared" si="78"/>
        <v>#REF!</v>
      </c>
    </row>
    <row r="379" spans="2:28">
      <c r="B379" s="96" t="e">
        <f>'115+040'!#REF!</f>
        <v>#REF!</v>
      </c>
      <c r="C379" s="66" t="e">
        <f t="shared" si="70"/>
        <v>#REF!</v>
      </c>
      <c r="D379" s="65" t="e">
        <f t="shared" si="71"/>
        <v>#REF!</v>
      </c>
      <c r="E379" s="64" t="e">
        <f>VLOOKUP(B379,'115+040'!B377:AB377,3,FALSE)</f>
        <v>#REF!</v>
      </c>
      <c r="F379" s="61" t="e">
        <f t="shared" si="66"/>
        <v>#REF!</v>
      </c>
      <c r="G379" s="63" t="e">
        <f>VLOOKUP(B379,'115+040'!$B$12:$AB$621,20,FALSE)</f>
        <v>#REF!</v>
      </c>
      <c r="H379" s="63" t="e">
        <f>VLOOKUP(B379,'115+040'!$B$12:$AB$621,4,FALSE)</f>
        <v>#REF!</v>
      </c>
      <c r="I379" s="60" t="e">
        <f t="shared" si="67"/>
        <v>#REF!</v>
      </c>
      <c r="J379" s="60" t="e">
        <f>VLOOKUP(B379,'115+040'!$B$12:$AB$621,13,FALSE)</f>
        <v>#REF!</v>
      </c>
      <c r="K379" s="58">
        <f>'115+040'!R377</f>
        <v>0</v>
      </c>
      <c r="L379" s="57">
        <f t="shared" si="72"/>
        <v>770</v>
      </c>
      <c r="M379" s="62" t="e">
        <f>VLOOKUP(B379,'115+040'!$B$11:$AB$621,21,FALSE)</f>
        <v>#REF!</v>
      </c>
      <c r="N379" s="61" t="e">
        <f>VLOOKUP(B379,'115+040'!$B$12:$AB$621,5,FALSE)</f>
        <v>#REF!</v>
      </c>
      <c r="O379" s="60" t="e">
        <f t="shared" si="68"/>
        <v>#REF!</v>
      </c>
      <c r="P379" s="60" t="e">
        <f>VLOOKUP(B379,'115+040'!$B$12:$AB$621,14,FALSE)</f>
        <v>#REF!</v>
      </c>
      <c r="Q379" s="58">
        <f>'115+040'!S377</f>
        <v>0</v>
      </c>
      <c r="R379" s="57">
        <f t="shared" si="73"/>
        <v>894</v>
      </c>
      <c r="S379" s="62" t="e">
        <f>VLOOKUP(B379,'115+040'!$B$11:$AB$621,22,FALSE)</f>
        <v>#REF!</v>
      </c>
      <c r="T379" s="61" t="e">
        <f>VLOOKUP(B379,'115+040'!$B$12:$AB$621,6,FALSE)</f>
        <v>#REF!</v>
      </c>
      <c r="U379" s="60" t="e">
        <f t="shared" si="69"/>
        <v>#REF!</v>
      </c>
      <c r="V379" s="59" t="e">
        <f>VLOOKUP(B379,'115+040'!$B$12:$AB$621,15,FALSE)</f>
        <v>#REF!</v>
      </c>
      <c r="W379" s="58">
        <f>'[4]114+940'!S380</f>
        <v>0</v>
      </c>
      <c r="X379" s="57">
        <f t="shared" si="74"/>
        <v>216</v>
      </c>
      <c r="Y379" s="56" t="e">
        <f t="shared" si="75"/>
        <v>#REF!</v>
      </c>
      <c r="Z379" s="55" t="e">
        <f t="shared" si="76"/>
        <v>#REF!</v>
      </c>
      <c r="AA379" s="54" t="e">
        <f t="shared" si="77"/>
        <v>#REF!</v>
      </c>
      <c r="AB379" s="54" t="e">
        <f t="shared" si="78"/>
        <v>#REF!</v>
      </c>
    </row>
    <row r="380" spans="2:28">
      <c r="B380" s="96" t="e">
        <f>'115+040'!#REF!</f>
        <v>#REF!</v>
      </c>
      <c r="C380" s="66" t="e">
        <f t="shared" si="70"/>
        <v>#REF!</v>
      </c>
      <c r="D380" s="65" t="e">
        <f t="shared" si="71"/>
        <v>#REF!</v>
      </c>
      <c r="E380" s="64" t="e">
        <f>VLOOKUP(B380,'115+040'!B378:AB378,3,FALSE)</f>
        <v>#REF!</v>
      </c>
      <c r="F380" s="61" t="e">
        <f t="shared" si="66"/>
        <v>#REF!</v>
      </c>
      <c r="G380" s="63" t="e">
        <f>VLOOKUP(B380,'115+040'!$B$12:$AB$621,20,FALSE)</f>
        <v>#REF!</v>
      </c>
      <c r="H380" s="63" t="e">
        <f>VLOOKUP(B380,'115+040'!$B$12:$AB$621,4,FALSE)</f>
        <v>#REF!</v>
      </c>
      <c r="I380" s="60" t="e">
        <f t="shared" si="67"/>
        <v>#REF!</v>
      </c>
      <c r="J380" s="60" t="e">
        <f>VLOOKUP(B380,'115+040'!$B$12:$AB$621,13,FALSE)</f>
        <v>#REF!</v>
      </c>
      <c r="K380" s="58">
        <f>'115+040'!R378</f>
        <v>0</v>
      </c>
      <c r="L380" s="57">
        <f t="shared" si="72"/>
        <v>770</v>
      </c>
      <c r="M380" s="62" t="e">
        <f>VLOOKUP(B380,'115+040'!$B$11:$AB$621,21,FALSE)</f>
        <v>#REF!</v>
      </c>
      <c r="N380" s="61" t="e">
        <f>VLOOKUP(B380,'115+040'!$B$12:$AB$621,5,FALSE)</f>
        <v>#REF!</v>
      </c>
      <c r="O380" s="60" t="e">
        <f t="shared" si="68"/>
        <v>#REF!</v>
      </c>
      <c r="P380" s="60" t="e">
        <f>VLOOKUP(B380,'115+040'!$B$12:$AB$621,14,FALSE)</f>
        <v>#REF!</v>
      </c>
      <c r="Q380" s="58">
        <f>'115+040'!S378</f>
        <v>0</v>
      </c>
      <c r="R380" s="57">
        <f t="shared" si="73"/>
        <v>894</v>
      </c>
      <c r="S380" s="62" t="e">
        <f>VLOOKUP(B380,'115+040'!$B$11:$AB$621,22,FALSE)</f>
        <v>#REF!</v>
      </c>
      <c r="T380" s="61" t="e">
        <f>VLOOKUP(B380,'115+040'!$B$12:$AB$621,6,FALSE)</f>
        <v>#REF!</v>
      </c>
      <c r="U380" s="60" t="e">
        <f t="shared" si="69"/>
        <v>#REF!</v>
      </c>
      <c r="V380" s="59" t="e">
        <f>VLOOKUP(B380,'115+040'!$B$12:$AB$621,15,FALSE)</f>
        <v>#REF!</v>
      </c>
      <c r="W380" s="58">
        <f>'[4]114+940'!S381</f>
        <v>0</v>
      </c>
      <c r="X380" s="57">
        <f t="shared" si="74"/>
        <v>216</v>
      </c>
      <c r="Y380" s="56" t="e">
        <f t="shared" si="75"/>
        <v>#REF!</v>
      </c>
      <c r="Z380" s="55" t="e">
        <f t="shared" si="76"/>
        <v>#REF!</v>
      </c>
      <c r="AA380" s="54" t="e">
        <f t="shared" si="77"/>
        <v>#REF!</v>
      </c>
      <c r="AB380" s="54" t="e">
        <f t="shared" si="78"/>
        <v>#REF!</v>
      </c>
    </row>
    <row r="381" spans="2:28">
      <c r="B381" s="96" t="e">
        <f>'115+040'!#REF!</f>
        <v>#REF!</v>
      </c>
      <c r="C381" s="66" t="e">
        <f t="shared" si="70"/>
        <v>#REF!</v>
      </c>
      <c r="D381" s="65" t="e">
        <f t="shared" si="71"/>
        <v>#REF!</v>
      </c>
      <c r="E381" s="64" t="e">
        <f>VLOOKUP(B381,'115+040'!B379:AB379,3,FALSE)</f>
        <v>#REF!</v>
      </c>
      <c r="F381" s="61" t="e">
        <f t="shared" si="66"/>
        <v>#REF!</v>
      </c>
      <c r="G381" s="63" t="e">
        <f>VLOOKUP(B381,'115+040'!$B$12:$AB$621,20,FALSE)</f>
        <v>#REF!</v>
      </c>
      <c r="H381" s="63" t="e">
        <f>VLOOKUP(B381,'115+040'!$B$12:$AB$621,4,FALSE)</f>
        <v>#REF!</v>
      </c>
      <c r="I381" s="60" t="e">
        <f t="shared" si="67"/>
        <v>#REF!</v>
      </c>
      <c r="J381" s="60" t="e">
        <f>VLOOKUP(B381,'115+040'!$B$12:$AB$621,13,FALSE)</f>
        <v>#REF!</v>
      </c>
      <c r="K381" s="58">
        <f>'115+040'!R379</f>
        <v>0</v>
      </c>
      <c r="L381" s="57">
        <f t="shared" si="72"/>
        <v>770</v>
      </c>
      <c r="M381" s="62" t="e">
        <f>VLOOKUP(B381,'115+040'!$B$11:$AB$621,21,FALSE)</f>
        <v>#REF!</v>
      </c>
      <c r="N381" s="61" t="e">
        <f>VLOOKUP(B381,'115+040'!$B$12:$AB$621,5,FALSE)</f>
        <v>#REF!</v>
      </c>
      <c r="O381" s="60" t="e">
        <f t="shared" si="68"/>
        <v>#REF!</v>
      </c>
      <c r="P381" s="60" t="e">
        <f>VLOOKUP(B381,'115+040'!$B$12:$AB$621,14,FALSE)</f>
        <v>#REF!</v>
      </c>
      <c r="Q381" s="58">
        <f>'115+040'!S379</f>
        <v>0</v>
      </c>
      <c r="R381" s="57">
        <f t="shared" si="73"/>
        <v>894</v>
      </c>
      <c r="S381" s="62" t="e">
        <f>VLOOKUP(B381,'115+040'!$B$11:$AB$621,22,FALSE)</f>
        <v>#REF!</v>
      </c>
      <c r="T381" s="61" t="e">
        <f>VLOOKUP(B381,'115+040'!$B$12:$AB$621,6,FALSE)</f>
        <v>#REF!</v>
      </c>
      <c r="U381" s="60" t="e">
        <f t="shared" si="69"/>
        <v>#REF!</v>
      </c>
      <c r="V381" s="59" t="e">
        <f>VLOOKUP(B381,'115+040'!$B$12:$AB$621,15,FALSE)</f>
        <v>#REF!</v>
      </c>
      <c r="W381" s="58">
        <f>'[4]114+940'!S382</f>
        <v>0</v>
      </c>
      <c r="X381" s="57">
        <f t="shared" si="74"/>
        <v>216</v>
      </c>
      <c r="Y381" s="56" t="e">
        <f t="shared" si="75"/>
        <v>#REF!</v>
      </c>
      <c r="Z381" s="55" t="e">
        <f t="shared" si="76"/>
        <v>#REF!</v>
      </c>
      <c r="AA381" s="54" t="e">
        <f t="shared" si="77"/>
        <v>#REF!</v>
      </c>
      <c r="AB381" s="54" t="e">
        <f t="shared" si="78"/>
        <v>#REF!</v>
      </c>
    </row>
    <row r="382" spans="2:28">
      <c r="B382" s="96" t="e">
        <f>'115+040'!#REF!</f>
        <v>#REF!</v>
      </c>
      <c r="C382" s="66" t="e">
        <f t="shared" si="70"/>
        <v>#REF!</v>
      </c>
      <c r="D382" s="65" t="e">
        <f t="shared" si="71"/>
        <v>#REF!</v>
      </c>
      <c r="E382" s="64" t="e">
        <f>VLOOKUP(B382,'115+040'!B380:AB380,3,FALSE)</f>
        <v>#REF!</v>
      </c>
      <c r="F382" s="61" t="e">
        <f t="shared" si="66"/>
        <v>#REF!</v>
      </c>
      <c r="G382" s="63" t="e">
        <f>VLOOKUP(B382,'115+040'!$B$12:$AB$621,20,FALSE)</f>
        <v>#REF!</v>
      </c>
      <c r="H382" s="63" t="e">
        <f>VLOOKUP(B382,'115+040'!$B$12:$AB$621,4,FALSE)</f>
        <v>#REF!</v>
      </c>
      <c r="I382" s="60" t="e">
        <f t="shared" si="67"/>
        <v>#REF!</v>
      </c>
      <c r="J382" s="60" t="e">
        <f>VLOOKUP(B382,'115+040'!$B$12:$AB$621,13,FALSE)</f>
        <v>#REF!</v>
      </c>
      <c r="K382" s="58">
        <f>'115+040'!R380</f>
        <v>0</v>
      </c>
      <c r="L382" s="57">
        <f t="shared" si="72"/>
        <v>770</v>
      </c>
      <c r="M382" s="62" t="e">
        <f>VLOOKUP(B382,'115+040'!$B$11:$AB$621,21,FALSE)</f>
        <v>#REF!</v>
      </c>
      <c r="N382" s="61" t="e">
        <f>VLOOKUP(B382,'115+040'!$B$12:$AB$621,5,FALSE)</f>
        <v>#REF!</v>
      </c>
      <c r="O382" s="60" t="e">
        <f t="shared" si="68"/>
        <v>#REF!</v>
      </c>
      <c r="P382" s="60" t="e">
        <f>VLOOKUP(B382,'115+040'!$B$12:$AB$621,14,FALSE)</f>
        <v>#REF!</v>
      </c>
      <c r="Q382" s="58">
        <f>'115+040'!S380</f>
        <v>0</v>
      </c>
      <c r="R382" s="57">
        <f t="shared" si="73"/>
        <v>894</v>
      </c>
      <c r="S382" s="62" t="e">
        <f>VLOOKUP(B382,'115+040'!$B$11:$AB$621,22,FALSE)</f>
        <v>#REF!</v>
      </c>
      <c r="T382" s="61" t="e">
        <f>VLOOKUP(B382,'115+040'!$B$12:$AB$621,6,FALSE)</f>
        <v>#REF!</v>
      </c>
      <c r="U382" s="60" t="e">
        <f t="shared" si="69"/>
        <v>#REF!</v>
      </c>
      <c r="V382" s="59" t="e">
        <f>VLOOKUP(B382,'115+040'!$B$12:$AB$621,15,FALSE)</f>
        <v>#REF!</v>
      </c>
      <c r="W382" s="58">
        <f>'[4]114+940'!S383</f>
        <v>0</v>
      </c>
      <c r="X382" s="57">
        <f t="shared" si="74"/>
        <v>216</v>
      </c>
      <c r="Y382" s="56" t="e">
        <f t="shared" si="75"/>
        <v>#REF!</v>
      </c>
      <c r="Z382" s="55" t="e">
        <f t="shared" si="76"/>
        <v>#REF!</v>
      </c>
      <c r="AA382" s="54" t="e">
        <f t="shared" si="77"/>
        <v>#REF!</v>
      </c>
      <c r="AB382" s="54" t="e">
        <f t="shared" si="78"/>
        <v>#REF!</v>
      </c>
    </row>
    <row r="383" spans="2:28">
      <c r="B383" s="96" t="e">
        <f>'115+040'!#REF!</f>
        <v>#REF!</v>
      </c>
      <c r="C383" s="66" t="e">
        <f t="shared" si="70"/>
        <v>#REF!</v>
      </c>
      <c r="D383" s="65" t="e">
        <f t="shared" si="71"/>
        <v>#REF!</v>
      </c>
      <c r="E383" s="64" t="e">
        <f>VLOOKUP(B383,'115+040'!B381:AB381,3,FALSE)</f>
        <v>#REF!</v>
      </c>
      <c r="F383" s="61" t="e">
        <f t="shared" si="66"/>
        <v>#REF!</v>
      </c>
      <c r="G383" s="63" t="e">
        <f>VLOOKUP(B383,'115+040'!$B$12:$AB$621,20,FALSE)</f>
        <v>#REF!</v>
      </c>
      <c r="H383" s="63" t="e">
        <f>VLOOKUP(B383,'115+040'!$B$12:$AB$621,4,FALSE)</f>
        <v>#REF!</v>
      </c>
      <c r="I383" s="60" t="e">
        <f t="shared" si="67"/>
        <v>#REF!</v>
      </c>
      <c r="J383" s="60" t="e">
        <f>VLOOKUP(B383,'115+040'!$B$12:$AB$621,13,FALSE)</f>
        <v>#REF!</v>
      </c>
      <c r="K383" s="58">
        <f>'115+040'!R381</f>
        <v>0</v>
      </c>
      <c r="L383" s="57">
        <f t="shared" si="72"/>
        <v>770</v>
      </c>
      <c r="M383" s="62" t="e">
        <f>VLOOKUP(B383,'115+040'!$B$11:$AB$621,21,FALSE)</f>
        <v>#REF!</v>
      </c>
      <c r="N383" s="61" t="e">
        <f>VLOOKUP(B383,'115+040'!$B$12:$AB$621,5,FALSE)</f>
        <v>#REF!</v>
      </c>
      <c r="O383" s="60" t="e">
        <f t="shared" si="68"/>
        <v>#REF!</v>
      </c>
      <c r="P383" s="60" t="e">
        <f>VLOOKUP(B383,'115+040'!$B$12:$AB$621,14,FALSE)</f>
        <v>#REF!</v>
      </c>
      <c r="Q383" s="58">
        <f>'115+040'!S381</f>
        <v>0</v>
      </c>
      <c r="R383" s="57">
        <f t="shared" si="73"/>
        <v>894</v>
      </c>
      <c r="S383" s="62" t="e">
        <f>VLOOKUP(B383,'115+040'!$B$11:$AB$621,22,FALSE)</f>
        <v>#REF!</v>
      </c>
      <c r="T383" s="61" t="e">
        <f>VLOOKUP(B383,'115+040'!$B$12:$AB$621,6,FALSE)</f>
        <v>#REF!</v>
      </c>
      <c r="U383" s="60" t="e">
        <f t="shared" si="69"/>
        <v>#REF!</v>
      </c>
      <c r="V383" s="59" t="e">
        <f>VLOOKUP(B383,'115+040'!$B$12:$AB$621,15,FALSE)</f>
        <v>#REF!</v>
      </c>
      <c r="W383" s="58">
        <f>'[4]114+940'!S384</f>
        <v>0</v>
      </c>
      <c r="X383" s="57">
        <f t="shared" si="74"/>
        <v>216</v>
      </c>
      <c r="Y383" s="56" t="e">
        <f t="shared" si="75"/>
        <v>#REF!</v>
      </c>
      <c r="Z383" s="55" t="e">
        <f t="shared" si="76"/>
        <v>#REF!</v>
      </c>
      <c r="AA383" s="54" t="e">
        <f t="shared" si="77"/>
        <v>#REF!</v>
      </c>
      <c r="AB383" s="54" t="e">
        <f t="shared" si="78"/>
        <v>#REF!</v>
      </c>
    </row>
    <row r="384" spans="2:28">
      <c r="B384" s="96" t="e">
        <f>'115+040'!#REF!</f>
        <v>#REF!</v>
      </c>
      <c r="C384" s="66" t="e">
        <f t="shared" si="70"/>
        <v>#REF!</v>
      </c>
      <c r="D384" s="65" t="e">
        <f t="shared" si="71"/>
        <v>#REF!</v>
      </c>
      <c r="E384" s="64" t="e">
        <f>VLOOKUP(B384,'115+040'!B382:AB382,3,FALSE)</f>
        <v>#REF!</v>
      </c>
      <c r="F384" s="61" t="e">
        <f t="shared" si="66"/>
        <v>#REF!</v>
      </c>
      <c r="G384" s="63" t="e">
        <f>VLOOKUP(B384,'115+040'!$B$12:$AB$621,20,FALSE)</f>
        <v>#REF!</v>
      </c>
      <c r="H384" s="63" t="e">
        <f>VLOOKUP(B384,'115+040'!$B$12:$AB$621,4,FALSE)</f>
        <v>#REF!</v>
      </c>
      <c r="I384" s="60" t="e">
        <f t="shared" si="67"/>
        <v>#REF!</v>
      </c>
      <c r="J384" s="60" t="e">
        <f>VLOOKUP(B384,'115+040'!$B$12:$AB$621,13,FALSE)</f>
        <v>#REF!</v>
      </c>
      <c r="K384" s="58">
        <f>'115+040'!R382</f>
        <v>0</v>
      </c>
      <c r="L384" s="57">
        <f t="shared" si="72"/>
        <v>770</v>
      </c>
      <c r="M384" s="62" t="e">
        <f>VLOOKUP(B384,'115+040'!$B$11:$AB$621,21,FALSE)</f>
        <v>#REF!</v>
      </c>
      <c r="N384" s="61" t="e">
        <f>VLOOKUP(B384,'115+040'!$B$12:$AB$621,5,FALSE)</f>
        <v>#REF!</v>
      </c>
      <c r="O384" s="60" t="e">
        <f t="shared" si="68"/>
        <v>#REF!</v>
      </c>
      <c r="P384" s="60" t="e">
        <f>VLOOKUP(B384,'115+040'!$B$12:$AB$621,14,FALSE)</f>
        <v>#REF!</v>
      </c>
      <c r="Q384" s="58">
        <f>'115+040'!S382</f>
        <v>0</v>
      </c>
      <c r="R384" s="57">
        <f t="shared" si="73"/>
        <v>894</v>
      </c>
      <c r="S384" s="62" t="e">
        <f>VLOOKUP(B384,'115+040'!$B$11:$AB$621,22,FALSE)</f>
        <v>#REF!</v>
      </c>
      <c r="T384" s="61" t="e">
        <f>VLOOKUP(B384,'115+040'!$B$12:$AB$621,6,FALSE)</f>
        <v>#REF!</v>
      </c>
      <c r="U384" s="60" t="e">
        <f t="shared" si="69"/>
        <v>#REF!</v>
      </c>
      <c r="V384" s="59" t="e">
        <f>VLOOKUP(B384,'115+040'!$B$12:$AB$621,15,FALSE)</f>
        <v>#REF!</v>
      </c>
      <c r="W384" s="58">
        <f>'[4]114+940'!S385</f>
        <v>0</v>
      </c>
      <c r="X384" s="57">
        <f t="shared" si="74"/>
        <v>216</v>
      </c>
      <c r="Y384" s="56" t="e">
        <f t="shared" si="75"/>
        <v>#REF!</v>
      </c>
      <c r="Z384" s="55" t="e">
        <f t="shared" si="76"/>
        <v>#REF!</v>
      </c>
      <c r="AA384" s="54" t="e">
        <f t="shared" si="77"/>
        <v>#REF!</v>
      </c>
      <c r="AB384" s="54" t="e">
        <f t="shared" si="78"/>
        <v>#REF!</v>
      </c>
    </row>
    <row r="385" spans="2:28">
      <c r="B385" s="96" t="e">
        <f>'115+040'!#REF!</f>
        <v>#REF!</v>
      </c>
      <c r="C385" s="66" t="e">
        <f t="shared" si="70"/>
        <v>#REF!</v>
      </c>
      <c r="D385" s="65" t="e">
        <f t="shared" si="71"/>
        <v>#REF!</v>
      </c>
      <c r="E385" s="64" t="e">
        <f>VLOOKUP(B385,'115+040'!B383:AB383,3,FALSE)</f>
        <v>#REF!</v>
      </c>
      <c r="F385" s="61" t="e">
        <f t="shared" si="66"/>
        <v>#REF!</v>
      </c>
      <c r="G385" s="63" t="e">
        <f>VLOOKUP(B385,'115+040'!$B$12:$AB$621,20,FALSE)</f>
        <v>#REF!</v>
      </c>
      <c r="H385" s="63" t="e">
        <f>VLOOKUP(B385,'115+040'!$B$12:$AB$621,4,FALSE)</f>
        <v>#REF!</v>
      </c>
      <c r="I385" s="60" t="e">
        <f t="shared" si="67"/>
        <v>#REF!</v>
      </c>
      <c r="J385" s="60" t="e">
        <f>VLOOKUP(B385,'115+040'!$B$12:$AB$621,13,FALSE)</f>
        <v>#REF!</v>
      </c>
      <c r="K385" s="58">
        <f>'115+040'!R383</f>
        <v>8</v>
      </c>
      <c r="L385" s="57">
        <f t="shared" si="72"/>
        <v>778</v>
      </c>
      <c r="M385" s="62" t="e">
        <f>VLOOKUP(B385,'115+040'!$B$11:$AB$621,21,FALSE)</f>
        <v>#REF!</v>
      </c>
      <c r="N385" s="61" t="e">
        <f>VLOOKUP(B385,'115+040'!$B$12:$AB$621,5,FALSE)</f>
        <v>#REF!</v>
      </c>
      <c r="O385" s="60" t="e">
        <f t="shared" si="68"/>
        <v>#REF!</v>
      </c>
      <c r="P385" s="60" t="e">
        <f>VLOOKUP(B385,'115+040'!$B$12:$AB$621,14,FALSE)</f>
        <v>#REF!</v>
      </c>
      <c r="Q385" s="58">
        <f>'115+040'!S383</f>
        <v>7</v>
      </c>
      <c r="R385" s="57">
        <f t="shared" si="73"/>
        <v>901</v>
      </c>
      <c r="S385" s="62" t="e">
        <f>VLOOKUP(B385,'115+040'!$B$11:$AB$621,22,FALSE)</f>
        <v>#REF!</v>
      </c>
      <c r="T385" s="61" t="e">
        <f>VLOOKUP(B385,'115+040'!$B$12:$AB$621,6,FALSE)</f>
        <v>#REF!</v>
      </c>
      <c r="U385" s="60" t="e">
        <f t="shared" si="69"/>
        <v>#REF!</v>
      </c>
      <c r="V385" s="59" t="e">
        <f>VLOOKUP(B385,'115+040'!$B$12:$AB$621,15,FALSE)</f>
        <v>#REF!</v>
      </c>
      <c r="W385" s="58">
        <f>'[4]114+940'!S386</f>
        <v>10</v>
      </c>
      <c r="X385" s="57">
        <f t="shared" si="74"/>
        <v>226</v>
      </c>
      <c r="Y385" s="56" t="e">
        <f t="shared" si="75"/>
        <v>#REF!</v>
      </c>
      <c r="Z385" s="55" t="e">
        <f t="shared" si="76"/>
        <v>#REF!</v>
      </c>
      <c r="AA385" s="54" t="e">
        <f t="shared" si="77"/>
        <v>#REF!</v>
      </c>
      <c r="AB385" s="54" t="e">
        <f t="shared" si="78"/>
        <v>#REF!</v>
      </c>
    </row>
    <row r="386" spans="2:28">
      <c r="B386" s="96" t="e">
        <f>'115+040'!#REF!</f>
        <v>#REF!</v>
      </c>
      <c r="C386" s="66" t="e">
        <f t="shared" si="70"/>
        <v>#REF!</v>
      </c>
      <c r="D386" s="65" t="e">
        <f t="shared" si="71"/>
        <v>#REF!</v>
      </c>
      <c r="E386" s="64" t="e">
        <f>VLOOKUP(B386,'115+040'!B384:AB384,3,FALSE)</f>
        <v>#REF!</v>
      </c>
      <c r="F386" s="61" t="e">
        <f t="shared" si="66"/>
        <v>#REF!</v>
      </c>
      <c r="G386" s="63" t="e">
        <f>VLOOKUP(B386,'115+040'!$B$12:$AB$621,20,FALSE)</f>
        <v>#REF!</v>
      </c>
      <c r="H386" s="63" t="e">
        <f>VLOOKUP(B386,'115+040'!$B$12:$AB$621,4,FALSE)</f>
        <v>#REF!</v>
      </c>
      <c r="I386" s="60" t="e">
        <f t="shared" si="67"/>
        <v>#REF!</v>
      </c>
      <c r="J386" s="60" t="e">
        <f>VLOOKUP(B386,'115+040'!$B$12:$AB$621,13,FALSE)</f>
        <v>#REF!</v>
      </c>
      <c r="K386" s="58">
        <f>'115+040'!R384</f>
        <v>9</v>
      </c>
      <c r="L386" s="57">
        <f t="shared" si="72"/>
        <v>787</v>
      </c>
      <c r="M386" s="62" t="e">
        <f>VLOOKUP(B386,'115+040'!$B$11:$AB$621,21,FALSE)</f>
        <v>#REF!</v>
      </c>
      <c r="N386" s="61" t="e">
        <f>VLOOKUP(B386,'115+040'!$B$12:$AB$621,5,FALSE)</f>
        <v>#REF!</v>
      </c>
      <c r="O386" s="60" t="e">
        <f t="shared" si="68"/>
        <v>#REF!</v>
      </c>
      <c r="P386" s="60" t="e">
        <f>VLOOKUP(B386,'115+040'!$B$12:$AB$621,14,FALSE)</f>
        <v>#REF!</v>
      </c>
      <c r="Q386" s="58">
        <f>'115+040'!S384</f>
        <v>8</v>
      </c>
      <c r="R386" s="57">
        <f t="shared" si="73"/>
        <v>909</v>
      </c>
      <c r="S386" s="62" t="e">
        <f>VLOOKUP(B386,'115+040'!$B$11:$AB$621,22,FALSE)</f>
        <v>#REF!</v>
      </c>
      <c r="T386" s="61" t="e">
        <f>VLOOKUP(B386,'115+040'!$B$12:$AB$621,6,FALSE)</f>
        <v>#REF!</v>
      </c>
      <c r="U386" s="60" t="e">
        <f t="shared" si="69"/>
        <v>#REF!</v>
      </c>
      <c r="V386" s="59" t="e">
        <f>VLOOKUP(B386,'115+040'!$B$12:$AB$621,15,FALSE)</f>
        <v>#REF!</v>
      </c>
      <c r="W386" s="58">
        <f>'[4]114+940'!S387</f>
        <v>8</v>
      </c>
      <c r="X386" s="57">
        <f t="shared" si="74"/>
        <v>234</v>
      </c>
      <c r="Y386" s="56" t="e">
        <f t="shared" si="75"/>
        <v>#REF!</v>
      </c>
      <c r="Z386" s="55" t="e">
        <f t="shared" si="76"/>
        <v>#REF!</v>
      </c>
      <c r="AA386" s="54" t="e">
        <f t="shared" si="77"/>
        <v>#REF!</v>
      </c>
      <c r="AB386" s="54" t="e">
        <f t="shared" si="78"/>
        <v>#REF!</v>
      </c>
    </row>
    <row r="387" spans="2:28">
      <c r="B387" s="96" t="e">
        <f>'115+040'!#REF!</f>
        <v>#REF!</v>
      </c>
      <c r="C387" s="66" t="e">
        <f t="shared" si="70"/>
        <v>#REF!</v>
      </c>
      <c r="D387" s="65" t="e">
        <f t="shared" si="71"/>
        <v>#REF!</v>
      </c>
      <c r="E387" s="64" t="e">
        <f>VLOOKUP(B387,'115+040'!B385:AB385,3,FALSE)</f>
        <v>#REF!</v>
      </c>
      <c r="F387" s="61" t="e">
        <f t="shared" si="66"/>
        <v>#REF!</v>
      </c>
      <c r="G387" s="63" t="e">
        <f>VLOOKUP(B387,'115+040'!$B$12:$AB$621,20,FALSE)</f>
        <v>#REF!</v>
      </c>
      <c r="H387" s="63" t="e">
        <f>VLOOKUP(B387,'115+040'!$B$12:$AB$621,4,FALSE)</f>
        <v>#REF!</v>
      </c>
      <c r="I387" s="60" t="e">
        <f t="shared" si="67"/>
        <v>#REF!</v>
      </c>
      <c r="J387" s="60" t="e">
        <f>VLOOKUP(B387,'115+040'!$B$12:$AB$621,13,FALSE)</f>
        <v>#REF!</v>
      </c>
      <c r="K387" s="58">
        <f>'115+040'!R385</f>
        <v>6</v>
      </c>
      <c r="L387" s="57">
        <f t="shared" si="72"/>
        <v>793</v>
      </c>
      <c r="M387" s="62" t="e">
        <f>VLOOKUP(B387,'115+040'!$B$11:$AB$621,21,FALSE)</f>
        <v>#REF!</v>
      </c>
      <c r="N387" s="61" t="e">
        <f>VLOOKUP(B387,'115+040'!$B$12:$AB$621,5,FALSE)</f>
        <v>#REF!</v>
      </c>
      <c r="O387" s="60" t="e">
        <f t="shared" si="68"/>
        <v>#REF!</v>
      </c>
      <c r="P387" s="60" t="e">
        <f>VLOOKUP(B387,'115+040'!$B$12:$AB$621,14,FALSE)</f>
        <v>#REF!</v>
      </c>
      <c r="Q387" s="58">
        <f>'115+040'!S385</f>
        <v>9</v>
      </c>
      <c r="R387" s="57">
        <f t="shared" si="73"/>
        <v>918</v>
      </c>
      <c r="S387" s="62" t="e">
        <f>VLOOKUP(B387,'115+040'!$B$11:$AB$621,22,FALSE)</f>
        <v>#REF!</v>
      </c>
      <c r="T387" s="61" t="e">
        <f>VLOOKUP(B387,'115+040'!$B$12:$AB$621,6,FALSE)</f>
        <v>#REF!</v>
      </c>
      <c r="U387" s="60" t="e">
        <f t="shared" si="69"/>
        <v>#REF!</v>
      </c>
      <c r="V387" s="59" t="e">
        <f>VLOOKUP(B387,'115+040'!$B$12:$AB$621,15,FALSE)</f>
        <v>#REF!</v>
      </c>
      <c r="W387" s="58">
        <f>'[4]114+940'!S388</f>
        <v>5</v>
      </c>
      <c r="X387" s="57">
        <f t="shared" si="74"/>
        <v>239</v>
      </c>
      <c r="Y387" s="56" t="e">
        <f t="shared" si="75"/>
        <v>#REF!</v>
      </c>
      <c r="Z387" s="55" t="e">
        <f t="shared" si="76"/>
        <v>#REF!</v>
      </c>
      <c r="AA387" s="54" t="e">
        <f t="shared" si="77"/>
        <v>#REF!</v>
      </c>
      <c r="AB387" s="54" t="e">
        <f t="shared" si="78"/>
        <v>#REF!</v>
      </c>
    </row>
    <row r="388" spans="2:28">
      <c r="B388" s="96" t="e">
        <f>'115+040'!#REF!</f>
        <v>#REF!</v>
      </c>
      <c r="C388" s="66" t="e">
        <f t="shared" si="70"/>
        <v>#REF!</v>
      </c>
      <c r="D388" s="65" t="e">
        <f t="shared" si="71"/>
        <v>#REF!</v>
      </c>
      <c r="E388" s="64" t="e">
        <f>VLOOKUP(B388,'115+040'!B386:AB386,3,FALSE)</f>
        <v>#REF!</v>
      </c>
      <c r="F388" s="61" t="e">
        <f t="shared" si="66"/>
        <v>#REF!</v>
      </c>
      <c r="G388" s="63" t="e">
        <f>VLOOKUP(B388,'115+040'!$B$12:$AB$621,20,FALSE)</f>
        <v>#REF!</v>
      </c>
      <c r="H388" s="63" t="e">
        <f>VLOOKUP(B388,'115+040'!$B$12:$AB$621,4,FALSE)</f>
        <v>#REF!</v>
      </c>
      <c r="I388" s="60" t="e">
        <f t="shared" si="67"/>
        <v>#REF!</v>
      </c>
      <c r="J388" s="60" t="e">
        <f>VLOOKUP(B388,'115+040'!$B$12:$AB$621,13,FALSE)</f>
        <v>#REF!</v>
      </c>
      <c r="K388" s="58">
        <f>'115+040'!R386</f>
        <v>7</v>
      </c>
      <c r="L388" s="57">
        <f t="shared" si="72"/>
        <v>800</v>
      </c>
      <c r="M388" s="62" t="e">
        <f>VLOOKUP(B388,'115+040'!$B$11:$AB$621,21,FALSE)</f>
        <v>#REF!</v>
      </c>
      <c r="N388" s="61" t="e">
        <f>VLOOKUP(B388,'115+040'!$B$12:$AB$621,5,FALSE)</f>
        <v>#REF!</v>
      </c>
      <c r="O388" s="60" t="e">
        <f t="shared" si="68"/>
        <v>#REF!</v>
      </c>
      <c r="P388" s="60" t="e">
        <f>VLOOKUP(B388,'115+040'!$B$12:$AB$621,14,FALSE)</f>
        <v>#REF!</v>
      </c>
      <c r="Q388" s="58">
        <f>'115+040'!S386</f>
        <v>6</v>
      </c>
      <c r="R388" s="57">
        <f t="shared" si="73"/>
        <v>924</v>
      </c>
      <c r="S388" s="62" t="e">
        <f>VLOOKUP(B388,'115+040'!$B$11:$AB$621,22,FALSE)</f>
        <v>#REF!</v>
      </c>
      <c r="T388" s="61" t="e">
        <f>VLOOKUP(B388,'115+040'!$B$12:$AB$621,6,FALSE)</f>
        <v>#REF!</v>
      </c>
      <c r="U388" s="60" t="e">
        <f t="shared" si="69"/>
        <v>#REF!</v>
      </c>
      <c r="V388" s="59" t="e">
        <f>VLOOKUP(B388,'115+040'!$B$12:$AB$621,15,FALSE)</f>
        <v>#REF!</v>
      </c>
      <c r="W388" s="58">
        <f>'[4]114+940'!S389</f>
        <v>6</v>
      </c>
      <c r="X388" s="57">
        <f t="shared" si="74"/>
        <v>245</v>
      </c>
      <c r="Y388" s="56" t="e">
        <f t="shared" si="75"/>
        <v>#REF!</v>
      </c>
      <c r="Z388" s="55" t="e">
        <f t="shared" si="76"/>
        <v>#REF!</v>
      </c>
      <c r="AA388" s="54" t="e">
        <f t="shared" si="77"/>
        <v>#REF!</v>
      </c>
      <c r="AB388" s="54" t="e">
        <f t="shared" si="78"/>
        <v>#REF!</v>
      </c>
    </row>
    <row r="389" spans="2:28">
      <c r="B389" s="96" t="e">
        <f>'115+040'!#REF!</f>
        <v>#REF!</v>
      </c>
      <c r="C389" s="66" t="e">
        <f t="shared" si="70"/>
        <v>#REF!</v>
      </c>
      <c r="D389" s="65" t="e">
        <f t="shared" si="71"/>
        <v>#REF!</v>
      </c>
      <c r="E389" s="64" t="e">
        <f>VLOOKUP(B389,'115+040'!B387:AB387,3,FALSE)</f>
        <v>#REF!</v>
      </c>
      <c r="F389" s="61" t="e">
        <f t="shared" si="66"/>
        <v>#REF!</v>
      </c>
      <c r="G389" s="63" t="e">
        <f>VLOOKUP(B389,'115+040'!$B$12:$AB$621,20,FALSE)</f>
        <v>#REF!</v>
      </c>
      <c r="H389" s="63" t="e">
        <f>VLOOKUP(B389,'115+040'!$B$12:$AB$621,4,FALSE)</f>
        <v>#REF!</v>
      </c>
      <c r="I389" s="60" t="e">
        <f t="shared" si="67"/>
        <v>#REF!</v>
      </c>
      <c r="J389" s="60" t="e">
        <f>VLOOKUP(B389,'115+040'!$B$12:$AB$621,13,FALSE)</f>
        <v>#REF!</v>
      </c>
      <c r="K389" s="58">
        <f>'115+040'!R387</f>
        <v>8</v>
      </c>
      <c r="L389" s="57">
        <f t="shared" si="72"/>
        <v>808</v>
      </c>
      <c r="M389" s="62" t="e">
        <f>VLOOKUP(B389,'115+040'!$B$11:$AB$621,21,FALSE)</f>
        <v>#REF!</v>
      </c>
      <c r="N389" s="61" t="e">
        <f>VLOOKUP(B389,'115+040'!$B$12:$AB$621,5,FALSE)</f>
        <v>#REF!</v>
      </c>
      <c r="O389" s="60" t="e">
        <f t="shared" si="68"/>
        <v>#REF!</v>
      </c>
      <c r="P389" s="60" t="e">
        <f>VLOOKUP(B389,'115+040'!$B$12:$AB$621,14,FALSE)</f>
        <v>#REF!</v>
      </c>
      <c r="Q389" s="58">
        <f>'115+040'!S387</f>
        <v>7</v>
      </c>
      <c r="R389" s="57">
        <f t="shared" si="73"/>
        <v>931</v>
      </c>
      <c r="S389" s="62" t="e">
        <f>VLOOKUP(B389,'115+040'!$B$11:$AB$621,22,FALSE)</f>
        <v>#REF!</v>
      </c>
      <c r="T389" s="61" t="e">
        <f>VLOOKUP(B389,'115+040'!$B$12:$AB$621,6,FALSE)</f>
        <v>#REF!</v>
      </c>
      <c r="U389" s="60" t="e">
        <f t="shared" si="69"/>
        <v>#REF!</v>
      </c>
      <c r="V389" s="59" t="e">
        <f>VLOOKUP(B389,'115+040'!$B$12:$AB$621,15,FALSE)</f>
        <v>#REF!</v>
      </c>
      <c r="W389" s="58">
        <f>'[4]114+940'!S390</f>
        <v>6</v>
      </c>
      <c r="X389" s="57">
        <f t="shared" si="74"/>
        <v>251</v>
      </c>
      <c r="Y389" s="56" t="e">
        <f t="shared" si="75"/>
        <v>#REF!</v>
      </c>
      <c r="Z389" s="55" t="e">
        <f t="shared" si="76"/>
        <v>#REF!</v>
      </c>
      <c r="AA389" s="54" t="e">
        <f t="shared" si="77"/>
        <v>#REF!</v>
      </c>
      <c r="AB389" s="54" t="e">
        <f t="shared" si="78"/>
        <v>#REF!</v>
      </c>
    </row>
    <row r="390" spans="2:28">
      <c r="B390" s="96" t="e">
        <f>'115+040'!#REF!</f>
        <v>#REF!</v>
      </c>
      <c r="C390" s="66" t="e">
        <f t="shared" si="70"/>
        <v>#REF!</v>
      </c>
      <c r="D390" s="65" t="e">
        <f t="shared" si="71"/>
        <v>#REF!</v>
      </c>
      <c r="E390" s="64" t="e">
        <f>VLOOKUP(B390,'115+040'!B388:AB388,3,FALSE)</f>
        <v>#REF!</v>
      </c>
      <c r="F390" s="61" t="e">
        <f t="shared" si="66"/>
        <v>#REF!</v>
      </c>
      <c r="G390" s="63" t="e">
        <f>VLOOKUP(B390,'115+040'!$B$12:$AB$621,20,FALSE)</f>
        <v>#REF!</v>
      </c>
      <c r="H390" s="63" t="e">
        <f>VLOOKUP(B390,'115+040'!$B$12:$AB$621,4,FALSE)</f>
        <v>#REF!</v>
      </c>
      <c r="I390" s="60" t="e">
        <f t="shared" si="67"/>
        <v>#REF!</v>
      </c>
      <c r="J390" s="60" t="e">
        <f>VLOOKUP(B390,'115+040'!$B$12:$AB$621,13,FALSE)</f>
        <v>#REF!</v>
      </c>
      <c r="K390" s="58">
        <f>'115+040'!R388</f>
        <v>9</v>
      </c>
      <c r="L390" s="57">
        <f t="shared" si="72"/>
        <v>817</v>
      </c>
      <c r="M390" s="62" t="e">
        <f>VLOOKUP(B390,'115+040'!$B$11:$AB$621,21,FALSE)</f>
        <v>#REF!</v>
      </c>
      <c r="N390" s="61" t="e">
        <f>VLOOKUP(B390,'115+040'!$B$12:$AB$621,5,FALSE)</f>
        <v>#REF!</v>
      </c>
      <c r="O390" s="60" t="e">
        <f t="shared" si="68"/>
        <v>#REF!</v>
      </c>
      <c r="P390" s="60" t="e">
        <f>VLOOKUP(B390,'115+040'!$B$12:$AB$621,14,FALSE)</f>
        <v>#REF!</v>
      </c>
      <c r="Q390" s="58">
        <f>'115+040'!S388</f>
        <v>8</v>
      </c>
      <c r="R390" s="57">
        <f t="shared" si="73"/>
        <v>939</v>
      </c>
      <c r="S390" s="62" t="e">
        <f>VLOOKUP(B390,'115+040'!$B$11:$AB$621,22,FALSE)</f>
        <v>#REF!</v>
      </c>
      <c r="T390" s="61" t="e">
        <f>VLOOKUP(B390,'115+040'!$B$12:$AB$621,6,FALSE)</f>
        <v>#REF!</v>
      </c>
      <c r="U390" s="60" t="e">
        <f t="shared" si="69"/>
        <v>#REF!</v>
      </c>
      <c r="V390" s="59" t="e">
        <f>VLOOKUP(B390,'115+040'!$B$12:$AB$621,15,FALSE)</f>
        <v>#REF!</v>
      </c>
      <c r="W390" s="58">
        <f>'[4]114+940'!S391</f>
        <v>10</v>
      </c>
      <c r="X390" s="57">
        <f t="shared" si="74"/>
        <v>261</v>
      </c>
      <c r="Y390" s="56" t="e">
        <f t="shared" si="75"/>
        <v>#REF!</v>
      </c>
      <c r="Z390" s="55" t="e">
        <f t="shared" si="76"/>
        <v>#REF!</v>
      </c>
      <c r="AA390" s="54" t="e">
        <f t="shared" si="77"/>
        <v>#REF!</v>
      </c>
      <c r="AB390" s="54" t="e">
        <f t="shared" si="78"/>
        <v>#REF!</v>
      </c>
    </row>
    <row r="391" spans="2:28">
      <c r="B391" s="96" t="e">
        <f>'115+040'!#REF!</f>
        <v>#REF!</v>
      </c>
      <c r="C391" s="66" t="e">
        <f t="shared" si="70"/>
        <v>#REF!</v>
      </c>
      <c r="D391" s="65" t="e">
        <f t="shared" si="71"/>
        <v>#REF!</v>
      </c>
      <c r="E391" s="64" t="e">
        <f>VLOOKUP(B391,'115+040'!B389:AB389,3,FALSE)</f>
        <v>#REF!</v>
      </c>
      <c r="F391" s="61" t="e">
        <f t="shared" si="66"/>
        <v>#REF!</v>
      </c>
      <c r="G391" s="63" t="e">
        <f>VLOOKUP(B391,'115+040'!$B$12:$AB$621,20,FALSE)</f>
        <v>#REF!</v>
      </c>
      <c r="H391" s="63" t="e">
        <f>VLOOKUP(B391,'115+040'!$B$12:$AB$621,4,FALSE)</f>
        <v>#REF!</v>
      </c>
      <c r="I391" s="60" t="e">
        <f t="shared" si="67"/>
        <v>#REF!</v>
      </c>
      <c r="J391" s="60" t="e">
        <f>VLOOKUP(B391,'115+040'!$B$12:$AB$621,13,FALSE)</f>
        <v>#REF!</v>
      </c>
      <c r="K391" s="58">
        <f>'115+040'!R389</f>
        <v>5</v>
      </c>
      <c r="L391" s="57">
        <f t="shared" si="72"/>
        <v>822</v>
      </c>
      <c r="M391" s="62" t="e">
        <f>VLOOKUP(B391,'115+040'!$B$11:$AB$621,21,FALSE)</f>
        <v>#REF!</v>
      </c>
      <c r="N391" s="61" t="e">
        <f>VLOOKUP(B391,'115+040'!$B$12:$AB$621,5,FALSE)</f>
        <v>#REF!</v>
      </c>
      <c r="O391" s="60" t="e">
        <f t="shared" si="68"/>
        <v>#REF!</v>
      </c>
      <c r="P391" s="60" t="e">
        <f>VLOOKUP(B391,'115+040'!$B$12:$AB$621,14,FALSE)</f>
        <v>#REF!</v>
      </c>
      <c r="Q391" s="58">
        <f>'115+040'!S389</f>
        <v>9</v>
      </c>
      <c r="R391" s="57">
        <f t="shared" si="73"/>
        <v>948</v>
      </c>
      <c r="S391" s="62" t="e">
        <f>VLOOKUP(B391,'115+040'!$B$11:$AB$621,22,FALSE)</f>
        <v>#REF!</v>
      </c>
      <c r="T391" s="61" t="e">
        <f>VLOOKUP(B391,'115+040'!$B$12:$AB$621,6,FALSE)</f>
        <v>#REF!</v>
      </c>
      <c r="U391" s="60" t="e">
        <f t="shared" si="69"/>
        <v>#REF!</v>
      </c>
      <c r="V391" s="59" t="e">
        <f>VLOOKUP(B391,'115+040'!$B$12:$AB$621,15,FALSE)</f>
        <v>#REF!</v>
      </c>
      <c r="W391" s="58">
        <f>'[4]114+940'!S392</f>
        <v>10</v>
      </c>
      <c r="X391" s="57">
        <f t="shared" si="74"/>
        <v>271</v>
      </c>
      <c r="Y391" s="56" t="e">
        <f t="shared" si="75"/>
        <v>#REF!</v>
      </c>
      <c r="Z391" s="55" t="e">
        <f t="shared" si="76"/>
        <v>#REF!</v>
      </c>
      <c r="AA391" s="54" t="e">
        <f t="shared" si="77"/>
        <v>#REF!</v>
      </c>
      <c r="AB391" s="54" t="e">
        <f t="shared" si="78"/>
        <v>#REF!</v>
      </c>
    </row>
    <row r="392" spans="2:28">
      <c r="B392" s="96" t="e">
        <f>'115+040'!#REF!</f>
        <v>#REF!</v>
      </c>
      <c r="C392" s="66" t="e">
        <f t="shared" si="70"/>
        <v>#REF!</v>
      </c>
      <c r="D392" s="65" t="e">
        <f t="shared" si="71"/>
        <v>#REF!</v>
      </c>
      <c r="E392" s="64" t="e">
        <f>VLOOKUP(B392,'115+040'!B390:AB390,3,FALSE)</f>
        <v>#REF!</v>
      </c>
      <c r="F392" s="61" t="e">
        <f t="shared" si="66"/>
        <v>#REF!</v>
      </c>
      <c r="G392" s="63" t="e">
        <f>VLOOKUP(B392,'115+040'!$B$12:$AB$621,20,FALSE)</f>
        <v>#REF!</v>
      </c>
      <c r="H392" s="63" t="e">
        <f>VLOOKUP(B392,'115+040'!$B$12:$AB$621,4,FALSE)</f>
        <v>#REF!</v>
      </c>
      <c r="I392" s="60" t="e">
        <f t="shared" si="67"/>
        <v>#REF!</v>
      </c>
      <c r="J392" s="60" t="e">
        <f>VLOOKUP(B392,'115+040'!$B$12:$AB$621,13,FALSE)</f>
        <v>#REF!</v>
      </c>
      <c r="K392" s="58">
        <f>'115+040'!R390</f>
        <v>6</v>
      </c>
      <c r="L392" s="57">
        <f t="shared" si="72"/>
        <v>828</v>
      </c>
      <c r="M392" s="62" t="e">
        <f>VLOOKUP(B392,'115+040'!$B$11:$AB$621,21,FALSE)</f>
        <v>#REF!</v>
      </c>
      <c r="N392" s="61" t="e">
        <f>VLOOKUP(B392,'115+040'!$B$12:$AB$621,5,FALSE)</f>
        <v>#REF!</v>
      </c>
      <c r="O392" s="60" t="e">
        <f t="shared" si="68"/>
        <v>#REF!</v>
      </c>
      <c r="P392" s="60" t="e">
        <f>VLOOKUP(B392,'115+040'!$B$12:$AB$621,14,FALSE)</f>
        <v>#REF!</v>
      </c>
      <c r="Q392" s="58">
        <f>'115+040'!S390</f>
        <v>9</v>
      </c>
      <c r="R392" s="57">
        <f t="shared" si="73"/>
        <v>957</v>
      </c>
      <c r="S392" s="62" t="e">
        <f>VLOOKUP(B392,'115+040'!$B$11:$AB$621,22,FALSE)</f>
        <v>#REF!</v>
      </c>
      <c r="T392" s="61" t="e">
        <f>VLOOKUP(B392,'115+040'!$B$12:$AB$621,6,FALSE)</f>
        <v>#REF!</v>
      </c>
      <c r="U392" s="60" t="e">
        <f t="shared" si="69"/>
        <v>#REF!</v>
      </c>
      <c r="V392" s="59" t="e">
        <f>VLOOKUP(B392,'115+040'!$B$12:$AB$621,15,FALSE)</f>
        <v>#REF!</v>
      </c>
      <c r="W392" s="58">
        <f>'[4]114+940'!S393</f>
        <v>4</v>
      </c>
      <c r="X392" s="57">
        <f t="shared" si="74"/>
        <v>275</v>
      </c>
      <c r="Y392" s="56" t="e">
        <f t="shared" si="75"/>
        <v>#REF!</v>
      </c>
      <c r="Z392" s="55" t="e">
        <f t="shared" si="76"/>
        <v>#REF!</v>
      </c>
      <c r="AA392" s="54" t="e">
        <f t="shared" si="77"/>
        <v>#REF!</v>
      </c>
      <c r="AB392" s="54" t="e">
        <f t="shared" si="78"/>
        <v>#REF!</v>
      </c>
    </row>
    <row r="393" spans="2:28">
      <c r="B393" s="96" t="e">
        <f>'115+040'!#REF!</f>
        <v>#REF!</v>
      </c>
      <c r="C393" s="66" t="e">
        <f t="shared" si="70"/>
        <v>#REF!</v>
      </c>
      <c r="D393" s="65" t="e">
        <f t="shared" si="71"/>
        <v>#REF!</v>
      </c>
      <c r="E393" s="64" t="e">
        <f>VLOOKUP(B393,'115+040'!B391:AB391,3,FALSE)</f>
        <v>#REF!</v>
      </c>
      <c r="F393" s="61" t="e">
        <f t="shared" si="66"/>
        <v>#REF!</v>
      </c>
      <c r="G393" s="63" t="e">
        <f>VLOOKUP(B393,'115+040'!$B$12:$AB$621,20,FALSE)</f>
        <v>#REF!</v>
      </c>
      <c r="H393" s="63" t="e">
        <f>VLOOKUP(B393,'115+040'!$B$12:$AB$621,4,FALSE)</f>
        <v>#REF!</v>
      </c>
      <c r="I393" s="60" t="e">
        <f t="shared" si="67"/>
        <v>#REF!</v>
      </c>
      <c r="J393" s="60" t="e">
        <f>VLOOKUP(B393,'115+040'!$B$12:$AB$621,13,FALSE)</f>
        <v>#REF!</v>
      </c>
      <c r="K393" s="58">
        <f>'115+040'!R391</f>
        <v>7</v>
      </c>
      <c r="L393" s="57">
        <f t="shared" si="72"/>
        <v>835</v>
      </c>
      <c r="M393" s="62" t="e">
        <f>VLOOKUP(B393,'115+040'!$B$11:$AB$621,21,FALSE)</f>
        <v>#REF!</v>
      </c>
      <c r="N393" s="61" t="e">
        <f>VLOOKUP(B393,'115+040'!$B$12:$AB$621,5,FALSE)</f>
        <v>#REF!</v>
      </c>
      <c r="O393" s="60" t="e">
        <f t="shared" si="68"/>
        <v>#REF!</v>
      </c>
      <c r="P393" s="60" t="e">
        <f>VLOOKUP(B393,'115+040'!$B$12:$AB$621,14,FALSE)</f>
        <v>#REF!</v>
      </c>
      <c r="Q393" s="58">
        <f>'115+040'!S391</f>
        <v>1</v>
      </c>
      <c r="R393" s="57">
        <f t="shared" si="73"/>
        <v>958</v>
      </c>
      <c r="S393" s="62" t="e">
        <f>VLOOKUP(B393,'115+040'!$B$11:$AB$621,22,FALSE)</f>
        <v>#REF!</v>
      </c>
      <c r="T393" s="61" t="e">
        <f>VLOOKUP(B393,'115+040'!$B$12:$AB$621,6,FALSE)</f>
        <v>#REF!</v>
      </c>
      <c r="U393" s="60" t="e">
        <f t="shared" si="69"/>
        <v>#REF!</v>
      </c>
      <c r="V393" s="59" t="e">
        <f>VLOOKUP(B393,'115+040'!$B$12:$AB$621,15,FALSE)</f>
        <v>#REF!</v>
      </c>
      <c r="W393" s="58">
        <f>'[4]114+940'!S394</f>
        <v>2</v>
      </c>
      <c r="X393" s="57">
        <f t="shared" si="74"/>
        <v>277</v>
      </c>
      <c r="Y393" s="56" t="e">
        <f t="shared" si="75"/>
        <v>#REF!</v>
      </c>
      <c r="Z393" s="55" t="e">
        <f t="shared" si="76"/>
        <v>#REF!</v>
      </c>
      <c r="AA393" s="54" t="e">
        <f t="shared" si="77"/>
        <v>#REF!</v>
      </c>
      <c r="AB393" s="54" t="e">
        <f t="shared" si="78"/>
        <v>#REF!</v>
      </c>
    </row>
    <row r="394" spans="2:28">
      <c r="B394" s="96" t="e">
        <f>'115+040'!#REF!</f>
        <v>#REF!</v>
      </c>
      <c r="C394" s="66" t="e">
        <f t="shared" si="70"/>
        <v>#REF!</v>
      </c>
      <c r="D394" s="65" t="e">
        <f t="shared" si="71"/>
        <v>#REF!</v>
      </c>
      <c r="E394" s="64" t="e">
        <f>VLOOKUP(B394,'115+040'!B392:AB392,3,FALSE)</f>
        <v>#REF!</v>
      </c>
      <c r="F394" s="61" t="e">
        <f t="shared" si="66"/>
        <v>#REF!</v>
      </c>
      <c r="G394" s="63" t="e">
        <f>VLOOKUP(B394,'115+040'!$B$12:$AB$621,20,FALSE)</f>
        <v>#REF!</v>
      </c>
      <c r="H394" s="63" t="e">
        <f>VLOOKUP(B394,'115+040'!$B$12:$AB$621,4,FALSE)</f>
        <v>#REF!</v>
      </c>
      <c r="I394" s="60" t="e">
        <f t="shared" si="67"/>
        <v>#REF!</v>
      </c>
      <c r="J394" s="60" t="e">
        <f>VLOOKUP(B394,'115+040'!$B$12:$AB$621,13,FALSE)</f>
        <v>#REF!</v>
      </c>
      <c r="K394" s="58">
        <f>'115+040'!R392</f>
        <v>8</v>
      </c>
      <c r="L394" s="57">
        <f t="shared" si="72"/>
        <v>843</v>
      </c>
      <c r="M394" s="62" t="e">
        <f>VLOOKUP(B394,'115+040'!$B$11:$AB$621,21,FALSE)</f>
        <v>#REF!</v>
      </c>
      <c r="N394" s="61" t="e">
        <f>VLOOKUP(B394,'115+040'!$B$12:$AB$621,5,FALSE)</f>
        <v>#REF!</v>
      </c>
      <c r="O394" s="60" t="e">
        <f t="shared" si="68"/>
        <v>#REF!</v>
      </c>
      <c r="P394" s="60" t="e">
        <f>VLOOKUP(B394,'115+040'!$B$12:$AB$621,14,FALSE)</f>
        <v>#REF!</v>
      </c>
      <c r="Q394" s="58">
        <f>'115+040'!S392</f>
        <v>3</v>
      </c>
      <c r="R394" s="57">
        <f t="shared" si="73"/>
        <v>961</v>
      </c>
      <c r="S394" s="62" t="e">
        <f>VLOOKUP(B394,'115+040'!$B$11:$AB$621,22,FALSE)</f>
        <v>#REF!</v>
      </c>
      <c r="T394" s="61" t="e">
        <f>VLOOKUP(B394,'115+040'!$B$12:$AB$621,6,FALSE)</f>
        <v>#REF!</v>
      </c>
      <c r="U394" s="60" t="e">
        <f t="shared" si="69"/>
        <v>#REF!</v>
      </c>
      <c r="V394" s="59" t="e">
        <f>VLOOKUP(B394,'115+040'!$B$12:$AB$621,15,FALSE)</f>
        <v>#REF!</v>
      </c>
      <c r="W394" s="58">
        <f>'[4]114+940'!S395</f>
        <v>6</v>
      </c>
      <c r="X394" s="57">
        <f t="shared" si="74"/>
        <v>283</v>
      </c>
      <c r="Y394" s="56" t="e">
        <f t="shared" si="75"/>
        <v>#REF!</v>
      </c>
      <c r="Z394" s="55" t="e">
        <f t="shared" si="76"/>
        <v>#REF!</v>
      </c>
      <c r="AA394" s="54" t="e">
        <f t="shared" si="77"/>
        <v>#REF!</v>
      </c>
      <c r="AB394" s="54" t="e">
        <f t="shared" si="78"/>
        <v>#REF!</v>
      </c>
    </row>
    <row r="395" spans="2:28">
      <c r="B395" s="96" t="e">
        <f>'115+040'!#REF!</f>
        <v>#REF!</v>
      </c>
      <c r="C395" s="66" t="e">
        <f t="shared" si="70"/>
        <v>#REF!</v>
      </c>
      <c r="D395" s="65" t="e">
        <f t="shared" si="71"/>
        <v>#REF!</v>
      </c>
      <c r="E395" s="64" t="e">
        <f>VLOOKUP(B395,'115+040'!B393:AB393,3,FALSE)</f>
        <v>#REF!</v>
      </c>
      <c r="F395" s="61" t="e">
        <f t="shared" si="66"/>
        <v>#REF!</v>
      </c>
      <c r="G395" s="63" t="e">
        <f>VLOOKUP(B395,'115+040'!$B$12:$AB$621,20,FALSE)</f>
        <v>#REF!</v>
      </c>
      <c r="H395" s="63" t="e">
        <f>VLOOKUP(B395,'115+040'!$B$12:$AB$621,4,FALSE)</f>
        <v>#REF!</v>
      </c>
      <c r="I395" s="60" t="e">
        <f t="shared" si="67"/>
        <v>#REF!</v>
      </c>
      <c r="J395" s="60" t="e">
        <f>VLOOKUP(B395,'115+040'!$B$12:$AB$621,13,FALSE)</f>
        <v>#REF!</v>
      </c>
      <c r="K395" s="58">
        <f>'115+040'!R393</f>
        <v>9</v>
      </c>
      <c r="L395" s="57">
        <f t="shared" si="72"/>
        <v>852</v>
      </c>
      <c r="M395" s="62" t="e">
        <f>VLOOKUP(B395,'115+040'!$B$11:$AB$621,21,FALSE)</f>
        <v>#REF!</v>
      </c>
      <c r="N395" s="61" t="e">
        <f>VLOOKUP(B395,'115+040'!$B$12:$AB$621,5,FALSE)</f>
        <v>#REF!</v>
      </c>
      <c r="O395" s="60" t="e">
        <f t="shared" si="68"/>
        <v>#REF!</v>
      </c>
      <c r="P395" s="60" t="e">
        <f>VLOOKUP(B395,'115+040'!$B$12:$AB$621,14,FALSE)</f>
        <v>#REF!</v>
      </c>
      <c r="Q395" s="58">
        <f>'115+040'!S393</f>
        <v>5</v>
      </c>
      <c r="R395" s="57">
        <f t="shared" si="73"/>
        <v>966</v>
      </c>
      <c r="S395" s="62" t="e">
        <f>VLOOKUP(B395,'115+040'!$B$11:$AB$621,22,FALSE)</f>
        <v>#REF!</v>
      </c>
      <c r="T395" s="61" t="e">
        <f>VLOOKUP(B395,'115+040'!$B$12:$AB$621,6,FALSE)</f>
        <v>#REF!</v>
      </c>
      <c r="U395" s="60" t="e">
        <f t="shared" si="69"/>
        <v>#REF!</v>
      </c>
      <c r="V395" s="59" t="e">
        <f>VLOOKUP(B395,'115+040'!$B$12:$AB$621,15,FALSE)</f>
        <v>#REF!</v>
      </c>
      <c r="W395" s="58">
        <f>'[4]114+940'!S396</f>
        <v>10</v>
      </c>
      <c r="X395" s="57">
        <f t="shared" si="74"/>
        <v>293</v>
      </c>
      <c r="Y395" s="56" t="e">
        <f t="shared" si="75"/>
        <v>#REF!</v>
      </c>
      <c r="Z395" s="55" t="e">
        <f t="shared" si="76"/>
        <v>#REF!</v>
      </c>
      <c r="AA395" s="54" t="e">
        <f t="shared" si="77"/>
        <v>#REF!</v>
      </c>
      <c r="AB395" s="54" t="e">
        <f t="shared" si="78"/>
        <v>#REF!</v>
      </c>
    </row>
    <row r="396" spans="2:28">
      <c r="B396" s="96" t="e">
        <f>'115+040'!#REF!</f>
        <v>#REF!</v>
      </c>
      <c r="C396" s="66" t="e">
        <f t="shared" si="70"/>
        <v>#REF!</v>
      </c>
      <c r="D396" s="65" t="e">
        <f t="shared" si="71"/>
        <v>#REF!</v>
      </c>
      <c r="E396" s="64" t="e">
        <f>VLOOKUP(B396,'115+040'!B394:AB394,3,FALSE)</f>
        <v>#REF!</v>
      </c>
      <c r="F396" s="61" t="e">
        <f t="shared" si="66"/>
        <v>#REF!</v>
      </c>
      <c r="G396" s="63" t="e">
        <f>VLOOKUP(B396,'115+040'!$B$12:$AB$621,20,FALSE)</f>
        <v>#REF!</v>
      </c>
      <c r="H396" s="63" t="e">
        <f>VLOOKUP(B396,'115+040'!$B$12:$AB$621,4,FALSE)</f>
        <v>#REF!</v>
      </c>
      <c r="I396" s="60" t="e">
        <f t="shared" si="67"/>
        <v>#REF!</v>
      </c>
      <c r="J396" s="60" t="e">
        <f>VLOOKUP(B396,'115+040'!$B$12:$AB$621,13,FALSE)</f>
        <v>#REF!</v>
      </c>
      <c r="K396" s="58">
        <f>'115+040'!R394</f>
        <v>6</v>
      </c>
      <c r="L396" s="57">
        <f t="shared" si="72"/>
        <v>858</v>
      </c>
      <c r="M396" s="62" t="e">
        <f>VLOOKUP(B396,'115+040'!$B$11:$AB$621,21,FALSE)</f>
        <v>#REF!</v>
      </c>
      <c r="N396" s="61" t="e">
        <f>VLOOKUP(B396,'115+040'!$B$12:$AB$621,5,FALSE)</f>
        <v>#REF!</v>
      </c>
      <c r="O396" s="60" t="e">
        <f t="shared" si="68"/>
        <v>#REF!</v>
      </c>
      <c r="P396" s="60" t="e">
        <f>VLOOKUP(B396,'115+040'!$B$12:$AB$621,14,FALSE)</f>
        <v>#REF!</v>
      </c>
      <c r="Q396" s="58">
        <f>'115+040'!S394</f>
        <v>4</v>
      </c>
      <c r="R396" s="57">
        <f t="shared" si="73"/>
        <v>970</v>
      </c>
      <c r="S396" s="62" t="e">
        <f>VLOOKUP(B396,'115+040'!$B$11:$AB$621,22,FALSE)</f>
        <v>#REF!</v>
      </c>
      <c r="T396" s="61" t="e">
        <f>VLOOKUP(B396,'115+040'!$B$12:$AB$621,6,FALSE)</f>
        <v>#REF!</v>
      </c>
      <c r="U396" s="60" t="e">
        <f t="shared" si="69"/>
        <v>#REF!</v>
      </c>
      <c r="V396" s="59" t="e">
        <f>VLOOKUP(B396,'115+040'!$B$12:$AB$621,15,FALSE)</f>
        <v>#REF!</v>
      </c>
      <c r="W396" s="58">
        <f>'[4]114+940'!S397</f>
        <v>10</v>
      </c>
      <c r="X396" s="57">
        <f t="shared" si="74"/>
        <v>303</v>
      </c>
      <c r="Y396" s="56" t="e">
        <f t="shared" si="75"/>
        <v>#REF!</v>
      </c>
      <c r="Z396" s="55" t="e">
        <f t="shared" si="76"/>
        <v>#REF!</v>
      </c>
      <c r="AA396" s="54" t="e">
        <f t="shared" si="77"/>
        <v>#REF!</v>
      </c>
      <c r="AB396" s="54" t="e">
        <f t="shared" si="78"/>
        <v>#REF!</v>
      </c>
    </row>
    <row r="397" spans="2:28">
      <c r="B397" s="96" t="e">
        <f>'115+040'!#REF!</f>
        <v>#REF!</v>
      </c>
      <c r="C397" s="66" t="e">
        <f t="shared" si="70"/>
        <v>#REF!</v>
      </c>
      <c r="D397" s="65" t="e">
        <f t="shared" si="71"/>
        <v>#REF!</v>
      </c>
      <c r="E397" s="64" t="e">
        <f>VLOOKUP(B397,'115+040'!B395:AB395,3,FALSE)</f>
        <v>#REF!</v>
      </c>
      <c r="F397" s="61" t="e">
        <f t="shared" ref="F397:F460" si="79">D397+E397</f>
        <v>#REF!</v>
      </c>
      <c r="G397" s="63" t="e">
        <f>VLOOKUP(B397,'115+040'!$B$12:$AB$621,20,FALSE)</f>
        <v>#REF!</v>
      </c>
      <c r="H397" s="63" t="e">
        <f>VLOOKUP(B397,'115+040'!$B$12:$AB$621,4,FALSE)</f>
        <v>#REF!</v>
      </c>
      <c r="I397" s="60" t="e">
        <f t="shared" ref="I397:I460" si="80">F397-H397</f>
        <v>#REF!</v>
      </c>
      <c r="J397" s="60" t="e">
        <f>VLOOKUP(B397,'115+040'!$B$12:$AB$621,13,FALSE)</f>
        <v>#REF!</v>
      </c>
      <c r="K397" s="58">
        <f>'115+040'!R395</f>
        <v>2</v>
      </c>
      <c r="L397" s="57">
        <f t="shared" si="72"/>
        <v>860</v>
      </c>
      <c r="M397" s="62" t="e">
        <f>VLOOKUP(B397,'115+040'!$B$11:$AB$621,21,FALSE)</f>
        <v>#REF!</v>
      </c>
      <c r="N397" s="61" t="e">
        <f>VLOOKUP(B397,'115+040'!$B$12:$AB$621,5,FALSE)</f>
        <v>#REF!</v>
      </c>
      <c r="O397" s="60" t="e">
        <f t="shared" ref="O397:O460" si="81">F397-N397</f>
        <v>#REF!</v>
      </c>
      <c r="P397" s="60" t="e">
        <f>VLOOKUP(B397,'115+040'!$B$12:$AB$621,14,FALSE)</f>
        <v>#REF!</v>
      </c>
      <c r="Q397" s="58">
        <f>'115+040'!S395</f>
        <v>3</v>
      </c>
      <c r="R397" s="57">
        <f t="shared" si="73"/>
        <v>973</v>
      </c>
      <c r="S397" s="62" t="e">
        <f>VLOOKUP(B397,'115+040'!$B$11:$AB$621,22,FALSE)</f>
        <v>#REF!</v>
      </c>
      <c r="T397" s="61" t="e">
        <f>VLOOKUP(B397,'115+040'!$B$12:$AB$621,6,FALSE)</f>
        <v>#REF!</v>
      </c>
      <c r="U397" s="60" t="e">
        <f t="shared" ref="U397:U460" si="82">F397-T397</f>
        <v>#REF!</v>
      </c>
      <c r="V397" s="59" t="e">
        <f>VLOOKUP(B397,'115+040'!$B$12:$AB$621,15,FALSE)</f>
        <v>#REF!</v>
      </c>
      <c r="W397" s="58">
        <f>'[4]114+940'!S398</f>
        <v>4</v>
      </c>
      <c r="X397" s="57">
        <f t="shared" si="74"/>
        <v>307</v>
      </c>
      <c r="Y397" s="56" t="e">
        <f t="shared" si="75"/>
        <v>#REF!</v>
      </c>
      <c r="Z397" s="55" t="e">
        <f t="shared" si="76"/>
        <v>#REF!</v>
      </c>
      <c r="AA397" s="54" t="e">
        <f t="shared" si="77"/>
        <v>#REF!</v>
      </c>
      <c r="AB397" s="54" t="e">
        <f t="shared" si="78"/>
        <v>#REF!</v>
      </c>
    </row>
    <row r="398" spans="2:28">
      <c r="B398" s="96" t="e">
        <f>'115+040'!#REF!</f>
        <v>#REF!</v>
      </c>
      <c r="C398" s="66" t="e">
        <f t="shared" ref="C398:C461" si="83">B398-B397</f>
        <v>#REF!</v>
      </c>
      <c r="D398" s="65" t="e">
        <f t="shared" ref="D398:D461" si="84">D397</f>
        <v>#REF!</v>
      </c>
      <c r="E398" s="64" t="e">
        <f>VLOOKUP(B398,'115+040'!B396:AB396,3,FALSE)</f>
        <v>#REF!</v>
      </c>
      <c r="F398" s="61" t="e">
        <f t="shared" si="79"/>
        <v>#REF!</v>
      </c>
      <c r="G398" s="63" t="e">
        <f>VLOOKUP(B398,'115+040'!$B$12:$AB$621,20,FALSE)</f>
        <v>#REF!</v>
      </c>
      <c r="H398" s="63" t="e">
        <f>VLOOKUP(B398,'115+040'!$B$12:$AB$621,4,FALSE)</f>
        <v>#REF!</v>
      </c>
      <c r="I398" s="60" t="e">
        <f t="shared" si="80"/>
        <v>#REF!</v>
      </c>
      <c r="J398" s="60" t="e">
        <f>VLOOKUP(B398,'115+040'!$B$12:$AB$621,13,FALSE)</f>
        <v>#REF!</v>
      </c>
      <c r="K398" s="58">
        <f>'115+040'!R396</f>
        <v>2</v>
      </c>
      <c r="L398" s="57">
        <f t="shared" ref="L398:L461" si="85">+K398+L397</f>
        <v>862</v>
      </c>
      <c r="M398" s="62" t="e">
        <f>VLOOKUP(B398,'115+040'!$B$11:$AB$621,21,FALSE)</f>
        <v>#REF!</v>
      </c>
      <c r="N398" s="61" t="e">
        <f>VLOOKUP(B398,'115+040'!$B$12:$AB$621,5,FALSE)</f>
        <v>#REF!</v>
      </c>
      <c r="O398" s="60" t="e">
        <f t="shared" si="81"/>
        <v>#REF!</v>
      </c>
      <c r="P398" s="60" t="e">
        <f>VLOOKUP(B398,'115+040'!$B$12:$AB$621,14,FALSE)</f>
        <v>#REF!</v>
      </c>
      <c r="Q398" s="58">
        <f>'115+040'!S396</f>
        <v>1</v>
      </c>
      <c r="R398" s="57">
        <f t="shared" ref="R398:R461" si="86">+Q398+R397</f>
        <v>974</v>
      </c>
      <c r="S398" s="62" t="e">
        <f>VLOOKUP(B398,'115+040'!$B$11:$AB$621,22,FALSE)</f>
        <v>#REF!</v>
      </c>
      <c r="T398" s="61" t="e">
        <f>VLOOKUP(B398,'115+040'!$B$12:$AB$621,6,FALSE)</f>
        <v>#REF!</v>
      </c>
      <c r="U398" s="60" t="e">
        <f t="shared" si="82"/>
        <v>#REF!</v>
      </c>
      <c r="V398" s="59" t="e">
        <f>VLOOKUP(B398,'115+040'!$B$12:$AB$621,15,FALSE)</f>
        <v>#REF!</v>
      </c>
      <c r="W398" s="58">
        <f>'[4]114+940'!S399</f>
        <v>2</v>
      </c>
      <c r="X398" s="57">
        <f t="shared" ref="X398:X461" si="87">+W398+X397</f>
        <v>309</v>
      </c>
      <c r="Y398" s="56" t="e">
        <f t="shared" ref="Y398:Y461" si="88">S398-S397</f>
        <v>#REF!</v>
      </c>
      <c r="Z398" s="55" t="e">
        <f t="shared" ref="Z398:Z461" si="89">IF(Y398&gt;0,Y398,0)/1000</f>
        <v>#REF!</v>
      </c>
      <c r="AA398" s="54" t="e">
        <f t="shared" ref="AA398:AA461" si="90">AA397+Z398</f>
        <v>#REF!</v>
      </c>
      <c r="AB398" s="54" t="e">
        <f t="shared" ref="AB398:AB461" si="91">(M398-$M$13-R398)/1000</f>
        <v>#REF!</v>
      </c>
    </row>
    <row r="399" spans="2:28">
      <c r="B399" s="96" t="e">
        <f>'115+040'!#REF!</f>
        <v>#REF!</v>
      </c>
      <c r="C399" s="66" t="e">
        <f t="shared" si="83"/>
        <v>#REF!</v>
      </c>
      <c r="D399" s="65" t="e">
        <f t="shared" si="84"/>
        <v>#REF!</v>
      </c>
      <c r="E399" s="64" t="e">
        <f>VLOOKUP(B399,'115+040'!B397:AB397,3,FALSE)</f>
        <v>#REF!</v>
      </c>
      <c r="F399" s="61" t="e">
        <f t="shared" si="79"/>
        <v>#REF!</v>
      </c>
      <c r="G399" s="63" t="e">
        <f>VLOOKUP(B399,'115+040'!$B$12:$AB$621,20,FALSE)</f>
        <v>#REF!</v>
      </c>
      <c r="H399" s="63" t="e">
        <f>VLOOKUP(B399,'115+040'!$B$12:$AB$621,4,FALSE)</f>
        <v>#REF!</v>
      </c>
      <c r="I399" s="60" t="e">
        <f t="shared" si="80"/>
        <v>#REF!</v>
      </c>
      <c r="J399" s="60" t="e">
        <f>VLOOKUP(B399,'115+040'!$B$12:$AB$621,13,FALSE)</f>
        <v>#REF!</v>
      </c>
      <c r="K399" s="58">
        <f>'115+040'!R397</f>
        <v>0</v>
      </c>
      <c r="L399" s="57">
        <f t="shared" si="85"/>
        <v>862</v>
      </c>
      <c r="M399" s="62" t="e">
        <f>VLOOKUP(B399,'115+040'!$B$11:$AB$621,21,FALSE)</f>
        <v>#REF!</v>
      </c>
      <c r="N399" s="61" t="e">
        <f>VLOOKUP(B399,'115+040'!$B$12:$AB$621,5,FALSE)</f>
        <v>#REF!</v>
      </c>
      <c r="O399" s="60" t="e">
        <f t="shared" si="81"/>
        <v>#REF!</v>
      </c>
      <c r="P399" s="60" t="e">
        <f>VLOOKUP(B399,'115+040'!$B$12:$AB$621,14,FALSE)</f>
        <v>#REF!</v>
      </c>
      <c r="Q399" s="58">
        <f>'115+040'!S397</f>
        <v>0</v>
      </c>
      <c r="R399" s="57">
        <f t="shared" si="86"/>
        <v>974</v>
      </c>
      <c r="S399" s="62" t="e">
        <f>VLOOKUP(B399,'115+040'!$B$11:$AB$621,22,FALSE)</f>
        <v>#REF!</v>
      </c>
      <c r="T399" s="61" t="e">
        <f>VLOOKUP(B399,'115+040'!$B$12:$AB$621,6,FALSE)</f>
        <v>#REF!</v>
      </c>
      <c r="U399" s="60" t="e">
        <f t="shared" si="82"/>
        <v>#REF!</v>
      </c>
      <c r="V399" s="59" t="e">
        <f>VLOOKUP(B399,'115+040'!$B$12:$AB$621,15,FALSE)</f>
        <v>#REF!</v>
      </c>
      <c r="W399" s="58">
        <f>'[4]114+940'!S400</f>
        <v>6</v>
      </c>
      <c r="X399" s="57">
        <f t="shared" si="87"/>
        <v>315</v>
      </c>
      <c r="Y399" s="56" t="e">
        <f t="shared" si="88"/>
        <v>#REF!</v>
      </c>
      <c r="Z399" s="55" t="e">
        <f t="shared" si="89"/>
        <v>#REF!</v>
      </c>
      <c r="AA399" s="54" t="e">
        <f t="shared" si="90"/>
        <v>#REF!</v>
      </c>
      <c r="AB399" s="54" t="e">
        <f t="shared" si="91"/>
        <v>#REF!</v>
      </c>
    </row>
    <row r="400" spans="2:28">
      <c r="B400" s="96" t="e">
        <f>'115+040'!#REF!</f>
        <v>#REF!</v>
      </c>
      <c r="C400" s="66" t="e">
        <f t="shared" si="83"/>
        <v>#REF!</v>
      </c>
      <c r="D400" s="65" t="e">
        <f t="shared" si="84"/>
        <v>#REF!</v>
      </c>
      <c r="E400" s="64" t="e">
        <f>VLOOKUP(B400,'115+040'!B398:AB398,3,FALSE)</f>
        <v>#REF!</v>
      </c>
      <c r="F400" s="61" t="e">
        <f t="shared" si="79"/>
        <v>#REF!</v>
      </c>
      <c r="G400" s="63" t="e">
        <f>VLOOKUP(B400,'115+040'!$B$12:$AB$621,20,FALSE)</f>
        <v>#REF!</v>
      </c>
      <c r="H400" s="63" t="e">
        <f>VLOOKUP(B400,'115+040'!$B$12:$AB$621,4,FALSE)</f>
        <v>#REF!</v>
      </c>
      <c r="I400" s="60" t="e">
        <f t="shared" si="80"/>
        <v>#REF!</v>
      </c>
      <c r="J400" s="60" t="e">
        <f>VLOOKUP(B400,'115+040'!$B$12:$AB$621,13,FALSE)</f>
        <v>#REF!</v>
      </c>
      <c r="K400" s="58">
        <f>'115+040'!R398</f>
        <v>5</v>
      </c>
      <c r="L400" s="57">
        <f t="shared" si="85"/>
        <v>867</v>
      </c>
      <c r="M400" s="62" t="e">
        <f>VLOOKUP(B400,'115+040'!$B$11:$AB$621,21,FALSE)</f>
        <v>#REF!</v>
      </c>
      <c r="N400" s="61" t="e">
        <f>VLOOKUP(B400,'115+040'!$B$12:$AB$621,5,FALSE)</f>
        <v>#REF!</v>
      </c>
      <c r="O400" s="60" t="e">
        <f t="shared" si="81"/>
        <v>#REF!</v>
      </c>
      <c r="P400" s="60" t="e">
        <f>VLOOKUP(B400,'115+040'!$B$12:$AB$621,14,FALSE)</f>
        <v>#REF!</v>
      </c>
      <c r="Q400" s="58">
        <f>'115+040'!S398</f>
        <v>5</v>
      </c>
      <c r="R400" s="57">
        <f t="shared" si="86"/>
        <v>979</v>
      </c>
      <c r="S400" s="62" t="e">
        <f>VLOOKUP(B400,'115+040'!$B$11:$AB$621,22,FALSE)</f>
        <v>#REF!</v>
      </c>
      <c r="T400" s="61" t="e">
        <f>VLOOKUP(B400,'115+040'!$B$12:$AB$621,6,FALSE)</f>
        <v>#REF!</v>
      </c>
      <c r="U400" s="60" t="e">
        <f t="shared" si="82"/>
        <v>#REF!</v>
      </c>
      <c r="V400" s="59" t="e">
        <f>VLOOKUP(B400,'115+040'!$B$12:$AB$621,15,FALSE)</f>
        <v>#REF!</v>
      </c>
      <c r="W400" s="58">
        <f>'[4]114+940'!S401</f>
        <v>8</v>
      </c>
      <c r="X400" s="57">
        <f t="shared" si="87"/>
        <v>323</v>
      </c>
      <c r="Y400" s="56" t="e">
        <f t="shared" si="88"/>
        <v>#REF!</v>
      </c>
      <c r="Z400" s="55" t="e">
        <f t="shared" si="89"/>
        <v>#REF!</v>
      </c>
      <c r="AA400" s="54" t="e">
        <f t="shared" si="90"/>
        <v>#REF!</v>
      </c>
      <c r="AB400" s="54" t="e">
        <f t="shared" si="91"/>
        <v>#REF!</v>
      </c>
    </row>
    <row r="401" spans="2:28">
      <c r="B401" s="96" t="e">
        <f>'115+040'!#REF!</f>
        <v>#REF!</v>
      </c>
      <c r="C401" s="66" t="e">
        <f t="shared" si="83"/>
        <v>#REF!</v>
      </c>
      <c r="D401" s="65" t="e">
        <f t="shared" si="84"/>
        <v>#REF!</v>
      </c>
      <c r="E401" s="64" t="e">
        <f>VLOOKUP(B401,'115+040'!B399:AB399,3,FALSE)</f>
        <v>#REF!</v>
      </c>
      <c r="F401" s="61" t="e">
        <f t="shared" si="79"/>
        <v>#REF!</v>
      </c>
      <c r="G401" s="63" t="e">
        <f>VLOOKUP(B401,'115+040'!$B$12:$AB$621,20,FALSE)</f>
        <v>#REF!</v>
      </c>
      <c r="H401" s="63" t="e">
        <f>VLOOKUP(B401,'115+040'!$B$12:$AB$621,4,FALSE)</f>
        <v>#REF!</v>
      </c>
      <c r="I401" s="60" t="e">
        <f t="shared" si="80"/>
        <v>#REF!</v>
      </c>
      <c r="J401" s="60" t="e">
        <f>VLOOKUP(B401,'115+040'!$B$12:$AB$621,13,FALSE)</f>
        <v>#REF!</v>
      </c>
      <c r="K401" s="58">
        <f>'115+040'!R399</f>
        <v>5</v>
      </c>
      <c r="L401" s="57">
        <f t="shared" si="85"/>
        <v>872</v>
      </c>
      <c r="M401" s="62" t="e">
        <f>VLOOKUP(B401,'115+040'!$B$11:$AB$621,21,FALSE)</f>
        <v>#REF!</v>
      </c>
      <c r="N401" s="61" t="e">
        <f>VLOOKUP(B401,'115+040'!$B$12:$AB$621,5,FALSE)</f>
        <v>#REF!</v>
      </c>
      <c r="O401" s="60" t="e">
        <f t="shared" si="81"/>
        <v>#REF!</v>
      </c>
      <c r="P401" s="60" t="e">
        <f>VLOOKUP(B401,'115+040'!$B$12:$AB$621,14,FALSE)</f>
        <v>#REF!</v>
      </c>
      <c r="Q401" s="58">
        <f>'115+040'!S399</f>
        <v>5</v>
      </c>
      <c r="R401" s="57">
        <f t="shared" si="86"/>
        <v>984</v>
      </c>
      <c r="S401" s="62" t="e">
        <f>VLOOKUP(B401,'115+040'!$B$11:$AB$621,22,FALSE)</f>
        <v>#REF!</v>
      </c>
      <c r="T401" s="61" t="e">
        <f>VLOOKUP(B401,'115+040'!$B$12:$AB$621,6,FALSE)</f>
        <v>#REF!</v>
      </c>
      <c r="U401" s="60" t="e">
        <f t="shared" si="82"/>
        <v>#REF!</v>
      </c>
      <c r="V401" s="59" t="e">
        <f>VLOOKUP(B401,'115+040'!$B$12:$AB$621,15,FALSE)</f>
        <v>#REF!</v>
      </c>
      <c r="W401" s="58">
        <f>'[4]114+940'!S402</f>
        <v>7</v>
      </c>
      <c r="X401" s="57">
        <f t="shared" si="87"/>
        <v>330</v>
      </c>
      <c r="Y401" s="56" t="e">
        <f t="shared" si="88"/>
        <v>#REF!</v>
      </c>
      <c r="Z401" s="55" t="e">
        <f t="shared" si="89"/>
        <v>#REF!</v>
      </c>
      <c r="AA401" s="54" t="e">
        <f t="shared" si="90"/>
        <v>#REF!</v>
      </c>
      <c r="AB401" s="54" t="e">
        <f t="shared" si="91"/>
        <v>#REF!</v>
      </c>
    </row>
    <row r="402" spans="2:28">
      <c r="B402" s="96" t="e">
        <f>'115+040'!#REF!</f>
        <v>#REF!</v>
      </c>
      <c r="C402" s="66" t="e">
        <f t="shared" si="83"/>
        <v>#REF!</v>
      </c>
      <c r="D402" s="65" t="e">
        <f t="shared" si="84"/>
        <v>#REF!</v>
      </c>
      <c r="E402" s="64" t="e">
        <f>VLOOKUP(B402,'115+040'!B400:AB400,3,FALSE)</f>
        <v>#REF!</v>
      </c>
      <c r="F402" s="61" t="e">
        <f t="shared" si="79"/>
        <v>#REF!</v>
      </c>
      <c r="G402" s="63" t="e">
        <f>VLOOKUP(B402,'115+040'!$B$12:$AB$621,20,FALSE)</f>
        <v>#REF!</v>
      </c>
      <c r="H402" s="63" t="e">
        <f>VLOOKUP(B402,'115+040'!$B$12:$AB$621,4,FALSE)</f>
        <v>#REF!</v>
      </c>
      <c r="I402" s="60" t="e">
        <f t="shared" si="80"/>
        <v>#REF!</v>
      </c>
      <c r="J402" s="60" t="e">
        <f>VLOOKUP(B402,'115+040'!$B$12:$AB$621,13,FALSE)</f>
        <v>#REF!</v>
      </c>
      <c r="K402" s="58">
        <f>'115+040'!R400</f>
        <v>5</v>
      </c>
      <c r="L402" s="57">
        <f t="shared" si="85"/>
        <v>877</v>
      </c>
      <c r="M402" s="62" t="e">
        <f>VLOOKUP(B402,'115+040'!$B$11:$AB$621,21,FALSE)</f>
        <v>#REF!</v>
      </c>
      <c r="N402" s="61" t="e">
        <f>VLOOKUP(B402,'115+040'!$B$12:$AB$621,5,FALSE)</f>
        <v>#REF!</v>
      </c>
      <c r="O402" s="60" t="e">
        <f t="shared" si="81"/>
        <v>#REF!</v>
      </c>
      <c r="P402" s="60" t="e">
        <f>VLOOKUP(B402,'115+040'!$B$12:$AB$621,14,FALSE)</f>
        <v>#REF!</v>
      </c>
      <c r="Q402" s="58">
        <f>'115+040'!S400</f>
        <v>5</v>
      </c>
      <c r="R402" s="57">
        <f t="shared" si="86"/>
        <v>989</v>
      </c>
      <c r="S402" s="62" t="e">
        <f>VLOOKUP(B402,'115+040'!$B$11:$AB$621,22,FALSE)</f>
        <v>#REF!</v>
      </c>
      <c r="T402" s="61" t="e">
        <f>VLOOKUP(B402,'115+040'!$B$12:$AB$621,6,FALSE)</f>
        <v>#REF!</v>
      </c>
      <c r="U402" s="60" t="e">
        <f t="shared" si="82"/>
        <v>#REF!</v>
      </c>
      <c r="V402" s="59" t="e">
        <f>VLOOKUP(B402,'115+040'!$B$12:$AB$621,15,FALSE)</f>
        <v>#REF!</v>
      </c>
      <c r="W402" s="58">
        <f>'[4]114+940'!S403</f>
        <v>8</v>
      </c>
      <c r="X402" s="57">
        <f t="shared" si="87"/>
        <v>338</v>
      </c>
      <c r="Y402" s="56" t="e">
        <f t="shared" si="88"/>
        <v>#REF!</v>
      </c>
      <c r="Z402" s="55" t="e">
        <f t="shared" si="89"/>
        <v>#REF!</v>
      </c>
      <c r="AA402" s="54" t="e">
        <f t="shared" si="90"/>
        <v>#REF!</v>
      </c>
      <c r="AB402" s="54" t="e">
        <f t="shared" si="91"/>
        <v>#REF!</v>
      </c>
    </row>
    <row r="403" spans="2:28">
      <c r="B403" s="96" t="e">
        <f>'115+040'!#REF!</f>
        <v>#REF!</v>
      </c>
      <c r="C403" s="66" t="e">
        <f t="shared" si="83"/>
        <v>#REF!</v>
      </c>
      <c r="D403" s="65" t="e">
        <f t="shared" si="84"/>
        <v>#REF!</v>
      </c>
      <c r="E403" s="64" t="e">
        <f>VLOOKUP(B403,'115+040'!B401:AB401,3,FALSE)</f>
        <v>#REF!</v>
      </c>
      <c r="F403" s="61" t="e">
        <f t="shared" si="79"/>
        <v>#REF!</v>
      </c>
      <c r="G403" s="63" t="e">
        <f>VLOOKUP(B403,'115+040'!$B$12:$AB$621,20,FALSE)</f>
        <v>#REF!</v>
      </c>
      <c r="H403" s="63" t="e">
        <f>VLOOKUP(B403,'115+040'!$B$12:$AB$621,4,FALSE)</f>
        <v>#REF!</v>
      </c>
      <c r="I403" s="60" t="e">
        <f t="shared" si="80"/>
        <v>#REF!</v>
      </c>
      <c r="J403" s="60" t="e">
        <f>VLOOKUP(B403,'115+040'!$B$12:$AB$621,13,FALSE)</f>
        <v>#REF!</v>
      </c>
      <c r="K403" s="58">
        <f>'115+040'!R401</f>
        <v>5</v>
      </c>
      <c r="L403" s="57">
        <f t="shared" si="85"/>
        <v>882</v>
      </c>
      <c r="M403" s="62" t="e">
        <f>VLOOKUP(B403,'115+040'!$B$11:$AB$621,21,FALSE)</f>
        <v>#REF!</v>
      </c>
      <c r="N403" s="61" t="e">
        <f>VLOOKUP(B403,'115+040'!$B$12:$AB$621,5,FALSE)</f>
        <v>#REF!</v>
      </c>
      <c r="O403" s="60" t="e">
        <f t="shared" si="81"/>
        <v>#REF!</v>
      </c>
      <c r="P403" s="60" t="e">
        <f>VLOOKUP(B403,'115+040'!$B$12:$AB$621,14,FALSE)</f>
        <v>#REF!</v>
      </c>
      <c r="Q403" s="58">
        <f>'115+040'!S401</f>
        <v>5</v>
      </c>
      <c r="R403" s="57">
        <f t="shared" si="86"/>
        <v>994</v>
      </c>
      <c r="S403" s="62" t="e">
        <f>VLOOKUP(B403,'115+040'!$B$11:$AB$621,22,FALSE)</f>
        <v>#REF!</v>
      </c>
      <c r="T403" s="61" t="e">
        <f>VLOOKUP(B403,'115+040'!$B$12:$AB$621,6,FALSE)</f>
        <v>#REF!</v>
      </c>
      <c r="U403" s="60" t="e">
        <f t="shared" si="82"/>
        <v>#REF!</v>
      </c>
      <c r="V403" s="59" t="e">
        <f>VLOOKUP(B403,'115+040'!$B$12:$AB$621,15,FALSE)</f>
        <v>#REF!</v>
      </c>
      <c r="W403" s="58">
        <f>'[4]114+940'!S404</f>
        <v>7</v>
      </c>
      <c r="X403" s="57">
        <f t="shared" si="87"/>
        <v>345</v>
      </c>
      <c r="Y403" s="56" t="e">
        <f t="shared" si="88"/>
        <v>#REF!</v>
      </c>
      <c r="Z403" s="55" t="e">
        <f t="shared" si="89"/>
        <v>#REF!</v>
      </c>
      <c r="AA403" s="54" t="e">
        <f t="shared" si="90"/>
        <v>#REF!</v>
      </c>
      <c r="AB403" s="54" t="e">
        <f t="shared" si="91"/>
        <v>#REF!</v>
      </c>
    </row>
    <row r="404" spans="2:28">
      <c r="B404" s="96" t="e">
        <f>'115+040'!#REF!</f>
        <v>#REF!</v>
      </c>
      <c r="C404" s="66" t="e">
        <f t="shared" si="83"/>
        <v>#REF!</v>
      </c>
      <c r="D404" s="65" t="e">
        <f t="shared" si="84"/>
        <v>#REF!</v>
      </c>
      <c r="E404" s="64" t="e">
        <f>VLOOKUP(B404,'115+040'!B402:AB402,3,FALSE)</f>
        <v>#REF!</v>
      </c>
      <c r="F404" s="61" t="e">
        <f t="shared" si="79"/>
        <v>#REF!</v>
      </c>
      <c r="G404" s="63" t="e">
        <f>VLOOKUP(B404,'115+040'!$B$12:$AB$621,20,FALSE)</f>
        <v>#REF!</v>
      </c>
      <c r="H404" s="63" t="e">
        <f>VLOOKUP(B404,'115+040'!$B$12:$AB$621,4,FALSE)</f>
        <v>#REF!</v>
      </c>
      <c r="I404" s="60" t="e">
        <f t="shared" si="80"/>
        <v>#REF!</v>
      </c>
      <c r="J404" s="60" t="e">
        <f>VLOOKUP(B404,'115+040'!$B$12:$AB$621,13,FALSE)</f>
        <v>#REF!</v>
      </c>
      <c r="K404" s="58">
        <f>'115+040'!R402</f>
        <v>5</v>
      </c>
      <c r="L404" s="57">
        <f t="shared" si="85"/>
        <v>887</v>
      </c>
      <c r="M404" s="62" t="e">
        <f>VLOOKUP(B404,'115+040'!$B$11:$AB$621,21,FALSE)</f>
        <v>#REF!</v>
      </c>
      <c r="N404" s="61" t="e">
        <f>VLOOKUP(B404,'115+040'!$B$12:$AB$621,5,FALSE)</f>
        <v>#REF!</v>
      </c>
      <c r="O404" s="60" t="e">
        <f t="shared" si="81"/>
        <v>#REF!</v>
      </c>
      <c r="P404" s="60" t="e">
        <f>VLOOKUP(B404,'115+040'!$B$12:$AB$621,14,FALSE)</f>
        <v>#REF!</v>
      </c>
      <c r="Q404" s="58">
        <f>'115+040'!S402</f>
        <v>5</v>
      </c>
      <c r="R404" s="57">
        <f t="shared" si="86"/>
        <v>999</v>
      </c>
      <c r="S404" s="62" t="e">
        <f>VLOOKUP(B404,'115+040'!$B$11:$AB$621,22,FALSE)</f>
        <v>#REF!</v>
      </c>
      <c r="T404" s="61" t="e">
        <f>VLOOKUP(B404,'115+040'!$B$12:$AB$621,6,FALSE)</f>
        <v>#REF!</v>
      </c>
      <c r="U404" s="60" t="e">
        <f t="shared" si="82"/>
        <v>#REF!</v>
      </c>
      <c r="V404" s="59" t="e">
        <f>VLOOKUP(B404,'115+040'!$B$12:$AB$621,15,FALSE)</f>
        <v>#REF!</v>
      </c>
      <c r="W404" s="58">
        <f>'[4]114+940'!S405</f>
        <v>6</v>
      </c>
      <c r="X404" s="57">
        <f t="shared" si="87"/>
        <v>351</v>
      </c>
      <c r="Y404" s="56" t="e">
        <f t="shared" si="88"/>
        <v>#REF!</v>
      </c>
      <c r="Z404" s="55" t="e">
        <f t="shared" si="89"/>
        <v>#REF!</v>
      </c>
      <c r="AA404" s="54" t="e">
        <f t="shared" si="90"/>
        <v>#REF!</v>
      </c>
      <c r="AB404" s="54" t="e">
        <f t="shared" si="91"/>
        <v>#REF!</v>
      </c>
    </row>
    <row r="405" spans="2:28">
      <c r="B405" s="96" t="e">
        <f>'115+040'!#REF!</f>
        <v>#REF!</v>
      </c>
      <c r="C405" s="66" t="e">
        <f t="shared" si="83"/>
        <v>#REF!</v>
      </c>
      <c r="D405" s="65" t="e">
        <f t="shared" si="84"/>
        <v>#REF!</v>
      </c>
      <c r="E405" s="64" t="e">
        <f>VLOOKUP(B405,'115+040'!B403:AB403,3,FALSE)</f>
        <v>#REF!</v>
      </c>
      <c r="F405" s="61" t="e">
        <f t="shared" si="79"/>
        <v>#REF!</v>
      </c>
      <c r="G405" s="63" t="e">
        <f>VLOOKUP(B405,'115+040'!$B$12:$AB$621,20,FALSE)</f>
        <v>#REF!</v>
      </c>
      <c r="H405" s="63" t="e">
        <f>VLOOKUP(B405,'115+040'!$B$12:$AB$621,4,FALSE)</f>
        <v>#REF!</v>
      </c>
      <c r="I405" s="60" t="e">
        <f t="shared" si="80"/>
        <v>#REF!</v>
      </c>
      <c r="J405" s="60" t="e">
        <f>VLOOKUP(B405,'115+040'!$B$12:$AB$621,13,FALSE)</f>
        <v>#REF!</v>
      </c>
      <c r="K405" s="58">
        <f>'115+040'!R403</f>
        <v>5</v>
      </c>
      <c r="L405" s="57">
        <f t="shared" si="85"/>
        <v>892</v>
      </c>
      <c r="M405" s="62" t="e">
        <f>VLOOKUP(B405,'115+040'!$B$11:$AB$621,21,FALSE)</f>
        <v>#REF!</v>
      </c>
      <c r="N405" s="61" t="e">
        <f>VLOOKUP(B405,'115+040'!$B$12:$AB$621,5,FALSE)</f>
        <v>#REF!</v>
      </c>
      <c r="O405" s="60" t="e">
        <f t="shared" si="81"/>
        <v>#REF!</v>
      </c>
      <c r="P405" s="60" t="e">
        <f>VLOOKUP(B405,'115+040'!$B$12:$AB$621,14,FALSE)</f>
        <v>#REF!</v>
      </c>
      <c r="Q405" s="58">
        <f>'115+040'!S403</f>
        <v>5</v>
      </c>
      <c r="R405" s="57">
        <f t="shared" si="86"/>
        <v>1004</v>
      </c>
      <c r="S405" s="62" t="e">
        <f>VLOOKUP(B405,'115+040'!$B$11:$AB$621,22,FALSE)</f>
        <v>#REF!</v>
      </c>
      <c r="T405" s="61" t="e">
        <f>VLOOKUP(B405,'115+040'!$B$12:$AB$621,6,FALSE)</f>
        <v>#REF!</v>
      </c>
      <c r="U405" s="60" t="e">
        <f t="shared" si="82"/>
        <v>#REF!</v>
      </c>
      <c r="V405" s="59" t="e">
        <f>VLOOKUP(B405,'115+040'!$B$12:$AB$621,15,FALSE)</f>
        <v>#REF!</v>
      </c>
      <c r="W405" s="58">
        <f>'[4]114+940'!S406</f>
        <v>8</v>
      </c>
      <c r="X405" s="57">
        <f t="shared" si="87"/>
        <v>359</v>
      </c>
      <c r="Y405" s="56" t="e">
        <f t="shared" si="88"/>
        <v>#REF!</v>
      </c>
      <c r="Z405" s="55" t="e">
        <f t="shared" si="89"/>
        <v>#REF!</v>
      </c>
      <c r="AA405" s="54" t="e">
        <f t="shared" si="90"/>
        <v>#REF!</v>
      </c>
      <c r="AB405" s="54" t="e">
        <f t="shared" si="91"/>
        <v>#REF!</v>
      </c>
    </row>
    <row r="406" spans="2:28">
      <c r="B406" s="96" t="e">
        <f>'115+040'!#REF!</f>
        <v>#REF!</v>
      </c>
      <c r="C406" s="66" t="e">
        <f t="shared" si="83"/>
        <v>#REF!</v>
      </c>
      <c r="D406" s="65" t="e">
        <f t="shared" si="84"/>
        <v>#REF!</v>
      </c>
      <c r="E406" s="64" t="e">
        <f>VLOOKUP(B406,'115+040'!B404:AB404,3,FALSE)</f>
        <v>#REF!</v>
      </c>
      <c r="F406" s="61" t="e">
        <f t="shared" si="79"/>
        <v>#REF!</v>
      </c>
      <c r="G406" s="63" t="e">
        <f>VLOOKUP(B406,'115+040'!$B$12:$AB$621,20,FALSE)</f>
        <v>#REF!</v>
      </c>
      <c r="H406" s="63" t="e">
        <f>VLOOKUP(B406,'115+040'!$B$12:$AB$621,4,FALSE)</f>
        <v>#REF!</v>
      </c>
      <c r="I406" s="60" t="e">
        <f t="shared" si="80"/>
        <v>#REF!</v>
      </c>
      <c r="J406" s="60" t="e">
        <f>VLOOKUP(B406,'115+040'!$B$12:$AB$621,13,FALSE)</f>
        <v>#REF!</v>
      </c>
      <c r="K406" s="58">
        <f>'115+040'!R404</f>
        <v>5</v>
      </c>
      <c r="L406" s="57">
        <f t="shared" si="85"/>
        <v>897</v>
      </c>
      <c r="M406" s="62" t="e">
        <f>VLOOKUP(B406,'115+040'!$B$11:$AB$621,21,FALSE)</f>
        <v>#REF!</v>
      </c>
      <c r="N406" s="61" t="e">
        <f>VLOOKUP(B406,'115+040'!$B$12:$AB$621,5,FALSE)</f>
        <v>#REF!</v>
      </c>
      <c r="O406" s="60" t="e">
        <f t="shared" si="81"/>
        <v>#REF!</v>
      </c>
      <c r="P406" s="60" t="e">
        <f>VLOOKUP(B406,'115+040'!$B$12:$AB$621,14,FALSE)</f>
        <v>#REF!</v>
      </c>
      <c r="Q406" s="58">
        <f>'115+040'!S404</f>
        <v>5</v>
      </c>
      <c r="R406" s="57">
        <f t="shared" si="86"/>
        <v>1009</v>
      </c>
      <c r="S406" s="62" t="e">
        <f>VLOOKUP(B406,'115+040'!$B$11:$AB$621,22,FALSE)</f>
        <v>#REF!</v>
      </c>
      <c r="T406" s="61" t="e">
        <f>VLOOKUP(B406,'115+040'!$B$12:$AB$621,6,FALSE)</f>
        <v>#REF!</v>
      </c>
      <c r="U406" s="60" t="e">
        <f t="shared" si="82"/>
        <v>#REF!</v>
      </c>
      <c r="V406" s="59" t="e">
        <f>VLOOKUP(B406,'115+040'!$B$12:$AB$621,15,FALSE)</f>
        <v>#REF!</v>
      </c>
      <c r="W406" s="58">
        <f>'[4]114+940'!S407</f>
        <v>7</v>
      </c>
      <c r="X406" s="57">
        <f t="shared" si="87"/>
        <v>366</v>
      </c>
      <c r="Y406" s="56" t="e">
        <f t="shared" si="88"/>
        <v>#REF!</v>
      </c>
      <c r="Z406" s="55" t="e">
        <f t="shared" si="89"/>
        <v>#REF!</v>
      </c>
      <c r="AA406" s="54" t="e">
        <f t="shared" si="90"/>
        <v>#REF!</v>
      </c>
      <c r="AB406" s="54" t="e">
        <f t="shared" si="91"/>
        <v>#REF!</v>
      </c>
    </row>
    <row r="407" spans="2:28">
      <c r="B407" s="96" t="e">
        <f>'115+040'!#REF!</f>
        <v>#REF!</v>
      </c>
      <c r="C407" s="66" t="e">
        <f t="shared" si="83"/>
        <v>#REF!</v>
      </c>
      <c r="D407" s="65" t="e">
        <f t="shared" si="84"/>
        <v>#REF!</v>
      </c>
      <c r="E407" s="64" t="e">
        <f>VLOOKUP(B407,'115+040'!B405:AB405,3,FALSE)</f>
        <v>#REF!</v>
      </c>
      <c r="F407" s="61" t="e">
        <f t="shared" si="79"/>
        <v>#REF!</v>
      </c>
      <c r="G407" s="63" t="e">
        <f>VLOOKUP(B407,'115+040'!$B$12:$AB$621,20,FALSE)</f>
        <v>#REF!</v>
      </c>
      <c r="H407" s="63" t="e">
        <f>VLOOKUP(B407,'115+040'!$B$12:$AB$621,4,FALSE)</f>
        <v>#REF!</v>
      </c>
      <c r="I407" s="60" t="e">
        <f t="shared" si="80"/>
        <v>#REF!</v>
      </c>
      <c r="J407" s="60" t="e">
        <f>VLOOKUP(B407,'115+040'!$B$12:$AB$621,13,FALSE)</f>
        <v>#REF!</v>
      </c>
      <c r="K407" s="58">
        <f>'115+040'!R405</f>
        <v>5</v>
      </c>
      <c r="L407" s="57">
        <f t="shared" si="85"/>
        <v>902</v>
      </c>
      <c r="M407" s="62" t="e">
        <f>VLOOKUP(B407,'115+040'!$B$11:$AB$621,21,FALSE)</f>
        <v>#REF!</v>
      </c>
      <c r="N407" s="61" t="e">
        <f>VLOOKUP(B407,'115+040'!$B$12:$AB$621,5,FALSE)</f>
        <v>#REF!</v>
      </c>
      <c r="O407" s="60" t="e">
        <f t="shared" si="81"/>
        <v>#REF!</v>
      </c>
      <c r="P407" s="60" t="e">
        <f>VLOOKUP(B407,'115+040'!$B$12:$AB$621,14,FALSE)</f>
        <v>#REF!</v>
      </c>
      <c r="Q407" s="58">
        <f>'115+040'!S405</f>
        <v>5</v>
      </c>
      <c r="R407" s="57">
        <f t="shared" si="86"/>
        <v>1014</v>
      </c>
      <c r="S407" s="62" t="e">
        <f>VLOOKUP(B407,'115+040'!$B$11:$AB$621,22,FALSE)</f>
        <v>#REF!</v>
      </c>
      <c r="T407" s="61" t="e">
        <f>VLOOKUP(B407,'115+040'!$B$12:$AB$621,6,FALSE)</f>
        <v>#REF!</v>
      </c>
      <c r="U407" s="60" t="e">
        <f t="shared" si="82"/>
        <v>#REF!</v>
      </c>
      <c r="V407" s="59" t="e">
        <f>VLOOKUP(B407,'115+040'!$B$12:$AB$621,15,FALSE)</f>
        <v>#REF!</v>
      </c>
      <c r="W407" s="58">
        <f>'[4]114+940'!S408</f>
        <v>9</v>
      </c>
      <c r="X407" s="57">
        <f t="shared" si="87"/>
        <v>375</v>
      </c>
      <c r="Y407" s="56" t="e">
        <f t="shared" si="88"/>
        <v>#REF!</v>
      </c>
      <c r="Z407" s="55" t="e">
        <f t="shared" si="89"/>
        <v>#REF!</v>
      </c>
      <c r="AA407" s="54" t="e">
        <f t="shared" si="90"/>
        <v>#REF!</v>
      </c>
      <c r="AB407" s="54" t="e">
        <f t="shared" si="91"/>
        <v>#REF!</v>
      </c>
    </row>
    <row r="408" spans="2:28">
      <c r="B408" s="96" t="e">
        <f>'115+040'!#REF!</f>
        <v>#REF!</v>
      </c>
      <c r="C408" s="66" t="e">
        <f t="shared" si="83"/>
        <v>#REF!</v>
      </c>
      <c r="D408" s="65" t="e">
        <f t="shared" si="84"/>
        <v>#REF!</v>
      </c>
      <c r="E408" s="64" t="e">
        <f>VLOOKUP(B408,'115+040'!B406:AB406,3,FALSE)</f>
        <v>#REF!</v>
      </c>
      <c r="F408" s="61" t="e">
        <f t="shared" si="79"/>
        <v>#REF!</v>
      </c>
      <c r="G408" s="63" t="e">
        <f>VLOOKUP(B408,'115+040'!$B$12:$AB$621,20,FALSE)</f>
        <v>#REF!</v>
      </c>
      <c r="H408" s="63" t="e">
        <f>VLOOKUP(B408,'115+040'!$B$12:$AB$621,4,FALSE)</f>
        <v>#REF!</v>
      </c>
      <c r="I408" s="60" t="e">
        <f t="shared" si="80"/>
        <v>#REF!</v>
      </c>
      <c r="J408" s="60" t="e">
        <f>VLOOKUP(B408,'115+040'!$B$12:$AB$621,13,FALSE)</f>
        <v>#REF!</v>
      </c>
      <c r="K408" s="58">
        <f>'115+040'!R406</f>
        <v>5</v>
      </c>
      <c r="L408" s="57">
        <f t="shared" si="85"/>
        <v>907</v>
      </c>
      <c r="M408" s="62" t="e">
        <f>VLOOKUP(B408,'115+040'!$B$11:$AB$621,21,FALSE)</f>
        <v>#REF!</v>
      </c>
      <c r="N408" s="61" t="e">
        <f>VLOOKUP(B408,'115+040'!$B$12:$AB$621,5,FALSE)</f>
        <v>#REF!</v>
      </c>
      <c r="O408" s="60" t="e">
        <f t="shared" si="81"/>
        <v>#REF!</v>
      </c>
      <c r="P408" s="60" t="e">
        <f>VLOOKUP(B408,'115+040'!$B$12:$AB$621,14,FALSE)</f>
        <v>#REF!</v>
      </c>
      <c r="Q408" s="58">
        <f>'115+040'!S406</f>
        <v>5</v>
      </c>
      <c r="R408" s="57">
        <f t="shared" si="86"/>
        <v>1019</v>
      </c>
      <c r="S408" s="62" t="e">
        <f>VLOOKUP(B408,'115+040'!$B$11:$AB$621,22,FALSE)</f>
        <v>#REF!</v>
      </c>
      <c r="T408" s="61" t="e">
        <f>VLOOKUP(B408,'115+040'!$B$12:$AB$621,6,FALSE)</f>
        <v>#REF!</v>
      </c>
      <c r="U408" s="60" t="e">
        <f t="shared" si="82"/>
        <v>#REF!</v>
      </c>
      <c r="V408" s="59" t="e">
        <f>VLOOKUP(B408,'115+040'!$B$12:$AB$621,15,FALSE)</f>
        <v>#REF!</v>
      </c>
      <c r="W408" s="58">
        <f>'[4]114+940'!S409</f>
        <v>8</v>
      </c>
      <c r="X408" s="57">
        <f t="shared" si="87"/>
        <v>383</v>
      </c>
      <c r="Y408" s="56" t="e">
        <f t="shared" si="88"/>
        <v>#REF!</v>
      </c>
      <c r="Z408" s="55" t="e">
        <f t="shared" si="89"/>
        <v>#REF!</v>
      </c>
      <c r="AA408" s="54" t="e">
        <f t="shared" si="90"/>
        <v>#REF!</v>
      </c>
      <c r="AB408" s="54" t="e">
        <f t="shared" si="91"/>
        <v>#REF!</v>
      </c>
    </row>
    <row r="409" spans="2:28">
      <c r="B409" s="96" t="e">
        <f>'115+040'!#REF!</f>
        <v>#REF!</v>
      </c>
      <c r="C409" s="66" t="e">
        <f t="shared" si="83"/>
        <v>#REF!</v>
      </c>
      <c r="D409" s="65" t="e">
        <f t="shared" si="84"/>
        <v>#REF!</v>
      </c>
      <c r="E409" s="64" t="e">
        <f>VLOOKUP(B409,'115+040'!B407:AB407,3,FALSE)</f>
        <v>#REF!</v>
      </c>
      <c r="F409" s="61" t="e">
        <f t="shared" si="79"/>
        <v>#REF!</v>
      </c>
      <c r="G409" s="63" t="e">
        <f>VLOOKUP(B409,'115+040'!$B$12:$AB$621,20,FALSE)</f>
        <v>#REF!</v>
      </c>
      <c r="H409" s="63" t="e">
        <f>VLOOKUP(B409,'115+040'!$B$12:$AB$621,4,FALSE)</f>
        <v>#REF!</v>
      </c>
      <c r="I409" s="60" t="e">
        <f t="shared" si="80"/>
        <v>#REF!</v>
      </c>
      <c r="J409" s="60" t="e">
        <f>VLOOKUP(B409,'115+040'!$B$12:$AB$621,13,FALSE)</f>
        <v>#REF!</v>
      </c>
      <c r="K409" s="58">
        <f>'115+040'!R407</f>
        <v>5</v>
      </c>
      <c r="L409" s="57">
        <f t="shared" si="85"/>
        <v>912</v>
      </c>
      <c r="M409" s="62" t="e">
        <f>VLOOKUP(B409,'115+040'!$B$11:$AB$621,21,FALSE)</f>
        <v>#REF!</v>
      </c>
      <c r="N409" s="61" t="e">
        <f>VLOOKUP(B409,'115+040'!$B$12:$AB$621,5,FALSE)</f>
        <v>#REF!</v>
      </c>
      <c r="O409" s="60" t="e">
        <f t="shared" si="81"/>
        <v>#REF!</v>
      </c>
      <c r="P409" s="60" t="e">
        <f>VLOOKUP(B409,'115+040'!$B$12:$AB$621,14,FALSE)</f>
        <v>#REF!</v>
      </c>
      <c r="Q409" s="58">
        <f>'115+040'!S407</f>
        <v>5</v>
      </c>
      <c r="R409" s="57">
        <f t="shared" si="86"/>
        <v>1024</v>
      </c>
      <c r="S409" s="62" t="e">
        <f>VLOOKUP(B409,'115+040'!$B$11:$AB$621,22,FALSE)</f>
        <v>#REF!</v>
      </c>
      <c r="T409" s="61" t="e">
        <f>VLOOKUP(B409,'115+040'!$B$12:$AB$621,6,FALSE)</f>
        <v>#REF!</v>
      </c>
      <c r="U409" s="60" t="e">
        <f t="shared" si="82"/>
        <v>#REF!</v>
      </c>
      <c r="V409" s="59" t="e">
        <f>VLOOKUP(B409,'115+040'!$B$12:$AB$621,15,FALSE)</f>
        <v>#REF!</v>
      </c>
      <c r="W409" s="58">
        <f>'[4]114+940'!S410</f>
        <v>8</v>
      </c>
      <c r="X409" s="57">
        <f t="shared" si="87"/>
        <v>391</v>
      </c>
      <c r="Y409" s="56" t="e">
        <f t="shared" si="88"/>
        <v>#REF!</v>
      </c>
      <c r="Z409" s="55" t="e">
        <f t="shared" si="89"/>
        <v>#REF!</v>
      </c>
      <c r="AA409" s="54" t="e">
        <f t="shared" si="90"/>
        <v>#REF!</v>
      </c>
      <c r="AB409" s="54" t="e">
        <f t="shared" si="91"/>
        <v>#REF!</v>
      </c>
    </row>
    <row r="410" spans="2:28">
      <c r="B410" s="96" t="e">
        <f>'115+040'!#REF!</f>
        <v>#REF!</v>
      </c>
      <c r="C410" s="66" t="e">
        <f t="shared" si="83"/>
        <v>#REF!</v>
      </c>
      <c r="D410" s="65" t="e">
        <f t="shared" si="84"/>
        <v>#REF!</v>
      </c>
      <c r="E410" s="64" t="e">
        <f>VLOOKUP(B410,'115+040'!B408:AB408,3,FALSE)</f>
        <v>#REF!</v>
      </c>
      <c r="F410" s="61" t="e">
        <f t="shared" si="79"/>
        <v>#REF!</v>
      </c>
      <c r="G410" s="63" t="e">
        <f>VLOOKUP(B410,'115+040'!$B$12:$AB$621,20,FALSE)</f>
        <v>#REF!</v>
      </c>
      <c r="H410" s="63" t="e">
        <f>VLOOKUP(B410,'115+040'!$B$12:$AB$621,4,FALSE)</f>
        <v>#REF!</v>
      </c>
      <c r="I410" s="60" t="e">
        <f t="shared" si="80"/>
        <v>#REF!</v>
      </c>
      <c r="J410" s="60" t="e">
        <f>VLOOKUP(B410,'115+040'!$B$12:$AB$621,13,FALSE)</f>
        <v>#REF!</v>
      </c>
      <c r="K410" s="58">
        <f>'115+040'!R408</f>
        <v>5</v>
      </c>
      <c r="L410" s="57">
        <f t="shared" si="85"/>
        <v>917</v>
      </c>
      <c r="M410" s="62" t="e">
        <f>VLOOKUP(B410,'115+040'!$B$11:$AB$621,21,FALSE)</f>
        <v>#REF!</v>
      </c>
      <c r="N410" s="61" t="e">
        <f>VLOOKUP(B410,'115+040'!$B$12:$AB$621,5,FALSE)</f>
        <v>#REF!</v>
      </c>
      <c r="O410" s="60" t="e">
        <f t="shared" si="81"/>
        <v>#REF!</v>
      </c>
      <c r="P410" s="60" t="e">
        <f>VLOOKUP(B410,'115+040'!$B$12:$AB$621,14,FALSE)</f>
        <v>#REF!</v>
      </c>
      <c r="Q410" s="58">
        <f>'115+040'!S408</f>
        <v>5</v>
      </c>
      <c r="R410" s="57">
        <f t="shared" si="86"/>
        <v>1029</v>
      </c>
      <c r="S410" s="62" t="e">
        <f>VLOOKUP(B410,'115+040'!$B$11:$AB$621,22,FALSE)</f>
        <v>#REF!</v>
      </c>
      <c r="T410" s="61" t="e">
        <f>VLOOKUP(B410,'115+040'!$B$12:$AB$621,6,FALSE)</f>
        <v>#REF!</v>
      </c>
      <c r="U410" s="60" t="e">
        <f t="shared" si="82"/>
        <v>#REF!</v>
      </c>
      <c r="V410" s="59" t="e">
        <f>VLOOKUP(B410,'115+040'!$B$12:$AB$621,15,FALSE)</f>
        <v>#REF!</v>
      </c>
      <c r="W410" s="58">
        <f>'[4]114+940'!S411</f>
        <v>9</v>
      </c>
      <c r="X410" s="57">
        <f t="shared" si="87"/>
        <v>400</v>
      </c>
      <c r="Y410" s="56" t="e">
        <f t="shared" si="88"/>
        <v>#REF!</v>
      </c>
      <c r="Z410" s="55" t="e">
        <f t="shared" si="89"/>
        <v>#REF!</v>
      </c>
      <c r="AA410" s="54" t="e">
        <f t="shared" si="90"/>
        <v>#REF!</v>
      </c>
      <c r="AB410" s="54" t="e">
        <f t="shared" si="91"/>
        <v>#REF!</v>
      </c>
    </row>
    <row r="411" spans="2:28">
      <c r="B411" s="96" t="e">
        <f>'115+040'!#REF!</f>
        <v>#REF!</v>
      </c>
      <c r="C411" s="66" t="e">
        <f t="shared" si="83"/>
        <v>#REF!</v>
      </c>
      <c r="D411" s="65" t="e">
        <f t="shared" si="84"/>
        <v>#REF!</v>
      </c>
      <c r="E411" s="64" t="e">
        <f>VLOOKUP(B411,'115+040'!B409:AB409,3,FALSE)</f>
        <v>#REF!</v>
      </c>
      <c r="F411" s="61" t="e">
        <f t="shared" si="79"/>
        <v>#REF!</v>
      </c>
      <c r="G411" s="63" t="e">
        <f>VLOOKUP(B411,'115+040'!$B$12:$AB$621,20,FALSE)</f>
        <v>#REF!</v>
      </c>
      <c r="H411" s="63" t="e">
        <f>VLOOKUP(B411,'115+040'!$B$12:$AB$621,4,FALSE)</f>
        <v>#REF!</v>
      </c>
      <c r="I411" s="60" t="e">
        <f t="shared" si="80"/>
        <v>#REF!</v>
      </c>
      <c r="J411" s="60" t="e">
        <f>VLOOKUP(B411,'115+040'!$B$12:$AB$621,13,FALSE)</f>
        <v>#REF!</v>
      </c>
      <c r="K411" s="58">
        <f>'115+040'!R409</f>
        <v>5</v>
      </c>
      <c r="L411" s="57">
        <f t="shared" si="85"/>
        <v>922</v>
      </c>
      <c r="M411" s="62" t="e">
        <f>VLOOKUP(B411,'115+040'!$B$11:$AB$621,21,FALSE)</f>
        <v>#REF!</v>
      </c>
      <c r="N411" s="61" t="e">
        <f>VLOOKUP(B411,'115+040'!$B$12:$AB$621,5,FALSE)</f>
        <v>#REF!</v>
      </c>
      <c r="O411" s="60" t="e">
        <f t="shared" si="81"/>
        <v>#REF!</v>
      </c>
      <c r="P411" s="60" t="e">
        <f>VLOOKUP(B411,'115+040'!$B$12:$AB$621,14,FALSE)</f>
        <v>#REF!</v>
      </c>
      <c r="Q411" s="58">
        <f>'115+040'!S409</f>
        <v>5</v>
      </c>
      <c r="R411" s="57">
        <f t="shared" si="86"/>
        <v>1034</v>
      </c>
      <c r="S411" s="62" t="e">
        <f>VLOOKUP(B411,'115+040'!$B$11:$AB$621,22,FALSE)</f>
        <v>#REF!</v>
      </c>
      <c r="T411" s="61" t="e">
        <f>VLOOKUP(B411,'115+040'!$B$12:$AB$621,6,FALSE)</f>
        <v>#REF!</v>
      </c>
      <c r="U411" s="60" t="e">
        <f t="shared" si="82"/>
        <v>#REF!</v>
      </c>
      <c r="V411" s="59" t="e">
        <f>VLOOKUP(B411,'115+040'!$B$12:$AB$621,15,FALSE)</f>
        <v>#REF!</v>
      </c>
      <c r="W411" s="58">
        <f>'[4]114+940'!S412</f>
        <v>9</v>
      </c>
      <c r="X411" s="57">
        <f t="shared" si="87"/>
        <v>409</v>
      </c>
      <c r="Y411" s="56" t="e">
        <f t="shared" si="88"/>
        <v>#REF!</v>
      </c>
      <c r="Z411" s="55" t="e">
        <f t="shared" si="89"/>
        <v>#REF!</v>
      </c>
      <c r="AA411" s="54" t="e">
        <f t="shared" si="90"/>
        <v>#REF!</v>
      </c>
      <c r="AB411" s="54" t="e">
        <f t="shared" si="91"/>
        <v>#REF!</v>
      </c>
    </row>
    <row r="412" spans="2:28">
      <c r="B412" s="96" t="e">
        <f>'115+040'!#REF!</f>
        <v>#REF!</v>
      </c>
      <c r="C412" s="66" t="e">
        <f t="shared" si="83"/>
        <v>#REF!</v>
      </c>
      <c r="D412" s="65" t="e">
        <f t="shared" si="84"/>
        <v>#REF!</v>
      </c>
      <c r="E412" s="64" t="e">
        <f>VLOOKUP(B412,'115+040'!B410:AB410,3,FALSE)</f>
        <v>#REF!</v>
      </c>
      <c r="F412" s="61" t="e">
        <f t="shared" si="79"/>
        <v>#REF!</v>
      </c>
      <c r="G412" s="63" t="e">
        <f>VLOOKUP(B412,'115+040'!$B$12:$AB$621,20,FALSE)</f>
        <v>#REF!</v>
      </c>
      <c r="H412" s="63" t="e">
        <f>VLOOKUP(B412,'115+040'!$B$12:$AB$621,4,FALSE)</f>
        <v>#REF!</v>
      </c>
      <c r="I412" s="60" t="e">
        <f t="shared" si="80"/>
        <v>#REF!</v>
      </c>
      <c r="J412" s="60" t="e">
        <f>VLOOKUP(B412,'115+040'!$B$12:$AB$621,13,FALSE)</f>
        <v>#REF!</v>
      </c>
      <c r="K412" s="58">
        <f>'115+040'!R410</f>
        <v>5</v>
      </c>
      <c r="L412" s="57">
        <f t="shared" si="85"/>
        <v>927</v>
      </c>
      <c r="M412" s="62" t="e">
        <f>VLOOKUP(B412,'115+040'!$B$11:$AB$621,21,FALSE)</f>
        <v>#REF!</v>
      </c>
      <c r="N412" s="61" t="e">
        <f>VLOOKUP(B412,'115+040'!$B$12:$AB$621,5,FALSE)</f>
        <v>#REF!</v>
      </c>
      <c r="O412" s="60" t="e">
        <f t="shared" si="81"/>
        <v>#REF!</v>
      </c>
      <c r="P412" s="60" t="e">
        <f>VLOOKUP(B412,'115+040'!$B$12:$AB$621,14,FALSE)</f>
        <v>#REF!</v>
      </c>
      <c r="Q412" s="58">
        <f>'115+040'!S410</f>
        <v>5</v>
      </c>
      <c r="R412" s="57">
        <f t="shared" si="86"/>
        <v>1039</v>
      </c>
      <c r="S412" s="62" t="e">
        <f>VLOOKUP(B412,'115+040'!$B$11:$AB$621,22,FALSE)</f>
        <v>#REF!</v>
      </c>
      <c r="T412" s="61" t="e">
        <f>VLOOKUP(B412,'115+040'!$B$12:$AB$621,6,FALSE)</f>
        <v>#REF!</v>
      </c>
      <c r="U412" s="60" t="e">
        <f t="shared" si="82"/>
        <v>#REF!</v>
      </c>
      <c r="V412" s="59" t="e">
        <f>VLOOKUP(B412,'115+040'!$B$12:$AB$621,15,FALSE)</f>
        <v>#REF!</v>
      </c>
      <c r="W412" s="58">
        <f>'[4]114+940'!S413</f>
        <v>8</v>
      </c>
      <c r="X412" s="57">
        <f t="shared" si="87"/>
        <v>417</v>
      </c>
      <c r="Y412" s="56" t="e">
        <f t="shared" si="88"/>
        <v>#REF!</v>
      </c>
      <c r="Z412" s="55" t="e">
        <f t="shared" si="89"/>
        <v>#REF!</v>
      </c>
      <c r="AA412" s="54" t="e">
        <f t="shared" si="90"/>
        <v>#REF!</v>
      </c>
      <c r="AB412" s="54" t="e">
        <f t="shared" si="91"/>
        <v>#REF!</v>
      </c>
    </row>
    <row r="413" spans="2:28">
      <c r="B413" s="96" t="e">
        <f>'115+040'!#REF!</f>
        <v>#REF!</v>
      </c>
      <c r="C413" s="66" t="e">
        <f t="shared" si="83"/>
        <v>#REF!</v>
      </c>
      <c r="D413" s="65" t="e">
        <f t="shared" si="84"/>
        <v>#REF!</v>
      </c>
      <c r="E413" s="64" t="e">
        <f>VLOOKUP(B413,'115+040'!B411:AB411,3,FALSE)</f>
        <v>#REF!</v>
      </c>
      <c r="F413" s="61" t="e">
        <f t="shared" si="79"/>
        <v>#REF!</v>
      </c>
      <c r="G413" s="63" t="e">
        <f>VLOOKUP(B413,'115+040'!$B$12:$AB$621,20,FALSE)</f>
        <v>#REF!</v>
      </c>
      <c r="H413" s="63" t="e">
        <f>VLOOKUP(B413,'115+040'!$B$12:$AB$621,4,FALSE)</f>
        <v>#REF!</v>
      </c>
      <c r="I413" s="60" t="e">
        <f t="shared" si="80"/>
        <v>#REF!</v>
      </c>
      <c r="J413" s="60" t="e">
        <f>VLOOKUP(B413,'115+040'!$B$12:$AB$621,13,FALSE)</f>
        <v>#REF!</v>
      </c>
      <c r="K413" s="58">
        <f>'115+040'!R411</f>
        <v>5</v>
      </c>
      <c r="L413" s="57">
        <f t="shared" si="85"/>
        <v>932</v>
      </c>
      <c r="M413" s="62" t="e">
        <f>VLOOKUP(B413,'115+040'!$B$11:$AB$621,21,FALSE)</f>
        <v>#REF!</v>
      </c>
      <c r="N413" s="61" t="e">
        <f>VLOOKUP(B413,'115+040'!$B$12:$AB$621,5,FALSE)</f>
        <v>#REF!</v>
      </c>
      <c r="O413" s="60" t="e">
        <f t="shared" si="81"/>
        <v>#REF!</v>
      </c>
      <c r="P413" s="60" t="e">
        <f>VLOOKUP(B413,'115+040'!$B$12:$AB$621,14,FALSE)</f>
        <v>#REF!</v>
      </c>
      <c r="Q413" s="58">
        <f>'115+040'!S411</f>
        <v>5</v>
      </c>
      <c r="R413" s="57">
        <f t="shared" si="86"/>
        <v>1044</v>
      </c>
      <c r="S413" s="62" t="e">
        <f>VLOOKUP(B413,'115+040'!$B$11:$AB$621,22,FALSE)</f>
        <v>#REF!</v>
      </c>
      <c r="T413" s="61" t="e">
        <f>VLOOKUP(B413,'115+040'!$B$12:$AB$621,6,FALSE)</f>
        <v>#REF!</v>
      </c>
      <c r="U413" s="60" t="e">
        <f t="shared" si="82"/>
        <v>#REF!</v>
      </c>
      <c r="V413" s="59" t="e">
        <f>VLOOKUP(B413,'115+040'!$B$12:$AB$621,15,FALSE)</f>
        <v>#REF!</v>
      </c>
      <c r="W413" s="58">
        <f>'[4]114+940'!S414</f>
        <v>9</v>
      </c>
      <c r="X413" s="57">
        <f t="shared" si="87"/>
        <v>426</v>
      </c>
      <c r="Y413" s="56" t="e">
        <f t="shared" si="88"/>
        <v>#REF!</v>
      </c>
      <c r="Z413" s="55" t="e">
        <f t="shared" si="89"/>
        <v>#REF!</v>
      </c>
      <c r="AA413" s="54" t="e">
        <f t="shared" si="90"/>
        <v>#REF!</v>
      </c>
      <c r="AB413" s="54" t="e">
        <f t="shared" si="91"/>
        <v>#REF!</v>
      </c>
    </row>
    <row r="414" spans="2:28">
      <c r="B414" s="96" t="e">
        <f>'115+040'!#REF!</f>
        <v>#REF!</v>
      </c>
      <c r="C414" s="66" t="e">
        <f t="shared" si="83"/>
        <v>#REF!</v>
      </c>
      <c r="D414" s="65" t="e">
        <f t="shared" si="84"/>
        <v>#REF!</v>
      </c>
      <c r="E414" s="64" t="e">
        <f>VLOOKUP(B414,'115+040'!B412:AB412,3,FALSE)</f>
        <v>#REF!</v>
      </c>
      <c r="F414" s="61" t="e">
        <f t="shared" si="79"/>
        <v>#REF!</v>
      </c>
      <c r="G414" s="63" t="e">
        <f>VLOOKUP(B414,'115+040'!$B$12:$AB$621,20,FALSE)</f>
        <v>#REF!</v>
      </c>
      <c r="H414" s="63" t="e">
        <f>VLOOKUP(B414,'115+040'!$B$12:$AB$621,4,FALSE)</f>
        <v>#REF!</v>
      </c>
      <c r="I414" s="60" t="e">
        <f t="shared" si="80"/>
        <v>#REF!</v>
      </c>
      <c r="J414" s="60" t="e">
        <f>VLOOKUP(B414,'115+040'!$B$12:$AB$621,13,FALSE)</f>
        <v>#REF!</v>
      </c>
      <c r="K414" s="58">
        <f>'115+040'!R412</f>
        <v>5</v>
      </c>
      <c r="L414" s="57">
        <f t="shared" si="85"/>
        <v>937</v>
      </c>
      <c r="M414" s="62" t="e">
        <f>VLOOKUP(B414,'115+040'!$B$11:$AB$621,21,FALSE)</f>
        <v>#REF!</v>
      </c>
      <c r="N414" s="61" t="e">
        <f>VLOOKUP(B414,'115+040'!$B$12:$AB$621,5,FALSE)</f>
        <v>#REF!</v>
      </c>
      <c r="O414" s="60" t="e">
        <f t="shared" si="81"/>
        <v>#REF!</v>
      </c>
      <c r="P414" s="60" t="e">
        <f>VLOOKUP(B414,'115+040'!$B$12:$AB$621,14,FALSE)</f>
        <v>#REF!</v>
      </c>
      <c r="Q414" s="58">
        <f>'115+040'!S412</f>
        <v>5</v>
      </c>
      <c r="R414" s="57">
        <f t="shared" si="86"/>
        <v>1049</v>
      </c>
      <c r="S414" s="62" t="e">
        <f>VLOOKUP(B414,'115+040'!$B$11:$AB$621,22,FALSE)</f>
        <v>#REF!</v>
      </c>
      <c r="T414" s="61" t="e">
        <f>VLOOKUP(B414,'115+040'!$B$12:$AB$621,6,FALSE)</f>
        <v>#REF!</v>
      </c>
      <c r="U414" s="60" t="e">
        <f t="shared" si="82"/>
        <v>#REF!</v>
      </c>
      <c r="V414" s="59" t="e">
        <f>VLOOKUP(B414,'115+040'!$B$12:$AB$621,15,FALSE)</f>
        <v>#REF!</v>
      </c>
      <c r="W414" s="58">
        <f>'[4]114+940'!S415</f>
        <v>8</v>
      </c>
      <c r="X414" s="57">
        <f t="shared" si="87"/>
        <v>434</v>
      </c>
      <c r="Y414" s="56" t="e">
        <f t="shared" si="88"/>
        <v>#REF!</v>
      </c>
      <c r="Z414" s="55" t="e">
        <f t="shared" si="89"/>
        <v>#REF!</v>
      </c>
      <c r="AA414" s="54" t="e">
        <f t="shared" si="90"/>
        <v>#REF!</v>
      </c>
      <c r="AB414" s="54" t="e">
        <f t="shared" si="91"/>
        <v>#REF!</v>
      </c>
    </row>
    <row r="415" spans="2:28">
      <c r="B415" s="96" t="e">
        <f>'115+040'!#REF!</f>
        <v>#REF!</v>
      </c>
      <c r="C415" s="66" t="e">
        <f t="shared" si="83"/>
        <v>#REF!</v>
      </c>
      <c r="D415" s="65" t="e">
        <f t="shared" si="84"/>
        <v>#REF!</v>
      </c>
      <c r="E415" s="64" t="e">
        <f>VLOOKUP(B415,'115+040'!B413:AB413,3,FALSE)</f>
        <v>#REF!</v>
      </c>
      <c r="F415" s="61" t="e">
        <f t="shared" si="79"/>
        <v>#REF!</v>
      </c>
      <c r="G415" s="63" t="e">
        <f>VLOOKUP(B415,'115+040'!$B$12:$AB$621,20,FALSE)</f>
        <v>#REF!</v>
      </c>
      <c r="H415" s="63" t="e">
        <f>VLOOKUP(B415,'115+040'!$B$12:$AB$621,4,FALSE)</f>
        <v>#REF!</v>
      </c>
      <c r="I415" s="60" t="e">
        <f t="shared" si="80"/>
        <v>#REF!</v>
      </c>
      <c r="J415" s="60" t="e">
        <f>VLOOKUP(B415,'115+040'!$B$12:$AB$621,13,FALSE)</f>
        <v>#REF!</v>
      </c>
      <c r="K415" s="58">
        <f>'115+040'!R413</f>
        <v>5</v>
      </c>
      <c r="L415" s="57">
        <f t="shared" si="85"/>
        <v>942</v>
      </c>
      <c r="M415" s="62" t="e">
        <f>VLOOKUP(B415,'115+040'!$B$11:$AB$621,21,FALSE)</f>
        <v>#REF!</v>
      </c>
      <c r="N415" s="61" t="e">
        <f>VLOOKUP(B415,'115+040'!$B$12:$AB$621,5,FALSE)</f>
        <v>#REF!</v>
      </c>
      <c r="O415" s="60" t="e">
        <f t="shared" si="81"/>
        <v>#REF!</v>
      </c>
      <c r="P415" s="60" t="e">
        <f>VLOOKUP(B415,'115+040'!$B$12:$AB$621,14,FALSE)</f>
        <v>#REF!</v>
      </c>
      <c r="Q415" s="58">
        <f>'115+040'!S413</f>
        <v>5</v>
      </c>
      <c r="R415" s="57">
        <f t="shared" si="86"/>
        <v>1054</v>
      </c>
      <c r="S415" s="62" t="e">
        <f>VLOOKUP(B415,'115+040'!$B$11:$AB$621,22,FALSE)</f>
        <v>#REF!</v>
      </c>
      <c r="T415" s="61" t="e">
        <f>VLOOKUP(B415,'115+040'!$B$12:$AB$621,6,FALSE)</f>
        <v>#REF!</v>
      </c>
      <c r="U415" s="60" t="e">
        <f t="shared" si="82"/>
        <v>#REF!</v>
      </c>
      <c r="V415" s="59" t="e">
        <f>VLOOKUP(B415,'115+040'!$B$12:$AB$621,15,FALSE)</f>
        <v>#REF!</v>
      </c>
      <c r="W415" s="58">
        <f>'[4]114+940'!S416</f>
        <v>7</v>
      </c>
      <c r="X415" s="57">
        <f t="shared" si="87"/>
        <v>441</v>
      </c>
      <c r="Y415" s="56" t="e">
        <f t="shared" si="88"/>
        <v>#REF!</v>
      </c>
      <c r="Z415" s="55" t="e">
        <f t="shared" si="89"/>
        <v>#REF!</v>
      </c>
      <c r="AA415" s="54" t="e">
        <f t="shared" si="90"/>
        <v>#REF!</v>
      </c>
      <c r="AB415" s="54" t="e">
        <f t="shared" si="91"/>
        <v>#REF!</v>
      </c>
    </row>
    <row r="416" spans="2:28">
      <c r="B416" s="96" t="e">
        <f>'115+040'!#REF!</f>
        <v>#REF!</v>
      </c>
      <c r="C416" s="66" t="e">
        <f t="shared" si="83"/>
        <v>#REF!</v>
      </c>
      <c r="D416" s="65" t="e">
        <f t="shared" si="84"/>
        <v>#REF!</v>
      </c>
      <c r="E416" s="64" t="e">
        <f>VLOOKUP(B416,'115+040'!B414:AB414,3,FALSE)</f>
        <v>#REF!</v>
      </c>
      <c r="F416" s="61" t="e">
        <f t="shared" si="79"/>
        <v>#REF!</v>
      </c>
      <c r="G416" s="63" t="e">
        <f>VLOOKUP(B416,'115+040'!$B$12:$AB$621,20,FALSE)</f>
        <v>#REF!</v>
      </c>
      <c r="H416" s="63" t="e">
        <f>VLOOKUP(B416,'115+040'!$B$12:$AB$621,4,FALSE)</f>
        <v>#REF!</v>
      </c>
      <c r="I416" s="60" t="e">
        <f t="shared" si="80"/>
        <v>#REF!</v>
      </c>
      <c r="J416" s="60" t="e">
        <f>VLOOKUP(B416,'115+040'!$B$12:$AB$621,13,FALSE)</f>
        <v>#REF!</v>
      </c>
      <c r="K416" s="58">
        <f>'115+040'!R414</f>
        <v>5</v>
      </c>
      <c r="L416" s="57">
        <f t="shared" si="85"/>
        <v>947</v>
      </c>
      <c r="M416" s="62" t="e">
        <f>VLOOKUP(B416,'115+040'!$B$11:$AB$621,21,FALSE)</f>
        <v>#REF!</v>
      </c>
      <c r="N416" s="61" t="e">
        <f>VLOOKUP(B416,'115+040'!$B$12:$AB$621,5,FALSE)</f>
        <v>#REF!</v>
      </c>
      <c r="O416" s="60" t="e">
        <f t="shared" si="81"/>
        <v>#REF!</v>
      </c>
      <c r="P416" s="60" t="e">
        <f>VLOOKUP(B416,'115+040'!$B$12:$AB$621,14,FALSE)</f>
        <v>#REF!</v>
      </c>
      <c r="Q416" s="58">
        <f>'115+040'!S414</f>
        <v>5</v>
      </c>
      <c r="R416" s="57">
        <f t="shared" si="86"/>
        <v>1059</v>
      </c>
      <c r="S416" s="62" t="e">
        <f>VLOOKUP(B416,'115+040'!$B$11:$AB$621,22,FALSE)</f>
        <v>#REF!</v>
      </c>
      <c r="T416" s="61" t="e">
        <f>VLOOKUP(B416,'115+040'!$B$12:$AB$621,6,FALSE)</f>
        <v>#REF!</v>
      </c>
      <c r="U416" s="60" t="e">
        <f t="shared" si="82"/>
        <v>#REF!</v>
      </c>
      <c r="V416" s="59" t="e">
        <f>VLOOKUP(B416,'115+040'!$B$12:$AB$621,15,FALSE)</f>
        <v>#REF!</v>
      </c>
      <c r="W416" s="58">
        <f>'[4]114+940'!S417</f>
        <v>9</v>
      </c>
      <c r="X416" s="57">
        <f t="shared" si="87"/>
        <v>450</v>
      </c>
      <c r="Y416" s="56" t="e">
        <f t="shared" si="88"/>
        <v>#REF!</v>
      </c>
      <c r="Z416" s="55" t="e">
        <f t="shared" si="89"/>
        <v>#REF!</v>
      </c>
      <c r="AA416" s="54" t="e">
        <f t="shared" si="90"/>
        <v>#REF!</v>
      </c>
      <c r="AB416" s="54" t="e">
        <f t="shared" si="91"/>
        <v>#REF!</v>
      </c>
    </row>
    <row r="417" spans="2:28">
      <c r="B417" s="96" t="e">
        <f>'115+040'!#REF!</f>
        <v>#REF!</v>
      </c>
      <c r="C417" s="66" t="e">
        <f t="shared" si="83"/>
        <v>#REF!</v>
      </c>
      <c r="D417" s="65" t="e">
        <f t="shared" si="84"/>
        <v>#REF!</v>
      </c>
      <c r="E417" s="64" t="e">
        <f>VLOOKUP(B417,'115+040'!B415:AB415,3,FALSE)</f>
        <v>#REF!</v>
      </c>
      <c r="F417" s="61" t="e">
        <f t="shared" si="79"/>
        <v>#REF!</v>
      </c>
      <c r="G417" s="63" t="e">
        <f>VLOOKUP(B417,'115+040'!$B$12:$AB$621,20,FALSE)</f>
        <v>#REF!</v>
      </c>
      <c r="H417" s="63" t="e">
        <f>VLOOKUP(B417,'115+040'!$B$12:$AB$621,4,FALSE)</f>
        <v>#REF!</v>
      </c>
      <c r="I417" s="60" t="e">
        <f t="shared" si="80"/>
        <v>#REF!</v>
      </c>
      <c r="J417" s="60" t="e">
        <f>VLOOKUP(B417,'115+040'!$B$12:$AB$621,13,FALSE)</f>
        <v>#REF!</v>
      </c>
      <c r="K417" s="58">
        <f>'115+040'!R415</f>
        <v>5</v>
      </c>
      <c r="L417" s="57">
        <f t="shared" si="85"/>
        <v>952</v>
      </c>
      <c r="M417" s="62" t="e">
        <f>VLOOKUP(B417,'115+040'!$B$11:$AB$621,21,FALSE)</f>
        <v>#REF!</v>
      </c>
      <c r="N417" s="61" t="e">
        <f>VLOOKUP(B417,'115+040'!$B$12:$AB$621,5,FALSE)</f>
        <v>#REF!</v>
      </c>
      <c r="O417" s="60" t="e">
        <f t="shared" si="81"/>
        <v>#REF!</v>
      </c>
      <c r="P417" s="60" t="e">
        <f>VLOOKUP(B417,'115+040'!$B$12:$AB$621,14,FALSE)</f>
        <v>#REF!</v>
      </c>
      <c r="Q417" s="58">
        <f>'115+040'!S415</f>
        <v>5</v>
      </c>
      <c r="R417" s="57">
        <f t="shared" si="86"/>
        <v>1064</v>
      </c>
      <c r="S417" s="62" t="e">
        <f>VLOOKUP(B417,'115+040'!$B$11:$AB$621,22,FALSE)</f>
        <v>#REF!</v>
      </c>
      <c r="T417" s="61" t="e">
        <f>VLOOKUP(B417,'115+040'!$B$12:$AB$621,6,FALSE)</f>
        <v>#REF!</v>
      </c>
      <c r="U417" s="60" t="e">
        <f t="shared" si="82"/>
        <v>#REF!</v>
      </c>
      <c r="V417" s="59" t="e">
        <f>VLOOKUP(B417,'115+040'!$B$12:$AB$621,15,FALSE)</f>
        <v>#REF!</v>
      </c>
      <c r="W417" s="58">
        <f>'[4]114+940'!S418</f>
        <v>8</v>
      </c>
      <c r="X417" s="57">
        <f t="shared" si="87"/>
        <v>458</v>
      </c>
      <c r="Y417" s="56" t="e">
        <f t="shared" si="88"/>
        <v>#REF!</v>
      </c>
      <c r="Z417" s="55" t="e">
        <f t="shared" si="89"/>
        <v>#REF!</v>
      </c>
      <c r="AA417" s="54" t="e">
        <f t="shared" si="90"/>
        <v>#REF!</v>
      </c>
      <c r="AB417" s="54" t="e">
        <f t="shared" si="91"/>
        <v>#REF!</v>
      </c>
    </row>
    <row r="418" spans="2:28">
      <c r="B418" s="96" t="e">
        <f>'115+040'!#REF!</f>
        <v>#REF!</v>
      </c>
      <c r="C418" s="66" t="e">
        <f t="shared" si="83"/>
        <v>#REF!</v>
      </c>
      <c r="D418" s="65" t="e">
        <f t="shared" si="84"/>
        <v>#REF!</v>
      </c>
      <c r="E418" s="64" t="e">
        <f>VLOOKUP(B418,'115+040'!B416:AB416,3,FALSE)</f>
        <v>#REF!</v>
      </c>
      <c r="F418" s="61" t="e">
        <f t="shared" si="79"/>
        <v>#REF!</v>
      </c>
      <c r="G418" s="63" t="e">
        <f>VLOOKUP(B418,'115+040'!$B$12:$AB$621,20,FALSE)</f>
        <v>#REF!</v>
      </c>
      <c r="H418" s="63" t="e">
        <f>VLOOKUP(B418,'115+040'!$B$12:$AB$621,4,FALSE)</f>
        <v>#REF!</v>
      </c>
      <c r="I418" s="60" t="e">
        <f t="shared" si="80"/>
        <v>#REF!</v>
      </c>
      <c r="J418" s="60" t="e">
        <f>VLOOKUP(B418,'115+040'!$B$12:$AB$621,13,FALSE)</f>
        <v>#REF!</v>
      </c>
      <c r="K418" s="58">
        <f>'115+040'!R416</f>
        <v>5</v>
      </c>
      <c r="L418" s="57">
        <f t="shared" si="85"/>
        <v>957</v>
      </c>
      <c r="M418" s="62" t="e">
        <f>VLOOKUP(B418,'115+040'!$B$11:$AB$621,21,FALSE)</f>
        <v>#REF!</v>
      </c>
      <c r="N418" s="61" t="e">
        <f>VLOOKUP(B418,'115+040'!$B$12:$AB$621,5,FALSE)</f>
        <v>#REF!</v>
      </c>
      <c r="O418" s="60" t="e">
        <f t="shared" si="81"/>
        <v>#REF!</v>
      </c>
      <c r="P418" s="60" t="e">
        <f>VLOOKUP(B418,'115+040'!$B$12:$AB$621,14,FALSE)</f>
        <v>#REF!</v>
      </c>
      <c r="Q418" s="58">
        <f>'115+040'!S416</f>
        <v>5</v>
      </c>
      <c r="R418" s="57">
        <f t="shared" si="86"/>
        <v>1069</v>
      </c>
      <c r="S418" s="62" t="e">
        <f>VLOOKUP(B418,'115+040'!$B$11:$AB$621,22,FALSE)</f>
        <v>#REF!</v>
      </c>
      <c r="T418" s="61" t="e">
        <f>VLOOKUP(B418,'115+040'!$B$12:$AB$621,6,FALSE)</f>
        <v>#REF!</v>
      </c>
      <c r="U418" s="60" t="e">
        <f t="shared" si="82"/>
        <v>#REF!</v>
      </c>
      <c r="V418" s="59" t="e">
        <f>VLOOKUP(B418,'115+040'!$B$12:$AB$621,15,FALSE)</f>
        <v>#REF!</v>
      </c>
      <c r="W418" s="58">
        <f>'[4]114+940'!S419</f>
        <v>8</v>
      </c>
      <c r="X418" s="57">
        <f t="shared" si="87"/>
        <v>466</v>
      </c>
      <c r="Y418" s="56" t="e">
        <f t="shared" si="88"/>
        <v>#REF!</v>
      </c>
      <c r="Z418" s="55" t="e">
        <f t="shared" si="89"/>
        <v>#REF!</v>
      </c>
      <c r="AA418" s="54" t="e">
        <f t="shared" si="90"/>
        <v>#REF!</v>
      </c>
      <c r="AB418" s="54" t="e">
        <f t="shared" si="91"/>
        <v>#REF!</v>
      </c>
    </row>
    <row r="419" spans="2:28">
      <c r="B419" s="96" t="e">
        <f>'115+040'!#REF!</f>
        <v>#REF!</v>
      </c>
      <c r="C419" s="66" t="e">
        <f t="shared" si="83"/>
        <v>#REF!</v>
      </c>
      <c r="D419" s="65" t="e">
        <f t="shared" si="84"/>
        <v>#REF!</v>
      </c>
      <c r="E419" s="64" t="e">
        <f>VLOOKUP(B419,'115+040'!B417:AB417,3,FALSE)</f>
        <v>#REF!</v>
      </c>
      <c r="F419" s="61" t="e">
        <f t="shared" si="79"/>
        <v>#REF!</v>
      </c>
      <c r="G419" s="63" t="e">
        <f>VLOOKUP(B419,'115+040'!$B$12:$AB$621,20,FALSE)</f>
        <v>#REF!</v>
      </c>
      <c r="H419" s="63" t="e">
        <f>VLOOKUP(B419,'115+040'!$B$12:$AB$621,4,FALSE)</f>
        <v>#REF!</v>
      </c>
      <c r="I419" s="60" t="e">
        <f t="shared" si="80"/>
        <v>#REF!</v>
      </c>
      <c r="J419" s="60" t="e">
        <f>VLOOKUP(B419,'115+040'!$B$12:$AB$621,13,FALSE)</f>
        <v>#REF!</v>
      </c>
      <c r="K419" s="58">
        <f>'115+040'!R417</f>
        <v>5</v>
      </c>
      <c r="L419" s="57">
        <f t="shared" si="85"/>
        <v>962</v>
      </c>
      <c r="M419" s="62" t="e">
        <f>VLOOKUP(B419,'115+040'!$B$11:$AB$621,21,FALSE)</f>
        <v>#REF!</v>
      </c>
      <c r="N419" s="61" t="e">
        <f>VLOOKUP(B419,'115+040'!$B$12:$AB$621,5,FALSE)</f>
        <v>#REF!</v>
      </c>
      <c r="O419" s="60" t="e">
        <f t="shared" si="81"/>
        <v>#REF!</v>
      </c>
      <c r="P419" s="60" t="e">
        <f>VLOOKUP(B419,'115+040'!$B$12:$AB$621,14,FALSE)</f>
        <v>#REF!</v>
      </c>
      <c r="Q419" s="58">
        <f>'115+040'!S417</f>
        <v>5</v>
      </c>
      <c r="R419" s="57">
        <f t="shared" si="86"/>
        <v>1074</v>
      </c>
      <c r="S419" s="62" t="e">
        <f>VLOOKUP(B419,'115+040'!$B$11:$AB$621,22,FALSE)</f>
        <v>#REF!</v>
      </c>
      <c r="T419" s="61" t="e">
        <f>VLOOKUP(B419,'115+040'!$B$12:$AB$621,6,FALSE)</f>
        <v>#REF!</v>
      </c>
      <c r="U419" s="60" t="e">
        <f t="shared" si="82"/>
        <v>#REF!</v>
      </c>
      <c r="V419" s="59" t="e">
        <f>VLOOKUP(B419,'115+040'!$B$12:$AB$621,15,FALSE)</f>
        <v>#REF!</v>
      </c>
      <c r="W419" s="58">
        <f>'[4]114+940'!S420</f>
        <v>7</v>
      </c>
      <c r="X419" s="57">
        <f t="shared" si="87"/>
        <v>473</v>
      </c>
      <c r="Y419" s="56" t="e">
        <f t="shared" si="88"/>
        <v>#REF!</v>
      </c>
      <c r="Z419" s="55" t="e">
        <f t="shared" si="89"/>
        <v>#REF!</v>
      </c>
      <c r="AA419" s="54" t="e">
        <f t="shared" si="90"/>
        <v>#REF!</v>
      </c>
      <c r="AB419" s="54" t="e">
        <f t="shared" si="91"/>
        <v>#REF!</v>
      </c>
    </row>
    <row r="420" spans="2:28">
      <c r="B420" s="96" t="e">
        <f>'115+040'!#REF!</f>
        <v>#REF!</v>
      </c>
      <c r="C420" s="66" t="e">
        <f t="shared" si="83"/>
        <v>#REF!</v>
      </c>
      <c r="D420" s="65" t="e">
        <f t="shared" si="84"/>
        <v>#REF!</v>
      </c>
      <c r="E420" s="64" t="e">
        <f>VLOOKUP(B420,'115+040'!B418:AB418,3,FALSE)</f>
        <v>#REF!</v>
      </c>
      <c r="F420" s="61" t="e">
        <f t="shared" si="79"/>
        <v>#REF!</v>
      </c>
      <c r="G420" s="63" t="e">
        <f>VLOOKUP(B420,'115+040'!$B$12:$AB$621,20,FALSE)</f>
        <v>#REF!</v>
      </c>
      <c r="H420" s="63" t="e">
        <f>VLOOKUP(B420,'115+040'!$B$12:$AB$621,4,FALSE)</f>
        <v>#REF!</v>
      </c>
      <c r="I420" s="60" t="e">
        <f t="shared" si="80"/>
        <v>#REF!</v>
      </c>
      <c r="J420" s="60" t="e">
        <f>VLOOKUP(B420,'115+040'!$B$12:$AB$621,13,FALSE)</f>
        <v>#REF!</v>
      </c>
      <c r="K420" s="58">
        <f>'115+040'!R418</f>
        <v>5</v>
      </c>
      <c r="L420" s="57">
        <f t="shared" si="85"/>
        <v>967</v>
      </c>
      <c r="M420" s="62" t="e">
        <f>VLOOKUP(B420,'115+040'!$B$11:$AB$621,21,FALSE)</f>
        <v>#REF!</v>
      </c>
      <c r="N420" s="61" t="e">
        <f>VLOOKUP(B420,'115+040'!$B$12:$AB$621,5,FALSE)</f>
        <v>#REF!</v>
      </c>
      <c r="O420" s="60" t="e">
        <f t="shared" si="81"/>
        <v>#REF!</v>
      </c>
      <c r="P420" s="60" t="e">
        <f>VLOOKUP(B420,'115+040'!$B$12:$AB$621,14,FALSE)</f>
        <v>#REF!</v>
      </c>
      <c r="Q420" s="58">
        <f>'115+040'!S418</f>
        <v>5</v>
      </c>
      <c r="R420" s="57">
        <f t="shared" si="86"/>
        <v>1079</v>
      </c>
      <c r="S420" s="62" t="e">
        <f>VLOOKUP(B420,'115+040'!$B$11:$AB$621,22,FALSE)</f>
        <v>#REF!</v>
      </c>
      <c r="T420" s="61" t="e">
        <f>VLOOKUP(B420,'115+040'!$B$12:$AB$621,6,FALSE)</f>
        <v>#REF!</v>
      </c>
      <c r="U420" s="60" t="e">
        <f t="shared" si="82"/>
        <v>#REF!</v>
      </c>
      <c r="V420" s="59" t="e">
        <f>VLOOKUP(B420,'115+040'!$B$12:$AB$621,15,FALSE)</f>
        <v>#REF!</v>
      </c>
      <c r="W420" s="58">
        <f>'[4]114+940'!S421</f>
        <v>7</v>
      </c>
      <c r="X420" s="57">
        <f t="shared" si="87"/>
        <v>480</v>
      </c>
      <c r="Y420" s="56" t="e">
        <f t="shared" si="88"/>
        <v>#REF!</v>
      </c>
      <c r="Z420" s="55" t="e">
        <f t="shared" si="89"/>
        <v>#REF!</v>
      </c>
      <c r="AA420" s="54" t="e">
        <f t="shared" si="90"/>
        <v>#REF!</v>
      </c>
      <c r="AB420" s="54" t="e">
        <f t="shared" si="91"/>
        <v>#REF!</v>
      </c>
    </row>
    <row r="421" spans="2:28">
      <c r="B421" s="96" t="e">
        <f>'115+040'!#REF!</f>
        <v>#REF!</v>
      </c>
      <c r="C421" s="66" t="e">
        <f t="shared" si="83"/>
        <v>#REF!</v>
      </c>
      <c r="D421" s="65" t="e">
        <f t="shared" si="84"/>
        <v>#REF!</v>
      </c>
      <c r="E421" s="64" t="e">
        <f>VLOOKUP(B421,'115+040'!B419:AB419,3,FALSE)</f>
        <v>#REF!</v>
      </c>
      <c r="F421" s="61" t="e">
        <f t="shared" si="79"/>
        <v>#REF!</v>
      </c>
      <c r="G421" s="63" t="e">
        <f>VLOOKUP(B421,'115+040'!$B$12:$AB$621,20,FALSE)</f>
        <v>#REF!</v>
      </c>
      <c r="H421" s="63" t="e">
        <f>VLOOKUP(B421,'115+040'!$B$12:$AB$621,4,FALSE)</f>
        <v>#REF!</v>
      </c>
      <c r="I421" s="60" t="e">
        <f t="shared" si="80"/>
        <v>#REF!</v>
      </c>
      <c r="J421" s="60" t="e">
        <f>VLOOKUP(B421,'115+040'!$B$12:$AB$621,13,FALSE)</f>
        <v>#REF!</v>
      </c>
      <c r="K421" s="58">
        <f>'115+040'!R419</f>
        <v>3</v>
      </c>
      <c r="L421" s="57">
        <f t="shared" si="85"/>
        <v>970</v>
      </c>
      <c r="M421" s="62" t="e">
        <f>VLOOKUP(B421,'115+040'!$B$11:$AB$621,21,FALSE)</f>
        <v>#REF!</v>
      </c>
      <c r="N421" s="61" t="e">
        <f>VLOOKUP(B421,'115+040'!$B$12:$AB$621,5,FALSE)</f>
        <v>#REF!</v>
      </c>
      <c r="O421" s="60" t="e">
        <f t="shared" si="81"/>
        <v>#REF!</v>
      </c>
      <c r="P421" s="60" t="e">
        <f>VLOOKUP(B421,'115+040'!$B$12:$AB$621,14,FALSE)</f>
        <v>#REF!</v>
      </c>
      <c r="Q421" s="58">
        <f>'115+040'!S419</f>
        <v>5</v>
      </c>
      <c r="R421" s="57">
        <f t="shared" si="86"/>
        <v>1084</v>
      </c>
      <c r="S421" s="62" t="e">
        <f>VLOOKUP(B421,'115+040'!$B$11:$AB$621,22,FALSE)</f>
        <v>#REF!</v>
      </c>
      <c r="T421" s="61" t="e">
        <f>VLOOKUP(B421,'115+040'!$B$12:$AB$621,6,FALSE)</f>
        <v>#REF!</v>
      </c>
      <c r="U421" s="60" t="e">
        <f t="shared" si="82"/>
        <v>#REF!</v>
      </c>
      <c r="V421" s="59" t="e">
        <f>VLOOKUP(B421,'115+040'!$B$12:$AB$621,15,FALSE)</f>
        <v>#REF!</v>
      </c>
      <c r="W421" s="58">
        <f>'[4]114+940'!S422</f>
        <v>6</v>
      </c>
      <c r="X421" s="57">
        <f t="shared" si="87"/>
        <v>486</v>
      </c>
      <c r="Y421" s="56" t="e">
        <f t="shared" si="88"/>
        <v>#REF!</v>
      </c>
      <c r="Z421" s="55" t="e">
        <f t="shared" si="89"/>
        <v>#REF!</v>
      </c>
      <c r="AA421" s="54" t="e">
        <f t="shared" si="90"/>
        <v>#REF!</v>
      </c>
      <c r="AB421" s="54" t="e">
        <f t="shared" si="91"/>
        <v>#REF!</v>
      </c>
    </row>
    <row r="422" spans="2:28">
      <c r="B422" s="96" t="e">
        <f>'115+040'!#REF!</f>
        <v>#REF!</v>
      </c>
      <c r="C422" s="66" t="e">
        <f t="shared" si="83"/>
        <v>#REF!</v>
      </c>
      <c r="D422" s="65" t="e">
        <f t="shared" si="84"/>
        <v>#REF!</v>
      </c>
      <c r="E422" s="64" t="e">
        <f>VLOOKUP(B422,'115+040'!B420:AB420,3,FALSE)</f>
        <v>#REF!</v>
      </c>
      <c r="F422" s="61" t="e">
        <f t="shared" si="79"/>
        <v>#REF!</v>
      </c>
      <c r="G422" s="63" t="e">
        <f>VLOOKUP(B422,'115+040'!$B$12:$AB$621,20,FALSE)</f>
        <v>#REF!</v>
      </c>
      <c r="H422" s="63" t="e">
        <f>VLOOKUP(B422,'115+040'!$B$12:$AB$621,4,FALSE)</f>
        <v>#REF!</v>
      </c>
      <c r="I422" s="60" t="e">
        <f t="shared" si="80"/>
        <v>#REF!</v>
      </c>
      <c r="J422" s="60" t="e">
        <f>VLOOKUP(B422,'115+040'!$B$12:$AB$621,13,FALSE)</f>
        <v>#REF!</v>
      </c>
      <c r="K422" s="58">
        <f>'115+040'!R420</f>
        <v>3</v>
      </c>
      <c r="L422" s="57">
        <f t="shared" si="85"/>
        <v>973</v>
      </c>
      <c r="M422" s="62" t="e">
        <f>VLOOKUP(B422,'115+040'!$B$11:$AB$621,21,FALSE)</f>
        <v>#REF!</v>
      </c>
      <c r="N422" s="61" t="e">
        <f>VLOOKUP(B422,'115+040'!$B$12:$AB$621,5,FALSE)</f>
        <v>#REF!</v>
      </c>
      <c r="O422" s="60" t="e">
        <f t="shared" si="81"/>
        <v>#REF!</v>
      </c>
      <c r="P422" s="60" t="e">
        <f>VLOOKUP(B422,'115+040'!$B$12:$AB$621,14,FALSE)</f>
        <v>#REF!</v>
      </c>
      <c r="Q422" s="58">
        <f>'115+040'!S420</f>
        <v>5</v>
      </c>
      <c r="R422" s="57">
        <f t="shared" si="86"/>
        <v>1089</v>
      </c>
      <c r="S422" s="62" t="e">
        <f>VLOOKUP(B422,'115+040'!$B$11:$AB$621,22,FALSE)</f>
        <v>#REF!</v>
      </c>
      <c r="T422" s="61" t="e">
        <f>VLOOKUP(B422,'115+040'!$B$12:$AB$621,6,FALSE)</f>
        <v>#REF!</v>
      </c>
      <c r="U422" s="60" t="e">
        <f t="shared" si="82"/>
        <v>#REF!</v>
      </c>
      <c r="V422" s="59" t="e">
        <f>VLOOKUP(B422,'115+040'!$B$12:$AB$621,15,FALSE)</f>
        <v>#REF!</v>
      </c>
      <c r="W422" s="58">
        <f>'[4]114+940'!S423</f>
        <v>7</v>
      </c>
      <c r="X422" s="57">
        <f t="shared" si="87"/>
        <v>493</v>
      </c>
      <c r="Y422" s="56" t="e">
        <f t="shared" si="88"/>
        <v>#REF!</v>
      </c>
      <c r="Z422" s="55" t="e">
        <f t="shared" si="89"/>
        <v>#REF!</v>
      </c>
      <c r="AA422" s="54" t="e">
        <f t="shared" si="90"/>
        <v>#REF!</v>
      </c>
      <c r="AB422" s="54" t="e">
        <f t="shared" si="91"/>
        <v>#REF!</v>
      </c>
    </row>
    <row r="423" spans="2:28">
      <c r="B423" s="96" t="e">
        <f>'115+040'!#REF!</f>
        <v>#REF!</v>
      </c>
      <c r="C423" s="66" t="e">
        <f t="shared" si="83"/>
        <v>#REF!</v>
      </c>
      <c r="D423" s="65" t="e">
        <f t="shared" si="84"/>
        <v>#REF!</v>
      </c>
      <c r="E423" s="64" t="e">
        <f>VLOOKUP(B423,'115+040'!B421:AB421,3,FALSE)</f>
        <v>#REF!</v>
      </c>
      <c r="F423" s="61" t="e">
        <f t="shared" si="79"/>
        <v>#REF!</v>
      </c>
      <c r="G423" s="63" t="e">
        <f>VLOOKUP(B423,'115+040'!$B$12:$AB$621,20,FALSE)</f>
        <v>#REF!</v>
      </c>
      <c r="H423" s="63" t="e">
        <f>VLOOKUP(B423,'115+040'!$B$12:$AB$621,4,FALSE)</f>
        <v>#REF!</v>
      </c>
      <c r="I423" s="60" t="e">
        <f t="shared" si="80"/>
        <v>#REF!</v>
      </c>
      <c r="J423" s="60" t="e">
        <f>VLOOKUP(B423,'115+040'!$B$12:$AB$621,13,FALSE)</f>
        <v>#REF!</v>
      </c>
      <c r="K423" s="58">
        <f>'115+040'!R421</f>
        <v>2</v>
      </c>
      <c r="L423" s="57">
        <f t="shared" si="85"/>
        <v>975</v>
      </c>
      <c r="M423" s="62" t="e">
        <f>VLOOKUP(B423,'115+040'!$B$11:$AB$621,21,FALSE)</f>
        <v>#REF!</v>
      </c>
      <c r="N423" s="61" t="e">
        <f>VLOOKUP(B423,'115+040'!$B$12:$AB$621,5,FALSE)</f>
        <v>#REF!</v>
      </c>
      <c r="O423" s="60" t="e">
        <f t="shared" si="81"/>
        <v>#REF!</v>
      </c>
      <c r="P423" s="60" t="e">
        <f>VLOOKUP(B423,'115+040'!$B$12:$AB$621,14,FALSE)</f>
        <v>#REF!</v>
      </c>
      <c r="Q423" s="58">
        <f>'115+040'!S421</f>
        <v>5</v>
      </c>
      <c r="R423" s="57">
        <f t="shared" si="86"/>
        <v>1094</v>
      </c>
      <c r="S423" s="62" t="e">
        <f>VLOOKUP(B423,'115+040'!$B$11:$AB$621,22,FALSE)</f>
        <v>#REF!</v>
      </c>
      <c r="T423" s="61" t="e">
        <f>VLOOKUP(B423,'115+040'!$B$12:$AB$621,6,FALSE)</f>
        <v>#REF!</v>
      </c>
      <c r="U423" s="60" t="e">
        <f t="shared" si="82"/>
        <v>#REF!</v>
      </c>
      <c r="V423" s="59" t="e">
        <f>VLOOKUP(B423,'115+040'!$B$12:$AB$621,15,FALSE)</f>
        <v>#REF!</v>
      </c>
      <c r="W423" s="58">
        <f>'[4]114+940'!S424</f>
        <v>6</v>
      </c>
      <c r="X423" s="57">
        <f t="shared" si="87"/>
        <v>499</v>
      </c>
      <c r="Y423" s="56" t="e">
        <f t="shared" si="88"/>
        <v>#REF!</v>
      </c>
      <c r="Z423" s="55" t="e">
        <f t="shared" si="89"/>
        <v>#REF!</v>
      </c>
      <c r="AA423" s="54" t="e">
        <f t="shared" si="90"/>
        <v>#REF!</v>
      </c>
      <c r="AB423" s="54" t="e">
        <f t="shared" si="91"/>
        <v>#REF!</v>
      </c>
    </row>
    <row r="424" spans="2:28">
      <c r="B424" s="96" t="e">
        <f>'115+040'!#REF!</f>
        <v>#REF!</v>
      </c>
      <c r="C424" s="66" t="e">
        <f t="shared" si="83"/>
        <v>#REF!</v>
      </c>
      <c r="D424" s="65" t="e">
        <f t="shared" si="84"/>
        <v>#REF!</v>
      </c>
      <c r="E424" s="64" t="e">
        <f>VLOOKUP(B424,'115+040'!B422:AB422,3,FALSE)</f>
        <v>#REF!</v>
      </c>
      <c r="F424" s="61" t="e">
        <f t="shared" si="79"/>
        <v>#REF!</v>
      </c>
      <c r="G424" s="63" t="e">
        <f>VLOOKUP(B424,'115+040'!$B$12:$AB$621,20,FALSE)</f>
        <v>#REF!</v>
      </c>
      <c r="H424" s="63" t="e">
        <f>VLOOKUP(B424,'115+040'!$B$12:$AB$621,4,FALSE)</f>
        <v>#REF!</v>
      </c>
      <c r="I424" s="60" t="e">
        <f t="shared" si="80"/>
        <v>#REF!</v>
      </c>
      <c r="J424" s="60" t="e">
        <f>VLOOKUP(B424,'115+040'!$B$12:$AB$621,13,FALSE)</f>
        <v>#REF!</v>
      </c>
      <c r="K424" s="58">
        <f>'115+040'!R422</f>
        <v>1</v>
      </c>
      <c r="L424" s="57">
        <f t="shared" si="85"/>
        <v>976</v>
      </c>
      <c r="M424" s="62" t="e">
        <f>VLOOKUP(B424,'115+040'!$B$11:$AB$621,21,FALSE)</f>
        <v>#REF!</v>
      </c>
      <c r="N424" s="61" t="e">
        <f>VLOOKUP(B424,'115+040'!$B$12:$AB$621,5,FALSE)</f>
        <v>#REF!</v>
      </c>
      <c r="O424" s="60" t="e">
        <f t="shared" si="81"/>
        <v>#REF!</v>
      </c>
      <c r="P424" s="60" t="e">
        <f>VLOOKUP(B424,'115+040'!$B$12:$AB$621,14,FALSE)</f>
        <v>#REF!</v>
      </c>
      <c r="Q424" s="58">
        <f>'115+040'!S422</f>
        <v>5</v>
      </c>
      <c r="R424" s="57">
        <f t="shared" si="86"/>
        <v>1099</v>
      </c>
      <c r="S424" s="62" t="e">
        <f>VLOOKUP(B424,'115+040'!$B$11:$AB$621,22,FALSE)</f>
        <v>#REF!</v>
      </c>
      <c r="T424" s="61" t="e">
        <f>VLOOKUP(B424,'115+040'!$B$12:$AB$621,6,FALSE)</f>
        <v>#REF!</v>
      </c>
      <c r="U424" s="60" t="e">
        <f t="shared" si="82"/>
        <v>#REF!</v>
      </c>
      <c r="V424" s="59" t="e">
        <f>VLOOKUP(B424,'115+040'!$B$12:$AB$621,15,FALSE)</f>
        <v>#REF!</v>
      </c>
      <c r="W424" s="58">
        <f>'[4]114+940'!S425</f>
        <v>8</v>
      </c>
      <c r="X424" s="57">
        <f t="shared" si="87"/>
        <v>507</v>
      </c>
      <c r="Y424" s="56" t="e">
        <f t="shared" si="88"/>
        <v>#REF!</v>
      </c>
      <c r="Z424" s="55" t="e">
        <f t="shared" si="89"/>
        <v>#REF!</v>
      </c>
      <c r="AA424" s="54" t="e">
        <f t="shared" si="90"/>
        <v>#REF!</v>
      </c>
      <c r="AB424" s="54" t="e">
        <f t="shared" si="91"/>
        <v>#REF!</v>
      </c>
    </row>
    <row r="425" spans="2:28">
      <c r="B425" s="96" t="e">
        <f>'115+040'!#REF!</f>
        <v>#REF!</v>
      </c>
      <c r="C425" s="66" t="e">
        <f t="shared" si="83"/>
        <v>#REF!</v>
      </c>
      <c r="D425" s="65" t="e">
        <f t="shared" si="84"/>
        <v>#REF!</v>
      </c>
      <c r="E425" s="64" t="e">
        <f>VLOOKUP(B425,'115+040'!B423:AB423,3,FALSE)</f>
        <v>#REF!</v>
      </c>
      <c r="F425" s="61" t="e">
        <f t="shared" si="79"/>
        <v>#REF!</v>
      </c>
      <c r="G425" s="63" t="e">
        <f>VLOOKUP(B425,'115+040'!$B$12:$AB$621,20,FALSE)</f>
        <v>#REF!</v>
      </c>
      <c r="H425" s="63" t="e">
        <f>VLOOKUP(B425,'115+040'!$B$12:$AB$621,4,FALSE)</f>
        <v>#REF!</v>
      </c>
      <c r="I425" s="60" t="e">
        <f t="shared" si="80"/>
        <v>#REF!</v>
      </c>
      <c r="J425" s="60" t="e">
        <f>VLOOKUP(B425,'115+040'!$B$12:$AB$621,13,FALSE)</f>
        <v>#REF!</v>
      </c>
      <c r="K425" s="58">
        <f>'115+040'!R423</f>
        <v>0</v>
      </c>
      <c r="L425" s="57">
        <f t="shared" si="85"/>
        <v>976</v>
      </c>
      <c r="M425" s="62" t="e">
        <f>VLOOKUP(B425,'115+040'!$B$11:$AB$621,21,FALSE)</f>
        <v>#REF!</v>
      </c>
      <c r="N425" s="61" t="e">
        <f>VLOOKUP(B425,'115+040'!$B$12:$AB$621,5,FALSE)</f>
        <v>#REF!</v>
      </c>
      <c r="O425" s="60" t="e">
        <f t="shared" si="81"/>
        <v>#REF!</v>
      </c>
      <c r="P425" s="60" t="e">
        <f>VLOOKUP(B425,'115+040'!$B$12:$AB$621,14,FALSE)</f>
        <v>#REF!</v>
      </c>
      <c r="Q425" s="58">
        <f>'115+040'!S423</f>
        <v>5</v>
      </c>
      <c r="R425" s="57">
        <f t="shared" si="86"/>
        <v>1104</v>
      </c>
      <c r="S425" s="62" t="e">
        <f>VLOOKUP(B425,'115+040'!$B$11:$AB$621,22,FALSE)</f>
        <v>#REF!</v>
      </c>
      <c r="T425" s="61" t="e">
        <f>VLOOKUP(B425,'115+040'!$B$12:$AB$621,6,FALSE)</f>
        <v>#REF!</v>
      </c>
      <c r="U425" s="60" t="e">
        <f t="shared" si="82"/>
        <v>#REF!</v>
      </c>
      <c r="V425" s="59" t="e">
        <f>VLOOKUP(B425,'115+040'!$B$12:$AB$621,15,FALSE)</f>
        <v>#REF!</v>
      </c>
      <c r="W425" s="58">
        <f>'[4]114+940'!S426</f>
        <v>7</v>
      </c>
      <c r="X425" s="57">
        <f t="shared" si="87"/>
        <v>514</v>
      </c>
      <c r="Y425" s="56" t="e">
        <f t="shared" si="88"/>
        <v>#REF!</v>
      </c>
      <c r="Z425" s="55" t="e">
        <f t="shared" si="89"/>
        <v>#REF!</v>
      </c>
      <c r="AA425" s="54" t="e">
        <f t="shared" si="90"/>
        <v>#REF!</v>
      </c>
      <c r="AB425" s="54" t="e">
        <f t="shared" si="91"/>
        <v>#REF!</v>
      </c>
    </row>
    <row r="426" spans="2:28">
      <c r="B426" s="96" t="e">
        <f>'115+040'!#REF!</f>
        <v>#REF!</v>
      </c>
      <c r="C426" s="66" t="e">
        <f t="shared" si="83"/>
        <v>#REF!</v>
      </c>
      <c r="D426" s="65" t="e">
        <f t="shared" si="84"/>
        <v>#REF!</v>
      </c>
      <c r="E426" s="64" t="e">
        <f>VLOOKUP(B426,'115+040'!B424:AB424,3,FALSE)</f>
        <v>#REF!</v>
      </c>
      <c r="F426" s="61" t="e">
        <f t="shared" si="79"/>
        <v>#REF!</v>
      </c>
      <c r="G426" s="63" t="e">
        <f>VLOOKUP(B426,'115+040'!$B$12:$AB$621,20,FALSE)</f>
        <v>#REF!</v>
      </c>
      <c r="H426" s="63" t="e">
        <f>VLOOKUP(B426,'115+040'!$B$12:$AB$621,4,FALSE)</f>
        <v>#REF!</v>
      </c>
      <c r="I426" s="60" t="e">
        <f t="shared" si="80"/>
        <v>#REF!</v>
      </c>
      <c r="J426" s="60" t="e">
        <f>VLOOKUP(B426,'115+040'!$B$12:$AB$621,13,FALSE)</f>
        <v>#REF!</v>
      </c>
      <c r="K426" s="58">
        <f>'115+040'!R424</f>
        <v>4</v>
      </c>
      <c r="L426" s="57">
        <f t="shared" si="85"/>
        <v>980</v>
      </c>
      <c r="M426" s="62" t="e">
        <f>VLOOKUP(B426,'115+040'!$B$11:$AB$621,21,FALSE)</f>
        <v>#REF!</v>
      </c>
      <c r="N426" s="61" t="e">
        <f>VLOOKUP(B426,'115+040'!$B$12:$AB$621,5,FALSE)</f>
        <v>#REF!</v>
      </c>
      <c r="O426" s="60" t="e">
        <f t="shared" si="81"/>
        <v>#REF!</v>
      </c>
      <c r="P426" s="60" t="e">
        <f>VLOOKUP(B426,'115+040'!$B$12:$AB$621,14,FALSE)</f>
        <v>#REF!</v>
      </c>
      <c r="Q426" s="58">
        <f>'115+040'!S424</f>
        <v>5</v>
      </c>
      <c r="R426" s="57">
        <f t="shared" si="86"/>
        <v>1109</v>
      </c>
      <c r="S426" s="62" t="e">
        <f>VLOOKUP(B426,'115+040'!$B$11:$AB$621,22,FALSE)</f>
        <v>#REF!</v>
      </c>
      <c r="T426" s="61" t="e">
        <f>VLOOKUP(B426,'115+040'!$B$12:$AB$621,6,FALSE)</f>
        <v>#REF!</v>
      </c>
      <c r="U426" s="60" t="e">
        <f t="shared" si="82"/>
        <v>#REF!</v>
      </c>
      <c r="V426" s="59" t="e">
        <f>VLOOKUP(B426,'115+040'!$B$12:$AB$621,15,FALSE)</f>
        <v>#REF!</v>
      </c>
      <c r="W426" s="58">
        <f>'[4]114+940'!S427</f>
        <v>9</v>
      </c>
      <c r="X426" s="57">
        <f t="shared" si="87"/>
        <v>523</v>
      </c>
      <c r="Y426" s="56" t="e">
        <f t="shared" si="88"/>
        <v>#REF!</v>
      </c>
      <c r="Z426" s="55" t="e">
        <f t="shared" si="89"/>
        <v>#REF!</v>
      </c>
      <c r="AA426" s="54" t="e">
        <f t="shared" si="90"/>
        <v>#REF!</v>
      </c>
      <c r="AB426" s="54" t="e">
        <f t="shared" si="91"/>
        <v>#REF!</v>
      </c>
    </row>
    <row r="427" spans="2:28">
      <c r="B427" s="96" t="e">
        <f>'115+040'!#REF!</f>
        <v>#REF!</v>
      </c>
      <c r="C427" s="66" t="e">
        <f t="shared" si="83"/>
        <v>#REF!</v>
      </c>
      <c r="D427" s="65" t="e">
        <f t="shared" si="84"/>
        <v>#REF!</v>
      </c>
      <c r="E427" s="64" t="e">
        <f>VLOOKUP(B427,'115+040'!B425:AB425,3,FALSE)</f>
        <v>#REF!</v>
      </c>
      <c r="F427" s="61" t="e">
        <f t="shared" si="79"/>
        <v>#REF!</v>
      </c>
      <c r="G427" s="63" t="e">
        <f>VLOOKUP(B427,'115+040'!$B$12:$AB$621,20,FALSE)</f>
        <v>#REF!</v>
      </c>
      <c r="H427" s="63" t="e">
        <f>VLOOKUP(B427,'115+040'!$B$12:$AB$621,4,FALSE)</f>
        <v>#REF!</v>
      </c>
      <c r="I427" s="60" t="e">
        <f t="shared" si="80"/>
        <v>#REF!</v>
      </c>
      <c r="J427" s="60" t="e">
        <f>VLOOKUP(B427,'115+040'!$B$12:$AB$621,13,FALSE)</f>
        <v>#REF!</v>
      </c>
      <c r="K427" s="58">
        <f>'115+040'!R425</f>
        <v>3</v>
      </c>
      <c r="L427" s="57">
        <f t="shared" si="85"/>
        <v>983</v>
      </c>
      <c r="M427" s="62" t="e">
        <f>VLOOKUP(B427,'115+040'!$B$11:$AB$621,21,FALSE)</f>
        <v>#REF!</v>
      </c>
      <c r="N427" s="61" t="e">
        <f>VLOOKUP(B427,'115+040'!$B$12:$AB$621,5,FALSE)</f>
        <v>#REF!</v>
      </c>
      <c r="O427" s="60" t="e">
        <f t="shared" si="81"/>
        <v>#REF!</v>
      </c>
      <c r="P427" s="60" t="e">
        <f>VLOOKUP(B427,'115+040'!$B$12:$AB$621,14,FALSE)</f>
        <v>#REF!</v>
      </c>
      <c r="Q427" s="58">
        <f>'115+040'!S425</f>
        <v>5</v>
      </c>
      <c r="R427" s="57">
        <f t="shared" si="86"/>
        <v>1114</v>
      </c>
      <c r="S427" s="62" t="e">
        <f>VLOOKUP(B427,'115+040'!$B$11:$AB$621,22,FALSE)</f>
        <v>#REF!</v>
      </c>
      <c r="T427" s="61" t="e">
        <f>VLOOKUP(B427,'115+040'!$B$12:$AB$621,6,FALSE)</f>
        <v>#REF!</v>
      </c>
      <c r="U427" s="60" t="e">
        <f t="shared" si="82"/>
        <v>#REF!</v>
      </c>
      <c r="V427" s="59" t="e">
        <f>VLOOKUP(B427,'115+040'!$B$12:$AB$621,15,FALSE)</f>
        <v>#REF!</v>
      </c>
      <c r="W427" s="58">
        <f>'[4]114+940'!S428</f>
        <v>8</v>
      </c>
      <c r="X427" s="57">
        <f t="shared" si="87"/>
        <v>531</v>
      </c>
      <c r="Y427" s="56" t="e">
        <f t="shared" si="88"/>
        <v>#REF!</v>
      </c>
      <c r="Z427" s="55" t="e">
        <f t="shared" si="89"/>
        <v>#REF!</v>
      </c>
      <c r="AA427" s="54" t="e">
        <f t="shared" si="90"/>
        <v>#REF!</v>
      </c>
      <c r="AB427" s="54" t="e">
        <f t="shared" si="91"/>
        <v>#REF!</v>
      </c>
    </row>
    <row r="428" spans="2:28">
      <c r="B428" s="96" t="e">
        <f>'115+040'!#REF!</f>
        <v>#REF!</v>
      </c>
      <c r="C428" s="66" t="e">
        <f t="shared" si="83"/>
        <v>#REF!</v>
      </c>
      <c r="D428" s="65" t="e">
        <f t="shared" si="84"/>
        <v>#REF!</v>
      </c>
      <c r="E428" s="64" t="e">
        <f>VLOOKUP(B428,'115+040'!B426:AB426,3,FALSE)</f>
        <v>#REF!</v>
      </c>
      <c r="F428" s="61" t="e">
        <f t="shared" si="79"/>
        <v>#REF!</v>
      </c>
      <c r="G428" s="63" t="e">
        <f>VLOOKUP(B428,'115+040'!$B$12:$AB$621,20,FALSE)</f>
        <v>#REF!</v>
      </c>
      <c r="H428" s="63" t="e">
        <f>VLOOKUP(B428,'115+040'!$B$12:$AB$621,4,FALSE)</f>
        <v>#REF!</v>
      </c>
      <c r="I428" s="60" t="e">
        <f t="shared" si="80"/>
        <v>#REF!</v>
      </c>
      <c r="J428" s="60" t="e">
        <f>VLOOKUP(B428,'115+040'!$B$12:$AB$621,13,FALSE)</f>
        <v>#REF!</v>
      </c>
      <c r="K428" s="58">
        <f>'115+040'!R426</f>
        <v>2</v>
      </c>
      <c r="L428" s="57">
        <f t="shared" si="85"/>
        <v>985</v>
      </c>
      <c r="M428" s="62" t="e">
        <f>VLOOKUP(B428,'115+040'!$B$11:$AB$621,21,FALSE)</f>
        <v>#REF!</v>
      </c>
      <c r="N428" s="61" t="e">
        <f>VLOOKUP(B428,'115+040'!$B$12:$AB$621,5,FALSE)</f>
        <v>#REF!</v>
      </c>
      <c r="O428" s="60" t="e">
        <f t="shared" si="81"/>
        <v>#REF!</v>
      </c>
      <c r="P428" s="60" t="e">
        <f>VLOOKUP(B428,'115+040'!$B$12:$AB$621,14,FALSE)</f>
        <v>#REF!</v>
      </c>
      <c r="Q428" s="58">
        <f>'115+040'!S426</f>
        <v>5</v>
      </c>
      <c r="R428" s="57">
        <f t="shared" si="86"/>
        <v>1119</v>
      </c>
      <c r="S428" s="62" t="e">
        <f>VLOOKUP(B428,'115+040'!$B$11:$AB$621,22,FALSE)</f>
        <v>#REF!</v>
      </c>
      <c r="T428" s="61" t="e">
        <f>VLOOKUP(B428,'115+040'!$B$12:$AB$621,6,FALSE)</f>
        <v>#REF!</v>
      </c>
      <c r="U428" s="60" t="e">
        <f t="shared" si="82"/>
        <v>#REF!</v>
      </c>
      <c r="V428" s="59" t="e">
        <f>VLOOKUP(B428,'115+040'!$B$12:$AB$621,15,FALSE)</f>
        <v>#REF!</v>
      </c>
      <c r="W428" s="58">
        <f>'[4]114+940'!S429</f>
        <v>8</v>
      </c>
      <c r="X428" s="57">
        <f t="shared" si="87"/>
        <v>539</v>
      </c>
      <c r="Y428" s="56" t="e">
        <f t="shared" si="88"/>
        <v>#REF!</v>
      </c>
      <c r="Z428" s="55" t="e">
        <f t="shared" si="89"/>
        <v>#REF!</v>
      </c>
      <c r="AA428" s="54" t="e">
        <f t="shared" si="90"/>
        <v>#REF!</v>
      </c>
      <c r="AB428" s="54" t="e">
        <f t="shared" si="91"/>
        <v>#REF!</v>
      </c>
    </row>
    <row r="429" spans="2:28">
      <c r="B429" s="96" t="e">
        <f>'115+040'!#REF!</f>
        <v>#REF!</v>
      </c>
      <c r="C429" s="66" t="e">
        <f t="shared" si="83"/>
        <v>#REF!</v>
      </c>
      <c r="D429" s="65" t="e">
        <f t="shared" si="84"/>
        <v>#REF!</v>
      </c>
      <c r="E429" s="64" t="e">
        <f>VLOOKUP(B429,'115+040'!B427:AB427,3,FALSE)</f>
        <v>#REF!</v>
      </c>
      <c r="F429" s="61" t="e">
        <f t="shared" si="79"/>
        <v>#REF!</v>
      </c>
      <c r="G429" s="63" t="e">
        <f>VLOOKUP(B429,'115+040'!$B$12:$AB$621,20,FALSE)</f>
        <v>#REF!</v>
      </c>
      <c r="H429" s="63" t="e">
        <f>VLOOKUP(B429,'115+040'!$B$12:$AB$621,4,FALSE)</f>
        <v>#REF!</v>
      </c>
      <c r="I429" s="60" t="e">
        <f t="shared" si="80"/>
        <v>#REF!</v>
      </c>
      <c r="J429" s="60" t="e">
        <f>VLOOKUP(B429,'115+040'!$B$12:$AB$621,13,FALSE)</f>
        <v>#REF!</v>
      </c>
      <c r="K429" s="58">
        <f>'115+040'!R427</f>
        <v>3</v>
      </c>
      <c r="L429" s="57">
        <f t="shared" si="85"/>
        <v>988</v>
      </c>
      <c r="M429" s="62" t="e">
        <f>VLOOKUP(B429,'115+040'!$B$11:$AB$621,21,FALSE)</f>
        <v>#REF!</v>
      </c>
      <c r="N429" s="61" t="e">
        <f>VLOOKUP(B429,'115+040'!$B$12:$AB$621,5,FALSE)</f>
        <v>#REF!</v>
      </c>
      <c r="O429" s="60" t="e">
        <f t="shared" si="81"/>
        <v>#REF!</v>
      </c>
      <c r="P429" s="60" t="e">
        <f>VLOOKUP(B429,'115+040'!$B$12:$AB$621,14,FALSE)</f>
        <v>#REF!</v>
      </c>
      <c r="Q429" s="58">
        <f>'115+040'!S427</f>
        <v>5</v>
      </c>
      <c r="R429" s="57">
        <f t="shared" si="86"/>
        <v>1124</v>
      </c>
      <c r="S429" s="62" t="e">
        <f>VLOOKUP(B429,'115+040'!$B$11:$AB$621,22,FALSE)</f>
        <v>#REF!</v>
      </c>
      <c r="T429" s="61" t="e">
        <f>VLOOKUP(B429,'115+040'!$B$12:$AB$621,6,FALSE)</f>
        <v>#REF!</v>
      </c>
      <c r="U429" s="60" t="e">
        <f t="shared" si="82"/>
        <v>#REF!</v>
      </c>
      <c r="V429" s="59" t="e">
        <f>VLOOKUP(B429,'115+040'!$B$12:$AB$621,15,FALSE)</f>
        <v>#REF!</v>
      </c>
      <c r="W429" s="58">
        <f>'[4]114+940'!S430</f>
        <v>9</v>
      </c>
      <c r="X429" s="57">
        <f t="shared" si="87"/>
        <v>548</v>
      </c>
      <c r="Y429" s="56" t="e">
        <f t="shared" si="88"/>
        <v>#REF!</v>
      </c>
      <c r="Z429" s="55" t="e">
        <f t="shared" si="89"/>
        <v>#REF!</v>
      </c>
      <c r="AA429" s="54" t="e">
        <f t="shared" si="90"/>
        <v>#REF!</v>
      </c>
      <c r="AB429" s="54" t="e">
        <f t="shared" si="91"/>
        <v>#REF!</v>
      </c>
    </row>
    <row r="430" spans="2:28">
      <c r="B430" s="96" t="e">
        <f>'115+040'!#REF!</f>
        <v>#REF!</v>
      </c>
      <c r="C430" s="66" t="e">
        <f t="shared" si="83"/>
        <v>#REF!</v>
      </c>
      <c r="D430" s="65" t="e">
        <f t="shared" si="84"/>
        <v>#REF!</v>
      </c>
      <c r="E430" s="64" t="e">
        <f>VLOOKUP(B430,'115+040'!B428:AB428,3,FALSE)</f>
        <v>#REF!</v>
      </c>
      <c r="F430" s="61" t="e">
        <f t="shared" si="79"/>
        <v>#REF!</v>
      </c>
      <c r="G430" s="63" t="e">
        <f>VLOOKUP(B430,'115+040'!$B$12:$AB$621,20,FALSE)</f>
        <v>#REF!</v>
      </c>
      <c r="H430" s="63" t="e">
        <f>VLOOKUP(B430,'115+040'!$B$12:$AB$621,4,FALSE)</f>
        <v>#REF!</v>
      </c>
      <c r="I430" s="60" t="e">
        <f t="shared" si="80"/>
        <v>#REF!</v>
      </c>
      <c r="J430" s="60" t="e">
        <f>VLOOKUP(B430,'115+040'!$B$12:$AB$621,13,FALSE)</f>
        <v>#REF!</v>
      </c>
      <c r="K430" s="58">
        <f>'115+040'!R428</f>
        <v>3</v>
      </c>
      <c r="L430" s="57">
        <f t="shared" si="85"/>
        <v>991</v>
      </c>
      <c r="M430" s="62" t="e">
        <f>VLOOKUP(B430,'115+040'!$B$11:$AB$621,21,FALSE)</f>
        <v>#REF!</v>
      </c>
      <c r="N430" s="61" t="e">
        <f>VLOOKUP(B430,'115+040'!$B$12:$AB$621,5,FALSE)</f>
        <v>#REF!</v>
      </c>
      <c r="O430" s="60" t="e">
        <f t="shared" si="81"/>
        <v>#REF!</v>
      </c>
      <c r="P430" s="60" t="e">
        <f>VLOOKUP(B430,'115+040'!$B$12:$AB$621,14,FALSE)</f>
        <v>#REF!</v>
      </c>
      <c r="Q430" s="58">
        <f>'115+040'!S428</f>
        <v>5</v>
      </c>
      <c r="R430" s="57">
        <f t="shared" si="86"/>
        <v>1129</v>
      </c>
      <c r="S430" s="62" t="e">
        <f>VLOOKUP(B430,'115+040'!$B$11:$AB$621,22,FALSE)</f>
        <v>#REF!</v>
      </c>
      <c r="T430" s="61" t="e">
        <f>VLOOKUP(B430,'115+040'!$B$12:$AB$621,6,FALSE)</f>
        <v>#REF!</v>
      </c>
      <c r="U430" s="60" t="e">
        <f t="shared" si="82"/>
        <v>#REF!</v>
      </c>
      <c r="V430" s="59" t="e">
        <f>VLOOKUP(B430,'115+040'!$B$12:$AB$621,15,FALSE)</f>
        <v>#REF!</v>
      </c>
      <c r="W430" s="58">
        <f>'[4]114+940'!S431</f>
        <v>9</v>
      </c>
      <c r="X430" s="57">
        <f t="shared" si="87"/>
        <v>557</v>
      </c>
      <c r="Y430" s="56" t="e">
        <f t="shared" si="88"/>
        <v>#REF!</v>
      </c>
      <c r="Z430" s="55" t="e">
        <f t="shared" si="89"/>
        <v>#REF!</v>
      </c>
      <c r="AA430" s="54" t="e">
        <f t="shared" si="90"/>
        <v>#REF!</v>
      </c>
      <c r="AB430" s="54" t="e">
        <f t="shared" si="91"/>
        <v>#REF!</v>
      </c>
    </row>
    <row r="431" spans="2:28">
      <c r="B431" s="96" t="e">
        <f>'115+040'!#REF!</f>
        <v>#REF!</v>
      </c>
      <c r="C431" s="66" t="e">
        <f t="shared" si="83"/>
        <v>#REF!</v>
      </c>
      <c r="D431" s="65" t="e">
        <f t="shared" si="84"/>
        <v>#REF!</v>
      </c>
      <c r="E431" s="64" t="e">
        <f>VLOOKUP(B431,'115+040'!B429:AB429,3,FALSE)</f>
        <v>#REF!</v>
      </c>
      <c r="F431" s="61" t="e">
        <f t="shared" si="79"/>
        <v>#REF!</v>
      </c>
      <c r="G431" s="63" t="e">
        <f>VLOOKUP(B431,'115+040'!$B$12:$AB$621,20,FALSE)</f>
        <v>#REF!</v>
      </c>
      <c r="H431" s="63" t="e">
        <f>VLOOKUP(B431,'115+040'!$B$12:$AB$621,4,FALSE)</f>
        <v>#REF!</v>
      </c>
      <c r="I431" s="60" t="e">
        <f t="shared" si="80"/>
        <v>#REF!</v>
      </c>
      <c r="J431" s="60" t="e">
        <f>VLOOKUP(B431,'115+040'!$B$12:$AB$621,13,FALSE)</f>
        <v>#REF!</v>
      </c>
      <c r="K431" s="58">
        <f>'115+040'!R429</f>
        <v>2</v>
      </c>
      <c r="L431" s="57">
        <f t="shared" si="85"/>
        <v>993</v>
      </c>
      <c r="M431" s="62" t="e">
        <f>VLOOKUP(B431,'115+040'!$B$11:$AB$621,21,FALSE)</f>
        <v>#REF!</v>
      </c>
      <c r="N431" s="61" t="e">
        <f>VLOOKUP(B431,'115+040'!$B$12:$AB$621,5,FALSE)</f>
        <v>#REF!</v>
      </c>
      <c r="O431" s="60" t="e">
        <f t="shared" si="81"/>
        <v>#REF!</v>
      </c>
      <c r="P431" s="60" t="e">
        <f>VLOOKUP(B431,'115+040'!$B$12:$AB$621,14,FALSE)</f>
        <v>#REF!</v>
      </c>
      <c r="Q431" s="58">
        <f>'115+040'!S429</f>
        <v>5</v>
      </c>
      <c r="R431" s="57">
        <f t="shared" si="86"/>
        <v>1134</v>
      </c>
      <c r="S431" s="62" t="e">
        <f>VLOOKUP(B431,'115+040'!$B$11:$AB$621,22,FALSE)</f>
        <v>#REF!</v>
      </c>
      <c r="T431" s="61" t="e">
        <f>VLOOKUP(B431,'115+040'!$B$12:$AB$621,6,FALSE)</f>
        <v>#REF!</v>
      </c>
      <c r="U431" s="60" t="e">
        <f t="shared" si="82"/>
        <v>#REF!</v>
      </c>
      <c r="V431" s="59" t="e">
        <f>VLOOKUP(B431,'115+040'!$B$12:$AB$621,15,FALSE)</f>
        <v>#REF!</v>
      </c>
      <c r="W431" s="58">
        <f>'[4]114+940'!S432</f>
        <v>8</v>
      </c>
      <c r="X431" s="57">
        <f t="shared" si="87"/>
        <v>565</v>
      </c>
      <c r="Y431" s="56" t="e">
        <f t="shared" si="88"/>
        <v>#REF!</v>
      </c>
      <c r="Z431" s="55" t="e">
        <f t="shared" si="89"/>
        <v>#REF!</v>
      </c>
      <c r="AA431" s="54" t="e">
        <f t="shared" si="90"/>
        <v>#REF!</v>
      </c>
      <c r="AB431" s="54" t="e">
        <f t="shared" si="91"/>
        <v>#REF!</v>
      </c>
    </row>
    <row r="432" spans="2:28">
      <c r="B432" s="96" t="e">
        <f>'115+040'!#REF!</f>
        <v>#REF!</v>
      </c>
      <c r="C432" s="66" t="e">
        <f t="shared" si="83"/>
        <v>#REF!</v>
      </c>
      <c r="D432" s="65" t="e">
        <f t="shared" si="84"/>
        <v>#REF!</v>
      </c>
      <c r="E432" s="64" t="e">
        <f>VLOOKUP(B432,'115+040'!B430:AB430,3,FALSE)</f>
        <v>#REF!</v>
      </c>
      <c r="F432" s="61" t="e">
        <f t="shared" si="79"/>
        <v>#REF!</v>
      </c>
      <c r="G432" s="63" t="e">
        <f>VLOOKUP(B432,'115+040'!$B$12:$AB$621,20,FALSE)</f>
        <v>#REF!</v>
      </c>
      <c r="H432" s="63" t="e">
        <f>VLOOKUP(B432,'115+040'!$B$12:$AB$621,4,FALSE)</f>
        <v>#REF!</v>
      </c>
      <c r="I432" s="60" t="e">
        <f t="shared" si="80"/>
        <v>#REF!</v>
      </c>
      <c r="J432" s="60" t="e">
        <f>VLOOKUP(B432,'115+040'!$B$12:$AB$621,13,FALSE)</f>
        <v>#REF!</v>
      </c>
      <c r="K432" s="58">
        <f>'115+040'!R430</f>
        <v>1</v>
      </c>
      <c r="L432" s="57">
        <f t="shared" si="85"/>
        <v>994</v>
      </c>
      <c r="M432" s="62" t="e">
        <f>VLOOKUP(B432,'115+040'!$B$11:$AB$621,21,FALSE)</f>
        <v>#REF!</v>
      </c>
      <c r="N432" s="61" t="e">
        <f>VLOOKUP(B432,'115+040'!$B$12:$AB$621,5,FALSE)</f>
        <v>#REF!</v>
      </c>
      <c r="O432" s="60" t="e">
        <f t="shared" si="81"/>
        <v>#REF!</v>
      </c>
      <c r="P432" s="60" t="e">
        <f>VLOOKUP(B432,'115+040'!$B$12:$AB$621,14,FALSE)</f>
        <v>#REF!</v>
      </c>
      <c r="Q432" s="58">
        <f>'115+040'!S430</f>
        <v>5</v>
      </c>
      <c r="R432" s="57">
        <f t="shared" si="86"/>
        <v>1139</v>
      </c>
      <c r="S432" s="62" t="e">
        <f>VLOOKUP(B432,'115+040'!$B$11:$AB$621,22,FALSE)</f>
        <v>#REF!</v>
      </c>
      <c r="T432" s="61" t="e">
        <f>VLOOKUP(B432,'115+040'!$B$12:$AB$621,6,FALSE)</f>
        <v>#REF!</v>
      </c>
      <c r="U432" s="60" t="e">
        <f t="shared" si="82"/>
        <v>#REF!</v>
      </c>
      <c r="V432" s="59" t="e">
        <f>VLOOKUP(B432,'115+040'!$B$12:$AB$621,15,FALSE)</f>
        <v>#REF!</v>
      </c>
      <c r="W432" s="58">
        <f>'[4]114+940'!S433</f>
        <v>9</v>
      </c>
      <c r="X432" s="57">
        <f t="shared" si="87"/>
        <v>574</v>
      </c>
      <c r="Y432" s="56" t="e">
        <f t="shared" si="88"/>
        <v>#REF!</v>
      </c>
      <c r="Z432" s="55" t="e">
        <f t="shared" si="89"/>
        <v>#REF!</v>
      </c>
      <c r="AA432" s="54" t="e">
        <f t="shared" si="90"/>
        <v>#REF!</v>
      </c>
      <c r="AB432" s="54" t="e">
        <f t="shared" si="91"/>
        <v>#REF!</v>
      </c>
    </row>
    <row r="433" spans="2:28">
      <c r="B433" s="96" t="e">
        <f>'115+040'!#REF!</f>
        <v>#REF!</v>
      </c>
      <c r="C433" s="66" t="e">
        <f t="shared" si="83"/>
        <v>#REF!</v>
      </c>
      <c r="D433" s="65" t="e">
        <f t="shared" si="84"/>
        <v>#REF!</v>
      </c>
      <c r="E433" s="64" t="e">
        <f>VLOOKUP(B433,'115+040'!B431:AB431,3,FALSE)</f>
        <v>#REF!</v>
      </c>
      <c r="F433" s="61" t="e">
        <f t="shared" si="79"/>
        <v>#REF!</v>
      </c>
      <c r="G433" s="63" t="e">
        <f>VLOOKUP(B433,'115+040'!$B$12:$AB$621,20,FALSE)</f>
        <v>#REF!</v>
      </c>
      <c r="H433" s="63" t="e">
        <f>VLOOKUP(B433,'115+040'!$B$12:$AB$621,4,FALSE)</f>
        <v>#REF!</v>
      </c>
      <c r="I433" s="60" t="e">
        <f t="shared" si="80"/>
        <v>#REF!</v>
      </c>
      <c r="J433" s="60" t="e">
        <f>VLOOKUP(B433,'115+040'!$B$12:$AB$621,13,FALSE)</f>
        <v>#REF!</v>
      </c>
      <c r="K433" s="58">
        <f>'115+040'!R431</f>
        <v>0</v>
      </c>
      <c r="L433" s="57">
        <f t="shared" si="85"/>
        <v>994</v>
      </c>
      <c r="M433" s="62" t="e">
        <f>VLOOKUP(B433,'115+040'!$B$11:$AB$621,21,FALSE)</f>
        <v>#REF!</v>
      </c>
      <c r="N433" s="61" t="e">
        <f>VLOOKUP(B433,'115+040'!$B$12:$AB$621,5,FALSE)</f>
        <v>#REF!</v>
      </c>
      <c r="O433" s="60" t="e">
        <f t="shared" si="81"/>
        <v>#REF!</v>
      </c>
      <c r="P433" s="60" t="e">
        <f>VLOOKUP(B433,'115+040'!$B$12:$AB$621,14,FALSE)</f>
        <v>#REF!</v>
      </c>
      <c r="Q433" s="58">
        <f>'115+040'!S431</f>
        <v>6</v>
      </c>
      <c r="R433" s="57">
        <f t="shared" si="86"/>
        <v>1145</v>
      </c>
      <c r="S433" s="62" t="e">
        <f>VLOOKUP(B433,'115+040'!$B$11:$AB$621,22,FALSE)</f>
        <v>#REF!</v>
      </c>
      <c r="T433" s="61" t="e">
        <f>VLOOKUP(B433,'115+040'!$B$12:$AB$621,6,FALSE)</f>
        <v>#REF!</v>
      </c>
      <c r="U433" s="60" t="e">
        <f t="shared" si="82"/>
        <v>#REF!</v>
      </c>
      <c r="V433" s="59" t="e">
        <f>VLOOKUP(B433,'115+040'!$B$12:$AB$621,15,FALSE)</f>
        <v>#REF!</v>
      </c>
      <c r="W433" s="58">
        <f>'[4]114+940'!S434</f>
        <v>8</v>
      </c>
      <c r="X433" s="57">
        <f t="shared" si="87"/>
        <v>582</v>
      </c>
      <c r="Y433" s="56" t="e">
        <f t="shared" si="88"/>
        <v>#REF!</v>
      </c>
      <c r="Z433" s="55" t="e">
        <f t="shared" si="89"/>
        <v>#REF!</v>
      </c>
      <c r="AA433" s="54" t="e">
        <f t="shared" si="90"/>
        <v>#REF!</v>
      </c>
      <c r="AB433" s="54" t="e">
        <f t="shared" si="91"/>
        <v>#REF!</v>
      </c>
    </row>
    <row r="434" spans="2:28">
      <c r="B434" s="96" t="e">
        <f>'115+040'!#REF!</f>
        <v>#REF!</v>
      </c>
      <c r="C434" s="66" t="e">
        <f t="shared" si="83"/>
        <v>#REF!</v>
      </c>
      <c r="D434" s="65" t="e">
        <f t="shared" si="84"/>
        <v>#REF!</v>
      </c>
      <c r="E434" s="64" t="e">
        <f>VLOOKUP(B434,'115+040'!B432:AB432,3,FALSE)</f>
        <v>#REF!</v>
      </c>
      <c r="F434" s="61" t="e">
        <f t="shared" si="79"/>
        <v>#REF!</v>
      </c>
      <c r="G434" s="63" t="e">
        <f>VLOOKUP(B434,'115+040'!$B$12:$AB$621,20,FALSE)</f>
        <v>#REF!</v>
      </c>
      <c r="H434" s="63" t="e">
        <f>VLOOKUP(B434,'115+040'!$B$12:$AB$621,4,FALSE)</f>
        <v>#REF!</v>
      </c>
      <c r="I434" s="60" t="e">
        <f t="shared" si="80"/>
        <v>#REF!</v>
      </c>
      <c r="J434" s="60" t="e">
        <f>VLOOKUP(B434,'115+040'!$B$12:$AB$621,13,FALSE)</f>
        <v>#REF!</v>
      </c>
      <c r="K434" s="58">
        <f>'115+040'!R432</f>
        <v>4</v>
      </c>
      <c r="L434" s="57">
        <f t="shared" si="85"/>
        <v>998</v>
      </c>
      <c r="M434" s="62" t="e">
        <f>VLOOKUP(B434,'115+040'!$B$11:$AB$621,21,FALSE)</f>
        <v>#REF!</v>
      </c>
      <c r="N434" s="61" t="e">
        <f>VLOOKUP(B434,'115+040'!$B$12:$AB$621,5,FALSE)</f>
        <v>#REF!</v>
      </c>
      <c r="O434" s="60" t="e">
        <f t="shared" si="81"/>
        <v>#REF!</v>
      </c>
      <c r="P434" s="60" t="e">
        <f>VLOOKUP(B434,'115+040'!$B$12:$AB$621,14,FALSE)</f>
        <v>#REF!</v>
      </c>
      <c r="Q434" s="58">
        <f>'115+040'!S432</f>
        <v>6</v>
      </c>
      <c r="R434" s="57">
        <f t="shared" si="86"/>
        <v>1151</v>
      </c>
      <c r="S434" s="62" t="e">
        <f>VLOOKUP(B434,'115+040'!$B$11:$AB$621,22,FALSE)</f>
        <v>#REF!</v>
      </c>
      <c r="T434" s="61" t="e">
        <f>VLOOKUP(B434,'115+040'!$B$12:$AB$621,6,FALSE)</f>
        <v>#REF!</v>
      </c>
      <c r="U434" s="60" t="e">
        <f t="shared" si="82"/>
        <v>#REF!</v>
      </c>
      <c r="V434" s="59" t="e">
        <f>VLOOKUP(B434,'115+040'!$B$12:$AB$621,15,FALSE)</f>
        <v>#REF!</v>
      </c>
      <c r="W434" s="58">
        <f>'[4]114+940'!S435</f>
        <v>7</v>
      </c>
      <c r="X434" s="57">
        <f t="shared" si="87"/>
        <v>589</v>
      </c>
      <c r="Y434" s="56" t="e">
        <f t="shared" si="88"/>
        <v>#REF!</v>
      </c>
      <c r="Z434" s="55" t="e">
        <f t="shared" si="89"/>
        <v>#REF!</v>
      </c>
      <c r="AA434" s="54" t="e">
        <f t="shared" si="90"/>
        <v>#REF!</v>
      </c>
      <c r="AB434" s="54" t="e">
        <f t="shared" si="91"/>
        <v>#REF!</v>
      </c>
    </row>
    <row r="435" spans="2:28">
      <c r="B435" s="96" t="e">
        <f>'115+040'!#REF!</f>
        <v>#REF!</v>
      </c>
      <c r="C435" s="66" t="e">
        <f t="shared" si="83"/>
        <v>#REF!</v>
      </c>
      <c r="D435" s="65" t="e">
        <f t="shared" si="84"/>
        <v>#REF!</v>
      </c>
      <c r="E435" s="64" t="e">
        <f>VLOOKUP(B435,'115+040'!B433:AB433,3,FALSE)</f>
        <v>#REF!</v>
      </c>
      <c r="F435" s="61" t="e">
        <f t="shared" si="79"/>
        <v>#REF!</v>
      </c>
      <c r="G435" s="63" t="e">
        <f>VLOOKUP(B435,'115+040'!$B$12:$AB$621,20,FALSE)</f>
        <v>#REF!</v>
      </c>
      <c r="H435" s="63" t="e">
        <f>VLOOKUP(B435,'115+040'!$B$12:$AB$621,4,FALSE)</f>
        <v>#REF!</v>
      </c>
      <c r="I435" s="60" t="e">
        <f t="shared" si="80"/>
        <v>#REF!</v>
      </c>
      <c r="J435" s="60" t="e">
        <f>VLOOKUP(B435,'115+040'!$B$12:$AB$621,13,FALSE)</f>
        <v>#REF!</v>
      </c>
      <c r="K435" s="58">
        <f>'115+040'!R433</f>
        <v>3</v>
      </c>
      <c r="L435" s="57">
        <f t="shared" si="85"/>
        <v>1001</v>
      </c>
      <c r="M435" s="62" t="e">
        <f>VLOOKUP(B435,'115+040'!$B$11:$AB$621,21,FALSE)</f>
        <v>#REF!</v>
      </c>
      <c r="N435" s="61" t="e">
        <f>VLOOKUP(B435,'115+040'!$B$12:$AB$621,5,FALSE)</f>
        <v>#REF!</v>
      </c>
      <c r="O435" s="60" t="e">
        <f t="shared" si="81"/>
        <v>#REF!</v>
      </c>
      <c r="P435" s="60" t="e">
        <f>VLOOKUP(B435,'115+040'!$B$12:$AB$621,14,FALSE)</f>
        <v>#REF!</v>
      </c>
      <c r="Q435" s="58">
        <f>'115+040'!S433</f>
        <v>6</v>
      </c>
      <c r="R435" s="57">
        <f t="shared" si="86"/>
        <v>1157</v>
      </c>
      <c r="S435" s="62" t="e">
        <f>VLOOKUP(B435,'115+040'!$B$11:$AB$621,22,FALSE)</f>
        <v>#REF!</v>
      </c>
      <c r="T435" s="61" t="e">
        <f>VLOOKUP(B435,'115+040'!$B$12:$AB$621,6,FALSE)</f>
        <v>#REF!</v>
      </c>
      <c r="U435" s="60" t="e">
        <f t="shared" si="82"/>
        <v>#REF!</v>
      </c>
      <c r="V435" s="59" t="e">
        <f>VLOOKUP(B435,'115+040'!$B$12:$AB$621,15,FALSE)</f>
        <v>#REF!</v>
      </c>
      <c r="W435" s="58">
        <f>'[4]114+940'!S436</f>
        <v>9</v>
      </c>
      <c r="X435" s="57">
        <f t="shared" si="87"/>
        <v>598</v>
      </c>
      <c r="Y435" s="56" t="e">
        <f t="shared" si="88"/>
        <v>#REF!</v>
      </c>
      <c r="Z435" s="55" t="e">
        <f t="shared" si="89"/>
        <v>#REF!</v>
      </c>
      <c r="AA435" s="54" t="e">
        <f t="shared" si="90"/>
        <v>#REF!</v>
      </c>
      <c r="AB435" s="54" t="e">
        <f t="shared" si="91"/>
        <v>#REF!</v>
      </c>
    </row>
    <row r="436" spans="2:28">
      <c r="B436" s="96" t="e">
        <f>'115+040'!#REF!</f>
        <v>#REF!</v>
      </c>
      <c r="C436" s="66" t="e">
        <f t="shared" si="83"/>
        <v>#REF!</v>
      </c>
      <c r="D436" s="65" t="e">
        <f t="shared" si="84"/>
        <v>#REF!</v>
      </c>
      <c r="E436" s="64" t="e">
        <f>VLOOKUP(B436,'115+040'!B434:AB434,3,FALSE)</f>
        <v>#REF!</v>
      </c>
      <c r="F436" s="61" t="e">
        <f t="shared" si="79"/>
        <v>#REF!</v>
      </c>
      <c r="G436" s="63" t="e">
        <f>VLOOKUP(B436,'115+040'!$B$12:$AB$621,20,FALSE)</f>
        <v>#REF!</v>
      </c>
      <c r="H436" s="63" t="e">
        <f>VLOOKUP(B436,'115+040'!$B$12:$AB$621,4,FALSE)</f>
        <v>#REF!</v>
      </c>
      <c r="I436" s="60" t="e">
        <f t="shared" si="80"/>
        <v>#REF!</v>
      </c>
      <c r="J436" s="60" t="e">
        <f>VLOOKUP(B436,'115+040'!$B$12:$AB$621,13,FALSE)</f>
        <v>#REF!</v>
      </c>
      <c r="K436" s="58">
        <f>'115+040'!R434</f>
        <v>2</v>
      </c>
      <c r="L436" s="57">
        <f t="shared" si="85"/>
        <v>1003</v>
      </c>
      <c r="M436" s="62" t="e">
        <f>VLOOKUP(B436,'115+040'!$B$11:$AB$621,21,FALSE)</f>
        <v>#REF!</v>
      </c>
      <c r="N436" s="61" t="e">
        <f>VLOOKUP(B436,'115+040'!$B$12:$AB$621,5,FALSE)</f>
        <v>#REF!</v>
      </c>
      <c r="O436" s="60" t="e">
        <f t="shared" si="81"/>
        <v>#REF!</v>
      </c>
      <c r="P436" s="60" t="e">
        <f>VLOOKUP(B436,'115+040'!$B$12:$AB$621,14,FALSE)</f>
        <v>#REF!</v>
      </c>
      <c r="Q436" s="58">
        <f>'115+040'!S434</f>
        <v>6</v>
      </c>
      <c r="R436" s="57">
        <f t="shared" si="86"/>
        <v>1163</v>
      </c>
      <c r="S436" s="62" t="e">
        <f>VLOOKUP(B436,'115+040'!$B$11:$AB$621,22,FALSE)</f>
        <v>#REF!</v>
      </c>
      <c r="T436" s="61" t="e">
        <f>VLOOKUP(B436,'115+040'!$B$12:$AB$621,6,FALSE)</f>
        <v>#REF!</v>
      </c>
      <c r="U436" s="60" t="e">
        <f t="shared" si="82"/>
        <v>#REF!</v>
      </c>
      <c r="V436" s="59" t="e">
        <f>VLOOKUP(B436,'115+040'!$B$12:$AB$621,15,FALSE)</f>
        <v>#REF!</v>
      </c>
      <c r="W436" s="58">
        <f>'[4]114+940'!S437</f>
        <v>8</v>
      </c>
      <c r="X436" s="57">
        <f t="shared" si="87"/>
        <v>606</v>
      </c>
      <c r="Y436" s="56" t="e">
        <f t="shared" si="88"/>
        <v>#REF!</v>
      </c>
      <c r="Z436" s="55" t="e">
        <f t="shared" si="89"/>
        <v>#REF!</v>
      </c>
      <c r="AA436" s="54" t="e">
        <f t="shared" si="90"/>
        <v>#REF!</v>
      </c>
      <c r="AB436" s="54" t="e">
        <f t="shared" si="91"/>
        <v>#REF!</v>
      </c>
    </row>
    <row r="437" spans="2:28">
      <c r="B437" s="96" t="e">
        <f>'115+040'!#REF!</f>
        <v>#REF!</v>
      </c>
      <c r="C437" s="66" t="e">
        <f t="shared" si="83"/>
        <v>#REF!</v>
      </c>
      <c r="D437" s="65" t="e">
        <f t="shared" si="84"/>
        <v>#REF!</v>
      </c>
      <c r="E437" s="64" t="e">
        <f>VLOOKUP(B437,'115+040'!B435:AB435,3,FALSE)</f>
        <v>#REF!</v>
      </c>
      <c r="F437" s="61" t="e">
        <f t="shared" si="79"/>
        <v>#REF!</v>
      </c>
      <c r="G437" s="63" t="e">
        <f>VLOOKUP(B437,'115+040'!$B$12:$AB$621,20,FALSE)</f>
        <v>#REF!</v>
      </c>
      <c r="H437" s="63" t="e">
        <f>VLOOKUP(B437,'115+040'!$B$12:$AB$621,4,FALSE)</f>
        <v>#REF!</v>
      </c>
      <c r="I437" s="60" t="e">
        <f t="shared" si="80"/>
        <v>#REF!</v>
      </c>
      <c r="J437" s="60" t="e">
        <f>VLOOKUP(B437,'115+040'!$B$12:$AB$621,13,FALSE)</f>
        <v>#REF!</v>
      </c>
      <c r="K437" s="58">
        <f>'115+040'!R435</f>
        <v>3</v>
      </c>
      <c r="L437" s="57">
        <f t="shared" si="85"/>
        <v>1006</v>
      </c>
      <c r="M437" s="62" t="e">
        <f>VLOOKUP(B437,'115+040'!$B$11:$AB$621,21,FALSE)</f>
        <v>#REF!</v>
      </c>
      <c r="N437" s="61" t="e">
        <f>VLOOKUP(B437,'115+040'!$B$12:$AB$621,5,FALSE)</f>
        <v>#REF!</v>
      </c>
      <c r="O437" s="60" t="e">
        <f t="shared" si="81"/>
        <v>#REF!</v>
      </c>
      <c r="P437" s="60" t="e">
        <f>VLOOKUP(B437,'115+040'!$B$12:$AB$621,14,FALSE)</f>
        <v>#REF!</v>
      </c>
      <c r="Q437" s="58">
        <f>'115+040'!S435</f>
        <v>6</v>
      </c>
      <c r="R437" s="57">
        <f t="shared" si="86"/>
        <v>1169</v>
      </c>
      <c r="S437" s="62" t="e">
        <f>VLOOKUP(B437,'115+040'!$B$11:$AB$621,22,FALSE)</f>
        <v>#REF!</v>
      </c>
      <c r="T437" s="61" t="e">
        <f>VLOOKUP(B437,'115+040'!$B$12:$AB$621,6,FALSE)</f>
        <v>#REF!</v>
      </c>
      <c r="U437" s="60" t="e">
        <f t="shared" si="82"/>
        <v>#REF!</v>
      </c>
      <c r="V437" s="59" t="e">
        <f>VLOOKUP(B437,'115+040'!$B$12:$AB$621,15,FALSE)</f>
        <v>#REF!</v>
      </c>
      <c r="W437" s="58">
        <f>'[4]114+940'!S438</f>
        <v>8</v>
      </c>
      <c r="X437" s="57">
        <f t="shared" si="87"/>
        <v>614</v>
      </c>
      <c r="Y437" s="56" t="e">
        <f t="shared" si="88"/>
        <v>#REF!</v>
      </c>
      <c r="Z437" s="55" t="e">
        <f t="shared" si="89"/>
        <v>#REF!</v>
      </c>
      <c r="AA437" s="54" t="e">
        <f t="shared" si="90"/>
        <v>#REF!</v>
      </c>
      <c r="AB437" s="54" t="e">
        <f t="shared" si="91"/>
        <v>#REF!</v>
      </c>
    </row>
    <row r="438" spans="2:28">
      <c r="B438" s="96" t="e">
        <f>'115+040'!#REF!</f>
        <v>#REF!</v>
      </c>
      <c r="C438" s="66" t="e">
        <f t="shared" si="83"/>
        <v>#REF!</v>
      </c>
      <c r="D438" s="65" t="e">
        <f t="shared" si="84"/>
        <v>#REF!</v>
      </c>
      <c r="E438" s="64" t="e">
        <f>VLOOKUP(B438,'115+040'!B436:AB436,3,FALSE)</f>
        <v>#REF!</v>
      </c>
      <c r="F438" s="61" t="e">
        <f t="shared" si="79"/>
        <v>#REF!</v>
      </c>
      <c r="G438" s="63" t="e">
        <f>VLOOKUP(B438,'115+040'!$B$12:$AB$621,20,FALSE)</f>
        <v>#REF!</v>
      </c>
      <c r="H438" s="63" t="e">
        <f>VLOOKUP(B438,'115+040'!$B$12:$AB$621,4,FALSE)</f>
        <v>#REF!</v>
      </c>
      <c r="I438" s="60" t="e">
        <f t="shared" si="80"/>
        <v>#REF!</v>
      </c>
      <c r="J438" s="60" t="e">
        <f>VLOOKUP(B438,'115+040'!$B$12:$AB$621,13,FALSE)</f>
        <v>#REF!</v>
      </c>
      <c r="K438" s="58">
        <f>'115+040'!R436</f>
        <v>3</v>
      </c>
      <c r="L438" s="57">
        <f t="shared" si="85"/>
        <v>1009</v>
      </c>
      <c r="M438" s="62" t="e">
        <f>VLOOKUP(B438,'115+040'!$B$11:$AB$621,21,FALSE)</f>
        <v>#REF!</v>
      </c>
      <c r="N438" s="61" t="e">
        <f>VLOOKUP(B438,'115+040'!$B$12:$AB$621,5,FALSE)</f>
        <v>#REF!</v>
      </c>
      <c r="O438" s="60" t="e">
        <f t="shared" si="81"/>
        <v>#REF!</v>
      </c>
      <c r="P438" s="60" t="e">
        <f>VLOOKUP(B438,'115+040'!$B$12:$AB$621,14,FALSE)</f>
        <v>#REF!</v>
      </c>
      <c r="Q438" s="58">
        <f>'115+040'!S436</f>
        <v>6</v>
      </c>
      <c r="R438" s="57">
        <f t="shared" si="86"/>
        <v>1175</v>
      </c>
      <c r="S438" s="62" t="e">
        <f>VLOOKUP(B438,'115+040'!$B$11:$AB$621,22,FALSE)</f>
        <v>#REF!</v>
      </c>
      <c r="T438" s="61" t="e">
        <f>VLOOKUP(B438,'115+040'!$B$12:$AB$621,6,FALSE)</f>
        <v>#REF!</v>
      </c>
      <c r="U438" s="60" t="e">
        <f t="shared" si="82"/>
        <v>#REF!</v>
      </c>
      <c r="V438" s="59" t="e">
        <f>VLOOKUP(B438,'115+040'!$B$12:$AB$621,15,FALSE)</f>
        <v>#REF!</v>
      </c>
      <c r="W438" s="58">
        <f>'[4]114+940'!S439</f>
        <v>7</v>
      </c>
      <c r="X438" s="57">
        <f t="shared" si="87"/>
        <v>621</v>
      </c>
      <c r="Y438" s="56" t="e">
        <f t="shared" si="88"/>
        <v>#REF!</v>
      </c>
      <c r="Z438" s="55" t="e">
        <f t="shared" si="89"/>
        <v>#REF!</v>
      </c>
      <c r="AA438" s="54" t="e">
        <f t="shared" si="90"/>
        <v>#REF!</v>
      </c>
      <c r="AB438" s="54" t="e">
        <f t="shared" si="91"/>
        <v>#REF!</v>
      </c>
    </row>
    <row r="439" spans="2:28">
      <c r="B439" s="96" t="e">
        <f>'115+040'!#REF!</f>
        <v>#REF!</v>
      </c>
      <c r="C439" s="66" t="e">
        <f t="shared" si="83"/>
        <v>#REF!</v>
      </c>
      <c r="D439" s="65" t="e">
        <f t="shared" si="84"/>
        <v>#REF!</v>
      </c>
      <c r="E439" s="64" t="e">
        <f>VLOOKUP(B439,'115+040'!B437:AB437,3,FALSE)</f>
        <v>#REF!</v>
      </c>
      <c r="F439" s="61" t="e">
        <f t="shared" si="79"/>
        <v>#REF!</v>
      </c>
      <c r="G439" s="63" t="e">
        <f>VLOOKUP(B439,'115+040'!$B$12:$AB$621,20,FALSE)</f>
        <v>#REF!</v>
      </c>
      <c r="H439" s="63" t="e">
        <f>VLOOKUP(B439,'115+040'!$B$12:$AB$621,4,FALSE)</f>
        <v>#REF!</v>
      </c>
      <c r="I439" s="60" t="e">
        <f t="shared" si="80"/>
        <v>#REF!</v>
      </c>
      <c r="J439" s="60" t="e">
        <f>VLOOKUP(B439,'115+040'!$B$12:$AB$621,13,FALSE)</f>
        <v>#REF!</v>
      </c>
      <c r="K439" s="58">
        <f>'115+040'!R437</f>
        <v>2</v>
      </c>
      <c r="L439" s="57">
        <f t="shared" si="85"/>
        <v>1011</v>
      </c>
      <c r="M439" s="62" t="e">
        <f>VLOOKUP(B439,'115+040'!$B$11:$AB$621,21,FALSE)</f>
        <v>#REF!</v>
      </c>
      <c r="N439" s="61" t="e">
        <f>VLOOKUP(B439,'115+040'!$B$12:$AB$621,5,FALSE)</f>
        <v>#REF!</v>
      </c>
      <c r="O439" s="60" t="e">
        <f t="shared" si="81"/>
        <v>#REF!</v>
      </c>
      <c r="P439" s="60" t="e">
        <f>VLOOKUP(B439,'115+040'!$B$12:$AB$621,14,FALSE)</f>
        <v>#REF!</v>
      </c>
      <c r="Q439" s="58">
        <f>'115+040'!S437</f>
        <v>6</v>
      </c>
      <c r="R439" s="57">
        <f t="shared" si="86"/>
        <v>1181</v>
      </c>
      <c r="S439" s="62" t="e">
        <f>VLOOKUP(B439,'115+040'!$B$11:$AB$621,22,FALSE)</f>
        <v>#REF!</v>
      </c>
      <c r="T439" s="61" t="e">
        <f>VLOOKUP(B439,'115+040'!$B$12:$AB$621,6,FALSE)</f>
        <v>#REF!</v>
      </c>
      <c r="U439" s="60" t="e">
        <f t="shared" si="82"/>
        <v>#REF!</v>
      </c>
      <c r="V439" s="59" t="e">
        <f>VLOOKUP(B439,'115+040'!$B$12:$AB$621,15,FALSE)</f>
        <v>#REF!</v>
      </c>
      <c r="W439" s="58">
        <f>'[4]114+940'!S440</f>
        <v>6</v>
      </c>
      <c r="X439" s="57">
        <f t="shared" si="87"/>
        <v>627</v>
      </c>
      <c r="Y439" s="56" t="e">
        <f t="shared" si="88"/>
        <v>#REF!</v>
      </c>
      <c r="Z439" s="55" t="e">
        <f t="shared" si="89"/>
        <v>#REF!</v>
      </c>
      <c r="AA439" s="54" t="e">
        <f t="shared" si="90"/>
        <v>#REF!</v>
      </c>
      <c r="AB439" s="54" t="e">
        <f t="shared" si="91"/>
        <v>#REF!</v>
      </c>
    </row>
    <row r="440" spans="2:28">
      <c r="B440" s="96" t="e">
        <f>'115+040'!#REF!</f>
        <v>#REF!</v>
      </c>
      <c r="C440" s="66" t="e">
        <f t="shared" si="83"/>
        <v>#REF!</v>
      </c>
      <c r="D440" s="65" t="e">
        <f t="shared" si="84"/>
        <v>#REF!</v>
      </c>
      <c r="E440" s="64" t="e">
        <f>VLOOKUP(B440,'115+040'!B438:AB438,3,FALSE)</f>
        <v>#REF!</v>
      </c>
      <c r="F440" s="61" t="e">
        <f t="shared" si="79"/>
        <v>#REF!</v>
      </c>
      <c r="G440" s="63" t="e">
        <f>VLOOKUP(B440,'115+040'!$B$12:$AB$621,20,FALSE)</f>
        <v>#REF!</v>
      </c>
      <c r="H440" s="63" t="e">
        <f>VLOOKUP(B440,'115+040'!$B$12:$AB$621,4,FALSE)</f>
        <v>#REF!</v>
      </c>
      <c r="I440" s="60" t="e">
        <f t="shared" si="80"/>
        <v>#REF!</v>
      </c>
      <c r="J440" s="60" t="e">
        <f>VLOOKUP(B440,'115+040'!$B$12:$AB$621,13,FALSE)</f>
        <v>#REF!</v>
      </c>
      <c r="K440" s="58">
        <f>'115+040'!R438</f>
        <v>1</v>
      </c>
      <c r="L440" s="57">
        <f t="shared" si="85"/>
        <v>1012</v>
      </c>
      <c r="M440" s="62" t="e">
        <f>VLOOKUP(B440,'115+040'!$B$11:$AB$621,21,FALSE)</f>
        <v>#REF!</v>
      </c>
      <c r="N440" s="61" t="e">
        <f>VLOOKUP(B440,'115+040'!$B$12:$AB$621,5,FALSE)</f>
        <v>#REF!</v>
      </c>
      <c r="O440" s="60" t="e">
        <f t="shared" si="81"/>
        <v>#REF!</v>
      </c>
      <c r="P440" s="60" t="e">
        <f>VLOOKUP(B440,'115+040'!$B$12:$AB$621,14,FALSE)</f>
        <v>#REF!</v>
      </c>
      <c r="Q440" s="58">
        <f>'115+040'!S438</f>
        <v>5</v>
      </c>
      <c r="R440" s="57">
        <f t="shared" si="86"/>
        <v>1186</v>
      </c>
      <c r="S440" s="62" t="e">
        <f>VLOOKUP(B440,'115+040'!$B$11:$AB$621,22,FALSE)</f>
        <v>#REF!</v>
      </c>
      <c r="T440" s="61" t="e">
        <f>VLOOKUP(B440,'115+040'!$B$12:$AB$621,6,FALSE)</f>
        <v>#REF!</v>
      </c>
      <c r="U440" s="60" t="e">
        <f t="shared" si="82"/>
        <v>#REF!</v>
      </c>
      <c r="V440" s="59" t="e">
        <f>VLOOKUP(B440,'115+040'!$B$12:$AB$621,15,FALSE)</f>
        <v>#REF!</v>
      </c>
      <c r="W440" s="58">
        <f>'[4]114+940'!S441</f>
        <v>8</v>
      </c>
      <c r="X440" s="57">
        <f t="shared" si="87"/>
        <v>635</v>
      </c>
      <c r="Y440" s="56" t="e">
        <f t="shared" si="88"/>
        <v>#REF!</v>
      </c>
      <c r="Z440" s="55" t="e">
        <f t="shared" si="89"/>
        <v>#REF!</v>
      </c>
      <c r="AA440" s="54" t="e">
        <f t="shared" si="90"/>
        <v>#REF!</v>
      </c>
      <c r="AB440" s="54" t="e">
        <f t="shared" si="91"/>
        <v>#REF!</v>
      </c>
    </row>
    <row r="441" spans="2:28">
      <c r="B441" s="96" t="e">
        <f>'115+040'!#REF!</f>
        <v>#REF!</v>
      </c>
      <c r="C441" s="66" t="e">
        <f t="shared" si="83"/>
        <v>#REF!</v>
      </c>
      <c r="D441" s="65" t="e">
        <f t="shared" si="84"/>
        <v>#REF!</v>
      </c>
      <c r="E441" s="64" t="e">
        <f>VLOOKUP(B441,'115+040'!B439:AB439,3,FALSE)</f>
        <v>#REF!</v>
      </c>
      <c r="F441" s="61" t="e">
        <f t="shared" si="79"/>
        <v>#REF!</v>
      </c>
      <c r="G441" s="63" t="e">
        <f>VLOOKUP(B441,'115+040'!$B$12:$AB$621,20,FALSE)</f>
        <v>#REF!</v>
      </c>
      <c r="H441" s="63" t="e">
        <f>VLOOKUP(B441,'115+040'!$B$12:$AB$621,4,FALSE)</f>
        <v>#REF!</v>
      </c>
      <c r="I441" s="60" t="e">
        <f t="shared" si="80"/>
        <v>#REF!</v>
      </c>
      <c r="J441" s="60" t="e">
        <f>VLOOKUP(B441,'115+040'!$B$12:$AB$621,13,FALSE)</f>
        <v>#REF!</v>
      </c>
      <c r="K441" s="58">
        <f>'115+040'!R439</f>
        <v>3</v>
      </c>
      <c r="L441" s="57">
        <f t="shared" si="85"/>
        <v>1015</v>
      </c>
      <c r="M441" s="62" t="e">
        <f>VLOOKUP(B441,'115+040'!$B$11:$AB$621,21,FALSE)</f>
        <v>#REF!</v>
      </c>
      <c r="N441" s="61" t="e">
        <f>VLOOKUP(B441,'115+040'!$B$12:$AB$621,5,FALSE)</f>
        <v>#REF!</v>
      </c>
      <c r="O441" s="60" t="e">
        <f t="shared" si="81"/>
        <v>#REF!</v>
      </c>
      <c r="P441" s="60" t="e">
        <f>VLOOKUP(B441,'115+040'!$B$12:$AB$621,14,FALSE)</f>
        <v>#REF!</v>
      </c>
      <c r="Q441" s="58">
        <f>'115+040'!S439</f>
        <v>5</v>
      </c>
      <c r="R441" s="57">
        <f t="shared" si="86"/>
        <v>1191</v>
      </c>
      <c r="S441" s="62" t="e">
        <f>VLOOKUP(B441,'115+040'!$B$11:$AB$621,22,FALSE)</f>
        <v>#REF!</v>
      </c>
      <c r="T441" s="61" t="e">
        <f>VLOOKUP(B441,'115+040'!$B$12:$AB$621,6,FALSE)</f>
        <v>#REF!</v>
      </c>
      <c r="U441" s="60" t="e">
        <f t="shared" si="82"/>
        <v>#REF!</v>
      </c>
      <c r="V441" s="59" t="e">
        <f>VLOOKUP(B441,'115+040'!$B$12:$AB$621,15,FALSE)</f>
        <v>#REF!</v>
      </c>
      <c r="W441" s="58">
        <f>'[4]114+940'!S442</f>
        <v>7</v>
      </c>
      <c r="X441" s="57">
        <f t="shared" si="87"/>
        <v>642</v>
      </c>
      <c r="Y441" s="56" t="e">
        <f t="shared" si="88"/>
        <v>#REF!</v>
      </c>
      <c r="Z441" s="55" t="e">
        <f t="shared" si="89"/>
        <v>#REF!</v>
      </c>
      <c r="AA441" s="54" t="e">
        <f t="shared" si="90"/>
        <v>#REF!</v>
      </c>
      <c r="AB441" s="54" t="e">
        <f t="shared" si="91"/>
        <v>#REF!</v>
      </c>
    </row>
    <row r="442" spans="2:28">
      <c r="B442" s="96" t="e">
        <f>'115+040'!#REF!</f>
        <v>#REF!</v>
      </c>
      <c r="C442" s="66" t="e">
        <f t="shared" si="83"/>
        <v>#REF!</v>
      </c>
      <c r="D442" s="65" t="e">
        <f t="shared" si="84"/>
        <v>#REF!</v>
      </c>
      <c r="E442" s="64" t="e">
        <f>VLOOKUP(B442,'115+040'!B440:AB440,3,FALSE)</f>
        <v>#REF!</v>
      </c>
      <c r="F442" s="61" t="e">
        <f t="shared" si="79"/>
        <v>#REF!</v>
      </c>
      <c r="G442" s="63" t="e">
        <f>VLOOKUP(B442,'115+040'!$B$12:$AB$621,20,FALSE)</f>
        <v>#REF!</v>
      </c>
      <c r="H442" s="63" t="e">
        <f>VLOOKUP(B442,'115+040'!$B$12:$AB$621,4,FALSE)</f>
        <v>#REF!</v>
      </c>
      <c r="I442" s="60" t="e">
        <f t="shared" si="80"/>
        <v>#REF!</v>
      </c>
      <c r="J442" s="60" t="e">
        <f>VLOOKUP(B442,'115+040'!$B$12:$AB$621,13,FALSE)</f>
        <v>#REF!</v>
      </c>
      <c r="K442" s="58">
        <f>'115+040'!R440</f>
        <v>4</v>
      </c>
      <c r="L442" s="57">
        <f t="shared" si="85"/>
        <v>1019</v>
      </c>
      <c r="M442" s="62" t="e">
        <f>VLOOKUP(B442,'115+040'!$B$11:$AB$621,21,FALSE)</f>
        <v>#REF!</v>
      </c>
      <c r="N442" s="61" t="e">
        <f>VLOOKUP(B442,'115+040'!$B$12:$AB$621,5,FALSE)</f>
        <v>#REF!</v>
      </c>
      <c r="O442" s="60" t="e">
        <f t="shared" si="81"/>
        <v>#REF!</v>
      </c>
      <c r="P442" s="60" t="e">
        <f>VLOOKUP(B442,'115+040'!$B$12:$AB$621,14,FALSE)</f>
        <v>#REF!</v>
      </c>
      <c r="Q442" s="58">
        <f>'115+040'!S440</f>
        <v>5</v>
      </c>
      <c r="R442" s="57">
        <f t="shared" si="86"/>
        <v>1196</v>
      </c>
      <c r="S442" s="62" t="e">
        <f>VLOOKUP(B442,'115+040'!$B$11:$AB$621,22,FALSE)</f>
        <v>#REF!</v>
      </c>
      <c r="T442" s="61" t="e">
        <f>VLOOKUP(B442,'115+040'!$B$12:$AB$621,6,FALSE)</f>
        <v>#REF!</v>
      </c>
      <c r="U442" s="60" t="e">
        <f t="shared" si="82"/>
        <v>#REF!</v>
      </c>
      <c r="V442" s="59" t="e">
        <f>VLOOKUP(B442,'115+040'!$B$12:$AB$621,15,FALSE)</f>
        <v>#REF!</v>
      </c>
      <c r="W442" s="58">
        <f>'[4]114+940'!S443</f>
        <v>9</v>
      </c>
      <c r="X442" s="57">
        <f t="shared" si="87"/>
        <v>651</v>
      </c>
      <c r="Y442" s="56" t="e">
        <f t="shared" si="88"/>
        <v>#REF!</v>
      </c>
      <c r="Z442" s="55" t="e">
        <f t="shared" si="89"/>
        <v>#REF!</v>
      </c>
      <c r="AA442" s="54" t="e">
        <f t="shared" si="90"/>
        <v>#REF!</v>
      </c>
      <c r="AB442" s="54" t="e">
        <f t="shared" si="91"/>
        <v>#REF!</v>
      </c>
    </row>
    <row r="443" spans="2:28">
      <c r="B443" s="96" t="e">
        <f>'115+040'!#REF!</f>
        <v>#REF!</v>
      </c>
      <c r="C443" s="66" t="e">
        <f t="shared" si="83"/>
        <v>#REF!</v>
      </c>
      <c r="D443" s="65" t="e">
        <f t="shared" si="84"/>
        <v>#REF!</v>
      </c>
      <c r="E443" s="64" t="e">
        <f>VLOOKUP(B443,'115+040'!B441:AB441,3,FALSE)</f>
        <v>#REF!</v>
      </c>
      <c r="F443" s="61" t="e">
        <f t="shared" si="79"/>
        <v>#REF!</v>
      </c>
      <c r="G443" s="63" t="e">
        <f>VLOOKUP(B443,'115+040'!$B$12:$AB$621,20,FALSE)</f>
        <v>#REF!</v>
      </c>
      <c r="H443" s="63" t="e">
        <f>VLOOKUP(B443,'115+040'!$B$12:$AB$621,4,FALSE)</f>
        <v>#REF!</v>
      </c>
      <c r="I443" s="60" t="e">
        <f t="shared" si="80"/>
        <v>#REF!</v>
      </c>
      <c r="J443" s="60" t="e">
        <f>VLOOKUP(B443,'115+040'!$B$12:$AB$621,13,FALSE)</f>
        <v>#REF!</v>
      </c>
      <c r="K443" s="58">
        <f>'115+040'!R441</f>
        <v>3</v>
      </c>
      <c r="L443" s="57">
        <f t="shared" si="85"/>
        <v>1022</v>
      </c>
      <c r="M443" s="62" t="e">
        <f>VLOOKUP(B443,'115+040'!$B$11:$AB$621,21,FALSE)</f>
        <v>#REF!</v>
      </c>
      <c r="N443" s="61" t="e">
        <f>VLOOKUP(B443,'115+040'!$B$12:$AB$621,5,FALSE)</f>
        <v>#REF!</v>
      </c>
      <c r="O443" s="60" t="e">
        <f t="shared" si="81"/>
        <v>#REF!</v>
      </c>
      <c r="P443" s="60" t="e">
        <f>VLOOKUP(B443,'115+040'!$B$12:$AB$621,14,FALSE)</f>
        <v>#REF!</v>
      </c>
      <c r="Q443" s="58">
        <f>'115+040'!S441</f>
        <v>4</v>
      </c>
      <c r="R443" s="57">
        <f t="shared" si="86"/>
        <v>1200</v>
      </c>
      <c r="S443" s="62" t="e">
        <f>VLOOKUP(B443,'115+040'!$B$11:$AB$621,22,FALSE)</f>
        <v>#REF!</v>
      </c>
      <c r="T443" s="61" t="e">
        <f>VLOOKUP(B443,'115+040'!$B$12:$AB$621,6,FALSE)</f>
        <v>#REF!</v>
      </c>
      <c r="U443" s="60" t="e">
        <f t="shared" si="82"/>
        <v>#REF!</v>
      </c>
      <c r="V443" s="59" t="e">
        <f>VLOOKUP(B443,'115+040'!$B$12:$AB$621,15,FALSE)</f>
        <v>#REF!</v>
      </c>
      <c r="W443" s="58">
        <f>'[4]114+940'!S444</f>
        <v>8</v>
      </c>
      <c r="X443" s="57">
        <f t="shared" si="87"/>
        <v>659</v>
      </c>
      <c r="Y443" s="56" t="e">
        <f t="shared" si="88"/>
        <v>#REF!</v>
      </c>
      <c r="Z443" s="55" t="e">
        <f t="shared" si="89"/>
        <v>#REF!</v>
      </c>
      <c r="AA443" s="54" t="e">
        <f t="shared" si="90"/>
        <v>#REF!</v>
      </c>
      <c r="AB443" s="54" t="e">
        <f t="shared" si="91"/>
        <v>#REF!</v>
      </c>
    </row>
    <row r="444" spans="2:28">
      <c r="B444" s="96" t="e">
        <f>'115+040'!#REF!</f>
        <v>#REF!</v>
      </c>
      <c r="C444" s="66" t="e">
        <f t="shared" si="83"/>
        <v>#REF!</v>
      </c>
      <c r="D444" s="65" t="e">
        <f t="shared" si="84"/>
        <v>#REF!</v>
      </c>
      <c r="E444" s="64" t="e">
        <f>VLOOKUP(B444,'115+040'!B442:AB442,3,FALSE)</f>
        <v>#REF!</v>
      </c>
      <c r="F444" s="61" t="e">
        <f t="shared" si="79"/>
        <v>#REF!</v>
      </c>
      <c r="G444" s="63" t="e">
        <f>VLOOKUP(B444,'115+040'!$B$12:$AB$621,20,FALSE)</f>
        <v>#REF!</v>
      </c>
      <c r="H444" s="63" t="e">
        <f>VLOOKUP(B444,'115+040'!$B$12:$AB$621,4,FALSE)</f>
        <v>#REF!</v>
      </c>
      <c r="I444" s="60" t="e">
        <f t="shared" si="80"/>
        <v>#REF!</v>
      </c>
      <c r="J444" s="60" t="e">
        <f>VLOOKUP(B444,'115+040'!$B$12:$AB$621,13,FALSE)</f>
        <v>#REF!</v>
      </c>
      <c r="K444" s="58">
        <f>'115+040'!R442</f>
        <v>2</v>
      </c>
      <c r="L444" s="57">
        <f t="shared" si="85"/>
        <v>1024</v>
      </c>
      <c r="M444" s="62" t="e">
        <f>VLOOKUP(B444,'115+040'!$B$11:$AB$621,21,FALSE)</f>
        <v>#REF!</v>
      </c>
      <c r="N444" s="61" t="e">
        <f>VLOOKUP(B444,'115+040'!$B$12:$AB$621,5,FALSE)</f>
        <v>#REF!</v>
      </c>
      <c r="O444" s="60" t="e">
        <f t="shared" si="81"/>
        <v>#REF!</v>
      </c>
      <c r="P444" s="60" t="e">
        <f>VLOOKUP(B444,'115+040'!$B$12:$AB$621,14,FALSE)</f>
        <v>#REF!</v>
      </c>
      <c r="Q444" s="58">
        <f>'115+040'!S442</f>
        <v>4</v>
      </c>
      <c r="R444" s="57">
        <f t="shared" si="86"/>
        <v>1204</v>
      </c>
      <c r="S444" s="62" t="e">
        <f>VLOOKUP(B444,'115+040'!$B$11:$AB$621,22,FALSE)</f>
        <v>#REF!</v>
      </c>
      <c r="T444" s="61" t="e">
        <f>VLOOKUP(B444,'115+040'!$B$12:$AB$621,6,FALSE)</f>
        <v>#REF!</v>
      </c>
      <c r="U444" s="60" t="e">
        <f t="shared" si="82"/>
        <v>#REF!</v>
      </c>
      <c r="V444" s="59" t="e">
        <f>VLOOKUP(B444,'115+040'!$B$12:$AB$621,15,FALSE)</f>
        <v>#REF!</v>
      </c>
      <c r="W444" s="58">
        <f>'[4]114+940'!S445</f>
        <v>8</v>
      </c>
      <c r="X444" s="57">
        <f t="shared" si="87"/>
        <v>667</v>
      </c>
      <c r="Y444" s="56" t="e">
        <f t="shared" si="88"/>
        <v>#REF!</v>
      </c>
      <c r="Z444" s="55" t="e">
        <f t="shared" si="89"/>
        <v>#REF!</v>
      </c>
      <c r="AA444" s="54" t="e">
        <f t="shared" si="90"/>
        <v>#REF!</v>
      </c>
      <c r="AB444" s="54" t="e">
        <f t="shared" si="91"/>
        <v>#REF!</v>
      </c>
    </row>
    <row r="445" spans="2:28">
      <c r="B445" s="96" t="e">
        <f>'115+040'!#REF!</f>
        <v>#REF!</v>
      </c>
      <c r="C445" s="66" t="e">
        <f t="shared" si="83"/>
        <v>#REF!</v>
      </c>
      <c r="D445" s="65" t="e">
        <f t="shared" si="84"/>
        <v>#REF!</v>
      </c>
      <c r="E445" s="64" t="e">
        <f>VLOOKUP(B445,'115+040'!B443:AB443,3,FALSE)</f>
        <v>#REF!</v>
      </c>
      <c r="F445" s="61" t="e">
        <f t="shared" si="79"/>
        <v>#REF!</v>
      </c>
      <c r="G445" s="63" t="e">
        <f>VLOOKUP(B445,'115+040'!$B$12:$AB$621,20,FALSE)</f>
        <v>#REF!</v>
      </c>
      <c r="H445" s="63" t="e">
        <f>VLOOKUP(B445,'115+040'!$B$12:$AB$621,4,FALSE)</f>
        <v>#REF!</v>
      </c>
      <c r="I445" s="60" t="e">
        <f t="shared" si="80"/>
        <v>#REF!</v>
      </c>
      <c r="J445" s="60" t="e">
        <f>VLOOKUP(B445,'115+040'!$B$12:$AB$621,13,FALSE)</f>
        <v>#REF!</v>
      </c>
      <c r="K445" s="58">
        <f>'115+040'!R443</f>
        <v>1</v>
      </c>
      <c r="L445" s="57">
        <f t="shared" si="85"/>
        <v>1025</v>
      </c>
      <c r="M445" s="62" t="e">
        <f>VLOOKUP(B445,'115+040'!$B$11:$AB$621,21,FALSE)</f>
        <v>#REF!</v>
      </c>
      <c r="N445" s="61" t="e">
        <f>VLOOKUP(B445,'115+040'!$B$12:$AB$621,5,FALSE)</f>
        <v>#REF!</v>
      </c>
      <c r="O445" s="60" t="e">
        <f t="shared" si="81"/>
        <v>#REF!</v>
      </c>
      <c r="P445" s="60" t="e">
        <f>VLOOKUP(B445,'115+040'!$B$12:$AB$621,14,FALSE)</f>
        <v>#REF!</v>
      </c>
      <c r="Q445" s="58">
        <f>'115+040'!S443</f>
        <v>3</v>
      </c>
      <c r="R445" s="57">
        <f t="shared" si="86"/>
        <v>1207</v>
      </c>
      <c r="S445" s="62" t="e">
        <f>VLOOKUP(B445,'115+040'!$B$11:$AB$621,22,FALSE)</f>
        <v>#REF!</v>
      </c>
      <c r="T445" s="61" t="e">
        <f>VLOOKUP(B445,'115+040'!$B$12:$AB$621,6,FALSE)</f>
        <v>#REF!</v>
      </c>
      <c r="U445" s="60" t="e">
        <f t="shared" si="82"/>
        <v>#REF!</v>
      </c>
      <c r="V445" s="59" t="e">
        <f>VLOOKUP(B445,'115+040'!$B$12:$AB$621,15,FALSE)</f>
        <v>#REF!</v>
      </c>
      <c r="W445" s="58">
        <f>'[4]114+940'!S446</f>
        <v>9</v>
      </c>
      <c r="X445" s="57">
        <f t="shared" si="87"/>
        <v>676</v>
      </c>
      <c r="Y445" s="56" t="e">
        <f t="shared" si="88"/>
        <v>#REF!</v>
      </c>
      <c r="Z445" s="55" t="e">
        <f t="shared" si="89"/>
        <v>#REF!</v>
      </c>
      <c r="AA445" s="54" t="e">
        <f t="shared" si="90"/>
        <v>#REF!</v>
      </c>
      <c r="AB445" s="54" t="e">
        <f t="shared" si="91"/>
        <v>#REF!</v>
      </c>
    </row>
    <row r="446" spans="2:28">
      <c r="B446" s="96" t="e">
        <f>'115+040'!#REF!</f>
        <v>#REF!</v>
      </c>
      <c r="C446" s="66" t="e">
        <f t="shared" si="83"/>
        <v>#REF!</v>
      </c>
      <c r="D446" s="65" t="e">
        <f t="shared" si="84"/>
        <v>#REF!</v>
      </c>
      <c r="E446" s="64" t="e">
        <f>VLOOKUP(B446,'115+040'!B444:AB444,3,FALSE)</f>
        <v>#REF!</v>
      </c>
      <c r="F446" s="61" t="e">
        <f t="shared" si="79"/>
        <v>#REF!</v>
      </c>
      <c r="G446" s="63" t="e">
        <f>VLOOKUP(B446,'115+040'!$B$12:$AB$621,20,FALSE)</f>
        <v>#REF!</v>
      </c>
      <c r="H446" s="63" t="e">
        <f>VLOOKUP(B446,'115+040'!$B$12:$AB$621,4,FALSE)</f>
        <v>#REF!</v>
      </c>
      <c r="I446" s="60" t="e">
        <f t="shared" si="80"/>
        <v>#REF!</v>
      </c>
      <c r="J446" s="60" t="e">
        <f>VLOOKUP(B446,'115+040'!$B$12:$AB$621,13,FALSE)</f>
        <v>#REF!</v>
      </c>
      <c r="K446" s="58">
        <f>'115+040'!R444</f>
        <v>0</v>
      </c>
      <c r="L446" s="57">
        <f t="shared" si="85"/>
        <v>1025</v>
      </c>
      <c r="M446" s="62" t="e">
        <f>VLOOKUP(B446,'115+040'!$B$11:$AB$621,21,FALSE)</f>
        <v>#REF!</v>
      </c>
      <c r="N446" s="61" t="e">
        <f>VLOOKUP(B446,'115+040'!$B$12:$AB$621,5,FALSE)</f>
        <v>#REF!</v>
      </c>
      <c r="O446" s="60" t="e">
        <f t="shared" si="81"/>
        <v>#REF!</v>
      </c>
      <c r="P446" s="60" t="e">
        <f>VLOOKUP(B446,'115+040'!$B$12:$AB$621,14,FALSE)</f>
        <v>#REF!</v>
      </c>
      <c r="Q446" s="58">
        <f>'115+040'!S444</f>
        <v>2</v>
      </c>
      <c r="R446" s="57">
        <f t="shared" si="86"/>
        <v>1209</v>
      </c>
      <c r="S446" s="62" t="e">
        <f>VLOOKUP(B446,'115+040'!$B$11:$AB$621,22,FALSE)</f>
        <v>#REF!</v>
      </c>
      <c r="T446" s="61" t="e">
        <f>VLOOKUP(B446,'115+040'!$B$12:$AB$621,6,FALSE)</f>
        <v>#REF!</v>
      </c>
      <c r="U446" s="60" t="e">
        <f t="shared" si="82"/>
        <v>#REF!</v>
      </c>
      <c r="V446" s="59" t="e">
        <f>VLOOKUP(B446,'115+040'!$B$12:$AB$621,15,FALSE)</f>
        <v>#REF!</v>
      </c>
      <c r="W446" s="58">
        <f>'[4]114+940'!S447</f>
        <v>9</v>
      </c>
      <c r="X446" s="57">
        <f t="shared" si="87"/>
        <v>685</v>
      </c>
      <c r="Y446" s="56" t="e">
        <f t="shared" si="88"/>
        <v>#REF!</v>
      </c>
      <c r="Z446" s="55" t="e">
        <f t="shared" si="89"/>
        <v>#REF!</v>
      </c>
      <c r="AA446" s="54" t="e">
        <f t="shared" si="90"/>
        <v>#REF!</v>
      </c>
      <c r="AB446" s="54" t="e">
        <f t="shared" si="91"/>
        <v>#REF!</v>
      </c>
    </row>
    <row r="447" spans="2:28">
      <c r="B447" s="96" t="e">
        <f>'115+040'!#REF!</f>
        <v>#REF!</v>
      </c>
      <c r="C447" s="66" t="e">
        <f t="shared" si="83"/>
        <v>#REF!</v>
      </c>
      <c r="D447" s="65" t="e">
        <f t="shared" si="84"/>
        <v>#REF!</v>
      </c>
      <c r="E447" s="64" t="e">
        <f>VLOOKUP(B447,'115+040'!B445:AB445,3,FALSE)</f>
        <v>#REF!</v>
      </c>
      <c r="F447" s="61" t="e">
        <f t="shared" si="79"/>
        <v>#REF!</v>
      </c>
      <c r="G447" s="63" t="e">
        <f>VLOOKUP(B447,'115+040'!$B$12:$AB$621,20,FALSE)</f>
        <v>#REF!</v>
      </c>
      <c r="H447" s="63" t="e">
        <f>VLOOKUP(B447,'115+040'!$B$12:$AB$621,4,FALSE)</f>
        <v>#REF!</v>
      </c>
      <c r="I447" s="60" t="e">
        <f t="shared" si="80"/>
        <v>#REF!</v>
      </c>
      <c r="J447" s="60" t="e">
        <f>VLOOKUP(B447,'115+040'!$B$12:$AB$621,13,FALSE)</f>
        <v>#REF!</v>
      </c>
      <c r="K447" s="58">
        <f>'115+040'!R445</f>
        <v>0</v>
      </c>
      <c r="L447" s="57">
        <f t="shared" si="85"/>
        <v>1025</v>
      </c>
      <c r="M447" s="62" t="e">
        <f>VLOOKUP(B447,'115+040'!$B$11:$AB$621,21,FALSE)</f>
        <v>#REF!</v>
      </c>
      <c r="N447" s="61" t="e">
        <f>VLOOKUP(B447,'115+040'!$B$12:$AB$621,5,FALSE)</f>
        <v>#REF!</v>
      </c>
      <c r="O447" s="60" t="e">
        <f t="shared" si="81"/>
        <v>#REF!</v>
      </c>
      <c r="P447" s="60" t="e">
        <f>VLOOKUP(B447,'115+040'!$B$12:$AB$621,14,FALSE)</f>
        <v>#REF!</v>
      </c>
      <c r="Q447" s="58">
        <f>'115+040'!S445</f>
        <v>0</v>
      </c>
      <c r="R447" s="57">
        <f t="shared" si="86"/>
        <v>1209</v>
      </c>
      <c r="S447" s="62" t="e">
        <f>VLOOKUP(B447,'115+040'!$B$11:$AB$621,22,FALSE)</f>
        <v>#REF!</v>
      </c>
      <c r="T447" s="61" t="e">
        <f>VLOOKUP(B447,'115+040'!$B$12:$AB$621,6,FALSE)</f>
        <v>#REF!</v>
      </c>
      <c r="U447" s="60" t="e">
        <f t="shared" si="82"/>
        <v>#REF!</v>
      </c>
      <c r="V447" s="59" t="e">
        <f>VLOOKUP(B447,'115+040'!$B$12:$AB$621,15,FALSE)</f>
        <v>#REF!</v>
      </c>
      <c r="W447" s="58">
        <f>'[4]114+940'!S448</f>
        <v>8</v>
      </c>
      <c r="X447" s="57">
        <f t="shared" si="87"/>
        <v>693</v>
      </c>
      <c r="Y447" s="56" t="e">
        <f t="shared" si="88"/>
        <v>#REF!</v>
      </c>
      <c r="Z447" s="55" t="e">
        <f t="shared" si="89"/>
        <v>#REF!</v>
      </c>
      <c r="AA447" s="54" t="e">
        <f t="shared" si="90"/>
        <v>#REF!</v>
      </c>
      <c r="AB447" s="54" t="e">
        <f t="shared" si="91"/>
        <v>#REF!</v>
      </c>
    </row>
    <row r="448" spans="2:28">
      <c r="B448" s="96" t="e">
        <f>'115+040'!#REF!</f>
        <v>#REF!</v>
      </c>
      <c r="C448" s="66" t="e">
        <f t="shared" si="83"/>
        <v>#REF!</v>
      </c>
      <c r="D448" s="65" t="e">
        <f t="shared" si="84"/>
        <v>#REF!</v>
      </c>
      <c r="E448" s="64" t="e">
        <f>VLOOKUP(B448,'115+040'!B446:AB446,3,FALSE)</f>
        <v>#REF!</v>
      </c>
      <c r="F448" s="61" t="e">
        <f t="shared" si="79"/>
        <v>#REF!</v>
      </c>
      <c r="G448" s="63" t="e">
        <f>VLOOKUP(B448,'115+040'!$B$12:$AB$621,20,FALSE)</f>
        <v>#REF!</v>
      </c>
      <c r="H448" s="63" t="e">
        <f>VLOOKUP(B448,'115+040'!$B$12:$AB$621,4,FALSE)</f>
        <v>#REF!</v>
      </c>
      <c r="I448" s="60" t="e">
        <f t="shared" si="80"/>
        <v>#REF!</v>
      </c>
      <c r="J448" s="60" t="e">
        <f>VLOOKUP(B448,'115+040'!$B$12:$AB$621,13,FALSE)</f>
        <v>#REF!</v>
      </c>
      <c r="K448" s="58">
        <f>'115+040'!R446</f>
        <v>2</v>
      </c>
      <c r="L448" s="57">
        <f t="shared" si="85"/>
        <v>1027</v>
      </c>
      <c r="M448" s="62" t="e">
        <f>VLOOKUP(B448,'115+040'!$B$11:$AB$621,21,FALSE)</f>
        <v>#REF!</v>
      </c>
      <c r="N448" s="61" t="e">
        <f>VLOOKUP(B448,'115+040'!$B$12:$AB$621,5,FALSE)</f>
        <v>#REF!</v>
      </c>
      <c r="O448" s="60" t="e">
        <f t="shared" si="81"/>
        <v>#REF!</v>
      </c>
      <c r="P448" s="60" t="e">
        <f>VLOOKUP(B448,'115+040'!$B$12:$AB$621,14,FALSE)</f>
        <v>#REF!</v>
      </c>
      <c r="Q448" s="58">
        <f>'115+040'!S446</f>
        <v>0</v>
      </c>
      <c r="R448" s="57">
        <f t="shared" si="86"/>
        <v>1209</v>
      </c>
      <c r="S448" s="62" t="e">
        <f>VLOOKUP(B448,'115+040'!$B$11:$AB$621,22,FALSE)</f>
        <v>#REF!</v>
      </c>
      <c r="T448" s="61" t="e">
        <f>VLOOKUP(B448,'115+040'!$B$12:$AB$621,6,FALSE)</f>
        <v>#REF!</v>
      </c>
      <c r="U448" s="60" t="e">
        <f t="shared" si="82"/>
        <v>#REF!</v>
      </c>
      <c r="V448" s="59" t="e">
        <f>VLOOKUP(B448,'115+040'!$B$12:$AB$621,15,FALSE)</f>
        <v>#REF!</v>
      </c>
      <c r="W448" s="58">
        <f>'[4]114+940'!S449</f>
        <v>9</v>
      </c>
      <c r="X448" s="57">
        <f t="shared" si="87"/>
        <v>702</v>
      </c>
      <c r="Y448" s="56" t="e">
        <f t="shared" si="88"/>
        <v>#REF!</v>
      </c>
      <c r="Z448" s="55" t="e">
        <f t="shared" si="89"/>
        <v>#REF!</v>
      </c>
      <c r="AA448" s="54" t="e">
        <f t="shared" si="90"/>
        <v>#REF!</v>
      </c>
      <c r="AB448" s="54" t="e">
        <f t="shared" si="91"/>
        <v>#REF!</v>
      </c>
    </row>
    <row r="449" spans="2:28">
      <c r="B449" s="96" t="e">
        <f>'115+040'!#REF!</f>
        <v>#REF!</v>
      </c>
      <c r="C449" s="66" t="e">
        <f t="shared" si="83"/>
        <v>#REF!</v>
      </c>
      <c r="D449" s="65" t="e">
        <f t="shared" si="84"/>
        <v>#REF!</v>
      </c>
      <c r="E449" s="64" t="e">
        <f>VLOOKUP(B449,'115+040'!B447:AB447,3,FALSE)</f>
        <v>#REF!</v>
      </c>
      <c r="F449" s="61" t="e">
        <f t="shared" si="79"/>
        <v>#REF!</v>
      </c>
      <c r="G449" s="63" t="e">
        <f>VLOOKUP(B449,'115+040'!$B$12:$AB$621,20,FALSE)</f>
        <v>#REF!</v>
      </c>
      <c r="H449" s="63" t="e">
        <f>VLOOKUP(B449,'115+040'!$B$12:$AB$621,4,FALSE)</f>
        <v>#REF!</v>
      </c>
      <c r="I449" s="60" t="e">
        <f t="shared" si="80"/>
        <v>#REF!</v>
      </c>
      <c r="J449" s="60" t="e">
        <f>VLOOKUP(B449,'115+040'!$B$12:$AB$621,13,FALSE)</f>
        <v>#REF!</v>
      </c>
      <c r="K449" s="58">
        <f>'115+040'!R447</f>
        <v>0</v>
      </c>
      <c r="L449" s="57">
        <f t="shared" si="85"/>
        <v>1027</v>
      </c>
      <c r="M449" s="62" t="e">
        <f>VLOOKUP(B449,'115+040'!$B$11:$AB$621,21,FALSE)</f>
        <v>#REF!</v>
      </c>
      <c r="N449" s="61" t="e">
        <f>VLOOKUP(B449,'115+040'!$B$12:$AB$621,5,FALSE)</f>
        <v>#REF!</v>
      </c>
      <c r="O449" s="60" t="e">
        <f t="shared" si="81"/>
        <v>#REF!</v>
      </c>
      <c r="P449" s="60" t="e">
        <f>VLOOKUP(B449,'115+040'!$B$12:$AB$621,14,FALSE)</f>
        <v>#REF!</v>
      </c>
      <c r="Q449" s="58">
        <f>'115+040'!S447</f>
        <v>1</v>
      </c>
      <c r="R449" s="57">
        <f t="shared" si="86"/>
        <v>1210</v>
      </c>
      <c r="S449" s="62" t="e">
        <f>VLOOKUP(B449,'115+040'!$B$11:$AB$621,22,FALSE)</f>
        <v>#REF!</v>
      </c>
      <c r="T449" s="61" t="e">
        <f>VLOOKUP(B449,'115+040'!$B$12:$AB$621,6,FALSE)</f>
        <v>#REF!</v>
      </c>
      <c r="U449" s="60" t="e">
        <f t="shared" si="82"/>
        <v>#REF!</v>
      </c>
      <c r="V449" s="59" t="e">
        <f>VLOOKUP(B449,'115+040'!$B$12:$AB$621,15,FALSE)</f>
        <v>#REF!</v>
      </c>
      <c r="W449" s="58">
        <f>'[4]114+940'!S450</f>
        <v>8</v>
      </c>
      <c r="X449" s="57">
        <f t="shared" si="87"/>
        <v>710</v>
      </c>
      <c r="Y449" s="56" t="e">
        <f t="shared" si="88"/>
        <v>#REF!</v>
      </c>
      <c r="Z449" s="55" t="e">
        <f t="shared" si="89"/>
        <v>#REF!</v>
      </c>
      <c r="AA449" s="54" t="e">
        <f t="shared" si="90"/>
        <v>#REF!</v>
      </c>
      <c r="AB449" s="54" t="e">
        <f t="shared" si="91"/>
        <v>#REF!</v>
      </c>
    </row>
    <row r="450" spans="2:28">
      <c r="B450" s="96" t="e">
        <f>'115+040'!#REF!</f>
        <v>#REF!</v>
      </c>
      <c r="C450" s="66" t="e">
        <f t="shared" si="83"/>
        <v>#REF!</v>
      </c>
      <c r="D450" s="65" t="e">
        <f t="shared" si="84"/>
        <v>#REF!</v>
      </c>
      <c r="E450" s="64" t="e">
        <f>VLOOKUP(B450,'115+040'!B448:AB448,3,FALSE)</f>
        <v>#REF!</v>
      </c>
      <c r="F450" s="61" t="e">
        <f t="shared" si="79"/>
        <v>#REF!</v>
      </c>
      <c r="G450" s="63" t="e">
        <f>VLOOKUP(B450,'115+040'!$B$12:$AB$621,20,FALSE)</f>
        <v>#REF!</v>
      </c>
      <c r="H450" s="63" t="e">
        <f>VLOOKUP(B450,'115+040'!$B$12:$AB$621,4,FALSE)</f>
        <v>#REF!</v>
      </c>
      <c r="I450" s="60" t="e">
        <f t="shared" si="80"/>
        <v>#REF!</v>
      </c>
      <c r="J450" s="60" t="e">
        <f>VLOOKUP(B450,'115+040'!$B$12:$AB$621,13,FALSE)</f>
        <v>#REF!</v>
      </c>
      <c r="K450" s="58">
        <f>'115+040'!R448</f>
        <v>0</v>
      </c>
      <c r="L450" s="57">
        <f t="shared" si="85"/>
        <v>1027</v>
      </c>
      <c r="M450" s="62" t="e">
        <f>VLOOKUP(B450,'115+040'!$B$11:$AB$621,21,FALSE)</f>
        <v>#REF!</v>
      </c>
      <c r="N450" s="61" t="e">
        <f>VLOOKUP(B450,'115+040'!$B$12:$AB$621,5,FALSE)</f>
        <v>#REF!</v>
      </c>
      <c r="O450" s="60" t="e">
        <f t="shared" si="81"/>
        <v>#REF!</v>
      </c>
      <c r="P450" s="60" t="e">
        <f>VLOOKUP(B450,'115+040'!$B$12:$AB$621,14,FALSE)</f>
        <v>#REF!</v>
      </c>
      <c r="Q450" s="58">
        <f>'115+040'!S448</f>
        <v>0</v>
      </c>
      <c r="R450" s="57">
        <f t="shared" si="86"/>
        <v>1210</v>
      </c>
      <c r="S450" s="62" t="e">
        <f>VLOOKUP(B450,'115+040'!$B$11:$AB$621,22,FALSE)</f>
        <v>#REF!</v>
      </c>
      <c r="T450" s="61" t="e">
        <f>VLOOKUP(B450,'115+040'!$B$12:$AB$621,6,FALSE)</f>
        <v>#REF!</v>
      </c>
      <c r="U450" s="60" t="e">
        <f t="shared" si="82"/>
        <v>#REF!</v>
      </c>
      <c r="V450" s="59" t="e">
        <f>VLOOKUP(B450,'115+040'!$B$12:$AB$621,15,FALSE)</f>
        <v>#REF!</v>
      </c>
      <c r="W450" s="58">
        <f>'[4]114+940'!S451</f>
        <v>7</v>
      </c>
      <c r="X450" s="57">
        <f t="shared" si="87"/>
        <v>717</v>
      </c>
      <c r="Y450" s="56" t="e">
        <f t="shared" si="88"/>
        <v>#REF!</v>
      </c>
      <c r="Z450" s="55" t="e">
        <f t="shared" si="89"/>
        <v>#REF!</v>
      </c>
      <c r="AA450" s="54" t="e">
        <f t="shared" si="90"/>
        <v>#REF!</v>
      </c>
      <c r="AB450" s="54" t="e">
        <f t="shared" si="91"/>
        <v>#REF!</v>
      </c>
    </row>
    <row r="451" spans="2:28">
      <c r="B451" s="96" t="e">
        <f>'115+040'!#REF!</f>
        <v>#REF!</v>
      </c>
      <c r="C451" s="66" t="e">
        <f t="shared" si="83"/>
        <v>#REF!</v>
      </c>
      <c r="D451" s="65" t="e">
        <f t="shared" si="84"/>
        <v>#REF!</v>
      </c>
      <c r="E451" s="64" t="e">
        <f>VLOOKUP(B451,'115+040'!B449:AB449,3,FALSE)</f>
        <v>#REF!</v>
      </c>
      <c r="F451" s="61" t="e">
        <f t="shared" si="79"/>
        <v>#REF!</v>
      </c>
      <c r="G451" s="63" t="e">
        <f>VLOOKUP(B451,'115+040'!$B$12:$AB$621,20,FALSE)</f>
        <v>#REF!</v>
      </c>
      <c r="H451" s="63" t="e">
        <f>VLOOKUP(B451,'115+040'!$B$12:$AB$621,4,FALSE)</f>
        <v>#REF!</v>
      </c>
      <c r="I451" s="60" t="e">
        <f t="shared" si="80"/>
        <v>#REF!</v>
      </c>
      <c r="J451" s="60" t="e">
        <f>VLOOKUP(B451,'115+040'!$B$12:$AB$621,13,FALSE)</f>
        <v>#REF!</v>
      </c>
      <c r="K451" s="58">
        <f>'115+040'!R449</f>
        <v>0</v>
      </c>
      <c r="L451" s="57">
        <f t="shared" si="85"/>
        <v>1027</v>
      </c>
      <c r="M451" s="62" t="e">
        <f>VLOOKUP(B451,'115+040'!$B$11:$AB$621,21,FALSE)</f>
        <v>#REF!</v>
      </c>
      <c r="N451" s="61" t="e">
        <f>VLOOKUP(B451,'115+040'!$B$12:$AB$621,5,FALSE)</f>
        <v>#REF!</v>
      </c>
      <c r="O451" s="60" t="e">
        <f t="shared" si="81"/>
        <v>#REF!</v>
      </c>
      <c r="P451" s="60" t="e">
        <f>VLOOKUP(B451,'115+040'!$B$12:$AB$621,14,FALSE)</f>
        <v>#REF!</v>
      </c>
      <c r="Q451" s="58">
        <f>'115+040'!S449</f>
        <v>0</v>
      </c>
      <c r="R451" s="57">
        <f t="shared" si="86"/>
        <v>1210</v>
      </c>
      <c r="S451" s="62" t="e">
        <f>VLOOKUP(B451,'115+040'!$B$11:$AB$621,22,FALSE)</f>
        <v>#REF!</v>
      </c>
      <c r="T451" s="61" t="e">
        <f>VLOOKUP(B451,'115+040'!$B$12:$AB$621,6,FALSE)</f>
        <v>#REF!</v>
      </c>
      <c r="U451" s="60" t="e">
        <f t="shared" si="82"/>
        <v>#REF!</v>
      </c>
      <c r="V451" s="59" t="e">
        <f>VLOOKUP(B451,'115+040'!$B$12:$AB$621,15,FALSE)</f>
        <v>#REF!</v>
      </c>
      <c r="W451" s="58">
        <f>'[4]114+940'!S452</f>
        <v>6</v>
      </c>
      <c r="X451" s="57">
        <f t="shared" si="87"/>
        <v>723</v>
      </c>
      <c r="Y451" s="56" t="e">
        <f t="shared" si="88"/>
        <v>#REF!</v>
      </c>
      <c r="Z451" s="55" t="e">
        <f t="shared" si="89"/>
        <v>#REF!</v>
      </c>
      <c r="AA451" s="54" t="e">
        <f t="shared" si="90"/>
        <v>#REF!</v>
      </c>
      <c r="AB451" s="54" t="e">
        <f t="shared" si="91"/>
        <v>#REF!</v>
      </c>
    </row>
    <row r="452" spans="2:28">
      <c r="B452" s="96" t="e">
        <f>'115+040'!#REF!</f>
        <v>#REF!</v>
      </c>
      <c r="C452" s="66" t="e">
        <f t="shared" si="83"/>
        <v>#REF!</v>
      </c>
      <c r="D452" s="65" t="e">
        <f t="shared" si="84"/>
        <v>#REF!</v>
      </c>
      <c r="E452" s="64" t="e">
        <f>VLOOKUP(B452,'115+040'!B450:AB450,3,FALSE)</f>
        <v>#REF!</v>
      </c>
      <c r="F452" s="61" t="e">
        <f t="shared" si="79"/>
        <v>#REF!</v>
      </c>
      <c r="G452" s="63" t="e">
        <f>VLOOKUP(B452,'115+040'!$B$12:$AB$621,20,FALSE)</f>
        <v>#REF!</v>
      </c>
      <c r="H452" s="63" t="e">
        <f>VLOOKUP(B452,'115+040'!$B$12:$AB$621,4,FALSE)</f>
        <v>#REF!</v>
      </c>
      <c r="I452" s="60" t="e">
        <f t="shared" si="80"/>
        <v>#REF!</v>
      </c>
      <c r="J452" s="60" t="e">
        <f>VLOOKUP(B452,'115+040'!$B$12:$AB$621,13,FALSE)</f>
        <v>#REF!</v>
      </c>
      <c r="K452" s="58">
        <f>'115+040'!R450</f>
        <v>2</v>
      </c>
      <c r="L452" s="57">
        <f t="shared" si="85"/>
        <v>1029</v>
      </c>
      <c r="M452" s="62" t="e">
        <f>VLOOKUP(B452,'115+040'!$B$11:$AB$621,21,FALSE)</f>
        <v>#REF!</v>
      </c>
      <c r="N452" s="61" t="e">
        <f>VLOOKUP(B452,'115+040'!$B$12:$AB$621,5,FALSE)</f>
        <v>#REF!</v>
      </c>
      <c r="O452" s="60" t="e">
        <f t="shared" si="81"/>
        <v>#REF!</v>
      </c>
      <c r="P452" s="60" t="e">
        <f>VLOOKUP(B452,'115+040'!$B$12:$AB$621,14,FALSE)</f>
        <v>#REF!</v>
      </c>
      <c r="Q452" s="58">
        <f>'115+040'!S450</f>
        <v>0</v>
      </c>
      <c r="R452" s="57">
        <f t="shared" si="86"/>
        <v>1210</v>
      </c>
      <c r="S452" s="62" t="e">
        <f>VLOOKUP(B452,'115+040'!$B$11:$AB$621,22,FALSE)</f>
        <v>#REF!</v>
      </c>
      <c r="T452" s="61" t="e">
        <f>VLOOKUP(B452,'115+040'!$B$12:$AB$621,6,FALSE)</f>
        <v>#REF!</v>
      </c>
      <c r="U452" s="60" t="e">
        <f t="shared" si="82"/>
        <v>#REF!</v>
      </c>
      <c r="V452" s="59" t="e">
        <f>VLOOKUP(B452,'115+040'!$B$12:$AB$621,15,FALSE)</f>
        <v>#REF!</v>
      </c>
      <c r="W452" s="58">
        <f>'[4]114+940'!S453</f>
        <v>1</v>
      </c>
      <c r="X452" s="57">
        <f t="shared" si="87"/>
        <v>724</v>
      </c>
      <c r="Y452" s="56" t="e">
        <f t="shared" si="88"/>
        <v>#REF!</v>
      </c>
      <c r="Z452" s="55" t="e">
        <f t="shared" si="89"/>
        <v>#REF!</v>
      </c>
      <c r="AA452" s="54" t="e">
        <f t="shared" si="90"/>
        <v>#REF!</v>
      </c>
      <c r="AB452" s="54" t="e">
        <f t="shared" si="91"/>
        <v>#REF!</v>
      </c>
    </row>
    <row r="453" spans="2:28">
      <c r="B453" s="96" t="e">
        <f>'115+040'!#REF!</f>
        <v>#REF!</v>
      </c>
      <c r="C453" s="66" t="e">
        <f t="shared" si="83"/>
        <v>#REF!</v>
      </c>
      <c r="D453" s="65" t="e">
        <f t="shared" si="84"/>
        <v>#REF!</v>
      </c>
      <c r="E453" s="64" t="e">
        <f>VLOOKUP(B453,'115+040'!B451:AB451,3,FALSE)</f>
        <v>#REF!</v>
      </c>
      <c r="F453" s="61" t="e">
        <f t="shared" si="79"/>
        <v>#REF!</v>
      </c>
      <c r="G453" s="63" t="e">
        <f>VLOOKUP(B453,'115+040'!$B$12:$AB$621,20,FALSE)</f>
        <v>#REF!</v>
      </c>
      <c r="H453" s="63" t="e">
        <f>VLOOKUP(B453,'115+040'!$B$12:$AB$621,4,FALSE)</f>
        <v>#REF!</v>
      </c>
      <c r="I453" s="60" t="e">
        <f t="shared" si="80"/>
        <v>#REF!</v>
      </c>
      <c r="J453" s="60" t="e">
        <f>VLOOKUP(B453,'115+040'!$B$12:$AB$621,13,FALSE)</f>
        <v>#REF!</v>
      </c>
      <c r="K453" s="58">
        <f>'115+040'!R451</f>
        <v>0</v>
      </c>
      <c r="L453" s="57">
        <f t="shared" si="85"/>
        <v>1029</v>
      </c>
      <c r="M453" s="62" t="e">
        <f>VLOOKUP(B453,'115+040'!$B$11:$AB$621,21,FALSE)</f>
        <v>#REF!</v>
      </c>
      <c r="N453" s="61" t="e">
        <f>VLOOKUP(B453,'115+040'!$B$12:$AB$621,5,FALSE)</f>
        <v>#REF!</v>
      </c>
      <c r="O453" s="60" t="e">
        <f t="shared" si="81"/>
        <v>#REF!</v>
      </c>
      <c r="P453" s="60" t="e">
        <f>VLOOKUP(B453,'115+040'!$B$12:$AB$621,14,FALSE)</f>
        <v>#REF!</v>
      </c>
      <c r="Q453" s="58">
        <f>'115+040'!S451</f>
        <v>2</v>
      </c>
      <c r="R453" s="57">
        <f t="shared" si="86"/>
        <v>1212</v>
      </c>
      <c r="S453" s="62" t="e">
        <f>VLOOKUP(B453,'115+040'!$B$11:$AB$621,22,FALSE)</f>
        <v>#REF!</v>
      </c>
      <c r="T453" s="61" t="e">
        <f>VLOOKUP(B453,'115+040'!$B$12:$AB$621,6,FALSE)</f>
        <v>#REF!</v>
      </c>
      <c r="U453" s="60" t="e">
        <f t="shared" si="82"/>
        <v>#REF!</v>
      </c>
      <c r="V453" s="59" t="e">
        <f>VLOOKUP(B453,'115+040'!$B$12:$AB$621,15,FALSE)</f>
        <v>#REF!</v>
      </c>
      <c r="W453" s="58">
        <f>'[4]114+940'!S454</f>
        <v>3</v>
      </c>
      <c r="X453" s="57">
        <f t="shared" si="87"/>
        <v>727</v>
      </c>
      <c r="Y453" s="56" t="e">
        <f t="shared" si="88"/>
        <v>#REF!</v>
      </c>
      <c r="Z453" s="55" t="e">
        <f t="shared" si="89"/>
        <v>#REF!</v>
      </c>
      <c r="AA453" s="54" t="e">
        <f t="shared" si="90"/>
        <v>#REF!</v>
      </c>
      <c r="AB453" s="54" t="e">
        <f t="shared" si="91"/>
        <v>#REF!</v>
      </c>
    </row>
    <row r="454" spans="2:28">
      <c r="B454" s="96" t="e">
        <f>'115+040'!#REF!</f>
        <v>#REF!</v>
      </c>
      <c r="C454" s="66" t="e">
        <f t="shared" si="83"/>
        <v>#REF!</v>
      </c>
      <c r="D454" s="65" t="e">
        <f t="shared" si="84"/>
        <v>#REF!</v>
      </c>
      <c r="E454" s="64" t="e">
        <f>VLOOKUP(B454,'115+040'!B452:AB452,3,FALSE)</f>
        <v>#REF!</v>
      </c>
      <c r="F454" s="61" t="e">
        <f t="shared" si="79"/>
        <v>#REF!</v>
      </c>
      <c r="G454" s="63" t="e">
        <f>VLOOKUP(B454,'115+040'!$B$12:$AB$621,20,FALSE)</f>
        <v>#REF!</v>
      </c>
      <c r="H454" s="63" t="e">
        <f>VLOOKUP(B454,'115+040'!$B$12:$AB$621,4,FALSE)</f>
        <v>#REF!</v>
      </c>
      <c r="I454" s="60" t="e">
        <f t="shared" si="80"/>
        <v>#REF!</v>
      </c>
      <c r="J454" s="60" t="e">
        <f>VLOOKUP(B454,'115+040'!$B$12:$AB$621,13,FALSE)</f>
        <v>#REF!</v>
      </c>
      <c r="K454" s="58">
        <f>'115+040'!R452</f>
        <v>0</v>
      </c>
      <c r="L454" s="57">
        <f t="shared" si="85"/>
        <v>1029</v>
      </c>
      <c r="M454" s="62" t="e">
        <f>VLOOKUP(B454,'115+040'!$B$11:$AB$621,21,FALSE)</f>
        <v>#REF!</v>
      </c>
      <c r="N454" s="61" t="e">
        <f>VLOOKUP(B454,'115+040'!$B$12:$AB$621,5,FALSE)</f>
        <v>#REF!</v>
      </c>
      <c r="O454" s="60" t="e">
        <f t="shared" si="81"/>
        <v>#REF!</v>
      </c>
      <c r="P454" s="60" t="e">
        <f>VLOOKUP(B454,'115+040'!$B$12:$AB$621,14,FALSE)</f>
        <v>#REF!</v>
      </c>
      <c r="Q454" s="58">
        <f>'115+040'!S452</f>
        <v>0</v>
      </c>
      <c r="R454" s="57">
        <f t="shared" si="86"/>
        <v>1212</v>
      </c>
      <c r="S454" s="62" t="e">
        <f>VLOOKUP(B454,'115+040'!$B$11:$AB$621,22,FALSE)</f>
        <v>#REF!</v>
      </c>
      <c r="T454" s="61" t="e">
        <f>VLOOKUP(B454,'115+040'!$B$12:$AB$621,6,FALSE)</f>
        <v>#REF!</v>
      </c>
      <c r="U454" s="60" t="e">
        <f t="shared" si="82"/>
        <v>#REF!</v>
      </c>
      <c r="V454" s="59" t="e">
        <f>VLOOKUP(B454,'115+040'!$B$12:$AB$621,15,FALSE)</f>
        <v>#REF!</v>
      </c>
      <c r="W454" s="58">
        <f>'[4]114+940'!S455</f>
        <v>1</v>
      </c>
      <c r="X454" s="57">
        <f t="shared" si="87"/>
        <v>728</v>
      </c>
      <c r="Y454" s="56" t="e">
        <f t="shared" si="88"/>
        <v>#REF!</v>
      </c>
      <c r="Z454" s="55" t="e">
        <f t="shared" si="89"/>
        <v>#REF!</v>
      </c>
      <c r="AA454" s="54" t="e">
        <f t="shared" si="90"/>
        <v>#REF!</v>
      </c>
      <c r="AB454" s="54" t="e">
        <f t="shared" si="91"/>
        <v>#REF!</v>
      </c>
    </row>
    <row r="455" spans="2:28">
      <c r="B455" s="96" t="e">
        <f>'115+040'!#REF!</f>
        <v>#REF!</v>
      </c>
      <c r="C455" s="66" t="e">
        <f t="shared" si="83"/>
        <v>#REF!</v>
      </c>
      <c r="D455" s="65" t="e">
        <f t="shared" si="84"/>
        <v>#REF!</v>
      </c>
      <c r="E455" s="64" t="e">
        <f>VLOOKUP(B455,'115+040'!B453:AB453,3,FALSE)</f>
        <v>#REF!</v>
      </c>
      <c r="F455" s="61" t="e">
        <f t="shared" si="79"/>
        <v>#REF!</v>
      </c>
      <c r="G455" s="63" t="e">
        <f>VLOOKUP(B455,'115+040'!$B$12:$AB$621,20,FALSE)</f>
        <v>#REF!</v>
      </c>
      <c r="H455" s="63" t="e">
        <f>VLOOKUP(B455,'115+040'!$B$12:$AB$621,4,FALSE)</f>
        <v>#REF!</v>
      </c>
      <c r="I455" s="60" t="e">
        <f t="shared" si="80"/>
        <v>#REF!</v>
      </c>
      <c r="J455" s="60" t="e">
        <f>VLOOKUP(B455,'115+040'!$B$12:$AB$621,13,FALSE)</f>
        <v>#REF!</v>
      </c>
      <c r="K455" s="58">
        <f>'115+040'!R453</f>
        <v>0</v>
      </c>
      <c r="L455" s="57">
        <f t="shared" si="85"/>
        <v>1029</v>
      </c>
      <c r="M455" s="62" t="e">
        <f>VLOOKUP(B455,'115+040'!$B$11:$AB$621,21,FALSE)</f>
        <v>#REF!</v>
      </c>
      <c r="N455" s="61" t="e">
        <f>VLOOKUP(B455,'115+040'!$B$12:$AB$621,5,FALSE)</f>
        <v>#REF!</v>
      </c>
      <c r="O455" s="60" t="e">
        <f t="shared" si="81"/>
        <v>#REF!</v>
      </c>
      <c r="P455" s="60" t="e">
        <f>VLOOKUP(B455,'115+040'!$B$12:$AB$621,14,FALSE)</f>
        <v>#REF!</v>
      </c>
      <c r="Q455" s="58">
        <f>'115+040'!S453</f>
        <v>2</v>
      </c>
      <c r="R455" s="57">
        <f t="shared" si="86"/>
        <v>1214</v>
      </c>
      <c r="S455" s="62" t="e">
        <f>VLOOKUP(B455,'115+040'!$B$11:$AB$621,22,FALSE)</f>
        <v>#REF!</v>
      </c>
      <c r="T455" s="61" t="e">
        <f>VLOOKUP(B455,'115+040'!$B$12:$AB$621,6,FALSE)</f>
        <v>#REF!</v>
      </c>
      <c r="U455" s="60" t="e">
        <f t="shared" si="82"/>
        <v>#REF!</v>
      </c>
      <c r="V455" s="59" t="e">
        <f>VLOOKUP(B455,'115+040'!$B$12:$AB$621,15,FALSE)</f>
        <v>#REF!</v>
      </c>
      <c r="W455" s="58">
        <f>'[4]114+940'!S456</f>
        <v>2</v>
      </c>
      <c r="X455" s="57">
        <f t="shared" si="87"/>
        <v>730</v>
      </c>
      <c r="Y455" s="56" t="e">
        <f t="shared" si="88"/>
        <v>#REF!</v>
      </c>
      <c r="Z455" s="55" t="e">
        <f t="shared" si="89"/>
        <v>#REF!</v>
      </c>
      <c r="AA455" s="54" t="e">
        <f t="shared" si="90"/>
        <v>#REF!</v>
      </c>
      <c r="AB455" s="54" t="e">
        <f t="shared" si="91"/>
        <v>#REF!</v>
      </c>
    </row>
    <row r="456" spans="2:28">
      <c r="B456" s="96" t="e">
        <f>'115+040'!#REF!</f>
        <v>#REF!</v>
      </c>
      <c r="C456" s="66" t="e">
        <f t="shared" si="83"/>
        <v>#REF!</v>
      </c>
      <c r="D456" s="65" t="e">
        <f t="shared" si="84"/>
        <v>#REF!</v>
      </c>
      <c r="E456" s="64" t="e">
        <f>VLOOKUP(B456,'115+040'!B454:AB454,3,FALSE)</f>
        <v>#REF!</v>
      </c>
      <c r="F456" s="61" t="e">
        <f t="shared" si="79"/>
        <v>#REF!</v>
      </c>
      <c r="G456" s="63" t="e">
        <f>VLOOKUP(B456,'115+040'!$B$12:$AB$621,20,FALSE)</f>
        <v>#REF!</v>
      </c>
      <c r="H456" s="63" t="e">
        <f>VLOOKUP(B456,'115+040'!$B$12:$AB$621,4,FALSE)</f>
        <v>#REF!</v>
      </c>
      <c r="I456" s="60" t="e">
        <f t="shared" si="80"/>
        <v>#REF!</v>
      </c>
      <c r="J456" s="60" t="e">
        <f>VLOOKUP(B456,'115+040'!$B$12:$AB$621,13,FALSE)</f>
        <v>#REF!</v>
      </c>
      <c r="K456" s="58">
        <f>'115+040'!R454</f>
        <v>0</v>
      </c>
      <c r="L456" s="57">
        <f t="shared" si="85"/>
        <v>1029</v>
      </c>
      <c r="M456" s="62" t="e">
        <f>VLOOKUP(B456,'115+040'!$B$11:$AB$621,21,FALSE)</f>
        <v>#REF!</v>
      </c>
      <c r="N456" s="61" t="e">
        <f>VLOOKUP(B456,'115+040'!$B$12:$AB$621,5,FALSE)</f>
        <v>#REF!</v>
      </c>
      <c r="O456" s="60" t="e">
        <f t="shared" si="81"/>
        <v>#REF!</v>
      </c>
      <c r="P456" s="60" t="e">
        <f>VLOOKUP(B456,'115+040'!$B$12:$AB$621,14,FALSE)</f>
        <v>#REF!</v>
      </c>
      <c r="Q456" s="58">
        <f>'115+040'!S454</f>
        <v>1</v>
      </c>
      <c r="R456" s="57">
        <f t="shared" si="86"/>
        <v>1215</v>
      </c>
      <c r="S456" s="62" t="e">
        <f>VLOOKUP(B456,'115+040'!$B$11:$AB$621,22,FALSE)</f>
        <v>#REF!</v>
      </c>
      <c r="T456" s="61" t="e">
        <f>VLOOKUP(B456,'115+040'!$B$12:$AB$621,6,FALSE)</f>
        <v>#REF!</v>
      </c>
      <c r="U456" s="60" t="e">
        <f t="shared" si="82"/>
        <v>#REF!</v>
      </c>
      <c r="V456" s="59" t="e">
        <f>VLOOKUP(B456,'115+040'!$B$12:$AB$621,15,FALSE)</f>
        <v>#REF!</v>
      </c>
      <c r="W456" s="58">
        <f>'[4]114+940'!S457</f>
        <v>1</v>
      </c>
      <c r="X456" s="57">
        <f t="shared" si="87"/>
        <v>731</v>
      </c>
      <c r="Y456" s="56" t="e">
        <f t="shared" si="88"/>
        <v>#REF!</v>
      </c>
      <c r="Z456" s="55" t="e">
        <f t="shared" si="89"/>
        <v>#REF!</v>
      </c>
      <c r="AA456" s="54" t="e">
        <f t="shared" si="90"/>
        <v>#REF!</v>
      </c>
      <c r="AB456" s="54" t="e">
        <f t="shared" si="91"/>
        <v>#REF!</v>
      </c>
    </row>
    <row r="457" spans="2:28">
      <c r="B457" s="96" t="e">
        <f>'115+040'!#REF!</f>
        <v>#REF!</v>
      </c>
      <c r="C457" s="66" t="e">
        <f t="shared" si="83"/>
        <v>#REF!</v>
      </c>
      <c r="D457" s="65" t="e">
        <f t="shared" si="84"/>
        <v>#REF!</v>
      </c>
      <c r="E457" s="64" t="e">
        <f>VLOOKUP(B457,'115+040'!B455:AB455,3,FALSE)</f>
        <v>#REF!</v>
      </c>
      <c r="F457" s="61" t="e">
        <f t="shared" si="79"/>
        <v>#REF!</v>
      </c>
      <c r="G457" s="63" t="e">
        <f>VLOOKUP(B457,'115+040'!$B$12:$AB$621,20,FALSE)</f>
        <v>#REF!</v>
      </c>
      <c r="H457" s="63" t="e">
        <f>VLOOKUP(B457,'115+040'!$B$12:$AB$621,4,FALSE)</f>
        <v>#REF!</v>
      </c>
      <c r="I457" s="60" t="e">
        <f t="shared" si="80"/>
        <v>#REF!</v>
      </c>
      <c r="J457" s="60" t="e">
        <f>VLOOKUP(B457,'115+040'!$B$12:$AB$621,13,FALSE)</f>
        <v>#REF!</v>
      </c>
      <c r="K457" s="58">
        <f>'115+040'!R455</f>
        <v>1</v>
      </c>
      <c r="L457" s="57">
        <f t="shared" si="85"/>
        <v>1030</v>
      </c>
      <c r="M457" s="62" t="e">
        <f>VLOOKUP(B457,'115+040'!$B$11:$AB$621,21,FALSE)</f>
        <v>#REF!</v>
      </c>
      <c r="N457" s="61" t="e">
        <f>VLOOKUP(B457,'115+040'!$B$12:$AB$621,5,FALSE)</f>
        <v>#REF!</v>
      </c>
      <c r="O457" s="60" t="e">
        <f t="shared" si="81"/>
        <v>#REF!</v>
      </c>
      <c r="P457" s="60" t="e">
        <f>VLOOKUP(B457,'115+040'!$B$12:$AB$621,14,FALSE)</f>
        <v>#REF!</v>
      </c>
      <c r="Q457" s="58">
        <f>'115+040'!S455</f>
        <v>0</v>
      </c>
      <c r="R457" s="57">
        <f t="shared" si="86"/>
        <v>1215</v>
      </c>
      <c r="S457" s="62" t="e">
        <f>VLOOKUP(B457,'115+040'!$B$11:$AB$621,22,FALSE)</f>
        <v>#REF!</v>
      </c>
      <c r="T457" s="61" t="e">
        <f>VLOOKUP(B457,'115+040'!$B$12:$AB$621,6,FALSE)</f>
        <v>#REF!</v>
      </c>
      <c r="U457" s="60" t="e">
        <f t="shared" si="82"/>
        <v>#REF!</v>
      </c>
      <c r="V457" s="59" t="e">
        <f>VLOOKUP(B457,'115+040'!$B$12:$AB$621,15,FALSE)</f>
        <v>#REF!</v>
      </c>
      <c r="W457" s="58">
        <f>'[4]114+940'!S458</f>
        <v>2</v>
      </c>
      <c r="X457" s="57">
        <f t="shared" si="87"/>
        <v>733</v>
      </c>
      <c r="Y457" s="56" t="e">
        <f t="shared" si="88"/>
        <v>#REF!</v>
      </c>
      <c r="Z457" s="55" t="e">
        <f t="shared" si="89"/>
        <v>#REF!</v>
      </c>
      <c r="AA457" s="54" t="e">
        <f t="shared" si="90"/>
        <v>#REF!</v>
      </c>
      <c r="AB457" s="54" t="e">
        <f t="shared" si="91"/>
        <v>#REF!</v>
      </c>
    </row>
    <row r="458" spans="2:28">
      <c r="B458" s="96" t="e">
        <f>'115+040'!#REF!</f>
        <v>#REF!</v>
      </c>
      <c r="C458" s="66" t="e">
        <f t="shared" si="83"/>
        <v>#REF!</v>
      </c>
      <c r="D458" s="65" t="e">
        <f t="shared" si="84"/>
        <v>#REF!</v>
      </c>
      <c r="E458" s="64" t="e">
        <f>VLOOKUP(B458,'115+040'!B456:AB456,3,FALSE)</f>
        <v>#REF!</v>
      </c>
      <c r="F458" s="61" t="e">
        <f t="shared" si="79"/>
        <v>#REF!</v>
      </c>
      <c r="G458" s="63" t="e">
        <f>VLOOKUP(B458,'115+040'!$B$12:$AB$621,20,FALSE)</f>
        <v>#REF!</v>
      </c>
      <c r="H458" s="63" t="e">
        <f>VLOOKUP(B458,'115+040'!$B$12:$AB$621,4,FALSE)</f>
        <v>#REF!</v>
      </c>
      <c r="I458" s="60" t="e">
        <f t="shared" si="80"/>
        <v>#REF!</v>
      </c>
      <c r="J458" s="60" t="e">
        <f>VLOOKUP(B458,'115+040'!$B$12:$AB$621,13,FALSE)</f>
        <v>#REF!</v>
      </c>
      <c r="K458" s="58">
        <f>'115+040'!R456</f>
        <v>0</v>
      </c>
      <c r="L458" s="57">
        <f t="shared" si="85"/>
        <v>1030</v>
      </c>
      <c r="M458" s="62" t="e">
        <f>VLOOKUP(B458,'115+040'!$B$11:$AB$621,21,FALSE)</f>
        <v>#REF!</v>
      </c>
      <c r="N458" s="61" t="e">
        <f>VLOOKUP(B458,'115+040'!$B$12:$AB$621,5,FALSE)</f>
        <v>#REF!</v>
      </c>
      <c r="O458" s="60" t="e">
        <f t="shared" si="81"/>
        <v>#REF!</v>
      </c>
      <c r="P458" s="60" t="e">
        <f>VLOOKUP(B458,'115+040'!$B$12:$AB$621,14,FALSE)</f>
        <v>#REF!</v>
      </c>
      <c r="Q458" s="58">
        <f>'115+040'!S456</f>
        <v>0</v>
      </c>
      <c r="R458" s="57">
        <f t="shared" si="86"/>
        <v>1215</v>
      </c>
      <c r="S458" s="62" t="e">
        <f>VLOOKUP(B458,'115+040'!$B$11:$AB$621,22,FALSE)</f>
        <v>#REF!</v>
      </c>
      <c r="T458" s="61" t="e">
        <f>VLOOKUP(B458,'115+040'!$B$12:$AB$621,6,FALSE)</f>
        <v>#REF!</v>
      </c>
      <c r="U458" s="60" t="e">
        <f t="shared" si="82"/>
        <v>#REF!</v>
      </c>
      <c r="V458" s="59" t="e">
        <f>VLOOKUP(B458,'115+040'!$B$12:$AB$621,15,FALSE)</f>
        <v>#REF!</v>
      </c>
      <c r="W458" s="58">
        <f>'[4]114+940'!S459</f>
        <v>2</v>
      </c>
      <c r="X458" s="57">
        <f t="shared" si="87"/>
        <v>735</v>
      </c>
      <c r="Y458" s="56" t="e">
        <f t="shared" si="88"/>
        <v>#REF!</v>
      </c>
      <c r="Z458" s="55" t="e">
        <f t="shared" si="89"/>
        <v>#REF!</v>
      </c>
      <c r="AA458" s="54" t="e">
        <f t="shared" si="90"/>
        <v>#REF!</v>
      </c>
      <c r="AB458" s="54" t="e">
        <f t="shared" si="91"/>
        <v>#REF!</v>
      </c>
    </row>
    <row r="459" spans="2:28">
      <c r="B459" s="96" t="e">
        <f>'115+040'!#REF!</f>
        <v>#REF!</v>
      </c>
      <c r="C459" s="66" t="e">
        <f t="shared" si="83"/>
        <v>#REF!</v>
      </c>
      <c r="D459" s="65" t="e">
        <f t="shared" si="84"/>
        <v>#REF!</v>
      </c>
      <c r="E459" s="64" t="e">
        <f>VLOOKUP(B459,'115+040'!B457:AB457,3,FALSE)</f>
        <v>#REF!</v>
      </c>
      <c r="F459" s="61" t="e">
        <f t="shared" si="79"/>
        <v>#REF!</v>
      </c>
      <c r="G459" s="63" t="e">
        <f>VLOOKUP(B459,'115+040'!$B$12:$AB$621,20,FALSE)</f>
        <v>#REF!</v>
      </c>
      <c r="H459" s="63" t="e">
        <f>VLOOKUP(B459,'115+040'!$B$12:$AB$621,4,FALSE)</f>
        <v>#REF!</v>
      </c>
      <c r="I459" s="60" t="e">
        <f t="shared" si="80"/>
        <v>#REF!</v>
      </c>
      <c r="J459" s="60" t="e">
        <f>VLOOKUP(B459,'115+040'!$B$12:$AB$621,13,FALSE)</f>
        <v>#REF!</v>
      </c>
      <c r="K459" s="58">
        <f>'115+040'!R457</f>
        <v>0</v>
      </c>
      <c r="L459" s="57">
        <f t="shared" si="85"/>
        <v>1030</v>
      </c>
      <c r="M459" s="62" t="e">
        <f>VLOOKUP(B459,'115+040'!$B$11:$AB$621,21,FALSE)</f>
        <v>#REF!</v>
      </c>
      <c r="N459" s="61" t="e">
        <f>VLOOKUP(B459,'115+040'!$B$12:$AB$621,5,FALSE)</f>
        <v>#REF!</v>
      </c>
      <c r="O459" s="60" t="e">
        <f t="shared" si="81"/>
        <v>#REF!</v>
      </c>
      <c r="P459" s="60" t="e">
        <f>VLOOKUP(B459,'115+040'!$B$12:$AB$621,14,FALSE)</f>
        <v>#REF!</v>
      </c>
      <c r="Q459" s="58">
        <f>'115+040'!S457</f>
        <v>0</v>
      </c>
      <c r="R459" s="57">
        <f t="shared" si="86"/>
        <v>1215</v>
      </c>
      <c r="S459" s="62" t="e">
        <f>VLOOKUP(B459,'115+040'!$B$11:$AB$621,22,FALSE)</f>
        <v>#REF!</v>
      </c>
      <c r="T459" s="61" t="e">
        <f>VLOOKUP(B459,'115+040'!$B$12:$AB$621,6,FALSE)</f>
        <v>#REF!</v>
      </c>
      <c r="U459" s="60" t="e">
        <f t="shared" si="82"/>
        <v>#REF!</v>
      </c>
      <c r="V459" s="59" t="e">
        <f>VLOOKUP(B459,'115+040'!$B$12:$AB$621,15,FALSE)</f>
        <v>#REF!</v>
      </c>
      <c r="W459" s="58">
        <f>'[4]114+940'!S460</f>
        <v>1</v>
      </c>
      <c r="X459" s="57">
        <f t="shared" si="87"/>
        <v>736</v>
      </c>
      <c r="Y459" s="56" t="e">
        <f t="shared" si="88"/>
        <v>#REF!</v>
      </c>
      <c r="Z459" s="55" t="e">
        <f t="shared" si="89"/>
        <v>#REF!</v>
      </c>
      <c r="AA459" s="54" t="e">
        <f t="shared" si="90"/>
        <v>#REF!</v>
      </c>
      <c r="AB459" s="54" t="e">
        <f t="shared" si="91"/>
        <v>#REF!</v>
      </c>
    </row>
    <row r="460" spans="2:28">
      <c r="B460" s="96" t="e">
        <f>'115+040'!#REF!</f>
        <v>#REF!</v>
      </c>
      <c r="C460" s="66" t="e">
        <f t="shared" si="83"/>
        <v>#REF!</v>
      </c>
      <c r="D460" s="65" t="e">
        <f t="shared" si="84"/>
        <v>#REF!</v>
      </c>
      <c r="E460" s="64" t="e">
        <f>VLOOKUP(B460,'115+040'!B458:AB458,3,FALSE)</f>
        <v>#REF!</v>
      </c>
      <c r="F460" s="61" t="e">
        <f t="shared" si="79"/>
        <v>#REF!</v>
      </c>
      <c r="G460" s="63" t="e">
        <f>VLOOKUP(B460,'115+040'!$B$12:$AB$621,20,FALSE)</f>
        <v>#REF!</v>
      </c>
      <c r="H460" s="63" t="e">
        <f>VLOOKUP(B460,'115+040'!$B$12:$AB$621,4,FALSE)</f>
        <v>#REF!</v>
      </c>
      <c r="I460" s="60" t="e">
        <f t="shared" si="80"/>
        <v>#REF!</v>
      </c>
      <c r="J460" s="60" t="e">
        <f>VLOOKUP(B460,'115+040'!$B$12:$AB$621,13,FALSE)</f>
        <v>#REF!</v>
      </c>
      <c r="K460" s="58">
        <f>'115+040'!R458</f>
        <v>0</v>
      </c>
      <c r="L460" s="57">
        <f t="shared" si="85"/>
        <v>1030</v>
      </c>
      <c r="M460" s="62" t="e">
        <f>VLOOKUP(B460,'115+040'!$B$11:$AB$621,21,FALSE)</f>
        <v>#REF!</v>
      </c>
      <c r="N460" s="61" t="e">
        <f>VLOOKUP(B460,'115+040'!$B$12:$AB$621,5,FALSE)</f>
        <v>#REF!</v>
      </c>
      <c r="O460" s="60" t="e">
        <f t="shared" si="81"/>
        <v>#REF!</v>
      </c>
      <c r="P460" s="60" t="e">
        <f>VLOOKUP(B460,'115+040'!$B$12:$AB$621,14,FALSE)</f>
        <v>#REF!</v>
      </c>
      <c r="Q460" s="58">
        <f>'115+040'!S458</f>
        <v>0</v>
      </c>
      <c r="R460" s="57">
        <f t="shared" si="86"/>
        <v>1215</v>
      </c>
      <c r="S460" s="62" t="e">
        <f>VLOOKUP(B460,'115+040'!$B$11:$AB$621,22,FALSE)</f>
        <v>#REF!</v>
      </c>
      <c r="T460" s="61" t="e">
        <f>VLOOKUP(B460,'115+040'!$B$12:$AB$621,6,FALSE)</f>
        <v>#REF!</v>
      </c>
      <c r="U460" s="60" t="e">
        <f t="shared" si="82"/>
        <v>#REF!</v>
      </c>
      <c r="V460" s="59" t="e">
        <f>VLOOKUP(B460,'115+040'!$B$12:$AB$621,15,FALSE)</f>
        <v>#REF!</v>
      </c>
      <c r="W460" s="58">
        <f>'[4]114+940'!S461</f>
        <v>3</v>
      </c>
      <c r="X460" s="57">
        <f t="shared" si="87"/>
        <v>739</v>
      </c>
      <c r="Y460" s="56" t="e">
        <f t="shared" si="88"/>
        <v>#REF!</v>
      </c>
      <c r="Z460" s="55" t="e">
        <f t="shared" si="89"/>
        <v>#REF!</v>
      </c>
      <c r="AA460" s="54" t="e">
        <f t="shared" si="90"/>
        <v>#REF!</v>
      </c>
      <c r="AB460" s="54" t="e">
        <f t="shared" si="91"/>
        <v>#REF!</v>
      </c>
    </row>
    <row r="461" spans="2:28">
      <c r="B461" s="96" t="e">
        <f>'115+040'!#REF!</f>
        <v>#REF!</v>
      </c>
      <c r="C461" s="66" t="e">
        <f t="shared" si="83"/>
        <v>#REF!</v>
      </c>
      <c r="D461" s="65" t="e">
        <f t="shared" si="84"/>
        <v>#REF!</v>
      </c>
      <c r="E461" s="64" t="e">
        <f>VLOOKUP(B461,'115+040'!B459:AB459,3,FALSE)</f>
        <v>#REF!</v>
      </c>
      <c r="F461" s="61" t="e">
        <f t="shared" ref="F461:F490" si="92">D461+E461</f>
        <v>#REF!</v>
      </c>
      <c r="G461" s="63" t="e">
        <f>VLOOKUP(B461,'115+040'!$B$12:$AB$621,20,FALSE)</f>
        <v>#REF!</v>
      </c>
      <c r="H461" s="63" t="e">
        <f>VLOOKUP(B461,'115+040'!$B$12:$AB$621,4,FALSE)</f>
        <v>#REF!</v>
      </c>
      <c r="I461" s="60" t="e">
        <f t="shared" ref="I461:I490" si="93">F461-H461</f>
        <v>#REF!</v>
      </c>
      <c r="J461" s="60" t="e">
        <f>VLOOKUP(B461,'115+040'!$B$12:$AB$621,13,FALSE)</f>
        <v>#REF!</v>
      </c>
      <c r="K461" s="58">
        <f>'115+040'!R459</f>
        <v>0</v>
      </c>
      <c r="L461" s="57">
        <f t="shared" si="85"/>
        <v>1030</v>
      </c>
      <c r="M461" s="62" t="e">
        <f>VLOOKUP(B461,'115+040'!$B$11:$AB$621,21,FALSE)</f>
        <v>#REF!</v>
      </c>
      <c r="N461" s="61" t="e">
        <f>VLOOKUP(B461,'115+040'!$B$12:$AB$621,5,FALSE)</f>
        <v>#REF!</v>
      </c>
      <c r="O461" s="60" t="e">
        <f t="shared" ref="O461:O490" si="94">F461-N461</f>
        <v>#REF!</v>
      </c>
      <c r="P461" s="60" t="e">
        <f>VLOOKUP(B461,'115+040'!$B$12:$AB$621,14,FALSE)</f>
        <v>#REF!</v>
      </c>
      <c r="Q461" s="58">
        <f>'115+040'!S459</f>
        <v>0</v>
      </c>
      <c r="R461" s="57">
        <f t="shared" si="86"/>
        <v>1215</v>
      </c>
      <c r="S461" s="62" t="e">
        <f>VLOOKUP(B461,'115+040'!$B$11:$AB$621,22,FALSE)</f>
        <v>#REF!</v>
      </c>
      <c r="T461" s="61" t="e">
        <f>VLOOKUP(B461,'115+040'!$B$12:$AB$621,6,FALSE)</f>
        <v>#REF!</v>
      </c>
      <c r="U461" s="60" t="e">
        <f t="shared" ref="U461:U490" si="95">F461-T461</f>
        <v>#REF!</v>
      </c>
      <c r="V461" s="59" t="e">
        <f>VLOOKUP(B461,'115+040'!$B$12:$AB$621,15,FALSE)</f>
        <v>#REF!</v>
      </c>
      <c r="W461" s="58">
        <f>'[4]114+940'!S462</f>
        <v>1</v>
      </c>
      <c r="X461" s="57">
        <f t="shared" si="87"/>
        <v>740</v>
      </c>
      <c r="Y461" s="56" t="e">
        <f t="shared" si="88"/>
        <v>#REF!</v>
      </c>
      <c r="Z461" s="55" t="e">
        <f t="shared" si="89"/>
        <v>#REF!</v>
      </c>
      <c r="AA461" s="54" t="e">
        <f t="shared" si="90"/>
        <v>#REF!</v>
      </c>
      <c r="AB461" s="54" t="e">
        <f t="shared" si="91"/>
        <v>#REF!</v>
      </c>
    </row>
    <row r="462" spans="2:28">
      <c r="B462" s="96" t="e">
        <f>'115+040'!#REF!</f>
        <v>#REF!</v>
      </c>
      <c r="C462" s="66" t="e">
        <f t="shared" ref="C462:C525" si="96">B462-B461</f>
        <v>#REF!</v>
      </c>
      <c r="D462" s="65" t="e">
        <f t="shared" ref="D462:D490" si="97">D461</f>
        <v>#REF!</v>
      </c>
      <c r="E462" s="64" t="e">
        <f>VLOOKUP(B462,'115+040'!B460:AB460,3,FALSE)</f>
        <v>#REF!</v>
      </c>
      <c r="F462" s="61" t="e">
        <f t="shared" si="92"/>
        <v>#REF!</v>
      </c>
      <c r="G462" s="63" t="e">
        <f>VLOOKUP(B462,'115+040'!$B$12:$AB$621,20,FALSE)</f>
        <v>#REF!</v>
      </c>
      <c r="H462" s="63" t="e">
        <f>VLOOKUP(B462,'115+040'!$B$12:$AB$621,4,FALSE)</f>
        <v>#REF!</v>
      </c>
      <c r="I462" s="60" t="e">
        <f t="shared" si="93"/>
        <v>#REF!</v>
      </c>
      <c r="J462" s="60" t="e">
        <f>VLOOKUP(B462,'115+040'!$B$12:$AB$621,13,FALSE)</f>
        <v>#REF!</v>
      </c>
      <c r="K462" s="58">
        <f>'115+040'!R460</f>
        <v>1</v>
      </c>
      <c r="L462" s="57">
        <f t="shared" ref="L462:L490" si="98">+K462+L461</f>
        <v>1031</v>
      </c>
      <c r="M462" s="62" t="e">
        <f>VLOOKUP(B462,'115+040'!$B$11:$AB$621,21,FALSE)</f>
        <v>#REF!</v>
      </c>
      <c r="N462" s="61" t="e">
        <f>VLOOKUP(B462,'115+040'!$B$12:$AB$621,5,FALSE)</f>
        <v>#REF!</v>
      </c>
      <c r="O462" s="60" t="e">
        <f t="shared" si="94"/>
        <v>#REF!</v>
      </c>
      <c r="P462" s="60" t="e">
        <f>VLOOKUP(B462,'115+040'!$B$12:$AB$621,14,FALSE)</f>
        <v>#REF!</v>
      </c>
      <c r="Q462" s="58">
        <f>'115+040'!S460</f>
        <v>0</v>
      </c>
      <c r="R462" s="57">
        <f t="shared" ref="R462:R490" si="99">+Q462+R461</f>
        <v>1215</v>
      </c>
      <c r="S462" s="62" t="e">
        <f>VLOOKUP(B462,'115+040'!$B$11:$AB$621,22,FALSE)</f>
        <v>#REF!</v>
      </c>
      <c r="T462" s="61" t="e">
        <f>VLOOKUP(B462,'115+040'!$B$12:$AB$621,6,FALSE)</f>
        <v>#REF!</v>
      </c>
      <c r="U462" s="60" t="e">
        <f t="shared" si="95"/>
        <v>#REF!</v>
      </c>
      <c r="V462" s="59" t="e">
        <f>VLOOKUP(B462,'115+040'!$B$12:$AB$621,15,FALSE)</f>
        <v>#REF!</v>
      </c>
      <c r="W462" s="58">
        <f>'[4]114+940'!S463</f>
        <v>2</v>
      </c>
      <c r="X462" s="57">
        <f t="shared" ref="X462:X490" si="100">+W462+X461</f>
        <v>742</v>
      </c>
      <c r="Y462" s="56" t="e">
        <f t="shared" ref="Y462:Y490" si="101">S462-S461</f>
        <v>#REF!</v>
      </c>
      <c r="Z462" s="55" t="e">
        <f t="shared" ref="Z462:Z525" si="102">IF(Y462&gt;0,Y462,0)/1000</f>
        <v>#REF!</v>
      </c>
      <c r="AA462" s="54" t="e">
        <f t="shared" ref="AA462:AA490" si="103">AA461+Z462</f>
        <v>#REF!</v>
      </c>
      <c r="AB462" s="54" t="e">
        <f t="shared" ref="AB462:AB490" si="104">(M462-$M$13-R462)/1000</f>
        <v>#REF!</v>
      </c>
    </row>
    <row r="463" spans="2:28">
      <c r="B463" s="96" t="e">
        <f>'115+040'!#REF!</f>
        <v>#REF!</v>
      </c>
      <c r="C463" s="66" t="e">
        <f t="shared" si="96"/>
        <v>#REF!</v>
      </c>
      <c r="D463" s="65" t="e">
        <f t="shared" si="97"/>
        <v>#REF!</v>
      </c>
      <c r="E463" s="64" t="e">
        <f>VLOOKUP(B463,'115+040'!B461:AB461,3,FALSE)</f>
        <v>#REF!</v>
      </c>
      <c r="F463" s="61" t="e">
        <f t="shared" si="92"/>
        <v>#REF!</v>
      </c>
      <c r="G463" s="63" t="e">
        <f>VLOOKUP(B463,'115+040'!$B$12:$AB$621,20,FALSE)</f>
        <v>#REF!</v>
      </c>
      <c r="H463" s="63" t="e">
        <f>VLOOKUP(B463,'115+040'!$B$12:$AB$621,4,FALSE)</f>
        <v>#REF!</v>
      </c>
      <c r="I463" s="60" t="e">
        <f t="shared" si="93"/>
        <v>#REF!</v>
      </c>
      <c r="J463" s="60" t="e">
        <f>VLOOKUP(B463,'115+040'!$B$12:$AB$621,13,FALSE)</f>
        <v>#REF!</v>
      </c>
      <c r="K463" s="58">
        <f>'115+040'!R461</f>
        <v>0</v>
      </c>
      <c r="L463" s="57">
        <f t="shared" si="98"/>
        <v>1031</v>
      </c>
      <c r="M463" s="62" t="e">
        <f>VLOOKUP(B463,'115+040'!$B$11:$AB$621,21,FALSE)</f>
        <v>#REF!</v>
      </c>
      <c r="N463" s="61" t="e">
        <f>VLOOKUP(B463,'115+040'!$B$12:$AB$621,5,FALSE)</f>
        <v>#REF!</v>
      </c>
      <c r="O463" s="60" t="e">
        <f t="shared" si="94"/>
        <v>#REF!</v>
      </c>
      <c r="P463" s="60" t="e">
        <f>VLOOKUP(B463,'115+040'!$B$12:$AB$621,14,FALSE)</f>
        <v>#REF!</v>
      </c>
      <c r="Q463" s="58">
        <f>'115+040'!S461</f>
        <v>0</v>
      </c>
      <c r="R463" s="57">
        <f t="shared" si="99"/>
        <v>1215</v>
      </c>
      <c r="S463" s="62" t="e">
        <f>VLOOKUP(B463,'115+040'!$B$11:$AB$621,22,FALSE)</f>
        <v>#REF!</v>
      </c>
      <c r="T463" s="61" t="e">
        <f>VLOOKUP(B463,'115+040'!$B$12:$AB$621,6,FALSE)</f>
        <v>#REF!</v>
      </c>
      <c r="U463" s="60" t="e">
        <f t="shared" si="95"/>
        <v>#REF!</v>
      </c>
      <c r="V463" s="59" t="e">
        <f>VLOOKUP(B463,'115+040'!$B$12:$AB$621,15,FALSE)</f>
        <v>#REF!</v>
      </c>
      <c r="W463" s="58">
        <f>'[4]114+940'!S464</f>
        <v>1</v>
      </c>
      <c r="X463" s="57">
        <f t="shared" si="100"/>
        <v>743</v>
      </c>
      <c r="Y463" s="56" t="e">
        <f t="shared" si="101"/>
        <v>#REF!</v>
      </c>
      <c r="Z463" s="55" t="e">
        <f t="shared" si="102"/>
        <v>#REF!</v>
      </c>
      <c r="AA463" s="54" t="e">
        <f t="shared" si="103"/>
        <v>#REF!</v>
      </c>
      <c r="AB463" s="54" t="e">
        <f t="shared" si="104"/>
        <v>#REF!</v>
      </c>
    </row>
    <row r="464" spans="2:28">
      <c r="B464" s="96" t="e">
        <f>'115+040'!#REF!</f>
        <v>#REF!</v>
      </c>
      <c r="C464" s="66" t="e">
        <f t="shared" si="96"/>
        <v>#REF!</v>
      </c>
      <c r="D464" s="65" t="e">
        <f t="shared" si="97"/>
        <v>#REF!</v>
      </c>
      <c r="E464" s="64" t="e">
        <f>VLOOKUP(B464,'115+040'!B462:AB462,3,FALSE)</f>
        <v>#REF!</v>
      </c>
      <c r="F464" s="61" t="e">
        <f t="shared" si="92"/>
        <v>#REF!</v>
      </c>
      <c r="G464" s="63" t="e">
        <f>VLOOKUP(B464,'115+040'!$B$12:$AB$621,20,FALSE)</f>
        <v>#REF!</v>
      </c>
      <c r="H464" s="63" t="e">
        <f>VLOOKUP(B464,'115+040'!$B$12:$AB$621,4,FALSE)</f>
        <v>#REF!</v>
      </c>
      <c r="I464" s="60" t="e">
        <f t="shared" si="93"/>
        <v>#REF!</v>
      </c>
      <c r="J464" s="60" t="e">
        <f>VLOOKUP(B464,'115+040'!$B$12:$AB$621,13,FALSE)</f>
        <v>#REF!</v>
      </c>
      <c r="K464" s="58">
        <f>'115+040'!R462</f>
        <v>0</v>
      </c>
      <c r="L464" s="57">
        <f t="shared" si="98"/>
        <v>1031</v>
      </c>
      <c r="M464" s="62" t="e">
        <f>VLOOKUP(B464,'115+040'!$B$11:$AB$621,21,FALSE)</f>
        <v>#REF!</v>
      </c>
      <c r="N464" s="61" t="e">
        <f>VLOOKUP(B464,'115+040'!$B$12:$AB$621,5,FALSE)</f>
        <v>#REF!</v>
      </c>
      <c r="O464" s="60" t="e">
        <f t="shared" si="94"/>
        <v>#REF!</v>
      </c>
      <c r="P464" s="60" t="e">
        <f>VLOOKUP(B464,'115+040'!$B$12:$AB$621,14,FALSE)</f>
        <v>#REF!</v>
      </c>
      <c r="Q464" s="58">
        <f>'115+040'!S462</f>
        <v>1</v>
      </c>
      <c r="R464" s="57">
        <f t="shared" si="99"/>
        <v>1216</v>
      </c>
      <c r="S464" s="62" t="e">
        <f>VLOOKUP(B464,'115+040'!$B$11:$AB$621,22,FALSE)</f>
        <v>#REF!</v>
      </c>
      <c r="T464" s="61" t="e">
        <f>VLOOKUP(B464,'115+040'!$B$12:$AB$621,6,FALSE)</f>
        <v>#REF!</v>
      </c>
      <c r="U464" s="60" t="e">
        <f t="shared" si="95"/>
        <v>#REF!</v>
      </c>
      <c r="V464" s="59" t="e">
        <f>VLOOKUP(B464,'115+040'!$B$12:$AB$621,15,FALSE)</f>
        <v>#REF!</v>
      </c>
      <c r="W464" s="58">
        <f>'[4]114+940'!S465</f>
        <v>2</v>
      </c>
      <c r="X464" s="57">
        <f t="shared" si="100"/>
        <v>745</v>
      </c>
      <c r="Y464" s="56" t="e">
        <f t="shared" si="101"/>
        <v>#REF!</v>
      </c>
      <c r="Z464" s="55" t="e">
        <f t="shared" si="102"/>
        <v>#REF!</v>
      </c>
      <c r="AA464" s="54" t="e">
        <f t="shared" si="103"/>
        <v>#REF!</v>
      </c>
      <c r="AB464" s="54" t="e">
        <f t="shared" si="104"/>
        <v>#REF!</v>
      </c>
    </row>
    <row r="465" spans="2:28">
      <c r="B465" s="96" t="e">
        <f>'115+040'!#REF!</f>
        <v>#REF!</v>
      </c>
      <c r="C465" s="66" t="e">
        <f t="shared" si="96"/>
        <v>#REF!</v>
      </c>
      <c r="D465" s="65" t="e">
        <f t="shared" si="97"/>
        <v>#REF!</v>
      </c>
      <c r="E465" s="64" t="e">
        <f>VLOOKUP(B465,'115+040'!B463:AB463,3,FALSE)</f>
        <v>#REF!</v>
      </c>
      <c r="F465" s="61" t="e">
        <f t="shared" si="92"/>
        <v>#REF!</v>
      </c>
      <c r="G465" s="63" t="e">
        <f>VLOOKUP(B465,'115+040'!$B$12:$AB$621,20,FALSE)</f>
        <v>#REF!</v>
      </c>
      <c r="H465" s="63" t="e">
        <f>VLOOKUP(B465,'115+040'!$B$12:$AB$621,4,FALSE)</f>
        <v>#REF!</v>
      </c>
      <c r="I465" s="60" t="e">
        <f t="shared" si="93"/>
        <v>#REF!</v>
      </c>
      <c r="J465" s="60" t="e">
        <f>VLOOKUP(B465,'115+040'!$B$12:$AB$621,13,FALSE)</f>
        <v>#REF!</v>
      </c>
      <c r="K465" s="58">
        <f>'115+040'!R463</f>
        <v>2</v>
      </c>
      <c r="L465" s="57">
        <f t="shared" si="98"/>
        <v>1033</v>
      </c>
      <c r="M465" s="62" t="e">
        <f>VLOOKUP(B465,'115+040'!$B$11:$AB$621,21,FALSE)</f>
        <v>#REF!</v>
      </c>
      <c r="N465" s="61" t="e">
        <f>VLOOKUP(B465,'115+040'!$B$12:$AB$621,5,FALSE)</f>
        <v>#REF!</v>
      </c>
      <c r="O465" s="60" t="e">
        <f t="shared" si="94"/>
        <v>#REF!</v>
      </c>
      <c r="P465" s="60" t="e">
        <f>VLOOKUP(B465,'115+040'!$B$12:$AB$621,14,FALSE)</f>
        <v>#REF!</v>
      </c>
      <c r="Q465" s="58">
        <f>'115+040'!S463</f>
        <v>0</v>
      </c>
      <c r="R465" s="57">
        <f t="shared" si="99"/>
        <v>1216</v>
      </c>
      <c r="S465" s="62" t="e">
        <f>VLOOKUP(B465,'115+040'!$B$11:$AB$621,22,FALSE)</f>
        <v>#REF!</v>
      </c>
      <c r="T465" s="61" t="e">
        <f>VLOOKUP(B465,'115+040'!$B$12:$AB$621,6,FALSE)</f>
        <v>#REF!</v>
      </c>
      <c r="U465" s="60" t="e">
        <f t="shared" si="95"/>
        <v>#REF!</v>
      </c>
      <c r="V465" s="59" t="e">
        <f>VLOOKUP(B465,'115+040'!$B$12:$AB$621,15,FALSE)</f>
        <v>#REF!</v>
      </c>
      <c r="W465" s="58">
        <f>'[4]114+940'!S466</f>
        <v>2</v>
      </c>
      <c r="X465" s="57">
        <f t="shared" si="100"/>
        <v>747</v>
      </c>
      <c r="Y465" s="56" t="e">
        <f t="shared" si="101"/>
        <v>#REF!</v>
      </c>
      <c r="Z465" s="55" t="e">
        <f t="shared" si="102"/>
        <v>#REF!</v>
      </c>
      <c r="AA465" s="54" t="e">
        <f t="shared" si="103"/>
        <v>#REF!</v>
      </c>
      <c r="AB465" s="54" t="e">
        <f t="shared" si="104"/>
        <v>#REF!</v>
      </c>
    </row>
    <row r="466" spans="2:28">
      <c r="B466" s="96" t="e">
        <f>'115+040'!#REF!</f>
        <v>#REF!</v>
      </c>
      <c r="C466" s="66" t="e">
        <f t="shared" si="96"/>
        <v>#REF!</v>
      </c>
      <c r="D466" s="65" t="e">
        <f t="shared" si="97"/>
        <v>#REF!</v>
      </c>
      <c r="E466" s="64" t="e">
        <f>VLOOKUP(B466,'115+040'!B464:AB464,3,FALSE)</f>
        <v>#REF!</v>
      </c>
      <c r="F466" s="61" t="e">
        <f t="shared" si="92"/>
        <v>#REF!</v>
      </c>
      <c r="G466" s="63" t="e">
        <f>VLOOKUP(B466,'115+040'!$B$12:$AB$621,20,FALSE)</f>
        <v>#REF!</v>
      </c>
      <c r="H466" s="63" t="e">
        <f>VLOOKUP(B466,'115+040'!$B$12:$AB$621,4,FALSE)</f>
        <v>#REF!</v>
      </c>
      <c r="I466" s="60" t="e">
        <f t="shared" si="93"/>
        <v>#REF!</v>
      </c>
      <c r="J466" s="60" t="e">
        <f>VLOOKUP(B466,'115+040'!$B$12:$AB$621,13,FALSE)</f>
        <v>#REF!</v>
      </c>
      <c r="K466" s="58">
        <f>'115+040'!R464</f>
        <v>0</v>
      </c>
      <c r="L466" s="57">
        <f t="shared" si="98"/>
        <v>1033</v>
      </c>
      <c r="M466" s="62" t="e">
        <f>VLOOKUP(B466,'115+040'!$B$11:$AB$621,21,FALSE)</f>
        <v>#REF!</v>
      </c>
      <c r="N466" s="61" t="e">
        <f>VLOOKUP(B466,'115+040'!$B$12:$AB$621,5,FALSE)</f>
        <v>#REF!</v>
      </c>
      <c r="O466" s="60" t="e">
        <f t="shared" si="94"/>
        <v>#REF!</v>
      </c>
      <c r="P466" s="60" t="e">
        <f>VLOOKUP(B466,'115+040'!$B$12:$AB$621,14,FALSE)</f>
        <v>#REF!</v>
      </c>
      <c r="Q466" s="58">
        <f>'115+040'!S464</f>
        <v>0</v>
      </c>
      <c r="R466" s="57">
        <f t="shared" si="99"/>
        <v>1216</v>
      </c>
      <c r="S466" s="62" t="e">
        <f>VLOOKUP(B466,'115+040'!$B$11:$AB$621,22,FALSE)</f>
        <v>#REF!</v>
      </c>
      <c r="T466" s="61" t="e">
        <f>VLOOKUP(B466,'115+040'!$B$12:$AB$621,6,FALSE)</f>
        <v>#REF!</v>
      </c>
      <c r="U466" s="60" t="e">
        <f t="shared" si="95"/>
        <v>#REF!</v>
      </c>
      <c r="V466" s="59" t="e">
        <f>VLOOKUP(B466,'115+040'!$B$12:$AB$621,15,FALSE)</f>
        <v>#REF!</v>
      </c>
      <c r="W466" s="58">
        <f>'[4]114+940'!S467</f>
        <v>3</v>
      </c>
      <c r="X466" s="57">
        <f t="shared" si="100"/>
        <v>750</v>
      </c>
      <c r="Y466" s="56" t="e">
        <f t="shared" si="101"/>
        <v>#REF!</v>
      </c>
      <c r="Z466" s="55" t="e">
        <f t="shared" si="102"/>
        <v>#REF!</v>
      </c>
      <c r="AA466" s="54" t="e">
        <f t="shared" si="103"/>
        <v>#REF!</v>
      </c>
      <c r="AB466" s="54" t="e">
        <f t="shared" si="104"/>
        <v>#REF!</v>
      </c>
    </row>
    <row r="467" spans="2:28">
      <c r="B467" s="96" t="e">
        <f>'115+040'!#REF!</f>
        <v>#REF!</v>
      </c>
      <c r="C467" s="66" t="e">
        <f t="shared" si="96"/>
        <v>#REF!</v>
      </c>
      <c r="D467" s="65" t="e">
        <f t="shared" si="97"/>
        <v>#REF!</v>
      </c>
      <c r="E467" s="64" t="e">
        <f>VLOOKUP(B467,'115+040'!B465:AB465,3,FALSE)</f>
        <v>#REF!</v>
      </c>
      <c r="F467" s="61" t="e">
        <f t="shared" si="92"/>
        <v>#REF!</v>
      </c>
      <c r="G467" s="63" t="e">
        <f>VLOOKUP(B467,'115+040'!$B$12:$AB$621,20,FALSE)</f>
        <v>#REF!</v>
      </c>
      <c r="H467" s="63" t="e">
        <f>VLOOKUP(B467,'115+040'!$B$12:$AB$621,4,FALSE)</f>
        <v>#REF!</v>
      </c>
      <c r="I467" s="60" t="e">
        <f t="shared" si="93"/>
        <v>#REF!</v>
      </c>
      <c r="J467" s="60" t="e">
        <f>VLOOKUP(B467,'115+040'!$B$12:$AB$621,13,FALSE)</f>
        <v>#REF!</v>
      </c>
      <c r="K467" s="58">
        <f>'115+040'!R465</f>
        <v>0</v>
      </c>
      <c r="L467" s="57">
        <f t="shared" si="98"/>
        <v>1033</v>
      </c>
      <c r="M467" s="62" t="e">
        <f>VLOOKUP(B467,'115+040'!$B$11:$AB$621,21,FALSE)</f>
        <v>#REF!</v>
      </c>
      <c r="N467" s="61" t="e">
        <f>VLOOKUP(B467,'115+040'!$B$12:$AB$621,5,FALSE)</f>
        <v>#REF!</v>
      </c>
      <c r="O467" s="60" t="e">
        <f t="shared" si="94"/>
        <v>#REF!</v>
      </c>
      <c r="P467" s="60" t="e">
        <f>VLOOKUP(B467,'115+040'!$B$12:$AB$621,14,FALSE)</f>
        <v>#REF!</v>
      </c>
      <c r="Q467" s="58">
        <f>'115+040'!S465</f>
        <v>0</v>
      </c>
      <c r="R467" s="57">
        <f t="shared" si="99"/>
        <v>1216</v>
      </c>
      <c r="S467" s="62" t="e">
        <f>VLOOKUP(B467,'115+040'!$B$11:$AB$621,22,FALSE)</f>
        <v>#REF!</v>
      </c>
      <c r="T467" s="61" t="e">
        <f>VLOOKUP(B467,'115+040'!$B$12:$AB$621,6,FALSE)</f>
        <v>#REF!</v>
      </c>
      <c r="U467" s="60" t="e">
        <f t="shared" si="95"/>
        <v>#REF!</v>
      </c>
      <c r="V467" s="59" t="e">
        <f>VLOOKUP(B467,'115+040'!$B$12:$AB$621,15,FALSE)</f>
        <v>#REF!</v>
      </c>
      <c r="W467" s="58">
        <f>'[4]114+940'!S468</f>
        <v>1</v>
      </c>
      <c r="X467" s="57">
        <f t="shared" si="100"/>
        <v>751</v>
      </c>
      <c r="Y467" s="56" t="e">
        <f t="shared" si="101"/>
        <v>#REF!</v>
      </c>
      <c r="Z467" s="55" t="e">
        <f t="shared" si="102"/>
        <v>#REF!</v>
      </c>
      <c r="AA467" s="54" t="e">
        <f t="shared" si="103"/>
        <v>#REF!</v>
      </c>
      <c r="AB467" s="54" t="e">
        <f t="shared" si="104"/>
        <v>#REF!</v>
      </c>
    </row>
    <row r="468" spans="2:28">
      <c r="B468" s="96" t="e">
        <f>'115+040'!#REF!</f>
        <v>#REF!</v>
      </c>
      <c r="C468" s="66" t="e">
        <f t="shared" si="96"/>
        <v>#REF!</v>
      </c>
      <c r="D468" s="65" t="e">
        <f t="shared" si="97"/>
        <v>#REF!</v>
      </c>
      <c r="E468" s="64" t="e">
        <f>VLOOKUP(B468,'115+040'!B466:AB466,3,FALSE)</f>
        <v>#REF!</v>
      </c>
      <c r="F468" s="61" t="e">
        <f t="shared" si="92"/>
        <v>#REF!</v>
      </c>
      <c r="G468" s="63" t="e">
        <f>VLOOKUP(B468,'115+040'!$B$12:$AB$621,20,FALSE)</f>
        <v>#REF!</v>
      </c>
      <c r="H468" s="63" t="e">
        <f>VLOOKUP(B468,'115+040'!$B$12:$AB$621,4,FALSE)</f>
        <v>#REF!</v>
      </c>
      <c r="I468" s="60" t="e">
        <f t="shared" si="93"/>
        <v>#REF!</v>
      </c>
      <c r="J468" s="60" t="e">
        <f>VLOOKUP(B468,'115+040'!$B$12:$AB$621,13,FALSE)</f>
        <v>#REF!</v>
      </c>
      <c r="K468" s="58">
        <f>'115+040'!R466</f>
        <v>0</v>
      </c>
      <c r="L468" s="57">
        <f t="shared" si="98"/>
        <v>1033</v>
      </c>
      <c r="M468" s="62" t="e">
        <f>VLOOKUP(B468,'115+040'!$B$11:$AB$621,21,FALSE)</f>
        <v>#REF!</v>
      </c>
      <c r="N468" s="61" t="e">
        <f>VLOOKUP(B468,'115+040'!$B$12:$AB$621,5,FALSE)</f>
        <v>#REF!</v>
      </c>
      <c r="O468" s="60" t="e">
        <f t="shared" si="94"/>
        <v>#REF!</v>
      </c>
      <c r="P468" s="60" t="e">
        <f>VLOOKUP(B468,'115+040'!$B$12:$AB$621,14,FALSE)</f>
        <v>#REF!</v>
      </c>
      <c r="Q468" s="58">
        <f>'115+040'!S466</f>
        <v>0</v>
      </c>
      <c r="R468" s="57">
        <f t="shared" si="99"/>
        <v>1216</v>
      </c>
      <c r="S468" s="62" t="e">
        <f>VLOOKUP(B468,'115+040'!$B$11:$AB$621,22,FALSE)</f>
        <v>#REF!</v>
      </c>
      <c r="T468" s="61" t="e">
        <f>VLOOKUP(B468,'115+040'!$B$12:$AB$621,6,FALSE)</f>
        <v>#REF!</v>
      </c>
      <c r="U468" s="60" t="e">
        <f t="shared" si="95"/>
        <v>#REF!</v>
      </c>
      <c r="V468" s="59" t="e">
        <f>VLOOKUP(B468,'115+040'!$B$12:$AB$621,15,FALSE)</f>
        <v>#REF!</v>
      </c>
      <c r="W468" s="58">
        <f>'[4]114+940'!S469</f>
        <v>2</v>
      </c>
      <c r="X468" s="57">
        <f t="shared" si="100"/>
        <v>753</v>
      </c>
      <c r="Y468" s="56" t="e">
        <f t="shared" si="101"/>
        <v>#REF!</v>
      </c>
      <c r="Z468" s="55" t="e">
        <f t="shared" si="102"/>
        <v>#REF!</v>
      </c>
      <c r="AA468" s="54" t="e">
        <f t="shared" si="103"/>
        <v>#REF!</v>
      </c>
      <c r="AB468" s="54" t="e">
        <f t="shared" si="104"/>
        <v>#REF!</v>
      </c>
    </row>
    <row r="469" spans="2:28">
      <c r="B469" s="96" t="e">
        <f>'115+040'!#REF!</f>
        <v>#REF!</v>
      </c>
      <c r="C469" s="66" t="e">
        <f t="shared" si="96"/>
        <v>#REF!</v>
      </c>
      <c r="D469" s="65" t="e">
        <f t="shared" si="97"/>
        <v>#REF!</v>
      </c>
      <c r="E469" s="64" t="e">
        <f>VLOOKUP(B469,'115+040'!B467:AB467,3,FALSE)</f>
        <v>#REF!</v>
      </c>
      <c r="F469" s="61" t="e">
        <f t="shared" si="92"/>
        <v>#REF!</v>
      </c>
      <c r="G469" s="63" t="e">
        <f>VLOOKUP(B469,'115+040'!$B$12:$AB$621,20,FALSE)</f>
        <v>#REF!</v>
      </c>
      <c r="H469" s="63" t="e">
        <f>VLOOKUP(B469,'115+040'!$B$12:$AB$621,4,FALSE)</f>
        <v>#REF!</v>
      </c>
      <c r="I469" s="60" t="e">
        <f t="shared" si="93"/>
        <v>#REF!</v>
      </c>
      <c r="J469" s="60" t="e">
        <f>VLOOKUP(B469,'115+040'!$B$12:$AB$621,13,FALSE)</f>
        <v>#REF!</v>
      </c>
      <c r="K469" s="58">
        <f>'115+040'!R467</f>
        <v>0</v>
      </c>
      <c r="L469" s="57">
        <f t="shared" si="98"/>
        <v>1033</v>
      </c>
      <c r="M469" s="62" t="e">
        <f>VLOOKUP(B469,'115+040'!$B$11:$AB$621,21,FALSE)</f>
        <v>#REF!</v>
      </c>
      <c r="N469" s="61" t="e">
        <f>VLOOKUP(B469,'115+040'!$B$12:$AB$621,5,FALSE)</f>
        <v>#REF!</v>
      </c>
      <c r="O469" s="60" t="e">
        <f t="shared" si="94"/>
        <v>#REF!</v>
      </c>
      <c r="P469" s="60" t="e">
        <f>VLOOKUP(B469,'115+040'!$B$12:$AB$621,14,FALSE)</f>
        <v>#REF!</v>
      </c>
      <c r="Q469" s="58">
        <f>'115+040'!S467</f>
        <v>1</v>
      </c>
      <c r="R469" s="57">
        <f t="shared" si="99"/>
        <v>1217</v>
      </c>
      <c r="S469" s="62" t="e">
        <f>VLOOKUP(B469,'115+040'!$B$11:$AB$621,22,FALSE)</f>
        <v>#REF!</v>
      </c>
      <c r="T469" s="61" t="e">
        <f>VLOOKUP(B469,'115+040'!$B$12:$AB$621,6,FALSE)</f>
        <v>#REF!</v>
      </c>
      <c r="U469" s="60" t="e">
        <f t="shared" si="95"/>
        <v>#REF!</v>
      </c>
      <c r="V469" s="59" t="e">
        <f>VLOOKUP(B469,'115+040'!$B$12:$AB$621,15,FALSE)</f>
        <v>#REF!</v>
      </c>
      <c r="W469" s="58">
        <f>'[4]114+940'!S470</f>
        <v>2</v>
      </c>
      <c r="X469" s="57">
        <f t="shared" si="100"/>
        <v>755</v>
      </c>
      <c r="Y469" s="56" t="e">
        <f t="shared" si="101"/>
        <v>#REF!</v>
      </c>
      <c r="Z469" s="55" t="e">
        <f t="shared" si="102"/>
        <v>#REF!</v>
      </c>
      <c r="AA469" s="54" t="e">
        <f t="shared" si="103"/>
        <v>#REF!</v>
      </c>
      <c r="AB469" s="54" t="e">
        <f t="shared" si="104"/>
        <v>#REF!</v>
      </c>
    </row>
    <row r="470" spans="2:28">
      <c r="B470" s="96" t="e">
        <f>'115+040'!#REF!</f>
        <v>#REF!</v>
      </c>
      <c r="C470" s="66" t="e">
        <f t="shared" si="96"/>
        <v>#REF!</v>
      </c>
      <c r="D470" s="65" t="e">
        <f t="shared" si="97"/>
        <v>#REF!</v>
      </c>
      <c r="E470" s="64" t="e">
        <f>VLOOKUP(B470,'115+040'!B468:AB468,3,FALSE)</f>
        <v>#REF!</v>
      </c>
      <c r="F470" s="61" t="e">
        <f t="shared" si="92"/>
        <v>#REF!</v>
      </c>
      <c r="G470" s="63" t="e">
        <f>VLOOKUP(B470,'115+040'!$B$12:$AB$621,20,FALSE)</f>
        <v>#REF!</v>
      </c>
      <c r="H470" s="63" t="e">
        <f>VLOOKUP(B470,'115+040'!$B$12:$AB$621,4,FALSE)</f>
        <v>#REF!</v>
      </c>
      <c r="I470" s="60" t="e">
        <f t="shared" si="93"/>
        <v>#REF!</v>
      </c>
      <c r="J470" s="60" t="e">
        <f>VLOOKUP(B470,'115+040'!$B$12:$AB$621,13,FALSE)</f>
        <v>#REF!</v>
      </c>
      <c r="K470" s="58">
        <f>'115+040'!R468</f>
        <v>0</v>
      </c>
      <c r="L470" s="57">
        <f t="shared" si="98"/>
        <v>1033</v>
      </c>
      <c r="M470" s="62" t="e">
        <f>VLOOKUP(B470,'115+040'!$B$11:$AB$621,21,FALSE)</f>
        <v>#REF!</v>
      </c>
      <c r="N470" s="61" t="e">
        <f>VLOOKUP(B470,'115+040'!$B$12:$AB$621,5,FALSE)</f>
        <v>#REF!</v>
      </c>
      <c r="O470" s="60" t="e">
        <f t="shared" si="94"/>
        <v>#REF!</v>
      </c>
      <c r="P470" s="60" t="e">
        <f>VLOOKUP(B470,'115+040'!$B$12:$AB$621,14,FALSE)</f>
        <v>#REF!</v>
      </c>
      <c r="Q470" s="58">
        <f>'115+040'!S468</f>
        <v>0</v>
      </c>
      <c r="R470" s="57">
        <f t="shared" si="99"/>
        <v>1217</v>
      </c>
      <c r="S470" s="62" t="e">
        <f>VLOOKUP(B470,'115+040'!$B$11:$AB$621,22,FALSE)</f>
        <v>#REF!</v>
      </c>
      <c r="T470" s="61" t="e">
        <f>VLOOKUP(B470,'115+040'!$B$12:$AB$621,6,FALSE)</f>
        <v>#REF!</v>
      </c>
      <c r="U470" s="60" t="e">
        <f t="shared" si="95"/>
        <v>#REF!</v>
      </c>
      <c r="V470" s="59" t="e">
        <f>VLOOKUP(B470,'115+040'!$B$12:$AB$621,15,FALSE)</f>
        <v>#REF!</v>
      </c>
      <c r="W470" s="58">
        <f>'[4]114+940'!S471</f>
        <v>1</v>
      </c>
      <c r="X470" s="57">
        <f t="shared" si="100"/>
        <v>756</v>
      </c>
      <c r="Y470" s="56" t="e">
        <f t="shared" si="101"/>
        <v>#REF!</v>
      </c>
      <c r="Z470" s="55" t="e">
        <f t="shared" si="102"/>
        <v>#REF!</v>
      </c>
      <c r="AA470" s="54" t="e">
        <f t="shared" si="103"/>
        <v>#REF!</v>
      </c>
      <c r="AB470" s="54" t="e">
        <f t="shared" si="104"/>
        <v>#REF!</v>
      </c>
    </row>
    <row r="471" spans="2:28">
      <c r="B471" s="96" t="e">
        <f>'115+040'!#REF!</f>
        <v>#REF!</v>
      </c>
      <c r="C471" s="66" t="e">
        <f t="shared" si="96"/>
        <v>#REF!</v>
      </c>
      <c r="D471" s="65" t="e">
        <f t="shared" si="97"/>
        <v>#REF!</v>
      </c>
      <c r="E471" s="64" t="e">
        <f>VLOOKUP(B471,'115+040'!B469:AB469,3,FALSE)</f>
        <v>#REF!</v>
      </c>
      <c r="F471" s="61" t="e">
        <f t="shared" si="92"/>
        <v>#REF!</v>
      </c>
      <c r="G471" s="63" t="e">
        <f>VLOOKUP(B471,'115+040'!$B$12:$AB$621,20,FALSE)</f>
        <v>#REF!</v>
      </c>
      <c r="H471" s="63" t="e">
        <f>VLOOKUP(B471,'115+040'!$B$12:$AB$621,4,FALSE)</f>
        <v>#REF!</v>
      </c>
      <c r="I471" s="60" t="e">
        <f t="shared" si="93"/>
        <v>#REF!</v>
      </c>
      <c r="J471" s="60" t="e">
        <f>VLOOKUP(B471,'115+040'!$B$12:$AB$621,13,FALSE)</f>
        <v>#REF!</v>
      </c>
      <c r="K471" s="58">
        <f>'115+040'!R469</f>
        <v>1</v>
      </c>
      <c r="L471" s="57">
        <f t="shared" si="98"/>
        <v>1034</v>
      </c>
      <c r="M471" s="62" t="e">
        <f>VLOOKUP(B471,'115+040'!$B$11:$AB$621,21,FALSE)</f>
        <v>#REF!</v>
      </c>
      <c r="N471" s="61" t="e">
        <f>VLOOKUP(B471,'115+040'!$B$12:$AB$621,5,FALSE)</f>
        <v>#REF!</v>
      </c>
      <c r="O471" s="60" t="e">
        <f t="shared" si="94"/>
        <v>#REF!</v>
      </c>
      <c r="P471" s="60" t="e">
        <f>VLOOKUP(B471,'115+040'!$B$12:$AB$621,14,FALSE)</f>
        <v>#REF!</v>
      </c>
      <c r="Q471" s="58">
        <f>'115+040'!S469</f>
        <v>0</v>
      </c>
      <c r="R471" s="57">
        <f t="shared" si="99"/>
        <v>1217</v>
      </c>
      <c r="S471" s="62" t="e">
        <f>VLOOKUP(B471,'115+040'!$B$11:$AB$621,22,FALSE)</f>
        <v>#REF!</v>
      </c>
      <c r="T471" s="61" t="e">
        <f>VLOOKUP(B471,'115+040'!$B$12:$AB$621,6,FALSE)</f>
        <v>#REF!</v>
      </c>
      <c r="U471" s="60" t="e">
        <f t="shared" si="95"/>
        <v>#REF!</v>
      </c>
      <c r="V471" s="59" t="e">
        <f>VLOOKUP(B471,'115+040'!$B$12:$AB$621,15,FALSE)</f>
        <v>#REF!</v>
      </c>
      <c r="W471" s="58">
        <f>'[4]114+940'!S472</f>
        <v>2</v>
      </c>
      <c r="X471" s="57">
        <f t="shared" si="100"/>
        <v>758</v>
      </c>
      <c r="Y471" s="56" t="e">
        <f t="shared" si="101"/>
        <v>#REF!</v>
      </c>
      <c r="Z471" s="55" t="e">
        <f t="shared" si="102"/>
        <v>#REF!</v>
      </c>
      <c r="AA471" s="54" t="e">
        <f t="shared" si="103"/>
        <v>#REF!</v>
      </c>
      <c r="AB471" s="54" t="e">
        <f t="shared" si="104"/>
        <v>#REF!</v>
      </c>
    </row>
    <row r="472" spans="2:28">
      <c r="B472" s="96" t="e">
        <f>'115+040'!#REF!</f>
        <v>#REF!</v>
      </c>
      <c r="C472" s="66" t="e">
        <f t="shared" si="96"/>
        <v>#REF!</v>
      </c>
      <c r="D472" s="65" t="e">
        <f t="shared" si="97"/>
        <v>#REF!</v>
      </c>
      <c r="E472" s="64" t="e">
        <f>VLOOKUP(B472,'115+040'!B470:AB470,3,FALSE)</f>
        <v>#REF!</v>
      </c>
      <c r="F472" s="61" t="e">
        <f t="shared" si="92"/>
        <v>#REF!</v>
      </c>
      <c r="G472" s="63" t="e">
        <f>VLOOKUP(B472,'115+040'!$B$12:$AB$621,20,FALSE)</f>
        <v>#REF!</v>
      </c>
      <c r="H472" s="63" t="e">
        <f>VLOOKUP(B472,'115+040'!$B$12:$AB$621,4,FALSE)</f>
        <v>#REF!</v>
      </c>
      <c r="I472" s="60" t="e">
        <f t="shared" si="93"/>
        <v>#REF!</v>
      </c>
      <c r="J472" s="60" t="e">
        <f>VLOOKUP(B472,'115+040'!$B$12:$AB$621,13,FALSE)</f>
        <v>#REF!</v>
      </c>
      <c r="K472" s="58">
        <f>'115+040'!R470</f>
        <v>0</v>
      </c>
      <c r="L472" s="57">
        <f t="shared" si="98"/>
        <v>1034</v>
      </c>
      <c r="M472" s="62" t="e">
        <f>VLOOKUP(B472,'115+040'!$B$11:$AB$621,21,FALSE)</f>
        <v>#REF!</v>
      </c>
      <c r="N472" s="61" t="e">
        <f>VLOOKUP(B472,'115+040'!$B$12:$AB$621,5,FALSE)</f>
        <v>#REF!</v>
      </c>
      <c r="O472" s="60" t="e">
        <f t="shared" si="94"/>
        <v>#REF!</v>
      </c>
      <c r="P472" s="60" t="e">
        <f>VLOOKUP(B472,'115+040'!$B$12:$AB$621,14,FALSE)</f>
        <v>#REF!</v>
      </c>
      <c r="Q472" s="58">
        <f>'115+040'!S470</f>
        <v>0</v>
      </c>
      <c r="R472" s="57">
        <f t="shared" si="99"/>
        <v>1217</v>
      </c>
      <c r="S472" s="62" t="e">
        <f>VLOOKUP(B472,'115+040'!$B$11:$AB$621,22,FALSE)</f>
        <v>#REF!</v>
      </c>
      <c r="T472" s="61" t="e">
        <f>VLOOKUP(B472,'115+040'!$B$12:$AB$621,6,FALSE)</f>
        <v>#REF!</v>
      </c>
      <c r="U472" s="60" t="e">
        <f t="shared" si="95"/>
        <v>#REF!</v>
      </c>
      <c r="V472" s="59" t="e">
        <f>VLOOKUP(B472,'115+040'!$B$12:$AB$621,15,FALSE)</f>
        <v>#REF!</v>
      </c>
      <c r="W472" s="58">
        <f>'[4]114+940'!S473</f>
        <v>2</v>
      </c>
      <c r="X472" s="57">
        <f t="shared" si="100"/>
        <v>760</v>
      </c>
      <c r="Y472" s="56" t="e">
        <f t="shared" si="101"/>
        <v>#REF!</v>
      </c>
      <c r="Z472" s="55" t="e">
        <f t="shared" si="102"/>
        <v>#REF!</v>
      </c>
      <c r="AA472" s="54" t="e">
        <f t="shared" si="103"/>
        <v>#REF!</v>
      </c>
      <c r="AB472" s="54" t="e">
        <f t="shared" si="104"/>
        <v>#REF!</v>
      </c>
    </row>
    <row r="473" spans="2:28">
      <c r="B473" s="96" t="e">
        <f>'115+040'!#REF!</f>
        <v>#REF!</v>
      </c>
      <c r="C473" s="66" t="e">
        <f t="shared" si="96"/>
        <v>#REF!</v>
      </c>
      <c r="D473" s="65" t="e">
        <f t="shared" si="97"/>
        <v>#REF!</v>
      </c>
      <c r="E473" s="64" t="e">
        <f>VLOOKUP(B473,'115+040'!B471:AB471,3,FALSE)</f>
        <v>#REF!</v>
      </c>
      <c r="F473" s="61" t="e">
        <f t="shared" si="92"/>
        <v>#REF!</v>
      </c>
      <c r="G473" s="63" t="e">
        <f>VLOOKUP(B473,'115+040'!$B$12:$AB$621,20,FALSE)</f>
        <v>#REF!</v>
      </c>
      <c r="H473" s="63" t="e">
        <f>VLOOKUP(B473,'115+040'!$B$12:$AB$621,4,FALSE)</f>
        <v>#REF!</v>
      </c>
      <c r="I473" s="60" t="e">
        <f t="shared" si="93"/>
        <v>#REF!</v>
      </c>
      <c r="J473" s="60" t="e">
        <f>VLOOKUP(B473,'115+040'!$B$12:$AB$621,13,FALSE)</f>
        <v>#REF!</v>
      </c>
      <c r="K473" s="58">
        <f>'115+040'!R471</f>
        <v>0</v>
      </c>
      <c r="L473" s="57">
        <f t="shared" si="98"/>
        <v>1034</v>
      </c>
      <c r="M473" s="62" t="e">
        <f>VLOOKUP(B473,'115+040'!$B$11:$AB$621,21,FALSE)</f>
        <v>#REF!</v>
      </c>
      <c r="N473" s="61" t="e">
        <f>VLOOKUP(B473,'115+040'!$B$12:$AB$621,5,FALSE)</f>
        <v>#REF!</v>
      </c>
      <c r="O473" s="60" t="e">
        <f t="shared" si="94"/>
        <v>#REF!</v>
      </c>
      <c r="P473" s="60" t="e">
        <f>VLOOKUP(B473,'115+040'!$B$12:$AB$621,14,FALSE)</f>
        <v>#REF!</v>
      </c>
      <c r="Q473" s="58">
        <f>'115+040'!S471</f>
        <v>0</v>
      </c>
      <c r="R473" s="57">
        <f t="shared" si="99"/>
        <v>1217</v>
      </c>
      <c r="S473" s="62" t="e">
        <f>VLOOKUP(B473,'115+040'!$B$11:$AB$621,22,FALSE)</f>
        <v>#REF!</v>
      </c>
      <c r="T473" s="61" t="e">
        <f>VLOOKUP(B473,'115+040'!$B$12:$AB$621,6,FALSE)</f>
        <v>#REF!</v>
      </c>
      <c r="U473" s="60" t="e">
        <f t="shared" si="95"/>
        <v>#REF!</v>
      </c>
      <c r="V473" s="59" t="e">
        <f>VLOOKUP(B473,'115+040'!$B$12:$AB$621,15,FALSE)</f>
        <v>#REF!</v>
      </c>
      <c r="W473" s="58">
        <f>'[4]114+940'!S474</f>
        <v>2</v>
      </c>
      <c r="X473" s="57">
        <f t="shared" si="100"/>
        <v>762</v>
      </c>
      <c r="Y473" s="56" t="e">
        <f t="shared" si="101"/>
        <v>#REF!</v>
      </c>
      <c r="Z473" s="55" t="e">
        <f t="shared" si="102"/>
        <v>#REF!</v>
      </c>
      <c r="AA473" s="54" t="e">
        <f t="shared" si="103"/>
        <v>#REF!</v>
      </c>
      <c r="AB473" s="54" t="e">
        <f t="shared" si="104"/>
        <v>#REF!</v>
      </c>
    </row>
    <row r="474" spans="2:28">
      <c r="B474" s="96" t="e">
        <f>'115+040'!#REF!</f>
        <v>#REF!</v>
      </c>
      <c r="C474" s="66" t="e">
        <f t="shared" si="96"/>
        <v>#REF!</v>
      </c>
      <c r="D474" s="65" t="e">
        <f t="shared" si="97"/>
        <v>#REF!</v>
      </c>
      <c r="E474" s="64" t="e">
        <f>VLOOKUP(B474,'115+040'!B472:AB472,3,FALSE)</f>
        <v>#REF!</v>
      </c>
      <c r="F474" s="61" t="e">
        <f t="shared" si="92"/>
        <v>#REF!</v>
      </c>
      <c r="G474" s="63" t="e">
        <f>VLOOKUP(B474,'115+040'!$B$12:$AB$621,20,FALSE)</f>
        <v>#REF!</v>
      </c>
      <c r="H474" s="63" t="e">
        <f>VLOOKUP(B474,'115+040'!$B$12:$AB$621,4,FALSE)</f>
        <v>#REF!</v>
      </c>
      <c r="I474" s="60" t="e">
        <f t="shared" si="93"/>
        <v>#REF!</v>
      </c>
      <c r="J474" s="60" t="e">
        <f>VLOOKUP(B474,'115+040'!$B$12:$AB$621,13,FALSE)</f>
        <v>#REF!</v>
      </c>
      <c r="K474" s="58">
        <f>'115+040'!R472</f>
        <v>0</v>
      </c>
      <c r="L474" s="57">
        <f t="shared" si="98"/>
        <v>1034</v>
      </c>
      <c r="M474" s="62" t="e">
        <f>VLOOKUP(B474,'115+040'!$B$11:$AB$621,21,FALSE)</f>
        <v>#REF!</v>
      </c>
      <c r="N474" s="61" t="e">
        <f>VLOOKUP(B474,'115+040'!$B$12:$AB$621,5,FALSE)</f>
        <v>#REF!</v>
      </c>
      <c r="O474" s="60" t="e">
        <f t="shared" si="94"/>
        <v>#REF!</v>
      </c>
      <c r="P474" s="60" t="e">
        <f>VLOOKUP(B474,'115+040'!$B$12:$AB$621,14,FALSE)</f>
        <v>#REF!</v>
      </c>
      <c r="Q474" s="58">
        <f>'115+040'!S472</f>
        <v>2</v>
      </c>
      <c r="R474" s="57">
        <f t="shared" si="99"/>
        <v>1219</v>
      </c>
      <c r="S474" s="62" t="e">
        <f>VLOOKUP(B474,'115+040'!$B$11:$AB$621,22,FALSE)</f>
        <v>#REF!</v>
      </c>
      <c r="T474" s="61" t="e">
        <f>VLOOKUP(B474,'115+040'!$B$12:$AB$621,6,FALSE)</f>
        <v>#REF!</v>
      </c>
      <c r="U474" s="60" t="e">
        <f t="shared" si="95"/>
        <v>#REF!</v>
      </c>
      <c r="V474" s="59" t="e">
        <f>VLOOKUP(B474,'115+040'!$B$12:$AB$621,15,FALSE)</f>
        <v>#REF!</v>
      </c>
      <c r="W474" s="58">
        <f>'[4]114+940'!S475</f>
        <v>2</v>
      </c>
      <c r="X474" s="57">
        <f t="shared" si="100"/>
        <v>764</v>
      </c>
      <c r="Y474" s="56" t="e">
        <f t="shared" si="101"/>
        <v>#REF!</v>
      </c>
      <c r="Z474" s="55" t="e">
        <f t="shared" si="102"/>
        <v>#REF!</v>
      </c>
      <c r="AA474" s="54" t="e">
        <f t="shared" si="103"/>
        <v>#REF!</v>
      </c>
      <c r="AB474" s="54" t="e">
        <f t="shared" si="104"/>
        <v>#REF!</v>
      </c>
    </row>
    <row r="475" spans="2:28">
      <c r="B475" s="96" t="e">
        <f>'115+040'!#REF!</f>
        <v>#REF!</v>
      </c>
      <c r="C475" s="66" t="e">
        <f t="shared" si="96"/>
        <v>#REF!</v>
      </c>
      <c r="D475" s="65" t="e">
        <f t="shared" si="97"/>
        <v>#REF!</v>
      </c>
      <c r="E475" s="64" t="e">
        <f>VLOOKUP(B475,'115+040'!B473:AB473,3,FALSE)</f>
        <v>#REF!</v>
      </c>
      <c r="F475" s="61" t="e">
        <f t="shared" si="92"/>
        <v>#REF!</v>
      </c>
      <c r="G475" s="63" t="e">
        <f>VLOOKUP(B475,'115+040'!$B$12:$AB$621,20,FALSE)</f>
        <v>#REF!</v>
      </c>
      <c r="H475" s="63" t="e">
        <f>VLOOKUP(B475,'115+040'!$B$12:$AB$621,4,FALSE)</f>
        <v>#REF!</v>
      </c>
      <c r="I475" s="60" t="e">
        <f t="shared" si="93"/>
        <v>#REF!</v>
      </c>
      <c r="J475" s="60" t="e">
        <f>VLOOKUP(B475,'115+040'!$B$12:$AB$621,13,FALSE)</f>
        <v>#REF!</v>
      </c>
      <c r="K475" s="58">
        <f>'115+040'!R473</f>
        <v>0</v>
      </c>
      <c r="L475" s="57">
        <f t="shared" si="98"/>
        <v>1034</v>
      </c>
      <c r="M475" s="62" t="e">
        <f>VLOOKUP(B475,'115+040'!$B$11:$AB$621,21,FALSE)</f>
        <v>#REF!</v>
      </c>
      <c r="N475" s="61" t="e">
        <f>VLOOKUP(B475,'115+040'!$B$12:$AB$621,5,FALSE)</f>
        <v>#REF!</v>
      </c>
      <c r="O475" s="60" t="e">
        <f t="shared" si="94"/>
        <v>#REF!</v>
      </c>
      <c r="P475" s="60" t="e">
        <f>VLOOKUP(B475,'115+040'!$B$12:$AB$621,14,FALSE)</f>
        <v>#REF!</v>
      </c>
      <c r="Q475" s="58">
        <f>'115+040'!S473</f>
        <v>0</v>
      </c>
      <c r="R475" s="57">
        <f t="shared" si="99"/>
        <v>1219</v>
      </c>
      <c r="S475" s="62" t="e">
        <f>VLOOKUP(B475,'115+040'!$B$11:$AB$621,22,FALSE)</f>
        <v>#REF!</v>
      </c>
      <c r="T475" s="61" t="e">
        <f>VLOOKUP(B475,'115+040'!$B$12:$AB$621,6,FALSE)</f>
        <v>#REF!</v>
      </c>
      <c r="U475" s="60" t="e">
        <f t="shared" si="95"/>
        <v>#REF!</v>
      </c>
      <c r="V475" s="59" t="e">
        <f>VLOOKUP(B475,'115+040'!$B$12:$AB$621,15,FALSE)</f>
        <v>#REF!</v>
      </c>
      <c r="W475" s="58">
        <f>'[4]114+940'!S476</f>
        <v>1</v>
      </c>
      <c r="X475" s="57">
        <f t="shared" si="100"/>
        <v>765</v>
      </c>
      <c r="Y475" s="56" t="e">
        <f t="shared" si="101"/>
        <v>#REF!</v>
      </c>
      <c r="Z475" s="55" t="e">
        <f t="shared" si="102"/>
        <v>#REF!</v>
      </c>
      <c r="AA475" s="54" t="e">
        <f t="shared" si="103"/>
        <v>#REF!</v>
      </c>
      <c r="AB475" s="54" t="e">
        <f t="shared" si="104"/>
        <v>#REF!</v>
      </c>
    </row>
    <row r="476" spans="2:28">
      <c r="B476" s="96" t="e">
        <f>'115+040'!#REF!</f>
        <v>#REF!</v>
      </c>
      <c r="C476" s="66" t="e">
        <f t="shared" si="96"/>
        <v>#REF!</v>
      </c>
      <c r="D476" s="65" t="e">
        <f t="shared" si="97"/>
        <v>#REF!</v>
      </c>
      <c r="E476" s="64" t="e">
        <f>VLOOKUP(B476,'115+040'!B474:AB474,3,FALSE)</f>
        <v>#REF!</v>
      </c>
      <c r="F476" s="61" t="e">
        <f t="shared" si="92"/>
        <v>#REF!</v>
      </c>
      <c r="G476" s="63" t="e">
        <f>VLOOKUP(B476,'115+040'!$B$12:$AB$621,20,FALSE)</f>
        <v>#REF!</v>
      </c>
      <c r="H476" s="63" t="e">
        <f>VLOOKUP(B476,'115+040'!$B$12:$AB$621,4,FALSE)</f>
        <v>#REF!</v>
      </c>
      <c r="I476" s="60" t="e">
        <f t="shared" si="93"/>
        <v>#REF!</v>
      </c>
      <c r="J476" s="60" t="e">
        <f>VLOOKUP(B476,'115+040'!$B$12:$AB$621,13,FALSE)</f>
        <v>#REF!</v>
      </c>
      <c r="K476" s="58">
        <f>'115+040'!R474</f>
        <v>0</v>
      </c>
      <c r="L476" s="57">
        <f t="shared" si="98"/>
        <v>1034</v>
      </c>
      <c r="M476" s="62" t="e">
        <f>VLOOKUP(B476,'115+040'!$B$11:$AB$621,21,FALSE)</f>
        <v>#REF!</v>
      </c>
      <c r="N476" s="61" t="e">
        <f>VLOOKUP(B476,'115+040'!$B$12:$AB$621,5,FALSE)</f>
        <v>#REF!</v>
      </c>
      <c r="O476" s="60" t="e">
        <f t="shared" si="94"/>
        <v>#REF!</v>
      </c>
      <c r="P476" s="60" t="e">
        <f>VLOOKUP(B476,'115+040'!$B$12:$AB$621,14,FALSE)</f>
        <v>#REF!</v>
      </c>
      <c r="Q476" s="58">
        <f>'115+040'!S474</f>
        <v>0</v>
      </c>
      <c r="R476" s="57">
        <f t="shared" si="99"/>
        <v>1219</v>
      </c>
      <c r="S476" s="62" t="e">
        <f>VLOOKUP(B476,'115+040'!$B$11:$AB$621,22,FALSE)</f>
        <v>#REF!</v>
      </c>
      <c r="T476" s="61" t="e">
        <f>VLOOKUP(B476,'115+040'!$B$12:$AB$621,6,FALSE)</f>
        <v>#REF!</v>
      </c>
      <c r="U476" s="60" t="e">
        <f t="shared" si="95"/>
        <v>#REF!</v>
      </c>
      <c r="V476" s="59" t="e">
        <f>VLOOKUP(B476,'115+040'!$B$12:$AB$621,15,FALSE)</f>
        <v>#REF!</v>
      </c>
      <c r="W476" s="58">
        <f>'[4]114+940'!S477</f>
        <v>2</v>
      </c>
      <c r="X476" s="57">
        <f t="shared" si="100"/>
        <v>767</v>
      </c>
      <c r="Y476" s="56" t="e">
        <f t="shared" si="101"/>
        <v>#REF!</v>
      </c>
      <c r="Z476" s="55" t="e">
        <f t="shared" si="102"/>
        <v>#REF!</v>
      </c>
      <c r="AA476" s="54" t="e">
        <f t="shared" si="103"/>
        <v>#REF!</v>
      </c>
      <c r="AB476" s="54" t="e">
        <f t="shared" si="104"/>
        <v>#REF!</v>
      </c>
    </row>
    <row r="477" spans="2:28">
      <c r="B477" s="96" t="e">
        <f>'115+040'!#REF!</f>
        <v>#REF!</v>
      </c>
      <c r="C477" s="66" t="e">
        <f t="shared" si="96"/>
        <v>#REF!</v>
      </c>
      <c r="D477" s="65" t="e">
        <f t="shared" si="97"/>
        <v>#REF!</v>
      </c>
      <c r="E477" s="64" t="e">
        <f>VLOOKUP(B477,'115+040'!B475:AB475,3,FALSE)</f>
        <v>#REF!</v>
      </c>
      <c r="F477" s="61" t="e">
        <f t="shared" si="92"/>
        <v>#REF!</v>
      </c>
      <c r="G477" s="63" t="e">
        <f>VLOOKUP(B477,'115+040'!$B$12:$AB$621,20,FALSE)</f>
        <v>#REF!</v>
      </c>
      <c r="H477" s="63" t="e">
        <f>VLOOKUP(B477,'115+040'!$B$12:$AB$621,4,FALSE)</f>
        <v>#REF!</v>
      </c>
      <c r="I477" s="60" t="e">
        <f t="shared" si="93"/>
        <v>#REF!</v>
      </c>
      <c r="J477" s="60" t="e">
        <f>VLOOKUP(B477,'115+040'!$B$12:$AB$621,13,FALSE)</f>
        <v>#REF!</v>
      </c>
      <c r="K477" s="58">
        <f>'115+040'!R475</f>
        <v>0</v>
      </c>
      <c r="L477" s="57">
        <f t="shared" si="98"/>
        <v>1034</v>
      </c>
      <c r="M477" s="62" t="e">
        <f>VLOOKUP(B477,'115+040'!$B$11:$AB$621,21,FALSE)</f>
        <v>#REF!</v>
      </c>
      <c r="N477" s="61" t="e">
        <f>VLOOKUP(B477,'115+040'!$B$12:$AB$621,5,FALSE)</f>
        <v>#REF!</v>
      </c>
      <c r="O477" s="60" t="e">
        <f t="shared" si="94"/>
        <v>#REF!</v>
      </c>
      <c r="P477" s="60" t="e">
        <f>VLOOKUP(B477,'115+040'!$B$12:$AB$621,14,FALSE)</f>
        <v>#REF!</v>
      </c>
      <c r="Q477" s="58">
        <f>'115+040'!S475</f>
        <v>0</v>
      </c>
      <c r="R477" s="57">
        <f t="shared" si="99"/>
        <v>1219</v>
      </c>
      <c r="S477" s="62" t="e">
        <f>VLOOKUP(B477,'115+040'!$B$11:$AB$621,22,FALSE)</f>
        <v>#REF!</v>
      </c>
      <c r="T477" s="61" t="e">
        <f>VLOOKUP(B477,'115+040'!$B$12:$AB$621,6,FALSE)</f>
        <v>#REF!</v>
      </c>
      <c r="U477" s="60" t="e">
        <f t="shared" si="95"/>
        <v>#REF!</v>
      </c>
      <c r="V477" s="59" t="e">
        <f>VLOOKUP(B477,'115+040'!$B$12:$AB$621,15,FALSE)</f>
        <v>#REF!</v>
      </c>
      <c r="W477" s="58">
        <f>'[4]114+940'!S478</f>
        <v>1</v>
      </c>
      <c r="X477" s="57">
        <f t="shared" si="100"/>
        <v>768</v>
      </c>
      <c r="Y477" s="56" t="e">
        <f t="shared" si="101"/>
        <v>#REF!</v>
      </c>
      <c r="Z477" s="55" t="e">
        <f t="shared" si="102"/>
        <v>#REF!</v>
      </c>
      <c r="AA477" s="54" t="e">
        <f t="shared" si="103"/>
        <v>#REF!</v>
      </c>
      <c r="AB477" s="54" t="e">
        <f t="shared" si="104"/>
        <v>#REF!</v>
      </c>
    </row>
    <row r="478" spans="2:28">
      <c r="B478" s="96" t="e">
        <f>'115+040'!#REF!</f>
        <v>#REF!</v>
      </c>
      <c r="C478" s="66" t="e">
        <f t="shared" si="96"/>
        <v>#REF!</v>
      </c>
      <c r="D478" s="65" t="e">
        <f t="shared" si="97"/>
        <v>#REF!</v>
      </c>
      <c r="E478" s="64" t="e">
        <f>VLOOKUP(B478,'115+040'!B476:AB476,3,FALSE)</f>
        <v>#REF!</v>
      </c>
      <c r="F478" s="61" t="e">
        <f t="shared" si="92"/>
        <v>#REF!</v>
      </c>
      <c r="G478" s="63" t="e">
        <f>VLOOKUP(B478,'115+040'!$B$12:$AB$621,20,FALSE)</f>
        <v>#REF!</v>
      </c>
      <c r="H478" s="63" t="e">
        <f>VLOOKUP(B478,'115+040'!$B$12:$AB$621,4,FALSE)</f>
        <v>#REF!</v>
      </c>
      <c r="I478" s="60" t="e">
        <f t="shared" si="93"/>
        <v>#REF!</v>
      </c>
      <c r="J478" s="60" t="e">
        <f>VLOOKUP(B478,'115+040'!$B$12:$AB$621,13,FALSE)</f>
        <v>#REF!</v>
      </c>
      <c r="K478" s="58">
        <f>'115+040'!R476</f>
        <v>0</v>
      </c>
      <c r="L478" s="57">
        <f t="shared" si="98"/>
        <v>1034</v>
      </c>
      <c r="M478" s="62" t="e">
        <f>VLOOKUP(B478,'115+040'!$B$11:$AB$621,21,FALSE)</f>
        <v>#REF!</v>
      </c>
      <c r="N478" s="61" t="e">
        <f>VLOOKUP(B478,'115+040'!$B$12:$AB$621,5,FALSE)</f>
        <v>#REF!</v>
      </c>
      <c r="O478" s="60" t="e">
        <f t="shared" si="94"/>
        <v>#REF!</v>
      </c>
      <c r="P478" s="60" t="e">
        <f>VLOOKUP(B478,'115+040'!$B$12:$AB$621,14,FALSE)</f>
        <v>#REF!</v>
      </c>
      <c r="Q478" s="58">
        <f>'115+040'!S476</f>
        <v>2</v>
      </c>
      <c r="R478" s="57">
        <f t="shared" si="99"/>
        <v>1221</v>
      </c>
      <c r="S478" s="62" t="e">
        <f>VLOOKUP(B478,'115+040'!$B$11:$AB$621,22,FALSE)</f>
        <v>#REF!</v>
      </c>
      <c r="T478" s="61" t="e">
        <f>VLOOKUP(B478,'115+040'!$B$12:$AB$621,6,FALSE)</f>
        <v>#REF!</v>
      </c>
      <c r="U478" s="60" t="e">
        <f t="shared" si="95"/>
        <v>#REF!</v>
      </c>
      <c r="V478" s="59" t="e">
        <f>VLOOKUP(B478,'115+040'!$B$12:$AB$621,15,FALSE)</f>
        <v>#REF!</v>
      </c>
      <c r="W478" s="58">
        <f>'[4]114+940'!S479</f>
        <v>1</v>
      </c>
      <c r="X478" s="57">
        <f t="shared" si="100"/>
        <v>769</v>
      </c>
      <c r="Y478" s="56" t="e">
        <f t="shared" si="101"/>
        <v>#REF!</v>
      </c>
      <c r="Z478" s="55" t="e">
        <f t="shared" si="102"/>
        <v>#REF!</v>
      </c>
      <c r="AA478" s="54" t="e">
        <f t="shared" si="103"/>
        <v>#REF!</v>
      </c>
      <c r="AB478" s="54" t="e">
        <f t="shared" si="104"/>
        <v>#REF!</v>
      </c>
    </row>
    <row r="479" spans="2:28">
      <c r="B479" s="96" t="e">
        <f>'115+040'!#REF!</f>
        <v>#REF!</v>
      </c>
      <c r="C479" s="66" t="e">
        <f t="shared" si="96"/>
        <v>#REF!</v>
      </c>
      <c r="D479" s="65" t="e">
        <f t="shared" si="97"/>
        <v>#REF!</v>
      </c>
      <c r="E479" s="64" t="e">
        <f>VLOOKUP(B479,'115+040'!B477:AB477,3,FALSE)</f>
        <v>#REF!</v>
      </c>
      <c r="F479" s="61" t="e">
        <f t="shared" si="92"/>
        <v>#REF!</v>
      </c>
      <c r="G479" s="63" t="e">
        <f>VLOOKUP(B479,'115+040'!$B$12:$AB$621,20,FALSE)</f>
        <v>#REF!</v>
      </c>
      <c r="H479" s="63" t="e">
        <f>VLOOKUP(B479,'115+040'!$B$12:$AB$621,4,FALSE)</f>
        <v>#REF!</v>
      </c>
      <c r="I479" s="60" t="e">
        <f t="shared" si="93"/>
        <v>#REF!</v>
      </c>
      <c r="J479" s="60" t="e">
        <f>VLOOKUP(B479,'115+040'!$B$12:$AB$621,13,FALSE)</f>
        <v>#REF!</v>
      </c>
      <c r="K479" s="58">
        <f>'115+040'!R477</f>
        <v>1</v>
      </c>
      <c r="L479" s="57">
        <f t="shared" si="98"/>
        <v>1035</v>
      </c>
      <c r="M479" s="62" t="e">
        <f>VLOOKUP(B479,'115+040'!$B$11:$AB$621,21,FALSE)</f>
        <v>#REF!</v>
      </c>
      <c r="N479" s="61" t="e">
        <f>VLOOKUP(B479,'115+040'!$B$12:$AB$621,5,FALSE)</f>
        <v>#REF!</v>
      </c>
      <c r="O479" s="60" t="e">
        <f t="shared" si="94"/>
        <v>#REF!</v>
      </c>
      <c r="P479" s="60" t="e">
        <f>VLOOKUP(B479,'115+040'!$B$12:$AB$621,14,FALSE)</f>
        <v>#REF!</v>
      </c>
      <c r="Q479" s="58">
        <f>'115+040'!S477</f>
        <v>0</v>
      </c>
      <c r="R479" s="57">
        <f t="shared" si="99"/>
        <v>1221</v>
      </c>
      <c r="S479" s="62" t="e">
        <f>VLOOKUP(B479,'115+040'!$B$11:$AB$621,22,FALSE)</f>
        <v>#REF!</v>
      </c>
      <c r="T479" s="61" t="e">
        <f>VLOOKUP(B479,'115+040'!$B$12:$AB$621,6,FALSE)</f>
        <v>#REF!</v>
      </c>
      <c r="U479" s="60" t="e">
        <f t="shared" si="95"/>
        <v>#REF!</v>
      </c>
      <c r="V479" s="59" t="e">
        <f>VLOOKUP(B479,'115+040'!$B$12:$AB$621,15,FALSE)</f>
        <v>#REF!</v>
      </c>
      <c r="W479" s="58">
        <f>'[4]114+940'!S480</f>
        <v>3</v>
      </c>
      <c r="X479" s="57">
        <f t="shared" si="100"/>
        <v>772</v>
      </c>
      <c r="Y479" s="56" t="e">
        <f t="shared" si="101"/>
        <v>#REF!</v>
      </c>
      <c r="Z479" s="55" t="e">
        <f t="shared" si="102"/>
        <v>#REF!</v>
      </c>
      <c r="AA479" s="54" t="e">
        <f t="shared" si="103"/>
        <v>#REF!</v>
      </c>
      <c r="AB479" s="54" t="e">
        <f t="shared" si="104"/>
        <v>#REF!</v>
      </c>
    </row>
    <row r="480" spans="2:28">
      <c r="B480" s="96" t="e">
        <f>'115+040'!#REF!</f>
        <v>#REF!</v>
      </c>
      <c r="C480" s="66" t="e">
        <f t="shared" si="96"/>
        <v>#REF!</v>
      </c>
      <c r="D480" s="65" t="e">
        <f t="shared" si="97"/>
        <v>#REF!</v>
      </c>
      <c r="E480" s="64" t="e">
        <f>VLOOKUP(B480,'115+040'!B478:AB478,3,FALSE)</f>
        <v>#REF!</v>
      </c>
      <c r="F480" s="61" t="e">
        <f t="shared" si="92"/>
        <v>#REF!</v>
      </c>
      <c r="G480" s="63" t="e">
        <f>VLOOKUP(B480,'115+040'!$B$12:$AB$621,20,FALSE)</f>
        <v>#REF!</v>
      </c>
      <c r="H480" s="63" t="e">
        <f>VLOOKUP(B480,'115+040'!$B$12:$AB$621,4,FALSE)</f>
        <v>#REF!</v>
      </c>
      <c r="I480" s="60" t="e">
        <f t="shared" si="93"/>
        <v>#REF!</v>
      </c>
      <c r="J480" s="60" t="e">
        <f>VLOOKUP(B480,'115+040'!$B$12:$AB$621,13,FALSE)</f>
        <v>#REF!</v>
      </c>
      <c r="K480" s="58">
        <f>'115+040'!R478</f>
        <v>0</v>
      </c>
      <c r="L480" s="57">
        <f t="shared" si="98"/>
        <v>1035</v>
      </c>
      <c r="M480" s="62" t="e">
        <f>VLOOKUP(B480,'115+040'!$B$11:$AB$621,21,FALSE)</f>
        <v>#REF!</v>
      </c>
      <c r="N480" s="61" t="e">
        <f>VLOOKUP(B480,'115+040'!$B$12:$AB$621,5,FALSE)</f>
        <v>#REF!</v>
      </c>
      <c r="O480" s="60" t="e">
        <f t="shared" si="94"/>
        <v>#REF!</v>
      </c>
      <c r="P480" s="60" t="e">
        <f>VLOOKUP(B480,'115+040'!$B$12:$AB$621,14,FALSE)</f>
        <v>#REF!</v>
      </c>
      <c r="Q480" s="58">
        <f>'115+040'!S478</f>
        <v>0</v>
      </c>
      <c r="R480" s="57">
        <f t="shared" si="99"/>
        <v>1221</v>
      </c>
      <c r="S480" s="62" t="e">
        <f>VLOOKUP(B480,'115+040'!$B$11:$AB$621,22,FALSE)</f>
        <v>#REF!</v>
      </c>
      <c r="T480" s="61" t="e">
        <f>VLOOKUP(B480,'115+040'!$B$12:$AB$621,6,FALSE)</f>
        <v>#REF!</v>
      </c>
      <c r="U480" s="60" t="e">
        <f t="shared" si="95"/>
        <v>#REF!</v>
      </c>
      <c r="V480" s="59" t="e">
        <f>VLOOKUP(B480,'115+040'!$B$12:$AB$621,15,FALSE)</f>
        <v>#REF!</v>
      </c>
      <c r="W480" s="58">
        <f>'[4]114+940'!S481</f>
        <v>1</v>
      </c>
      <c r="X480" s="57">
        <f t="shared" si="100"/>
        <v>773</v>
      </c>
      <c r="Y480" s="56" t="e">
        <f t="shared" si="101"/>
        <v>#REF!</v>
      </c>
      <c r="Z480" s="55" t="e">
        <f t="shared" si="102"/>
        <v>#REF!</v>
      </c>
      <c r="AA480" s="54" t="e">
        <f t="shared" si="103"/>
        <v>#REF!</v>
      </c>
      <c r="AB480" s="54" t="e">
        <f t="shared" si="104"/>
        <v>#REF!</v>
      </c>
    </row>
    <row r="481" spans="2:28">
      <c r="B481" s="96" t="e">
        <f>'115+040'!#REF!</f>
        <v>#REF!</v>
      </c>
      <c r="C481" s="66" t="e">
        <f t="shared" si="96"/>
        <v>#REF!</v>
      </c>
      <c r="D481" s="65" t="e">
        <f t="shared" si="97"/>
        <v>#REF!</v>
      </c>
      <c r="E481" s="64" t="e">
        <f>VLOOKUP(B481,'115+040'!B479:AB479,3,FALSE)</f>
        <v>#REF!</v>
      </c>
      <c r="F481" s="61" t="e">
        <f t="shared" si="92"/>
        <v>#REF!</v>
      </c>
      <c r="G481" s="63" t="e">
        <f>VLOOKUP(B481,'115+040'!$B$12:$AB$621,20,FALSE)</f>
        <v>#REF!</v>
      </c>
      <c r="H481" s="63" t="e">
        <f>VLOOKUP(B481,'115+040'!$B$12:$AB$621,4,FALSE)</f>
        <v>#REF!</v>
      </c>
      <c r="I481" s="60" t="e">
        <f t="shared" si="93"/>
        <v>#REF!</v>
      </c>
      <c r="J481" s="60" t="e">
        <f>VLOOKUP(B481,'115+040'!$B$12:$AB$621,13,FALSE)</f>
        <v>#REF!</v>
      </c>
      <c r="K481" s="58">
        <f>'115+040'!R479</f>
        <v>0</v>
      </c>
      <c r="L481" s="57">
        <f t="shared" si="98"/>
        <v>1035</v>
      </c>
      <c r="M481" s="62" t="e">
        <f>VLOOKUP(B481,'115+040'!$B$11:$AB$621,21,FALSE)</f>
        <v>#REF!</v>
      </c>
      <c r="N481" s="61" t="e">
        <f>VLOOKUP(B481,'115+040'!$B$12:$AB$621,5,FALSE)</f>
        <v>#REF!</v>
      </c>
      <c r="O481" s="60" t="e">
        <f t="shared" si="94"/>
        <v>#REF!</v>
      </c>
      <c r="P481" s="60" t="e">
        <f>VLOOKUP(B481,'115+040'!$B$12:$AB$621,14,FALSE)</f>
        <v>#REF!</v>
      </c>
      <c r="Q481" s="58">
        <f>'115+040'!S479</f>
        <v>2</v>
      </c>
      <c r="R481" s="57">
        <f t="shared" si="99"/>
        <v>1223</v>
      </c>
      <c r="S481" s="62" t="e">
        <f>VLOOKUP(B481,'115+040'!$B$11:$AB$621,22,FALSE)</f>
        <v>#REF!</v>
      </c>
      <c r="T481" s="61" t="e">
        <f>VLOOKUP(B481,'115+040'!$B$12:$AB$621,6,FALSE)</f>
        <v>#REF!</v>
      </c>
      <c r="U481" s="60" t="e">
        <f t="shared" si="95"/>
        <v>#REF!</v>
      </c>
      <c r="V481" s="59" t="e">
        <f>VLOOKUP(B481,'115+040'!$B$12:$AB$621,15,FALSE)</f>
        <v>#REF!</v>
      </c>
      <c r="W481" s="58">
        <f>'[4]114+940'!S482</f>
        <v>2</v>
      </c>
      <c r="X481" s="57">
        <f t="shared" si="100"/>
        <v>775</v>
      </c>
      <c r="Y481" s="56" t="e">
        <f t="shared" si="101"/>
        <v>#REF!</v>
      </c>
      <c r="Z481" s="55" t="e">
        <f t="shared" si="102"/>
        <v>#REF!</v>
      </c>
      <c r="AA481" s="54" t="e">
        <f t="shared" si="103"/>
        <v>#REF!</v>
      </c>
      <c r="AB481" s="54" t="e">
        <f t="shared" si="104"/>
        <v>#REF!</v>
      </c>
    </row>
    <row r="482" spans="2:28">
      <c r="B482" s="96" t="e">
        <f>'115+040'!#REF!</f>
        <v>#REF!</v>
      </c>
      <c r="C482" s="66" t="e">
        <f t="shared" si="96"/>
        <v>#REF!</v>
      </c>
      <c r="D482" s="65" t="e">
        <f t="shared" si="97"/>
        <v>#REF!</v>
      </c>
      <c r="E482" s="64" t="e">
        <f>VLOOKUP(B482,'115+040'!B480:AB480,3,FALSE)</f>
        <v>#REF!</v>
      </c>
      <c r="F482" s="61" t="e">
        <f t="shared" si="92"/>
        <v>#REF!</v>
      </c>
      <c r="G482" s="63" t="e">
        <f>VLOOKUP(B482,'115+040'!$B$12:$AB$621,20,FALSE)</f>
        <v>#REF!</v>
      </c>
      <c r="H482" s="63" t="e">
        <f>VLOOKUP(B482,'115+040'!$B$12:$AB$621,4,FALSE)</f>
        <v>#REF!</v>
      </c>
      <c r="I482" s="60" t="e">
        <f t="shared" si="93"/>
        <v>#REF!</v>
      </c>
      <c r="J482" s="60" t="e">
        <f>VLOOKUP(B482,'115+040'!$B$12:$AB$621,13,FALSE)</f>
        <v>#REF!</v>
      </c>
      <c r="K482" s="58">
        <f>'115+040'!R480</f>
        <v>0</v>
      </c>
      <c r="L482" s="57">
        <f t="shared" si="98"/>
        <v>1035</v>
      </c>
      <c r="M482" s="62" t="e">
        <f>VLOOKUP(B482,'115+040'!$B$11:$AB$621,21,FALSE)</f>
        <v>#REF!</v>
      </c>
      <c r="N482" s="61" t="e">
        <f>VLOOKUP(B482,'115+040'!$B$12:$AB$621,5,FALSE)</f>
        <v>#REF!</v>
      </c>
      <c r="O482" s="60" t="e">
        <f t="shared" si="94"/>
        <v>#REF!</v>
      </c>
      <c r="P482" s="60" t="e">
        <f>VLOOKUP(B482,'115+040'!$B$12:$AB$621,14,FALSE)</f>
        <v>#REF!</v>
      </c>
      <c r="Q482" s="58">
        <f>'115+040'!S480</f>
        <v>0</v>
      </c>
      <c r="R482" s="57">
        <f t="shared" si="99"/>
        <v>1223</v>
      </c>
      <c r="S482" s="62" t="e">
        <f>VLOOKUP(B482,'115+040'!$B$11:$AB$621,22,FALSE)</f>
        <v>#REF!</v>
      </c>
      <c r="T482" s="61" t="e">
        <f>VLOOKUP(B482,'115+040'!$B$12:$AB$621,6,FALSE)</f>
        <v>#REF!</v>
      </c>
      <c r="U482" s="60" t="e">
        <f t="shared" si="95"/>
        <v>#REF!</v>
      </c>
      <c r="V482" s="59" t="e">
        <f>VLOOKUP(B482,'115+040'!$B$12:$AB$621,15,FALSE)</f>
        <v>#REF!</v>
      </c>
      <c r="W482" s="58">
        <f>'[4]114+940'!S483</f>
        <v>1</v>
      </c>
      <c r="X482" s="57">
        <f t="shared" si="100"/>
        <v>776</v>
      </c>
      <c r="Y482" s="56" t="e">
        <f t="shared" si="101"/>
        <v>#REF!</v>
      </c>
      <c r="Z482" s="55" t="e">
        <f t="shared" si="102"/>
        <v>#REF!</v>
      </c>
      <c r="AA482" s="54" t="e">
        <f t="shared" si="103"/>
        <v>#REF!</v>
      </c>
      <c r="AB482" s="54" t="e">
        <f t="shared" si="104"/>
        <v>#REF!</v>
      </c>
    </row>
    <row r="483" spans="2:28">
      <c r="B483" s="96" t="e">
        <f>'115+040'!#REF!</f>
        <v>#REF!</v>
      </c>
      <c r="C483" s="66" t="e">
        <f t="shared" si="96"/>
        <v>#REF!</v>
      </c>
      <c r="D483" s="65" t="e">
        <f t="shared" si="97"/>
        <v>#REF!</v>
      </c>
      <c r="E483" s="64" t="e">
        <f>VLOOKUP(B483,'115+040'!B481:AB481,3,FALSE)</f>
        <v>#REF!</v>
      </c>
      <c r="F483" s="61" t="e">
        <f t="shared" si="92"/>
        <v>#REF!</v>
      </c>
      <c r="G483" s="63" t="e">
        <f>VLOOKUP(B483,'115+040'!$B$12:$AB$621,20,FALSE)</f>
        <v>#REF!</v>
      </c>
      <c r="H483" s="63" t="e">
        <f>VLOOKUP(B483,'115+040'!$B$12:$AB$621,4,FALSE)</f>
        <v>#REF!</v>
      </c>
      <c r="I483" s="60" t="e">
        <f t="shared" si="93"/>
        <v>#REF!</v>
      </c>
      <c r="J483" s="60" t="e">
        <f>VLOOKUP(B483,'115+040'!$B$12:$AB$621,13,FALSE)</f>
        <v>#REF!</v>
      </c>
      <c r="K483" s="58">
        <f>'115+040'!R481</f>
        <v>0</v>
      </c>
      <c r="L483" s="57">
        <f t="shared" si="98"/>
        <v>1035</v>
      </c>
      <c r="M483" s="62" t="e">
        <f>VLOOKUP(B483,'115+040'!$B$11:$AB$621,21,FALSE)</f>
        <v>#REF!</v>
      </c>
      <c r="N483" s="61" t="e">
        <f>VLOOKUP(B483,'115+040'!$B$12:$AB$621,5,FALSE)</f>
        <v>#REF!</v>
      </c>
      <c r="O483" s="60" t="e">
        <f t="shared" si="94"/>
        <v>#REF!</v>
      </c>
      <c r="P483" s="60" t="e">
        <f>VLOOKUP(B483,'115+040'!$B$12:$AB$621,14,FALSE)</f>
        <v>#REF!</v>
      </c>
      <c r="Q483" s="58">
        <f>'115+040'!S481</f>
        <v>2</v>
      </c>
      <c r="R483" s="57">
        <f t="shared" si="99"/>
        <v>1225</v>
      </c>
      <c r="S483" s="62" t="e">
        <f>VLOOKUP(B483,'115+040'!$B$11:$AB$621,22,FALSE)</f>
        <v>#REF!</v>
      </c>
      <c r="T483" s="61" t="e">
        <f>VLOOKUP(B483,'115+040'!$B$12:$AB$621,6,FALSE)</f>
        <v>#REF!</v>
      </c>
      <c r="U483" s="60" t="e">
        <f t="shared" si="95"/>
        <v>#REF!</v>
      </c>
      <c r="V483" s="59" t="e">
        <f>VLOOKUP(B483,'115+040'!$B$12:$AB$621,15,FALSE)</f>
        <v>#REF!</v>
      </c>
      <c r="W483" s="58">
        <f>'[4]114+940'!S484</f>
        <v>2</v>
      </c>
      <c r="X483" s="57">
        <f t="shared" si="100"/>
        <v>778</v>
      </c>
      <c r="Y483" s="56" t="e">
        <f t="shared" si="101"/>
        <v>#REF!</v>
      </c>
      <c r="Z483" s="55" t="e">
        <f t="shared" si="102"/>
        <v>#REF!</v>
      </c>
      <c r="AA483" s="54" t="e">
        <f t="shared" si="103"/>
        <v>#REF!</v>
      </c>
      <c r="AB483" s="54" t="e">
        <f t="shared" si="104"/>
        <v>#REF!</v>
      </c>
    </row>
    <row r="484" spans="2:28">
      <c r="B484" s="96" t="e">
        <f>'115+040'!#REF!</f>
        <v>#REF!</v>
      </c>
      <c r="C484" s="66" t="e">
        <f t="shared" si="96"/>
        <v>#REF!</v>
      </c>
      <c r="D484" s="65" t="e">
        <f t="shared" si="97"/>
        <v>#REF!</v>
      </c>
      <c r="E484" s="64" t="e">
        <f>VLOOKUP(B484,'115+040'!B482:AB482,3,FALSE)</f>
        <v>#REF!</v>
      </c>
      <c r="F484" s="61" t="e">
        <f t="shared" si="92"/>
        <v>#REF!</v>
      </c>
      <c r="G484" s="63" t="e">
        <f>VLOOKUP(B484,'115+040'!$B$12:$AB$621,20,FALSE)</f>
        <v>#REF!</v>
      </c>
      <c r="H484" s="63" t="e">
        <f>VLOOKUP(B484,'115+040'!$B$12:$AB$621,4,FALSE)</f>
        <v>#REF!</v>
      </c>
      <c r="I484" s="60" t="e">
        <f t="shared" si="93"/>
        <v>#REF!</v>
      </c>
      <c r="J484" s="60" t="e">
        <f>VLOOKUP(B484,'115+040'!$B$12:$AB$621,13,FALSE)</f>
        <v>#REF!</v>
      </c>
      <c r="K484" s="58">
        <f>'115+040'!R482</f>
        <v>2</v>
      </c>
      <c r="L484" s="57">
        <f t="shared" si="98"/>
        <v>1037</v>
      </c>
      <c r="M484" s="62" t="e">
        <f>VLOOKUP(B484,'115+040'!$B$11:$AB$621,21,FALSE)</f>
        <v>#REF!</v>
      </c>
      <c r="N484" s="61" t="e">
        <f>VLOOKUP(B484,'115+040'!$B$12:$AB$621,5,FALSE)</f>
        <v>#REF!</v>
      </c>
      <c r="O484" s="60" t="e">
        <f t="shared" si="94"/>
        <v>#REF!</v>
      </c>
      <c r="P484" s="60" t="e">
        <f>VLOOKUP(B484,'115+040'!$B$12:$AB$621,14,FALSE)</f>
        <v>#REF!</v>
      </c>
      <c r="Q484" s="58">
        <f>'115+040'!S482</f>
        <v>0</v>
      </c>
      <c r="R484" s="57">
        <f t="shared" si="99"/>
        <v>1225</v>
      </c>
      <c r="S484" s="62" t="e">
        <f>VLOOKUP(B484,'115+040'!$B$11:$AB$621,22,FALSE)</f>
        <v>#REF!</v>
      </c>
      <c r="T484" s="61" t="e">
        <f>VLOOKUP(B484,'115+040'!$B$12:$AB$621,6,FALSE)</f>
        <v>#REF!</v>
      </c>
      <c r="U484" s="60" t="e">
        <f t="shared" si="95"/>
        <v>#REF!</v>
      </c>
      <c r="V484" s="59" t="e">
        <f>VLOOKUP(B484,'115+040'!$B$12:$AB$621,15,FALSE)</f>
        <v>#REF!</v>
      </c>
      <c r="W484" s="58">
        <f>'[4]114+940'!S485</f>
        <v>2</v>
      </c>
      <c r="X484" s="57">
        <f t="shared" si="100"/>
        <v>780</v>
      </c>
      <c r="Y484" s="56" t="e">
        <f t="shared" si="101"/>
        <v>#REF!</v>
      </c>
      <c r="Z484" s="55" t="e">
        <f t="shared" si="102"/>
        <v>#REF!</v>
      </c>
      <c r="AA484" s="54" t="e">
        <f t="shared" si="103"/>
        <v>#REF!</v>
      </c>
      <c r="AB484" s="54" t="e">
        <f t="shared" si="104"/>
        <v>#REF!</v>
      </c>
    </row>
    <row r="485" spans="2:28">
      <c r="B485" s="96" t="e">
        <f>'115+040'!#REF!</f>
        <v>#REF!</v>
      </c>
      <c r="C485" s="66" t="e">
        <f t="shared" si="96"/>
        <v>#REF!</v>
      </c>
      <c r="D485" s="65" t="e">
        <f t="shared" si="97"/>
        <v>#REF!</v>
      </c>
      <c r="E485" s="64" t="e">
        <f>VLOOKUP(B485,'115+040'!B483:AB483,3,FALSE)</f>
        <v>#REF!</v>
      </c>
      <c r="F485" s="61" t="e">
        <f t="shared" si="92"/>
        <v>#REF!</v>
      </c>
      <c r="G485" s="63" t="e">
        <f>VLOOKUP(B485,'115+040'!$B$12:$AB$621,20,FALSE)</f>
        <v>#REF!</v>
      </c>
      <c r="H485" s="63" t="e">
        <f>VLOOKUP(B485,'115+040'!$B$12:$AB$621,4,FALSE)</f>
        <v>#REF!</v>
      </c>
      <c r="I485" s="60" t="e">
        <f t="shared" si="93"/>
        <v>#REF!</v>
      </c>
      <c r="J485" s="60" t="e">
        <f>VLOOKUP(B485,'115+040'!$B$12:$AB$621,13,FALSE)</f>
        <v>#REF!</v>
      </c>
      <c r="K485" s="58">
        <f>'115+040'!R483</f>
        <v>0</v>
      </c>
      <c r="L485" s="57">
        <f t="shared" si="98"/>
        <v>1037</v>
      </c>
      <c r="M485" s="62" t="e">
        <f>VLOOKUP(B485,'115+040'!$B$11:$AB$621,21,FALSE)</f>
        <v>#REF!</v>
      </c>
      <c r="N485" s="61" t="e">
        <f>VLOOKUP(B485,'115+040'!$B$12:$AB$621,5,FALSE)</f>
        <v>#REF!</v>
      </c>
      <c r="O485" s="60" t="e">
        <f t="shared" si="94"/>
        <v>#REF!</v>
      </c>
      <c r="P485" s="60" t="e">
        <f>VLOOKUP(B485,'115+040'!$B$12:$AB$621,14,FALSE)</f>
        <v>#REF!</v>
      </c>
      <c r="Q485" s="58">
        <f>'115+040'!S483</f>
        <v>0</v>
      </c>
      <c r="R485" s="57">
        <f t="shared" si="99"/>
        <v>1225</v>
      </c>
      <c r="S485" s="62" t="e">
        <f>VLOOKUP(B485,'115+040'!$B$11:$AB$621,22,FALSE)</f>
        <v>#REF!</v>
      </c>
      <c r="T485" s="61" t="e">
        <f>VLOOKUP(B485,'115+040'!$B$12:$AB$621,6,FALSE)</f>
        <v>#REF!</v>
      </c>
      <c r="U485" s="60" t="e">
        <f t="shared" si="95"/>
        <v>#REF!</v>
      </c>
      <c r="V485" s="59" t="e">
        <f>VLOOKUP(B485,'115+040'!$B$12:$AB$621,15,FALSE)</f>
        <v>#REF!</v>
      </c>
      <c r="W485" s="58">
        <f>'[4]114+940'!S486</f>
        <v>3</v>
      </c>
      <c r="X485" s="57">
        <f t="shared" si="100"/>
        <v>783</v>
      </c>
      <c r="Y485" s="56" t="e">
        <f t="shared" si="101"/>
        <v>#REF!</v>
      </c>
      <c r="Z485" s="55" t="e">
        <f t="shared" si="102"/>
        <v>#REF!</v>
      </c>
      <c r="AA485" s="54" t="e">
        <f t="shared" si="103"/>
        <v>#REF!</v>
      </c>
      <c r="AB485" s="54" t="e">
        <f t="shared" si="104"/>
        <v>#REF!</v>
      </c>
    </row>
    <row r="486" spans="2:28">
      <c r="B486" s="96" t="e">
        <f>'115+040'!#REF!</f>
        <v>#REF!</v>
      </c>
      <c r="C486" s="66" t="e">
        <f t="shared" si="96"/>
        <v>#REF!</v>
      </c>
      <c r="D486" s="65" t="e">
        <f t="shared" si="97"/>
        <v>#REF!</v>
      </c>
      <c r="E486" s="64" t="e">
        <f>VLOOKUP(B486,'115+040'!B484:AB484,3,FALSE)</f>
        <v>#REF!</v>
      </c>
      <c r="F486" s="61" t="e">
        <f t="shared" si="92"/>
        <v>#REF!</v>
      </c>
      <c r="G486" s="63" t="e">
        <f>VLOOKUP(B486,'115+040'!$B$12:$AB$621,20,FALSE)</f>
        <v>#REF!</v>
      </c>
      <c r="H486" s="63" t="e">
        <f>VLOOKUP(B486,'115+040'!$B$12:$AB$621,4,FALSE)</f>
        <v>#REF!</v>
      </c>
      <c r="I486" s="60" t="e">
        <f t="shared" si="93"/>
        <v>#REF!</v>
      </c>
      <c r="J486" s="60" t="e">
        <f>VLOOKUP(B486,'115+040'!$B$12:$AB$621,13,FALSE)</f>
        <v>#REF!</v>
      </c>
      <c r="K486" s="58">
        <f>'115+040'!R484</f>
        <v>0</v>
      </c>
      <c r="L486" s="57">
        <f t="shared" si="98"/>
        <v>1037</v>
      </c>
      <c r="M486" s="62" t="e">
        <f>VLOOKUP(B486,'115+040'!$B$11:$AB$621,21,FALSE)</f>
        <v>#REF!</v>
      </c>
      <c r="N486" s="61" t="e">
        <f>VLOOKUP(B486,'115+040'!$B$12:$AB$621,5,FALSE)</f>
        <v>#REF!</v>
      </c>
      <c r="O486" s="60" t="e">
        <f t="shared" si="94"/>
        <v>#REF!</v>
      </c>
      <c r="P486" s="60" t="e">
        <f>VLOOKUP(B486,'115+040'!$B$12:$AB$621,14,FALSE)</f>
        <v>#REF!</v>
      </c>
      <c r="Q486" s="58">
        <f>'115+040'!S484</f>
        <v>0</v>
      </c>
      <c r="R486" s="57">
        <f t="shared" si="99"/>
        <v>1225</v>
      </c>
      <c r="S486" s="62" t="e">
        <f>VLOOKUP(B486,'115+040'!$B$11:$AB$621,22,FALSE)</f>
        <v>#REF!</v>
      </c>
      <c r="T486" s="61" t="e">
        <f>VLOOKUP(B486,'115+040'!$B$12:$AB$621,6,FALSE)</f>
        <v>#REF!</v>
      </c>
      <c r="U486" s="60" t="e">
        <f t="shared" si="95"/>
        <v>#REF!</v>
      </c>
      <c r="V486" s="59" t="e">
        <f>VLOOKUP(B486,'115+040'!$B$12:$AB$621,15,FALSE)</f>
        <v>#REF!</v>
      </c>
      <c r="W486" s="58">
        <f>'[4]114+940'!S487</f>
        <v>1</v>
      </c>
      <c r="X486" s="57">
        <f t="shared" si="100"/>
        <v>784</v>
      </c>
      <c r="Y486" s="56" t="e">
        <f t="shared" si="101"/>
        <v>#REF!</v>
      </c>
      <c r="Z486" s="55" t="e">
        <f t="shared" si="102"/>
        <v>#REF!</v>
      </c>
      <c r="AA486" s="54" t="e">
        <f t="shared" si="103"/>
        <v>#REF!</v>
      </c>
      <c r="AB486" s="54" t="e">
        <f t="shared" si="104"/>
        <v>#REF!</v>
      </c>
    </row>
    <row r="487" spans="2:28">
      <c r="B487" s="96" t="e">
        <f>'115+040'!#REF!</f>
        <v>#REF!</v>
      </c>
      <c r="C487" s="66" t="e">
        <f t="shared" si="96"/>
        <v>#REF!</v>
      </c>
      <c r="D487" s="65" t="e">
        <f t="shared" si="97"/>
        <v>#REF!</v>
      </c>
      <c r="E487" s="64" t="e">
        <f>VLOOKUP(B487,'115+040'!B485:AB485,3,FALSE)</f>
        <v>#REF!</v>
      </c>
      <c r="F487" s="61" t="e">
        <f t="shared" si="92"/>
        <v>#REF!</v>
      </c>
      <c r="G487" s="63" t="e">
        <f>VLOOKUP(B487,'115+040'!$B$12:$AB$621,20,FALSE)</f>
        <v>#REF!</v>
      </c>
      <c r="H487" s="63" t="e">
        <f>VLOOKUP(B487,'115+040'!$B$12:$AB$621,4,FALSE)</f>
        <v>#REF!</v>
      </c>
      <c r="I487" s="60" t="e">
        <f t="shared" si="93"/>
        <v>#REF!</v>
      </c>
      <c r="J487" s="60" t="e">
        <f>VLOOKUP(B487,'115+040'!$B$12:$AB$621,13,FALSE)</f>
        <v>#REF!</v>
      </c>
      <c r="K487" s="58">
        <f>'115+040'!R485</f>
        <v>0</v>
      </c>
      <c r="L487" s="57">
        <f t="shared" si="98"/>
        <v>1037</v>
      </c>
      <c r="M487" s="62" t="e">
        <f>VLOOKUP(B487,'115+040'!$B$11:$AB$621,21,FALSE)</f>
        <v>#REF!</v>
      </c>
      <c r="N487" s="61" t="e">
        <f>VLOOKUP(B487,'115+040'!$B$12:$AB$621,5,FALSE)</f>
        <v>#REF!</v>
      </c>
      <c r="O487" s="60" t="e">
        <f t="shared" si="94"/>
        <v>#REF!</v>
      </c>
      <c r="P487" s="60" t="e">
        <f>VLOOKUP(B487,'115+040'!$B$12:$AB$621,14,FALSE)</f>
        <v>#REF!</v>
      </c>
      <c r="Q487" s="58">
        <f>'115+040'!S485</f>
        <v>2</v>
      </c>
      <c r="R487" s="57">
        <f t="shared" si="99"/>
        <v>1227</v>
      </c>
      <c r="S487" s="62" t="e">
        <f>VLOOKUP(B487,'115+040'!$B$11:$AB$621,22,FALSE)</f>
        <v>#REF!</v>
      </c>
      <c r="T487" s="61" t="e">
        <f>VLOOKUP(B487,'115+040'!$B$12:$AB$621,6,FALSE)</f>
        <v>#REF!</v>
      </c>
      <c r="U487" s="60" t="e">
        <f t="shared" si="95"/>
        <v>#REF!</v>
      </c>
      <c r="V487" s="59" t="e">
        <f>VLOOKUP(B487,'115+040'!$B$12:$AB$621,15,FALSE)</f>
        <v>#REF!</v>
      </c>
      <c r="W487" s="58">
        <f>'[4]114+940'!S488</f>
        <v>2</v>
      </c>
      <c r="X487" s="57">
        <f t="shared" si="100"/>
        <v>786</v>
      </c>
      <c r="Y487" s="56" t="e">
        <f t="shared" si="101"/>
        <v>#REF!</v>
      </c>
      <c r="Z487" s="55" t="e">
        <f t="shared" si="102"/>
        <v>#REF!</v>
      </c>
      <c r="AA487" s="54" t="e">
        <f t="shared" si="103"/>
        <v>#REF!</v>
      </c>
      <c r="AB487" s="54" t="e">
        <f t="shared" si="104"/>
        <v>#REF!</v>
      </c>
    </row>
    <row r="488" spans="2:28">
      <c r="B488" s="96" t="e">
        <f>'115+040'!#REF!</f>
        <v>#REF!</v>
      </c>
      <c r="C488" s="66" t="e">
        <f t="shared" si="96"/>
        <v>#REF!</v>
      </c>
      <c r="D488" s="65" t="e">
        <f t="shared" si="97"/>
        <v>#REF!</v>
      </c>
      <c r="E488" s="64" t="e">
        <f>VLOOKUP(B488,'115+040'!B486:AB486,3,FALSE)</f>
        <v>#REF!</v>
      </c>
      <c r="F488" s="61" t="e">
        <f t="shared" si="92"/>
        <v>#REF!</v>
      </c>
      <c r="G488" s="63" t="e">
        <f>VLOOKUP(B488,'115+040'!$B$12:$AB$621,20,FALSE)</f>
        <v>#REF!</v>
      </c>
      <c r="H488" s="63" t="e">
        <f>VLOOKUP(B488,'115+040'!$B$12:$AB$621,4,FALSE)</f>
        <v>#REF!</v>
      </c>
      <c r="I488" s="60" t="e">
        <f t="shared" si="93"/>
        <v>#REF!</v>
      </c>
      <c r="J488" s="60" t="e">
        <f>VLOOKUP(B488,'115+040'!$B$12:$AB$621,13,FALSE)</f>
        <v>#REF!</v>
      </c>
      <c r="K488" s="58">
        <f>'115+040'!R486</f>
        <v>1</v>
      </c>
      <c r="L488" s="57">
        <f t="shared" si="98"/>
        <v>1038</v>
      </c>
      <c r="M488" s="62" t="e">
        <f>VLOOKUP(B488,'115+040'!$B$11:$AB$621,21,FALSE)</f>
        <v>#REF!</v>
      </c>
      <c r="N488" s="61" t="e">
        <f>VLOOKUP(B488,'115+040'!$B$12:$AB$621,5,FALSE)</f>
        <v>#REF!</v>
      </c>
      <c r="O488" s="60" t="e">
        <f t="shared" si="94"/>
        <v>#REF!</v>
      </c>
      <c r="P488" s="60" t="e">
        <f>VLOOKUP(B488,'115+040'!$B$12:$AB$621,14,FALSE)</f>
        <v>#REF!</v>
      </c>
      <c r="Q488" s="58">
        <f>'115+040'!S486</f>
        <v>1</v>
      </c>
      <c r="R488" s="57">
        <f t="shared" si="99"/>
        <v>1228</v>
      </c>
      <c r="S488" s="62" t="e">
        <f>VLOOKUP(B488,'115+040'!$B$11:$AB$621,22,FALSE)</f>
        <v>#REF!</v>
      </c>
      <c r="T488" s="61" t="e">
        <f>VLOOKUP(B488,'115+040'!$B$12:$AB$621,6,FALSE)</f>
        <v>#REF!</v>
      </c>
      <c r="U488" s="60" t="e">
        <f t="shared" si="95"/>
        <v>#REF!</v>
      </c>
      <c r="V488" s="59" t="e">
        <f>VLOOKUP(B488,'115+040'!$B$12:$AB$621,15,FALSE)</f>
        <v>#REF!</v>
      </c>
      <c r="W488" s="58">
        <f>'[4]114+940'!S489</f>
        <v>2</v>
      </c>
      <c r="X488" s="57">
        <f t="shared" si="100"/>
        <v>788</v>
      </c>
      <c r="Y488" s="56" t="e">
        <f t="shared" si="101"/>
        <v>#REF!</v>
      </c>
      <c r="Z488" s="55" t="e">
        <f t="shared" si="102"/>
        <v>#REF!</v>
      </c>
      <c r="AA488" s="54" t="e">
        <f t="shared" si="103"/>
        <v>#REF!</v>
      </c>
      <c r="AB488" s="54" t="e">
        <f t="shared" si="104"/>
        <v>#REF!</v>
      </c>
    </row>
    <row r="489" spans="2:28">
      <c r="B489" s="96" t="e">
        <f>'115+040'!#REF!</f>
        <v>#REF!</v>
      </c>
      <c r="C489" s="66" t="e">
        <f t="shared" si="96"/>
        <v>#REF!</v>
      </c>
      <c r="D489" s="65" t="e">
        <f t="shared" si="97"/>
        <v>#REF!</v>
      </c>
      <c r="E489" s="64" t="e">
        <f>VLOOKUP(B489,'115+040'!B487:AB487,3,FALSE)</f>
        <v>#REF!</v>
      </c>
      <c r="F489" s="61" t="e">
        <f t="shared" si="92"/>
        <v>#REF!</v>
      </c>
      <c r="G489" s="63" t="e">
        <f>VLOOKUP(B489,'115+040'!$B$12:$AB$621,20,FALSE)</f>
        <v>#REF!</v>
      </c>
      <c r="H489" s="63" t="e">
        <f>VLOOKUP(B489,'115+040'!$B$12:$AB$621,4,FALSE)</f>
        <v>#REF!</v>
      </c>
      <c r="I489" s="60" t="e">
        <f t="shared" si="93"/>
        <v>#REF!</v>
      </c>
      <c r="J489" s="60" t="e">
        <f>VLOOKUP(B489,'115+040'!$B$12:$AB$621,13,FALSE)</f>
        <v>#REF!</v>
      </c>
      <c r="K489" s="58">
        <f>'115+040'!R487</f>
        <v>0</v>
      </c>
      <c r="L489" s="57">
        <f t="shared" si="98"/>
        <v>1038</v>
      </c>
      <c r="M489" s="62" t="e">
        <f>VLOOKUP(B489,'115+040'!$B$11:$AB$621,21,FALSE)</f>
        <v>#REF!</v>
      </c>
      <c r="N489" s="61" t="e">
        <f>VLOOKUP(B489,'115+040'!$B$12:$AB$621,5,FALSE)</f>
        <v>#REF!</v>
      </c>
      <c r="O489" s="60" t="e">
        <f t="shared" si="94"/>
        <v>#REF!</v>
      </c>
      <c r="P489" s="60" t="e">
        <f>VLOOKUP(B489,'115+040'!$B$12:$AB$621,14,FALSE)</f>
        <v>#REF!</v>
      </c>
      <c r="Q489" s="58">
        <f>'115+040'!S487</f>
        <v>0</v>
      </c>
      <c r="R489" s="57">
        <f t="shared" si="99"/>
        <v>1228</v>
      </c>
      <c r="S489" s="62" t="e">
        <f>VLOOKUP(B489,'115+040'!$B$11:$AB$621,22,FALSE)</f>
        <v>#REF!</v>
      </c>
      <c r="T489" s="61" t="e">
        <f>VLOOKUP(B489,'115+040'!$B$12:$AB$621,6,FALSE)</f>
        <v>#REF!</v>
      </c>
      <c r="U489" s="60" t="e">
        <f t="shared" si="95"/>
        <v>#REF!</v>
      </c>
      <c r="V489" s="59" t="e">
        <f>VLOOKUP(B489,'115+040'!$B$12:$AB$621,15,FALSE)</f>
        <v>#REF!</v>
      </c>
      <c r="W489" s="58">
        <f>'[4]114+940'!S490</f>
        <v>2</v>
      </c>
      <c r="X489" s="57">
        <f t="shared" si="100"/>
        <v>790</v>
      </c>
      <c r="Y489" s="56" t="e">
        <f t="shared" si="101"/>
        <v>#REF!</v>
      </c>
      <c r="Z489" s="55" t="e">
        <f t="shared" si="102"/>
        <v>#REF!</v>
      </c>
      <c r="AA489" s="54" t="e">
        <f t="shared" si="103"/>
        <v>#REF!</v>
      </c>
      <c r="AB489" s="54" t="e">
        <f t="shared" si="104"/>
        <v>#REF!</v>
      </c>
    </row>
    <row r="490" spans="2:28">
      <c r="B490" s="96" t="e">
        <f>'115+040'!#REF!</f>
        <v>#REF!</v>
      </c>
      <c r="C490" s="66" t="e">
        <f t="shared" si="96"/>
        <v>#REF!</v>
      </c>
      <c r="D490" s="65" t="e">
        <f t="shared" si="97"/>
        <v>#REF!</v>
      </c>
      <c r="E490" s="64" t="e">
        <f>VLOOKUP(B490,'115+040'!B488:AB488,3,FALSE)</f>
        <v>#REF!</v>
      </c>
      <c r="F490" s="61" t="e">
        <f t="shared" si="92"/>
        <v>#REF!</v>
      </c>
      <c r="G490" s="63" t="e">
        <f>VLOOKUP(B490,'115+040'!$B$12:$AB$621,20,FALSE)</f>
        <v>#REF!</v>
      </c>
      <c r="H490" s="63" t="e">
        <f>VLOOKUP(B490,'115+040'!$B$12:$AB$621,4,FALSE)</f>
        <v>#REF!</v>
      </c>
      <c r="I490" s="60" t="e">
        <f t="shared" si="93"/>
        <v>#REF!</v>
      </c>
      <c r="J490" s="60" t="e">
        <f>VLOOKUP(B490,'115+040'!$B$12:$AB$621,13,FALSE)</f>
        <v>#REF!</v>
      </c>
      <c r="K490" s="58">
        <f>'115+040'!R488</f>
        <v>0</v>
      </c>
      <c r="L490" s="57">
        <f t="shared" si="98"/>
        <v>1038</v>
      </c>
      <c r="M490" s="62" t="e">
        <f>VLOOKUP(B490,'115+040'!$B$11:$AB$621,21,FALSE)</f>
        <v>#REF!</v>
      </c>
      <c r="N490" s="61" t="e">
        <f>VLOOKUP(B490,'115+040'!$B$12:$AB$621,5,FALSE)</f>
        <v>#REF!</v>
      </c>
      <c r="O490" s="60" t="e">
        <f t="shared" si="94"/>
        <v>#REF!</v>
      </c>
      <c r="P490" s="60" t="e">
        <f>VLOOKUP(B490,'115+040'!$B$12:$AB$621,14,FALSE)</f>
        <v>#REF!</v>
      </c>
      <c r="Q490" s="58">
        <f>'115+040'!S488</f>
        <v>0</v>
      </c>
      <c r="R490" s="57">
        <f t="shared" si="99"/>
        <v>1228</v>
      </c>
      <c r="S490" s="62" t="e">
        <f>VLOOKUP(B490,'115+040'!$B$11:$AB$621,22,FALSE)</f>
        <v>#REF!</v>
      </c>
      <c r="T490" s="61" t="e">
        <f>VLOOKUP(B490,'115+040'!$B$12:$AB$621,6,FALSE)</f>
        <v>#REF!</v>
      </c>
      <c r="U490" s="60" t="e">
        <f t="shared" si="95"/>
        <v>#REF!</v>
      </c>
      <c r="V490" s="59" t="e">
        <f>VLOOKUP(B490,'115+040'!$B$12:$AB$621,15,FALSE)</f>
        <v>#REF!</v>
      </c>
      <c r="W490" s="58">
        <f>'[4]114+940'!S491</f>
        <v>1</v>
      </c>
      <c r="X490" s="57">
        <f t="shared" si="100"/>
        <v>791</v>
      </c>
      <c r="Y490" s="56" t="e">
        <f t="shared" si="101"/>
        <v>#REF!</v>
      </c>
      <c r="Z490" s="55" t="e">
        <f t="shared" si="102"/>
        <v>#REF!</v>
      </c>
      <c r="AA490" s="54" t="e">
        <f t="shared" si="103"/>
        <v>#REF!</v>
      </c>
      <c r="AB490" s="54" t="e">
        <f t="shared" si="104"/>
        <v>#REF!</v>
      </c>
    </row>
    <row r="491" spans="2:28">
      <c r="B491" s="96" t="e">
        <f>'115+040'!#REF!</f>
        <v>#REF!</v>
      </c>
      <c r="C491" s="66" t="e">
        <f t="shared" si="96"/>
        <v>#REF!</v>
      </c>
      <c r="D491" s="65" t="e">
        <f t="shared" ref="D491:D509" si="105">D490</f>
        <v>#REF!</v>
      </c>
      <c r="E491" s="64" t="e">
        <f>VLOOKUP(B491,'115+040'!B489:AB489,3,FALSE)</f>
        <v>#REF!</v>
      </c>
      <c r="F491" s="61" t="e">
        <f t="shared" ref="F491:F509" si="106">D491+E491</f>
        <v>#REF!</v>
      </c>
      <c r="G491" s="63" t="e">
        <f>VLOOKUP(B491,'115+040'!$B$12:$AB$621,20,FALSE)</f>
        <v>#REF!</v>
      </c>
      <c r="H491" s="63" t="e">
        <f>VLOOKUP(B491,'115+040'!$B$12:$AB$621,4,FALSE)</f>
        <v>#REF!</v>
      </c>
      <c r="I491" s="60" t="e">
        <f t="shared" ref="I491:I509" si="107">F491-H491</f>
        <v>#REF!</v>
      </c>
      <c r="J491" s="60" t="e">
        <f>VLOOKUP(B491,'115+040'!$B$12:$AB$621,13,FALSE)</f>
        <v>#REF!</v>
      </c>
      <c r="K491" s="58">
        <f>'115+040'!R489</f>
        <v>0</v>
      </c>
      <c r="L491" s="57">
        <f t="shared" ref="L491:L509" si="108">+K491+L490</f>
        <v>1038</v>
      </c>
      <c r="M491" s="62" t="e">
        <f>VLOOKUP(B491,'115+040'!$B$11:$AB$621,21,FALSE)</f>
        <v>#REF!</v>
      </c>
      <c r="N491" s="61" t="e">
        <f>VLOOKUP(B491,'115+040'!$B$12:$AB$621,5,FALSE)</f>
        <v>#REF!</v>
      </c>
      <c r="O491" s="60" t="e">
        <f t="shared" ref="O491:O509" si="109">F491-N491</f>
        <v>#REF!</v>
      </c>
      <c r="P491" s="60" t="e">
        <f>VLOOKUP(B491,'115+040'!$B$12:$AB$621,14,FALSE)</f>
        <v>#REF!</v>
      </c>
      <c r="Q491" s="58">
        <f>'115+040'!S489</f>
        <v>1</v>
      </c>
      <c r="R491" s="57">
        <f t="shared" ref="R491:R509" si="110">+Q491+R490</f>
        <v>1229</v>
      </c>
      <c r="S491" s="62" t="e">
        <f>VLOOKUP(B491,'115+040'!$B$11:$AB$621,22,FALSE)</f>
        <v>#REF!</v>
      </c>
      <c r="T491" s="61" t="e">
        <f>VLOOKUP(B491,'115+040'!$B$12:$AB$621,6,FALSE)</f>
        <v>#REF!</v>
      </c>
      <c r="U491" s="60" t="e">
        <f t="shared" ref="U491:U509" si="111">F491-T491</f>
        <v>#REF!</v>
      </c>
      <c r="V491" s="59" t="e">
        <f>VLOOKUP(B491,'115+040'!$B$12:$AB$621,15,FALSE)</f>
        <v>#REF!</v>
      </c>
      <c r="W491" s="58">
        <f>'[4]114+940'!S492</f>
        <v>0</v>
      </c>
      <c r="X491" s="57">
        <f t="shared" ref="X491:X509" si="112">+W491+X490</f>
        <v>791</v>
      </c>
      <c r="Y491" s="56" t="e">
        <f t="shared" ref="Y491:Y509" si="113">S491-S490</f>
        <v>#REF!</v>
      </c>
      <c r="Z491" s="55" t="e">
        <f t="shared" si="102"/>
        <v>#REF!</v>
      </c>
      <c r="AA491" s="54" t="e">
        <f t="shared" ref="AA491:AA509" si="114">AA490+Z491</f>
        <v>#REF!</v>
      </c>
      <c r="AB491" s="54" t="e">
        <f t="shared" ref="AB491:AB509" si="115">(M491-$M$13-R491)/1000</f>
        <v>#REF!</v>
      </c>
    </row>
    <row r="492" spans="2:28">
      <c r="B492" s="96" t="e">
        <f>'115+040'!#REF!</f>
        <v>#REF!</v>
      </c>
      <c r="C492" s="66" t="e">
        <f t="shared" si="96"/>
        <v>#REF!</v>
      </c>
      <c r="D492" s="65" t="e">
        <f t="shared" si="105"/>
        <v>#REF!</v>
      </c>
      <c r="E492" s="64" t="e">
        <f>VLOOKUP(B492,'115+040'!B490:AB490,3,FALSE)</f>
        <v>#REF!</v>
      </c>
      <c r="F492" s="61" t="e">
        <f t="shared" si="106"/>
        <v>#REF!</v>
      </c>
      <c r="G492" s="63" t="e">
        <f>VLOOKUP(B492,'115+040'!$B$12:$AB$621,20,FALSE)</f>
        <v>#REF!</v>
      </c>
      <c r="H492" s="63" t="e">
        <f>VLOOKUP(B492,'115+040'!$B$12:$AB$621,4,FALSE)</f>
        <v>#REF!</v>
      </c>
      <c r="I492" s="60" t="e">
        <f t="shared" si="107"/>
        <v>#REF!</v>
      </c>
      <c r="J492" s="60" t="e">
        <f>VLOOKUP(B492,'115+040'!$B$12:$AB$621,13,FALSE)</f>
        <v>#REF!</v>
      </c>
      <c r="K492" s="58">
        <f>'115+040'!R490</f>
        <v>0</v>
      </c>
      <c r="L492" s="57">
        <f t="shared" si="108"/>
        <v>1038</v>
      </c>
      <c r="M492" s="62" t="e">
        <f>VLOOKUP(B492,'115+040'!$B$11:$AB$621,21,FALSE)</f>
        <v>#REF!</v>
      </c>
      <c r="N492" s="61" t="e">
        <f>VLOOKUP(B492,'115+040'!$B$12:$AB$621,5,FALSE)</f>
        <v>#REF!</v>
      </c>
      <c r="O492" s="60" t="e">
        <f t="shared" si="109"/>
        <v>#REF!</v>
      </c>
      <c r="P492" s="60" t="e">
        <f>VLOOKUP(B492,'115+040'!$B$12:$AB$621,14,FALSE)</f>
        <v>#REF!</v>
      </c>
      <c r="Q492" s="58">
        <f>'115+040'!S490</f>
        <v>0</v>
      </c>
      <c r="R492" s="57">
        <f t="shared" si="110"/>
        <v>1229</v>
      </c>
      <c r="S492" s="62" t="e">
        <f>VLOOKUP(B492,'115+040'!$B$11:$AB$621,22,FALSE)</f>
        <v>#REF!</v>
      </c>
      <c r="T492" s="61" t="e">
        <f>VLOOKUP(B492,'115+040'!$B$12:$AB$621,6,FALSE)</f>
        <v>#REF!</v>
      </c>
      <c r="U492" s="60" t="e">
        <f t="shared" si="111"/>
        <v>#REF!</v>
      </c>
      <c r="V492" s="59" t="e">
        <f>VLOOKUP(B492,'115+040'!$B$12:$AB$621,15,FALSE)</f>
        <v>#REF!</v>
      </c>
      <c r="W492" s="58">
        <f>'[4]114+940'!S493</f>
        <v>0</v>
      </c>
      <c r="X492" s="57">
        <f t="shared" si="112"/>
        <v>791</v>
      </c>
      <c r="Y492" s="56" t="e">
        <f t="shared" si="113"/>
        <v>#REF!</v>
      </c>
      <c r="Z492" s="55" t="e">
        <f t="shared" si="102"/>
        <v>#REF!</v>
      </c>
      <c r="AA492" s="54" t="e">
        <f t="shared" si="114"/>
        <v>#REF!</v>
      </c>
      <c r="AB492" s="54" t="e">
        <f t="shared" si="115"/>
        <v>#REF!</v>
      </c>
    </row>
    <row r="493" spans="2:28">
      <c r="B493" s="96" t="e">
        <f>'115+040'!#REF!</f>
        <v>#REF!</v>
      </c>
      <c r="C493" s="66" t="e">
        <f t="shared" si="96"/>
        <v>#REF!</v>
      </c>
      <c r="D493" s="65" t="e">
        <f t="shared" si="105"/>
        <v>#REF!</v>
      </c>
      <c r="E493" s="64" t="e">
        <f>VLOOKUP(B493,'115+040'!B491:AB491,3,FALSE)</f>
        <v>#REF!</v>
      </c>
      <c r="F493" s="61" t="e">
        <f t="shared" si="106"/>
        <v>#REF!</v>
      </c>
      <c r="G493" s="63" t="e">
        <f>VLOOKUP(B493,'115+040'!$B$12:$AB$621,20,FALSE)</f>
        <v>#REF!</v>
      </c>
      <c r="H493" s="63" t="e">
        <f>VLOOKUP(B493,'115+040'!$B$12:$AB$621,4,FALSE)</f>
        <v>#REF!</v>
      </c>
      <c r="I493" s="60" t="e">
        <f t="shared" si="107"/>
        <v>#REF!</v>
      </c>
      <c r="J493" s="60" t="e">
        <f>VLOOKUP(B493,'115+040'!$B$12:$AB$621,13,FALSE)</f>
        <v>#REF!</v>
      </c>
      <c r="K493" s="58">
        <f>'115+040'!R491</f>
        <v>0</v>
      </c>
      <c r="L493" s="57">
        <f t="shared" si="108"/>
        <v>1038</v>
      </c>
      <c r="M493" s="62" t="e">
        <f>VLOOKUP(B493,'115+040'!$B$11:$AB$621,21,FALSE)</f>
        <v>#REF!</v>
      </c>
      <c r="N493" s="61" t="e">
        <f>VLOOKUP(B493,'115+040'!$B$12:$AB$621,5,FALSE)</f>
        <v>#REF!</v>
      </c>
      <c r="O493" s="60" t="e">
        <f t="shared" si="109"/>
        <v>#REF!</v>
      </c>
      <c r="P493" s="60" t="e">
        <f>VLOOKUP(B493,'115+040'!$B$12:$AB$621,14,FALSE)</f>
        <v>#REF!</v>
      </c>
      <c r="Q493" s="58">
        <f>'115+040'!S491</f>
        <v>0</v>
      </c>
      <c r="R493" s="57">
        <f t="shared" si="110"/>
        <v>1229</v>
      </c>
      <c r="S493" s="62" t="e">
        <f>VLOOKUP(B493,'115+040'!$B$11:$AB$621,22,FALSE)</f>
        <v>#REF!</v>
      </c>
      <c r="T493" s="61" t="e">
        <f>VLOOKUP(B493,'115+040'!$B$12:$AB$621,6,FALSE)</f>
        <v>#REF!</v>
      </c>
      <c r="U493" s="60" t="e">
        <f t="shared" si="111"/>
        <v>#REF!</v>
      </c>
      <c r="V493" s="59" t="e">
        <f>VLOOKUP(B493,'115+040'!$B$12:$AB$621,15,FALSE)</f>
        <v>#REF!</v>
      </c>
      <c r="W493" s="58">
        <f>'[4]114+940'!S494</f>
        <v>0</v>
      </c>
      <c r="X493" s="57">
        <f t="shared" si="112"/>
        <v>791</v>
      </c>
      <c r="Y493" s="56" t="e">
        <f t="shared" si="113"/>
        <v>#REF!</v>
      </c>
      <c r="Z493" s="55" t="e">
        <f t="shared" si="102"/>
        <v>#REF!</v>
      </c>
      <c r="AA493" s="54" t="e">
        <f t="shared" si="114"/>
        <v>#REF!</v>
      </c>
      <c r="AB493" s="54" t="e">
        <f t="shared" si="115"/>
        <v>#REF!</v>
      </c>
    </row>
    <row r="494" spans="2:28">
      <c r="B494" s="96" t="e">
        <f>'115+040'!#REF!</f>
        <v>#REF!</v>
      </c>
      <c r="C494" s="66" t="e">
        <f t="shared" si="96"/>
        <v>#REF!</v>
      </c>
      <c r="D494" s="65" t="e">
        <f t="shared" si="105"/>
        <v>#REF!</v>
      </c>
      <c r="E494" s="64" t="e">
        <f>VLOOKUP(B494,'115+040'!B492:AB492,3,FALSE)</f>
        <v>#REF!</v>
      </c>
      <c r="F494" s="61" t="e">
        <f t="shared" si="106"/>
        <v>#REF!</v>
      </c>
      <c r="G494" s="63" t="e">
        <f>VLOOKUP(B494,'115+040'!$B$12:$AB$621,20,FALSE)</f>
        <v>#REF!</v>
      </c>
      <c r="H494" s="63" t="e">
        <f>VLOOKUP(B494,'115+040'!$B$12:$AB$621,4,FALSE)</f>
        <v>#REF!</v>
      </c>
      <c r="I494" s="60" t="e">
        <f t="shared" si="107"/>
        <v>#REF!</v>
      </c>
      <c r="J494" s="60" t="e">
        <f>VLOOKUP(B494,'115+040'!$B$12:$AB$621,13,FALSE)</f>
        <v>#REF!</v>
      </c>
      <c r="K494" s="58">
        <f>'115+040'!R492</f>
        <v>0</v>
      </c>
      <c r="L494" s="57">
        <f t="shared" si="108"/>
        <v>1038</v>
      </c>
      <c r="M494" s="62" t="e">
        <f>VLOOKUP(B494,'115+040'!$B$11:$AB$621,21,FALSE)</f>
        <v>#REF!</v>
      </c>
      <c r="N494" s="61" t="e">
        <f>VLOOKUP(B494,'115+040'!$B$12:$AB$621,5,FALSE)</f>
        <v>#REF!</v>
      </c>
      <c r="O494" s="60" t="e">
        <f t="shared" si="109"/>
        <v>#REF!</v>
      </c>
      <c r="P494" s="60" t="e">
        <f>VLOOKUP(B494,'115+040'!$B$12:$AB$621,14,FALSE)</f>
        <v>#REF!</v>
      </c>
      <c r="Q494" s="58">
        <f>'115+040'!S492</f>
        <v>1</v>
      </c>
      <c r="R494" s="57">
        <f t="shared" si="110"/>
        <v>1230</v>
      </c>
      <c r="S494" s="62" t="e">
        <f>VLOOKUP(B494,'115+040'!$B$11:$AB$621,22,FALSE)</f>
        <v>#REF!</v>
      </c>
      <c r="T494" s="61" t="e">
        <f>VLOOKUP(B494,'115+040'!$B$12:$AB$621,6,FALSE)</f>
        <v>#REF!</v>
      </c>
      <c r="U494" s="60" t="e">
        <f t="shared" si="111"/>
        <v>#REF!</v>
      </c>
      <c r="V494" s="59" t="e">
        <f>VLOOKUP(B494,'115+040'!$B$12:$AB$621,15,FALSE)</f>
        <v>#REF!</v>
      </c>
      <c r="W494" s="58">
        <f>'[4]114+940'!S495</f>
        <v>0</v>
      </c>
      <c r="X494" s="57">
        <f t="shared" si="112"/>
        <v>791</v>
      </c>
      <c r="Y494" s="56" t="e">
        <f t="shared" si="113"/>
        <v>#REF!</v>
      </c>
      <c r="Z494" s="55" t="e">
        <f t="shared" si="102"/>
        <v>#REF!</v>
      </c>
      <c r="AA494" s="54" t="e">
        <f t="shared" si="114"/>
        <v>#REF!</v>
      </c>
      <c r="AB494" s="54" t="e">
        <f t="shared" si="115"/>
        <v>#REF!</v>
      </c>
    </row>
    <row r="495" spans="2:28">
      <c r="B495" s="96" t="e">
        <f>'115+040'!#REF!</f>
        <v>#REF!</v>
      </c>
      <c r="C495" s="66" t="e">
        <f t="shared" si="96"/>
        <v>#REF!</v>
      </c>
      <c r="D495" s="65" t="e">
        <f t="shared" si="105"/>
        <v>#REF!</v>
      </c>
      <c r="E495" s="64" t="e">
        <f>VLOOKUP(B495,'115+040'!B493:AB493,3,FALSE)</f>
        <v>#REF!</v>
      </c>
      <c r="F495" s="61" t="e">
        <f t="shared" si="106"/>
        <v>#REF!</v>
      </c>
      <c r="G495" s="63" t="e">
        <f>VLOOKUP(B495,'115+040'!$B$12:$AB$621,20,FALSE)</f>
        <v>#REF!</v>
      </c>
      <c r="H495" s="63" t="e">
        <f>VLOOKUP(B495,'115+040'!$B$12:$AB$621,4,FALSE)</f>
        <v>#REF!</v>
      </c>
      <c r="I495" s="60" t="e">
        <f t="shared" si="107"/>
        <v>#REF!</v>
      </c>
      <c r="J495" s="60" t="e">
        <f>VLOOKUP(B495,'115+040'!$B$12:$AB$621,13,FALSE)</f>
        <v>#REF!</v>
      </c>
      <c r="K495" s="58">
        <f>'115+040'!R493</f>
        <v>9</v>
      </c>
      <c r="L495" s="57">
        <f t="shared" si="108"/>
        <v>1047</v>
      </c>
      <c r="M495" s="62" t="e">
        <f>VLOOKUP(B495,'115+040'!$B$11:$AB$621,21,FALSE)</f>
        <v>#REF!</v>
      </c>
      <c r="N495" s="61" t="e">
        <f>VLOOKUP(B495,'115+040'!$B$12:$AB$621,5,FALSE)</f>
        <v>#REF!</v>
      </c>
      <c r="O495" s="60" t="e">
        <f t="shared" si="109"/>
        <v>#REF!</v>
      </c>
      <c r="P495" s="60" t="e">
        <f>VLOOKUP(B495,'115+040'!$B$12:$AB$621,14,FALSE)</f>
        <v>#REF!</v>
      </c>
      <c r="Q495" s="58">
        <f>'115+040'!S493</f>
        <v>7</v>
      </c>
      <c r="R495" s="57">
        <f t="shared" si="110"/>
        <v>1237</v>
      </c>
      <c r="S495" s="62" t="e">
        <f>VLOOKUP(B495,'115+040'!$B$11:$AB$621,22,FALSE)</f>
        <v>#REF!</v>
      </c>
      <c r="T495" s="61" t="e">
        <f>VLOOKUP(B495,'115+040'!$B$12:$AB$621,6,FALSE)</f>
        <v>#REF!</v>
      </c>
      <c r="U495" s="60" t="e">
        <f t="shared" si="111"/>
        <v>#REF!</v>
      </c>
      <c r="V495" s="59" t="e">
        <f>VLOOKUP(B495,'115+040'!$B$12:$AB$621,15,FALSE)</f>
        <v>#REF!</v>
      </c>
      <c r="W495" s="58">
        <f>'[4]114+940'!S496</f>
        <v>0</v>
      </c>
      <c r="X495" s="57">
        <f t="shared" si="112"/>
        <v>791</v>
      </c>
      <c r="Y495" s="56" t="e">
        <f t="shared" si="113"/>
        <v>#REF!</v>
      </c>
      <c r="Z495" s="55" t="e">
        <f t="shared" si="102"/>
        <v>#REF!</v>
      </c>
      <c r="AA495" s="54" t="e">
        <f t="shared" si="114"/>
        <v>#REF!</v>
      </c>
      <c r="AB495" s="54" t="e">
        <f t="shared" si="115"/>
        <v>#REF!</v>
      </c>
    </row>
    <row r="496" spans="2:28">
      <c r="B496" s="96" t="e">
        <f>'115+040'!#REF!</f>
        <v>#REF!</v>
      </c>
      <c r="C496" s="66" t="e">
        <f t="shared" si="96"/>
        <v>#REF!</v>
      </c>
      <c r="D496" s="65" t="e">
        <f t="shared" si="105"/>
        <v>#REF!</v>
      </c>
      <c r="E496" s="64" t="e">
        <f>VLOOKUP(B496,'115+040'!B494:AB494,3,FALSE)</f>
        <v>#REF!</v>
      </c>
      <c r="F496" s="61" t="e">
        <f t="shared" si="106"/>
        <v>#REF!</v>
      </c>
      <c r="G496" s="63" t="e">
        <f>VLOOKUP(B496,'115+040'!$B$12:$AB$621,20,FALSE)</f>
        <v>#REF!</v>
      </c>
      <c r="H496" s="63" t="e">
        <f>VLOOKUP(B496,'115+040'!$B$12:$AB$621,4,FALSE)</f>
        <v>#REF!</v>
      </c>
      <c r="I496" s="60" t="e">
        <f t="shared" si="107"/>
        <v>#REF!</v>
      </c>
      <c r="J496" s="60" t="e">
        <f>VLOOKUP(B496,'115+040'!$B$12:$AB$621,13,FALSE)</f>
        <v>#REF!</v>
      </c>
      <c r="K496" s="58">
        <f>'115+040'!R494</f>
        <v>8</v>
      </c>
      <c r="L496" s="57">
        <f t="shared" si="108"/>
        <v>1055</v>
      </c>
      <c r="M496" s="62" t="e">
        <f>VLOOKUP(B496,'115+040'!$B$11:$AB$621,21,FALSE)</f>
        <v>#REF!</v>
      </c>
      <c r="N496" s="61" t="e">
        <f>VLOOKUP(B496,'115+040'!$B$12:$AB$621,5,FALSE)</f>
        <v>#REF!</v>
      </c>
      <c r="O496" s="60" t="e">
        <f t="shared" si="109"/>
        <v>#REF!</v>
      </c>
      <c r="P496" s="60" t="e">
        <f>VLOOKUP(B496,'115+040'!$B$12:$AB$621,14,FALSE)</f>
        <v>#REF!</v>
      </c>
      <c r="Q496" s="58">
        <f>'115+040'!S494</f>
        <v>8</v>
      </c>
      <c r="R496" s="57">
        <f t="shared" si="110"/>
        <v>1245</v>
      </c>
      <c r="S496" s="62" t="e">
        <f>VLOOKUP(B496,'115+040'!$B$11:$AB$621,22,FALSE)</f>
        <v>#REF!</v>
      </c>
      <c r="T496" s="61" t="e">
        <f>VLOOKUP(B496,'115+040'!$B$12:$AB$621,6,FALSE)</f>
        <v>#REF!</v>
      </c>
      <c r="U496" s="60" t="e">
        <f t="shared" si="111"/>
        <v>#REF!</v>
      </c>
      <c r="V496" s="59" t="e">
        <f>VLOOKUP(B496,'115+040'!$B$12:$AB$621,15,FALSE)</f>
        <v>#REF!</v>
      </c>
      <c r="W496" s="58">
        <f>'[4]114+940'!S497</f>
        <v>0</v>
      </c>
      <c r="X496" s="57">
        <f t="shared" si="112"/>
        <v>791</v>
      </c>
      <c r="Y496" s="56" t="e">
        <f t="shared" si="113"/>
        <v>#REF!</v>
      </c>
      <c r="Z496" s="55" t="e">
        <f t="shared" si="102"/>
        <v>#REF!</v>
      </c>
      <c r="AA496" s="54" t="e">
        <f t="shared" si="114"/>
        <v>#REF!</v>
      </c>
      <c r="AB496" s="54" t="e">
        <f t="shared" si="115"/>
        <v>#REF!</v>
      </c>
    </row>
    <row r="497" spans="2:28">
      <c r="B497" s="96" t="e">
        <f>'115+040'!#REF!</f>
        <v>#REF!</v>
      </c>
      <c r="C497" s="66" t="e">
        <f t="shared" si="96"/>
        <v>#REF!</v>
      </c>
      <c r="D497" s="65" t="e">
        <f t="shared" si="105"/>
        <v>#REF!</v>
      </c>
      <c r="E497" s="64" t="e">
        <f>VLOOKUP(B497,'115+040'!B495:AB495,3,FALSE)</f>
        <v>#REF!</v>
      </c>
      <c r="F497" s="61" t="e">
        <f t="shared" si="106"/>
        <v>#REF!</v>
      </c>
      <c r="G497" s="63" t="e">
        <f>VLOOKUP(B497,'115+040'!$B$12:$AB$621,20,FALSE)</f>
        <v>#REF!</v>
      </c>
      <c r="H497" s="63" t="e">
        <f>VLOOKUP(B497,'115+040'!$B$12:$AB$621,4,FALSE)</f>
        <v>#REF!</v>
      </c>
      <c r="I497" s="60" t="e">
        <f t="shared" si="107"/>
        <v>#REF!</v>
      </c>
      <c r="J497" s="60" t="e">
        <f>VLOOKUP(B497,'115+040'!$B$12:$AB$621,13,FALSE)</f>
        <v>#REF!</v>
      </c>
      <c r="K497" s="58">
        <f>'115+040'!R495</f>
        <v>9</v>
      </c>
      <c r="L497" s="57">
        <f t="shared" si="108"/>
        <v>1064</v>
      </c>
      <c r="M497" s="62" t="e">
        <f>VLOOKUP(B497,'115+040'!$B$11:$AB$621,21,FALSE)</f>
        <v>#REF!</v>
      </c>
      <c r="N497" s="61" t="e">
        <f>VLOOKUP(B497,'115+040'!$B$12:$AB$621,5,FALSE)</f>
        <v>#REF!</v>
      </c>
      <c r="O497" s="60" t="e">
        <f t="shared" si="109"/>
        <v>#REF!</v>
      </c>
      <c r="P497" s="60" t="e">
        <f>VLOOKUP(B497,'115+040'!$B$12:$AB$621,14,FALSE)</f>
        <v>#REF!</v>
      </c>
      <c r="Q497" s="58">
        <f>'115+040'!S495</f>
        <v>9</v>
      </c>
      <c r="R497" s="57">
        <f t="shared" si="110"/>
        <v>1254</v>
      </c>
      <c r="S497" s="62" t="e">
        <f>VLOOKUP(B497,'115+040'!$B$11:$AB$621,22,FALSE)</f>
        <v>#REF!</v>
      </c>
      <c r="T497" s="61" t="e">
        <f>VLOOKUP(B497,'115+040'!$B$12:$AB$621,6,FALSE)</f>
        <v>#REF!</v>
      </c>
      <c r="U497" s="60" t="e">
        <f t="shared" si="111"/>
        <v>#REF!</v>
      </c>
      <c r="V497" s="59" t="e">
        <f>VLOOKUP(B497,'115+040'!$B$12:$AB$621,15,FALSE)</f>
        <v>#REF!</v>
      </c>
      <c r="W497" s="58">
        <f>'[4]114+940'!S498</f>
        <v>1</v>
      </c>
      <c r="X497" s="57">
        <f t="shared" si="112"/>
        <v>792</v>
      </c>
      <c r="Y497" s="56" t="e">
        <f t="shared" si="113"/>
        <v>#REF!</v>
      </c>
      <c r="Z497" s="55" t="e">
        <f t="shared" si="102"/>
        <v>#REF!</v>
      </c>
      <c r="AA497" s="54" t="e">
        <f t="shared" si="114"/>
        <v>#REF!</v>
      </c>
      <c r="AB497" s="54" t="e">
        <f t="shared" si="115"/>
        <v>#REF!</v>
      </c>
    </row>
    <row r="498" spans="2:28">
      <c r="B498" s="96" t="e">
        <f>'115+040'!#REF!</f>
        <v>#REF!</v>
      </c>
      <c r="C498" s="66" t="e">
        <f t="shared" si="96"/>
        <v>#REF!</v>
      </c>
      <c r="D498" s="65" t="e">
        <f t="shared" si="105"/>
        <v>#REF!</v>
      </c>
      <c r="E498" s="64" t="e">
        <f>VLOOKUP(B498,'115+040'!B496:AB496,3,FALSE)</f>
        <v>#REF!</v>
      </c>
      <c r="F498" s="61" t="e">
        <f t="shared" si="106"/>
        <v>#REF!</v>
      </c>
      <c r="G498" s="63" t="e">
        <f>VLOOKUP(B498,'115+040'!$B$12:$AB$621,20,FALSE)</f>
        <v>#REF!</v>
      </c>
      <c r="H498" s="63" t="e">
        <f>VLOOKUP(B498,'115+040'!$B$12:$AB$621,4,FALSE)</f>
        <v>#REF!</v>
      </c>
      <c r="I498" s="60" t="e">
        <f t="shared" si="107"/>
        <v>#REF!</v>
      </c>
      <c r="J498" s="60" t="e">
        <f>VLOOKUP(B498,'115+040'!$B$12:$AB$621,13,FALSE)</f>
        <v>#REF!</v>
      </c>
      <c r="K498" s="58">
        <f>'115+040'!R496</f>
        <v>7</v>
      </c>
      <c r="L498" s="57">
        <f t="shared" si="108"/>
        <v>1071</v>
      </c>
      <c r="M498" s="62" t="e">
        <f>VLOOKUP(B498,'115+040'!$B$11:$AB$621,21,FALSE)</f>
        <v>#REF!</v>
      </c>
      <c r="N498" s="61" t="e">
        <f>VLOOKUP(B498,'115+040'!$B$12:$AB$621,5,FALSE)</f>
        <v>#REF!</v>
      </c>
      <c r="O498" s="60" t="e">
        <f t="shared" si="109"/>
        <v>#REF!</v>
      </c>
      <c r="P498" s="60" t="e">
        <f>VLOOKUP(B498,'115+040'!$B$12:$AB$621,14,FALSE)</f>
        <v>#REF!</v>
      </c>
      <c r="Q498" s="58">
        <f>'115+040'!S496</f>
        <v>6</v>
      </c>
      <c r="R498" s="57">
        <f t="shared" si="110"/>
        <v>1260</v>
      </c>
      <c r="S498" s="62" t="e">
        <f>VLOOKUP(B498,'115+040'!$B$11:$AB$621,22,FALSE)</f>
        <v>#REF!</v>
      </c>
      <c r="T498" s="61" t="e">
        <f>VLOOKUP(B498,'115+040'!$B$12:$AB$621,6,FALSE)</f>
        <v>#REF!</v>
      </c>
      <c r="U498" s="60" t="e">
        <f t="shared" si="111"/>
        <v>#REF!</v>
      </c>
      <c r="V498" s="59" t="e">
        <f>VLOOKUP(B498,'115+040'!$B$12:$AB$621,15,FALSE)</f>
        <v>#REF!</v>
      </c>
      <c r="W498" s="58">
        <f>'[4]114+940'!S499</f>
        <v>0</v>
      </c>
      <c r="X498" s="57">
        <f t="shared" si="112"/>
        <v>792</v>
      </c>
      <c r="Y498" s="56" t="e">
        <f t="shared" si="113"/>
        <v>#REF!</v>
      </c>
      <c r="Z498" s="55" t="e">
        <f t="shared" si="102"/>
        <v>#REF!</v>
      </c>
      <c r="AA498" s="54" t="e">
        <f t="shared" si="114"/>
        <v>#REF!</v>
      </c>
      <c r="AB498" s="54" t="e">
        <f t="shared" si="115"/>
        <v>#REF!</v>
      </c>
    </row>
    <row r="499" spans="2:28">
      <c r="B499" s="96" t="e">
        <f>'115+040'!#REF!</f>
        <v>#REF!</v>
      </c>
      <c r="C499" s="66" t="e">
        <f t="shared" si="96"/>
        <v>#REF!</v>
      </c>
      <c r="D499" s="65" t="e">
        <f t="shared" si="105"/>
        <v>#REF!</v>
      </c>
      <c r="E499" s="64" t="e">
        <f>VLOOKUP(B499,'115+040'!B497:AB497,3,FALSE)</f>
        <v>#REF!</v>
      </c>
      <c r="F499" s="61" t="e">
        <f t="shared" si="106"/>
        <v>#REF!</v>
      </c>
      <c r="G499" s="63" t="e">
        <f>VLOOKUP(B499,'115+040'!$B$12:$AB$621,20,FALSE)</f>
        <v>#REF!</v>
      </c>
      <c r="H499" s="63" t="e">
        <f>VLOOKUP(B499,'115+040'!$B$12:$AB$621,4,FALSE)</f>
        <v>#REF!</v>
      </c>
      <c r="I499" s="60" t="e">
        <f t="shared" si="107"/>
        <v>#REF!</v>
      </c>
      <c r="J499" s="60" t="e">
        <f>VLOOKUP(B499,'115+040'!$B$12:$AB$621,13,FALSE)</f>
        <v>#REF!</v>
      </c>
      <c r="K499" s="58">
        <f>'115+040'!R497</f>
        <v>6</v>
      </c>
      <c r="L499" s="57">
        <f t="shared" si="108"/>
        <v>1077</v>
      </c>
      <c r="M499" s="62" t="e">
        <f>VLOOKUP(B499,'115+040'!$B$11:$AB$621,21,FALSE)</f>
        <v>#REF!</v>
      </c>
      <c r="N499" s="61" t="e">
        <f>VLOOKUP(B499,'115+040'!$B$12:$AB$621,5,FALSE)</f>
        <v>#REF!</v>
      </c>
      <c r="O499" s="60" t="e">
        <f t="shared" si="109"/>
        <v>#REF!</v>
      </c>
      <c r="P499" s="60" t="e">
        <f>VLOOKUP(B499,'115+040'!$B$12:$AB$621,14,FALSE)</f>
        <v>#REF!</v>
      </c>
      <c r="Q499" s="58">
        <f>'115+040'!S497</f>
        <v>7</v>
      </c>
      <c r="R499" s="57">
        <f t="shared" si="110"/>
        <v>1267</v>
      </c>
      <c r="S499" s="62" t="e">
        <f>VLOOKUP(B499,'115+040'!$B$11:$AB$621,22,FALSE)</f>
        <v>#REF!</v>
      </c>
      <c r="T499" s="61" t="e">
        <f>VLOOKUP(B499,'115+040'!$B$12:$AB$621,6,FALSE)</f>
        <v>#REF!</v>
      </c>
      <c r="U499" s="60" t="e">
        <f t="shared" si="111"/>
        <v>#REF!</v>
      </c>
      <c r="V499" s="59" t="e">
        <f>VLOOKUP(B499,'115+040'!$B$12:$AB$621,15,FALSE)</f>
        <v>#REF!</v>
      </c>
      <c r="W499" s="58">
        <f>'[4]114+940'!S500</f>
        <v>0</v>
      </c>
      <c r="X499" s="57">
        <f t="shared" si="112"/>
        <v>792</v>
      </c>
      <c r="Y499" s="56" t="e">
        <f t="shared" si="113"/>
        <v>#REF!</v>
      </c>
      <c r="Z499" s="55" t="e">
        <f t="shared" si="102"/>
        <v>#REF!</v>
      </c>
      <c r="AA499" s="54" t="e">
        <f t="shared" si="114"/>
        <v>#REF!</v>
      </c>
      <c r="AB499" s="54" t="e">
        <f t="shared" si="115"/>
        <v>#REF!</v>
      </c>
    </row>
    <row r="500" spans="2:28">
      <c r="B500" s="96" t="e">
        <f>'115+040'!#REF!</f>
        <v>#REF!</v>
      </c>
      <c r="C500" s="66" t="e">
        <f t="shared" si="96"/>
        <v>#REF!</v>
      </c>
      <c r="D500" s="65" t="e">
        <f t="shared" si="105"/>
        <v>#REF!</v>
      </c>
      <c r="E500" s="64" t="e">
        <f>VLOOKUP(B500,'115+040'!B498:AB498,3,FALSE)</f>
        <v>#REF!</v>
      </c>
      <c r="F500" s="61" t="e">
        <f t="shared" si="106"/>
        <v>#REF!</v>
      </c>
      <c r="G500" s="63" t="e">
        <f>VLOOKUP(B500,'115+040'!$B$12:$AB$621,20,FALSE)</f>
        <v>#REF!</v>
      </c>
      <c r="H500" s="63" t="e">
        <f>VLOOKUP(B500,'115+040'!$B$12:$AB$621,4,FALSE)</f>
        <v>#REF!</v>
      </c>
      <c r="I500" s="60" t="e">
        <f t="shared" si="107"/>
        <v>#REF!</v>
      </c>
      <c r="J500" s="60" t="e">
        <f>VLOOKUP(B500,'115+040'!$B$12:$AB$621,13,FALSE)</f>
        <v>#REF!</v>
      </c>
      <c r="K500" s="58">
        <f>'115+040'!R498</f>
        <v>7</v>
      </c>
      <c r="L500" s="57">
        <f t="shared" si="108"/>
        <v>1084</v>
      </c>
      <c r="M500" s="62" t="e">
        <f>VLOOKUP(B500,'115+040'!$B$11:$AB$621,21,FALSE)</f>
        <v>#REF!</v>
      </c>
      <c r="N500" s="61" t="e">
        <f>VLOOKUP(B500,'115+040'!$B$12:$AB$621,5,FALSE)</f>
        <v>#REF!</v>
      </c>
      <c r="O500" s="60" t="e">
        <f t="shared" si="109"/>
        <v>#REF!</v>
      </c>
      <c r="P500" s="60" t="e">
        <f>VLOOKUP(B500,'115+040'!$B$12:$AB$621,14,FALSE)</f>
        <v>#REF!</v>
      </c>
      <c r="Q500" s="58">
        <f>'115+040'!S498</f>
        <v>8</v>
      </c>
      <c r="R500" s="57">
        <f t="shared" si="110"/>
        <v>1275</v>
      </c>
      <c r="S500" s="62" t="e">
        <f>VLOOKUP(B500,'115+040'!$B$11:$AB$621,22,FALSE)</f>
        <v>#REF!</v>
      </c>
      <c r="T500" s="61" t="e">
        <f>VLOOKUP(B500,'115+040'!$B$12:$AB$621,6,FALSE)</f>
        <v>#REF!</v>
      </c>
      <c r="U500" s="60" t="e">
        <f t="shared" si="111"/>
        <v>#REF!</v>
      </c>
      <c r="V500" s="59" t="e">
        <f>VLOOKUP(B500,'115+040'!$B$12:$AB$621,15,FALSE)</f>
        <v>#REF!</v>
      </c>
      <c r="W500" s="58">
        <f>'[4]114+940'!S501</f>
        <v>0</v>
      </c>
      <c r="X500" s="57">
        <f t="shared" si="112"/>
        <v>792</v>
      </c>
      <c r="Y500" s="56" t="e">
        <f t="shared" si="113"/>
        <v>#REF!</v>
      </c>
      <c r="Z500" s="55" t="e">
        <f t="shared" si="102"/>
        <v>#REF!</v>
      </c>
      <c r="AA500" s="54" t="e">
        <f t="shared" si="114"/>
        <v>#REF!</v>
      </c>
      <c r="AB500" s="54" t="e">
        <f t="shared" si="115"/>
        <v>#REF!</v>
      </c>
    </row>
    <row r="501" spans="2:28">
      <c r="B501" s="96" t="e">
        <f>'115+040'!#REF!</f>
        <v>#REF!</v>
      </c>
      <c r="C501" s="66" t="e">
        <f t="shared" si="96"/>
        <v>#REF!</v>
      </c>
      <c r="D501" s="65" t="e">
        <f t="shared" si="105"/>
        <v>#REF!</v>
      </c>
      <c r="E501" s="64" t="e">
        <f>VLOOKUP(B501,'115+040'!B499:AB499,3,FALSE)</f>
        <v>#REF!</v>
      </c>
      <c r="F501" s="61" t="e">
        <f t="shared" si="106"/>
        <v>#REF!</v>
      </c>
      <c r="G501" s="63" t="e">
        <f>VLOOKUP(B501,'115+040'!$B$12:$AB$621,20,FALSE)</f>
        <v>#REF!</v>
      </c>
      <c r="H501" s="63" t="e">
        <f>VLOOKUP(B501,'115+040'!$B$12:$AB$621,4,FALSE)</f>
        <v>#REF!</v>
      </c>
      <c r="I501" s="60" t="e">
        <f t="shared" si="107"/>
        <v>#REF!</v>
      </c>
      <c r="J501" s="60" t="e">
        <f>VLOOKUP(B501,'115+040'!$B$12:$AB$621,13,FALSE)</f>
        <v>#REF!</v>
      </c>
      <c r="K501" s="58">
        <f>'115+040'!R499</f>
        <v>8</v>
      </c>
      <c r="L501" s="57">
        <f t="shared" si="108"/>
        <v>1092</v>
      </c>
      <c r="M501" s="62" t="e">
        <f>VLOOKUP(B501,'115+040'!$B$11:$AB$621,21,FALSE)</f>
        <v>#REF!</v>
      </c>
      <c r="N501" s="61" t="e">
        <f>VLOOKUP(B501,'115+040'!$B$12:$AB$621,5,FALSE)</f>
        <v>#REF!</v>
      </c>
      <c r="O501" s="60" t="e">
        <f t="shared" si="109"/>
        <v>#REF!</v>
      </c>
      <c r="P501" s="60" t="e">
        <f>VLOOKUP(B501,'115+040'!$B$12:$AB$621,14,FALSE)</f>
        <v>#REF!</v>
      </c>
      <c r="Q501" s="58">
        <f>'115+040'!S499</f>
        <v>9</v>
      </c>
      <c r="R501" s="57">
        <f t="shared" si="110"/>
        <v>1284</v>
      </c>
      <c r="S501" s="62" t="e">
        <f>VLOOKUP(B501,'115+040'!$B$11:$AB$621,22,FALSE)</f>
        <v>#REF!</v>
      </c>
      <c r="T501" s="61" t="e">
        <f>VLOOKUP(B501,'115+040'!$B$12:$AB$621,6,FALSE)</f>
        <v>#REF!</v>
      </c>
      <c r="U501" s="60" t="e">
        <f t="shared" si="111"/>
        <v>#REF!</v>
      </c>
      <c r="V501" s="59" t="e">
        <f>VLOOKUP(B501,'115+040'!$B$12:$AB$621,15,FALSE)</f>
        <v>#REF!</v>
      </c>
      <c r="W501" s="58">
        <f>'[4]114+940'!S502</f>
        <v>1</v>
      </c>
      <c r="X501" s="57">
        <f t="shared" si="112"/>
        <v>793</v>
      </c>
      <c r="Y501" s="56" t="e">
        <f t="shared" si="113"/>
        <v>#REF!</v>
      </c>
      <c r="Z501" s="55" t="e">
        <f t="shared" si="102"/>
        <v>#REF!</v>
      </c>
      <c r="AA501" s="54" t="e">
        <f t="shared" si="114"/>
        <v>#REF!</v>
      </c>
      <c r="AB501" s="54" t="e">
        <f t="shared" si="115"/>
        <v>#REF!</v>
      </c>
    </row>
    <row r="502" spans="2:28">
      <c r="B502" s="96" t="e">
        <f>'115+040'!#REF!</f>
        <v>#REF!</v>
      </c>
      <c r="C502" s="66" t="e">
        <f t="shared" si="96"/>
        <v>#REF!</v>
      </c>
      <c r="D502" s="65" t="e">
        <f t="shared" si="105"/>
        <v>#REF!</v>
      </c>
      <c r="E502" s="64" t="e">
        <f>VLOOKUP(B502,'115+040'!B500:AB500,3,FALSE)</f>
        <v>#REF!</v>
      </c>
      <c r="F502" s="61" t="e">
        <f t="shared" si="106"/>
        <v>#REF!</v>
      </c>
      <c r="G502" s="63" t="e">
        <f>VLOOKUP(B502,'115+040'!$B$12:$AB$621,20,FALSE)</f>
        <v>#REF!</v>
      </c>
      <c r="H502" s="63" t="e">
        <f>VLOOKUP(B502,'115+040'!$B$12:$AB$621,4,FALSE)</f>
        <v>#REF!</v>
      </c>
      <c r="I502" s="60" t="e">
        <f t="shared" si="107"/>
        <v>#REF!</v>
      </c>
      <c r="J502" s="60" t="e">
        <f>VLOOKUP(B502,'115+040'!$B$12:$AB$621,13,FALSE)</f>
        <v>#REF!</v>
      </c>
      <c r="K502" s="58">
        <f>'115+040'!R500</f>
        <v>6</v>
      </c>
      <c r="L502" s="57">
        <f t="shared" si="108"/>
        <v>1098</v>
      </c>
      <c r="M502" s="62" t="e">
        <f>VLOOKUP(B502,'115+040'!$B$11:$AB$621,21,FALSE)</f>
        <v>#REF!</v>
      </c>
      <c r="N502" s="61" t="e">
        <f>VLOOKUP(B502,'115+040'!$B$12:$AB$621,5,FALSE)</f>
        <v>#REF!</v>
      </c>
      <c r="O502" s="60" t="e">
        <f t="shared" si="109"/>
        <v>#REF!</v>
      </c>
      <c r="P502" s="60" t="e">
        <f>VLOOKUP(B502,'115+040'!$B$12:$AB$621,14,FALSE)</f>
        <v>#REF!</v>
      </c>
      <c r="Q502" s="58">
        <f>'115+040'!S500</f>
        <v>8</v>
      </c>
      <c r="R502" s="57">
        <f t="shared" si="110"/>
        <v>1292</v>
      </c>
      <c r="S502" s="62" t="e">
        <f>VLOOKUP(B502,'115+040'!$B$11:$AB$621,22,FALSE)</f>
        <v>#REF!</v>
      </c>
      <c r="T502" s="61" t="e">
        <f>VLOOKUP(B502,'115+040'!$B$12:$AB$621,6,FALSE)</f>
        <v>#REF!</v>
      </c>
      <c r="U502" s="60" t="e">
        <f t="shared" si="111"/>
        <v>#REF!</v>
      </c>
      <c r="V502" s="59" t="e">
        <f>VLOOKUP(B502,'115+040'!$B$12:$AB$621,15,FALSE)</f>
        <v>#REF!</v>
      </c>
      <c r="W502" s="58">
        <f>'[4]114+940'!S503</f>
        <v>0</v>
      </c>
      <c r="X502" s="57">
        <f t="shared" si="112"/>
        <v>793</v>
      </c>
      <c r="Y502" s="56" t="e">
        <f t="shared" si="113"/>
        <v>#REF!</v>
      </c>
      <c r="Z502" s="55" t="e">
        <f t="shared" si="102"/>
        <v>#REF!</v>
      </c>
      <c r="AA502" s="54" t="e">
        <f t="shared" si="114"/>
        <v>#REF!</v>
      </c>
      <c r="AB502" s="54" t="e">
        <f t="shared" si="115"/>
        <v>#REF!</v>
      </c>
    </row>
    <row r="503" spans="2:28">
      <c r="B503" s="96" t="e">
        <f>'115+040'!#REF!</f>
        <v>#REF!</v>
      </c>
      <c r="C503" s="66" t="e">
        <f t="shared" si="96"/>
        <v>#REF!</v>
      </c>
      <c r="D503" s="65" t="e">
        <f t="shared" si="105"/>
        <v>#REF!</v>
      </c>
      <c r="E503" s="64" t="e">
        <f>VLOOKUP(B503,'115+040'!B501:AB501,3,FALSE)</f>
        <v>#REF!</v>
      </c>
      <c r="F503" s="61" t="e">
        <f t="shared" si="106"/>
        <v>#REF!</v>
      </c>
      <c r="G503" s="63" t="e">
        <f>VLOOKUP(B503,'115+040'!$B$12:$AB$621,20,FALSE)</f>
        <v>#REF!</v>
      </c>
      <c r="H503" s="63" t="e">
        <f>VLOOKUP(B503,'115+040'!$B$12:$AB$621,4,FALSE)</f>
        <v>#REF!</v>
      </c>
      <c r="I503" s="60" t="e">
        <f t="shared" si="107"/>
        <v>#REF!</v>
      </c>
      <c r="J503" s="60" t="e">
        <f>VLOOKUP(B503,'115+040'!$B$12:$AB$621,13,FALSE)</f>
        <v>#REF!</v>
      </c>
      <c r="K503" s="58">
        <f>'115+040'!R501</f>
        <v>7</v>
      </c>
      <c r="L503" s="57">
        <f t="shared" si="108"/>
        <v>1105</v>
      </c>
      <c r="M503" s="62" t="e">
        <f>VLOOKUP(B503,'115+040'!$B$11:$AB$621,21,FALSE)</f>
        <v>#REF!</v>
      </c>
      <c r="N503" s="61" t="e">
        <f>VLOOKUP(B503,'115+040'!$B$12:$AB$621,5,FALSE)</f>
        <v>#REF!</v>
      </c>
      <c r="O503" s="60" t="e">
        <f t="shared" si="109"/>
        <v>#REF!</v>
      </c>
      <c r="P503" s="60" t="e">
        <f>VLOOKUP(B503,'115+040'!$B$12:$AB$621,14,FALSE)</f>
        <v>#REF!</v>
      </c>
      <c r="Q503" s="58">
        <f>'115+040'!S501</f>
        <v>9</v>
      </c>
      <c r="R503" s="57">
        <f t="shared" si="110"/>
        <v>1301</v>
      </c>
      <c r="S503" s="62" t="e">
        <f>VLOOKUP(B503,'115+040'!$B$11:$AB$621,22,FALSE)</f>
        <v>#REF!</v>
      </c>
      <c r="T503" s="61" t="e">
        <f>VLOOKUP(B503,'115+040'!$B$12:$AB$621,6,FALSE)</f>
        <v>#REF!</v>
      </c>
      <c r="U503" s="60" t="e">
        <f t="shared" si="111"/>
        <v>#REF!</v>
      </c>
      <c r="V503" s="59" t="e">
        <f>VLOOKUP(B503,'115+040'!$B$12:$AB$621,15,FALSE)</f>
        <v>#REF!</v>
      </c>
      <c r="W503" s="58">
        <f>'[4]114+940'!S504</f>
        <v>0</v>
      </c>
      <c r="X503" s="57">
        <f t="shared" si="112"/>
        <v>793</v>
      </c>
      <c r="Y503" s="56" t="e">
        <f t="shared" si="113"/>
        <v>#REF!</v>
      </c>
      <c r="Z503" s="55" t="e">
        <f t="shared" si="102"/>
        <v>#REF!</v>
      </c>
      <c r="AA503" s="54" t="e">
        <f t="shared" si="114"/>
        <v>#REF!</v>
      </c>
      <c r="AB503" s="54" t="e">
        <f t="shared" si="115"/>
        <v>#REF!</v>
      </c>
    </row>
    <row r="504" spans="2:28">
      <c r="B504" s="96" t="e">
        <f>'115+040'!#REF!</f>
        <v>#REF!</v>
      </c>
      <c r="C504" s="66" t="e">
        <f t="shared" si="96"/>
        <v>#REF!</v>
      </c>
      <c r="D504" s="65" t="e">
        <f t="shared" si="105"/>
        <v>#REF!</v>
      </c>
      <c r="E504" s="64" t="e">
        <f>VLOOKUP(B504,'115+040'!B502:AB502,3,FALSE)</f>
        <v>#REF!</v>
      </c>
      <c r="F504" s="61" t="e">
        <f t="shared" si="106"/>
        <v>#REF!</v>
      </c>
      <c r="G504" s="63" t="e">
        <f>VLOOKUP(B504,'115+040'!$B$12:$AB$621,20,FALSE)</f>
        <v>#REF!</v>
      </c>
      <c r="H504" s="63" t="e">
        <f>VLOOKUP(B504,'115+040'!$B$12:$AB$621,4,FALSE)</f>
        <v>#REF!</v>
      </c>
      <c r="I504" s="60" t="e">
        <f t="shared" si="107"/>
        <v>#REF!</v>
      </c>
      <c r="J504" s="60" t="e">
        <f>VLOOKUP(B504,'115+040'!$B$12:$AB$621,13,FALSE)</f>
        <v>#REF!</v>
      </c>
      <c r="K504" s="58">
        <f>'115+040'!R502</f>
        <v>8</v>
      </c>
      <c r="L504" s="57">
        <f t="shared" si="108"/>
        <v>1113</v>
      </c>
      <c r="M504" s="62" t="e">
        <f>VLOOKUP(B504,'115+040'!$B$11:$AB$621,21,FALSE)</f>
        <v>#REF!</v>
      </c>
      <c r="N504" s="61" t="e">
        <f>VLOOKUP(B504,'115+040'!$B$12:$AB$621,5,FALSE)</f>
        <v>#REF!</v>
      </c>
      <c r="O504" s="60" t="e">
        <f t="shared" si="109"/>
        <v>#REF!</v>
      </c>
      <c r="P504" s="60" t="e">
        <f>VLOOKUP(B504,'115+040'!$B$12:$AB$621,14,FALSE)</f>
        <v>#REF!</v>
      </c>
      <c r="Q504" s="58">
        <f>'115+040'!S502</f>
        <v>8</v>
      </c>
      <c r="R504" s="57">
        <f t="shared" si="110"/>
        <v>1309</v>
      </c>
      <c r="S504" s="62" t="e">
        <f>VLOOKUP(B504,'115+040'!$B$11:$AB$621,22,FALSE)</f>
        <v>#REF!</v>
      </c>
      <c r="T504" s="61" t="e">
        <f>VLOOKUP(B504,'115+040'!$B$12:$AB$621,6,FALSE)</f>
        <v>#REF!</v>
      </c>
      <c r="U504" s="60" t="e">
        <f t="shared" si="111"/>
        <v>#REF!</v>
      </c>
      <c r="V504" s="59" t="e">
        <f>VLOOKUP(B504,'115+040'!$B$12:$AB$621,15,FALSE)</f>
        <v>#REF!</v>
      </c>
      <c r="W504" s="58">
        <f>'[4]114+940'!S505</f>
        <v>0</v>
      </c>
      <c r="X504" s="57">
        <f t="shared" si="112"/>
        <v>793</v>
      </c>
      <c r="Y504" s="56" t="e">
        <f t="shared" si="113"/>
        <v>#REF!</v>
      </c>
      <c r="Z504" s="55" t="e">
        <f t="shared" si="102"/>
        <v>#REF!</v>
      </c>
      <c r="AA504" s="54" t="e">
        <f t="shared" si="114"/>
        <v>#REF!</v>
      </c>
      <c r="AB504" s="54" t="e">
        <f t="shared" si="115"/>
        <v>#REF!</v>
      </c>
    </row>
    <row r="505" spans="2:28">
      <c r="B505" s="96" t="e">
        <f>'115+040'!#REF!</f>
        <v>#REF!</v>
      </c>
      <c r="C505" s="66" t="e">
        <f t="shared" si="96"/>
        <v>#REF!</v>
      </c>
      <c r="D505" s="65" t="e">
        <f t="shared" si="105"/>
        <v>#REF!</v>
      </c>
      <c r="E505" s="64" t="e">
        <f>VLOOKUP(B505,'115+040'!B503:AB503,3,FALSE)</f>
        <v>#REF!</v>
      </c>
      <c r="F505" s="61" t="e">
        <f t="shared" si="106"/>
        <v>#REF!</v>
      </c>
      <c r="G505" s="63" t="e">
        <f>VLOOKUP(B505,'115+040'!$B$12:$AB$621,20,FALSE)</f>
        <v>#REF!</v>
      </c>
      <c r="H505" s="63" t="e">
        <f>VLOOKUP(B505,'115+040'!$B$12:$AB$621,4,FALSE)</f>
        <v>#REF!</v>
      </c>
      <c r="I505" s="60" t="e">
        <f t="shared" si="107"/>
        <v>#REF!</v>
      </c>
      <c r="J505" s="60" t="e">
        <f>VLOOKUP(B505,'115+040'!$B$12:$AB$621,13,FALSE)</f>
        <v>#REF!</v>
      </c>
      <c r="K505" s="58">
        <f>'115+040'!R503</f>
        <v>24</v>
      </c>
      <c r="L505" s="57">
        <f t="shared" si="108"/>
        <v>1137</v>
      </c>
      <c r="M505" s="62" t="e">
        <f>VLOOKUP(B505,'115+040'!$B$11:$AB$621,21,FALSE)</f>
        <v>#REF!</v>
      </c>
      <c r="N505" s="61" t="e">
        <f>VLOOKUP(B505,'115+040'!$B$12:$AB$621,5,FALSE)</f>
        <v>#REF!</v>
      </c>
      <c r="O505" s="60" t="e">
        <f t="shared" si="109"/>
        <v>#REF!</v>
      </c>
      <c r="P505" s="60" t="e">
        <f>VLOOKUP(B505,'115+040'!$B$12:$AB$621,14,FALSE)</f>
        <v>#REF!</v>
      </c>
      <c r="Q505" s="58">
        <f>'115+040'!S503</f>
        <v>17</v>
      </c>
      <c r="R505" s="57">
        <f t="shared" si="110"/>
        <v>1326</v>
      </c>
      <c r="S505" s="62" t="e">
        <f>VLOOKUP(B505,'115+040'!$B$11:$AB$621,22,FALSE)</f>
        <v>#REF!</v>
      </c>
      <c r="T505" s="61" t="e">
        <f>VLOOKUP(B505,'115+040'!$B$12:$AB$621,6,FALSE)</f>
        <v>#REF!</v>
      </c>
      <c r="U505" s="60" t="e">
        <f t="shared" si="111"/>
        <v>#REF!</v>
      </c>
      <c r="V505" s="59" t="e">
        <f>VLOOKUP(B505,'115+040'!$B$12:$AB$621,15,FALSE)</f>
        <v>#REF!</v>
      </c>
      <c r="W505" s="58">
        <f>'[4]114+940'!S506</f>
        <v>2</v>
      </c>
      <c r="X505" s="57">
        <f t="shared" si="112"/>
        <v>795</v>
      </c>
      <c r="Y505" s="56" t="e">
        <f t="shared" si="113"/>
        <v>#REF!</v>
      </c>
      <c r="Z505" s="55" t="e">
        <f t="shared" si="102"/>
        <v>#REF!</v>
      </c>
      <c r="AA505" s="54" t="e">
        <f t="shared" si="114"/>
        <v>#REF!</v>
      </c>
      <c r="AB505" s="54" t="e">
        <f t="shared" si="115"/>
        <v>#REF!</v>
      </c>
    </row>
    <row r="506" spans="2:28">
      <c r="B506" s="96" t="e">
        <f>'115+040'!#REF!</f>
        <v>#REF!</v>
      </c>
      <c r="C506" s="66" t="e">
        <f t="shared" si="96"/>
        <v>#REF!</v>
      </c>
      <c r="D506" s="65" t="e">
        <f t="shared" si="105"/>
        <v>#REF!</v>
      </c>
      <c r="E506" s="64" t="e">
        <f>VLOOKUP(B506,'115+040'!B504:AB504,3,FALSE)</f>
        <v>#REF!</v>
      </c>
      <c r="F506" s="61" t="e">
        <f t="shared" si="106"/>
        <v>#REF!</v>
      </c>
      <c r="G506" s="63" t="e">
        <f>VLOOKUP(B506,'115+040'!$B$12:$AB$621,20,FALSE)</f>
        <v>#REF!</v>
      </c>
      <c r="H506" s="63" t="e">
        <f>VLOOKUP(B506,'115+040'!$B$12:$AB$621,4,FALSE)</f>
        <v>#REF!</v>
      </c>
      <c r="I506" s="60" t="e">
        <f t="shared" si="107"/>
        <v>#REF!</v>
      </c>
      <c r="J506" s="60" t="e">
        <f>VLOOKUP(B506,'115+040'!$B$12:$AB$621,13,FALSE)</f>
        <v>#REF!</v>
      </c>
      <c r="K506" s="58">
        <f>'115+040'!R504</f>
        <v>28</v>
      </c>
      <c r="L506" s="57">
        <f t="shared" si="108"/>
        <v>1165</v>
      </c>
      <c r="M506" s="62" t="e">
        <f>VLOOKUP(B506,'115+040'!$B$11:$AB$621,21,FALSE)</f>
        <v>#REF!</v>
      </c>
      <c r="N506" s="61" t="e">
        <f>VLOOKUP(B506,'115+040'!$B$12:$AB$621,5,FALSE)</f>
        <v>#REF!</v>
      </c>
      <c r="O506" s="60" t="e">
        <f t="shared" si="109"/>
        <v>#REF!</v>
      </c>
      <c r="P506" s="60" t="e">
        <f>VLOOKUP(B506,'115+040'!$B$12:$AB$621,14,FALSE)</f>
        <v>#REF!</v>
      </c>
      <c r="Q506" s="58">
        <f>'115+040'!S504</f>
        <v>24</v>
      </c>
      <c r="R506" s="57">
        <f t="shared" si="110"/>
        <v>1350</v>
      </c>
      <c r="S506" s="62" t="e">
        <f>VLOOKUP(B506,'115+040'!$B$11:$AB$621,22,FALSE)</f>
        <v>#REF!</v>
      </c>
      <c r="T506" s="61" t="e">
        <f>VLOOKUP(B506,'115+040'!$B$12:$AB$621,6,FALSE)</f>
        <v>#REF!</v>
      </c>
      <c r="U506" s="60" t="e">
        <f t="shared" si="111"/>
        <v>#REF!</v>
      </c>
      <c r="V506" s="59" t="e">
        <f>VLOOKUP(B506,'115+040'!$B$12:$AB$621,15,FALSE)</f>
        <v>#REF!</v>
      </c>
      <c r="W506" s="58">
        <f>'[4]114+940'!S507</f>
        <v>0</v>
      </c>
      <c r="X506" s="57">
        <f t="shared" si="112"/>
        <v>795</v>
      </c>
      <c r="Y506" s="56" t="e">
        <f t="shared" si="113"/>
        <v>#REF!</v>
      </c>
      <c r="Z506" s="55" t="e">
        <f t="shared" si="102"/>
        <v>#REF!</v>
      </c>
      <c r="AA506" s="54" t="e">
        <f t="shared" si="114"/>
        <v>#REF!</v>
      </c>
      <c r="AB506" s="54" t="e">
        <f t="shared" si="115"/>
        <v>#REF!</v>
      </c>
    </row>
    <row r="507" spans="2:28">
      <c r="B507" s="96" t="e">
        <f>'115+040'!#REF!</f>
        <v>#REF!</v>
      </c>
      <c r="C507" s="66" t="e">
        <f t="shared" si="96"/>
        <v>#REF!</v>
      </c>
      <c r="D507" s="65" t="e">
        <f t="shared" si="105"/>
        <v>#REF!</v>
      </c>
      <c r="E507" s="64" t="e">
        <f>VLOOKUP(B507,'115+040'!B505:AB505,3,FALSE)</f>
        <v>#REF!</v>
      </c>
      <c r="F507" s="61" t="e">
        <f t="shared" si="106"/>
        <v>#REF!</v>
      </c>
      <c r="G507" s="63" t="e">
        <f>VLOOKUP(B507,'115+040'!$B$12:$AB$621,20,FALSE)</f>
        <v>#REF!</v>
      </c>
      <c r="H507" s="63" t="e">
        <f>VLOOKUP(B507,'115+040'!$B$12:$AB$621,4,FALSE)</f>
        <v>#REF!</v>
      </c>
      <c r="I507" s="60" t="e">
        <f t="shared" si="107"/>
        <v>#REF!</v>
      </c>
      <c r="J507" s="60" t="e">
        <f>VLOOKUP(B507,'115+040'!$B$12:$AB$621,13,FALSE)</f>
        <v>#REF!</v>
      </c>
      <c r="K507" s="58">
        <f>'115+040'!R505</f>
        <v>22</v>
      </c>
      <c r="L507" s="57">
        <f t="shared" si="108"/>
        <v>1187</v>
      </c>
      <c r="M507" s="62" t="e">
        <f>VLOOKUP(B507,'115+040'!$B$11:$AB$621,21,FALSE)</f>
        <v>#REF!</v>
      </c>
      <c r="N507" s="61" t="e">
        <f>VLOOKUP(B507,'115+040'!$B$12:$AB$621,5,FALSE)</f>
        <v>#REF!</v>
      </c>
      <c r="O507" s="60" t="e">
        <f t="shared" si="109"/>
        <v>#REF!</v>
      </c>
      <c r="P507" s="60" t="e">
        <f>VLOOKUP(B507,'115+040'!$B$12:$AB$621,14,FALSE)</f>
        <v>#REF!</v>
      </c>
      <c r="Q507" s="58">
        <f>'115+040'!S505</f>
        <v>19</v>
      </c>
      <c r="R507" s="57">
        <f t="shared" si="110"/>
        <v>1369</v>
      </c>
      <c r="S507" s="62" t="e">
        <f>VLOOKUP(B507,'115+040'!$B$11:$AB$621,22,FALSE)</f>
        <v>#REF!</v>
      </c>
      <c r="T507" s="61" t="e">
        <f>VLOOKUP(B507,'115+040'!$B$12:$AB$621,6,FALSE)</f>
        <v>#REF!</v>
      </c>
      <c r="U507" s="60" t="e">
        <f t="shared" si="111"/>
        <v>#REF!</v>
      </c>
      <c r="V507" s="59" t="e">
        <f>VLOOKUP(B507,'115+040'!$B$12:$AB$621,15,FALSE)</f>
        <v>#REF!</v>
      </c>
      <c r="W507" s="58">
        <f>'[4]114+940'!S508</f>
        <v>4</v>
      </c>
      <c r="X507" s="57">
        <f t="shared" si="112"/>
        <v>799</v>
      </c>
      <c r="Y507" s="56" t="e">
        <f t="shared" si="113"/>
        <v>#REF!</v>
      </c>
      <c r="Z507" s="55" t="e">
        <f t="shared" si="102"/>
        <v>#REF!</v>
      </c>
      <c r="AA507" s="54" t="e">
        <f t="shared" si="114"/>
        <v>#REF!</v>
      </c>
      <c r="AB507" s="54" t="e">
        <f t="shared" si="115"/>
        <v>#REF!</v>
      </c>
    </row>
    <row r="508" spans="2:28">
      <c r="B508" s="96" t="e">
        <f>'115+040'!#REF!</f>
        <v>#REF!</v>
      </c>
      <c r="C508" s="66" t="e">
        <f t="shared" si="96"/>
        <v>#REF!</v>
      </c>
      <c r="D508" s="65" t="e">
        <f t="shared" si="105"/>
        <v>#REF!</v>
      </c>
      <c r="E508" s="64" t="e">
        <f>VLOOKUP(B508,'115+040'!B506:AB506,3,FALSE)</f>
        <v>#REF!</v>
      </c>
      <c r="F508" s="61" t="e">
        <f t="shared" si="106"/>
        <v>#REF!</v>
      </c>
      <c r="G508" s="63" t="e">
        <f>VLOOKUP(B508,'115+040'!$B$12:$AB$621,20,FALSE)</f>
        <v>#REF!</v>
      </c>
      <c r="H508" s="63" t="e">
        <f>VLOOKUP(B508,'115+040'!$B$12:$AB$621,4,FALSE)</f>
        <v>#REF!</v>
      </c>
      <c r="I508" s="60" t="e">
        <f t="shared" si="107"/>
        <v>#REF!</v>
      </c>
      <c r="J508" s="60" t="e">
        <f>VLOOKUP(B508,'115+040'!$B$12:$AB$621,13,FALSE)</f>
        <v>#REF!</v>
      </c>
      <c r="K508" s="58">
        <f>'115+040'!R506</f>
        <v>25</v>
      </c>
      <c r="L508" s="57">
        <f t="shared" si="108"/>
        <v>1212</v>
      </c>
      <c r="M508" s="62" t="e">
        <f>VLOOKUP(B508,'115+040'!$B$11:$AB$621,21,FALSE)</f>
        <v>#REF!</v>
      </c>
      <c r="N508" s="61" t="e">
        <f>VLOOKUP(B508,'115+040'!$B$12:$AB$621,5,FALSE)</f>
        <v>#REF!</v>
      </c>
      <c r="O508" s="60" t="e">
        <f t="shared" si="109"/>
        <v>#REF!</v>
      </c>
      <c r="P508" s="60" t="e">
        <f>VLOOKUP(B508,'115+040'!$B$12:$AB$621,14,FALSE)</f>
        <v>#REF!</v>
      </c>
      <c r="Q508" s="58">
        <f>'115+040'!S506</f>
        <v>22</v>
      </c>
      <c r="R508" s="57">
        <f t="shared" si="110"/>
        <v>1391</v>
      </c>
      <c r="S508" s="62" t="e">
        <f>VLOOKUP(B508,'115+040'!$B$11:$AB$621,22,FALSE)</f>
        <v>#REF!</v>
      </c>
      <c r="T508" s="61" t="e">
        <f>VLOOKUP(B508,'115+040'!$B$12:$AB$621,6,FALSE)</f>
        <v>#REF!</v>
      </c>
      <c r="U508" s="60" t="e">
        <f t="shared" si="111"/>
        <v>#REF!</v>
      </c>
      <c r="V508" s="59" t="e">
        <f>VLOOKUP(B508,'115+040'!$B$12:$AB$621,15,FALSE)</f>
        <v>#REF!</v>
      </c>
      <c r="W508" s="58">
        <f>'[4]114+940'!S509</f>
        <v>5</v>
      </c>
      <c r="X508" s="57">
        <f t="shared" si="112"/>
        <v>804</v>
      </c>
      <c r="Y508" s="56" t="e">
        <f t="shared" si="113"/>
        <v>#REF!</v>
      </c>
      <c r="Z508" s="55" t="e">
        <f t="shared" si="102"/>
        <v>#REF!</v>
      </c>
      <c r="AA508" s="54" t="e">
        <f t="shared" si="114"/>
        <v>#REF!</v>
      </c>
      <c r="AB508" s="54" t="e">
        <f t="shared" si="115"/>
        <v>#REF!</v>
      </c>
    </row>
    <row r="509" spans="2:28">
      <c r="B509" s="96" t="e">
        <f>'115+040'!#REF!</f>
        <v>#REF!</v>
      </c>
      <c r="C509" s="66" t="e">
        <f t="shared" si="96"/>
        <v>#REF!</v>
      </c>
      <c r="D509" s="65" t="e">
        <f t="shared" si="105"/>
        <v>#REF!</v>
      </c>
      <c r="E509" s="64" t="e">
        <f>VLOOKUP(B509,'115+040'!B507:AB507,3,FALSE)</f>
        <v>#REF!</v>
      </c>
      <c r="F509" s="61" t="e">
        <f t="shared" si="106"/>
        <v>#REF!</v>
      </c>
      <c r="G509" s="63" t="e">
        <f>VLOOKUP(B509,'115+040'!$B$12:$AB$621,20,FALSE)</f>
        <v>#REF!</v>
      </c>
      <c r="H509" s="63" t="e">
        <f>VLOOKUP(B509,'115+040'!$B$12:$AB$621,4,FALSE)</f>
        <v>#REF!</v>
      </c>
      <c r="I509" s="60" t="e">
        <f t="shared" si="107"/>
        <v>#REF!</v>
      </c>
      <c r="J509" s="60" t="e">
        <f>VLOOKUP(B509,'115+040'!$B$12:$AB$621,13,FALSE)</f>
        <v>#REF!</v>
      </c>
      <c r="K509" s="58">
        <f>'115+040'!R507</f>
        <v>18</v>
      </c>
      <c r="L509" s="57">
        <f t="shared" si="108"/>
        <v>1230</v>
      </c>
      <c r="M509" s="62" t="e">
        <f>VLOOKUP(B509,'115+040'!$B$11:$AB$621,21,FALSE)</f>
        <v>#REF!</v>
      </c>
      <c r="N509" s="61" t="e">
        <f>VLOOKUP(B509,'115+040'!$B$12:$AB$621,5,FALSE)</f>
        <v>#REF!</v>
      </c>
      <c r="O509" s="60" t="e">
        <f t="shared" si="109"/>
        <v>#REF!</v>
      </c>
      <c r="P509" s="60" t="e">
        <f>VLOOKUP(B509,'115+040'!$B$12:$AB$621,14,FALSE)</f>
        <v>#REF!</v>
      </c>
      <c r="Q509" s="58">
        <f>'115+040'!S507</f>
        <v>16</v>
      </c>
      <c r="R509" s="57">
        <f t="shared" si="110"/>
        <v>1407</v>
      </c>
      <c r="S509" s="62" t="e">
        <f>VLOOKUP(B509,'115+040'!$B$11:$AB$621,22,FALSE)</f>
        <v>#REF!</v>
      </c>
      <c r="T509" s="61" t="e">
        <f>VLOOKUP(B509,'115+040'!$B$12:$AB$621,6,FALSE)</f>
        <v>#REF!</v>
      </c>
      <c r="U509" s="60" t="e">
        <f t="shared" si="111"/>
        <v>#REF!</v>
      </c>
      <c r="V509" s="59" t="e">
        <f>VLOOKUP(B509,'115+040'!$B$12:$AB$621,15,FALSE)</f>
        <v>#REF!</v>
      </c>
      <c r="W509" s="58">
        <f>'[4]114+940'!S510</f>
        <v>14</v>
      </c>
      <c r="X509" s="57">
        <f t="shared" si="112"/>
        <v>818</v>
      </c>
      <c r="Y509" s="56" t="e">
        <f t="shared" si="113"/>
        <v>#REF!</v>
      </c>
      <c r="Z509" s="55" t="e">
        <f t="shared" si="102"/>
        <v>#REF!</v>
      </c>
      <c r="AA509" s="54" t="e">
        <f t="shared" si="114"/>
        <v>#REF!</v>
      </c>
      <c r="AB509" s="54" t="e">
        <f t="shared" si="115"/>
        <v>#REF!</v>
      </c>
    </row>
    <row r="510" spans="2:28">
      <c r="B510" s="96" t="e">
        <f>'115+040'!#REF!</f>
        <v>#REF!</v>
      </c>
      <c r="C510" s="66" t="e">
        <f t="shared" si="96"/>
        <v>#REF!</v>
      </c>
      <c r="D510" s="65" t="e">
        <f t="shared" ref="D510:D533" si="116">D509</f>
        <v>#REF!</v>
      </c>
      <c r="E510" s="64" t="e">
        <f>VLOOKUP(B510,'115+040'!B508:AB508,3,FALSE)</f>
        <v>#REF!</v>
      </c>
      <c r="F510" s="61" t="e">
        <f t="shared" ref="F510:F526" si="117">D510+E510</f>
        <v>#REF!</v>
      </c>
      <c r="G510" s="63" t="e">
        <f>VLOOKUP(B510,'115+040'!$B$12:$AB$621,20,FALSE)</f>
        <v>#REF!</v>
      </c>
      <c r="H510" s="63" t="e">
        <f>VLOOKUP(B510,'115+040'!$B$12:$AB$621,4,FALSE)</f>
        <v>#REF!</v>
      </c>
      <c r="I510" s="60" t="e">
        <f t="shared" ref="I510:I526" si="118">F510-H510</f>
        <v>#REF!</v>
      </c>
      <c r="J510" s="60" t="e">
        <f>VLOOKUP(B510,'115+040'!$B$12:$AB$621,13,FALSE)</f>
        <v>#REF!</v>
      </c>
      <c r="K510" s="58">
        <f>'115+040'!R508</f>
        <v>22</v>
      </c>
      <c r="L510" s="57">
        <f t="shared" ref="L510:L526" si="119">+K510+L509</f>
        <v>1252</v>
      </c>
      <c r="M510" s="62" t="e">
        <f>VLOOKUP(B510,'115+040'!$B$11:$AB$621,21,FALSE)</f>
        <v>#REF!</v>
      </c>
      <c r="N510" s="61" t="e">
        <f>VLOOKUP(B510,'115+040'!$B$12:$AB$621,5,FALSE)</f>
        <v>#REF!</v>
      </c>
      <c r="O510" s="60" t="e">
        <f t="shared" ref="O510:O526" si="120">F510-N510</f>
        <v>#REF!</v>
      </c>
      <c r="P510" s="60" t="e">
        <f>VLOOKUP(B510,'115+040'!$B$12:$AB$621,14,FALSE)</f>
        <v>#REF!</v>
      </c>
      <c r="Q510" s="58">
        <f>'115+040'!S508</f>
        <v>18</v>
      </c>
      <c r="R510" s="57">
        <f t="shared" ref="R510:R526" si="121">+Q510+R509</f>
        <v>1425</v>
      </c>
      <c r="S510" s="62" t="e">
        <f>VLOOKUP(B510,'115+040'!$B$11:$AB$621,22,FALSE)</f>
        <v>#REF!</v>
      </c>
      <c r="T510" s="61" t="e">
        <f>VLOOKUP(B510,'115+040'!$B$12:$AB$621,6,FALSE)</f>
        <v>#REF!</v>
      </c>
      <c r="U510" s="60" t="e">
        <f t="shared" ref="U510:U526" si="122">F510-T510</f>
        <v>#REF!</v>
      </c>
      <c r="V510" s="59" t="e">
        <f>VLOOKUP(B510,'115+040'!$B$12:$AB$621,15,FALSE)</f>
        <v>#REF!</v>
      </c>
      <c r="W510" s="58">
        <f>'[4]114+940'!S511</f>
        <v>19</v>
      </c>
      <c r="X510" s="57">
        <f t="shared" ref="X510:X526" si="123">+W510+X509</f>
        <v>837</v>
      </c>
      <c r="Y510" s="56" t="e">
        <f t="shared" ref="Y510:Y526" si="124">S510-S509</f>
        <v>#REF!</v>
      </c>
      <c r="Z510" s="55" t="e">
        <f t="shared" si="102"/>
        <v>#REF!</v>
      </c>
      <c r="AA510" s="54" t="e">
        <f t="shared" ref="AA510:AA526" si="125">AA509+Z510</f>
        <v>#REF!</v>
      </c>
      <c r="AB510" s="54" t="e">
        <f t="shared" ref="AB510:AB526" si="126">(M510-$M$13-R510)/1000</f>
        <v>#REF!</v>
      </c>
    </row>
    <row r="511" spans="2:28">
      <c r="B511" s="96" t="e">
        <f>'115+040'!#REF!</f>
        <v>#REF!</v>
      </c>
      <c r="C511" s="66" t="e">
        <f t="shared" si="96"/>
        <v>#REF!</v>
      </c>
      <c r="D511" s="65" t="e">
        <f t="shared" si="116"/>
        <v>#REF!</v>
      </c>
      <c r="E511" s="64" t="e">
        <f>VLOOKUP(B511,'115+040'!B509:AB509,3,FALSE)</f>
        <v>#REF!</v>
      </c>
      <c r="F511" s="61" t="e">
        <f t="shared" si="117"/>
        <v>#REF!</v>
      </c>
      <c r="G511" s="63" t="e">
        <f>VLOOKUP(B511,'115+040'!$B$12:$AB$621,20,FALSE)</f>
        <v>#REF!</v>
      </c>
      <c r="H511" s="63" t="e">
        <f>VLOOKUP(B511,'115+040'!$B$12:$AB$621,4,FALSE)</f>
        <v>#REF!</v>
      </c>
      <c r="I511" s="60" t="e">
        <f t="shared" si="118"/>
        <v>#REF!</v>
      </c>
      <c r="J511" s="60" t="e">
        <f>VLOOKUP(B511,'115+040'!$B$12:$AB$621,13,FALSE)</f>
        <v>#REF!</v>
      </c>
      <c r="K511" s="58">
        <f>'115+040'!R509</f>
        <v>13</v>
      </c>
      <c r="L511" s="57">
        <f t="shared" si="119"/>
        <v>1265</v>
      </c>
      <c r="M511" s="62" t="e">
        <f>VLOOKUP(B511,'115+040'!$B$11:$AB$621,21,FALSE)</f>
        <v>#REF!</v>
      </c>
      <c r="N511" s="61" t="e">
        <f>VLOOKUP(B511,'115+040'!$B$12:$AB$621,5,FALSE)</f>
        <v>#REF!</v>
      </c>
      <c r="O511" s="60" t="e">
        <f t="shared" si="120"/>
        <v>#REF!</v>
      </c>
      <c r="P511" s="60" t="e">
        <f>VLOOKUP(B511,'115+040'!$B$12:$AB$621,14,FALSE)</f>
        <v>#REF!</v>
      </c>
      <c r="Q511" s="58">
        <f>'115+040'!S509</f>
        <v>12</v>
      </c>
      <c r="R511" s="57">
        <f t="shared" si="121"/>
        <v>1437</v>
      </c>
      <c r="S511" s="62" t="e">
        <f>VLOOKUP(B511,'115+040'!$B$11:$AB$621,22,FALSE)</f>
        <v>#REF!</v>
      </c>
      <c r="T511" s="61" t="e">
        <f>VLOOKUP(B511,'115+040'!$B$12:$AB$621,6,FALSE)</f>
        <v>#REF!</v>
      </c>
      <c r="U511" s="60" t="e">
        <f t="shared" si="122"/>
        <v>#REF!</v>
      </c>
      <c r="V511" s="59" t="e">
        <f>VLOOKUP(B511,'115+040'!$B$12:$AB$621,15,FALSE)</f>
        <v>#REF!</v>
      </c>
      <c r="W511" s="58">
        <f>'[4]114+940'!S512</f>
        <v>12</v>
      </c>
      <c r="X511" s="57">
        <f t="shared" si="123"/>
        <v>849</v>
      </c>
      <c r="Y511" s="56" t="e">
        <f t="shared" si="124"/>
        <v>#REF!</v>
      </c>
      <c r="Z511" s="55" t="e">
        <f t="shared" si="102"/>
        <v>#REF!</v>
      </c>
      <c r="AA511" s="54" t="e">
        <f t="shared" si="125"/>
        <v>#REF!</v>
      </c>
      <c r="AB511" s="54" t="e">
        <f t="shared" si="126"/>
        <v>#REF!</v>
      </c>
    </row>
    <row r="512" spans="2:28">
      <c r="B512" s="96" t="e">
        <f>'115+040'!#REF!</f>
        <v>#REF!</v>
      </c>
      <c r="C512" s="66" t="e">
        <f t="shared" si="96"/>
        <v>#REF!</v>
      </c>
      <c r="D512" s="65" t="e">
        <f t="shared" si="116"/>
        <v>#REF!</v>
      </c>
      <c r="E512" s="64" t="e">
        <f>VLOOKUP(B512,'115+040'!B510:AB510,3,FALSE)</f>
        <v>#REF!</v>
      </c>
      <c r="F512" s="61" t="e">
        <f t="shared" si="117"/>
        <v>#REF!</v>
      </c>
      <c r="G512" s="63" t="e">
        <f>VLOOKUP(B512,'115+040'!$B$12:$AB$621,20,FALSE)</f>
        <v>#REF!</v>
      </c>
      <c r="H512" s="63" t="e">
        <f>VLOOKUP(B512,'115+040'!$B$12:$AB$621,4,FALSE)</f>
        <v>#REF!</v>
      </c>
      <c r="I512" s="60" t="e">
        <f t="shared" si="118"/>
        <v>#REF!</v>
      </c>
      <c r="J512" s="60" t="e">
        <f>VLOOKUP(B512,'115+040'!$B$12:$AB$621,13,FALSE)</f>
        <v>#REF!</v>
      </c>
      <c r="K512" s="58">
        <f>'115+040'!R510</f>
        <v>18</v>
      </c>
      <c r="L512" s="57">
        <f t="shared" si="119"/>
        <v>1283</v>
      </c>
      <c r="M512" s="62" t="e">
        <f>VLOOKUP(B512,'115+040'!$B$11:$AB$621,21,FALSE)</f>
        <v>#REF!</v>
      </c>
      <c r="N512" s="61" t="e">
        <f>VLOOKUP(B512,'115+040'!$B$12:$AB$621,5,FALSE)</f>
        <v>#REF!</v>
      </c>
      <c r="O512" s="60" t="e">
        <f t="shared" si="120"/>
        <v>#REF!</v>
      </c>
      <c r="P512" s="60" t="e">
        <f>VLOOKUP(B512,'115+040'!$B$12:$AB$621,14,FALSE)</f>
        <v>#REF!</v>
      </c>
      <c r="Q512" s="58">
        <f>'115+040'!S510</f>
        <v>19</v>
      </c>
      <c r="R512" s="57">
        <f t="shared" si="121"/>
        <v>1456</v>
      </c>
      <c r="S512" s="62" t="e">
        <f>VLOOKUP(B512,'115+040'!$B$11:$AB$621,22,FALSE)</f>
        <v>#REF!</v>
      </c>
      <c r="T512" s="61" t="e">
        <f>VLOOKUP(B512,'115+040'!$B$12:$AB$621,6,FALSE)</f>
        <v>#REF!</v>
      </c>
      <c r="U512" s="60" t="e">
        <f t="shared" si="122"/>
        <v>#REF!</v>
      </c>
      <c r="V512" s="59" t="e">
        <f>VLOOKUP(B512,'115+040'!$B$12:$AB$621,15,FALSE)</f>
        <v>#REF!</v>
      </c>
      <c r="W512" s="58">
        <f>'[4]114+940'!S513</f>
        <v>16</v>
      </c>
      <c r="X512" s="57">
        <f t="shared" si="123"/>
        <v>865</v>
      </c>
      <c r="Y512" s="56" t="e">
        <f t="shared" si="124"/>
        <v>#REF!</v>
      </c>
      <c r="Z512" s="55" t="e">
        <f t="shared" si="102"/>
        <v>#REF!</v>
      </c>
      <c r="AA512" s="54" t="e">
        <f t="shared" si="125"/>
        <v>#REF!</v>
      </c>
      <c r="AB512" s="54" t="e">
        <f t="shared" si="126"/>
        <v>#REF!</v>
      </c>
    </row>
    <row r="513" spans="2:28">
      <c r="B513" s="96" t="e">
        <f>'115+040'!#REF!</f>
        <v>#REF!</v>
      </c>
      <c r="C513" s="66" t="e">
        <f t="shared" si="96"/>
        <v>#REF!</v>
      </c>
      <c r="D513" s="65" t="e">
        <f t="shared" si="116"/>
        <v>#REF!</v>
      </c>
      <c r="E513" s="64" t="e">
        <f>VLOOKUP(B513,'115+040'!B511:AB511,3,FALSE)</f>
        <v>#REF!</v>
      </c>
      <c r="F513" s="61" t="e">
        <f t="shared" si="117"/>
        <v>#REF!</v>
      </c>
      <c r="G513" s="63" t="e">
        <f>VLOOKUP(B513,'115+040'!$B$12:$AB$621,20,FALSE)</f>
        <v>#REF!</v>
      </c>
      <c r="H513" s="63" t="e">
        <f>VLOOKUP(B513,'115+040'!$B$12:$AB$621,4,FALSE)</f>
        <v>#REF!</v>
      </c>
      <c r="I513" s="60" t="e">
        <f t="shared" si="118"/>
        <v>#REF!</v>
      </c>
      <c r="J513" s="60" t="e">
        <f>VLOOKUP(B513,'115+040'!$B$12:$AB$621,13,FALSE)</f>
        <v>#REF!</v>
      </c>
      <c r="K513" s="58">
        <f>'115+040'!R511</f>
        <v>22</v>
      </c>
      <c r="L513" s="57">
        <f t="shared" si="119"/>
        <v>1305</v>
      </c>
      <c r="M513" s="62" t="e">
        <f>VLOOKUP(B513,'115+040'!$B$11:$AB$621,21,FALSE)</f>
        <v>#REF!</v>
      </c>
      <c r="N513" s="61" t="e">
        <f>VLOOKUP(B513,'115+040'!$B$12:$AB$621,5,FALSE)</f>
        <v>#REF!</v>
      </c>
      <c r="O513" s="60" t="e">
        <f t="shared" si="120"/>
        <v>#REF!</v>
      </c>
      <c r="P513" s="60" t="e">
        <f>VLOOKUP(B513,'115+040'!$B$12:$AB$621,14,FALSE)</f>
        <v>#REF!</v>
      </c>
      <c r="Q513" s="58">
        <f>'115+040'!S511</f>
        <v>19</v>
      </c>
      <c r="R513" s="57">
        <f t="shared" si="121"/>
        <v>1475</v>
      </c>
      <c r="S513" s="62" t="e">
        <f>VLOOKUP(B513,'115+040'!$B$11:$AB$621,22,FALSE)</f>
        <v>#REF!</v>
      </c>
      <c r="T513" s="61" t="e">
        <f>VLOOKUP(B513,'115+040'!$B$12:$AB$621,6,FALSE)</f>
        <v>#REF!</v>
      </c>
      <c r="U513" s="60" t="e">
        <f t="shared" si="122"/>
        <v>#REF!</v>
      </c>
      <c r="V513" s="59" t="e">
        <f>VLOOKUP(B513,'115+040'!$B$12:$AB$621,15,FALSE)</f>
        <v>#REF!</v>
      </c>
      <c r="W513" s="58">
        <f>'[4]114+940'!S514</f>
        <v>10</v>
      </c>
      <c r="X513" s="57">
        <f t="shared" si="123"/>
        <v>875</v>
      </c>
      <c r="Y513" s="56" t="e">
        <f t="shared" si="124"/>
        <v>#REF!</v>
      </c>
      <c r="Z513" s="55" t="e">
        <f t="shared" si="102"/>
        <v>#REF!</v>
      </c>
      <c r="AA513" s="54" t="e">
        <f t="shared" si="125"/>
        <v>#REF!</v>
      </c>
      <c r="AB513" s="54" t="e">
        <f t="shared" si="126"/>
        <v>#REF!</v>
      </c>
    </row>
    <row r="514" spans="2:28">
      <c r="B514" s="96" t="e">
        <f>'115+040'!#REF!</f>
        <v>#REF!</v>
      </c>
      <c r="C514" s="66" t="e">
        <f t="shared" si="96"/>
        <v>#REF!</v>
      </c>
      <c r="D514" s="65" t="e">
        <f t="shared" si="116"/>
        <v>#REF!</v>
      </c>
      <c r="E514" s="64" t="e">
        <f>VLOOKUP(B514,'115+040'!B512:AB512,3,FALSE)</f>
        <v>#REF!</v>
      </c>
      <c r="F514" s="61" t="e">
        <f t="shared" si="117"/>
        <v>#REF!</v>
      </c>
      <c r="G514" s="63" t="e">
        <f>VLOOKUP(B514,'115+040'!$B$12:$AB$621,20,FALSE)</f>
        <v>#REF!</v>
      </c>
      <c r="H514" s="63" t="e">
        <f>VLOOKUP(B514,'115+040'!$B$12:$AB$621,4,FALSE)</f>
        <v>#REF!</v>
      </c>
      <c r="I514" s="60" t="e">
        <f t="shared" si="118"/>
        <v>#REF!</v>
      </c>
      <c r="J514" s="60" t="e">
        <f>VLOOKUP(B514,'115+040'!$B$12:$AB$621,13,FALSE)</f>
        <v>#REF!</v>
      </c>
      <c r="K514" s="58">
        <f>'115+040'!R512</f>
        <v>19</v>
      </c>
      <c r="L514" s="57">
        <f t="shared" si="119"/>
        <v>1324</v>
      </c>
      <c r="M514" s="62" t="e">
        <f>VLOOKUP(B514,'115+040'!$B$11:$AB$621,21,FALSE)</f>
        <v>#REF!</v>
      </c>
      <c r="N514" s="61" t="e">
        <f>VLOOKUP(B514,'115+040'!$B$12:$AB$621,5,FALSE)</f>
        <v>#REF!</v>
      </c>
      <c r="O514" s="60" t="e">
        <f t="shared" si="120"/>
        <v>#REF!</v>
      </c>
      <c r="P514" s="60" t="e">
        <f>VLOOKUP(B514,'115+040'!$B$12:$AB$621,14,FALSE)</f>
        <v>#REF!</v>
      </c>
      <c r="Q514" s="58">
        <f>'115+040'!S512</f>
        <v>17</v>
      </c>
      <c r="R514" s="57">
        <f t="shared" si="121"/>
        <v>1492</v>
      </c>
      <c r="S514" s="62" t="e">
        <f>VLOOKUP(B514,'115+040'!$B$11:$AB$621,22,FALSE)</f>
        <v>#REF!</v>
      </c>
      <c r="T514" s="61" t="e">
        <f>VLOOKUP(B514,'115+040'!$B$12:$AB$621,6,FALSE)</f>
        <v>#REF!</v>
      </c>
      <c r="U514" s="60" t="e">
        <f t="shared" si="122"/>
        <v>#REF!</v>
      </c>
      <c r="V514" s="59" t="e">
        <f>VLOOKUP(B514,'115+040'!$B$12:$AB$621,15,FALSE)</f>
        <v>#REF!</v>
      </c>
      <c r="W514" s="58">
        <f>'[4]114+940'!S515</f>
        <v>16</v>
      </c>
      <c r="X514" s="57">
        <f t="shared" si="123"/>
        <v>891</v>
      </c>
      <c r="Y514" s="56" t="e">
        <f t="shared" si="124"/>
        <v>#REF!</v>
      </c>
      <c r="Z514" s="55" t="e">
        <f t="shared" si="102"/>
        <v>#REF!</v>
      </c>
      <c r="AA514" s="54" t="e">
        <f t="shared" si="125"/>
        <v>#REF!</v>
      </c>
      <c r="AB514" s="54" t="e">
        <f t="shared" si="126"/>
        <v>#REF!</v>
      </c>
    </row>
    <row r="515" spans="2:28">
      <c r="B515" s="96" t="e">
        <f>'115+040'!#REF!</f>
        <v>#REF!</v>
      </c>
      <c r="C515" s="66" t="e">
        <f t="shared" si="96"/>
        <v>#REF!</v>
      </c>
      <c r="D515" s="65" t="e">
        <f t="shared" si="116"/>
        <v>#REF!</v>
      </c>
      <c r="E515" s="64" t="e">
        <f>VLOOKUP(B515,'115+040'!B513:AB513,3,FALSE)</f>
        <v>#REF!</v>
      </c>
      <c r="F515" s="61" t="e">
        <f t="shared" si="117"/>
        <v>#REF!</v>
      </c>
      <c r="G515" s="63" t="e">
        <f>VLOOKUP(B515,'115+040'!$B$12:$AB$621,20,FALSE)</f>
        <v>#REF!</v>
      </c>
      <c r="H515" s="63" t="e">
        <f>VLOOKUP(B515,'115+040'!$B$12:$AB$621,4,FALSE)</f>
        <v>#REF!</v>
      </c>
      <c r="I515" s="60" t="e">
        <f t="shared" si="118"/>
        <v>#REF!</v>
      </c>
      <c r="J515" s="60" t="e">
        <f>VLOOKUP(B515,'115+040'!$B$12:$AB$621,13,FALSE)</f>
        <v>#REF!</v>
      </c>
      <c r="K515" s="58">
        <f>'115+040'!R513</f>
        <v>17</v>
      </c>
      <c r="L515" s="57">
        <f t="shared" si="119"/>
        <v>1341</v>
      </c>
      <c r="M515" s="62" t="e">
        <f>VLOOKUP(B515,'115+040'!$B$11:$AB$621,21,FALSE)</f>
        <v>#REF!</v>
      </c>
      <c r="N515" s="61" t="e">
        <f>VLOOKUP(B515,'115+040'!$B$12:$AB$621,5,FALSE)</f>
        <v>#REF!</v>
      </c>
      <c r="O515" s="60" t="e">
        <f t="shared" si="120"/>
        <v>#REF!</v>
      </c>
      <c r="P515" s="60" t="e">
        <f>VLOOKUP(B515,'115+040'!$B$12:$AB$621,14,FALSE)</f>
        <v>#REF!</v>
      </c>
      <c r="Q515" s="58">
        <f>'115+040'!S513</f>
        <v>16</v>
      </c>
      <c r="R515" s="57">
        <f t="shared" si="121"/>
        <v>1508</v>
      </c>
      <c r="S515" s="62" t="e">
        <f>VLOOKUP(B515,'115+040'!$B$11:$AB$621,22,FALSE)</f>
        <v>#REF!</v>
      </c>
      <c r="T515" s="61" t="e">
        <f>VLOOKUP(B515,'115+040'!$B$12:$AB$621,6,FALSE)</f>
        <v>#REF!</v>
      </c>
      <c r="U515" s="60" t="e">
        <f t="shared" si="122"/>
        <v>#REF!</v>
      </c>
      <c r="V515" s="59" t="e">
        <f>VLOOKUP(B515,'115+040'!$B$12:$AB$621,15,FALSE)</f>
        <v>#REF!</v>
      </c>
      <c r="W515" s="58">
        <f>'[4]114+940'!S516</f>
        <v>10</v>
      </c>
      <c r="X515" s="57">
        <f t="shared" si="123"/>
        <v>901</v>
      </c>
      <c r="Y515" s="56" t="e">
        <f t="shared" si="124"/>
        <v>#REF!</v>
      </c>
      <c r="Z515" s="55" t="e">
        <f t="shared" si="102"/>
        <v>#REF!</v>
      </c>
      <c r="AA515" s="54" t="e">
        <f t="shared" si="125"/>
        <v>#REF!</v>
      </c>
      <c r="AB515" s="54" t="e">
        <f t="shared" si="126"/>
        <v>#REF!</v>
      </c>
    </row>
    <row r="516" spans="2:28">
      <c r="B516" s="96" t="e">
        <f>'115+040'!#REF!</f>
        <v>#REF!</v>
      </c>
      <c r="C516" s="66" t="e">
        <f t="shared" si="96"/>
        <v>#REF!</v>
      </c>
      <c r="D516" s="65" t="e">
        <f t="shared" si="116"/>
        <v>#REF!</v>
      </c>
      <c r="E516" s="64" t="e">
        <f>VLOOKUP(B516,'115+040'!B514:AB514,3,FALSE)</f>
        <v>#REF!</v>
      </c>
      <c r="F516" s="61" t="e">
        <f t="shared" si="117"/>
        <v>#REF!</v>
      </c>
      <c r="G516" s="63" t="e">
        <f>VLOOKUP(B516,'115+040'!$B$12:$AB$621,20,FALSE)</f>
        <v>#REF!</v>
      </c>
      <c r="H516" s="63" t="e">
        <f>VLOOKUP(B516,'115+040'!$B$12:$AB$621,4,FALSE)</f>
        <v>#REF!</v>
      </c>
      <c r="I516" s="60" t="e">
        <f t="shared" si="118"/>
        <v>#REF!</v>
      </c>
      <c r="J516" s="60" t="e">
        <f>VLOOKUP(B516,'115+040'!$B$12:$AB$621,13,FALSE)</f>
        <v>#REF!</v>
      </c>
      <c r="K516" s="58">
        <f>'115+040'!R514</f>
        <v>12</v>
      </c>
      <c r="L516" s="57">
        <f t="shared" si="119"/>
        <v>1353</v>
      </c>
      <c r="M516" s="62" t="e">
        <f>VLOOKUP(B516,'115+040'!$B$11:$AB$621,21,FALSE)</f>
        <v>#REF!</v>
      </c>
      <c r="N516" s="61" t="e">
        <f>VLOOKUP(B516,'115+040'!$B$12:$AB$621,5,FALSE)</f>
        <v>#REF!</v>
      </c>
      <c r="O516" s="60" t="e">
        <f t="shared" si="120"/>
        <v>#REF!</v>
      </c>
      <c r="P516" s="60" t="e">
        <f>VLOOKUP(B516,'115+040'!$B$12:$AB$621,14,FALSE)</f>
        <v>#REF!</v>
      </c>
      <c r="Q516" s="58">
        <f>'115+040'!S514</f>
        <v>14</v>
      </c>
      <c r="R516" s="57">
        <f t="shared" si="121"/>
        <v>1522</v>
      </c>
      <c r="S516" s="62" t="e">
        <f>VLOOKUP(B516,'115+040'!$B$11:$AB$621,22,FALSE)</f>
        <v>#REF!</v>
      </c>
      <c r="T516" s="61" t="e">
        <f>VLOOKUP(B516,'115+040'!$B$12:$AB$621,6,FALSE)</f>
        <v>#REF!</v>
      </c>
      <c r="U516" s="60" t="e">
        <f t="shared" si="122"/>
        <v>#REF!</v>
      </c>
      <c r="V516" s="59" t="e">
        <f>VLOOKUP(B516,'115+040'!$B$12:$AB$621,15,FALSE)</f>
        <v>#REF!</v>
      </c>
      <c r="W516" s="58">
        <f>'[4]114+940'!S517</f>
        <v>14</v>
      </c>
      <c r="X516" s="57">
        <f t="shared" si="123"/>
        <v>915</v>
      </c>
      <c r="Y516" s="56" t="e">
        <f t="shared" si="124"/>
        <v>#REF!</v>
      </c>
      <c r="Z516" s="55" t="e">
        <f t="shared" si="102"/>
        <v>#REF!</v>
      </c>
      <c r="AA516" s="54" t="e">
        <f t="shared" si="125"/>
        <v>#REF!</v>
      </c>
      <c r="AB516" s="54" t="e">
        <f t="shared" si="126"/>
        <v>#REF!</v>
      </c>
    </row>
    <row r="517" spans="2:28">
      <c r="B517" s="96" t="e">
        <f>'115+040'!#REF!</f>
        <v>#REF!</v>
      </c>
      <c r="C517" s="66" t="e">
        <f t="shared" si="96"/>
        <v>#REF!</v>
      </c>
      <c r="D517" s="65" t="e">
        <f t="shared" si="116"/>
        <v>#REF!</v>
      </c>
      <c r="E517" s="64" t="e">
        <f>VLOOKUP(B517,'115+040'!B515:AB515,3,FALSE)</f>
        <v>#REF!</v>
      </c>
      <c r="F517" s="61" t="e">
        <f t="shared" si="117"/>
        <v>#REF!</v>
      </c>
      <c r="G517" s="63" t="e">
        <f>VLOOKUP(B517,'115+040'!$B$12:$AB$621,20,FALSE)</f>
        <v>#REF!</v>
      </c>
      <c r="H517" s="63" t="e">
        <f>VLOOKUP(B517,'115+040'!$B$12:$AB$621,4,FALSE)</f>
        <v>#REF!</v>
      </c>
      <c r="I517" s="60" t="e">
        <f t="shared" si="118"/>
        <v>#REF!</v>
      </c>
      <c r="J517" s="60" t="e">
        <f>VLOOKUP(B517,'115+040'!$B$12:$AB$621,13,FALSE)</f>
        <v>#REF!</v>
      </c>
      <c r="K517" s="58">
        <f>'115+040'!R515</f>
        <v>10</v>
      </c>
      <c r="L517" s="57">
        <f t="shared" si="119"/>
        <v>1363</v>
      </c>
      <c r="M517" s="62" t="e">
        <f>VLOOKUP(B517,'115+040'!$B$11:$AB$621,21,FALSE)</f>
        <v>#REF!</v>
      </c>
      <c r="N517" s="61" t="e">
        <f>VLOOKUP(B517,'115+040'!$B$12:$AB$621,5,FALSE)</f>
        <v>#REF!</v>
      </c>
      <c r="O517" s="60" t="e">
        <f t="shared" si="120"/>
        <v>#REF!</v>
      </c>
      <c r="P517" s="60" t="e">
        <f>VLOOKUP(B517,'115+040'!$B$12:$AB$621,14,FALSE)</f>
        <v>#REF!</v>
      </c>
      <c r="Q517" s="58">
        <f>'115+040'!S515</f>
        <v>12</v>
      </c>
      <c r="R517" s="57">
        <f t="shared" si="121"/>
        <v>1534</v>
      </c>
      <c r="S517" s="62" t="e">
        <f>VLOOKUP(B517,'115+040'!$B$11:$AB$621,22,FALSE)</f>
        <v>#REF!</v>
      </c>
      <c r="T517" s="61" t="e">
        <f>VLOOKUP(B517,'115+040'!$B$12:$AB$621,6,FALSE)</f>
        <v>#REF!</v>
      </c>
      <c r="U517" s="60" t="e">
        <f t="shared" si="122"/>
        <v>#REF!</v>
      </c>
      <c r="V517" s="59" t="e">
        <f>VLOOKUP(B517,'115+040'!$B$12:$AB$621,15,FALSE)</f>
        <v>#REF!</v>
      </c>
      <c r="W517" s="58">
        <f>'[4]114+940'!S518</f>
        <v>12</v>
      </c>
      <c r="X517" s="57">
        <f t="shared" si="123"/>
        <v>927</v>
      </c>
      <c r="Y517" s="56" t="e">
        <f t="shared" si="124"/>
        <v>#REF!</v>
      </c>
      <c r="Z517" s="55" t="e">
        <f t="shared" si="102"/>
        <v>#REF!</v>
      </c>
      <c r="AA517" s="54" t="e">
        <f t="shared" si="125"/>
        <v>#REF!</v>
      </c>
      <c r="AB517" s="54" t="e">
        <f t="shared" si="126"/>
        <v>#REF!</v>
      </c>
    </row>
    <row r="518" spans="2:28">
      <c r="B518" s="96" t="e">
        <f>'115+040'!#REF!</f>
        <v>#REF!</v>
      </c>
      <c r="C518" s="66" t="e">
        <f t="shared" si="96"/>
        <v>#REF!</v>
      </c>
      <c r="D518" s="65" t="e">
        <f t="shared" si="116"/>
        <v>#REF!</v>
      </c>
      <c r="E518" s="64" t="e">
        <f>VLOOKUP(B518,'115+040'!B516:AB516,3,FALSE)</f>
        <v>#REF!</v>
      </c>
      <c r="F518" s="61" t="e">
        <f t="shared" si="117"/>
        <v>#REF!</v>
      </c>
      <c r="G518" s="63" t="e">
        <f>VLOOKUP(B518,'115+040'!$B$12:$AB$621,20,FALSE)</f>
        <v>#REF!</v>
      </c>
      <c r="H518" s="63" t="e">
        <f>VLOOKUP(B518,'115+040'!$B$12:$AB$621,4,FALSE)</f>
        <v>#REF!</v>
      </c>
      <c r="I518" s="60" t="e">
        <f t="shared" si="118"/>
        <v>#REF!</v>
      </c>
      <c r="J518" s="60" t="e">
        <f>VLOOKUP(B518,'115+040'!$B$12:$AB$621,13,FALSE)</f>
        <v>#REF!</v>
      </c>
      <c r="K518" s="58">
        <f>'115+040'!R516</f>
        <v>9</v>
      </c>
      <c r="L518" s="57">
        <f t="shared" si="119"/>
        <v>1372</v>
      </c>
      <c r="M518" s="62" t="e">
        <f>VLOOKUP(B518,'115+040'!$B$11:$AB$621,21,FALSE)</f>
        <v>#REF!</v>
      </c>
      <c r="N518" s="61" t="e">
        <f>VLOOKUP(B518,'115+040'!$B$12:$AB$621,5,FALSE)</f>
        <v>#REF!</v>
      </c>
      <c r="O518" s="60" t="e">
        <f t="shared" si="120"/>
        <v>#REF!</v>
      </c>
      <c r="P518" s="60" t="e">
        <f>VLOOKUP(B518,'115+040'!$B$12:$AB$621,14,FALSE)</f>
        <v>#REF!</v>
      </c>
      <c r="Q518" s="58">
        <f>'115+040'!S516</f>
        <v>11</v>
      </c>
      <c r="R518" s="57">
        <f t="shared" si="121"/>
        <v>1545</v>
      </c>
      <c r="S518" s="62" t="e">
        <f>VLOOKUP(B518,'115+040'!$B$11:$AB$621,22,FALSE)</f>
        <v>#REF!</v>
      </c>
      <c r="T518" s="61" t="e">
        <f>VLOOKUP(B518,'115+040'!$B$12:$AB$621,6,FALSE)</f>
        <v>#REF!</v>
      </c>
      <c r="U518" s="60" t="e">
        <f t="shared" si="122"/>
        <v>#REF!</v>
      </c>
      <c r="V518" s="59" t="e">
        <f>VLOOKUP(B518,'115+040'!$B$12:$AB$621,15,FALSE)</f>
        <v>#REF!</v>
      </c>
      <c r="W518" s="58">
        <f>'[4]114+940'!S519</f>
        <v>12</v>
      </c>
      <c r="X518" s="57">
        <f t="shared" si="123"/>
        <v>939</v>
      </c>
      <c r="Y518" s="56" t="e">
        <f t="shared" si="124"/>
        <v>#REF!</v>
      </c>
      <c r="Z518" s="55" t="e">
        <f t="shared" si="102"/>
        <v>#REF!</v>
      </c>
      <c r="AA518" s="54" t="e">
        <f t="shared" si="125"/>
        <v>#REF!</v>
      </c>
      <c r="AB518" s="54" t="e">
        <f t="shared" si="126"/>
        <v>#REF!</v>
      </c>
    </row>
    <row r="519" spans="2:28">
      <c r="B519" s="96" t="e">
        <f>'115+040'!#REF!</f>
        <v>#REF!</v>
      </c>
      <c r="C519" s="66" t="e">
        <f t="shared" si="96"/>
        <v>#REF!</v>
      </c>
      <c r="D519" s="65" t="e">
        <f t="shared" si="116"/>
        <v>#REF!</v>
      </c>
      <c r="E519" s="64" t="e">
        <f>VLOOKUP(B519,'115+040'!B517:AB517,3,FALSE)</f>
        <v>#REF!</v>
      </c>
      <c r="F519" s="61" t="e">
        <f t="shared" si="117"/>
        <v>#REF!</v>
      </c>
      <c r="G519" s="63" t="e">
        <f>VLOOKUP(B519,'115+040'!$B$12:$AB$621,20,FALSE)</f>
        <v>#REF!</v>
      </c>
      <c r="H519" s="63" t="e">
        <f>VLOOKUP(B519,'115+040'!$B$12:$AB$621,4,FALSE)</f>
        <v>#REF!</v>
      </c>
      <c r="I519" s="60" t="e">
        <f t="shared" si="118"/>
        <v>#REF!</v>
      </c>
      <c r="J519" s="60" t="e">
        <f>VLOOKUP(B519,'115+040'!$B$12:$AB$621,13,FALSE)</f>
        <v>#REF!</v>
      </c>
      <c r="K519" s="58">
        <f>'115+040'!R517</f>
        <v>9</v>
      </c>
      <c r="L519" s="57">
        <f t="shared" si="119"/>
        <v>1381</v>
      </c>
      <c r="M519" s="62" t="e">
        <f>VLOOKUP(B519,'115+040'!$B$11:$AB$621,21,FALSE)</f>
        <v>#REF!</v>
      </c>
      <c r="N519" s="61" t="e">
        <f>VLOOKUP(B519,'115+040'!$B$12:$AB$621,5,FALSE)</f>
        <v>#REF!</v>
      </c>
      <c r="O519" s="60" t="e">
        <f t="shared" si="120"/>
        <v>#REF!</v>
      </c>
      <c r="P519" s="60" t="e">
        <f>VLOOKUP(B519,'115+040'!$B$12:$AB$621,14,FALSE)</f>
        <v>#REF!</v>
      </c>
      <c r="Q519" s="58">
        <f>'115+040'!S517</f>
        <v>10</v>
      </c>
      <c r="R519" s="57">
        <f t="shared" si="121"/>
        <v>1555</v>
      </c>
      <c r="S519" s="62" t="e">
        <f>VLOOKUP(B519,'115+040'!$B$11:$AB$621,22,FALSE)</f>
        <v>#REF!</v>
      </c>
      <c r="T519" s="61" t="e">
        <f>VLOOKUP(B519,'115+040'!$B$12:$AB$621,6,FALSE)</f>
        <v>#REF!</v>
      </c>
      <c r="U519" s="60" t="e">
        <f t="shared" si="122"/>
        <v>#REF!</v>
      </c>
      <c r="V519" s="59" t="e">
        <f>VLOOKUP(B519,'115+040'!$B$12:$AB$621,15,FALSE)</f>
        <v>#REF!</v>
      </c>
      <c r="W519" s="58">
        <f>'[4]114+940'!S520</f>
        <v>10</v>
      </c>
      <c r="X519" s="57">
        <f t="shared" si="123"/>
        <v>949</v>
      </c>
      <c r="Y519" s="56" t="e">
        <f t="shared" si="124"/>
        <v>#REF!</v>
      </c>
      <c r="Z519" s="55" t="e">
        <f t="shared" si="102"/>
        <v>#REF!</v>
      </c>
      <c r="AA519" s="54" t="e">
        <f t="shared" si="125"/>
        <v>#REF!</v>
      </c>
      <c r="AB519" s="54" t="e">
        <f t="shared" si="126"/>
        <v>#REF!</v>
      </c>
    </row>
    <row r="520" spans="2:28">
      <c r="B520" s="96" t="e">
        <f>'115+040'!#REF!</f>
        <v>#REF!</v>
      </c>
      <c r="C520" s="66" t="e">
        <f t="shared" si="96"/>
        <v>#REF!</v>
      </c>
      <c r="D520" s="65" t="e">
        <f t="shared" si="116"/>
        <v>#REF!</v>
      </c>
      <c r="E520" s="64" t="e">
        <f>VLOOKUP(B520,'115+040'!B518:AB518,3,FALSE)</f>
        <v>#REF!</v>
      </c>
      <c r="F520" s="61" t="e">
        <f t="shared" si="117"/>
        <v>#REF!</v>
      </c>
      <c r="G520" s="63" t="e">
        <f>VLOOKUP(B520,'115+040'!$B$12:$AB$621,20,FALSE)</f>
        <v>#REF!</v>
      </c>
      <c r="H520" s="63" t="e">
        <f>VLOOKUP(B520,'115+040'!$B$12:$AB$621,4,FALSE)</f>
        <v>#REF!</v>
      </c>
      <c r="I520" s="60" t="e">
        <f t="shared" si="118"/>
        <v>#REF!</v>
      </c>
      <c r="J520" s="60" t="e">
        <f>VLOOKUP(B520,'115+040'!$B$12:$AB$621,13,FALSE)</f>
        <v>#REF!</v>
      </c>
      <c r="K520" s="58">
        <f>'115+040'!R518</f>
        <v>8</v>
      </c>
      <c r="L520" s="57">
        <f t="shared" si="119"/>
        <v>1389</v>
      </c>
      <c r="M520" s="62" t="e">
        <f>VLOOKUP(B520,'115+040'!$B$11:$AB$621,21,FALSE)</f>
        <v>#REF!</v>
      </c>
      <c r="N520" s="61" t="e">
        <f>VLOOKUP(B520,'115+040'!$B$12:$AB$621,5,FALSE)</f>
        <v>#REF!</v>
      </c>
      <c r="O520" s="60" t="e">
        <f t="shared" si="120"/>
        <v>#REF!</v>
      </c>
      <c r="P520" s="60" t="e">
        <f>VLOOKUP(B520,'115+040'!$B$12:$AB$621,14,FALSE)</f>
        <v>#REF!</v>
      </c>
      <c r="Q520" s="58">
        <f>'115+040'!S518</f>
        <v>9</v>
      </c>
      <c r="R520" s="57">
        <f t="shared" si="121"/>
        <v>1564</v>
      </c>
      <c r="S520" s="62" t="e">
        <f>VLOOKUP(B520,'115+040'!$B$11:$AB$621,22,FALSE)</f>
        <v>#REF!</v>
      </c>
      <c r="T520" s="61" t="e">
        <f>VLOOKUP(B520,'115+040'!$B$12:$AB$621,6,FALSE)</f>
        <v>#REF!</v>
      </c>
      <c r="U520" s="60" t="e">
        <f t="shared" si="122"/>
        <v>#REF!</v>
      </c>
      <c r="V520" s="59" t="e">
        <f>VLOOKUP(B520,'115+040'!$B$12:$AB$621,15,FALSE)</f>
        <v>#REF!</v>
      </c>
      <c r="W520" s="58">
        <f>'[4]114+940'!S521</f>
        <v>8</v>
      </c>
      <c r="X520" s="57">
        <f t="shared" si="123"/>
        <v>957</v>
      </c>
      <c r="Y520" s="56" t="e">
        <f t="shared" si="124"/>
        <v>#REF!</v>
      </c>
      <c r="Z520" s="55" t="e">
        <f t="shared" si="102"/>
        <v>#REF!</v>
      </c>
      <c r="AA520" s="54" t="e">
        <f t="shared" si="125"/>
        <v>#REF!</v>
      </c>
      <c r="AB520" s="54" t="e">
        <f t="shared" si="126"/>
        <v>#REF!</v>
      </c>
    </row>
    <row r="521" spans="2:28">
      <c r="B521" s="96" t="e">
        <f>'115+040'!#REF!</f>
        <v>#REF!</v>
      </c>
      <c r="C521" s="66" t="e">
        <f t="shared" si="96"/>
        <v>#REF!</v>
      </c>
      <c r="D521" s="65" t="e">
        <f t="shared" si="116"/>
        <v>#REF!</v>
      </c>
      <c r="E521" s="64" t="e">
        <f>VLOOKUP(B521,'115+040'!B519:AB519,3,FALSE)</f>
        <v>#REF!</v>
      </c>
      <c r="F521" s="61" t="e">
        <f t="shared" si="117"/>
        <v>#REF!</v>
      </c>
      <c r="G521" s="63" t="e">
        <f>VLOOKUP(B521,'115+040'!$B$12:$AB$621,20,FALSE)</f>
        <v>#REF!</v>
      </c>
      <c r="H521" s="63" t="e">
        <f>VLOOKUP(B521,'115+040'!$B$12:$AB$621,4,FALSE)</f>
        <v>#REF!</v>
      </c>
      <c r="I521" s="60" t="e">
        <f t="shared" si="118"/>
        <v>#REF!</v>
      </c>
      <c r="J521" s="60" t="e">
        <f>VLOOKUP(B521,'115+040'!$B$12:$AB$621,13,FALSE)</f>
        <v>#REF!</v>
      </c>
      <c r="K521" s="58">
        <f>'115+040'!R519</f>
        <v>6</v>
      </c>
      <c r="L521" s="57">
        <f t="shared" si="119"/>
        <v>1395</v>
      </c>
      <c r="M521" s="62" t="e">
        <f>VLOOKUP(B521,'115+040'!$B$11:$AB$621,21,FALSE)</f>
        <v>#REF!</v>
      </c>
      <c r="N521" s="61" t="e">
        <f>VLOOKUP(B521,'115+040'!$B$12:$AB$621,5,FALSE)</f>
        <v>#REF!</v>
      </c>
      <c r="O521" s="60" t="e">
        <f t="shared" si="120"/>
        <v>#REF!</v>
      </c>
      <c r="P521" s="60" t="e">
        <f>VLOOKUP(B521,'115+040'!$B$12:$AB$621,14,FALSE)</f>
        <v>#REF!</v>
      </c>
      <c r="Q521" s="58">
        <f>'115+040'!S519</f>
        <v>9</v>
      </c>
      <c r="R521" s="57">
        <f t="shared" si="121"/>
        <v>1573</v>
      </c>
      <c r="S521" s="62" t="e">
        <f>VLOOKUP(B521,'115+040'!$B$11:$AB$621,22,FALSE)</f>
        <v>#REF!</v>
      </c>
      <c r="T521" s="61" t="e">
        <f>VLOOKUP(B521,'115+040'!$B$12:$AB$621,6,FALSE)</f>
        <v>#REF!</v>
      </c>
      <c r="U521" s="60" t="e">
        <f t="shared" si="122"/>
        <v>#REF!</v>
      </c>
      <c r="V521" s="59" t="e">
        <f>VLOOKUP(B521,'115+040'!$B$12:$AB$621,15,FALSE)</f>
        <v>#REF!</v>
      </c>
      <c r="W521" s="58">
        <f>'[4]114+940'!S522</f>
        <v>8</v>
      </c>
      <c r="X521" s="57">
        <f t="shared" si="123"/>
        <v>965</v>
      </c>
      <c r="Y521" s="56" t="e">
        <f t="shared" si="124"/>
        <v>#REF!</v>
      </c>
      <c r="Z521" s="55" t="e">
        <f t="shared" si="102"/>
        <v>#REF!</v>
      </c>
      <c r="AA521" s="54" t="e">
        <f t="shared" si="125"/>
        <v>#REF!</v>
      </c>
      <c r="AB521" s="54" t="e">
        <f t="shared" si="126"/>
        <v>#REF!</v>
      </c>
    </row>
    <row r="522" spans="2:28">
      <c r="B522" s="96" t="e">
        <f>'115+040'!#REF!</f>
        <v>#REF!</v>
      </c>
      <c r="C522" s="66" t="e">
        <f t="shared" si="96"/>
        <v>#REF!</v>
      </c>
      <c r="D522" s="65" t="e">
        <f t="shared" si="116"/>
        <v>#REF!</v>
      </c>
      <c r="E522" s="64" t="e">
        <f>VLOOKUP(B522,'115+040'!B520:AB520,3,FALSE)</f>
        <v>#REF!</v>
      </c>
      <c r="F522" s="61" t="e">
        <f t="shared" si="117"/>
        <v>#REF!</v>
      </c>
      <c r="G522" s="63" t="e">
        <f>VLOOKUP(B522,'115+040'!$B$12:$AB$621,20,FALSE)</f>
        <v>#REF!</v>
      </c>
      <c r="H522" s="63" t="e">
        <f>VLOOKUP(B522,'115+040'!$B$12:$AB$621,4,FALSE)</f>
        <v>#REF!</v>
      </c>
      <c r="I522" s="60" t="e">
        <f t="shared" si="118"/>
        <v>#REF!</v>
      </c>
      <c r="J522" s="60" t="e">
        <f>VLOOKUP(B522,'115+040'!$B$12:$AB$621,13,FALSE)</f>
        <v>#REF!</v>
      </c>
      <c r="K522" s="58">
        <f>'115+040'!R520</f>
        <v>6</v>
      </c>
      <c r="L522" s="57">
        <f t="shared" si="119"/>
        <v>1401</v>
      </c>
      <c r="M522" s="62" t="e">
        <f>VLOOKUP(B522,'115+040'!$B$11:$AB$621,21,FALSE)</f>
        <v>#REF!</v>
      </c>
      <c r="N522" s="61" t="e">
        <f>VLOOKUP(B522,'115+040'!$B$12:$AB$621,5,FALSE)</f>
        <v>#REF!</v>
      </c>
      <c r="O522" s="60" t="e">
        <f t="shared" si="120"/>
        <v>#REF!</v>
      </c>
      <c r="P522" s="60" t="e">
        <f>VLOOKUP(B522,'115+040'!$B$12:$AB$621,14,FALSE)</f>
        <v>#REF!</v>
      </c>
      <c r="Q522" s="58">
        <f>'115+040'!S520</f>
        <v>8</v>
      </c>
      <c r="R522" s="57">
        <f t="shared" si="121"/>
        <v>1581</v>
      </c>
      <c r="S522" s="62" t="e">
        <f>VLOOKUP(B522,'115+040'!$B$11:$AB$621,22,FALSE)</f>
        <v>#REF!</v>
      </c>
      <c r="T522" s="61" t="e">
        <f>VLOOKUP(B522,'115+040'!$B$12:$AB$621,6,FALSE)</f>
        <v>#REF!</v>
      </c>
      <c r="U522" s="60" t="e">
        <f t="shared" si="122"/>
        <v>#REF!</v>
      </c>
      <c r="V522" s="59" t="e">
        <f>VLOOKUP(B522,'115+040'!$B$12:$AB$621,15,FALSE)</f>
        <v>#REF!</v>
      </c>
      <c r="W522" s="58">
        <f>'[4]114+940'!S523</f>
        <v>8</v>
      </c>
      <c r="X522" s="57">
        <f t="shared" si="123"/>
        <v>973</v>
      </c>
      <c r="Y522" s="56" t="e">
        <f t="shared" si="124"/>
        <v>#REF!</v>
      </c>
      <c r="Z522" s="55" t="e">
        <f t="shared" si="102"/>
        <v>#REF!</v>
      </c>
      <c r="AA522" s="54" t="e">
        <f t="shared" si="125"/>
        <v>#REF!</v>
      </c>
      <c r="AB522" s="54" t="e">
        <f t="shared" si="126"/>
        <v>#REF!</v>
      </c>
    </row>
    <row r="523" spans="2:28">
      <c r="B523" s="96" t="e">
        <f>'115+040'!#REF!</f>
        <v>#REF!</v>
      </c>
      <c r="C523" s="66" t="e">
        <f t="shared" si="96"/>
        <v>#REF!</v>
      </c>
      <c r="D523" s="65" t="e">
        <f t="shared" si="116"/>
        <v>#REF!</v>
      </c>
      <c r="E523" s="64" t="e">
        <f>VLOOKUP(B523,'115+040'!B521:AB521,3,FALSE)</f>
        <v>#REF!</v>
      </c>
      <c r="F523" s="61" t="e">
        <f t="shared" si="117"/>
        <v>#REF!</v>
      </c>
      <c r="G523" s="63" t="e">
        <f>VLOOKUP(B523,'115+040'!$B$12:$AB$621,20,FALSE)</f>
        <v>#REF!</v>
      </c>
      <c r="H523" s="63" t="e">
        <f>VLOOKUP(B523,'115+040'!$B$12:$AB$621,4,FALSE)</f>
        <v>#REF!</v>
      </c>
      <c r="I523" s="60" t="e">
        <f t="shared" si="118"/>
        <v>#REF!</v>
      </c>
      <c r="J523" s="60" t="e">
        <f>VLOOKUP(B523,'115+040'!$B$12:$AB$621,13,FALSE)</f>
        <v>#REF!</v>
      </c>
      <c r="K523" s="58">
        <f>'115+040'!R521</f>
        <v>4</v>
      </c>
      <c r="L523" s="57">
        <f t="shared" si="119"/>
        <v>1405</v>
      </c>
      <c r="M523" s="62" t="e">
        <f>VLOOKUP(B523,'115+040'!$B$11:$AB$621,21,FALSE)</f>
        <v>#REF!</v>
      </c>
      <c r="N523" s="61" t="e">
        <f>VLOOKUP(B523,'115+040'!$B$12:$AB$621,5,FALSE)</f>
        <v>#REF!</v>
      </c>
      <c r="O523" s="60" t="e">
        <f t="shared" si="120"/>
        <v>#REF!</v>
      </c>
      <c r="P523" s="60" t="e">
        <f>VLOOKUP(B523,'115+040'!$B$12:$AB$621,14,FALSE)</f>
        <v>#REF!</v>
      </c>
      <c r="Q523" s="58">
        <f>'115+040'!S521</f>
        <v>8</v>
      </c>
      <c r="R523" s="57">
        <f t="shared" si="121"/>
        <v>1589</v>
      </c>
      <c r="S523" s="62" t="e">
        <f>VLOOKUP(B523,'115+040'!$B$11:$AB$621,22,FALSE)</f>
        <v>#REF!</v>
      </c>
      <c r="T523" s="61" t="e">
        <f>VLOOKUP(B523,'115+040'!$B$12:$AB$621,6,FALSE)</f>
        <v>#REF!</v>
      </c>
      <c r="U523" s="60" t="e">
        <f t="shared" si="122"/>
        <v>#REF!</v>
      </c>
      <c r="V523" s="59" t="e">
        <f>VLOOKUP(B523,'115+040'!$B$12:$AB$621,15,FALSE)</f>
        <v>#REF!</v>
      </c>
      <c r="W523" s="58">
        <f>'[4]114+940'!S524</f>
        <v>8</v>
      </c>
      <c r="X523" s="57">
        <f t="shared" si="123"/>
        <v>981</v>
      </c>
      <c r="Y523" s="56" t="e">
        <f t="shared" si="124"/>
        <v>#REF!</v>
      </c>
      <c r="Z523" s="55" t="e">
        <f t="shared" si="102"/>
        <v>#REF!</v>
      </c>
      <c r="AA523" s="54" t="e">
        <f t="shared" si="125"/>
        <v>#REF!</v>
      </c>
      <c r="AB523" s="54" t="e">
        <f t="shared" si="126"/>
        <v>#REF!</v>
      </c>
    </row>
    <row r="524" spans="2:28">
      <c r="B524" s="96" t="e">
        <f>'115+040'!#REF!</f>
        <v>#REF!</v>
      </c>
      <c r="C524" s="66" t="e">
        <f t="shared" si="96"/>
        <v>#REF!</v>
      </c>
      <c r="D524" s="65" t="e">
        <f t="shared" si="116"/>
        <v>#REF!</v>
      </c>
      <c r="E524" s="64" t="e">
        <f>VLOOKUP(B524,'115+040'!B522:AB522,3,FALSE)</f>
        <v>#REF!</v>
      </c>
      <c r="F524" s="61" t="e">
        <f t="shared" si="117"/>
        <v>#REF!</v>
      </c>
      <c r="G524" s="63" t="e">
        <f>VLOOKUP(B524,'115+040'!$B$12:$AB$621,20,FALSE)</f>
        <v>#REF!</v>
      </c>
      <c r="H524" s="63" t="e">
        <f>VLOOKUP(B524,'115+040'!$B$12:$AB$621,4,FALSE)</f>
        <v>#REF!</v>
      </c>
      <c r="I524" s="60" t="e">
        <f t="shared" si="118"/>
        <v>#REF!</v>
      </c>
      <c r="J524" s="60" t="e">
        <f>VLOOKUP(B524,'115+040'!$B$12:$AB$621,13,FALSE)</f>
        <v>#REF!</v>
      </c>
      <c r="K524" s="58">
        <f>'115+040'!R522</f>
        <v>2</v>
      </c>
      <c r="L524" s="57">
        <f t="shared" si="119"/>
        <v>1407</v>
      </c>
      <c r="M524" s="62" t="e">
        <f>VLOOKUP(B524,'115+040'!$B$11:$AB$621,21,FALSE)</f>
        <v>#REF!</v>
      </c>
      <c r="N524" s="61" t="e">
        <f>VLOOKUP(B524,'115+040'!$B$12:$AB$621,5,FALSE)</f>
        <v>#REF!</v>
      </c>
      <c r="O524" s="60" t="e">
        <f t="shared" si="120"/>
        <v>#REF!</v>
      </c>
      <c r="P524" s="60" t="e">
        <f>VLOOKUP(B524,'115+040'!$B$12:$AB$621,14,FALSE)</f>
        <v>#REF!</v>
      </c>
      <c r="Q524" s="58">
        <f>'115+040'!S522</f>
        <v>3</v>
      </c>
      <c r="R524" s="57">
        <f t="shared" si="121"/>
        <v>1592</v>
      </c>
      <c r="S524" s="62" t="e">
        <f>VLOOKUP(B524,'115+040'!$B$11:$AB$621,22,FALSE)</f>
        <v>#REF!</v>
      </c>
      <c r="T524" s="61" t="e">
        <f>VLOOKUP(B524,'115+040'!$B$12:$AB$621,6,FALSE)</f>
        <v>#REF!</v>
      </c>
      <c r="U524" s="60" t="e">
        <f t="shared" si="122"/>
        <v>#REF!</v>
      </c>
      <c r="V524" s="59" t="e">
        <f>VLOOKUP(B524,'115+040'!$B$12:$AB$621,15,FALSE)</f>
        <v>#REF!</v>
      </c>
      <c r="W524" s="58">
        <f>'[4]114+940'!S525</f>
        <v>8</v>
      </c>
      <c r="X524" s="57">
        <f t="shared" si="123"/>
        <v>989</v>
      </c>
      <c r="Y524" s="56" t="e">
        <f t="shared" si="124"/>
        <v>#REF!</v>
      </c>
      <c r="Z524" s="55" t="e">
        <f t="shared" si="102"/>
        <v>#REF!</v>
      </c>
      <c r="AA524" s="54" t="e">
        <f t="shared" si="125"/>
        <v>#REF!</v>
      </c>
      <c r="AB524" s="54" t="e">
        <f t="shared" si="126"/>
        <v>#REF!</v>
      </c>
    </row>
    <row r="525" spans="2:28">
      <c r="B525" s="96" t="e">
        <f>'115+040'!#REF!</f>
        <v>#REF!</v>
      </c>
      <c r="C525" s="66" t="e">
        <f t="shared" si="96"/>
        <v>#REF!</v>
      </c>
      <c r="D525" s="65" t="e">
        <f t="shared" si="116"/>
        <v>#REF!</v>
      </c>
      <c r="E525" s="64" t="e">
        <f>VLOOKUP(B525,'115+040'!B523:AB523,3,FALSE)</f>
        <v>#REF!</v>
      </c>
      <c r="F525" s="61" t="e">
        <f t="shared" si="117"/>
        <v>#REF!</v>
      </c>
      <c r="G525" s="63" t="e">
        <f>VLOOKUP(B525,'115+040'!$B$12:$AB$621,20,FALSE)</f>
        <v>#REF!</v>
      </c>
      <c r="H525" s="63" t="e">
        <f>VLOOKUP(B525,'115+040'!$B$12:$AB$621,4,FALSE)</f>
        <v>#REF!</v>
      </c>
      <c r="I525" s="60" t="e">
        <f t="shared" si="118"/>
        <v>#REF!</v>
      </c>
      <c r="J525" s="60" t="e">
        <f>VLOOKUP(B525,'115+040'!$B$12:$AB$621,13,FALSE)</f>
        <v>#REF!</v>
      </c>
      <c r="K525" s="58">
        <f>'115+040'!R523</f>
        <v>1</v>
      </c>
      <c r="L525" s="57">
        <f t="shared" si="119"/>
        <v>1408</v>
      </c>
      <c r="M525" s="62" t="e">
        <f>VLOOKUP(B525,'115+040'!$B$11:$AB$621,21,FALSE)</f>
        <v>#REF!</v>
      </c>
      <c r="N525" s="61" t="e">
        <f>VLOOKUP(B525,'115+040'!$B$12:$AB$621,5,FALSE)</f>
        <v>#REF!</v>
      </c>
      <c r="O525" s="60" t="e">
        <f t="shared" si="120"/>
        <v>#REF!</v>
      </c>
      <c r="P525" s="60" t="e">
        <f>VLOOKUP(B525,'115+040'!$B$12:$AB$621,14,FALSE)</f>
        <v>#REF!</v>
      </c>
      <c r="Q525" s="58">
        <f>'115+040'!S523</f>
        <v>2</v>
      </c>
      <c r="R525" s="57">
        <f t="shared" si="121"/>
        <v>1594</v>
      </c>
      <c r="S525" s="62" t="e">
        <f>VLOOKUP(B525,'115+040'!$B$11:$AB$621,22,FALSE)</f>
        <v>#REF!</v>
      </c>
      <c r="T525" s="61" t="e">
        <f>VLOOKUP(B525,'115+040'!$B$12:$AB$621,6,FALSE)</f>
        <v>#REF!</v>
      </c>
      <c r="U525" s="60" t="e">
        <f t="shared" si="122"/>
        <v>#REF!</v>
      </c>
      <c r="V525" s="59" t="e">
        <f>VLOOKUP(B525,'115+040'!$B$12:$AB$621,15,FALSE)</f>
        <v>#REF!</v>
      </c>
      <c r="W525" s="58">
        <f>'[4]114+940'!S526</f>
        <v>6</v>
      </c>
      <c r="X525" s="57">
        <f t="shared" si="123"/>
        <v>995</v>
      </c>
      <c r="Y525" s="56" t="e">
        <f t="shared" si="124"/>
        <v>#REF!</v>
      </c>
      <c r="Z525" s="55" t="e">
        <f t="shared" si="102"/>
        <v>#REF!</v>
      </c>
      <c r="AA525" s="54" t="e">
        <f t="shared" si="125"/>
        <v>#REF!</v>
      </c>
      <c r="AB525" s="54" t="e">
        <f t="shared" si="126"/>
        <v>#REF!</v>
      </c>
    </row>
    <row r="526" spans="2:28">
      <c r="B526" s="96" t="e">
        <f>'115+040'!#REF!</f>
        <v>#REF!</v>
      </c>
      <c r="C526" s="66" t="e">
        <f t="shared" ref="C526" si="127">B526-B525</f>
        <v>#REF!</v>
      </c>
      <c r="D526" s="65" t="e">
        <f t="shared" si="116"/>
        <v>#REF!</v>
      </c>
      <c r="E526" s="64" t="e">
        <f>VLOOKUP(B526,'115+040'!B524:AB524,3,FALSE)</f>
        <v>#REF!</v>
      </c>
      <c r="F526" s="61" t="e">
        <f t="shared" si="117"/>
        <v>#REF!</v>
      </c>
      <c r="G526" s="63" t="e">
        <f>VLOOKUP(B526,'115+040'!$B$12:$AB$621,20,FALSE)</f>
        <v>#REF!</v>
      </c>
      <c r="H526" s="63" t="e">
        <f>VLOOKUP(B526,'115+040'!$B$12:$AB$621,4,FALSE)</f>
        <v>#REF!</v>
      </c>
      <c r="I526" s="60" t="e">
        <f t="shared" si="118"/>
        <v>#REF!</v>
      </c>
      <c r="J526" s="60" t="e">
        <f>VLOOKUP(B526,'115+040'!$B$12:$AB$621,13,FALSE)</f>
        <v>#REF!</v>
      </c>
      <c r="K526" s="58">
        <f>'115+040'!R524</f>
        <v>1</v>
      </c>
      <c r="L526" s="57">
        <f t="shared" si="119"/>
        <v>1409</v>
      </c>
      <c r="M526" s="62" t="e">
        <f>VLOOKUP(B526,'115+040'!$B$11:$AB$621,21,FALSE)</f>
        <v>#REF!</v>
      </c>
      <c r="N526" s="61" t="e">
        <f>VLOOKUP(B526,'115+040'!$B$12:$AB$621,5,FALSE)</f>
        <v>#REF!</v>
      </c>
      <c r="O526" s="60" t="e">
        <f t="shared" si="120"/>
        <v>#REF!</v>
      </c>
      <c r="P526" s="60" t="e">
        <f>VLOOKUP(B526,'115+040'!$B$12:$AB$621,14,FALSE)</f>
        <v>#REF!</v>
      </c>
      <c r="Q526" s="58">
        <f>'115+040'!S524</f>
        <v>2</v>
      </c>
      <c r="R526" s="57">
        <f t="shared" si="121"/>
        <v>1596</v>
      </c>
      <c r="S526" s="62" t="e">
        <f>VLOOKUP(B526,'115+040'!$B$11:$AB$621,22,FALSE)</f>
        <v>#REF!</v>
      </c>
      <c r="T526" s="61" t="e">
        <f>VLOOKUP(B526,'115+040'!$B$12:$AB$621,6,FALSE)</f>
        <v>#REF!</v>
      </c>
      <c r="U526" s="60" t="e">
        <f t="shared" si="122"/>
        <v>#REF!</v>
      </c>
      <c r="V526" s="59" t="e">
        <f>VLOOKUP(B526,'115+040'!$B$12:$AB$621,15,FALSE)</f>
        <v>#REF!</v>
      </c>
      <c r="W526" s="58">
        <f>'[4]114+940'!S527</f>
        <v>6</v>
      </c>
      <c r="X526" s="57">
        <f t="shared" si="123"/>
        <v>1001</v>
      </c>
      <c r="Y526" s="56" t="e">
        <f t="shared" si="124"/>
        <v>#REF!</v>
      </c>
      <c r="Z526" s="55" t="e">
        <f t="shared" ref="Z526" si="128">IF(Y526&gt;0,Y526,0)/1000</f>
        <v>#REF!</v>
      </c>
      <c r="AA526" s="54" t="e">
        <f t="shared" si="125"/>
        <v>#REF!</v>
      </c>
      <c r="AB526" s="54" t="e">
        <f t="shared" si="126"/>
        <v>#REF!</v>
      </c>
    </row>
    <row r="527" spans="2:28">
      <c r="B527" s="96" t="e">
        <f>'115+040'!#REF!</f>
        <v>#REF!</v>
      </c>
      <c r="C527" s="66" t="e">
        <f t="shared" ref="C527:C533" si="129">B527-B526</f>
        <v>#REF!</v>
      </c>
      <c r="D527" s="65" t="e">
        <f t="shared" si="116"/>
        <v>#REF!</v>
      </c>
      <c r="E527" s="64" t="e">
        <f>VLOOKUP(B527,'115+040'!B525:AB525,3,FALSE)</f>
        <v>#REF!</v>
      </c>
      <c r="F527" s="61" t="e">
        <f t="shared" ref="F527:F533" si="130">D527+E527</f>
        <v>#REF!</v>
      </c>
      <c r="G527" s="63" t="e">
        <f>VLOOKUP(B527,'115+040'!$B$12:$AB$621,20,FALSE)</f>
        <v>#REF!</v>
      </c>
      <c r="H527" s="63" t="e">
        <f>VLOOKUP(B527,'115+040'!$B$12:$AB$621,4,FALSE)</f>
        <v>#REF!</v>
      </c>
      <c r="I527" s="60" t="e">
        <f t="shared" ref="I527:I533" si="131">F527-H527</f>
        <v>#REF!</v>
      </c>
      <c r="J527" s="60" t="e">
        <f>VLOOKUP(B527,'115+040'!$B$12:$AB$621,13,FALSE)</f>
        <v>#REF!</v>
      </c>
      <c r="K527" s="58">
        <f>'115+040'!R525</f>
        <v>0</v>
      </c>
      <c r="L527" s="57">
        <f t="shared" ref="L527:L533" si="132">+K527+L526</f>
        <v>1409</v>
      </c>
      <c r="M527" s="62" t="e">
        <f>VLOOKUP(B527,'115+040'!$B$11:$AB$621,21,FALSE)</f>
        <v>#REF!</v>
      </c>
      <c r="N527" s="61" t="e">
        <f>VLOOKUP(B527,'115+040'!$B$12:$AB$621,5,FALSE)</f>
        <v>#REF!</v>
      </c>
      <c r="O527" s="60" t="e">
        <f t="shared" ref="O527:O533" si="133">F527-N527</f>
        <v>#REF!</v>
      </c>
      <c r="P527" s="60" t="e">
        <f>VLOOKUP(B527,'115+040'!$B$12:$AB$621,14,FALSE)</f>
        <v>#REF!</v>
      </c>
      <c r="Q527" s="58">
        <f>'115+040'!S525</f>
        <v>0</v>
      </c>
      <c r="R527" s="57">
        <f t="shared" ref="R527:R533" si="134">+Q527+R526</f>
        <v>1596</v>
      </c>
      <c r="S527" s="62" t="e">
        <f>VLOOKUP(B527,'115+040'!$B$11:$AB$621,22,FALSE)</f>
        <v>#REF!</v>
      </c>
      <c r="T527" s="61" t="e">
        <f>VLOOKUP(B527,'115+040'!$B$12:$AB$621,6,FALSE)</f>
        <v>#REF!</v>
      </c>
      <c r="U527" s="60" t="e">
        <f t="shared" ref="U527:U533" si="135">F527-T527</f>
        <v>#REF!</v>
      </c>
      <c r="V527" s="59" t="e">
        <f>VLOOKUP(B527,'115+040'!$B$12:$AB$621,15,FALSE)</f>
        <v>#REF!</v>
      </c>
      <c r="W527" s="58">
        <f>'[4]114+940'!S528</f>
        <v>4</v>
      </c>
      <c r="X527" s="57">
        <f t="shared" ref="X527:X533" si="136">+W527+X526</f>
        <v>1005</v>
      </c>
      <c r="Y527" s="56" t="e">
        <f t="shared" ref="Y527:Y533" si="137">S527-S526</f>
        <v>#REF!</v>
      </c>
      <c r="Z527" s="55" t="e">
        <f t="shared" ref="Z527:Z533" si="138">IF(Y527&gt;0,Y527,0)/1000</f>
        <v>#REF!</v>
      </c>
      <c r="AA527" s="54" t="e">
        <f t="shared" ref="AA527:AA533" si="139">AA526+Z527</f>
        <v>#REF!</v>
      </c>
      <c r="AB527" s="54" t="e">
        <f t="shared" ref="AB527:AB533" si="140">(M527-$M$13-R527)/1000</f>
        <v>#REF!</v>
      </c>
    </row>
    <row r="528" spans="2:28">
      <c r="B528" s="96" t="e">
        <f>'115+040'!#REF!</f>
        <v>#REF!</v>
      </c>
      <c r="C528" s="66" t="e">
        <f t="shared" si="129"/>
        <v>#REF!</v>
      </c>
      <c r="D528" s="65" t="e">
        <f t="shared" si="116"/>
        <v>#REF!</v>
      </c>
      <c r="E528" s="64" t="e">
        <f>VLOOKUP(B528,'115+040'!B526:AB526,3,FALSE)</f>
        <v>#REF!</v>
      </c>
      <c r="F528" s="61" t="e">
        <f t="shared" si="130"/>
        <v>#REF!</v>
      </c>
      <c r="G528" s="63" t="e">
        <f>VLOOKUP(B528,'115+040'!$B$12:$AB$621,20,FALSE)</f>
        <v>#REF!</v>
      </c>
      <c r="H528" s="63" t="e">
        <f>VLOOKUP(B528,'115+040'!$B$12:$AB$621,4,FALSE)</f>
        <v>#REF!</v>
      </c>
      <c r="I528" s="60" t="e">
        <f t="shared" si="131"/>
        <v>#REF!</v>
      </c>
      <c r="J528" s="60" t="e">
        <f>VLOOKUP(B528,'115+040'!$B$12:$AB$621,13,FALSE)</f>
        <v>#REF!</v>
      </c>
      <c r="K528" s="58">
        <f>'115+040'!R526</f>
        <v>0</v>
      </c>
      <c r="L528" s="57">
        <f t="shared" si="132"/>
        <v>1409</v>
      </c>
      <c r="M528" s="62" t="e">
        <f>VLOOKUP(B528,'115+040'!$B$11:$AB$621,21,FALSE)</f>
        <v>#REF!</v>
      </c>
      <c r="N528" s="61" t="e">
        <f>VLOOKUP(B528,'115+040'!$B$12:$AB$621,5,FALSE)</f>
        <v>#REF!</v>
      </c>
      <c r="O528" s="60" t="e">
        <f t="shared" si="133"/>
        <v>#REF!</v>
      </c>
      <c r="P528" s="60" t="e">
        <f>VLOOKUP(B528,'115+040'!$B$12:$AB$621,14,FALSE)</f>
        <v>#REF!</v>
      </c>
      <c r="Q528" s="58">
        <f>'115+040'!S526</f>
        <v>0</v>
      </c>
      <c r="R528" s="57">
        <f t="shared" si="134"/>
        <v>1596</v>
      </c>
      <c r="S528" s="62" t="e">
        <f>VLOOKUP(B528,'115+040'!$B$11:$AB$621,22,FALSE)</f>
        <v>#REF!</v>
      </c>
      <c r="T528" s="61" t="e">
        <f>VLOOKUP(B528,'115+040'!$B$12:$AB$621,6,FALSE)</f>
        <v>#REF!</v>
      </c>
      <c r="U528" s="60" t="e">
        <f t="shared" si="135"/>
        <v>#REF!</v>
      </c>
      <c r="V528" s="59" t="e">
        <f>VLOOKUP(B528,'115+040'!$B$12:$AB$621,15,FALSE)</f>
        <v>#REF!</v>
      </c>
      <c r="W528" s="58">
        <f>'[4]114+940'!S529</f>
        <v>4</v>
      </c>
      <c r="X528" s="57">
        <f t="shared" si="136"/>
        <v>1009</v>
      </c>
      <c r="Y528" s="56" t="e">
        <f t="shared" si="137"/>
        <v>#REF!</v>
      </c>
      <c r="Z528" s="55" t="e">
        <f t="shared" si="138"/>
        <v>#REF!</v>
      </c>
      <c r="AA528" s="54" t="e">
        <f t="shared" si="139"/>
        <v>#REF!</v>
      </c>
      <c r="AB528" s="54" t="e">
        <f t="shared" si="140"/>
        <v>#REF!</v>
      </c>
    </row>
    <row r="529" spans="2:28">
      <c r="B529" s="96" t="e">
        <f>'115+040'!#REF!</f>
        <v>#REF!</v>
      </c>
      <c r="C529" s="66" t="e">
        <f t="shared" si="129"/>
        <v>#REF!</v>
      </c>
      <c r="D529" s="65" t="e">
        <f t="shared" si="116"/>
        <v>#REF!</v>
      </c>
      <c r="E529" s="64" t="e">
        <f>VLOOKUP(B529,'115+040'!B527:AB527,3,FALSE)</f>
        <v>#REF!</v>
      </c>
      <c r="F529" s="61" t="e">
        <f t="shared" si="130"/>
        <v>#REF!</v>
      </c>
      <c r="G529" s="63" t="e">
        <f>VLOOKUP(B529,'115+040'!$B$12:$AB$621,20,FALSE)</f>
        <v>#REF!</v>
      </c>
      <c r="H529" s="63" t="e">
        <f>VLOOKUP(B529,'115+040'!$B$12:$AB$621,4,FALSE)</f>
        <v>#REF!</v>
      </c>
      <c r="I529" s="60" t="e">
        <f t="shared" si="131"/>
        <v>#REF!</v>
      </c>
      <c r="J529" s="60" t="e">
        <f>VLOOKUP(B529,'115+040'!$B$12:$AB$621,13,FALSE)</f>
        <v>#REF!</v>
      </c>
      <c r="K529" s="58">
        <f>'115+040'!R527</f>
        <v>0</v>
      </c>
      <c r="L529" s="57">
        <f t="shared" si="132"/>
        <v>1409</v>
      </c>
      <c r="M529" s="62" t="e">
        <f>VLOOKUP(B529,'115+040'!$B$11:$AB$621,21,FALSE)</f>
        <v>#REF!</v>
      </c>
      <c r="N529" s="61" t="e">
        <f>VLOOKUP(B529,'115+040'!$B$12:$AB$621,5,FALSE)</f>
        <v>#REF!</v>
      </c>
      <c r="O529" s="60" t="e">
        <f t="shared" si="133"/>
        <v>#REF!</v>
      </c>
      <c r="P529" s="60" t="e">
        <f>VLOOKUP(B529,'115+040'!$B$12:$AB$621,14,FALSE)</f>
        <v>#REF!</v>
      </c>
      <c r="Q529" s="58">
        <f>'115+040'!S527</f>
        <v>0</v>
      </c>
      <c r="R529" s="57">
        <f t="shared" si="134"/>
        <v>1596</v>
      </c>
      <c r="S529" s="62" t="e">
        <f>VLOOKUP(B529,'115+040'!$B$11:$AB$621,22,FALSE)</f>
        <v>#REF!</v>
      </c>
      <c r="T529" s="61" t="e">
        <f>VLOOKUP(B529,'115+040'!$B$12:$AB$621,6,FALSE)</f>
        <v>#REF!</v>
      </c>
      <c r="U529" s="60" t="e">
        <f t="shared" si="135"/>
        <v>#REF!</v>
      </c>
      <c r="V529" s="59" t="e">
        <f>VLOOKUP(B529,'115+040'!$B$12:$AB$621,15,FALSE)</f>
        <v>#REF!</v>
      </c>
      <c r="W529" s="58">
        <f>'[4]114+940'!S530</f>
        <v>2</v>
      </c>
      <c r="X529" s="57">
        <f t="shared" si="136"/>
        <v>1011</v>
      </c>
      <c r="Y529" s="56" t="e">
        <f t="shared" si="137"/>
        <v>#REF!</v>
      </c>
      <c r="Z529" s="55" t="e">
        <f t="shared" si="138"/>
        <v>#REF!</v>
      </c>
      <c r="AA529" s="54" t="e">
        <f t="shared" si="139"/>
        <v>#REF!</v>
      </c>
      <c r="AB529" s="54" t="e">
        <f t="shared" si="140"/>
        <v>#REF!</v>
      </c>
    </row>
    <row r="530" spans="2:28">
      <c r="B530" s="96" t="e">
        <f>'115+040'!#REF!</f>
        <v>#REF!</v>
      </c>
      <c r="C530" s="66" t="e">
        <f t="shared" si="129"/>
        <v>#REF!</v>
      </c>
      <c r="D530" s="65" t="e">
        <f t="shared" si="116"/>
        <v>#REF!</v>
      </c>
      <c r="E530" s="64" t="e">
        <f>VLOOKUP(B530,'115+040'!B528:AB528,3,FALSE)</f>
        <v>#REF!</v>
      </c>
      <c r="F530" s="61" t="e">
        <f t="shared" si="130"/>
        <v>#REF!</v>
      </c>
      <c r="G530" s="63" t="e">
        <f>VLOOKUP(B530,'115+040'!$B$12:$AB$621,20,FALSE)</f>
        <v>#REF!</v>
      </c>
      <c r="H530" s="63" t="e">
        <f>VLOOKUP(B530,'115+040'!$B$12:$AB$621,4,FALSE)</f>
        <v>#REF!</v>
      </c>
      <c r="I530" s="60" t="e">
        <f t="shared" si="131"/>
        <v>#REF!</v>
      </c>
      <c r="J530" s="60" t="e">
        <f>VLOOKUP(B530,'115+040'!$B$12:$AB$621,13,FALSE)</f>
        <v>#REF!</v>
      </c>
      <c r="K530" s="58">
        <f>'115+040'!R528</f>
        <v>0</v>
      </c>
      <c r="L530" s="57">
        <f t="shared" si="132"/>
        <v>1409</v>
      </c>
      <c r="M530" s="62" t="e">
        <f>VLOOKUP(B530,'115+040'!$B$11:$AB$621,21,FALSE)</f>
        <v>#REF!</v>
      </c>
      <c r="N530" s="61" t="e">
        <f>VLOOKUP(B530,'115+040'!$B$12:$AB$621,5,FALSE)</f>
        <v>#REF!</v>
      </c>
      <c r="O530" s="60" t="e">
        <f t="shared" si="133"/>
        <v>#REF!</v>
      </c>
      <c r="P530" s="60" t="e">
        <f>VLOOKUP(B530,'115+040'!$B$12:$AB$621,14,FALSE)</f>
        <v>#REF!</v>
      </c>
      <c r="Q530" s="58">
        <f>'115+040'!S528</f>
        <v>0</v>
      </c>
      <c r="R530" s="57">
        <f t="shared" si="134"/>
        <v>1596</v>
      </c>
      <c r="S530" s="62" t="e">
        <f>VLOOKUP(B530,'115+040'!$B$11:$AB$621,22,FALSE)</f>
        <v>#REF!</v>
      </c>
      <c r="T530" s="61" t="e">
        <f>VLOOKUP(B530,'115+040'!$B$12:$AB$621,6,FALSE)</f>
        <v>#REF!</v>
      </c>
      <c r="U530" s="60" t="e">
        <f t="shared" si="135"/>
        <v>#REF!</v>
      </c>
      <c r="V530" s="59" t="e">
        <f>VLOOKUP(B530,'115+040'!$B$12:$AB$621,15,FALSE)</f>
        <v>#REF!</v>
      </c>
      <c r="W530" s="58">
        <f>'[4]114+940'!S531</f>
        <v>1</v>
      </c>
      <c r="X530" s="57">
        <f t="shared" si="136"/>
        <v>1012</v>
      </c>
      <c r="Y530" s="56" t="e">
        <f t="shared" si="137"/>
        <v>#REF!</v>
      </c>
      <c r="Z530" s="55" t="e">
        <f t="shared" si="138"/>
        <v>#REF!</v>
      </c>
      <c r="AA530" s="54" t="e">
        <f t="shared" si="139"/>
        <v>#REF!</v>
      </c>
      <c r="AB530" s="54" t="e">
        <f t="shared" si="140"/>
        <v>#REF!</v>
      </c>
    </row>
    <row r="531" spans="2:28">
      <c r="B531" s="96" t="e">
        <f>'115+040'!#REF!</f>
        <v>#REF!</v>
      </c>
      <c r="C531" s="66" t="e">
        <f t="shared" si="129"/>
        <v>#REF!</v>
      </c>
      <c r="D531" s="65" t="e">
        <f t="shared" si="116"/>
        <v>#REF!</v>
      </c>
      <c r="E531" s="64" t="e">
        <f>VLOOKUP(B531,'115+040'!B529:AB529,3,FALSE)</f>
        <v>#REF!</v>
      </c>
      <c r="F531" s="61" t="e">
        <f t="shared" si="130"/>
        <v>#REF!</v>
      </c>
      <c r="G531" s="63" t="e">
        <f>VLOOKUP(B531,'115+040'!$B$12:$AB$621,20,FALSE)</f>
        <v>#REF!</v>
      </c>
      <c r="H531" s="63" t="e">
        <f>VLOOKUP(B531,'115+040'!$B$12:$AB$621,4,FALSE)</f>
        <v>#REF!</v>
      </c>
      <c r="I531" s="60" t="e">
        <f t="shared" si="131"/>
        <v>#REF!</v>
      </c>
      <c r="J531" s="60" t="e">
        <f>VLOOKUP(B531,'115+040'!$B$12:$AB$621,13,FALSE)</f>
        <v>#REF!</v>
      </c>
      <c r="K531" s="58">
        <f>'115+040'!R529</f>
        <v>0</v>
      </c>
      <c r="L531" s="57">
        <f t="shared" si="132"/>
        <v>1409</v>
      </c>
      <c r="M531" s="62" t="e">
        <f>VLOOKUP(B531,'115+040'!$B$11:$AB$621,21,FALSE)</f>
        <v>#REF!</v>
      </c>
      <c r="N531" s="61" t="e">
        <f>VLOOKUP(B531,'115+040'!$B$12:$AB$621,5,FALSE)</f>
        <v>#REF!</v>
      </c>
      <c r="O531" s="60" t="e">
        <f t="shared" si="133"/>
        <v>#REF!</v>
      </c>
      <c r="P531" s="60" t="e">
        <f>VLOOKUP(B531,'115+040'!$B$12:$AB$621,14,FALSE)</f>
        <v>#REF!</v>
      </c>
      <c r="Q531" s="58">
        <f>'115+040'!S529</f>
        <v>0</v>
      </c>
      <c r="R531" s="57">
        <f t="shared" si="134"/>
        <v>1596</v>
      </c>
      <c r="S531" s="62" t="e">
        <f>VLOOKUP(B531,'115+040'!$B$11:$AB$621,22,FALSE)</f>
        <v>#REF!</v>
      </c>
      <c r="T531" s="61" t="e">
        <f>VLOOKUP(B531,'115+040'!$B$12:$AB$621,6,FALSE)</f>
        <v>#REF!</v>
      </c>
      <c r="U531" s="60" t="e">
        <f t="shared" si="135"/>
        <v>#REF!</v>
      </c>
      <c r="V531" s="59" t="e">
        <f>VLOOKUP(B531,'115+040'!$B$12:$AB$621,15,FALSE)</f>
        <v>#REF!</v>
      </c>
      <c r="W531" s="58">
        <f>'[4]114+940'!S532</f>
        <v>0</v>
      </c>
      <c r="X531" s="57">
        <f t="shared" si="136"/>
        <v>1012</v>
      </c>
      <c r="Y531" s="56" t="e">
        <f t="shared" si="137"/>
        <v>#REF!</v>
      </c>
      <c r="Z531" s="55" t="e">
        <f t="shared" si="138"/>
        <v>#REF!</v>
      </c>
      <c r="AA531" s="54" t="e">
        <f t="shared" si="139"/>
        <v>#REF!</v>
      </c>
      <c r="AB531" s="54" t="e">
        <f t="shared" si="140"/>
        <v>#REF!</v>
      </c>
    </row>
    <row r="532" spans="2:28">
      <c r="B532" s="96" t="e">
        <f>'115+040'!#REF!</f>
        <v>#REF!</v>
      </c>
      <c r="C532" s="66" t="e">
        <f t="shared" si="129"/>
        <v>#REF!</v>
      </c>
      <c r="D532" s="65" t="e">
        <f t="shared" si="116"/>
        <v>#REF!</v>
      </c>
      <c r="E532" s="64" t="e">
        <f>VLOOKUP(B532,'115+040'!B530:AB530,3,FALSE)</f>
        <v>#REF!</v>
      </c>
      <c r="F532" s="61" t="e">
        <f t="shared" si="130"/>
        <v>#REF!</v>
      </c>
      <c r="G532" s="63" t="e">
        <f>VLOOKUP(B532,'115+040'!$B$12:$AB$621,20,FALSE)</f>
        <v>#REF!</v>
      </c>
      <c r="H532" s="63" t="e">
        <f>VLOOKUP(B532,'115+040'!$B$12:$AB$621,4,FALSE)</f>
        <v>#REF!</v>
      </c>
      <c r="I532" s="60" t="e">
        <f t="shared" si="131"/>
        <v>#REF!</v>
      </c>
      <c r="J532" s="60" t="e">
        <f>VLOOKUP(B532,'115+040'!$B$12:$AB$621,13,FALSE)</f>
        <v>#REF!</v>
      </c>
      <c r="K532" s="58">
        <f>'115+040'!R530</f>
        <v>0</v>
      </c>
      <c r="L532" s="57">
        <f t="shared" si="132"/>
        <v>1409</v>
      </c>
      <c r="M532" s="62" t="e">
        <f>VLOOKUP(B532,'115+040'!$B$11:$AB$621,21,FALSE)</f>
        <v>#REF!</v>
      </c>
      <c r="N532" s="61" t="e">
        <f>VLOOKUP(B532,'115+040'!$B$12:$AB$621,5,FALSE)</f>
        <v>#REF!</v>
      </c>
      <c r="O532" s="60" t="e">
        <f t="shared" si="133"/>
        <v>#REF!</v>
      </c>
      <c r="P532" s="60" t="e">
        <f>VLOOKUP(B532,'115+040'!$B$12:$AB$621,14,FALSE)</f>
        <v>#REF!</v>
      </c>
      <c r="Q532" s="58">
        <f>'115+040'!S530</f>
        <v>0</v>
      </c>
      <c r="R532" s="57">
        <f t="shared" si="134"/>
        <v>1596</v>
      </c>
      <c r="S532" s="62" t="e">
        <f>VLOOKUP(B532,'115+040'!$B$11:$AB$621,22,FALSE)</f>
        <v>#REF!</v>
      </c>
      <c r="T532" s="61" t="e">
        <f>VLOOKUP(B532,'115+040'!$B$12:$AB$621,6,FALSE)</f>
        <v>#REF!</v>
      </c>
      <c r="U532" s="60" t="e">
        <f t="shared" si="135"/>
        <v>#REF!</v>
      </c>
      <c r="V532" s="59" t="e">
        <f>VLOOKUP(B532,'115+040'!$B$12:$AB$621,15,FALSE)</f>
        <v>#REF!</v>
      </c>
      <c r="W532" s="58">
        <f>'[4]114+940'!S533</f>
        <v>0</v>
      </c>
      <c r="X532" s="57">
        <f t="shared" si="136"/>
        <v>1012</v>
      </c>
      <c r="Y532" s="56" t="e">
        <f t="shared" si="137"/>
        <v>#REF!</v>
      </c>
      <c r="Z532" s="55" t="e">
        <f t="shared" si="138"/>
        <v>#REF!</v>
      </c>
      <c r="AA532" s="54" t="e">
        <f t="shared" si="139"/>
        <v>#REF!</v>
      </c>
      <c r="AB532" s="54" t="e">
        <f t="shared" si="140"/>
        <v>#REF!</v>
      </c>
    </row>
    <row r="533" spans="2:28">
      <c r="B533" s="96" t="e">
        <f>'115+040'!#REF!</f>
        <v>#REF!</v>
      </c>
      <c r="C533" s="66" t="e">
        <f t="shared" si="129"/>
        <v>#REF!</v>
      </c>
      <c r="D533" s="65" t="e">
        <f t="shared" si="116"/>
        <v>#REF!</v>
      </c>
      <c r="E533" s="64" t="e">
        <f>VLOOKUP(B533,'115+040'!B531:AB531,3,FALSE)</f>
        <v>#REF!</v>
      </c>
      <c r="F533" s="61" t="e">
        <f t="shared" si="130"/>
        <v>#REF!</v>
      </c>
      <c r="G533" s="63" t="e">
        <f>VLOOKUP(B533,'115+040'!$B$12:$AB$621,20,FALSE)</f>
        <v>#REF!</v>
      </c>
      <c r="H533" s="63" t="e">
        <f>VLOOKUP(B533,'115+040'!$B$12:$AB$621,4,FALSE)</f>
        <v>#REF!</v>
      </c>
      <c r="I533" s="60" t="e">
        <f t="shared" si="131"/>
        <v>#REF!</v>
      </c>
      <c r="J533" s="60" t="e">
        <f>VLOOKUP(B533,'115+040'!$B$12:$AB$621,13,FALSE)</f>
        <v>#REF!</v>
      </c>
      <c r="K533" s="58">
        <f>'115+040'!R531</f>
        <v>0</v>
      </c>
      <c r="L533" s="57">
        <f t="shared" si="132"/>
        <v>1409</v>
      </c>
      <c r="M533" s="62" t="e">
        <f>VLOOKUP(B533,'115+040'!$B$11:$AB$621,21,FALSE)</f>
        <v>#REF!</v>
      </c>
      <c r="N533" s="61" t="e">
        <f>VLOOKUP(B533,'115+040'!$B$12:$AB$621,5,FALSE)</f>
        <v>#REF!</v>
      </c>
      <c r="O533" s="60" t="e">
        <f t="shared" si="133"/>
        <v>#REF!</v>
      </c>
      <c r="P533" s="60" t="e">
        <f>VLOOKUP(B533,'115+040'!$B$12:$AB$621,14,FALSE)</f>
        <v>#REF!</v>
      </c>
      <c r="Q533" s="58">
        <f>'115+040'!S531</f>
        <v>0</v>
      </c>
      <c r="R533" s="57">
        <f t="shared" si="134"/>
        <v>1596</v>
      </c>
      <c r="S533" s="62" t="e">
        <f>VLOOKUP(B533,'115+040'!$B$11:$AB$621,22,FALSE)</f>
        <v>#REF!</v>
      </c>
      <c r="T533" s="61" t="e">
        <f>VLOOKUP(B533,'115+040'!$B$12:$AB$621,6,FALSE)</f>
        <v>#REF!</v>
      </c>
      <c r="U533" s="60" t="e">
        <f t="shared" si="135"/>
        <v>#REF!</v>
      </c>
      <c r="V533" s="59" t="e">
        <f>VLOOKUP(B533,'115+040'!$B$12:$AB$621,15,FALSE)</f>
        <v>#REF!</v>
      </c>
      <c r="W533" s="58">
        <f>'[4]114+940'!S534</f>
        <v>0</v>
      </c>
      <c r="X533" s="57">
        <f t="shared" si="136"/>
        <v>1012</v>
      </c>
      <c r="Y533" s="56" t="e">
        <f t="shared" si="137"/>
        <v>#REF!</v>
      </c>
      <c r="Z533" s="55" t="e">
        <f t="shared" si="138"/>
        <v>#REF!</v>
      </c>
      <c r="AA533" s="54" t="e">
        <f t="shared" si="139"/>
        <v>#REF!</v>
      </c>
      <c r="AB533" s="54" t="e">
        <f t="shared" si="140"/>
        <v>#REF!</v>
      </c>
    </row>
  </sheetData>
  <mergeCells count="23">
    <mergeCell ref="B5:I5"/>
    <mergeCell ref="B1:AB1"/>
    <mergeCell ref="B2:AB2"/>
    <mergeCell ref="B3:AB3"/>
    <mergeCell ref="B4:I4"/>
    <mergeCell ref="J4:S4"/>
    <mergeCell ref="T4:AB4"/>
    <mergeCell ref="AA11:AA12"/>
    <mergeCell ref="J5:S5"/>
    <mergeCell ref="T5:AB5"/>
    <mergeCell ref="B6:AB6"/>
    <mergeCell ref="N9:O9"/>
    <mergeCell ref="AB11:AB12"/>
    <mergeCell ref="G11:L11"/>
    <mergeCell ref="M11:R11"/>
    <mergeCell ref="S11:X11"/>
    <mergeCell ref="Y11:Y12"/>
    <mergeCell ref="Z11:Z12"/>
    <mergeCell ref="B11:B12"/>
    <mergeCell ref="C11:C12"/>
    <mergeCell ref="D11:D12"/>
    <mergeCell ref="E11:E12"/>
    <mergeCell ref="F11:F12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61" fitToHeight="0"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C3612-FF78-4186-87D4-DA23354249EA}">
  <sheetPr codeName="Sheet24">
    <tabColor rgb="FFFFFF00"/>
  </sheetPr>
  <dimension ref="A1:AA939"/>
  <sheetViews>
    <sheetView topLeftCell="A502" zoomScaleNormal="100" zoomScaleSheetLayoutView="85" workbookViewId="0">
      <selection activeCell="K532" sqref="K532"/>
    </sheetView>
  </sheetViews>
  <sheetFormatPr defaultColWidth="9.109375" defaultRowHeight="15.6"/>
  <cols>
    <col min="1" max="1" width="11.5546875" style="128" customWidth="1"/>
    <col min="2" max="2" width="6.88671875" style="126" customWidth="1"/>
    <col min="3" max="11" width="9" style="127" customWidth="1"/>
    <col min="12" max="12" width="9.33203125" style="126" customWidth="1"/>
    <col min="13" max="13" width="8.6640625" style="126" customWidth="1"/>
    <col min="14" max="14" width="8.6640625" style="125" customWidth="1"/>
    <col min="15" max="15" width="15.33203125" style="125" customWidth="1"/>
    <col min="16" max="18" width="9.109375" style="123"/>
    <col min="19" max="19" width="12.109375" style="123" customWidth="1"/>
    <col min="20" max="20" width="9.109375" style="123"/>
    <col min="21" max="21" width="0" style="123" hidden="1" customWidth="1"/>
    <col min="22" max="22" width="10.33203125" style="124" customWidth="1"/>
    <col min="23" max="16384" width="9.109375" style="123"/>
  </cols>
  <sheetData>
    <row r="1" spans="1:27" ht="17.25" customHeight="1">
      <c r="A1" s="250" t="s">
        <v>37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3"/>
    </row>
    <row r="2" spans="1:27" ht="17.25" customHeight="1">
      <c r="A2" s="250" t="s">
        <v>36</v>
      </c>
      <c r="B2" s="250"/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1"/>
    </row>
    <row r="3" spans="1:27" ht="29.25" customHeight="1">
      <c r="A3" s="251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3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49"/>
    </row>
    <row r="4" spans="1:27" ht="14.25" customHeight="1">
      <c r="A4" s="197" t="s">
        <v>35</v>
      </c>
      <c r="B4" s="198"/>
      <c r="C4" s="198"/>
      <c r="D4" s="198"/>
      <c r="E4" s="199"/>
      <c r="F4" s="246" t="s">
        <v>34</v>
      </c>
      <c r="G4" s="246"/>
      <c r="H4" s="246"/>
      <c r="I4" s="246"/>
      <c r="J4" s="247"/>
      <c r="K4" s="245" t="s">
        <v>33</v>
      </c>
      <c r="L4" s="246"/>
      <c r="M4" s="246"/>
      <c r="N4" s="246"/>
      <c r="O4" s="247"/>
      <c r="Q4" s="134"/>
    </row>
    <row r="5" spans="1:27" ht="57" customHeight="1">
      <c r="A5" s="206" t="s">
        <v>32</v>
      </c>
      <c r="B5" s="207"/>
      <c r="C5" s="207"/>
      <c r="D5" s="207"/>
      <c r="E5" s="208"/>
      <c r="F5" s="223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G5" s="223"/>
      <c r="H5" s="223"/>
      <c r="I5" s="223"/>
      <c r="J5" s="224"/>
      <c r="K5" s="222" t="s">
        <v>31</v>
      </c>
      <c r="L5" s="223"/>
      <c r="M5" s="223"/>
      <c r="N5" s="223"/>
      <c r="O5" s="224"/>
      <c r="Q5" s="134"/>
    </row>
    <row r="6" spans="1:27" ht="24.75" customHeight="1">
      <c r="A6" s="209" t="s">
        <v>30</v>
      </c>
      <c r="B6" s="210"/>
      <c r="C6" s="210"/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1"/>
      <c r="P6" s="139"/>
    </row>
    <row r="7" spans="1:27">
      <c r="A7" s="40" t="s">
        <v>29</v>
      </c>
      <c r="B7" s="38">
        <f>'[5]BC.95+020'!C7</f>
        <v>0</v>
      </c>
      <c r="C7" s="38"/>
      <c r="D7" s="38"/>
      <c r="E7" s="38"/>
      <c r="F7" s="38"/>
      <c r="G7" s="38"/>
      <c r="H7" s="38"/>
      <c r="I7" s="38"/>
      <c r="J7" s="39"/>
      <c r="K7" s="39" t="s">
        <v>28</v>
      </c>
      <c r="L7" s="39"/>
      <c r="M7" s="39">
        <f>'[5]BC.95+020'!N7</f>
        <v>0</v>
      </c>
      <c r="N7" s="39"/>
      <c r="O7" s="148"/>
      <c r="P7" s="137"/>
      <c r="S7" s="138"/>
    </row>
    <row r="8" spans="1:27">
      <c r="A8" s="34" t="s">
        <v>27</v>
      </c>
      <c r="B8" s="32" t="str">
        <f>'[5]BC.95+020'!C8</f>
        <v>năng</v>
      </c>
      <c r="C8" s="32"/>
      <c r="D8" s="32"/>
      <c r="E8" s="32"/>
      <c r="F8" s="32"/>
      <c r="G8" s="32"/>
      <c r="H8" s="32"/>
      <c r="I8" s="32"/>
      <c r="J8" s="33"/>
      <c r="K8" s="33" t="s">
        <v>25</v>
      </c>
      <c r="L8" s="33"/>
      <c r="M8" s="35">
        <f>'115+040'!N6</f>
        <v>1069</v>
      </c>
      <c r="N8" s="33"/>
      <c r="O8" s="147"/>
      <c r="P8" s="137"/>
      <c r="S8" s="138"/>
    </row>
    <row r="9" spans="1:27">
      <c r="A9" s="117" t="s">
        <v>24</v>
      </c>
      <c r="B9" s="115" t="str">
        <f>'115+040'!C7</f>
        <v>Km115+040</v>
      </c>
      <c r="C9" s="115"/>
      <c r="D9" s="115"/>
      <c r="E9" s="115"/>
      <c r="F9" s="115"/>
      <c r="G9" s="115"/>
      <c r="H9" s="115"/>
      <c r="I9" s="115"/>
      <c r="J9" s="116"/>
      <c r="K9" s="116" t="s">
        <v>22</v>
      </c>
      <c r="L9" s="116"/>
      <c r="M9" s="254" t="str">
        <f>'115+040'!N7</f>
        <v>10/12/2023</v>
      </c>
      <c r="N9" s="255"/>
      <c r="O9" s="146"/>
      <c r="P9" s="137"/>
      <c r="Q9" s="136"/>
      <c r="R9" s="135"/>
      <c r="S9" s="134"/>
      <c r="T9" s="134"/>
    </row>
    <row r="10" spans="1:27" ht="14.25" customHeight="1">
      <c r="A10" s="145"/>
      <c r="B10" s="143"/>
      <c r="C10" s="143"/>
      <c r="D10" s="143"/>
      <c r="E10" s="143"/>
      <c r="F10" s="143"/>
      <c r="G10" s="143"/>
      <c r="H10" s="143"/>
      <c r="I10" s="143"/>
      <c r="J10" s="144"/>
      <c r="K10" s="144"/>
      <c r="L10" s="144"/>
      <c r="M10" s="144"/>
      <c r="N10" s="144"/>
      <c r="O10" s="143"/>
      <c r="P10" s="142"/>
      <c r="Q10" s="142"/>
      <c r="R10" s="142"/>
      <c r="S10" s="142"/>
      <c r="T10" s="142"/>
      <c r="U10" s="141"/>
      <c r="V10" s="141"/>
      <c r="W10" s="141"/>
      <c r="X10" s="141"/>
      <c r="Y10" s="141"/>
      <c r="Z10" s="43"/>
      <c r="AA10" s="43"/>
    </row>
    <row r="11" spans="1:27" ht="26.4" customHeight="1">
      <c r="A11" s="262" t="str">
        <f>"BÀN QUAN TRẮC: "&amp;B9</f>
        <v>BÀN QUAN TRẮC: Km115+040</v>
      </c>
      <c r="B11" s="262"/>
      <c r="C11" s="262"/>
      <c r="D11" s="262"/>
      <c r="E11" s="262"/>
      <c r="F11" s="262"/>
      <c r="G11" s="262"/>
      <c r="H11" s="262"/>
      <c r="I11" s="262"/>
      <c r="J11" s="262"/>
      <c r="K11" s="262"/>
      <c r="L11" s="262"/>
      <c r="M11" s="262"/>
      <c r="N11" s="262"/>
      <c r="O11" s="262"/>
      <c r="Q11" s="134"/>
    </row>
    <row r="12" spans="1:27" ht="28.95" customHeight="1">
      <c r="A12" s="257" t="s">
        <v>67</v>
      </c>
      <c r="B12" s="249" t="s">
        <v>66</v>
      </c>
      <c r="C12" s="258" t="s">
        <v>65</v>
      </c>
      <c r="D12" s="259" t="s">
        <v>49</v>
      </c>
      <c r="E12" s="261" t="s">
        <v>64</v>
      </c>
      <c r="F12" s="248" t="s">
        <v>9</v>
      </c>
      <c r="G12" s="248"/>
      <c r="H12" s="248" t="s">
        <v>63</v>
      </c>
      <c r="I12" s="248"/>
      <c r="J12" s="248" t="s">
        <v>7</v>
      </c>
      <c r="K12" s="248"/>
      <c r="L12" s="249" t="s">
        <v>62</v>
      </c>
      <c r="M12" s="249" t="s">
        <v>61</v>
      </c>
      <c r="N12" s="249" t="s">
        <v>60</v>
      </c>
      <c r="O12" s="256" t="s">
        <v>59</v>
      </c>
      <c r="Q12" s="134"/>
    </row>
    <row r="13" spans="1:27" ht="72.599999999999994" customHeight="1">
      <c r="A13" s="257"/>
      <c r="B13" s="249"/>
      <c r="C13" s="258"/>
      <c r="D13" s="260"/>
      <c r="E13" s="261"/>
      <c r="F13" s="140" t="s">
        <v>58</v>
      </c>
      <c r="G13" s="140" t="s">
        <v>57</v>
      </c>
      <c r="H13" s="140" t="s">
        <v>58</v>
      </c>
      <c r="I13" s="140" t="s">
        <v>57</v>
      </c>
      <c r="J13" s="140" t="s">
        <v>58</v>
      </c>
      <c r="K13" s="140" t="s">
        <v>57</v>
      </c>
      <c r="L13" s="249"/>
      <c r="M13" s="249"/>
      <c r="N13" s="249"/>
      <c r="O13" s="256"/>
      <c r="P13" s="139"/>
    </row>
    <row r="14" spans="1:27">
      <c r="A14" s="67" t="e">
        <f>'BC.115+040'!B13</f>
        <v>#REF!</v>
      </c>
      <c r="B14" s="129">
        <v>0</v>
      </c>
      <c r="C14" s="131" t="e">
        <f>'BC.115+040'!M13/1000</f>
        <v>#REF!</v>
      </c>
      <c r="D14" s="131">
        <f>'BC.115+040'!AA13</f>
        <v>0</v>
      </c>
      <c r="E14" s="132">
        <f>'BC.115+040'!AB13</f>
        <v>0</v>
      </c>
      <c r="F14" s="131" t="e">
        <f>VLOOKUP($A14,'BC.115+040'!$B$13:$X$489,8,0)/1000</f>
        <v>#REF!</v>
      </c>
      <c r="G14" s="131" t="e">
        <f>VLOOKUP($A14,'BC.115+040'!$B$13:$X$489,9,0)/1000</f>
        <v>#REF!</v>
      </c>
      <c r="H14" s="131" t="e">
        <f>VLOOKUP($A14,'BC.115+040'!$B$13:$X$489,14,0)/1000</f>
        <v>#REF!</v>
      </c>
      <c r="I14" s="131" t="e">
        <f>VLOOKUP($A14,'BC.115+040'!$B$13:$X$489,15,0)/1000</f>
        <v>#REF!</v>
      </c>
      <c r="J14" s="131" t="e">
        <f>VLOOKUP($A14,'BC.115+040'!$B$13:$X$489,20,0)/1000</f>
        <v>#REF!</v>
      </c>
      <c r="K14" s="131" t="e">
        <f>VLOOKUP($A14,'BC.115+040'!$B$13:$X$489,21,0)/1000</f>
        <v>#REF!</v>
      </c>
      <c r="L14" s="129" t="e">
        <f t="shared" ref="L14:L77" si="0">(G14-$G$14)*1000</f>
        <v>#REF!</v>
      </c>
      <c r="M14" s="129" t="e">
        <f t="shared" ref="M14:M77" si="1">(I14-$I$14)*1000</f>
        <v>#REF!</v>
      </c>
      <c r="N14" s="129">
        <v>0</v>
      </c>
      <c r="O14" s="129"/>
      <c r="P14" s="137"/>
      <c r="S14" s="138"/>
    </row>
    <row r="15" spans="1:27">
      <c r="A15" s="67" t="e">
        <f>'BC.115+040'!B14</f>
        <v>#REF!</v>
      </c>
      <c r="B15" s="129">
        <v>1</v>
      </c>
      <c r="C15" s="131" t="e">
        <f>'BC.115+040'!M14/1000</f>
        <v>#REF!</v>
      </c>
      <c r="D15" s="131" t="e">
        <f>'BC.115+040'!AA14</f>
        <v>#REF!</v>
      </c>
      <c r="E15" s="132" t="e">
        <f>'BC.115+040'!AB14</f>
        <v>#REF!</v>
      </c>
      <c r="F15" s="131" t="e">
        <f>VLOOKUP($A15,'BC.115+040'!$B$13:$X$489,8,0)/1000</f>
        <v>#REF!</v>
      </c>
      <c r="G15" s="131" t="e">
        <f>VLOOKUP($A15,'BC.115+040'!$B$13:$X$489,9,0)/1000</f>
        <v>#REF!</v>
      </c>
      <c r="H15" s="131" t="e">
        <f>VLOOKUP($A15,'BC.115+040'!$B$13:$X$489,14,0)/1000</f>
        <v>#REF!</v>
      </c>
      <c r="I15" s="131" t="e">
        <f>VLOOKUP($A15,'BC.115+040'!$B$13:$X$489,15,0)/1000</f>
        <v>#REF!</v>
      </c>
      <c r="J15" s="131" t="e">
        <f>VLOOKUP($A15,'BC.115+040'!$B$13:$X$489,20,0)/1000</f>
        <v>#REF!</v>
      </c>
      <c r="K15" s="131" t="e">
        <f>VLOOKUP($A15,'BC.115+040'!$B$13:$X$489,21,0)/1000</f>
        <v>#REF!</v>
      </c>
      <c r="L15" s="129" t="e">
        <f t="shared" si="0"/>
        <v>#REF!</v>
      </c>
      <c r="M15" s="130" t="e">
        <f t="shared" si="1"/>
        <v>#REF!</v>
      </c>
      <c r="N15" s="129" t="e">
        <f t="shared" ref="N15:N78" si="2">(K15-$K$14)*1000</f>
        <v>#REF!</v>
      </c>
      <c r="O15" s="129"/>
      <c r="P15" s="137"/>
      <c r="S15" s="138"/>
    </row>
    <row r="16" spans="1:27">
      <c r="A16" s="67" t="e">
        <f>'BC.115+040'!B15</f>
        <v>#REF!</v>
      </c>
      <c r="B16" s="129">
        <v>2</v>
      </c>
      <c r="C16" s="131" t="e">
        <f>'BC.115+040'!M15/1000</f>
        <v>#REF!</v>
      </c>
      <c r="D16" s="131" t="e">
        <f>'BC.115+040'!AA15</f>
        <v>#REF!</v>
      </c>
      <c r="E16" s="132" t="e">
        <f>'BC.115+040'!AB15</f>
        <v>#REF!</v>
      </c>
      <c r="F16" s="131" t="e">
        <f>VLOOKUP($A16,'BC.115+040'!$B$13:$X$489,8,0)/1000</f>
        <v>#REF!</v>
      </c>
      <c r="G16" s="131" t="e">
        <f>VLOOKUP($A16,'BC.115+040'!$B$13:$X$489,9,0)/1000</f>
        <v>#REF!</v>
      </c>
      <c r="H16" s="131" t="e">
        <f>VLOOKUP($A16,'BC.115+040'!$B$13:$X$489,14,0)/1000</f>
        <v>#REF!</v>
      </c>
      <c r="I16" s="131" t="e">
        <f>VLOOKUP($A16,'BC.115+040'!$B$13:$X$489,15,0)/1000</f>
        <v>#REF!</v>
      </c>
      <c r="J16" s="131" t="e">
        <f>VLOOKUP($A16,'BC.115+040'!$B$13:$X$489,20,0)/1000</f>
        <v>#REF!</v>
      </c>
      <c r="K16" s="131" t="e">
        <f>VLOOKUP($A16,'BC.115+040'!$B$13:$X$489,21,0)/1000</f>
        <v>#REF!</v>
      </c>
      <c r="L16" s="129" t="e">
        <f t="shared" si="0"/>
        <v>#REF!</v>
      </c>
      <c r="M16" s="130" t="e">
        <f t="shared" si="1"/>
        <v>#REF!</v>
      </c>
      <c r="N16" s="129" t="e">
        <f t="shared" si="2"/>
        <v>#REF!</v>
      </c>
      <c r="O16" s="129"/>
      <c r="P16" s="137"/>
      <c r="Q16" s="136"/>
      <c r="R16" s="135"/>
      <c r="S16" s="134"/>
      <c r="T16" s="134"/>
    </row>
    <row r="17" spans="1:20">
      <c r="A17" s="67" t="e">
        <f>'BC.115+040'!B16</f>
        <v>#REF!</v>
      </c>
      <c r="B17" s="129">
        <v>3</v>
      </c>
      <c r="C17" s="131" t="e">
        <f>'BC.115+040'!M16/1000</f>
        <v>#REF!</v>
      </c>
      <c r="D17" s="131" t="e">
        <f>'BC.115+040'!AA16</f>
        <v>#REF!</v>
      </c>
      <c r="E17" s="132" t="e">
        <f>'BC.115+040'!AB16</f>
        <v>#REF!</v>
      </c>
      <c r="F17" s="131" t="e">
        <f>VLOOKUP($A17,'BC.115+040'!$B$13:$X$489,8,0)/1000</f>
        <v>#REF!</v>
      </c>
      <c r="G17" s="131" t="e">
        <f>VLOOKUP($A17,'BC.115+040'!$B$13:$X$489,9,0)/1000</f>
        <v>#REF!</v>
      </c>
      <c r="H17" s="131" t="e">
        <f>VLOOKUP($A17,'BC.115+040'!$B$13:$X$489,14,0)/1000</f>
        <v>#REF!</v>
      </c>
      <c r="I17" s="131" t="e">
        <f>VLOOKUP($A17,'BC.115+040'!$B$13:$X$489,15,0)/1000</f>
        <v>#REF!</v>
      </c>
      <c r="J17" s="131" t="e">
        <f>VLOOKUP($A17,'BC.115+040'!$B$13:$X$489,20,0)/1000</f>
        <v>#REF!</v>
      </c>
      <c r="K17" s="131" t="e">
        <f>VLOOKUP($A17,'BC.115+040'!$B$13:$X$489,21,0)/1000</f>
        <v>#REF!</v>
      </c>
      <c r="L17" s="129" t="e">
        <f t="shared" si="0"/>
        <v>#REF!</v>
      </c>
      <c r="M17" s="130" t="e">
        <f t="shared" si="1"/>
        <v>#REF!</v>
      </c>
      <c r="N17" s="129" t="e">
        <f t="shared" si="2"/>
        <v>#REF!</v>
      </c>
      <c r="O17" s="129"/>
      <c r="P17" s="137"/>
      <c r="Q17" s="136"/>
      <c r="R17" s="135"/>
      <c r="S17" s="134"/>
      <c r="T17" s="134"/>
    </row>
    <row r="18" spans="1:20">
      <c r="A18" s="67" t="e">
        <f>'BC.115+040'!B17</f>
        <v>#REF!</v>
      </c>
      <c r="B18" s="129">
        <v>4</v>
      </c>
      <c r="C18" s="131" t="e">
        <f>'BC.115+040'!M17/1000</f>
        <v>#REF!</v>
      </c>
      <c r="D18" s="131" t="e">
        <f>'BC.115+040'!AA17</f>
        <v>#REF!</v>
      </c>
      <c r="E18" s="132" t="e">
        <f>'BC.115+040'!AB17</f>
        <v>#REF!</v>
      </c>
      <c r="F18" s="131" t="e">
        <f>VLOOKUP($A18,'BC.115+040'!$B$13:$X$489,8,0)/1000</f>
        <v>#REF!</v>
      </c>
      <c r="G18" s="131" t="e">
        <f>VLOOKUP($A18,'BC.115+040'!$B$13:$X$489,9,0)/1000</f>
        <v>#REF!</v>
      </c>
      <c r="H18" s="131" t="e">
        <f>VLOOKUP($A18,'BC.115+040'!$B$13:$X$489,14,0)/1000</f>
        <v>#REF!</v>
      </c>
      <c r="I18" s="131" t="e">
        <f>VLOOKUP($A18,'BC.115+040'!$B$13:$X$489,15,0)/1000</f>
        <v>#REF!</v>
      </c>
      <c r="J18" s="131" t="e">
        <f>VLOOKUP($A18,'BC.115+040'!$B$13:$X$489,20,0)/1000</f>
        <v>#REF!</v>
      </c>
      <c r="K18" s="131" t="e">
        <f>VLOOKUP($A18,'BC.115+040'!$B$13:$X$489,21,0)/1000</f>
        <v>#REF!</v>
      </c>
      <c r="L18" s="129" t="e">
        <f t="shared" si="0"/>
        <v>#REF!</v>
      </c>
      <c r="M18" s="130" t="e">
        <f t="shared" si="1"/>
        <v>#REF!</v>
      </c>
      <c r="N18" s="129" t="e">
        <f t="shared" si="2"/>
        <v>#REF!</v>
      </c>
      <c r="O18" s="129"/>
      <c r="P18" s="137"/>
      <c r="Q18" s="136"/>
      <c r="R18" s="135"/>
      <c r="S18" s="134"/>
      <c r="T18" s="134"/>
    </row>
    <row r="19" spans="1:20">
      <c r="A19" s="67" t="e">
        <f>'BC.115+040'!B18</f>
        <v>#REF!</v>
      </c>
      <c r="B19" s="129">
        <v>5</v>
      </c>
      <c r="C19" s="131" t="e">
        <f>'BC.115+040'!M18/1000</f>
        <v>#REF!</v>
      </c>
      <c r="D19" s="131" t="e">
        <f>'BC.115+040'!AA18</f>
        <v>#REF!</v>
      </c>
      <c r="E19" s="132" t="e">
        <f>'BC.115+040'!AB18</f>
        <v>#REF!</v>
      </c>
      <c r="F19" s="131" t="e">
        <f>VLOOKUP($A19,'BC.115+040'!$B$13:$X$489,8,0)/1000</f>
        <v>#REF!</v>
      </c>
      <c r="G19" s="131" t="e">
        <f>VLOOKUP($A19,'BC.115+040'!$B$13:$X$489,9,0)/1000</f>
        <v>#REF!</v>
      </c>
      <c r="H19" s="131" t="e">
        <f>VLOOKUP($A19,'BC.115+040'!$B$13:$X$489,14,0)/1000</f>
        <v>#REF!</v>
      </c>
      <c r="I19" s="131" t="e">
        <f>VLOOKUP($A19,'BC.115+040'!$B$13:$X$489,15,0)/1000</f>
        <v>#REF!</v>
      </c>
      <c r="J19" s="131" t="e">
        <f>VLOOKUP($A19,'BC.115+040'!$B$13:$X$489,20,0)/1000</f>
        <v>#REF!</v>
      </c>
      <c r="K19" s="131" t="e">
        <f>VLOOKUP($A19,'BC.115+040'!$B$13:$X$489,21,0)/1000</f>
        <v>#REF!</v>
      </c>
      <c r="L19" s="129" t="e">
        <f t="shared" si="0"/>
        <v>#REF!</v>
      </c>
      <c r="M19" s="130" t="e">
        <f t="shared" si="1"/>
        <v>#REF!</v>
      </c>
      <c r="N19" s="129" t="e">
        <f t="shared" si="2"/>
        <v>#REF!</v>
      </c>
      <c r="O19" s="129"/>
      <c r="P19" s="137"/>
      <c r="Q19" s="136"/>
      <c r="R19" s="135"/>
      <c r="S19" s="134"/>
      <c r="T19" s="134"/>
    </row>
    <row r="20" spans="1:20">
      <c r="A20" s="67" t="e">
        <f>'BC.115+040'!B19</f>
        <v>#REF!</v>
      </c>
      <c r="B20" s="129">
        <v>6</v>
      </c>
      <c r="C20" s="131" t="e">
        <f>'BC.115+040'!M19/1000</f>
        <v>#REF!</v>
      </c>
      <c r="D20" s="131" t="e">
        <f>'BC.115+040'!AA19</f>
        <v>#REF!</v>
      </c>
      <c r="E20" s="132" t="e">
        <f>'BC.115+040'!AB19</f>
        <v>#REF!</v>
      </c>
      <c r="F20" s="131" t="e">
        <f>VLOOKUP($A20,'BC.115+040'!$B$13:$X$489,8,0)/1000</f>
        <v>#REF!</v>
      </c>
      <c r="G20" s="131" t="e">
        <f>VLOOKUP($A20,'BC.115+040'!$B$13:$X$489,9,0)/1000</f>
        <v>#REF!</v>
      </c>
      <c r="H20" s="131" t="e">
        <f>VLOOKUP($A20,'BC.115+040'!$B$13:$X$489,14,0)/1000</f>
        <v>#REF!</v>
      </c>
      <c r="I20" s="131" t="e">
        <f>VLOOKUP($A20,'BC.115+040'!$B$13:$X$489,15,0)/1000</f>
        <v>#REF!</v>
      </c>
      <c r="J20" s="131" t="e">
        <f>VLOOKUP($A20,'BC.115+040'!$B$13:$X$489,20,0)/1000</f>
        <v>#REF!</v>
      </c>
      <c r="K20" s="131" t="e">
        <f>VLOOKUP($A20,'BC.115+040'!$B$13:$X$489,21,0)/1000</f>
        <v>#REF!</v>
      </c>
      <c r="L20" s="129" t="e">
        <f t="shared" si="0"/>
        <v>#REF!</v>
      </c>
      <c r="M20" s="130" t="e">
        <f t="shared" si="1"/>
        <v>#REF!</v>
      </c>
      <c r="N20" s="129" t="e">
        <f t="shared" si="2"/>
        <v>#REF!</v>
      </c>
      <c r="O20" s="129"/>
      <c r="P20" s="137"/>
      <c r="Q20" s="136"/>
      <c r="R20" s="135"/>
      <c r="S20" s="134"/>
      <c r="T20" s="134"/>
    </row>
    <row r="21" spans="1:20">
      <c r="A21" s="67" t="e">
        <f>'BC.115+040'!B20</f>
        <v>#REF!</v>
      </c>
      <c r="B21" s="129">
        <v>7</v>
      </c>
      <c r="C21" s="131" t="e">
        <f>'BC.115+040'!M20/1000</f>
        <v>#REF!</v>
      </c>
      <c r="D21" s="131" t="e">
        <f>'BC.115+040'!AA20</f>
        <v>#REF!</v>
      </c>
      <c r="E21" s="132" t="e">
        <f>'BC.115+040'!AB20</f>
        <v>#REF!</v>
      </c>
      <c r="F21" s="131" t="e">
        <f>VLOOKUP($A21,'BC.115+040'!$B$13:$X$489,8,0)/1000</f>
        <v>#REF!</v>
      </c>
      <c r="G21" s="131" t="e">
        <f>VLOOKUP($A21,'BC.115+040'!$B$13:$X$489,9,0)/1000</f>
        <v>#REF!</v>
      </c>
      <c r="H21" s="131" t="e">
        <f>VLOOKUP($A21,'BC.115+040'!$B$13:$X$489,14,0)/1000</f>
        <v>#REF!</v>
      </c>
      <c r="I21" s="131" t="e">
        <f>VLOOKUP($A21,'BC.115+040'!$B$13:$X$489,15,0)/1000</f>
        <v>#REF!</v>
      </c>
      <c r="J21" s="131" t="e">
        <f>VLOOKUP($A21,'BC.115+040'!$B$13:$X$489,20,0)/1000</f>
        <v>#REF!</v>
      </c>
      <c r="K21" s="131" t="e">
        <f>VLOOKUP($A21,'BC.115+040'!$B$13:$X$489,21,0)/1000</f>
        <v>#REF!</v>
      </c>
      <c r="L21" s="129" t="e">
        <f t="shared" si="0"/>
        <v>#REF!</v>
      </c>
      <c r="M21" s="130" t="e">
        <f t="shared" si="1"/>
        <v>#REF!</v>
      </c>
      <c r="N21" s="129" t="e">
        <f t="shared" si="2"/>
        <v>#REF!</v>
      </c>
      <c r="O21" s="129"/>
      <c r="P21" s="137"/>
      <c r="Q21" s="136"/>
      <c r="R21" s="135"/>
      <c r="S21" s="134"/>
      <c r="T21" s="134"/>
    </row>
    <row r="22" spans="1:20">
      <c r="A22" s="67" t="e">
        <f>'BC.115+040'!B21</f>
        <v>#REF!</v>
      </c>
      <c r="B22" s="129">
        <v>8</v>
      </c>
      <c r="C22" s="131" t="e">
        <f>'BC.115+040'!M21/1000</f>
        <v>#REF!</v>
      </c>
      <c r="D22" s="131" t="e">
        <f>'BC.115+040'!AA21</f>
        <v>#REF!</v>
      </c>
      <c r="E22" s="132" t="e">
        <f>'BC.115+040'!AB21</f>
        <v>#REF!</v>
      </c>
      <c r="F22" s="131" t="e">
        <f>VLOOKUP($A22,'BC.115+040'!$B$13:$X$489,8,0)/1000</f>
        <v>#REF!</v>
      </c>
      <c r="G22" s="131" t="e">
        <f>VLOOKUP($A22,'BC.115+040'!$B$13:$X$489,9,0)/1000</f>
        <v>#REF!</v>
      </c>
      <c r="H22" s="131" t="e">
        <f>VLOOKUP($A22,'BC.115+040'!$B$13:$X$489,14,0)/1000</f>
        <v>#REF!</v>
      </c>
      <c r="I22" s="131" t="e">
        <f>VLOOKUP($A22,'BC.115+040'!$B$13:$X$489,15,0)/1000</f>
        <v>#REF!</v>
      </c>
      <c r="J22" s="131" t="e">
        <f>VLOOKUP($A22,'BC.115+040'!$B$13:$X$489,20,0)/1000</f>
        <v>#REF!</v>
      </c>
      <c r="K22" s="131" t="e">
        <f>VLOOKUP($A22,'BC.115+040'!$B$13:$X$489,21,0)/1000</f>
        <v>#REF!</v>
      </c>
      <c r="L22" s="129" t="e">
        <f t="shared" si="0"/>
        <v>#REF!</v>
      </c>
      <c r="M22" s="130" t="e">
        <f t="shared" si="1"/>
        <v>#REF!</v>
      </c>
      <c r="N22" s="129" t="e">
        <f t="shared" si="2"/>
        <v>#REF!</v>
      </c>
      <c r="O22" s="129"/>
      <c r="P22" s="137"/>
      <c r="Q22" s="136"/>
      <c r="R22" s="135"/>
      <c r="S22" s="134"/>
      <c r="T22" s="134"/>
    </row>
    <row r="23" spans="1:20">
      <c r="A23" s="67" t="e">
        <f>'BC.115+040'!B22</f>
        <v>#REF!</v>
      </c>
      <c r="B23" s="129">
        <v>9</v>
      </c>
      <c r="C23" s="131" t="e">
        <f>'BC.115+040'!M22/1000</f>
        <v>#REF!</v>
      </c>
      <c r="D23" s="131" t="e">
        <f>'BC.115+040'!AA22</f>
        <v>#REF!</v>
      </c>
      <c r="E23" s="132" t="e">
        <f>'BC.115+040'!AB22</f>
        <v>#REF!</v>
      </c>
      <c r="F23" s="131" t="e">
        <f>VLOOKUP($A23,'BC.115+040'!$B$13:$X$489,8,0)/1000</f>
        <v>#REF!</v>
      </c>
      <c r="G23" s="131" t="e">
        <f>VLOOKUP($A23,'BC.115+040'!$B$13:$X$489,9,0)/1000</f>
        <v>#REF!</v>
      </c>
      <c r="H23" s="131" t="e">
        <f>VLOOKUP($A23,'BC.115+040'!$B$13:$X$489,14,0)/1000</f>
        <v>#REF!</v>
      </c>
      <c r="I23" s="131" t="e">
        <f>VLOOKUP($A23,'BC.115+040'!$B$13:$X$489,15,0)/1000</f>
        <v>#REF!</v>
      </c>
      <c r="J23" s="131" t="e">
        <f>VLOOKUP($A23,'BC.115+040'!$B$13:$X$489,20,0)/1000</f>
        <v>#REF!</v>
      </c>
      <c r="K23" s="131" t="e">
        <f>VLOOKUP($A23,'BC.115+040'!$B$13:$X$489,21,0)/1000</f>
        <v>#REF!</v>
      </c>
      <c r="L23" s="129" t="e">
        <f t="shared" si="0"/>
        <v>#REF!</v>
      </c>
      <c r="M23" s="130" t="e">
        <f t="shared" si="1"/>
        <v>#REF!</v>
      </c>
      <c r="N23" s="129" t="e">
        <f t="shared" si="2"/>
        <v>#REF!</v>
      </c>
      <c r="O23" s="129"/>
      <c r="P23" s="137"/>
      <c r="Q23" s="136"/>
      <c r="R23" s="135"/>
      <c r="S23" s="134"/>
      <c r="T23" s="134"/>
    </row>
    <row r="24" spans="1:20">
      <c r="A24" s="67" t="e">
        <f>'BC.115+040'!B23</f>
        <v>#REF!</v>
      </c>
      <c r="B24" s="129">
        <v>10</v>
      </c>
      <c r="C24" s="131" t="e">
        <f>'BC.115+040'!M23/1000</f>
        <v>#REF!</v>
      </c>
      <c r="D24" s="131" t="e">
        <f>'BC.115+040'!AA23</f>
        <v>#REF!</v>
      </c>
      <c r="E24" s="132" t="e">
        <f>'BC.115+040'!AB23</f>
        <v>#REF!</v>
      </c>
      <c r="F24" s="131" t="e">
        <f>VLOOKUP($A24,'BC.115+040'!$B$13:$X$489,8,0)/1000</f>
        <v>#REF!</v>
      </c>
      <c r="G24" s="131" t="e">
        <f>VLOOKUP($A24,'BC.115+040'!$B$13:$X$489,9,0)/1000</f>
        <v>#REF!</v>
      </c>
      <c r="H24" s="131" t="e">
        <f>VLOOKUP($A24,'BC.115+040'!$B$13:$X$489,14,0)/1000</f>
        <v>#REF!</v>
      </c>
      <c r="I24" s="131" t="e">
        <f>VLOOKUP($A24,'BC.115+040'!$B$13:$X$489,15,0)/1000</f>
        <v>#REF!</v>
      </c>
      <c r="J24" s="131" t="e">
        <f>VLOOKUP($A24,'BC.115+040'!$B$13:$X$489,20,0)/1000</f>
        <v>#REF!</v>
      </c>
      <c r="K24" s="131" t="e">
        <f>VLOOKUP($A24,'BC.115+040'!$B$13:$X$489,21,0)/1000</f>
        <v>#REF!</v>
      </c>
      <c r="L24" s="129" t="e">
        <f t="shared" si="0"/>
        <v>#REF!</v>
      </c>
      <c r="M24" s="130" t="e">
        <f t="shared" si="1"/>
        <v>#REF!</v>
      </c>
      <c r="N24" s="129" t="e">
        <f t="shared" si="2"/>
        <v>#REF!</v>
      </c>
      <c r="O24" s="129"/>
      <c r="P24" s="137"/>
      <c r="Q24" s="136"/>
      <c r="R24" s="135"/>
      <c r="S24" s="134"/>
      <c r="T24" s="134"/>
    </row>
    <row r="25" spans="1:20">
      <c r="A25" s="67" t="e">
        <f>'BC.115+040'!B24</f>
        <v>#REF!</v>
      </c>
      <c r="B25" s="129">
        <v>11</v>
      </c>
      <c r="C25" s="131" t="e">
        <f>'BC.115+040'!M24/1000</f>
        <v>#REF!</v>
      </c>
      <c r="D25" s="131" t="e">
        <f>'BC.115+040'!AA24</f>
        <v>#REF!</v>
      </c>
      <c r="E25" s="132" t="e">
        <f>'BC.115+040'!AB24</f>
        <v>#REF!</v>
      </c>
      <c r="F25" s="131" t="e">
        <f>VLOOKUP($A25,'BC.115+040'!$B$13:$X$489,8,0)/1000</f>
        <v>#REF!</v>
      </c>
      <c r="G25" s="131" t="e">
        <f>VLOOKUP($A25,'BC.115+040'!$B$13:$X$489,9,0)/1000</f>
        <v>#REF!</v>
      </c>
      <c r="H25" s="131" t="e">
        <f>VLOOKUP($A25,'BC.115+040'!$B$13:$X$489,14,0)/1000</f>
        <v>#REF!</v>
      </c>
      <c r="I25" s="131" t="e">
        <f>VLOOKUP($A25,'BC.115+040'!$B$13:$X$489,15,0)/1000</f>
        <v>#REF!</v>
      </c>
      <c r="J25" s="131" t="e">
        <f>VLOOKUP($A25,'BC.115+040'!$B$13:$X$489,20,0)/1000</f>
        <v>#REF!</v>
      </c>
      <c r="K25" s="131" t="e">
        <f>VLOOKUP($A25,'BC.115+040'!$B$13:$X$489,21,0)/1000</f>
        <v>#REF!</v>
      </c>
      <c r="L25" s="129" t="e">
        <f t="shared" si="0"/>
        <v>#REF!</v>
      </c>
      <c r="M25" s="130" t="e">
        <f t="shared" si="1"/>
        <v>#REF!</v>
      </c>
      <c r="N25" s="129" t="e">
        <f t="shared" si="2"/>
        <v>#REF!</v>
      </c>
      <c r="O25" s="129"/>
      <c r="P25" s="137"/>
      <c r="Q25" s="136"/>
      <c r="R25" s="135"/>
      <c r="S25" s="134"/>
      <c r="T25" s="134"/>
    </row>
    <row r="26" spans="1:20">
      <c r="A26" s="67" t="e">
        <f>'BC.115+040'!B25</f>
        <v>#REF!</v>
      </c>
      <c r="B26" s="129">
        <v>12</v>
      </c>
      <c r="C26" s="131" t="e">
        <f>'BC.115+040'!M25/1000</f>
        <v>#REF!</v>
      </c>
      <c r="D26" s="131" t="e">
        <f>'BC.115+040'!AA25</f>
        <v>#REF!</v>
      </c>
      <c r="E26" s="132" t="e">
        <f>'BC.115+040'!AB25</f>
        <v>#REF!</v>
      </c>
      <c r="F26" s="131" t="e">
        <f>VLOOKUP($A26,'BC.115+040'!$B$13:$X$489,8,0)/1000</f>
        <v>#REF!</v>
      </c>
      <c r="G26" s="131" t="e">
        <f>VLOOKUP($A26,'BC.115+040'!$B$13:$X$489,9,0)/1000</f>
        <v>#REF!</v>
      </c>
      <c r="H26" s="131" t="e">
        <f>VLOOKUP($A26,'BC.115+040'!$B$13:$X$489,14,0)/1000</f>
        <v>#REF!</v>
      </c>
      <c r="I26" s="131" t="e">
        <f>VLOOKUP($A26,'BC.115+040'!$B$13:$X$489,15,0)/1000</f>
        <v>#REF!</v>
      </c>
      <c r="J26" s="131" t="e">
        <f>VLOOKUP($A26,'BC.115+040'!$B$13:$X$489,20,0)/1000</f>
        <v>#REF!</v>
      </c>
      <c r="K26" s="131" t="e">
        <f>VLOOKUP($A26,'BC.115+040'!$B$13:$X$489,21,0)/1000</f>
        <v>#REF!</v>
      </c>
      <c r="L26" s="129" t="e">
        <f t="shared" si="0"/>
        <v>#REF!</v>
      </c>
      <c r="M26" s="130" t="e">
        <f t="shared" si="1"/>
        <v>#REF!</v>
      </c>
      <c r="N26" s="129" t="e">
        <f t="shared" si="2"/>
        <v>#REF!</v>
      </c>
      <c r="O26" s="129"/>
      <c r="P26" s="137"/>
      <c r="Q26" s="136"/>
      <c r="R26" s="135"/>
      <c r="S26" s="134"/>
      <c r="T26" s="134"/>
    </row>
    <row r="27" spans="1:20">
      <c r="A27" s="67" t="e">
        <f>'BC.115+040'!B26</f>
        <v>#REF!</v>
      </c>
      <c r="B27" s="129">
        <v>13</v>
      </c>
      <c r="C27" s="131" t="e">
        <f>'BC.115+040'!M26/1000</f>
        <v>#REF!</v>
      </c>
      <c r="D27" s="131" t="e">
        <f>'BC.115+040'!AA26</f>
        <v>#REF!</v>
      </c>
      <c r="E27" s="132" t="e">
        <f>'BC.115+040'!AB26</f>
        <v>#REF!</v>
      </c>
      <c r="F27" s="131" t="e">
        <f>VLOOKUP($A27,'BC.115+040'!$B$13:$X$489,8,0)/1000</f>
        <v>#REF!</v>
      </c>
      <c r="G27" s="131" t="e">
        <f>VLOOKUP($A27,'BC.115+040'!$B$13:$X$489,9,0)/1000</f>
        <v>#REF!</v>
      </c>
      <c r="H27" s="131" t="e">
        <f>VLOOKUP($A27,'BC.115+040'!$B$13:$X$489,14,0)/1000</f>
        <v>#REF!</v>
      </c>
      <c r="I27" s="131" t="e">
        <f>VLOOKUP($A27,'BC.115+040'!$B$13:$X$489,15,0)/1000</f>
        <v>#REF!</v>
      </c>
      <c r="J27" s="131" t="e">
        <f>VLOOKUP($A27,'BC.115+040'!$B$13:$X$489,20,0)/1000</f>
        <v>#REF!</v>
      </c>
      <c r="K27" s="131" t="e">
        <f>VLOOKUP($A27,'BC.115+040'!$B$13:$X$489,21,0)/1000</f>
        <v>#REF!</v>
      </c>
      <c r="L27" s="129" t="e">
        <f t="shared" si="0"/>
        <v>#REF!</v>
      </c>
      <c r="M27" s="130" t="e">
        <f t="shared" si="1"/>
        <v>#REF!</v>
      </c>
      <c r="N27" s="129" t="e">
        <f t="shared" si="2"/>
        <v>#REF!</v>
      </c>
      <c r="O27" s="129"/>
      <c r="P27" s="137"/>
      <c r="Q27" s="136"/>
      <c r="R27" s="135"/>
      <c r="S27" s="134"/>
      <c r="T27" s="134"/>
    </row>
    <row r="28" spans="1:20">
      <c r="A28" s="67" t="e">
        <f>'BC.115+040'!B27</f>
        <v>#REF!</v>
      </c>
      <c r="B28" s="129">
        <v>14</v>
      </c>
      <c r="C28" s="131" t="e">
        <f>'BC.115+040'!M27/1000</f>
        <v>#REF!</v>
      </c>
      <c r="D28" s="131" t="e">
        <f>'BC.115+040'!AA27</f>
        <v>#REF!</v>
      </c>
      <c r="E28" s="132" t="e">
        <f>'BC.115+040'!AB27</f>
        <v>#REF!</v>
      </c>
      <c r="F28" s="131" t="e">
        <f>VLOOKUP($A28,'BC.115+040'!$B$13:$X$489,8,0)/1000</f>
        <v>#REF!</v>
      </c>
      <c r="G28" s="131" t="e">
        <f>VLOOKUP($A28,'BC.115+040'!$B$13:$X$489,9,0)/1000</f>
        <v>#REF!</v>
      </c>
      <c r="H28" s="131" t="e">
        <f>VLOOKUP($A28,'BC.115+040'!$B$13:$X$489,14,0)/1000</f>
        <v>#REF!</v>
      </c>
      <c r="I28" s="131" t="e">
        <f>VLOOKUP($A28,'BC.115+040'!$B$13:$X$489,15,0)/1000</f>
        <v>#REF!</v>
      </c>
      <c r="J28" s="131" t="e">
        <f>VLOOKUP($A28,'BC.115+040'!$B$13:$X$489,20,0)/1000</f>
        <v>#REF!</v>
      </c>
      <c r="K28" s="131" t="e">
        <f>VLOOKUP($A28,'BC.115+040'!$B$13:$X$489,21,0)/1000</f>
        <v>#REF!</v>
      </c>
      <c r="L28" s="129" t="e">
        <f t="shared" si="0"/>
        <v>#REF!</v>
      </c>
      <c r="M28" s="130" t="e">
        <f t="shared" si="1"/>
        <v>#REF!</v>
      </c>
      <c r="N28" s="129" t="e">
        <f t="shared" si="2"/>
        <v>#REF!</v>
      </c>
      <c r="O28" s="129"/>
      <c r="P28" s="137"/>
      <c r="Q28" s="136"/>
      <c r="R28" s="135"/>
      <c r="S28" s="134"/>
      <c r="T28" s="134"/>
    </row>
    <row r="29" spans="1:20">
      <c r="A29" s="67" t="e">
        <f>'BC.115+040'!B28</f>
        <v>#REF!</v>
      </c>
      <c r="B29" s="129">
        <v>15</v>
      </c>
      <c r="C29" s="131" t="e">
        <f>'BC.115+040'!M28/1000</f>
        <v>#REF!</v>
      </c>
      <c r="D29" s="131" t="e">
        <f>'BC.115+040'!AA28</f>
        <v>#REF!</v>
      </c>
      <c r="E29" s="132" t="e">
        <f>'BC.115+040'!AB28</f>
        <v>#REF!</v>
      </c>
      <c r="F29" s="131" t="e">
        <f>VLOOKUP($A29,'BC.115+040'!$B$13:$X$489,8,0)/1000</f>
        <v>#REF!</v>
      </c>
      <c r="G29" s="131" t="e">
        <f>VLOOKUP($A29,'BC.115+040'!$B$13:$X$489,9,0)/1000</f>
        <v>#REF!</v>
      </c>
      <c r="H29" s="131" t="e">
        <f>VLOOKUP($A29,'BC.115+040'!$B$13:$X$489,14,0)/1000</f>
        <v>#REF!</v>
      </c>
      <c r="I29" s="131" t="e">
        <f>VLOOKUP($A29,'BC.115+040'!$B$13:$X$489,15,0)/1000</f>
        <v>#REF!</v>
      </c>
      <c r="J29" s="131" t="e">
        <f>VLOOKUP($A29,'BC.115+040'!$B$13:$X$489,20,0)/1000</f>
        <v>#REF!</v>
      </c>
      <c r="K29" s="131" t="e">
        <f>VLOOKUP($A29,'BC.115+040'!$B$13:$X$489,21,0)/1000</f>
        <v>#REF!</v>
      </c>
      <c r="L29" s="129" t="e">
        <f t="shared" si="0"/>
        <v>#REF!</v>
      </c>
      <c r="M29" s="130" t="e">
        <f t="shared" si="1"/>
        <v>#REF!</v>
      </c>
      <c r="N29" s="129" t="e">
        <f t="shared" si="2"/>
        <v>#REF!</v>
      </c>
      <c r="O29" s="129"/>
      <c r="P29" s="137"/>
      <c r="Q29" s="136"/>
      <c r="R29" s="135"/>
      <c r="S29" s="134"/>
      <c r="T29" s="134"/>
    </row>
    <row r="30" spans="1:20">
      <c r="A30" s="67" t="e">
        <f>'BC.115+040'!B29</f>
        <v>#REF!</v>
      </c>
      <c r="B30" s="129">
        <v>16</v>
      </c>
      <c r="C30" s="131" t="e">
        <f>'BC.115+040'!M29/1000</f>
        <v>#REF!</v>
      </c>
      <c r="D30" s="131" t="e">
        <f>'BC.115+040'!AA29</f>
        <v>#REF!</v>
      </c>
      <c r="E30" s="132" t="e">
        <f>'BC.115+040'!AB29</f>
        <v>#REF!</v>
      </c>
      <c r="F30" s="131" t="e">
        <f>VLOOKUP($A30,'BC.115+040'!$B$13:$X$489,8,0)/1000</f>
        <v>#REF!</v>
      </c>
      <c r="G30" s="131" t="e">
        <f>VLOOKUP($A30,'BC.115+040'!$B$13:$X$489,9,0)/1000</f>
        <v>#REF!</v>
      </c>
      <c r="H30" s="131" t="e">
        <f>VLOOKUP($A30,'BC.115+040'!$B$13:$X$489,14,0)/1000</f>
        <v>#REF!</v>
      </c>
      <c r="I30" s="131" t="e">
        <f>VLOOKUP($A30,'BC.115+040'!$B$13:$X$489,15,0)/1000</f>
        <v>#REF!</v>
      </c>
      <c r="J30" s="131" t="e">
        <f>VLOOKUP($A30,'BC.115+040'!$B$13:$X$489,20,0)/1000</f>
        <v>#REF!</v>
      </c>
      <c r="K30" s="131" t="e">
        <f>VLOOKUP($A30,'BC.115+040'!$B$13:$X$489,21,0)/1000</f>
        <v>#REF!</v>
      </c>
      <c r="L30" s="129" t="e">
        <f t="shared" si="0"/>
        <v>#REF!</v>
      </c>
      <c r="M30" s="130" t="e">
        <f t="shared" si="1"/>
        <v>#REF!</v>
      </c>
      <c r="N30" s="129" t="e">
        <f t="shared" si="2"/>
        <v>#REF!</v>
      </c>
      <c r="O30" s="129"/>
      <c r="P30" s="137"/>
      <c r="Q30" s="136"/>
      <c r="R30" s="135"/>
      <c r="S30" s="134"/>
      <c r="T30" s="134"/>
    </row>
    <row r="31" spans="1:20">
      <c r="A31" s="67" t="e">
        <f>'BC.115+040'!B30</f>
        <v>#REF!</v>
      </c>
      <c r="B31" s="129">
        <v>17</v>
      </c>
      <c r="C31" s="131" t="e">
        <f>'BC.115+040'!M30/1000</f>
        <v>#REF!</v>
      </c>
      <c r="D31" s="131" t="e">
        <f>'BC.115+040'!AA30</f>
        <v>#REF!</v>
      </c>
      <c r="E31" s="132" t="e">
        <f>'BC.115+040'!AB30</f>
        <v>#REF!</v>
      </c>
      <c r="F31" s="131" t="e">
        <f>VLOOKUP($A31,'BC.115+040'!$B$13:$X$489,8,0)/1000</f>
        <v>#REF!</v>
      </c>
      <c r="G31" s="131" t="e">
        <f>VLOOKUP($A31,'BC.115+040'!$B$13:$X$489,9,0)/1000</f>
        <v>#REF!</v>
      </c>
      <c r="H31" s="131" t="e">
        <f>VLOOKUP($A31,'BC.115+040'!$B$13:$X$489,14,0)/1000</f>
        <v>#REF!</v>
      </c>
      <c r="I31" s="131" t="e">
        <f>VLOOKUP($A31,'BC.115+040'!$B$13:$X$489,15,0)/1000</f>
        <v>#REF!</v>
      </c>
      <c r="J31" s="131" t="e">
        <f>VLOOKUP($A31,'BC.115+040'!$B$13:$X$489,20,0)/1000</f>
        <v>#REF!</v>
      </c>
      <c r="K31" s="131" t="e">
        <f>VLOOKUP($A31,'BC.115+040'!$B$13:$X$489,21,0)/1000</f>
        <v>#REF!</v>
      </c>
      <c r="L31" s="129" t="e">
        <f t="shared" si="0"/>
        <v>#REF!</v>
      </c>
      <c r="M31" s="130" t="e">
        <f t="shared" si="1"/>
        <v>#REF!</v>
      </c>
      <c r="N31" s="129" t="e">
        <f t="shared" si="2"/>
        <v>#REF!</v>
      </c>
      <c r="O31" s="129"/>
      <c r="P31" s="137"/>
      <c r="Q31" s="136"/>
      <c r="R31" s="135"/>
      <c r="S31" s="134"/>
      <c r="T31" s="134"/>
    </row>
    <row r="32" spans="1:20">
      <c r="A32" s="67" t="e">
        <f>'BC.115+040'!B31</f>
        <v>#REF!</v>
      </c>
      <c r="B32" s="129">
        <v>18</v>
      </c>
      <c r="C32" s="131" t="e">
        <f>'BC.115+040'!M31/1000</f>
        <v>#REF!</v>
      </c>
      <c r="D32" s="131" t="e">
        <f>'BC.115+040'!AA31</f>
        <v>#REF!</v>
      </c>
      <c r="E32" s="132" t="e">
        <f>'BC.115+040'!AB31</f>
        <v>#REF!</v>
      </c>
      <c r="F32" s="131" t="e">
        <f>VLOOKUP($A32,'BC.115+040'!$B$13:$X$489,8,0)/1000</f>
        <v>#REF!</v>
      </c>
      <c r="G32" s="131" t="e">
        <f>VLOOKUP($A32,'BC.115+040'!$B$13:$X$489,9,0)/1000</f>
        <v>#REF!</v>
      </c>
      <c r="H32" s="131" t="e">
        <f>VLOOKUP($A32,'BC.115+040'!$B$13:$X$489,14,0)/1000</f>
        <v>#REF!</v>
      </c>
      <c r="I32" s="131" t="e">
        <f>VLOOKUP($A32,'BC.115+040'!$B$13:$X$489,15,0)/1000</f>
        <v>#REF!</v>
      </c>
      <c r="J32" s="131" t="e">
        <f>VLOOKUP($A32,'BC.115+040'!$B$13:$X$489,20,0)/1000</f>
        <v>#REF!</v>
      </c>
      <c r="K32" s="131" t="e">
        <f>VLOOKUP($A32,'BC.115+040'!$B$13:$X$489,21,0)/1000</f>
        <v>#REF!</v>
      </c>
      <c r="L32" s="129" t="e">
        <f t="shared" si="0"/>
        <v>#REF!</v>
      </c>
      <c r="M32" s="130" t="e">
        <f t="shared" si="1"/>
        <v>#REF!</v>
      </c>
      <c r="N32" s="129" t="e">
        <f t="shared" si="2"/>
        <v>#REF!</v>
      </c>
      <c r="O32" s="129"/>
      <c r="P32" s="137"/>
      <c r="Q32" s="136"/>
      <c r="R32" s="135"/>
      <c r="S32" s="134"/>
      <c r="T32" s="134"/>
    </row>
    <row r="33" spans="1:20">
      <c r="A33" s="67" t="e">
        <f>'BC.115+040'!B32</f>
        <v>#REF!</v>
      </c>
      <c r="B33" s="129">
        <v>19</v>
      </c>
      <c r="C33" s="131" t="e">
        <f>'BC.115+040'!M32/1000</f>
        <v>#REF!</v>
      </c>
      <c r="D33" s="131" t="e">
        <f>'BC.115+040'!AA32</f>
        <v>#REF!</v>
      </c>
      <c r="E33" s="132" t="e">
        <f>'BC.115+040'!AB32</f>
        <v>#REF!</v>
      </c>
      <c r="F33" s="131" t="e">
        <f>VLOOKUP($A33,'BC.115+040'!$B$13:$X$489,8,0)/1000</f>
        <v>#REF!</v>
      </c>
      <c r="G33" s="131" t="e">
        <f>VLOOKUP($A33,'BC.115+040'!$B$13:$X$489,9,0)/1000</f>
        <v>#REF!</v>
      </c>
      <c r="H33" s="131" t="e">
        <f>VLOOKUP($A33,'BC.115+040'!$B$13:$X$489,14,0)/1000</f>
        <v>#REF!</v>
      </c>
      <c r="I33" s="131" t="e">
        <f>VLOOKUP($A33,'BC.115+040'!$B$13:$X$489,15,0)/1000</f>
        <v>#REF!</v>
      </c>
      <c r="J33" s="131" t="e">
        <f>VLOOKUP($A33,'BC.115+040'!$B$13:$X$489,20,0)/1000</f>
        <v>#REF!</v>
      </c>
      <c r="K33" s="131" t="e">
        <f>VLOOKUP($A33,'BC.115+040'!$B$13:$X$489,21,0)/1000</f>
        <v>#REF!</v>
      </c>
      <c r="L33" s="129" t="e">
        <f t="shared" si="0"/>
        <v>#REF!</v>
      </c>
      <c r="M33" s="130" t="e">
        <f t="shared" si="1"/>
        <v>#REF!</v>
      </c>
      <c r="N33" s="129" t="e">
        <f t="shared" si="2"/>
        <v>#REF!</v>
      </c>
      <c r="O33" s="129"/>
      <c r="P33" s="137"/>
      <c r="Q33" s="136"/>
      <c r="R33" s="135"/>
      <c r="S33" s="134"/>
      <c r="T33" s="134"/>
    </row>
    <row r="34" spans="1:20">
      <c r="A34" s="67" t="e">
        <f>'BC.115+040'!B33</f>
        <v>#REF!</v>
      </c>
      <c r="B34" s="129">
        <v>20</v>
      </c>
      <c r="C34" s="131" t="e">
        <f>'BC.115+040'!M33/1000</f>
        <v>#REF!</v>
      </c>
      <c r="D34" s="131" t="e">
        <f>'BC.115+040'!AA33</f>
        <v>#REF!</v>
      </c>
      <c r="E34" s="132" t="e">
        <f>'BC.115+040'!AB33</f>
        <v>#REF!</v>
      </c>
      <c r="F34" s="131" t="e">
        <f>VLOOKUP($A34,'BC.115+040'!$B$13:$X$489,8,0)/1000</f>
        <v>#REF!</v>
      </c>
      <c r="G34" s="131" t="e">
        <f>VLOOKUP($A34,'BC.115+040'!$B$13:$X$489,9,0)/1000</f>
        <v>#REF!</v>
      </c>
      <c r="H34" s="131" t="e">
        <f>VLOOKUP($A34,'BC.115+040'!$B$13:$X$489,14,0)/1000</f>
        <v>#REF!</v>
      </c>
      <c r="I34" s="131" t="e">
        <f>VLOOKUP($A34,'BC.115+040'!$B$13:$X$489,15,0)/1000</f>
        <v>#REF!</v>
      </c>
      <c r="J34" s="131" t="e">
        <f>VLOOKUP($A34,'BC.115+040'!$B$13:$X$489,20,0)/1000</f>
        <v>#REF!</v>
      </c>
      <c r="K34" s="131" t="e">
        <f>VLOOKUP($A34,'BC.115+040'!$B$13:$X$489,21,0)/1000</f>
        <v>#REF!</v>
      </c>
      <c r="L34" s="129" t="e">
        <f t="shared" si="0"/>
        <v>#REF!</v>
      </c>
      <c r="M34" s="130" t="e">
        <f t="shared" si="1"/>
        <v>#REF!</v>
      </c>
      <c r="N34" s="129" t="e">
        <f t="shared" si="2"/>
        <v>#REF!</v>
      </c>
      <c r="O34" s="129"/>
      <c r="P34" s="137"/>
      <c r="Q34" s="136"/>
      <c r="R34" s="135"/>
      <c r="S34" s="134"/>
      <c r="T34" s="134"/>
    </row>
    <row r="35" spans="1:20">
      <c r="A35" s="67" t="e">
        <f>'BC.115+040'!B34</f>
        <v>#REF!</v>
      </c>
      <c r="B35" s="129">
        <v>21</v>
      </c>
      <c r="C35" s="131" t="e">
        <f>'BC.115+040'!M34/1000</f>
        <v>#REF!</v>
      </c>
      <c r="D35" s="131" t="e">
        <f>'BC.115+040'!AA34</f>
        <v>#REF!</v>
      </c>
      <c r="E35" s="132" t="e">
        <f>'BC.115+040'!AB34</f>
        <v>#REF!</v>
      </c>
      <c r="F35" s="131" t="e">
        <f>VLOOKUP($A35,'BC.115+040'!$B$13:$X$489,8,0)/1000</f>
        <v>#REF!</v>
      </c>
      <c r="G35" s="131" t="e">
        <f>VLOOKUP($A35,'BC.115+040'!$B$13:$X$489,9,0)/1000</f>
        <v>#REF!</v>
      </c>
      <c r="H35" s="131" t="e">
        <f>VLOOKUP($A35,'BC.115+040'!$B$13:$X$489,14,0)/1000</f>
        <v>#REF!</v>
      </c>
      <c r="I35" s="131" t="e">
        <f>VLOOKUP($A35,'BC.115+040'!$B$13:$X$489,15,0)/1000</f>
        <v>#REF!</v>
      </c>
      <c r="J35" s="131" t="e">
        <f>VLOOKUP($A35,'BC.115+040'!$B$13:$X$489,20,0)/1000</f>
        <v>#REF!</v>
      </c>
      <c r="K35" s="131" t="e">
        <f>VLOOKUP($A35,'BC.115+040'!$B$13:$X$489,21,0)/1000</f>
        <v>#REF!</v>
      </c>
      <c r="L35" s="129" t="e">
        <f t="shared" si="0"/>
        <v>#REF!</v>
      </c>
      <c r="M35" s="130" t="e">
        <f t="shared" si="1"/>
        <v>#REF!</v>
      </c>
      <c r="N35" s="129" t="e">
        <f t="shared" si="2"/>
        <v>#REF!</v>
      </c>
      <c r="O35" s="129"/>
      <c r="P35" s="137"/>
      <c r="Q35" s="136"/>
      <c r="R35" s="135"/>
      <c r="S35" s="134"/>
      <c r="T35" s="134"/>
    </row>
    <row r="36" spans="1:20">
      <c r="A36" s="67" t="e">
        <f>'BC.115+040'!B35</f>
        <v>#REF!</v>
      </c>
      <c r="B36" s="129">
        <v>22</v>
      </c>
      <c r="C36" s="131" t="e">
        <f>'BC.115+040'!M35/1000</f>
        <v>#REF!</v>
      </c>
      <c r="D36" s="131" t="e">
        <f>'BC.115+040'!AA35</f>
        <v>#REF!</v>
      </c>
      <c r="E36" s="132" t="e">
        <f>'BC.115+040'!AB35</f>
        <v>#REF!</v>
      </c>
      <c r="F36" s="131" t="e">
        <f>VLOOKUP($A36,'BC.115+040'!$B$13:$X$489,8,0)/1000</f>
        <v>#REF!</v>
      </c>
      <c r="G36" s="131" t="e">
        <f>VLOOKUP($A36,'BC.115+040'!$B$13:$X$489,9,0)/1000</f>
        <v>#REF!</v>
      </c>
      <c r="H36" s="131" t="e">
        <f>VLOOKUP($A36,'BC.115+040'!$B$13:$X$489,14,0)/1000</f>
        <v>#REF!</v>
      </c>
      <c r="I36" s="131" t="e">
        <f>VLOOKUP($A36,'BC.115+040'!$B$13:$X$489,15,0)/1000</f>
        <v>#REF!</v>
      </c>
      <c r="J36" s="131" t="e">
        <f>VLOOKUP($A36,'BC.115+040'!$B$13:$X$489,20,0)/1000</f>
        <v>#REF!</v>
      </c>
      <c r="K36" s="131" t="e">
        <f>VLOOKUP($A36,'BC.115+040'!$B$13:$X$489,21,0)/1000</f>
        <v>#REF!</v>
      </c>
      <c r="L36" s="129" t="e">
        <f t="shared" si="0"/>
        <v>#REF!</v>
      </c>
      <c r="M36" s="130" t="e">
        <f t="shared" si="1"/>
        <v>#REF!</v>
      </c>
      <c r="N36" s="129" t="e">
        <f t="shared" si="2"/>
        <v>#REF!</v>
      </c>
      <c r="O36" s="129"/>
      <c r="P36" s="137"/>
      <c r="Q36" s="136"/>
      <c r="R36" s="135"/>
      <c r="S36" s="134"/>
      <c r="T36" s="134"/>
    </row>
    <row r="37" spans="1:20">
      <c r="A37" s="67" t="e">
        <f>'BC.115+040'!B36</f>
        <v>#REF!</v>
      </c>
      <c r="B37" s="129">
        <v>23</v>
      </c>
      <c r="C37" s="131" t="e">
        <f>'BC.115+040'!M36/1000</f>
        <v>#REF!</v>
      </c>
      <c r="D37" s="131" t="e">
        <f>'BC.115+040'!AA36</f>
        <v>#REF!</v>
      </c>
      <c r="E37" s="132" t="e">
        <f>'BC.115+040'!AB36</f>
        <v>#REF!</v>
      </c>
      <c r="F37" s="131" t="e">
        <f>VLOOKUP($A37,'BC.115+040'!$B$13:$X$489,8,0)/1000</f>
        <v>#REF!</v>
      </c>
      <c r="G37" s="131" t="e">
        <f>VLOOKUP($A37,'BC.115+040'!$B$13:$X$489,9,0)/1000</f>
        <v>#REF!</v>
      </c>
      <c r="H37" s="131" t="e">
        <f>VLOOKUP($A37,'BC.115+040'!$B$13:$X$489,14,0)/1000</f>
        <v>#REF!</v>
      </c>
      <c r="I37" s="131" t="e">
        <f>VLOOKUP($A37,'BC.115+040'!$B$13:$X$489,15,0)/1000</f>
        <v>#REF!</v>
      </c>
      <c r="J37" s="131" t="e">
        <f>VLOOKUP($A37,'BC.115+040'!$B$13:$X$489,20,0)/1000</f>
        <v>#REF!</v>
      </c>
      <c r="K37" s="131" t="e">
        <f>VLOOKUP($A37,'BC.115+040'!$B$13:$X$489,21,0)/1000</f>
        <v>#REF!</v>
      </c>
      <c r="L37" s="129" t="e">
        <f t="shared" si="0"/>
        <v>#REF!</v>
      </c>
      <c r="M37" s="130" t="e">
        <f t="shared" si="1"/>
        <v>#REF!</v>
      </c>
      <c r="N37" s="129" t="e">
        <f t="shared" si="2"/>
        <v>#REF!</v>
      </c>
      <c r="O37" s="129"/>
      <c r="P37" s="137"/>
      <c r="Q37" s="136"/>
      <c r="R37" s="135"/>
      <c r="S37" s="134"/>
      <c r="T37" s="134"/>
    </row>
    <row r="38" spans="1:20">
      <c r="A38" s="67" t="e">
        <f>'BC.115+040'!B37</f>
        <v>#REF!</v>
      </c>
      <c r="B38" s="129">
        <v>24</v>
      </c>
      <c r="C38" s="131" t="e">
        <f>'BC.115+040'!M37/1000</f>
        <v>#REF!</v>
      </c>
      <c r="D38" s="131" t="e">
        <f>'BC.115+040'!AA37</f>
        <v>#REF!</v>
      </c>
      <c r="E38" s="132" t="e">
        <f>'BC.115+040'!AB37</f>
        <v>#REF!</v>
      </c>
      <c r="F38" s="131" t="e">
        <f>VLOOKUP($A38,'BC.115+040'!$B$13:$X$489,8,0)/1000</f>
        <v>#REF!</v>
      </c>
      <c r="G38" s="131" t="e">
        <f>VLOOKUP($A38,'BC.115+040'!$B$13:$X$489,9,0)/1000</f>
        <v>#REF!</v>
      </c>
      <c r="H38" s="131" t="e">
        <f>VLOOKUP($A38,'BC.115+040'!$B$13:$X$489,14,0)/1000</f>
        <v>#REF!</v>
      </c>
      <c r="I38" s="131" t="e">
        <f>VLOOKUP($A38,'BC.115+040'!$B$13:$X$489,15,0)/1000</f>
        <v>#REF!</v>
      </c>
      <c r="J38" s="131" t="e">
        <f>VLOOKUP($A38,'BC.115+040'!$B$13:$X$489,20,0)/1000</f>
        <v>#REF!</v>
      </c>
      <c r="K38" s="131" t="e">
        <f>VLOOKUP($A38,'BC.115+040'!$B$13:$X$489,21,0)/1000</f>
        <v>#REF!</v>
      </c>
      <c r="L38" s="129" t="e">
        <f t="shared" si="0"/>
        <v>#REF!</v>
      </c>
      <c r="M38" s="130" t="e">
        <f t="shared" si="1"/>
        <v>#REF!</v>
      </c>
      <c r="N38" s="129" t="e">
        <f t="shared" si="2"/>
        <v>#REF!</v>
      </c>
      <c r="O38" s="129"/>
      <c r="P38" s="137"/>
      <c r="Q38" s="136"/>
      <c r="R38" s="135"/>
      <c r="S38" s="134"/>
      <c r="T38" s="134"/>
    </row>
    <row r="39" spans="1:20">
      <c r="A39" s="67" t="e">
        <f>'BC.115+040'!B38</f>
        <v>#REF!</v>
      </c>
      <c r="B39" s="129">
        <v>25</v>
      </c>
      <c r="C39" s="131" t="e">
        <f>'BC.115+040'!M38/1000</f>
        <v>#REF!</v>
      </c>
      <c r="D39" s="131" t="e">
        <f>'BC.115+040'!AA38</f>
        <v>#REF!</v>
      </c>
      <c r="E39" s="132" t="e">
        <f>'BC.115+040'!AB38</f>
        <v>#REF!</v>
      </c>
      <c r="F39" s="131" t="e">
        <f>VLOOKUP($A39,'BC.115+040'!$B$13:$X$489,8,0)/1000</f>
        <v>#REF!</v>
      </c>
      <c r="G39" s="131" t="e">
        <f>VLOOKUP($A39,'BC.115+040'!$B$13:$X$489,9,0)/1000</f>
        <v>#REF!</v>
      </c>
      <c r="H39" s="131" t="e">
        <f>VLOOKUP($A39,'BC.115+040'!$B$13:$X$489,14,0)/1000</f>
        <v>#REF!</v>
      </c>
      <c r="I39" s="131" t="e">
        <f>VLOOKUP($A39,'BC.115+040'!$B$13:$X$489,15,0)/1000</f>
        <v>#REF!</v>
      </c>
      <c r="J39" s="131" t="e">
        <f>VLOOKUP($A39,'BC.115+040'!$B$13:$X$489,20,0)/1000</f>
        <v>#REF!</v>
      </c>
      <c r="K39" s="131" t="e">
        <f>VLOOKUP($A39,'BC.115+040'!$B$13:$X$489,21,0)/1000</f>
        <v>#REF!</v>
      </c>
      <c r="L39" s="129" t="e">
        <f t="shared" si="0"/>
        <v>#REF!</v>
      </c>
      <c r="M39" s="130" t="e">
        <f t="shared" si="1"/>
        <v>#REF!</v>
      </c>
      <c r="N39" s="129" t="e">
        <f t="shared" si="2"/>
        <v>#REF!</v>
      </c>
      <c r="O39" s="129"/>
      <c r="P39" s="137"/>
      <c r="Q39" s="136"/>
      <c r="R39" s="135"/>
      <c r="S39" s="134"/>
      <c r="T39" s="134"/>
    </row>
    <row r="40" spans="1:20">
      <c r="A40" s="67" t="e">
        <f>'BC.115+040'!B39</f>
        <v>#REF!</v>
      </c>
      <c r="B40" s="129">
        <v>26</v>
      </c>
      <c r="C40" s="131" t="e">
        <f>'BC.115+040'!M39/1000</f>
        <v>#REF!</v>
      </c>
      <c r="D40" s="131" t="e">
        <f>'BC.115+040'!AA39</f>
        <v>#REF!</v>
      </c>
      <c r="E40" s="132" t="e">
        <f>'BC.115+040'!AB39</f>
        <v>#REF!</v>
      </c>
      <c r="F40" s="131" t="e">
        <f>VLOOKUP($A40,'BC.115+040'!$B$13:$X$489,8,0)/1000</f>
        <v>#REF!</v>
      </c>
      <c r="G40" s="131" t="e">
        <f>VLOOKUP($A40,'BC.115+040'!$B$13:$X$489,9,0)/1000</f>
        <v>#REF!</v>
      </c>
      <c r="H40" s="131" t="e">
        <f>VLOOKUP($A40,'BC.115+040'!$B$13:$X$489,14,0)/1000</f>
        <v>#REF!</v>
      </c>
      <c r="I40" s="131" t="e">
        <f>VLOOKUP($A40,'BC.115+040'!$B$13:$X$489,15,0)/1000</f>
        <v>#REF!</v>
      </c>
      <c r="J40" s="131" t="e">
        <f>VLOOKUP($A40,'BC.115+040'!$B$13:$X$489,20,0)/1000</f>
        <v>#REF!</v>
      </c>
      <c r="K40" s="131" t="e">
        <f>VLOOKUP($A40,'BC.115+040'!$B$13:$X$489,21,0)/1000</f>
        <v>#REF!</v>
      </c>
      <c r="L40" s="129" t="e">
        <f t="shared" si="0"/>
        <v>#REF!</v>
      </c>
      <c r="M40" s="130" t="e">
        <f t="shared" si="1"/>
        <v>#REF!</v>
      </c>
      <c r="N40" s="129" t="e">
        <f t="shared" si="2"/>
        <v>#REF!</v>
      </c>
      <c r="O40" s="129"/>
      <c r="P40" s="137"/>
      <c r="Q40" s="136"/>
      <c r="R40" s="135"/>
      <c r="S40" s="134"/>
      <c r="T40" s="134"/>
    </row>
    <row r="41" spans="1:20">
      <c r="A41" s="67" t="e">
        <f>'BC.115+040'!B40</f>
        <v>#REF!</v>
      </c>
      <c r="B41" s="129">
        <v>27</v>
      </c>
      <c r="C41" s="131" t="e">
        <f>'BC.115+040'!M40/1000</f>
        <v>#REF!</v>
      </c>
      <c r="D41" s="131" t="e">
        <f>'BC.115+040'!AA40</f>
        <v>#REF!</v>
      </c>
      <c r="E41" s="132" t="e">
        <f>'BC.115+040'!AB40</f>
        <v>#REF!</v>
      </c>
      <c r="F41" s="131" t="e">
        <f>VLOOKUP($A41,'BC.115+040'!$B$13:$X$489,8,0)/1000</f>
        <v>#REF!</v>
      </c>
      <c r="G41" s="131" t="e">
        <f>VLOOKUP($A41,'BC.115+040'!$B$13:$X$489,9,0)/1000</f>
        <v>#REF!</v>
      </c>
      <c r="H41" s="131" t="e">
        <f>VLOOKUP($A41,'BC.115+040'!$B$13:$X$489,14,0)/1000</f>
        <v>#REF!</v>
      </c>
      <c r="I41" s="131" t="e">
        <f>VLOOKUP($A41,'BC.115+040'!$B$13:$X$489,15,0)/1000</f>
        <v>#REF!</v>
      </c>
      <c r="J41" s="131" t="e">
        <f>VLOOKUP($A41,'BC.115+040'!$B$13:$X$489,20,0)/1000</f>
        <v>#REF!</v>
      </c>
      <c r="K41" s="131" t="e">
        <f>VLOOKUP($A41,'BC.115+040'!$B$13:$X$489,21,0)/1000</f>
        <v>#REF!</v>
      </c>
      <c r="L41" s="129" t="e">
        <f t="shared" si="0"/>
        <v>#REF!</v>
      </c>
      <c r="M41" s="130" t="e">
        <f t="shared" si="1"/>
        <v>#REF!</v>
      </c>
      <c r="N41" s="129" t="e">
        <f t="shared" si="2"/>
        <v>#REF!</v>
      </c>
      <c r="O41" s="129"/>
      <c r="P41" s="137"/>
      <c r="Q41" s="136"/>
      <c r="R41" s="135"/>
      <c r="S41" s="134"/>
      <c r="T41" s="134"/>
    </row>
    <row r="42" spans="1:20">
      <c r="A42" s="67" t="e">
        <f>'BC.115+040'!B41</f>
        <v>#REF!</v>
      </c>
      <c r="B42" s="129">
        <v>28</v>
      </c>
      <c r="C42" s="131" t="e">
        <f>'BC.115+040'!M41/1000</f>
        <v>#REF!</v>
      </c>
      <c r="D42" s="131" t="e">
        <f>'BC.115+040'!AA41</f>
        <v>#REF!</v>
      </c>
      <c r="E42" s="132" t="e">
        <f>'BC.115+040'!AB41</f>
        <v>#REF!</v>
      </c>
      <c r="F42" s="131" t="e">
        <f>VLOOKUP($A42,'BC.115+040'!$B$13:$X$489,8,0)/1000</f>
        <v>#REF!</v>
      </c>
      <c r="G42" s="131" t="e">
        <f>VLOOKUP($A42,'BC.115+040'!$B$13:$X$489,9,0)/1000</f>
        <v>#REF!</v>
      </c>
      <c r="H42" s="131" t="e">
        <f>VLOOKUP($A42,'BC.115+040'!$B$13:$X$489,14,0)/1000</f>
        <v>#REF!</v>
      </c>
      <c r="I42" s="131" t="e">
        <f>VLOOKUP($A42,'BC.115+040'!$B$13:$X$489,15,0)/1000</f>
        <v>#REF!</v>
      </c>
      <c r="J42" s="131" t="e">
        <f>VLOOKUP($A42,'BC.115+040'!$B$13:$X$489,20,0)/1000</f>
        <v>#REF!</v>
      </c>
      <c r="K42" s="131" t="e">
        <f>VLOOKUP($A42,'BC.115+040'!$B$13:$X$489,21,0)/1000</f>
        <v>#REF!</v>
      </c>
      <c r="L42" s="129" t="e">
        <f t="shared" si="0"/>
        <v>#REF!</v>
      </c>
      <c r="M42" s="130" t="e">
        <f t="shared" si="1"/>
        <v>#REF!</v>
      </c>
      <c r="N42" s="129" t="e">
        <f t="shared" si="2"/>
        <v>#REF!</v>
      </c>
      <c r="O42" s="129"/>
      <c r="P42" s="137"/>
      <c r="Q42" s="136"/>
      <c r="R42" s="135"/>
      <c r="S42" s="134"/>
      <c r="T42" s="134"/>
    </row>
    <row r="43" spans="1:20">
      <c r="A43" s="67" t="e">
        <f>'BC.115+040'!B42</f>
        <v>#REF!</v>
      </c>
      <c r="B43" s="129">
        <v>29</v>
      </c>
      <c r="C43" s="131" t="e">
        <f>'BC.115+040'!M42/1000</f>
        <v>#REF!</v>
      </c>
      <c r="D43" s="131" t="e">
        <f>'BC.115+040'!AA42</f>
        <v>#REF!</v>
      </c>
      <c r="E43" s="132" t="e">
        <f>'BC.115+040'!AB42</f>
        <v>#REF!</v>
      </c>
      <c r="F43" s="131" t="e">
        <f>VLOOKUP($A43,'BC.115+040'!$B$13:$X$489,8,0)/1000</f>
        <v>#REF!</v>
      </c>
      <c r="G43" s="131" t="e">
        <f>VLOOKUP($A43,'BC.115+040'!$B$13:$X$489,9,0)/1000</f>
        <v>#REF!</v>
      </c>
      <c r="H43" s="131" t="e">
        <f>VLOOKUP($A43,'BC.115+040'!$B$13:$X$489,14,0)/1000</f>
        <v>#REF!</v>
      </c>
      <c r="I43" s="131" t="e">
        <f>VLOOKUP($A43,'BC.115+040'!$B$13:$X$489,15,0)/1000</f>
        <v>#REF!</v>
      </c>
      <c r="J43" s="131" t="e">
        <f>VLOOKUP($A43,'BC.115+040'!$B$13:$X$489,20,0)/1000</f>
        <v>#REF!</v>
      </c>
      <c r="K43" s="131" t="e">
        <f>VLOOKUP($A43,'BC.115+040'!$B$13:$X$489,21,0)/1000</f>
        <v>#REF!</v>
      </c>
      <c r="L43" s="129" t="e">
        <f t="shared" si="0"/>
        <v>#REF!</v>
      </c>
      <c r="M43" s="130" t="e">
        <f t="shared" si="1"/>
        <v>#REF!</v>
      </c>
      <c r="N43" s="129" t="e">
        <f t="shared" si="2"/>
        <v>#REF!</v>
      </c>
      <c r="O43" s="129"/>
      <c r="P43" s="137"/>
      <c r="Q43" s="136"/>
      <c r="R43" s="135"/>
      <c r="S43" s="134"/>
      <c r="T43" s="134"/>
    </row>
    <row r="44" spans="1:20">
      <c r="A44" s="67" t="e">
        <f>'BC.115+040'!B43</f>
        <v>#REF!</v>
      </c>
      <c r="B44" s="129">
        <v>30</v>
      </c>
      <c r="C44" s="131" t="e">
        <f>'BC.115+040'!M43/1000</f>
        <v>#REF!</v>
      </c>
      <c r="D44" s="131" t="e">
        <f>'BC.115+040'!AA43</f>
        <v>#REF!</v>
      </c>
      <c r="E44" s="132" t="e">
        <f>'BC.115+040'!AB43</f>
        <v>#REF!</v>
      </c>
      <c r="F44" s="131" t="e">
        <f>VLOOKUP($A44,'BC.115+040'!$B$13:$X$489,8,0)/1000</f>
        <v>#REF!</v>
      </c>
      <c r="G44" s="131" t="e">
        <f>VLOOKUP($A44,'BC.115+040'!$B$13:$X$489,9,0)/1000</f>
        <v>#REF!</v>
      </c>
      <c r="H44" s="131" t="e">
        <f>VLOOKUP($A44,'BC.115+040'!$B$13:$X$489,14,0)/1000</f>
        <v>#REF!</v>
      </c>
      <c r="I44" s="131" t="e">
        <f>VLOOKUP($A44,'BC.115+040'!$B$13:$X$489,15,0)/1000</f>
        <v>#REF!</v>
      </c>
      <c r="J44" s="131" t="e">
        <f>VLOOKUP($A44,'BC.115+040'!$B$13:$X$489,20,0)/1000</f>
        <v>#REF!</v>
      </c>
      <c r="K44" s="131" t="e">
        <f>VLOOKUP($A44,'BC.115+040'!$B$13:$X$489,21,0)/1000</f>
        <v>#REF!</v>
      </c>
      <c r="L44" s="129" t="e">
        <f t="shared" si="0"/>
        <v>#REF!</v>
      </c>
      <c r="M44" s="130" t="e">
        <f t="shared" si="1"/>
        <v>#REF!</v>
      </c>
      <c r="N44" s="129" t="e">
        <f t="shared" si="2"/>
        <v>#REF!</v>
      </c>
      <c r="O44" s="129"/>
      <c r="P44" s="137"/>
      <c r="Q44" s="136"/>
      <c r="R44" s="135"/>
      <c r="S44" s="134"/>
      <c r="T44" s="134"/>
    </row>
    <row r="45" spans="1:20">
      <c r="A45" s="67" t="e">
        <f>'BC.115+040'!B44</f>
        <v>#REF!</v>
      </c>
      <c r="B45" s="129">
        <v>31</v>
      </c>
      <c r="C45" s="131" t="e">
        <f>'BC.115+040'!M44/1000</f>
        <v>#REF!</v>
      </c>
      <c r="D45" s="131" t="e">
        <f>'BC.115+040'!AA44</f>
        <v>#REF!</v>
      </c>
      <c r="E45" s="132" t="e">
        <f>'BC.115+040'!AB44</f>
        <v>#REF!</v>
      </c>
      <c r="F45" s="131" t="e">
        <f>VLOOKUP($A45,'BC.115+040'!$B$13:$X$489,8,0)/1000</f>
        <v>#REF!</v>
      </c>
      <c r="G45" s="131" t="e">
        <f>VLOOKUP($A45,'BC.115+040'!$B$13:$X$489,9,0)/1000</f>
        <v>#REF!</v>
      </c>
      <c r="H45" s="131" t="e">
        <f>VLOOKUP($A45,'BC.115+040'!$B$13:$X$489,14,0)/1000</f>
        <v>#REF!</v>
      </c>
      <c r="I45" s="131" t="e">
        <f>VLOOKUP($A45,'BC.115+040'!$B$13:$X$489,15,0)/1000</f>
        <v>#REF!</v>
      </c>
      <c r="J45" s="131" t="e">
        <f>VLOOKUP($A45,'BC.115+040'!$B$13:$X$489,20,0)/1000</f>
        <v>#REF!</v>
      </c>
      <c r="K45" s="131" t="e">
        <f>VLOOKUP($A45,'BC.115+040'!$B$13:$X$489,21,0)/1000</f>
        <v>#REF!</v>
      </c>
      <c r="L45" s="129" t="e">
        <f t="shared" si="0"/>
        <v>#REF!</v>
      </c>
      <c r="M45" s="130" t="e">
        <f t="shared" si="1"/>
        <v>#REF!</v>
      </c>
      <c r="N45" s="129" t="e">
        <f t="shared" si="2"/>
        <v>#REF!</v>
      </c>
      <c r="O45" s="129"/>
      <c r="P45" s="137"/>
      <c r="Q45" s="136"/>
      <c r="R45" s="135"/>
      <c r="S45" s="134"/>
      <c r="T45" s="134"/>
    </row>
    <row r="46" spans="1:20">
      <c r="A46" s="67" t="e">
        <f>'BC.115+040'!B45</f>
        <v>#REF!</v>
      </c>
      <c r="B46" s="129">
        <v>32</v>
      </c>
      <c r="C46" s="131" t="e">
        <f>'BC.115+040'!M45/1000</f>
        <v>#REF!</v>
      </c>
      <c r="D46" s="131" t="e">
        <f>'BC.115+040'!AA45</f>
        <v>#REF!</v>
      </c>
      <c r="E46" s="132" t="e">
        <f>'BC.115+040'!AB45</f>
        <v>#REF!</v>
      </c>
      <c r="F46" s="131" t="e">
        <f>VLOOKUP($A46,'BC.115+040'!$B$13:$X$489,8,0)/1000</f>
        <v>#REF!</v>
      </c>
      <c r="G46" s="131" t="e">
        <f>VLOOKUP($A46,'BC.115+040'!$B$13:$X$489,9,0)/1000</f>
        <v>#REF!</v>
      </c>
      <c r="H46" s="131" t="e">
        <f>VLOOKUP($A46,'BC.115+040'!$B$13:$X$489,14,0)/1000</f>
        <v>#REF!</v>
      </c>
      <c r="I46" s="131" t="e">
        <f>VLOOKUP($A46,'BC.115+040'!$B$13:$X$489,15,0)/1000</f>
        <v>#REF!</v>
      </c>
      <c r="J46" s="131" t="e">
        <f>VLOOKUP($A46,'BC.115+040'!$B$13:$X$489,20,0)/1000</f>
        <v>#REF!</v>
      </c>
      <c r="K46" s="131" t="e">
        <f>VLOOKUP($A46,'BC.115+040'!$B$13:$X$489,21,0)/1000</f>
        <v>#REF!</v>
      </c>
      <c r="L46" s="129" t="e">
        <f t="shared" si="0"/>
        <v>#REF!</v>
      </c>
      <c r="M46" s="130" t="e">
        <f t="shared" si="1"/>
        <v>#REF!</v>
      </c>
      <c r="N46" s="129" t="e">
        <f t="shared" si="2"/>
        <v>#REF!</v>
      </c>
      <c r="O46" s="129"/>
      <c r="P46" s="137"/>
      <c r="Q46" s="136"/>
      <c r="R46" s="135"/>
      <c r="S46" s="134"/>
      <c r="T46" s="134"/>
    </row>
    <row r="47" spans="1:20">
      <c r="A47" s="67" t="e">
        <f>'BC.115+040'!B46</f>
        <v>#REF!</v>
      </c>
      <c r="B47" s="129">
        <v>33</v>
      </c>
      <c r="C47" s="131" t="e">
        <f>'BC.115+040'!M46/1000</f>
        <v>#REF!</v>
      </c>
      <c r="D47" s="131" t="e">
        <f>'BC.115+040'!AA46</f>
        <v>#REF!</v>
      </c>
      <c r="E47" s="132" t="e">
        <f>'BC.115+040'!AB46</f>
        <v>#REF!</v>
      </c>
      <c r="F47" s="131" t="e">
        <f>VLOOKUP($A47,'BC.115+040'!$B$13:$X$489,8,0)/1000</f>
        <v>#REF!</v>
      </c>
      <c r="G47" s="131" t="e">
        <f>VLOOKUP($A47,'BC.115+040'!$B$13:$X$489,9,0)/1000</f>
        <v>#REF!</v>
      </c>
      <c r="H47" s="131" t="e">
        <f>VLOOKUP($A47,'BC.115+040'!$B$13:$X$489,14,0)/1000</f>
        <v>#REF!</v>
      </c>
      <c r="I47" s="131" t="e">
        <f>VLOOKUP($A47,'BC.115+040'!$B$13:$X$489,15,0)/1000</f>
        <v>#REF!</v>
      </c>
      <c r="J47" s="131" t="e">
        <f>VLOOKUP($A47,'BC.115+040'!$B$13:$X$489,20,0)/1000</f>
        <v>#REF!</v>
      </c>
      <c r="K47" s="131" t="e">
        <f>VLOOKUP($A47,'BC.115+040'!$B$13:$X$489,21,0)/1000</f>
        <v>#REF!</v>
      </c>
      <c r="L47" s="129" t="e">
        <f t="shared" si="0"/>
        <v>#REF!</v>
      </c>
      <c r="M47" s="130" t="e">
        <f t="shared" si="1"/>
        <v>#REF!</v>
      </c>
      <c r="N47" s="129" t="e">
        <f t="shared" si="2"/>
        <v>#REF!</v>
      </c>
      <c r="O47" s="129"/>
      <c r="P47" s="137"/>
      <c r="Q47" s="136"/>
      <c r="R47" s="135"/>
      <c r="S47" s="134"/>
      <c r="T47" s="134"/>
    </row>
    <row r="48" spans="1:20">
      <c r="A48" s="67" t="e">
        <f>'BC.115+040'!B47</f>
        <v>#REF!</v>
      </c>
      <c r="B48" s="129">
        <v>34</v>
      </c>
      <c r="C48" s="131" t="e">
        <f>'BC.115+040'!M47/1000</f>
        <v>#REF!</v>
      </c>
      <c r="D48" s="131" t="e">
        <f>'BC.115+040'!AA47</f>
        <v>#REF!</v>
      </c>
      <c r="E48" s="132" t="e">
        <f>'BC.115+040'!AB47</f>
        <v>#REF!</v>
      </c>
      <c r="F48" s="131" t="e">
        <f>VLOOKUP($A48,'BC.115+040'!$B$13:$X$489,8,0)/1000</f>
        <v>#REF!</v>
      </c>
      <c r="G48" s="131" t="e">
        <f>VLOOKUP($A48,'BC.115+040'!$B$13:$X$489,9,0)/1000</f>
        <v>#REF!</v>
      </c>
      <c r="H48" s="131" t="e">
        <f>VLOOKUP($A48,'BC.115+040'!$B$13:$X$489,14,0)/1000</f>
        <v>#REF!</v>
      </c>
      <c r="I48" s="131" t="e">
        <f>VLOOKUP($A48,'BC.115+040'!$B$13:$X$489,15,0)/1000</f>
        <v>#REF!</v>
      </c>
      <c r="J48" s="131" t="e">
        <f>VLOOKUP($A48,'BC.115+040'!$B$13:$X$489,20,0)/1000</f>
        <v>#REF!</v>
      </c>
      <c r="K48" s="131" t="e">
        <f>VLOOKUP($A48,'BC.115+040'!$B$13:$X$489,21,0)/1000</f>
        <v>#REF!</v>
      </c>
      <c r="L48" s="129" t="e">
        <f t="shared" si="0"/>
        <v>#REF!</v>
      </c>
      <c r="M48" s="130" t="e">
        <f t="shared" si="1"/>
        <v>#REF!</v>
      </c>
      <c r="N48" s="129" t="e">
        <f t="shared" si="2"/>
        <v>#REF!</v>
      </c>
      <c r="O48" s="129"/>
      <c r="P48" s="137"/>
      <c r="Q48" s="136"/>
      <c r="R48" s="135"/>
      <c r="S48" s="134"/>
      <c r="T48" s="134"/>
    </row>
    <row r="49" spans="1:20">
      <c r="A49" s="67" t="e">
        <f>'BC.115+040'!B48</f>
        <v>#REF!</v>
      </c>
      <c r="B49" s="129">
        <v>35</v>
      </c>
      <c r="C49" s="131" t="e">
        <f>'BC.115+040'!M48/1000</f>
        <v>#REF!</v>
      </c>
      <c r="D49" s="131" t="e">
        <f>'BC.115+040'!AA48</f>
        <v>#REF!</v>
      </c>
      <c r="E49" s="132" t="e">
        <f>'BC.115+040'!AB48</f>
        <v>#REF!</v>
      </c>
      <c r="F49" s="131" t="e">
        <f>VLOOKUP($A49,'BC.115+040'!$B$13:$X$489,8,0)/1000</f>
        <v>#REF!</v>
      </c>
      <c r="G49" s="131" t="e">
        <f>VLOOKUP($A49,'BC.115+040'!$B$13:$X$489,9,0)/1000</f>
        <v>#REF!</v>
      </c>
      <c r="H49" s="131" t="e">
        <f>VLOOKUP($A49,'BC.115+040'!$B$13:$X$489,14,0)/1000</f>
        <v>#REF!</v>
      </c>
      <c r="I49" s="131" t="e">
        <f>VLOOKUP($A49,'BC.115+040'!$B$13:$X$489,15,0)/1000</f>
        <v>#REF!</v>
      </c>
      <c r="J49" s="131" t="e">
        <f>VLOOKUP($A49,'BC.115+040'!$B$13:$X$489,20,0)/1000</f>
        <v>#REF!</v>
      </c>
      <c r="K49" s="131" t="e">
        <f>VLOOKUP($A49,'BC.115+040'!$B$13:$X$489,21,0)/1000</f>
        <v>#REF!</v>
      </c>
      <c r="L49" s="129" t="e">
        <f t="shared" si="0"/>
        <v>#REF!</v>
      </c>
      <c r="M49" s="130" t="e">
        <f t="shared" si="1"/>
        <v>#REF!</v>
      </c>
      <c r="N49" s="129" t="e">
        <f t="shared" si="2"/>
        <v>#REF!</v>
      </c>
      <c r="O49" s="129"/>
      <c r="P49" s="137"/>
      <c r="Q49" s="136"/>
      <c r="R49" s="135"/>
      <c r="S49" s="134"/>
      <c r="T49" s="134"/>
    </row>
    <row r="50" spans="1:20">
      <c r="A50" s="67" t="e">
        <f>'BC.115+040'!B49</f>
        <v>#REF!</v>
      </c>
      <c r="B50" s="129">
        <v>36</v>
      </c>
      <c r="C50" s="131" t="e">
        <f>'BC.115+040'!M49/1000</f>
        <v>#REF!</v>
      </c>
      <c r="D50" s="131" t="e">
        <f>'BC.115+040'!AA49</f>
        <v>#REF!</v>
      </c>
      <c r="E50" s="132" t="e">
        <f>'BC.115+040'!AB49</f>
        <v>#REF!</v>
      </c>
      <c r="F50" s="131" t="e">
        <f>VLOOKUP($A50,'BC.115+040'!$B$13:$X$489,8,0)/1000</f>
        <v>#REF!</v>
      </c>
      <c r="G50" s="131" t="e">
        <f>VLOOKUP($A50,'BC.115+040'!$B$13:$X$489,9,0)/1000</f>
        <v>#REF!</v>
      </c>
      <c r="H50" s="131" t="e">
        <f>VLOOKUP($A50,'BC.115+040'!$B$13:$X$489,14,0)/1000</f>
        <v>#REF!</v>
      </c>
      <c r="I50" s="131" t="e">
        <f>VLOOKUP($A50,'BC.115+040'!$B$13:$X$489,15,0)/1000</f>
        <v>#REF!</v>
      </c>
      <c r="J50" s="131" t="e">
        <f>VLOOKUP($A50,'BC.115+040'!$B$13:$X$489,20,0)/1000</f>
        <v>#REF!</v>
      </c>
      <c r="K50" s="131" t="e">
        <f>VLOOKUP($A50,'BC.115+040'!$B$13:$X$489,21,0)/1000</f>
        <v>#REF!</v>
      </c>
      <c r="L50" s="129" t="e">
        <f t="shared" si="0"/>
        <v>#REF!</v>
      </c>
      <c r="M50" s="130" t="e">
        <f t="shared" si="1"/>
        <v>#REF!</v>
      </c>
      <c r="N50" s="129" t="e">
        <f t="shared" si="2"/>
        <v>#REF!</v>
      </c>
      <c r="O50" s="129"/>
      <c r="P50" s="137"/>
      <c r="Q50" s="136"/>
      <c r="R50" s="135"/>
      <c r="S50" s="134"/>
      <c r="T50" s="134"/>
    </row>
    <row r="51" spans="1:20">
      <c r="A51" s="67" t="e">
        <f>'BC.115+040'!B50</f>
        <v>#REF!</v>
      </c>
      <c r="B51" s="129">
        <v>37</v>
      </c>
      <c r="C51" s="131" t="e">
        <f>'BC.115+040'!M50/1000</f>
        <v>#REF!</v>
      </c>
      <c r="D51" s="131" t="e">
        <f>'BC.115+040'!AA50</f>
        <v>#REF!</v>
      </c>
      <c r="E51" s="132" t="e">
        <f>'BC.115+040'!AB50</f>
        <v>#REF!</v>
      </c>
      <c r="F51" s="131" t="e">
        <f>VLOOKUP($A51,'BC.115+040'!$B$13:$X$489,8,0)/1000</f>
        <v>#REF!</v>
      </c>
      <c r="G51" s="131" t="e">
        <f>VLOOKUP($A51,'BC.115+040'!$B$13:$X$489,9,0)/1000</f>
        <v>#REF!</v>
      </c>
      <c r="H51" s="131" t="e">
        <f>VLOOKUP($A51,'BC.115+040'!$B$13:$X$489,14,0)/1000</f>
        <v>#REF!</v>
      </c>
      <c r="I51" s="131" t="e">
        <f>VLOOKUP($A51,'BC.115+040'!$B$13:$X$489,15,0)/1000</f>
        <v>#REF!</v>
      </c>
      <c r="J51" s="131" t="e">
        <f>VLOOKUP($A51,'BC.115+040'!$B$13:$X$489,20,0)/1000</f>
        <v>#REF!</v>
      </c>
      <c r="K51" s="131" t="e">
        <f>VLOOKUP($A51,'BC.115+040'!$B$13:$X$489,21,0)/1000</f>
        <v>#REF!</v>
      </c>
      <c r="L51" s="129" t="e">
        <f t="shared" si="0"/>
        <v>#REF!</v>
      </c>
      <c r="M51" s="130" t="e">
        <f t="shared" si="1"/>
        <v>#REF!</v>
      </c>
      <c r="N51" s="129" t="e">
        <f t="shared" si="2"/>
        <v>#REF!</v>
      </c>
      <c r="O51" s="129"/>
      <c r="P51" s="137"/>
      <c r="Q51" s="136"/>
      <c r="R51" s="135"/>
      <c r="S51" s="134"/>
      <c r="T51" s="134"/>
    </row>
    <row r="52" spans="1:20">
      <c r="A52" s="67" t="e">
        <f>'BC.115+040'!B51</f>
        <v>#REF!</v>
      </c>
      <c r="B52" s="129">
        <v>38</v>
      </c>
      <c r="C52" s="131" t="e">
        <f>'BC.115+040'!M51/1000</f>
        <v>#REF!</v>
      </c>
      <c r="D52" s="131" t="e">
        <f>'BC.115+040'!AA51</f>
        <v>#REF!</v>
      </c>
      <c r="E52" s="132" t="e">
        <f>'BC.115+040'!AB51</f>
        <v>#REF!</v>
      </c>
      <c r="F52" s="131" t="e">
        <f>VLOOKUP($A52,'BC.115+040'!$B$13:$X$489,8,0)/1000</f>
        <v>#REF!</v>
      </c>
      <c r="G52" s="131" t="e">
        <f>VLOOKUP($A52,'BC.115+040'!$B$13:$X$489,9,0)/1000</f>
        <v>#REF!</v>
      </c>
      <c r="H52" s="131" t="e">
        <f>VLOOKUP($A52,'BC.115+040'!$B$13:$X$489,14,0)/1000</f>
        <v>#REF!</v>
      </c>
      <c r="I52" s="131" t="e">
        <f>VLOOKUP($A52,'BC.115+040'!$B$13:$X$489,15,0)/1000</f>
        <v>#REF!</v>
      </c>
      <c r="J52" s="131" t="e">
        <f>VLOOKUP($A52,'BC.115+040'!$B$13:$X$489,20,0)/1000</f>
        <v>#REF!</v>
      </c>
      <c r="K52" s="131" t="e">
        <f>VLOOKUP($A52,'BC.115+040'!$B$13:$X$489,21,0)/1000</f>
        <v>#REF!</v>
      </c>
      <c r="L52" s="129" t="e">
        <f t="shared" si="0"/>
        <v>#REF!</v>
      </c>
      <c r="M52" s="130" t="e">
        <f t="shared" si="1"/>
        <v>#REF!</v>
      </c>
      <c r="N52" s="129" t="e">
        <f t="shared" si="2"/>
        <v>#REF!</v>
      </c>
      <c r="O52" s="129"/>
      <c r="P52" s="137"/>
      <c r="Q52" s="136"/>
      <c r="R52" s="135"/>
      <c r="S52" s="134"/>
      <c r="T52" s="134"/>
    </row>
    <row r="53" spans="1:20">
      <c r="A53" s="67" t="e">
        <f>'BC.115+040'!B52</f>
        <v>#REF!</v>
      </c>
      <c r="B53" s="129">
        <v>39</v>
      </c>
      <c r="C53" s="131" t="e">
        <f>'BC.115+040'!M52/1000</f>
        <v>#REF!</v>
      </c>
      <c r="D53" s="131" t="e">
        <f>'BC.115+040'!AA52</f>
        <v>#REF!</v>
      </c>
      <c r="E53" s="132" t="e">
        <f>'BC.115+040'!AB52</f>
        <v>#REF!</v>
      </c>
      <c r="F53" s="131" t="e">
        <f>VLOOKUP($A53,'BC.115+040'!$B$13:$X$489,8,0)/1000</f>
        <v>#REF!</v>
      </c>
      <c r="G53" s="131" t="e">
        <f>VLOOKUP($A53,'BC.115+040'!$B$13:$X$489,9,0)/1000</f>
        <v>#REF!</v>
      </c>
      <c r="H53" s="131" t="e">
        <f>VLOOKUP($A53,'BC.115+040'!$B$13:$X$489,14,0)/1000</f>
        <v>#REF!</v>
      </c>
      <c r="I53" s="131" t="e">
        <f>VLOOKUP($A53,'BC.115+040'!$B$13:$X$489,15,0)/1000</f>
        <v>#REF!</v>
      </c>
      <c r="J53" s="131" t="e">
        <f>VLOOKUP($A53,'BC.115+040'!$B$13:$X$489,20,0)/1000</f>
        <v>#REF!</v>
      </c>
      <c r="K53" s="131" t="e">
        <f>VLOOKUP($A53,'BC.115+040'!$B$13:$X$489,21,0)/1000</f>
        <v>#REF!</v>
      </c>
      <c r="L53" s="129" t="e">
        <f t="shared" si="0"/>
        <v>#REF!</v>
      </c>
      <c r="M53" s="130" t="e">
        <f t="shared" si="1"/>
        <v>#REF!</v>
      </c>
      <c r="N53" s="129" t="e">
        <f t="shared" si="2"/>
        <v>#REF!</v>
      </c>
      <c r="O53" s="129"/>
      <c r="P53" s="137"/>
      <c r="Q53" s="136"/>
      <c r="R53" s="135"/>
      <c r="S53" s="134"/>
      <c r="T53" s="134"/>
    </row>
    <row r="54" spans="1:20">
      <c r="A54" s="67" t="e">
        <f>'BC.115+040'!B53</f>
        <v>#REF!</v>
      </c>
      <c r="B54" s="129">
        <v>40</v>
      </c>
      <c r="C54" s="131" t="e">
        <f>'BC.115+040'!M53/1000</f>
        <v>#REF!</v>
      </c>
      <c r="D54" s="131" t="e">
        <f>'BC.115+040'!AA53</f>
        <v>#REF!</v>
      </c>
      <c r="E54" s="132" t="e">
        <f>'BC.115+040'!AB53</f>
        <v>#REF!</v>
      </c>
      <c r="F54" s="131" t="e">
        <f>VLOOKUP($A54,'BC.115+040'!$B$13:$X$489,8,0)/1000</f>
        <v>#REF!</v>
      </c>
      <c r="G54" s="131" t="e">
        <f>VLOOKUP($A54,'BC.115+040'!$B$13:$X$489,9,0)/1000</f>
        <v>#REF!</v>
      </c>
      <c r="H54" s="131" t="e">
        <f>VLOOKUP($A54,'BC.115+040'!$B$13:$X$489,14,0)/1000</f>
        <v>#REF!</v>
      </c>
      <c r="I54" s="131" t="e">
        <f>VLOOKUP($A54,'BC.115+040'!$B$13:$X$489,15,0)/1000</f>
        <v>#REF!</v>
      </c>
      <c r="J54" s="131" t="e">
        <f>VLOOKUP($A54,'BC.115+040'!$B$13:$X$489,20,0)/1000</f>
        <v>#REF!</v>
      </c>
      <c r="K54" s="131" t="e">
        <f>VLOOKUP($A54,'BC.115+040'!$B$13:$X$489,21,0)/1000</f>
        <v>#REF!</v>
      </c>
      <c r="L54" s="129" t="e">
        <f t="shared" si="0"/>
        <v>#REF!</v>
      </c>
      <c r="M54" s="130" t="e">
        <f t="shared" si="1"/>
        <v>#REF!</v>
      </c>
      <c r="N54" s="129" t="e">
        <f t="shared" si="2"/>
        <v>#REF!</v>
      </c>
      <c r="O54" s="129"/>
      <c r="P54" s="137"/>
      <c r="Q54" s="136"/>
      <c r="R54" s="135"/>
      <c r="S54" s="134"/>
      <c r="T54" s="134"/>
    </row>
    <row r="55" spans="1:20">
      <c r="A55" s="67" t="e">
        <f>'BC.115+040'!B54</f>
        <v>#REF!</v>
      </c>
      <c r="B55" s="129">
        <v>41</v>
      </c>
      <c r="C55" s="131" t="e">
        <f>'BC.115+040'!M54/1000</f>
        <v>#REF!</v>
      </c>
      <c r="D55" s="131" t="e">
        <f>'BC.115+040'!AA54</f>
        <v>#REF!</v>
      </c>
      <c r="E55" s="132" t="e">
        <f>'BC.115+040'!AB54</f>
        <v>#REF!</v>
      </c>
      <c r="F55" s="131" t="e">
        <f>VLOOKUP($A55,'BC.115+040'!$B$13:$X$489,8,0)/1000</f>
        <v>#REF!</v>
      </c>
      <c r="G55" s="131" t="e">
        <f>VLOOKUP($A55,'BC.115+040'!$B$13:$X$489,9,0)/1000</f>
        <v>#REF!</v>
      </c>
      <c r="H55" s="131" t="e">
        <f>VLOOKUP($A55,'BC.115+040'!$B$13:$X$489,14,0)/1000</f>
        <v>#REF!</v>
      </c>
      <c r="I55" s="131" t="e">
        <f>VLOOKUP($A55,'BC.115+040'!$B$13:$X$489,15,0)/1000</f>
        <v>#REF!</v>
      </c>
      <c r="J55" s="131" t="e">
        <f>VLOOKUP($A55,'BC.115+040'!$B$13:$X$489,20,0)/1000</f>
        <v>#REF!</v>
      </c>
      <c r="K55" s="131" t="e">
        <f>VLOOKUP($A55,'BC.115+040'!$B$13:$X$489,21,0)/1000</f>
        <v>#REF!</v>
      </c>
      <c r="L55" s="129" t="e">
        <f t="shared" si="0"/>
        <v>#REF!</v>
      </c>
      <c r="M55" s="130" t="e">
        <f t="shared" si="1"/>
        <v>#REF!</v>
      </c>
      <c r="N55" s="129" t="e">
        <f t="shared" si="2"/>
        <v>#REF!</v>
      </c>
      <c r="O55" s="129"/>
      <c r="P55" s="137"/>
      <c r="Q55" s="136"/>
      <c r="R55" s="135"/>
      <c r="S55" s="134"/>
      <c r="T55" s="134"/>
    </row>
    <row r="56" spans="1:20">
      <c r="A56" s="67" t="e">
        <f>'BC.115+040'!B55</f>
        <v>#REF!</v>
      </c>
      <c r="B56" s="129">
        <v>42</v>
      </c>
      <c r="C56" s="131" t="e">
        <f>'BC.115+040'!M55/1000</f>
        <v>#REF!</v>
      </c>
      <c r="D56" s="131" t="e">
        <f>'BC.115+040'!AA55</f>
        <v>#REF!</v>
      </c>
      <c r="E56" s="132" t="e">
        <f>'BC.115+040'!AB55</f>
        <v>#REF!</v>
      </c>
      <c r="F56" s="131" t="e">
        <f>VLOOKUP($A56,'BC.115+040'!$B$13:$X$489,8,0)/1000</f>
        <v>#REF!</v>
      </c>
      <c r="G56" s="131" t="e">
        <f>VLOOKUP($A56,'BC.115+040'!$B$13:$X$489,9,0)/1000</f>
        <v>#REF!</v>
      </c>
      <c r="H56" s="131" t="e">
        <f>VLOOKUP($A56,'BC.115+040'!$B$13:$X$489,14,0)/1000</f>
        <v>#REF!</v>
      </c>
      <c r="I56" s="131" t="e">
        <f>VLOOKUP($A56,'BC.115+040'!$B$13:$X$489,15,0)/1000</f>
        <v>#REF!</v>
      </c>
      <c r="J56" s="131" t="e">
        <f>VLOOKUP($A56,'BC.115+040'!$B$13:$X$489,20,0)/1000</f>
        <v>#REF!</v>
      </c>
      <c r="K56" s="131" t="e">
        <f>VLOOKUP($A56,'BC.115+040'!$B$13:$X$489,21,0)/1000</f>
        <v>#REF!</v>
      </c>
      <c r="L56" s="129" t="e">
        <f t="shared" si="0"/>
        <v>#REF!</v>
      </c>
      <c r="M56" s="130" t="e">
        <f t="shared" si="1"/>
        <v>#REF!</v>
      </c>
      <c r="N56" s="129" t="e">
        <f t="shared" si="2"/>
        <v>#REF!</v>
      </c>
      <c r="O56" s="129"/>
      <c r="P56" s="137"/>
      <c r="Q56" s="136"/>
      <c r="R56" s="135"/>
      <c r="S56" s="134"/>
      <c r="T56" s="134"/>
    </row>
    <row r="57" spans="1:20">
      <c r="A57" s="67" t="e">
        <f>'BC.115+040'!B56</f>
        <v>#REF!</v>
      </c>
      <c r="B57" s="129">
        <v>43</v>
      </c>
      <c r="C57" s="131" t="e">
        <f>'BC.115+040'!M56/1000</f>
        <v>#REF!</v>
      </c>
      <c r="D57" s="131" t="e">
        <f>'BC.115+040'!AA56</f>
        <v>#REF!</v>
      </c>
      <c r="E57" s="132" t="e">
        <f>'BC.115+040'!AB56</f>
        <v>#REF!</v>
      </c>
      <c r="F57" s="131" t="e">
        <f>VLOOKUP($A57,'BC.115+040'!$B$13:$X$489,8,0)/1000</f>
        <v>#REF!</v>
      </c>
      <c r="G57" s="131" t="e">
        <f>VLOOKUP($A57,'BC.115+040'!$B$13:$X$489,9,0)/1000</f>
        <v>#REF!</v>
      </c>
      <c r="H57" s="131" t="e">
        <f>VLOOKUP($A57,'BC.115+040'!$B$13:$X$489,14,0)/1000</f>
        <v>#REF!</v>
      </c>
      <c r="I57" s="131" t="e">
        <f>VLOOKUP($A57,'BC.115+040'!$B$13:$X$489,15,0)/1000</f>
        <v>#REF!</v>
      </c>
      <c r="J57" s="131" t="e">
        <f>VLOOKUP($A57,'BC.115+040'!$B$13:$X$489,20,0)/1000</f>
        <v>#REF!</v>
      </c>
      <c r="K57" s="131" t="e">
        <f>VLOOKUP($A57,'BC.115+040'!$B$13:$X$489,21,0)/1000</f>
        <v>#REF!</v>
      </c>
      <c r="L57" s="129" t="e">
        <f t="shared" si="0"/>
        <v>#REF!</v>
      </c>
      <c r="M57" s="130" t="e">
        <f t="shared" si="1"/>
        <v>#REF!</v>
      </c>
      <c r="N57" s="129" t="e">
        <f t="shared" si="2"/>
        <v>#REF!</v>
      </c>
      <c r="O57" s="129"/>
      <c r="P57" s="137"/>
      <c r="Q57" s="136"/>
      <c r="R57" s="135"/>
      <c r="S57" s="134"/>
      <c r="T57" s="134"/>
    </row>
    <row r="58" spans="1:20">
      <c r="A58" s="67" t="e">
        <f>'BC.115+040'!B57</f>
        <v>#REF!</v>
      </c>
      <c r="B58" s="129">
        <v>44</v>
      </c>
      <c r="C58" s="131" t="e">
        <f>'BC.115+040'!M57/1000</f>
        <v>#REF!</v>
      </c>
      <c r="D58" s="131" t="e">
        <f>'BC.115+040'!AA57</f>
        <v>#REF!</v>
      </c>
      <c r="E58" s="132" t="e">
        <f>'BC.115+040'!AB57</f>
        <v>#REF!</v>
      </c>
      <c r="F58" s="131" t="e">
        <f>VLOOKUP($A58,'BC.115+040'!$B$13:$X$489,8,0)/1000</f>
        <v>#REF!</v>
      </c>
      <c r="G58" s="131" t="e">
        <f>VLOOKUP($A58,'BC.115+040'!$B$13:$X$489,9,0)/1000</f>
        <v>#REF!</v>
      </c>
      <c r="H58" s="131" t="e">
        <f>VLOOKUP($A58,'BC.115+040'!$B$13:$X$489,14,0)/1000</f>
        <v>#REF!</v>
      </c>
      <c r="I58" s="131" t="e">
        <f>VLOOKUP($A58,'BC.115+040'!$B$13:$X$489,15,0)/1000</f>
        <v>#REF!</v>
      </c>
      <c r="J58" s="131" t="e">
        <f>VLOOKUP($A58,'BC.115+040'!$B$13:$X$489,20,0)/1000</f>
        <v>#REF!</v>
      </c>
      <c r="K58" s="131" t="e">
        <f>VLOOKUP($A58,'BC.115+040'!$B$13:$X$489,21,0)/1000</f>
        <v>#REF!</v>
      </c>
      <c r="L58" s="129" t="e">
        <f t="shared" si="0"/>
        <v>#REF!</v>
      </c>
      <c r="M58" s="130" t="e">
        <f t="shared" si="1"/>
        <v>#REF!</v>
      </c>
      <c r="N58" s="129" t="e">
        <f t="shared" si="2"/>
        <v>#REF!</v>
      </c>
      <c r="O58" s="129"/>
      <c r="P58" s="137"/>
      <c r="Q58" s="136"/>
      <c r="R58" s="135"/>
      <c r="S58" s="134"/>
      <c r="T58" s="134"/>
    </row>
    <row r="59" spans="1:20">
      <c r="A59" s="67" t="e">
        <f>'BC.115+040'!B58</f>
        <v>#REF!</v>
      </c>
      <c r="B59" s="129">
        <v>45</v>
      </c>
      <c r="C59" s="131" t="e">
        <f>'BC.115+040'!M58/1000</f>
        <v>#REF!</v>
      </c>
      <c r="D59" s="131" t="e">
        <f>'BC.115+040'!AA58</f>
        <v>#REF!</v>
      </c>
      <c r="E59" s="132" t="e">
        <f>'BC.115+040'!AB58</f>
        <v>#REF!</v>
      </c>
      <c r="F59" s="131" t="e">
        <f>VLOOKUP($A59,'BC.115+040'!$B$13:$X$489,8,0)/1000</f>
        <v>#REF!</v>
      </c>
      <c r="G59" s="131" t="e">
        <f>VLOOKUP($A59,'BC.115+040'!$B$13:$X$489,9,0)/1000</f>
        <v>#REF!</v>
      </c>
      <c r="H59" s="131" t="e">
        <f>VLOOKUP($A59,'BC.115+040'!$B$13:$X$489,14,0)/1000</f>
        <v>#REF!</v>
      </c>
      <c r="I59" s="131" t="e">
        <f>VLOOKUP($A59,'BC.115+040'!$B$13:$X$489,15,0)/1000</f>
        <v>#REF!</v>
      </c>
      <c r="J59" s="131" t="e">
        <f>VLOOKUP($A59,'BC.115+040'!$B$13:$X$489,20,0)/1000</f>
        <v>#REF!</v>
      </c>
      <c r="K59" s="131" t="e">
        <f>VLOOKUP($A59,'BC.115+040'!$B$13:$X$489,21,0)/1000</f>
        <v>#REF!</v>
      </c>
      <c r="L59" s="129" t="e">
        <f t="shared" si="0"/>
        <v>#REF!</v>
      </c>
      <c r="M59" s="130" t="e">
        <f t="shared" si="1"/>
        <v>#REF!</v>
      </c>
      <c r="N59" s="129" t="e">
        <f t="shared" si="2"/>
        <v>#REF!</v>
      </c>
      <c r="O59" s="129"/>
      <c r="P59" s="137"/>
      <c r="Q59" s="136"/>
      <c r="R59" s="135"/>
      <c r="S59" s="134"/>
      <c r="T59" s="134"/>
    </row>
    <row r="60" spans="1:20">
      <c r="A60" s="67" t="e">
        <f>'BC.115+040'!B59</f>
        <v>#REF!</v>
      </c>
      <c r="B60" s="129">
        <v>46</v>
      </c>
      <c r="C60" s="131" t="e">
        <f>'BC.115+040'!M59/1000</f>
        <v>#REF!</v>
      </c>
      <c r="D60" s="131" t="e">
        <f>'BC.115+040'!AA59</f>
        <v>#REF!</v>
      </c>
      <c r="E60" s="132" t="e">
        <f>'BC.115+040'!AB59</f>
        <v>#REF!</v>
      </c>
      <c r="F60" s="131" t="e">
        <f>VLOOKUP($A60,'BC.115+040'!$B$13:$X$489,8,0)/1000</f>
        <v>#REF!</v>
      </c>
      <c r="G60" s="131" t="e">
        <f>VLOOKUP($A60,'BC.115+040'!$B$13:$X$489,9,0)/1000</f>
        <v>#REF!</v>
      </c>
      <c r="H60" s="131" t="e">
        <f>VLOOKUP($A60,'BC.115+040'!$B$13:$X$489,14,0)/1000</f>
        <v>#REF!</v>
      </c>
      <c r="I60" s="131" t="e">
        <f>VLOOKUP($A60,'BC.115+040'!$B$13:$X$489,15,0)/1000</f>
        <v>#REF!</v>
      </c>
      <c r="J60" s="131" t="e">
        <f>VLOOKUP($A60,'BC.115+040'!$B$13:$X$489,20,0)/1000</f>
        <v>#REF!</v>
      </c>
      <c r="K60" s="131" t="e">
        <f>VLOOKUP($A60,'BC.115+040'!$B$13:$X$489,21,0)/1000</f>
        <v>#REF!</v>
      </c>
      <c r="L60" s="129" t="e">
        <f t="shared" si="0"/>
        <v>#REF!</v>
      </c>
      <c r="M60" s="130" t="e">
        <f t="shared" si="1"/>
        <v>#REF!</v>
      </c>
      <c r="N60" s="129" t="e">
        <f t="shared" si="2"/>
        <v>#REF!</v>
      </c>
      <c r="O60" s="129"/>
      <c r="P60" s="137"/>
      <c r="Q60" s="136"/>
      <c r="R60" s="135"/>
      <c r="S60" s="134"/>
      <c r="T60" s="134"/>
    </row>
    <row r="61" spans="1:20">
      <c r="A61" s="67" t="e">
        <f>'BC.115+040'!B60</f>
        <v>#REF!</v>
      </c>
      <c r="B61" s="129">
        <v>47</v>
      </c>
      <c r="C61" s="131" t="e">
        <f>'BC.115+040'!M60/1000</f>
        <v>#REF!</v>
      </c>
      <c r="D61" s="131" t="e">
        <f>'BC.115+040'!AA60</f>
        <v>#REF!</v>
      </c>
      <c r="E61" s="132" t="e">
        <f>'BC.115+040'!AB60</f>
        <v>#REF!</v>
      </c>
      <c r="F61" s="131" t="e">
        <f>VLOOKUP($A61,'BC.115+040'!$B$13:$X$489,8,0)/1000</f>
        <v>#REF!</v>
      </c>
      <c r="G61" s="131" t="e">
        <f>VLOOKUP($A61,'BC.115+040'!$B$13:$X$489,9,0)/1000</f>
        <v>#REF!</v>
      </c>
      <c r="H61" s="131" t="e">
        <f>VLOOKUP($A61,'BC.115+040'!$B$13:$X$489,14,0)/1000</f>
        <v>#REF!</v>
      </c>
      <c r="I61" s="131" t="e">
        <f>VLOOKUP($A61,'BC.115+040'!$B$13:$X$489,15,0)/1000</f>
        <v>#REF!</v>
      </c>
      <c r="J61" s="131" t="e">
        <f>VLOOKUP($A61,'BC.115+040'!$B$13:$X$489,20,0)/1000</f>
        <v>#REF!</v>
      </c>
      <c r="K61" s="131" t="e">
        <f>VLOOKUP($A61,'BC.115+040'!$B$13:$X$489,21,0)/1000</f>
        <v>#REF!</v>
      </c>
      <c r="L61" s="129" t="e">
        <f t="shared" si="0"/>
        <v>#REF!</v>
      </c>
      <c r="M61" s="130" t="e">
        <f t="shared" si="1"/>
        <v>#REF!</v>
      </c>
      <c r="N61" s="129" t="e">
        <f t="shared" si="2"/>
        <v>#REF!</v>
      </c>
      <c r="O61" s="129"/>
      <c r="P61" s="137"/>
      <c r="Q61" s="136"/>
      <c r="R61" s="135"/>
      <c r="S61" s="134"/>
      <c r="T61" s="134"/>
    </row>
    <row r="62" spans="1:20">
      <c r="A62" s="67" t="e">
        <f>'BC.115+040'!B61</f>
        <v>#REF!</v>
      </c>
      <c r="B62" s="129">
        <v>48</v>
      </c>
      <c r="C62" s="131" t="e">
        <f>'BC.115+040'!M61/1000</f>
        <v>#REF!</v>
      </c>
      <c r="D62" s="131" t="e">
        <f>'BC.115+040'!AA61</f>
        <v>#REF!</v>
      </c>
      <c r="E62" s="132" t="e">
        <f>'BC.115+040'!AB61</f>
        <v>#REF!</v>
      </c>
      <c r="F62" s="131" t="e">
        <f>VLOOKUP($A62,'BC.115+040'!$B$13:$X$489,8,0)/1000</f>
        <v>#REF!</v>
      </c>
      <c r="G62" s="131" t="e">
        <f>VLOOKUP($A62,'BC.115+040'!$B$13:$X$489,9,0)/1000</f>
        <v>#REF!</v>
      </c>
      <c r="H62" s="131" t="e">
        <f>VLOOKUP($A62,'BC.115+040'!$B$13:$X$489,14,0)/1000</f>
        <v>#REF!</v>
      </c>
      <c r="I62" s="131" t="e">
        <f>VLOOKUP($A62,'BC.115+040'!$B$13:$X$489,15,0)/1000</f>
        <v>#REF!</v>
      </c>
      <c r="J62" s="131" t="e">
        <f>VLOOKUP($A62,'BC.115+040'!$B$13:$X$489,20,0)/1000</f>
        <v>#REF!</v>
      </c>
      <c r="K62" s="131" t="e">
        <f>VLOOKUP($A62,'BC.115+040'!$B$13:$X$489,21,0)/1000</f>
        <v>#REF!</v>
      </c>
      <c r="L62" s="129" t="e">
        <f t="shared" si="0"/>
        <v>#REF!</v>
      </c>
      <c r="M62" s="130" t="e">
        <f t="shared" si="1"/>
        <v>#REF!</v>
      </c>
      <c r="N62" s="129" t="e">
        <f t="shared" si="2"/>
        <v>#REF!</v>
      </c>
      <c r="O62" s="129"/>
      <c r="P62" s="137"/>
      <c r="Q62" s="136"/>
      <c r="R62" s="135"/>
      <c r="S62" s="134"/>
      <c r="T62" s="134"/>
    </row>
    <row r="63" spans="1:20">
      <c r="A63" s="67" t="e">
        <f>'BC.115+040'!B62</f>
        <v>#REF!</v>
      </c>
      <c r="B63" s="129">
        <v>49</v>
      </c>
      <c r="C63" s="131" t="e">
        <f>'BC.115+040'!M62/1000</f>
        <v>#REF!</v>
      </c>
      <c r="D63" s="131" t="e">
        <f>'BC.115+040'!AA62</f>
        <v>#REF!</v>
      </c>
      <c r="E63" s="132" t="e">
        <f>'BC.115+040'!AB62</f>
        <v>#REF!</v>
      </c>
      <c r="F63" s="131" t="e">
        <f>VLOOKUP($A63,'BC.115+040'!$B$13:$X$489,8,0)/1000</f>
        <v>#REF!</v>
      </c>
      <c r="G63" s="131" t="e">
        <f>VLOOKUP($A63,'BC.115+040'!$B$13:$X$489,9,0)/1000</f>
        <v>#REF!</v>
      </c>
      <c r="H63" s="131" t="e">
        <f>VLOOKUP($A63,'BC.115+040'!$B$13:$X$489,14,0)/1000</f>
        <v>#REF!</v>
      </c>
      <c r="I63" s="131" t="e">
        <f>VLOOKUP($A63,'BC.115+040'!$B$13:$X$489,15,0)/1000</f>
        <v>#REF!</v>
      </c>
      <c r="J63" s="131" t="e">
        <f>VLOOKUP($A63,'BC.115+040'!$B$13:$X$489,20,0)/1000</f>
        <v>#REF!</v>
      </c>
      <c r="K63" s="131" t="e">
        <f>VLOOKUP($A63,'BC.115+040'!$B$13:$X$489,21,0)/1000</f>
        <v>#REF!</v>
      </c>
      <c r="L63" s="129" t="e">
        <f t="shared" si="0"/>
        <v>#REF!</v>
      </c>
      <c r="M63" s="130" t="e">
        <f t="shared" si="1"/>
        <v>#REF!</v>
      </c>
      <c r="N63" s="129" t="e">
        <f t="shared" si="2"/>
        <v>#REF!</v>
      </c>
      <c r="O63" s="129"/>
      <c r="P63" s="137"/>
      <c r="Q63" s="136"/>
      <c r="R63" s="135"/>
      <c r="S63" s="134"/>
      <c r="T63" s="134"/>
    </row>
    <row r="64" spans="1:20">
      <c r="A64" s="67" t="e">
        <f>'BC.115+040'!B63</f>
        <v>#REF!</v>
      </c>
      <c r="B64" s="129">
        <v>50</v>
      </c>
      <c r="C64" s="131" t="e">
        <f>'BC.115+040'!M63/1000</f>
        <v>#REF!</v>
      </c>
      <c r="D64" s="131" t="e">
        <f>'BC.115+040'!AA63</f>
        <v>#REF!</v>
      </c>
      <c r="E64" s="132" t="e">
        <f>'BC.115+040'!AB63</f>
        <v>#REF!</v>
      </c>
      <c r="F64" s="131" t="e">
        <f>VLOOKUP($A64,'BC.115+040'!$B$13:$X$489,8,0)/1000</f>
        <v>#REF!</v>
      </c>
      <c r="G64" s="131" t="e">
        <f>VLOOKUP($A64,'BC.115+040'!$B$13:$X$489,9,0)/1000</f>
        <v>#REF!</v>
      </c>
      <c r="H64" s="131" t="e">
        <f>VLOOKUP($A64,'BC.115+040'!$B$13:$X$489,14,0)/1000</f>
        <v>#REF!</v>
      </c>
      <c r="I64" s="131" t="e">
        <f>VLOOKUP($A64,'BC.115+040'!$B$13:$X$489,15,0)/1000</f>
        <v>#REF!</v>
      </c>
      <c r="J64" s="131" t="e">
        <f>VLOOKUP($A64,'BC.115+040'!$B$13:$X$489,20,0)/1000</f>
        <v>#REF!</v>
      </c>
      <c r="K64" s="131" t="e">
        <f>VLOOKUP($A64,'BC.115+040'!$B$13:$X$489,21,0)/1000</f>
        <v>#REF!</v>
      </c>
      <c r="L64" s="129" t="e">
        <f t="shared" si="0"/>
        <v>#REF!</v>
      </c>
      <c r="M64" s="130" t="e">
        <f t="shared" si="1"/>
        <v>#REF!</v>
      </c>
      <c r="N64" s="129" t="e">
        <f t="shared" si="2"/>
        <v>#REF!</v>
      </c>
      <c r="O64" s="129"/>
      <c r="P64" s="137"/>
      <c r="Q64" s="136"/>
      <c r="R64" s="135"/>
      <c r="S64" s="134"/>
      <c r="T64" s="134"/>
    </row>
    <row r="65" spans="1:20">
      <c r="A65" s="67" t="e">
        <f>'BC.115+040'!B64</f>
        <v>#REF!</v>
      </c>
      <c r="B65" s="129">
        <v>51</v>
      </c>
      <c r="C65" s="131" t="e">
        <f>'BC.115+040'!M64/1000</f>
        <v>#REF!</v>
      </c>
      <c r="D65" s="131" t="e">
        <f>'BC.115+040'!AA64</f>
        <v>#REF!</v>
      </c>
      <c r="E65" s="132" t="e">
        <f>'BC.115+040'!AB64</f>
        <v>#REF!</v>
      </c>
      <c r="F65" s="131" t="e">
        <f>VLOOKUP($A65,'BC.115+040'!$B$13:$X$489,8,0)/1000</f>
        <v>#REF!</v>
      </c>
      <c r="G65" s="131" t="e">
        <f>VLOOKUP($A65,'BC.115+040'!$B$13:$X$489,9,0)/1000</f>
        <v>#REF!</v>
      </c>
      <c r="H65" s="131" t="e">
        <f>VLOOKUP($A65,'BC.115+040'!$B$13:$X$489,14,0)/1000</f>
        <v>#REF!</v>
      </c>
      <c r="I65" s="131" t="e">
        <f>VLOOKUP($A65,'BC.115+040'!$B$13:$X$489,15,0)/1000</f>
        <v>#REF!</v>
      </c>
      <c r="J65" s="131" t="e">
        <f>VLOOKUP($A65,'BC.115+040'!$B$13:$X$489,20,0)/1000</f>
        <v>#REF!</v>
      </c>
      <c r="K65" s="131" t="e">
        <f>VLOOKUP($A65,'BC.115+040'!$B$13:$X$489,21,0)/1000</f>
        <v>#REF!</v>
      </c>
      <c r="L65" s="129" t="e">
        <f t="shared" si="0"/>
        <v>#REF!</v>
      </c>
      <c r="M65" s="130" t="e">
        <f t="shared" si="1"/>
        <v>#REF!</v>
      </c>
      <c r="N65" s="129" t="e">
        <f t="shared" si="2"/>
        <v>#REF!</v>
      </c>
      <c r="O65" s="129"/>
      <c r="P65" s="137"/>
      <c r="Q65" s="136"/>
      <c r="R65" s="135"/>
      <c r="S65" s="134"/>
      <c r="T65" s="134"/>
    </row>
    <row r="66" spans="1:20">
      <c r="A66" s="67" t="e">
        <f>'BC.115+040'!B65</f>
        <v>#REF!</v>
      </c>
      <c r="B66" s="129">
        <v>52</v>
      </c>
      <c r="C66" s="131" t="e">
        <f>'BC.115+040'!M65/1000</f>
        <v>#REF!</v>
      </c>
      <c r="D66" s="131" t="e">
        <f>'BC.115+040'!AA65</f>
        <v>#REF!</v>
      </c>
      <c r="E66" s="132" t="e">
        <f>'BC.115+040'!AB65</f>
        <v>#REF!</v>
      </c>
      <c r="F66" s="131" t="e">
        <f>VLOOKUP($A66,'BC.115+040'!$B$13:$X$489,8,0)/1000</f>
        <v>#REF!</v>
      </c>
      <c r="G66" s="131" t="e">
        <f>VLOOKUP($A66,'BC.115+040'!$B$13:$X$489,9,0)/1000</f>
        <v>#REF!</v>
      </c>
      <c r="H66" s="131" t="e">
        <f>VLOOKUP($A66,'BC.115+040'!$B$13:$X$489,14,0)/1000</f>
        <v>#REF!</v>
      </c>
      <c r="I66" s="131" t="e">
        <f>VLOOKUP($A66,'BC.115+040'!$B$13:$X$489,15,0)/1000</f>
        <v>#REF!</v>
      </c>
      <c r="J66" s="131" t="e">
        <f>VLOOKUP($A66,'BC.115+040'!$B$13:$X$489,20,0)/1000</f>
        <v>#REF!</v>
      </c>
      <c r="K66" s="131" t="e">
        <f>VLOOKUP($A66,'BC.115+040'!$B$13:$X$489,21,0)/1000</f>
        <v>#REF!</v>
      </c>
      <c r="L66" s="129" t="e">
        <f t="shared" si="0"/>
        <v>#REF!</v>
      </c>
      <c r="M66" s="130" t="e">
        <f t="shared" si="1"/>
        <v>#REF!</v>
      </c>
      <c r="N66" s="129" t="e">
        <f t="shared" si="2"/>
        <v>#REF!</v>
      </c>
      <c r="O66" s="129"/>
      <c r="P66" s="137"/>
      <c r="Q66" s="136"/>
      <c r="R66" s="135"/>
      <c r="S66" s="134"/>
      <c r="T66" s="134"/>
    </row>
    <row r="67" spans="1:20">
      <c r="A67" s="67" t="e">
        <f>'BC.115+040'!B66</f>
        <v>#REF!</v>
      </c>
      <c r="B67" s="129">
        <v>53</v>
      </c>
      <c r="C67" s="131" t="e">
        <f>'BC.115+040'!M66/1000</f>
        <v>#REF!</v>
      </c>
      <c r="D67" s="131" t="e">
        <f>'BC.115+040'!AA66</f>
        <v>#REF!</v>
      </c>
      <c r="E67" s="132" t="e">
        <f>'BC.115+040'!AB66</f>
        <v>#REF!</v>
      </c>
      <c r="F67" s="131" t="e">
        <f>VLOOKUP($A67,'BC.115+040'!$B$13:$X$489,8,0)/1000</f>
        <v>#REF!</v>
      </c>
      <c r="G67" s="131" t="e">
        <f>VLOOKUP($A67,'BC.115+040'!$B$13:$X$489,9,0)/1000</f>
        <v>#REF!</v>
      </c>
      <c r="H67" s="131" t="e">
        <f>VLOOKUP($A67,'BC.115+040'!$B$13:$X$489,14,0)/1000</f>
        <v>#REF!</v>
      </c>
      <c r="I67" s="131" t="e">
        <f>VLOOKUP($A67,'BC.115+040'!$B$13:$X$489,15,0)/1000</f>
        <v>#REF!</v>
      </c>
      <c r="J67" s="131" t="e">
        <f>VLOOKUP($A67,'BC.115+040'!$B$13:$X$489,20,0)/1000</f>
        <v>#REF!</v>
      </c>
      <c r="K67" s="131" t="e">
        <f>VLOOKUP($A67,'BC.115+040'!$B$13:$X$489,21,0)/1000</f>
        <v>#REF!</v>
      </c>
      <c r="L67" s="129" t="e">
        <f t="shared" si="0"/>
        <v>#REF!</v>
      </c>
      <c r="M67" s="130" t="e">
        <f t="shared" si="1"/>
        <v>#REF!</v>
      </c>
      <c r="N67" s="129" t="e">
        <f t="shared" si="2"/>
        <v>#REF!</v>
      </c>
      <c r="O67" s="129"/>
      <c r="P67" s="137"/>
      <c r="Q67" s="136"/>
      <c r="R67" s="135"/>
      <c r="S67" s="134"/>
      <c r="T67" s="134"/>
    </row>
    <row r="68" spans="1:20">
      <c r="A68" s="67" t="e">
        <f>'BC.115+040'!B67</f>
        <v>#REF!</v>
      </c>
      <c r="B68" s="129">
        <v>54</v>
      </c>
      <c r="C68" s="131" t="e">
        <f>'BC.115+040'!M67/1000</f>
        <v>#REF!</v>
      </c>
      <c r="D68" s="131" t="e">
        <f>'BC.115+040'!AA67</f>
        <v>#REF!</v>
      </c>
      <c r="E68" s="132" t="e">
        <f>'BC.115+040'!AB67</f>
        <v>#REF!</v>
      </c>
      <c r="F68" s="131" t="e">
        <f>VLOOKUP($A68,'BC.115+040'!$B$13:$X$489,8,0)/1000</f>
        <v>#REF!</v>
      </c>
      <c r="G68" s="131" t="e">
        <f>VLOOKUP($A68,'BC.115+040'!$B$13:$X$489,9,0)/1000</f>
        <v>#REF!</v>
      </c>
      <c r="H68" s="131" t="e">
        <f>VLOOKUP($A68,'BC.115+040'!$B$13:$X$489,14,0)/1000</f>
        <v>#REF!</v>
      </c>
      <c r="I68" s="131" t="e">
        <f>VLOOKUP($A68,'BC.115+040'!$B$13:$X$489,15,0)/1000</f>
        <v>#REF!</v>
      </c>
      <c r="J68" s="131" t="e">
        <f>VLOOKUP($A68,'BC.115+040'!$B$13:$X$489,20,0)/1000</f>
        <v>#REF!</v>
      </c>
      <c r="K68" s="131" t="e">
        <f>VLOOKUP($A68,'BC.115+040'!$B$13:$X$489,21,0)/1000</f>
        <v>#REF!</v>
      </c>
      <c r="L68" s="129" t="e">
        <f t="shared" si="0"/>
        <v>#REF!</v>
      </c>
      <c r="M68" s="130" t="e">
        <f t="shared" si="1"/>
        <v>#REF!</v>
      </c>
      <c r="N68" s="129" t="e">
        <f t="shared" si="2"/>
        <v>#REF!</v>
      </c>
      <c r="O68" s="129"/>
      <c r="P68" s="137"/>
      <c r="Q68" s="136"/>
      <c r="R68" s="135"/>
      <c r="S68" s="134"/>
      <c r="T68" s="134"/>
    </row>
    <row r="69" spans="1:20">
      <c r="A69" s="67" t="e">
        <f>'BC.115+040'!B68</f>
        <v>#REF!</v>
      </c>
      <c r="B69" s="129">
        <v>55</v>
      </c>
      <c r="C69" s="131" t="e">
        <f>'BC.115+040'!M68/1000</f>
        <v>#REF!</v>
      </c>
      <c r="D69" s="131" t="e">
        <f>'BC.115+040'!AA68</f>
        <v>#REF!</v>
      </c>
      <c r="E69" s="132" t="e">
        <f>'BC.115+040'!AB68</f>
        <v>#REF!</v>
      </c>
      <c r="F69" s="131" t="e">
        <f>VLOOKUP($A69,'BC.115+040'!$B$13:$X$489,8,0)/1000</f>
        <v>#REF!</v>
      </c>
      <c r="G69" s="131" t="e">
        <f>VLOOKUP($A69,'BC.115+040'!$B$13:$X$489,9,0)/1000</f>
        <v>#REF!</v>
      </c>
      <c r="H69" s="131" t="e">
        <f>VLOOKUP($A69,'BC.115+040'!$B$13:$X$489,14,0)/1000</f>
        <v>#REF!</v>
      </c>
      <c r="I69" s="131" t="e">
        <f>VLOOKUP($A69,'BC.115+040'!$B$13:$X$489,15,0)/1000</f>
        <v>#REF!</v>
      </c>
      <c r="J69" s="131" t="e">
        <f>VLOOKUP($A69,'BC.115+040'!$B$13:$X$489,20,0)/1000</f>
        <v>#REF!</v>
      </c>
      <c r="K69" s="131" t="e">
        <f>VLOOKUP($A69,'BC.115+040'!$B$13:$X$489,21,0)/1000</f>
        <v>#REF!</v>
      </c>
      <c r="L69" s="129" t="e">
        <f t="shared" si="0"/>
        <v>#REF!</v>
      </c>
      <c r="M69" s="130" t="e">
        <f t="shared" si="1"/>
        <v>#REF!</v>
      </c>
      <c r="N69" s="129" t="e">
        <f t="shared" si="2"/>
        <v>#REF!</v>
      </c>
      <c r="O69" s="129"/>
      <c r="P69" s="137"/>
      <c r="Q69" s="136"/>
      <c r="R69" s="135"/>
      <c r="S69" s="134"/>
      <c r="T69" s="134"/>
    </row>
    <row r="70" spans="1:20">
      <c r="A70" s="67" t="e">
        <f>'BC.115+040'!B69</f>
        <v>#REF!</v>
      </c>
      <c r="B70" s="129">
        <v>56</v>
      </c>
      <c r="C70" s="131" t="e">
        <f>'BC.115+040'!M69/1000</f>
        <v>#REF!</v>
      </c>
      <c r="D70" s="131" t="e">
        <f>'BC.115+040'!AA69</f>
        <v>#REF!</v>
      </c>
      <c r="E70" s="132" t="e">
        <f>'BC.115+040'!AB69</f>
        <v>#REF!</v>
      </c>
      <c r="F70" s="131" t="e">
        <f>VLOOKUP($A70,'BC.115+040'!$B$13:$X$489,8,0)/1000</f>
        <v>#REF!</v>
      </c>
      <c r="G70" s="131" t="e">
        <f>VLOOKUP($A70,'BC.115+040'!$B$13:$X$489,9,0)/1000</f>
        <v>#REF!</v>
      </c>
      <c r="H70" s="131" t="e">
        <f>VLOOKUP($A70,'BC.115+040'!$B$13:$X$489,14,0)/1000</f>
        <v>#REF!</v>
      </c>
      <c r="I70" s="131" t="e">
        <f>VLOOKUP($A70,'BC.115+040'!$B$13:$X$489,15,0)/1000</f>
        <v>#REF!</v>
      </c>
      <c r="J70" s="131" t="e">
        <f>VLOOKUP($A70,'BC.115+040'!$B$13:$X$489,20,0)/1000</f>
        <v>#REF!</v>
      </c>
      <c r="K70" s="131" t="e">
        <f>VLOOKUP($A70,'BC.115+040'!$B$13:$X$489,21,0)/1000</f>
        <v>#REF!</v>
      </c>
      <c r="L70" s="129" t="e">
        <f t="shared" si="0"/>
        <v>#REF!</v>
      </c>
      <c r="M70" s="130" t="e">
        <f t="shared" si="1"/>
        <v>#REF!</v>
      </c>
      <c r="N70" s="129" t="e">
        <f t="shared" si="2"/>
        <v>#REF!</v>
      </c>
      <c r="O70" s="129"/>
      <c r="P70" s="137"/>
      <c r="Q70" s="136"/>
      <c r="R70" s="135"/>
      <c r="S70" s="134"/>
      <c r="T70" s="134"/>
    </row>
    <row r="71" spans="1:20">
      <c r="A71" s="67" t="e">
        <f>'BC.115+040'!B70</f>
        <v>#REF!</v>
      </c>
      <c r="B71" s="129">
        <v>57</v>
      </c>
      <c r="C71" s="131" t="e">
        <f>'BC.115+040'!M70/1000</f>
        <v>#REF!</v>
      </c>
      <c r="D71" s="131" t="e">
        <f>'BC.115+040'!AA70</f>
        <v>#REF!</v>
      </c>
      <c r="E71" s="132" t="e">
        <f>'BC.115+040'!AB70</f>
        <v>#REF!</v>
      </c>
      <c r="F71" s="131" t="e">
        <f>VLOOKUP($A71,'BC.115+040'!$B$13:$X$489,8,0)/1000</f>
        <v>#REF!</v>
      </c>
      <c r="G71" s="131" t="e">
        <f>VLOOKUP($A71,'BC.115+040'!$B$13:$X$489,9,0)/1000</f>
        <v>#REF!</v>
      </c>
      <c r="H71" s="131" t="e">
        <f>VLOOKUP($A71,'BC.115+040'!$B$13:$X$489,14,0)/1000</f>
        <v>#REF!</v>
      </c>
      <c r="I71" s="131" t="e">
        <f>VLOOKUP($A71,'BC.115+040'!$B$13:$X$489,15,0)/1000</f>
        <v>#REF!</v>
      </c>
      <c r="J71" s="131" t="e">
        <f>VLOOKUP($A71,'BC.115+040'!$B$13:$X$489,20,0)/1000</f>
        <v>#REF!</v>
      </c>
      <c r="K71" s="131" t="e">
        <f>VLOOKUP($A71,'BC.115+040'!$B$13:$X$489,21,0)/1000</f>
        <v>#REF!</v>
      </c>
      <c r="L71" s="129" t="e">
        <f t="shared" si="0"/>
        <v>#REF!</v>
      </c>
      <c r="M71" s="130" t="e">
        <f t="shared" si="1"/>
        <v>#REF!</v>
      </c>
      <c r="N71" s="129" t="e">
        <f t="shared" si="2"/>
        <v>#REF!</v>
      </c>
      <c r="O71" s="129"/>
      <c r="P71" s="137"/>
      <c r="Q71" s="136"/>
      <c r="R71" s="135"/>
      <c r="S71" s="134"/>
      <c r="T71" s="134"/>
    </row>
    <row r="72" spans="1:20">
      <c r="A72" s="67" t="e">
        <f>'BC.115+040'!B71</f>
        <v>#REF!</v>
      </c>
      <c r="B72" s="129">
        <v>58</v>
      </c>
      <c r="C72" s="131" t="e">
        <f>'BC.115+040'!M71/1000</f>
        <v>#REF!</v>
      </c>
      <c r="D72" s="131" t="e">
        <f>'BC.115+040'!AA71</f>
        <v>#REF!</v>
      </c>
      <c r="E72" s="132" t="e">
        <f>'BC.115+040'!AB71</f>
        <v>#REF!</v>
      </c>
      <c r="F72" s="131" t="e">
        <f>VLOOKUP($A72,'BC.115+040'!$B$13:$X$489,8,0)/1000</f>
        <v>#REF!</v>
      </c>
      <c r="G72" s="131" t="e">
        <f>VLOOKUP($A72,'BC.115+040'!$B$13:$X$489,9,0)/1000</f>
        <v>#REF!</v>
      </c>
      <c r="H72" s="131" t="e">
        <f>VLOOKUP($A72,'BC.115+040'!$B$13:$X$489,14,0)/1000</f>
        <v>#REF!</v>
      </c>
      <c r="I72" s="131" t="e">
        <f>VLOOKUP($A72,'BC.115+040'!$B$13:$X$489,15,0)/1000</f>
        <v>#REF!</v>
      </c>
      <c r="J72" s="131" t="e">
        <f>VLOOKUP($A72,'BC.115+040'!$B$13:$X$489,20,0)/1000</f>
        <v>#REF!</v>
      </c>
      <c r="K72" s="131" t="e">
        <f>VLOOKUP($A72,'BC.115+040'!$B$13:$X$489,21,0)/1000</f>
        <v>#REF!</v>
      </c>
      <c r="L72" s="129" t="e">
        <f t="shared" si="0"/>
        <v>#REF!</v>
      </c>
      <c r="M72" s="130" t="e">
        <f t="shared" si="1"/>
        <v>#REF!</v>
      </c>
      <c r="N72" s="129" t="e">
        <f t="shared" si="2"/>
        <v>#REF!</v>
      </c>
      <c r="O72" s="129"/>
      <c r="P72" s="137"/>
      <c r="Q72" s="136"/>
      <c r="R72" s="135"/>
      <c r="S72" s="134"/>
      <c r="T72" s="134"/>
    </row>
    <row r="73" spans="1:20">
      <c r="A73" s="67" t="e">
        <f>'BC.115+040'!B72</f>
        <v>#REF!</v>
      </c>
      <c r="B73" s="129">
        <v>59</v>
      </c>
      <c r="C73" s="131" t="e">
        <f>'BC.115+040'!M72/1000</f>
        <v>#REF!</v>
      </c>
      <c r="D73" s="131" t="e">
        <f>'BC.115+040'!AA72</f>
        <v>#REF!</v>
      </c>
      <c r="E73" s="132" t="e">
        <f>'BC.115+040'!AB72</f>
        <v>#REF!</v>
      </c>
      <c r="F73" s="131" t="e">
        <f>VLOOKUP($A73,'BC.115+040'!$B$13:$X$489,8,0)/1000</f>
        <v>#REF!</v>
      </c>
      <c r="G73" s="131" t="e">
        <f>VLOOKUP($A73,'BC.115+040'!$B$13:$X$489,9,0)/1000</f>
        <v>#REF!</v>
      </c>
      <c r="H73" s="131" t="e">
        <f>VLOOKUP($A73,'BC.115+040'!$B$13:$X$489,14,0)/1000</f>
        <v>#REF!</v>
      </c>
      <c r="I73" s="131" t="e">
        <f>VLOOKUP($A73,'BC.115+040'!$B$13:$X$489,15,0)/1000</f>
        <v>#REF!</v>
      </c>
      <c r="J73" s="131" t="e">
        <f>VLOOKUP($A73,'BC.115+040'!$B$13:$X$489,20,0)/1000</f>
        <v>#REF!</v>
      </c>
      <c r="K73" s="131" t="e">
        <f>VLOOKUP($A73,'BC.115+040'!$B$13:$X$489,21,0)/1000</f>
        <v>#REF!</v>
      </c>
      <c r="L73" s="129" t="e">
        <f t="shared" si="0"/>
        <v>#REF!</v>
      </c>
      <c r="M73" s="130" t="e">
        <f t="shared" si="1"/>
        <v>#REF!</v>
      </c>
      <c r="N73" s="129" t="e">
        <f t="shared" si="2"/>
        <v>#REF!</v>
      </c>
      <c r="O73" s="129"/>
      <c r="P73" s="137"/>
      <c r="Q73" s="136"/>
      <c r="R73" s="135"/>
      <c r="S73" s="134"/>
      <c r="T73" s="134"/>
    </row>
    <row r="74" spans="1:20">
      <c r="A74" s="67" t="e">
        <f>'BC.115+040'!B73</f>
        <v>#REF!</v>
      </c>
      <c r="B74" s="129">
        <v>60</v>
      </c>
      <c r="C74" s="131" t="e">
        <f>'BC.115+040'!M73/1000</f>
        <v>#REF!</v>
      </c>
      <c r="D74" s="131" t="e">
        <f>'BC.115+040'!AA73</f>
        <v>#REF!</v>
      </c>
      <c r="E74" s="132" t="e">
        <f>'BC.115+040'!AB73</f>
        <v>#REF!</v>
      </c>
      <c r="F74" s="131" t="e">
        <f>VLOOKUP($A74,'BC.115+040'!$B$13:$X$489,8,0)/1000</f>
        <v>#REF!</v>
      </c>
      <c r="G74" s="131" t="e">
        <f>VLOOKUP($A74,'BC.115+040'!$B$13:$X$489,9,0)/1000</f>
        <v>#REF!</v>
      </c>
      <c r="H74" s="131" t="e">
        <f>VLOOKUP($A74,'BC.115+040'!$B$13:$X$489,14,0)/1000</f>
        <v>#REF!</v>
      </c>
      <c r="I74" s="131" t="e">
        <f>VLOOKUP($A74,'BC.115+040'!$B$13:$X$489,15,0)/1000</f>
        <v>#REF!</v>
      </c>
      <c r="J74" s="131" t="e">
        <f>VLOOKUP($A74,'BC.115+040'!$B$13:$X$489,20,0)/1000</f>
        <v>#REF!</v>
      </c>
      <c r="K74" s="131" t="e">
        <f>VLOOKUP($A74,'BC.115+040'!$B$13:$X$489,21,0)/1000</f>
        <v>#REF!</v>
      </c>
      <c r="L74" s="129" t="e">
        <f t="shared" si="0"/>
        <v>#REF!</v>
      </c>
      <c r="M74" s="130" t="e">
        <f t="shared" si="1"/>
        <v>#REF!</v>
      </c>
      <c r="N74" s="129" t="e">
        <f t="shared" si="2"/>
        <v>#REF!</v>
      </c>
      <c r="O74" s="129"/>
      <c r="P74" s="137"/>
      <c r="Q74" s="136"/>
      <c r="R74" s="135"/>
      <c r="S74" s="134"/>
      <c r="T74" s="134"/>
    </row>
    <row r="75" spans="1:20">
      <c r="A75" s="67" t="e">
        <f>'BC.115+040'!B74</f>
        <v>#REF!</v>
      </c>
      <c r="B75" s="129">
        <v>61</v>
      </c>
      <c r="C75" s="131" t="e">
        <f>'BC.115+040'!M74/1000</f>
        <v>#REF!</v>
      </c>
      <c r="D75" s="131" t="e">
        <f>'BC.115+040'!AA74</f>
        <v>#REF!</v>
      </c>
      <c r="E75" s="132" t="e">
        <f>'BC.115+040'!AB74</f>
        <v>#REF!</v>
      </c>
      <c r="F75" s="131" t="e">
        <f>VLOOKUP($A75,'BC.115+040'!$B$13:$X$489,8,0)/1000</f>
        <v>#REF!</v>
      </c>
      <c r="G75" s="131" t="e">
        <f>VLOOKUP($A75,'BC.115+040'!$B$13:$X$489,9,0)/1000</f>
        <v>#REF!</v>
      </c>
      <c r="H75" s="131" t="e">
        <f>VLOOKUP($A75,'BC.115+040'!$B$13:$X$489,14,0)/1000</f>
        <v>#REF!</v>
      </c>
      <c r="I75" s="131" t="e">
        <f>VLOOKUP($A75,'BC.115+040'!$B$13:$X$489,15,0)/1000</f>
        <v>#REF!</v>
      </c>
      <c r="J75" s="131" t="e">
        <f>VLOOKUP($A75,'BC.115+040'!$B$13:$X$489,20,0)/1000</f>
        <v>#REF!</v>
      </c>
      <c r="K75" s="131" t="e">
        <f>VLOOKUP($A75,'BC.115+040'!$B$13:$X$489,21,0)/1000</f>
        <v>#REF!</v>
      </c>
      <c r="L75" s="129" t="e">
        <f t="shared" si="0"/>
        <v>#REF!</v>
      </c>
      <c r="M75" s="130" t="e">
        <f t="shared" si="1"/>
        <v>#REF!</v>
      </c>
      <c r="N75" s="129" t="e">
        <f t="shared" si="2"/>
        <v>#REF!</v>
      </c>
      <c r="O75" s="129"/>
      <c r="P75" s="137"/>
      <c r="Q75" s="136"/>
      <c r="R75" s="135"/>
      <c r="S75" s="134"/>
      <c r="T75" s="134"/>
    </row>
    <row r="76" spans="1:20">
      <c r="A76" s="67" t="e">
        <f>'BC.115+040'!B75</f>
        <v>#REF!</v>
      </c>
      <c r="B76" s="129">
        <v>62</v>
      </c>
      <c r="C76" s="131" t="e">
        <f>'BC.115+040'!M75/1000</f>
        <v>#REF!</v>
      </c>
      <c r="D76" s="131" t="e">
        <f>'BC.115+040'!AA75</f>
        <v>#REF!</v>
      </c>
      <c r="E76" s="132" t="e">
        <f>'BC.115+040'!AB75</f>
        <v>#REF!</v>
      </c>
      <c r="F76" s="131" t="e">
        <f>VLOOKUP($A76,'BC.115+040'!$B$13:$X$489,8,0)/1000</f>
        <v>#REF!</v>
      </c>
      <c r="G76" s="131" t="e">
        <f>VLOOKUP($A76,'BC.115+040'!$B$13:$X$489,9,0)/1000</f>
        <v>#REF!</v>
      </c>
      <c r="H76" s="131" t="e">
        <f>VLOOKUP($A76,'BC.115+040'!$B$13:$X$489,14,0)/1000</f>
        <v>#REF!</v>
      </c>
      <c r="I76" s="131" t="e">
        <f>VLOOKUP($A76,'BC.115+040'!$B$13:$X$489,15,0)/1000</f>
        <v>#REF!</v>
      </c>
      <c r="J76" s="131" t="e">
        <f>VLOOKUP($A76,'BC.115+040'!$B$13:$X$489,20,0)/1000</f>
        <v>#REF!</v>
      </c>
      <c r="K76" s="131" t="e">
        <f>VLOOKUP($A76,'BC.115+040'!$B$13:$X$489,21,0)/1000</f>
        <v>#REF!</v>
      </c>
      <c r="L76" s="129" t="e">
        <f t="shared" si="0"/>
        <v>#REF!</v>
      </c>
      <c r="M76" s="130" t="e">
        <f t="shared" si="1"/>
        <v>#REF!</v>
      </c>
      <c r="N76" s="129" t="e">
        <f t="shared" si="2"/>
        <v>#REF!</v>
      </c>
      <c r="O76" s="129"/>
      <c r="P76" s="137"/>
      <c r="Q76" s="136"/>
      <c r="R76" s="135"/>
      <c r="S76" s="134"/>
      <c r="T76" s="134"/>
    </row>
    <row r="77" spans="1:20">
      <c r="A77" s="67" t="e">
        <f>'BC.115+040'!B76</f>
        <v>#REF!</v>
      </c>
      <c r="B77" s="129">
        <v>63</v>
      </c>
      <c r="C77" s="131" t="e">
        <f>'BC.115+040'!M76/1000</f>
        <v>#REF!</v>
      </c>
      <c r="D77" s="131" t="e">
        <f>'BC.115+040'!AA76</f>
        <v>#REF!</v>
      </c>
      <c r="E77" s="132" t="e">
        <f>'BC.115+040'!AB76</f>
        <v>#REF!</v>
      </c>
      <c r="F77" s="131" t="e">
        <f>VLOOKUP($A77,'BC.115+040'!$B$13:$X$489,8,0)/1000</f>
        <v>#REF!</v>
      </c>
      <c r="G77" s="131" t="e">
        <f>VLOOKUP($A77,'BC.115+040'!$B$13:$X$489,9,0)/1000</f>
        <v>#REF!</v>
      </c>
      <c r="H77" s="131" t="e">
        <f>VLOOKUP($A77,'BC.115+040'!$B$13:$X$489,14,0)/1000</f>
        <v>#REF!</v>
      </c>
      <c r="I77" s="131" t="e">
        <f>VLOOKUP($A77,'BC.115+040'!$B$13:$X$489,15,0)/1000</f>
        <v>#REF!</v>
      </c>
      <c r="J77" s="131" t="e">
        <f>VLOOKUP($A77,'BC.115+040'!$B$13:$X$489,20,0)/1000</f>
        <v>#REF!</v>
      </c>
      <c r="K77" s="131" t="e">
        <f>VLOOKUP($A77,'BC.115+040'!$B$13:$X$489,21,0)/1000</f>
        <v>#REF!</v>
      </c>
      <c r="L77" s="129" t="e">
        <f t="shared" si="0"/>
        <v>#REF!</v>
      </c>
      <c r="M77" s="130" t="e">
        <f t="shared" si="1"/>
        <v>#REF!</v>
      </c>
      <c r="N77" s="129" t="e">
        <f t="shared" si="2"/>
        <v>#REF!</v>
      </c>
      <c r="O77" s="129"/>
    </row>
    <row r="78" spans="1:20">
      <c r="A78" s="67" t="e">
        <f>'BC.115+040'!B77</f>
        <v>#REF!</v>
      </c>
      <c r="B78" s="129">
        <v>64</v>
      </c>
      <c r="C78" s="131" t="e">
        <f>'BC.115+040'!M77/1000</f>
        <v>#REF!</v>
      </c>
      <c r="D78" s="131" t="e">
        <f>'BC.115+040'!AA77</f>
        <v>#REF!</v>
      </c>
      <c r="E78" s="132" t="e">
        <f>'BC.115+040'!AB77</f>
        <v>#REF!</v>
      </c>
      <c r="F78" s="131" t="e">
        <f>VLOOKUP($A78,'BC.115+040'!$B$13:$X$489,8,0)/1000</f>
        <v>#REF!</v>
      </c>
      <c r="G78" s="131" t="e">
        <f>VLOOKUP($A78,'BC.115+040'!$B$13:$X$489,9,0)/1000</f>
        <v>#REF!</v>
      </c>
      <c r="H78" s="131" t="e">
        <f>VLOOKUP($A78,'BC.115+040'!$B$13:$X$489,14,0)/1000</f>
        <v>#REF!</v>
      </c>
      <c r="I78" s="131" t="e">
        <f>VLOOKUP($A78,'BC.115+040'!$B$13:$X$489,15,0)/1000</f>
        <v>#REF!</v>
      </c>
      <c r="J78" s="131" t="e">
        <f>VLOOKUP($A78,'BC.115+040'!$B$13:$X$489,20,0)/1000</f>
        <v>#REF!</v>
      </c>
      <c r="K78" s="131" t="e">
        <f>VLOOKUP($A78,'BC.115+040'!$B$13:$X$489,21,0)/1000</f>
        <v>#REF!</v>
      </c>
      <c r="L78" s="129" t="e">
        <f t="shared" ref="L78:L141" si="3">(G78-$G$14)*1000</f>
        <v>#REF!</v>
      </c>
      <c r="M78" s="130" t="e">
        <f t="shared" ref="M78:M141" si="4">(I78-$I$14)*1000</f>
        <v>#REF!</v>
      </c>
      <c r="N78" s="129" t="e">
        <f t="shared" si="2"/>
        <v>#REF!</v>
      </c>
      <c r="O78" s="129"/>
    </row>
    <row r="79" spans="1:20">
      <c r="A79" s="67" t="e">
        <f>'BC.115+040'!B78</f>
        <v>#REF!</v>
      </c>
      <c r="B79" s="129">
        <v>65</v>
      </c>
      <c r="C79" s="131" t="e">
        <f>'BC.115+040'!M78/1000</f>
        <v>#REF!</v>
      </c>
      <c r="D79" s="131" t="e">
        <f>'BC.115+040'!AA78</f>
        <v>#REF!</v>
      </c>
      <c r="E79" s="132" t="e">
        <f>'BC.115+040'!AB78</f>
        <v>#REF!</v>
      </c>
      <c r="F79" s="131" t="e">
        <f>VLOOKUP($A79,'BC.115+040'!$B$13:$X$489,8,0)/1000</f>
        <v>#REF!</v>
      </c>
      <c r="G79" s="131" t="e">
        <f>VLOOKUP($A79,'BC.115+040'!$B$13:$X$489,9,0)/1000</f>
        <v>#REF!</v>
      </c>
      <c r="H79" s="131" t="e">
        <f>VLOOKUP($A79,'BC.115+040'!$B$13:$X$489,14,0)/1000</f>
        <v>#REF!</v>
      </c>
      <c r="I79" s="131" t="e">
        <f>VLOOKUP($A79,'BC.115+040'!$B$13:$X$489,15,0)/1000</f>
        <v>#REF!</v>
      </c>
      <c r="J79" s="131" t="e">
        <f>VLOOKUP($A79,'BC.115+040'!$B$13:$X$489,20,0)/1000</f>
        <v>#REF!</v>
      </c>
      <c r="K79" s="131" t="e">
        <f>VLOOKUP($A79,'BC.115+040'!$B$13:$X$489,21,0)/1000</f>
        <v>#REF!</v>
      </c>
      <c r="L79" s="129" t="e">
        <f t="shared" si="3"/>
        <v>#REF!</v>
      </c>
      <c r="M79" s="130" t="e">
        <f t="shared" si="4"/>
        <v>#REF!</v>
      </c>
      <c r="N79" s="129" t="e">
        <f t="shared" ref="N79:N142" si="5">(K79-$K$14)*1000</f>
        <v>#REF!</v>
      </c>
      <c r="O79" s="129"/>
    </row>
    <row r="80" spans="1:20">
      <c r="A80" s="67" t="e">
        <f>'BC.115+040'!B79</f>
        <v>#REF!</v>
      </c>
      <c r="B80" s="129">
        <v>66</v>
      </c>
      <c r="C80" s="131" t="e">
        <f>'BC.115+040'!M79/1000</f>
        <v>#REF!</v>
      </c>
      <c r="D80" s="131" t="e">
        <f>'BC.115+040'!AA79</f>
        <v>#REF!</v>
      </c>
      <c r="E80" s="132" t="e">
        <f>'BC.115+040'!AB79</f>
        <v>#REF!</v>
      </c>
      <c r="F80" s="131" t="e">
        <f>VLOOKUP($A80,'BC.115+040'!$B$13:$X$489,8,0)/1000</f>
        <v>#REF!</v>
      </c>
      <c r="G80" s="131" t="e">
        <f>VLOOKUP($A80,'BC.115+040'!$B$13:$X$489,9,0)/1000</f>
        <v>#REF!</v>
      </c>
      <c r="H80" s="131" t="e">
        <f>VLOOKUP($A80,'BC.115+040'!$B$13:$X$489,14,0)/1000</f>
        <v>#REF!</v>
      </c>
      <c r="I80" s="131" t="e">
        <f>VLOOKUP($A80,'BC.115+040'!$B$13:$X$489,15,0)/1000</f>
        <v>#REF!</v>
      </c>
      <c r="J80" s="131" t="e">
        <f>VLOOKUP($A80,'BC.115+040'!$B$13:$X$489,20,0)/1000</f>
        <v>#REF!</v>
      </c>
      <c r="K80" s="131" t="e">
        <f>VLOOKUP($A80,'BC.115+040'!$B$13:$X$489,21,0)/1000</f>
        <v>#REF!</v>
      </c>
      <c r="L80" s="129" t="e">
        <f t="shared" si="3"/>
        <v>#REF!</v>
      </c>
      <c r="M80" s="130" t="e">
        <f t="shared" si="4"/>
        <v>#REF!</v>
      </c>
      <c r="N80" s="129" t="e">
        <f t="shared" si="5"/>
        <v>#REF!</v>
      </c>
      <c r="O80" s="129"/>
    </row>
    <row r="81" spans="1:25">
      <c r="A81" s="67" t="e">
        <f>'BC.115+040'!B80</f>
        <v>#REF!</v>
      </c>
      <c r="B81" s="129">
        <v>67</v>
      </c>
      <c r="C81" s="131" t="e">
        <f>'BC.115+040'!M80/1000</f>
        <v>#REF!</v>
      </c>
      <c r="D81" s="131" t="e">
        <f>'BC.115+040'!AA80</f>
        <v>#REF!</v>
      </c>
      <c r="E81" s="132" t="e">
        <f>'BC.115+040'!AB80</f>
        <v>#REF!</v>
      </c>
      <c r="F81" s="131" t="e">
        <f>VLOOKUP($A81,'BC.115+040'!$B$13:$X$489,8,0)/1000</f>
        <v>#REF!</v>
      </c>
      <c r="G81" s="131" t="e">
        <f>VLOOKUP($A81,'BC.115+040'!$B$13:$X$489,9,0)/1000</f>
        <v>#REF!</v>
      </c>
      <c r="H81" s="131" t="e">
        <f>VLOOKUP($A81,'BC.115+040'!$B$13:$X$489,14,0)/1000</f>
        <v>#REF!</v>
      </c>
      <c r="I81" s="131" t="e">
        <f>VLOOKUP($A81,'BC.115+040'!$B$13:$X$489,15,0)/1000</f>
        <v>#REF!</v>
      </c>
      <c r="J81" s="131" t="e">
        <f>VLOOKUP($A81,'BC.115+040'!$B$13:$X$489,20,0)/1000</f>
        <v>#REF!</v>
      </c>
      <c r="K81" s="131" t="e">
        <f>VLOOKUP($A81,'BC.115+040'!$B$13:$X$489,21,0)/1000</f>
        <v>#REF!</v>
      </c>
      <c r="L81" s="129" t="e">
        <f t="shared" si="3"/>
        <v>#REF!</v>
      </c>
      <c r="M81" s="130" t="e">
        <f t="shared" si="4"/>
        <v>#REF!</v>
      </c>
      <c r="N81" s="129" t="e">
        <f t="shared" si="5"/>
        <v>#REF!</v>
      </c>
      <c r="O81" s="129"/>
    </row>
    <row r="82" spans="1:25">
      <c r="A82" s="67" t="e">
        <f>'BC.115+040'!B81</f>
        <v>#REF!</v>
      </c>
      <c r="B82" s="129">
        <v>68</v>
      </c>
      <c r="C82" s="131" t="e">
        <f>'BC.115+040'!M81/1000</f>
        <v>#REF!</v>
      </c>
      <c r="D82" s="131" t="e">
        <f>'BC.115+040'!AA81</f>
        <v>#REF!</v>
      </c>
      <c r="E82" s="132" t="e">
        <f>'BC.115+040'!AB81</f>
        <v>#REF!</v>
      </c>
      <c r="F82" s="131" t="e">
        <f>VLOOKUP($A82,'BC.115+040'!$B$13:$X$489,8,0)/1000</f>
        <v>#REF!</v>
      </c>
      <c r="G82" s="131" t="e">
        <f>VLOOKUP($A82,'BC.115+040'!$B$13:$X$489,9,0)/1000</f>
        <v>#REF!</v>
      </c>
      <c r="H82" s="131" t="e">
        <f>VLOOKUP($A82,'BC.115+040'!$B$13:$X$489,14,0)/1000</f>
        <v>#REF!</v>
      </c>
      <c r="I82" s="131" t="e">
        <f>VLOOKUP($A82,'BC.115+040'!$B$13:$X$489,15,0)/1000</f>
        <v>#REF!</v>
      </c>
      <c r="J82" s="131" t="e">
        <f>VLOOKUP($A82,'BC.115+040'!$B$13:$X$489,20,0)/1000</f>
        <v>#REF!</v>
      </c>
      <c r="K82" s="131" t="e">
        <f>VLOOKUP($A82,'BC.115+040'!$B$13:$X$489,21,0)/1000</f>
        <v>#REF!</v>
      </c>
      <c r="L82" s="129" t="e">
        <f t="shared" si="3"/>
        <v>#REF!</v>
      </c>
      <c r="M82" s="130" t="e">
        <f t="shared" si="4"/>
        <v>#REF!</v>
      </c>
      <c r="N82" s="129" t="e">
        <f t="shared" si="5"/>
        <v>#REF!</v>
      </c>
      <c r="O82" s="129"/>
    </row>
    <row r="83" spans="1:25">
      <c r="A83" s="67" t="e">
        <f>'BC.115+040'!B82</f>
        <v>#REF!</v>
      </c>
      <c r="B83" s="129">
        <v>69</v>
      </c>
      <c r="C83" s="131" t="e">
        <f>'BC.115+040'!M82/1000</f>
        <v>#REF!</v>
      </c>
      <c r="D83" s="131" t="e">
        <f>'BC.115+040'!AA82</f>
        <v>#REF!</v>
      </c>
      <c r="E83" s="132" t="e">
        <f>'BC.115+040'!AB82</f>
        <v>#REF!</v>
      </c>
      <c r="F83" s="131" t="e">
        <f>VLOOKUP($A83,'BC.115+040'!$B$13:$X$489,8,0)/1000</f>
        <v>#REF!</v>
      </c>
      <c r="G83" s="131" t="e">
        <f>VLOOKUP($A83,'BC.115+040'!$B$13:$X$489,9,0)/1000</f>
        <v>#REF!</v>
      </c>
      <c r="H83" s="131" t="e">
        <f>VLOOKUP($A83,'BC.115+040'!$B$13:$X$489,14,0)/1000</f>
        <v>#REF!</v>
      </c>
      <c r="I83" s="131" t="e">
        <f>VLOOKUP($A83,'BC.115+040'!$B$13:$X$489,15,0)/1000</f>
        <v>#REF!</v>
      </c>
      <c r="J83" s="131" t="e">
        <f>VLOOKUP($A83,'BC.115+040'!$B$13:$X$489,20,0)/1000</f>
        <v>#REF!</v>
      </c>
      <c r="K83" s="131" t="e">
        <f>VLOOKUP($A83,'BC.115+040'!$B$13:$X$489,21,0)/1000</f>
        <v>#REF!</v>
      </c>
      <c r="L83" s="129" t="e">
        <f t="shared" si="3"/>
        <v>#REF!</v>
      </c>
      <c r="M83" s="130" t="e">
        <f t="shared" si="4"/>
        <v>#REF!</v>
      </c>
      <c r="N83" s="129" t="e">
        <f t="shared" si="5"/>
        <v>#REF!</v>
      </c>
      <c r="O83" s="129"/>
    </row>
    <row r="84" spans="1:25">
      <c r="A84" s="67" t="e">
        <f>'BC.115+040'!B83</f>
        <v>#REF!</v>
      </c>
      <c r="B84" s="129">
        <v>70</v>
      </c>
      <c r="C84" s="131" t="e">
        <f>'BC.115+040'!M83/1000</f>
        <v>#REF!</v>
      </c>
      <c r="D84" s="131" t="e">
        <f>'BC.115+040'!AA83</f>
        <v>#REF!</v>
      </c>
      <c r="E84" s="132" t="e">
        <f>'BC.115+040'!AB83</f>
        <v>#REF!</v>
      </c>
      <c r="F84" s="131" t="e">
        <f>VLOOKUP($A84,'BC.115+040'!$B$13:$X$489,8,0)/1000</f>
        <v>#REF!</v>
      </c>
      <c r="G84" s="131" t="e">
        <f>VLOOKUP($A84,'BC.115+040'!$B$13:$X$489,9,0)/1000</f>
        <v>#REF!</v>
      </c>
      <c r="H84" s="131" t="e">
        <f>VLOOKUP($A84,'BC.115+040'!$B$13:$X$489,14,0)/1000</f>
        <v>#REF!</v>
      </c>
      <c r="I84" s="131" t="e">
        <f>VLOOKUP($A84,'BC.115+040'!$B$13:$X$489,15,0)/1000</f>
        <v>#REF!</v>
      </c>
      <c r="J84" s="131" t="e">
        <f>VLOOKUP($A84,'BC.115+040'!$B$13:$X$489,20,0)/1000</f>
        <v>#REF!</v>
      </c>
      <c r="K84" s="131" t="e">
        <f>VLOOKUP($A84,'BC.115+040'!$B$13:$X$489,21,0)/1000</f>
        <v>#REF!</v>
      </c>
      <c r="L84" s="129" t="e">
        <f t="shared" si="3"/>
        <v>#REF!</v>
      </c>
      <c r="M84" s="130" t="e">
        <f t="shared" si="4"/>
        <v>#REF!</v>
      </c>
      <c r="N84" s="129" t="e">
        <f t="shared" si="5"/>
        <v>#REF!</v>
      </c>
      <c r="O84" s="129"/>
    </row>
    <row r="85" spans="1:25">
      <c r="A85" s="67" t="e">
        <f>'BC.115+040'!B84</f>
        <v>#REF!</v>
      </c>
      <c r="B85" s="129">
        <v>71</v>
      </c>
      <c r="C85" s="131" t="e">
        <f>'BC.115+040'!M84/1000</f>
        <v>#REF!</v>
      </c>
      <c r="D85" s="131" t="e">
        <f>'BC.115+040'!AA84</f>
        <v>#REF!</v>
      </c>
      <c r="E85" s="132" t="e">
        <f>'BC.115+040'!AB84</f>
        <v>#REF!</v>
      </c>
      <c r="F85" s="131" t="e">
        <f>VLOOKUP($A85,'BC.115+040'!$B$13:$X$489,8,0)/1000</f>
        <v>#REF!</v>
      </c>
      <c r="G85" s="131" t="e">
        <f>VLOOKUP($A85,'BC.115+040'!$B$13:$X$489,9,0)/1000</f>
        <v>#REF!</v>
      </c>
      <c r="H85" s="131" t="e">
        <f>VLOOKUP($A85,'BC.115+040'!$B$13:$X$489,14,0)/1000</f>
        <v>#REF!</v>
      </c>
      <c r="I85" s="131" t="e">
        <f>VLOOKUP($A85,'BC.115+040'!$B$13:$X$489,15,0)/1000</f>
        <v>#REF!</v>
      </c>
      <c r="J85" s="131" t="e">
        <f>VLOOKUP($A85,'BC.115+040'!$B$13:$X$489,20,0)/1000</f>
        <v>#REF!</v>
      </c>
      <c r="K85" s="131" t="e">
        <f>VLOOKUP($A85,'BC.115+040'!$B$13:$X$489,21,0)/1000</f>
        <v>#REF!</v>
      </c>
      <c r="L85" s="129" t="e">
        <f t="shared" si="3"/>
        <v>#REF!</v>
      </c>
      <c r="M85" s="130" t="e">
        <f t="shared" si="4"/>
        <v>#REF!</v>
      </c>
      <c r="N85" s="129" t="e">
        <f t="shared" si="5"/>
        <v>#REF!</v>
      </c>
      <c r="O85" s="129"/>
    </row>
    <row r="86" spans="1:25">
      <c r="A86" s="67" t="e">
        <f>'BC.115+040'!B85</f>
        <v>#REF!</v>
      </c>
      <c r="B86" s="129">
        <v>72</v>
      </c>
      <c r="C86" s="131" t="e">
        <f>'BC.115+040'!M85/1000</f>
        <v>#REF!</v>
      </c>
      <c r="D86" s="131" t="e">
        <f>'BC.115+040'!AA85</f>
        <v>#REF!</v>
      </c>
      <c r="E86" s="132" t="e">
        <f>'BC.115+040'!AB85</f>
        <v>#REF!</v>
      </c>
      <c r="F86" s="131" t="e">
        <f>VLOOKUP($A86,'BC.115+040'!$B$13:$X$489,8,0)/1000</f>
        <v>#REF!</v>
      </c>
      <c r="G86" s="131" t="e">
        <f>VLOOKUP($A86,'BC.115+040'!$B$13:$X$489,9,0)/1000</f>
        <v>#REF!</v>
      </c>
      <c r="H86" s="131" t="e">
        <f>VLOOKUP($A86,'BC.115+040'!$B$13:$X$489,14,0)/1000</f>
        <v>#REF!</v>
      </c>
      <c r="I86" s="131" t="e">
        <f>VLOOKUP($A86,'BC.115+040'!$B$13:$X$489,15,0)/1000</f>
        <v>#REF!</v>
      </c>
      <c r="J86" s="131" t="e">
        <f>VLOOKUP($A86,'BC.115+040'!$B$13:$X$489,20,0)/1000</f>
        <v>#REF!</v>
      </c>
      <c r="K86" s="131" t="e">
        <f>VLOOKUP($A86,'BC.115+040'!$B$13:$X$489,21,0)/1000</f>
        <v>#REF!</v>
      </c>
      <c r="L86" s="129" t="e">
        <f t="shared" si="3"/>
        <v>#REF!</v>
      </c>
      <c r="M86" s="130" t="e">
        <f t="shared" si="4"/>
        <v>#REF!</v>
      </c>
      <c r="N86" s="129" t="e">
        <f t="shared" si="5"/>
        <v>#REF!</v>
      </c>
      <c r="O86" s="129"/>
    </row>
    <row r="87" spans="1:25">
      <c r="A87" s="67" t="e">
        <f>'BC.115+040'!B86</f>
        <v>#REF!</v>
      </c>
      <c r="B87" s="129">
        <v>73</v>
      </c>
      <c r="C87" s="131" t="e">
        <f>'BC.115+040'!M86/1000</f>
        <v>#REF!</v>
      </c>
      <c r="D87" s="131" t="e">
        <f>'BC.115+040'!AA86</f>
        <v>#REF!</v>
      </c>
      <c r="E87" s="132" t="e">
        <f>'BC.115+040'!AB86</f>
        <v>#REF!</v>
      </c>
      <c r="F87" s="131" t="e">
        <f>VLOOKUP($A87,'BC.115+040'!$B$13:$X$489,8,0)/1000</f>
        <v>#REF!</v>
      </c>
      <c r="G87" s="131" t="e">
        <f>VLOOKUP($A87,'BC.115+040'!$B$13:$X$489,9,0)/1000</f>
        <v>#REF!</v>
      </c>
      <c r="H87" s="131" t="e">
        <f>VLOOKUP($A87,'BC.115+040'!$B$13:$X$489,14,0)/1000</f>
        <v>#REF!</v>
      </c>
      <c r="I87" s="131" t="e">
        <f>VLOOKUP($A87,'BC.115+040'!$B$13:$X$489,15,0)/1000</f>
        <v>#REF!</v>
      </c>
      <c r="J87" s="131" t="e">
        <f>VLOOKUP($A87,'BC.115+040'!$B$13:$X$489,20,0)/1000</f>
        <v>#REF!</v>
      </c>
      <c r="K87" s="131" t="e">
        <f>VLOOKUP($A87,'BC.115+040'!$B$13:$X$489,21,0)/1000</f>
        <v>#REF!</v>
      </c>
      <c r="L87" s="129" t="e">
        <f t="shared" si="3"/>
        <v>#REF!</v>
      </c>
      <c r="M87" s="130" t="e">
        <f t="shared" si="4"/>
        <v>#REF!</v>
      </c>
      <c r="N87" s="129" t="e">
        <f t="shared" si="5"/>
        <v>#REF!</v>
      </c>
      <c r="O87" s="129"/>
    </row>
    <row r="88" spans="1:25">
      <c r="A88" s="67" t="e">
        <f>'BC.115+040'!B87</f>
        <v>#REF!</v>
      </c>
      <c r="B88" s="129">
        <v>74</v>
      </c>
      <c r="C88" s="131" t="e">
        <f>'BC.115+040'!M87/1000</f>
        <v>#REF!</v>
      </c>
      <c r="D88" s="131" t="e">
        <f>'BC.115+040'!AA87</f>
        <v>#REF!</v>
      </c>
      <c r="E88" s="132" t="e">
        <f>'BC.115+040'!AB87</f>
        <v>#REF!</v>
      </c>
      <c r="F88" s="131" t="e">
        <f>VLOOKUP($A88,'BC.115+040'!$B$13:$X$489,8,0)/1000</f>
        <v>#REF!</v>
      </c>
      <c r="G88" s="131" t="e">
        <f>VLOOKUP($A88,'BC.115+040'!$B$13:$X$489,9,0)/1000</f>
        <v>#REF!</v>
      </c>
      <c r="H88" s="131" t="e">
        <f>VLOOKUP($A88,'BC.115+040'!$B$13:$X$489,14,0)/1000</f>
        <v>#REF!</v>
      </c>
      <c r="I88" s="131" t="e">
        <f>VLOOKUP($A88,'BC.115+040'!$B$13:$X$489,15,0)/1000</f>
        <v>#REF!</v>
      </c>
      <c r="J88" s="131" t="e">
        <f>VLOOKUP($A88,'BC.115+040'!$B$13:$X$489,20,0)/1000</f>
        <v>#REF!</v>
      </c>
      <c r="K88" s="131" t="e">
        <f>VLOOKUP($A88,'BC.115+040'!$B$13:$X$489,21,0)/1000</f>
        <v>#REF!</v>
      </c>
      <c r="L88" s="129" t="e">
        <f t="shared" si="3"/>
        <v>#REF!</v>
      </c>
      <c r="M88" s="130" t="e">
        <f t="shared" si="4"/>
        <v>#REF!</v>
      </c>
      <c r="N88" s="129" t="e">
        <f t="shared" si="5"/>
        <v>#REF!</v>
      </c>
      <c r="O88" s="129"/>
    </row>
    <row r="89" spans="1:25">
      <c r="A89" s="67" t="e">
        <f>'BC.115+040'!B88</f>
        <v>#REF!</v>
      </c>
      <c r="B89" s="129">
        <v>75</v>
      </c>
      <c r="C89" s="131" t="e">
        <f>'BC.115+040'!M88/1000</f>
        <v>#REF!</v>
      </c>
      <c r="D89" s="131" t="e">
        <f>'BC.115+040'!AA88</f>
        <v>#REF!</v>
      </c>
      <c r="E89" s="132" t="e">
        <f>'BC.115+040'!AB88</f>
        <v>#REF!</v>
      </c>
      <c r="F89" s="131" t="e">
        <f>VLOOKUP($A89,'BC.115+040'!$B$13:$X$489,8,0)/1000</f>
        <v>#REF!</v>
      </c>
      <c r="G89" s="131" t="e">
        <f>VLOOKUP($A89,'BC.115+040'!$B$13:$X$489,9,0)/1000</f>
        <v>#REF!</v>
      </c>
      <c r="H89" s="131" t="e">
        <f>VLOOKUP($A89,'BC.115+040'!$B$13:$X$489,14,0)/1000</f>
        <v>#REF!</v>
      </c>
      <c r="I89" s="131" t="e">
        <f>VLOOKUP($A89,'BC.115+040'!$B$13:$X$489,15,0)/1000</f>
        <v>#REF!</v>
      </c>
      <c r="J89" s="131" t="e">
        <f>VLOOKUP($A89,'BC.115+040'!$B$13:$X$489,20,0)/1000</f>
        <v>#REF!</v>
      </c>
      <c r="K89" s="131" t="e">
        <f>VLOOKUP($A89,'BC.115+040'!$B$13:$X$489,21,0)/1000</f>
        <v>#REF!</v>
      </c>
      <c r="L89" s="129" t="e">
        <f t="shared" si="3"/>
        <v>#REF!</v>
      </c>
      <c r="M89" s="130" t="e">
        <f t="shared" si="4"/>
        <v>#REF!</v>
      </c>
      <c r="N89" s="129" t="e">
        <f t="shared" si="5"/>
        <v>#REF!</v>
      </c>
      <c r="O89" s="129"/>
    </row>
    <row r="90" spans="1:25">
      <c r="A90" s="67" t="e">
        <f>'BC.115+040'!B89</f>
        <v>#REF!</v>
      </c>
      <c r="B90" s="129">
        <v>76</v>
      </c>
      <c r="C90" s="131" t="e">
        <f>'BC.115+040'!M89/1000</f>
        <v>#REF!</v>
      </c>
      <c r="D90" s="131" t="e">
        <f>'BC.115+040'!AA89</f>
        <v>#REF!</v>
      </c>
      <c r="E90" s="132" t="e">
        <f>'BC.115+040'!AB89</f>
        <v>#REF!</v>
      </c>
      <c r="F90" s="131" t="e">
        <f>VLOOKUP($A90,'BC.115+040'!$B$13:$X$489,8,0)/1000</f>
        <v>#REF!</v>
      </c>
      <c r="G90" s="131" t="e">
        <f>VLOOKUP($A90,'BC.115+040'!$B$13:$X$489,9,0)/1000</f>
        <v>#REF!</v>
      </c>
      <c r="H90" s="131" t="e">
        <f>VLOOKUP($A90,'BC.115+040'!$B$13:$X$489,14,0)/1000</f>
        <v>#REF!</v>
      </c>
      <c r="I90" s="131" t="e">
        <f>VLOOKUP($A90,'BC.115+040'!$B$13:$X$489,15,0)/1000</f>
        <v>#REF!</v>
      </c>
      <c r="J90" s="131" t="e">
        <f>VLOOKUP($A90,'BC.115+040'!$B$13:$X$489,20,0)/1000</f>
        <v>#REF!</v>
      </c>
      <c r="K90" s="131" t="e">
        <f>VLOOKUP($A90,'BC.115+040'!$B$13:$X$489,21,0)/1000</f>
        <v>#REF!</v>
      </c>
      <c r="L90" s="129" t="e">
        <f t="shared" si="3"/>
        <v>#REF!</v>
      </c>
      <c r="M90" s="130" t="e">
        <f t="shared" si="4"/>
        <v>#REF!</v>
      </c>
      <c r="N90" s="129" t="e">
        <f t="shared" si="5"/>
        <v>#REF!</v>
      </c>
      <c r="O90" s="129"/>
    </row>
    <row r="91" spans="1:25">
      <c r="A91" s="67" t="e">
        <f>'BC.115+040'!B90</f>
        <v>#REF!</v>
      </c>
      <c r="B91" s="129">
        <v>77</v>
      </c>
      <c r="C91" s="131" t="e">
        <f>'BC.115+040'!M90/1000</f>
        <v>#REF!</v>
      </c>
      <c r="D91" s="131" t="e">
        <f>'BC.115+040'!AA90</f>
        <v>#REF!</v>
      </c>
      <c r="E91" s="132" t="e">
        <f>'BC.115+040'!AB90</f>
        <v>#REF!</v>
      </c>
      <c r="F91" s="131" t="e">
        <f>VLOOKUP($A91,'BC.115+040'!$B$13:$X$489,8,0)/1000</f>
        <v>#REF!</v>
      </c>
      <c r="G91" s="131" t="e">
        <f>VLOOKUP($A91,'BC.115+040'!$B$13:$X$489,9,0)/1000</f>
        <v>#REF!</v>
      </c>
      <c r="H91" s="131" t="e">
        <f>VLOOKUP($A91,'BC.115+040'!$B$13:$X$489,14,0)/1000</f>
        <v>#REF!</v>
      </c>
      <c r="I91" s="131" t="e">
        <f>VLOOKUP($A91,'BC.115+040'!$B$13:$X$489,15,0)/1000</f>
        <v>#REF!</v>
      </c>
      <c r="J91" s="131" t="e">
        <f>VLOOKUP($A91,'BC.115+040'!$B$13:$X$489,20,0)/1000</f>
        <v>#REF!</v>
      </c>
      <c r="K91" s="131" t="e">
        <f>VLOOKUP($A91,'BC.115+040'!$B$13:$X$489,21,0)/1000</f>
        <v>#REF!</v>
      </c>
      <c r="L91" s="129" t="e">
        <f t="shared" si="3"/>
        <v>#REF!</v>
      </c>
      <c r="M91" s="130" t="e">
        <f t="shared" si="4"/>
        <v>#REF!</v>
      </c>
      <c r="N91" s="129" t="e">
        <f t="shared" si="5"/>
        <v>#REF!</v>
      </c>
      <c r="O91" s="129"/>
    </row>
    <row r="92" spans="1:25">
      <c r="A92" s="67" t="e">
        <f>'BC.115+040'!B91</f>
        <v>#REF!</v>
      </c>
      <c r="B92" s="129">
        <v>78</v>
      </c>
      <c r="C92" s="131" t="e">
        <f>'BC.115+040'!M91/1000</f>
        <v>#REF!</v>
      </c>
      <c r="D92" s="131" t="e">
        <f>'BC.115+040'!AA91</f>
        <v>#REF!</v>
      </c>
      <c r="E92" s="132" t="e">
        <f>'BC.115+040'!AB91</f>
        <v>#REF!</v>
      </c>
      <c r="F92" s="131" t="e">
        <f>VLOOKUP($A92,'BC.115+040'!$B$13:$X$489,8,0)/1000</f>
        <v>#REF!</v>
      </c>
      <c r="G92" s="131" t="e">
        <f>VLOOKUP($A92,'BC.115+040'!$B$13:$X$489,9,0)/1000</f>
        <v>#REF!</v>
      </c>
      <c r="H92" s="131" t="e">
        <f>VLOOKUP($A92,'BC.115+040'!$B$13:$X$489,14,0)/1000</f>
        <v>#REF!</v>
      </c>
      <c r="I92" s="131" t="e">
        <f>VLOOKUP($A92,'BC.115+040'!$B$13:$X$489,15,0)/1000</f>
        <v>#REF!</v>
      </c>
      <c r="J92" s="131" t="e">
        <f>VLOOKUP($A92,'BC.115+040'!$B$13:$X$489,20,0)/1000</f>
        <v>#REF!</v>
      </c>
      <c r="K92" s="131" t="e">
        <f>VLOOKUP($A92,'BC.115+040'!$B$13:$X$489,21,0)/1000</f>
        <v>#REF!</v>
      </c>
      <c r="L92" s="129" t="e">
        <f t="shared" si="3"/>
        <v>#REF!</v>
      </c>
      <c r="M92" s="130" t="e">
        <f t="shared" si="4"/>
        <v>#REF!</v>
      </c>
      <c r="N92" s="129" t="e">
        <f t="shared" si="5"/>
        <v>#REF!</v>
      </c>
      <c r="O92" s="129"/>
      <c r="Y92" s="123" t="e">
        <f>A21-A14</f>
        <v>#REF!</v>
      </c>
    </row>
    <row r="93" spans="1:25">
      <c r="A93" s="67" t="e">
        <f>'BC.115+040'!B92</f>
        <v>#REF!</v>
      </c>
      <c r="B93" s="129">
        <v>79</v>
      </c>
      <c r="C93" s="131" t="e">
        <f>'BC.115+040'!M92/1000</f>
        <v>#REF!</v>
      </c>
      <c r="D93" s="131" t="e">
        <f>'BC.115+040'!AA92</f>
        <v>#REF!</v>
      </c>
      <c r="E93" s="132" t="e">
        <f>'BC.115+040'!AB92</f>
        <v>#REF!</v>
      </c>
      <c r="F93" s="131" t="e">
        <f>VLOOKUP($A93,'BC.115+040'!$B$13:$X$489,8,0)/1000</f>
        <v>#REF!</v>
      </c>
      <c r="G93" s="131" t="e">
        <f>VLOOKUP($A93,'BC.115+040'!$B$13:$X$489,9,0)/1000</f>
        <v>#REF!</v>
      </c>
      <c r="H93" s="131" t="e">
        <f>VLOOKUP($A93,'BC.115+040'!$B$13:$X$489,14,0)/1000</f>
        <v>#REF!</v>
      </c>
      <c r="I93" s="131" t="e">
        <f>VLOOKUP($A93,'BC.115+040'!$B$13:$X$489,15,0)/1000</f>
        <v>#REF!</v>
      </c>
      <c r="J93" s="131" t="e">
        <f>VLOOKUP($A93,'BC.115+040'!$B$13:$X$489,20,0)/1000</f>
        <v>#REF!</v>
      </c>
      <c r="K93" s="131" t="e">
        <f>VLOOKUP($A93,'BC.115+040'!$B$13:$X$489,21,0)/1000</f>
        <v>#REF!</v>
      </c>
      <c r="L93" s="129" t="e">
        <f t="shared" si="3"/>
        <v>#REF!</v>
      </c>
      <c r="M93" s="130" t="e">
        <f t="shared" si="4"/>
        <v>#REF!</v>
      </c>
      <c r="N93" s="129" t="e">
        <f t="shared" si="5"/>
        <v>#REF!</v>
      </c>
      <c r="O93" s="129"/>
    </row>
    <row r="94" spans="1:25">
      <c r="A94" s="67" t="e">
        <f>'BC.115+040'!B93</f>
        <v>#REF!</v>
      </c>
      <c r="B94" s="129">
        <v>80</v>
      </c>
      <c r="C94" s="131" t="e">
        <f>'BC.115+040'!M93/1000</f>
        <v>#REF!</v>
      </c>
      <c r="D94" s="131" t="e">
        <f>'BC.115+040'!AA93</f>
        <v>#REF!</v>
      </c>
      <c r="E94" s="132" t="e">
        <f>'BC.115+040'!AB93</f>
        <v>#REF!</v>
      </c>
      <c r="F94" s="131" t="e">
        <f>VLOOKUP($A94,'BC.115+040'!$B$13:$X$489,8,0)/1000</f>
        <v>#REF!</v>
      </c>
      <c r="G94" s="131" t="e">
        <f>VLOOKUP($A94,'BC.115+040'!$B$13:$X$489,9,0)/1000</f>
        <v>#REF!</v>
      </c>
      <c r="H94" s="131" t="e">
        <f>VLOOKUP($A94,'BC.115+040'!$B$13:$X$489,14,0)/1000</f>
        <v>#REF!</v>
      </c>
      <c r="I94" s="131" t="e">
        <f>VLOOKUP($A94,'BC.115+040'!$B$13:$X$489,15,0)/1000</f>
        <v>#REF!</v>
      </c>
      <c r="J94" s="131" t="e">
        <f>VLOOKUP($A94,'BC.115+040'!$B$13:$X$489,20,0)/1000</f>
        <v>#REF!</v>
      </c>
      <c r="K94" s="131" t="e">
        <f>VLOOKUP($A94,'BC.115+040'!$B$13:$X$489,21,0)/1000</f>
        <v>#REF!</v>
      </c>
      <c r="L94" s="129" t="e">
        <f t="shared" si="3"/>
        <v>#REF!</v>
      </c>
      <c r="M94" s="130" t="e">
        <f t="shared" si="4"/>
        <v>#REF!</v>
      </c>
      <c r="N94" s="129" t="e">
        <f t="shared" si="5"/>
        <v>#REF!</v>
      </c>
      <c r="O94" s="129"/>
    </row>
    <row r="95" spans="1:25">
      <c r="A95" s="67" t="e">
        <f>'BC.115+040'!B94</f>
        <v>#REF!</v>
      </c>
      <c r="B95" s="129">
        <v>81</v>
      </c>
      <c r="C95" s="131" t="e">
        <f>'BC.115+040'!M94/1000</f>
        <v>#REF!</v>
      </c>
      <c r="D95" s="131" t="e">
        <f>'BC.115+040'!AA94</f>
        <v>#REF!</v>
      </c>
      <c r="E95" s="132" t="e">
        <f>'BC.115+040'!AB94</f>
        <v>#REF!</v>
      </c>
      <c r="F95" s="131" t="e">
        <f>VLOOKUP($A95,'BC.115+040'!$B$13:$X$489,8,0)/1000</f>
        <v>#REF!</v>
      </c>
      <c r="G95" s="131" t="e">
        <f>VLOOKUP($A95,'BC.115+040'!$B$13:$X$489,9,0)/1000</f>
        <v>#REF!</v>
      </c>
      <c r="H95" s="131" t="e">
        <f>VLOOKUP($A95,'BC.115+040'!$B$13:$X$489,14,0)/1000</f>
        <v>#REF!</v>
      </c>
      <c r="I95" s="131" t="e">
        <f>VLOOKUP($A95,'BC.115+040'!$B$13:$X$489,15,0)/1000</f>
        <v>#REF!</v>
      </c>
      <c r="J95" s="131" t="e">
        <f>VLOOKUP($A95,'BC.115+040'!$B$13:$X$489,20,0)/1000</f>
        <v>#REF!</v>
      </c>
      <c r="K95" s="131" t="e">
        <f>VLOOKUP($A95,'BC.115+040'!$B$13:$X$489,21,0)/1000</f>
        <v>#REF!</v>
      </c>
      <c r="L95" s="129" t="e">
        <f t="shared" si="3"/>
        <v>#REF!</v>
      </c>
      <c r="M95" s="130" t="e">
        <f t="shared" si="4"/>
        <v>#REF!</v>
      </c>
      <c r="N95" s="129" t="e">
        <f t="shared" si="5"/>
        <v>#REF!</v>
      </c>
      <c r="O95" s="129"/>
    </row>
    <row r="96" spans="1:25">
      <c r="A96" s="67" t="e">
        <f>'BC.115+040'!B95</f>
        <v>#REF!</v>
      </c>
      <c r="B96" s="129">
        <v>82</v>
      </c>
      <c r="C96" s="131" t="e">
        <f>'BC.115+040'!M95/1000</f>
        <v>#REF!</v>
      </c>
      <c r="D96" s="131" t="e">
        <f>'BC.115+040'!AA95</f>
        <v>#REF!</v>
      </c>
      <c r="E96" s="132" t="e">
        <f>'BC.115+040'!AB95</f>
        <v>#REF!</v>
      </c>
      <c r="F96" s="131" t="e">
        <f>VLOOKUP($A96,'BC.115+040'!$B$13:$X$489,8,0)/1000</f>
        <v>#REF!</v>
      </c>
      <c r="G96" s="131" t="e">
        <f>VLOOKUP($A96,'BC.115+040'!$B$13:$X$489,9,0)/1000</f>
        <v>#REF!</v>
      </c>
      <c r="H96" s="131" t="e">
        <f>VLOOKUP($A96,'BC.115+040'!$B$13:$X$489,14,0)/1000</f>
        <v>#REF!</v>
      </c>
      <c r="I96" s="131" t="e">
        <f>VLOOKUP($A96,'BC.115+040'!$B$13:$X$489,15,0)/1000</f>
        <v>#REF!</v>
      </c>
      <c r="J96" s="131" t="e">
        <f>VLOOKUP($A96,'BC.115+040'!$B$13:$X$489,20,0)/1000</f>
        <v>#REF!</v>
      </c>
      <c r="K96" s="131" t="e">
        <f>VLOOKUP($A96,'BC.115+040'!$B$13:$X$489,21,0)/1000</f>
        <v>#REF!</v>
      </c>
      <c r="L96" s="129" t="e">
        <f t="shared" si="3"/>
        <v>#REF!</v>
      </c>
      <c r="M96" s="130" t="e">
        <f t="shared" si="4"/>
        <v>#REF!</v>
      </c>
      <c r="N96" s="129" t="e">
        <f t="shared" si="5"/>
        <v>#REF!</v>
      </c>
      <c r="O96" s="129"/>
    </row>
    <row r="97" spans="1:15">
      <c r="A97" s="67" t="e">
        <f>'BC.115+040'!B96</f>
        <v>#REF!</v>
      </c>
      <c r="B97" s="129">
        <v>83</v>
      </c>
      <c r="C97" s="131" t="e">
        <f>'BC.115+040'!M96/1000</f>
        <v>#REF!</v>
      </c>
      <c r="D97" s="131" t="e">
        <f>'BC.115+040'!AA96</f>
        <v>#REF!</v>
      </c>
      <c r="E97" s="132" t="e">
        <f>'BC.115+040'!AB96</f>
        <v>#REF!</v>
      </c>
      <c r="F97" s="131" t="e">
        <f>VLOOKUP($A97,'BC.115+040'!$B$13:$X$489,8,0)/1000</f>
        <v>#REF!</v>
      </c>
      <c r="G97" s="131" t="e">
        <f>VLOOKUP($A97,'BC.115+040'!$B$13:$X$489,9,0)/1000</f>
        <v>#REF!</v>
      </c>
      <c r="H97" s="131" t="e">
        <f>VLOOKUP($A97,'BC.115+040'!$B$13:$X$489,14,0)/1000</f>
        <v>#REF!</v>
      </c>
      <c r="I97" s="131" t="e">
        <f>VLOOKUP($A97,'BC.115+040'!$B$13:$X$489,15,0)/1000</f>
        <v>#REF!</v>
      </c>
      <c r="J97" s="131" t="e">
        <f>VLOOKUP($A97,'BC.115+040'!$B$13:$X$489,20,0)/1000</f>
        <v>#REF!</v>
      </c>
      <c r="K97" s="131" t="e">
        <f>VLOOKUP($A97,'BC.115+040'!$B$13:$X$489,21,0)/1000</f>
        <v>#REF!</v>
      </c>
      <c r="L97" s="129" t="e">
        <f t="shared" si="3"/>
        <v>#REF!</v>
      </c>
      <c r="M97" s="130" t="e">
        <f t="shared" si="4"/>
        <v>#REF!</v>
      </c>
      <c r="N97" s="129" t="e">
        <f t="shared" si="5"/>
        <v>#REF!</v>
      </c>
      <c r="O97" s="129"/>
    </row>
    <row r="98" spans="1:15">
      <c r="A98" s="67" t="e">
        <f>'BC.115+040'!B97</f>
        <v>#REF!</v>
      </c>
      <c r="B98" s="129">
        <v>84</v>
      </c>
      <c r="C98" s="131" t="e">
        <f>'BC.115+040'!M97/1000</f>
        <v>#REF!</v>
      </c>
      <c r="D98" s="131" t="e">
        <f>'BC.115+040'!AA97</f>
        <v>#REF!</v>
      </c>
      <c r="E98" s="132" t="e">
        <f>'BC.115+040'!AB97</f>
        <v>#REF!</v>
      </c>
      <c r="F98" s="131" t="e">
        <f>VLOOKUP($A98,'BC.115+040'!$B$13:$X$489,8,0)/1000</f>
        <v>#REF!</v>
      </c>
      <c r="G98" s="131" t="e">
        <f>VLOOKUP($A98,'BC.115+040'!$B$13:$X$489,9,0)/1000</f>
        <v>#REF!</v>
      </c>
      <c r="H98" s="131" t="e">
        <f>VLOOKUP($A98,'BC.115+040'!$B$13:$X$489,14,0)/1000</f>
        <v>#REF!</v>
      </c>
      <c r="I98" s="131" t="e">
        <f>VLOOKUP($A98,'BC.115+040'!$B$13:$X$489,15,0)/1000</f>
        <v>#REF!</v>
      </c>
      <c r="J98" s="131" t="e">
        <f>VLOOKUP($A98,'BC.115+040'!$B$13:$X$489,20,0)/1000</f>
        <v>#REF!</v>
      </c>
      <c r="K98" s="131" t="e">
        <f>VLOOKUP($A98,'BC.115+040'!$B$13:$X$489,21,0)/1000</f>
        <v>#REF!</v>
      </c>
      <c r="L98" s="129" t="e">
        <f t="shared" si="3"/>
        <v>#REF!</v>
      </c>
      <c r="M98" s="130" t="e">
        <f t="shared" si="4"/>
        <v>#REF!</v>
      </c>
      <c r="N98" s="129" t="e">
        <f t="shared" si="5"/>
        <v>#REF!</v>
      </c>
      <c r="O98" s="129"/>
    </row>
    <row r="99" spans="1:15">
      <c r="A99" s="67" t="e">
        <f>'BC.115+040'!B98</f>
        <v>#REF!</v>
      </c>
      <c r="B99" s="129">
        <v>85</v>
      </c>
      <c r="C99" s="131" t="e">
        <f>'BC.115+040'!M98/1000</f>
        <v>#REF!</v>
      </c>
      <c r="D99" s="131" t="e">
        <f>'BC.115+040'!AA98</f>
        <v>#REF!</v>
      </c>
      <c r="E99" s="132" t="e">
        <f>'BC.115+040'!AB98</f>
        <v>#REF!</v>
      </c>
      <c r="F99" s="131" t="e">
        <f>VLOOKUP($A99,'BC.115+040'!$B$13:$X$489,8,0)/1000</f>
        <v>#REF!</v>
      </c>
      <c r="G99" s="131" t="e">
        <f>VLOOKUP($A99,'BC.115+040'!$B$13:$X$489,9,0)/1000</f>
        <v>#REF!</v>
      </c>
      <c r="H99" s="131" t="e">
        <f>VLOOKUP($A99,'BC.115+040'!$B$13:$X$489,14,0)/1000</f>
        <v>#REF!</v>
      </c>
      <c r="I99" s="131" t="e">
        <f>VLOOKUP($A99,'BC.115+040'!$B$13:$X$489,15,0)/1000</f>
        <v>#REF!</v>
      </c>
      <c r="J99" s="131" t="e">
        <f>VLOOKUP($A99,'BC.115+040'!$B$13:$X$489,20,0)/1000</f>
        <v>#REF!</v>
      </c>
      <c r="K99" s="131" t="e">
        <f>VLOOKUP($A99,'BC.115+040'!$B$13:$X$489,21,0)/1000</f>
        <v>#REF!</v>
      </c>
      <c r="L99" s="129" t="e">
        <f t="shared" si="3"/>
        <v>#REF!</v>
      </c>
      <c r="M99" s="130" t="e">
        <f t="shared" si="4"/>
        <v>#REF!</v>
      </c>
      <c r="N99" s="129" t="e">
        <f t="shared" si="5"/>
        <v>#REF!</v>
      </c>
      <c r="O99" s="129"/>
    </row>
    <row r="100" spans="1:15">
      <c r="A100" s="67" t="e">
        <f>'BC.115+040'!B99</f>
        <v>#REF!</v>
      </c>
      <c r="B100" s="129">
        <v>86</v>
      </c>
      <c r="C100" s="131" t="e">
        <f>'BC.115+040'!M99/1000</f>
        <v>#REF!</v>
      </c>
      <c r="D100" s="131" t="e">
        <f>'BC.115+040'!AA99</f>
        <v>#REF!</v>
      </c>
      <c r="E100" s="132" t="e">
        <f>'BC.115+040'!AB99</f>
        <v>#REF!</v>
      </c>
      <c r="F100" s="131" t="e">
        <f>VLOOKUP($A100,'BC.115+040'!$B$13:$X$489,8,0)/1000</f>
        <v>#REF!</v>
      </c>
      <c r="G100" s="131" t="e">
        <f>VLOOKUP($A100,'BC.115+040'!$B$13:$X$489,9,0)/1000</f>
        <v>#REF!</v>
      </c>
      <c r="H100" s="131" t="e">
        <f>VLOOKUP($A100,'BC.115+040'!$B$13:$X$489,14,0)/1000</f>
        <v>#REF!</v>
      </c>
      <c r="I100" s="131" t="e">
        <f>VLOOKUP($A100,'BC.115+040'!$B$13:$X$489,15,0)/1000</f>
        <v>#REF!</v>
      </c>
      <c r="J100" s="131" t="e">
        <f>VLOOKUP($A100,'BC.115+040'!$B$13:$X$489,20,0)/1000</f>
        <v>#REF!</v>
      </c>
      <c r="K100" s="131" t="e">
        <f>VLOOKUP($A100,'BC.115+040'!$B$13:$X$489,21,0)/1000</f>
        <v>#REF!</v>
      </c>
      <c r="L100" s="129" t="e">
        <f t="shared" si="3"/>
        <v>#REF!</v>
      </c>
      <c r="M100" s="130" t="e">
        <f t="shared" si="4"/>
        <v>#REF!</v>
      </c>
      <c r="N100" s="129" t="e">
        <f t="shared" si="5"/>
        <v>#REF!</v>
      </c>
      <c r="O100" s="129"/>
    </row>
    <row r="101" spans="1:15">
      <c r="A101" s="67" t="e">
        <f>'BC.115+040'!B100</f>
        <v>#REF!</v>
      </c>
      <c r="B101" s="129">
        <v>87</v>
      </c>
      <c r="C101" s="131" t="e">
        <f>'BC.115+040'!M100/1000</f>
        <v>#REF!</v>
      </c>
      <c r="D101" s="131" t="e">
        <f>'BC.115+040'!AA100</f>
        <v>#REF!</v>
      </c>
      <c r="E101" s="132" t="e">
        <f>'BC.115+040'!AB100</f>
        <v>#REF!</v>
      </c>
      <c r="F101" s="131" t="e">
        <f>VLOOKUP($A101,'BC.115+040'!$B$13:$X$489,8,0)/1000</f>
        <v>#REF!</v>
      </c>
      <c r="G101" s="131" t="e">
        <f>VLOOKUP($A101,'BC.115+040'!$B$13:$X$489,9,0)/1000</f>
        <v>#REF!</v>
      </c>
      <c r="H101" s="131" t="e">
        <f>VLOOKUP($A101,'BC.115+040'!$B$13:$X$489,14,0)/1000</f>
        <v>#REF!</v>
      </c>
      <c r="I101" s="131" t="e">
        <f>VLOOKUP($A101,'BC.115+040'!$B$13:$X$489,15,0)/1000</f>
        <v>#REF!</v>
      </c>
      <c r="J101" s="131" t="e">
        <f>VLOOKUP($A101,'BC.115+040'!$B$13:$X$489,20,0)/1000</f>
        <v>#REF!</v>
      </c>
      <c r="K101" s="131" t="e">
        <f>VLOOKUP($A101,'BC.115+040'!$B$13:$X$489,21,0)/1000</f>
        <v>#REF!</v>
      </c>
      <c r="L101" s="129" t="e">
        <f t="shared" si="3"/>
        <v>#REF!</v>
      </c>
      <c r="M101" s="130" t="e">
        <f t="shared" si="4"/>
        <v>#REF!</v>
      </c>
      <c r="N101" s="129" t="e">
        <f t="shared" si="5"/>
        <v>#REF!</v>
      </c>
      <c r="O101" s="129"/>
    </row>
    <row r="102" spans="1:15">
      <c r="A102" s="67" t="e">
        <f>'BC.115+040'!B101</f>
        <v>#REF!</v>
      </c>
      <c r="B102" s="129">
        <v>88</v>
      </c>
      <c r="C102" s="131" t="e">
        <f>'BC.115+040'!M101/1000</f>
        <v>#REF!</v>
      </c>
      <c r="D102" s="131" t="e">
        <f>'BC.115+040'!AA101</f>
        <v>#REF!</v>
      </c>
      <c r="E102" s="132" t="e">
        <f>'BC.115+040'!AB101</f>
        <v>#REF!</v>
      </c>
      <c r="F102" s="131" t="e">
        <f>VLOOKUP($A102,'BC.115+040'!$B$13:$X$489,8,0)/1000</f>
        <v>#REF!</v>
      </c>
      <c r="G102" s="131" t="e">
        <f>VLOOKUP($A102,'BC.115+040'!$B$13:$X$489,9,0)/1000</f>
        <v>#REF!</v>
      </c>
      <c r="H102" s="131" t="e">
        <f>VLOOKUP($A102,'BC.115+040'!$B$13:$X$489,14,0)/1000</f>
        <v>#REF!</v>
      </c>
      <c r="I102" s="131" t="e">
        <f>VLOOKUP($A102,'BC.115+040'!$B$13:$X$489,15,0)/1000</f>
        <v>#REF!</v>
      </c>
      <c r="J102" s="131" t="e">
        <f>VLOOKUP($A102,'BC.115+040'!$B$13:$X$489,20,0)/1000</f>
        <v>#REF!</v>
      </c>
      <c r="K102" s="131" t="e">
        <f>VLOOKUP($A102,'BC.115+040'!$B$13:$X$489,21,0)/1000</f>
        <v>#REF!</v>
      </c>
      <c r="L102" s="129" t="e">
        <f t="shared" si="3"/>
        <v>#REF!</v>
      </c>
      <c r="M102" s="130" t="e">
        <f t="shared" si="4"/>
        <v>#REF!</v>
      </c>
      <c r="N102" s="129" t="e">
        <f t="shared" si="5"/>
        <v>#REF!</v>
      </c>
      <c r="O102" s="129"/>
    </row>
    <row r="103" spans="1:15">
      <c r="A103" s="67" t="e">
        <f>'BC.115+040'!B102</f>
        <v>#REF!</v>
      </c>
      <c r="B103" s="129">
        <v>89</v>
      </c>
      <c r="C103" s="131" t="e">
        <f>'BC.115+040'!M102/1000</f>
        <v>#REF!</v>
      </c>
      <c r="D103" s="131" t="e">
        <f>'BC.115+040'!AA102</f>
        <v>#REF!</v>
      </c>
      <c r="E103" s="132" t="e">
        <f>'BC.115+040'!AB102</f>
        <v>#REF!</v>
      </c>
      <c r="F103" s="131" t="e">
        <f>VLOOKUP($A103,'BC.115+040'!$B$13:$X$489,8,0)/1000</f>
        <v>#REF!</v>
      </c>
      <c r="G103" s="131" t="e">
        <f>VLOOKUP($A103,'BC.115+040'!$B$13:$X$489,9,0)/1000</f>
        <v>#REF!</v>
      </c>
      <c r="H103" s="131" t="e">
        <f>VLOOKUP($A103,'BC.115+040'!$B$13:$X$489,14,0)/1000</f>
        <v>#REF!</v>
      </c>
      <c r="I103" s="131" t="e">
        <f>VLOOKUP($A103,'BC.115+040'!$B$13:$X$489,15,0)/1000</f>
        <v>#REF!</v>
      </c>
      <c r="J103" s="131" t="e">
        <f>VLOOKUP($A103,'BC.115+040'!$B$13:$X$489,20,0)/1000</f>
        <v>#REF!</v>
      </c>
      <c r="K103" s="131" t="e">
        <f>VLOOKUP($A103,'BC.115+040'!$B$13:$X$489,21,0)/1000</f>
        <v>#REF!</v>
      </c>
      <c r="L103" s="129" t="e">
        <f t="shared" si="3"/>
        <v>#REF!</v>
      </c>
      <c r="M103" s="130" t="e">
        <f t="shared" si="4"/>
        <v>#REF!</v>
      </c>
      <c r="N103" s="129" t="e">
        <f t="shared" si="5"/>
        <v>#REF!</v>
      </c>
      <c r="O103" s="129"/>
    </row>
    <row r="104" spans="1:15">
      <c r="A104" s="67" t="e">
        <f>'BC.115+040'!B103</f>
        <v>#REF!</v>
      </c>
      <c r="B104" s="129">
        <v>90</v>
      </c>
      <c r="C104" s="131" t="e">
        <f>'BC.115+040'!M103/1000</f>
        <v>#REF!</v>
      </c>
      <c r="D104" s="131" t="e">
        <f>'BC.115+040'!AA103</f>
        <v>#REF!</v>
      </c>
      <c r="E104" s="132" t="e">
        <f>'BC.115+040'!AB103</f>
        <v>#REF!</v>
      </c>
      <c r="F104" s="131" t="e">
        <f>VLOOKUP($A104,'BC.115+040'!$B$13:$X$489,8,0)/1000</f>
        <v>#REF!</v>
      </c>
      <c r="G104" s="131" t="e">
        <f>VLOOKUP($A104,'BC.115+040'!$B$13:$X$489,9,0)/1000</f>
        <v>#REF!</v>
      </c>
      <c r="H104" s="131" t="e">
        <f>VLOOKUP($A104,'BC.115+040'!$B$13:$X$489,14,0)/1000</f>
        <v>#REF!</v>
      </c>
      <c r="I104" s="131" t="e">
        <f>VLOOKUP($A104,'BC.115+040'!$B$13:$X$489,15,0)/1000</f>
        <v>#REF!</v>
      </c>
      <c r="J104" s="131" t="e">
        <f>VLOOKUP($A104,'BC.115+040'!$B$13:$X$489,20,0)/1000</f>
        <v>#REF!</v>
      </c>
      <c r="K104" s="131" t="e">
        <f>VLOOKUP($A104,'BC.115+040'!$B$13:$X$489,21,0)/1000</f>
        <v>#REF!</v>
      </c>
      <c r="L104" s="129" t="e">
        <f t="shared" si="3"/>
        <v>#REF!</v>
      </c>
      <c r="M104" s="130" t="e">
        <f t="shared" si="4"/>
        <v>#REF!</v>
      </c>
      <c r="N104" s="129" t="e">
        <f t="shared" si="5"/>
        <v>#REF!</v>
      </c>
      <c r="O104" s="129"/>
    </row>
    <row r="105" spans="1:15">
      <c r="A105" s="67" t="e">
        <f>'BC.115+040'!B104</f>
        <v>#REF!</v>
      </c>
      <c r="B105" s="129">
        <v>91</v>
      </c>
      <c r="C105" s="131" t="e">
        <f>'BC.115+040'!M104/1000</f>
        <v>#REF!</v>
      </c>
      <c r="D105" s="131" t="e">
        <f>'BC.115+040'!AA104</f>
        <v>#REF!</v>
      </c>
      <c r="E105" s="132" t="e">
        <f>'BC.115+040'!AB104</f>
        <v>#REF!</v>
      </c>
      <c r="F105" s="131" t="e">
        <f>VLOOKUP($A105,'BC.115+040'!$B$13:$X$489,8,0)/1000</f>
        <v>#REF!</v>
      </c>
      <c r="G105" s="131" t="e">
        <f>VLOOKUP($A105,'BC.115+040'!$B$13:$X$489,9,0)/1000</f>
        <v>#REF!</v>
      </c>
      <c r="H105" s="131" t="e">
        <f>VLOOKUP($A105,'BC.115+040'!$B$13:$X$489,14,0)/1000</f>
        <v>#REF!</v>
      </c>
      <c r="I105" s="131" t="e">
        <f>VLOOKUP($A105,'BC.115+040'!$B$13:$X$489,15,0)/1000</f>
        <v>#REF!</v>
      </c>
      <c r="J105" s="131" t="e">
        <f>VLOOKUP($A105,'BC.115+040'!$B$13:$X$489,20,0)/1000</f>
        <v>#REF!</v>
      </c>
      <c r="K105" s="131" t="e">
        <f>VLOOKUP($A105,'BC.115+040'!$B$13:$X$489,21,0)/1000</f>
        <v>#REF!</v>
      </c>
      <c r="L105" s="129" t="e">
        <f t="shared" si="3"/>
        <v>#REF!</v>
      </c>
      <c r="M105" s="130" t="e">
        <f t="shared" si="4"/>
        <v>#REF!</v>
      </c>
      <c r="N105" s="129" t="e">
        <f t="shared" si="5"/>
        <v>#REF!</v>
      </c>
      <c r="O105" s="129"/>
    </row>
    <row r="106" spans="1:15">
      <c r="A106" s="67" t="e">
        <f>'BC.115+040'!B105</f>
        <v>#REF!</v>
      </c>
      <c r="B106" s="129">
        <v>92</v>
      </c>
      <c r="C106" s="131" t="e">
        <f>'BC.115+040'!M105/1000</f>
        <v>#REF!</v>
      </c>
      <c r="D106" s="131" t="e">
        <f>'BC.115+040'!AA105</f>
        <v>#REF!</v>
      </c>
      <c r="E106" s="132" t="e">
        <f>'BC.115+040'!AB105</f>
        <v>#REF!</v>
      </c>
      <c r="F106" s="131" t="e">
        <f>VLOOKUP($A106,'BC.115+040'!$B$13:$X$489,8,0)/1000</f>
        <v>#REF!</v>
      </c>
      <c r="G106" s="131" t="e">
        <f>VLOOKUP($A106,'BC.115+040'!$B$13:$X$489,9,0)/1000</f>
        <v>#REF!</v>
      </c>
      <c r="H106" s="131" t="e">
        <f>VLOOKUP($A106,'BC.115+040'!$B$13:$X$489,14,0)/1000</f>
        <v>#REF!</v>
      </c>
      <c r="I106" s="131" t="e">
        <f>VLOOKUP($A106,'BC.115+040'!$B$13:$X$489,15,0)/1000</f>
        <v>#REF!</v>
      </c>
      <c r="J106" s="131" t="e">
        <f>VLOOKUP($A106,'BC.115+040'!$B$13:$X$489,20,0)/1000</f>
        <v>#REF!</v>
      </c>
      <c r="K106" s="131" t="e">
        <f>VLOOKUP($A106,'BC.115+040'!$B$13:$X$489,21,0)/1000</f>
        <v>#REF!</v>
      </c>
      <c r="L106" s="129" t="e">
        <f t="shared" si="3"/>
        <v>#REF!</v>
      </c>
      <c r="M106" s="130" t="e">
        <f t="shared" si="4"/>
        <v>#REF!</v>
      </c>
      <c r="N106" s="129" t="e">
        <f t="shared" si="5"/>
        <v>#REF!</v>
      </c>
      <c r="O106" s="129"/>
    </row>
    <row r="107" spans="1:15">
      <c r="A107" s="67" t="e">
        <f>'BC.115+040'!B106</f>
        <v>#REF!</v>
      </c>
      <c r="B107" s="129">
        <v>93</v>
      </c>
      <c r="C107" s="131" t="e">
        <f>'BC.115+040'!M106/1000</f>
        <v>#REF!</v>
      </c>
      <c r="D107" s="131" t="e">
        <f>'BC.115+040'!AA106</f>
        <v>#REF!</v>
      </c>
      <c r="E107" s="132" t="e">
        <f>'BC.115+040'!AB106</f>
        <v>#REF!</v>
      </c>
      <c r="F107" s="131" t="e">
        <f>VLOOKUP($A107,'BC.115+040'!$B$13:$X$489,8,0)/1000</f>
        <v>#REF!</v>
      </c>
      <c r="G107" s="131" t="e">
        <f>VLOOKUP($A107,'BC.115+040'!$B$13:$X$489,9,0)/1000</f>
        <v>#REF!</v>
      </c>
      <c r="H107" s="131" t="e">
        <f>VLOOKUP($A107,'BC.115+040'!$B$13:$X$489,14,0)/1000</f>
        <v>#REF!</v>
      </c>
      <c r="I107" s="131" t="e">
        <f>VLOOKUP($A107,'BC.115+040'!$B$13:$X$489,15,0)/1000</f>
        <v>#REF!</v>
      </c>
      <c r="J107" s="131" t="e">
        <f>VLOOKUP($A107,'BC.115+040'!$B$13:$X$489,20,0)/1000</f>
        <v>#REF!</v>
      </c>
      <c r="K107" s="131" t="e">
        <f>VLOOKUP($A107,'BC.115+040'!$B$13:$X$489,21,0)/1000</f>
        <v>#REF!</v>
      </c>
      <c r="L107" s="129" t="e">
        <f t="shared" si="3"/>
        <v>#REF!</v>
      </c>
      <c r="M107" s="130" t="e">
        <f t="shared" si="4"/>
        <v>#REF!</v>
      </c>
      <c r="N107" s="129" t="e">
        <f t="shared" si="5"/>
        <v>#REF!</v>
      </c>
      <c r="O107" s="129"/>
    </row>
    <row r="108" spans="1:15">
      <c r="A108" s="67" t="e">
        <f>'BC.115+040'!B107</f>
        <v>#REF!</v>
      </c>
      <c r="B108" s="129">
        <v>94</v>
      </c>
      <c r="C108" s="131" t="e">
        <f>'BC.115+040'!M107/1000</f>
        <v>#REF!</v>
      </c>
      <c r="D108" s="131" t="e">
        <f>'BC.115+040'!AA107</f>
        <v>#REF!</v>
      </c>
      <c r="E108" s="132" t="e">
        <f>'BC.115+040'!AB107</f>
        <v>#REF!</v>
      </c>
      <c r="F108" s="131" t="e">
        <f>VLOOKUP($A108,'BC.115+040'!$B$13:$X$489,8,0)/1000</f>
        <v>#REF!</v>
      </c>
      <c r="G108" s="131" t="e">
        <f>VLOOKUP($A108,'BC.115+040'!$B$13:$X$489,9,0)/1000</f>
        <v>#REF!</v>
      </c>
      <c r="H108" s="131" t="e">
        <f>VLOOKUP($A108,'BC.115+040'!$B$13:$X$489,14,0)/1000</f>
        <v>#REF!</v>
      </c>
      <c r="I108" s="131" t="e">
        <f>VLOOKUP($A108,'BC.115+040'!$B$13:$X$489,15,0)/1000</f>
        <v>#REF!</v>
      </c>
      <c r="J108" s="131" t="e">
        <f>VLOOKUP($A108,'BC.115+040'!$B$13:$X$489,20,0)/1000</f>
        <v>#REF!</v>
      </c>
      <c r="K108" s="131" t="e">
        <f>VLOOKUP($A108,'BC.115+040'!$B$13:$X$489,21,0)/1000</f>
        <v>#REF!</v>
      </c>
      <c r="L108" s="129" t="e">
        <f t="shared" si="3"/>
        <v>#REF!</v>
      </c>
      <c r="M108" s="130" t="e">
        <f t="shared" si="4"/>
        <v>#REF!</v>
      </c>
      <c r="N108" s="129" t="e">
        <f t="shared" si="5"/>
        <v>#REF!</v>
      </c>
      <c r="O108" s="129"/>
    </row>
    <row r="109" spans="1:15">
      <c r="A109" s="67" t="e">
        <f>'BC.115+040'!B108</f>
        <v>#REF!</v>
      </c>
      <c r="B109" s="129">
        <v>95</v>
      </c>
      <c r="C109" s="131" t="e">
        <f>'BC.115+040'!M108/1000</f>
        <v>#REF!</v>
      </c>
      <c r="D109" s="131" t="e">
        <f>'BC.115+040'!AA108</f>
        <v>#REF!</v>
      </c>
      <c r="E109" s="132" t="e">
        <f>'BC.115+040'!AB108</f>
        <v>#REF!</v>
      </c>
      <c r="F109" s="131" t="e">
        <f>VLOOKUP($A109,'BC.115+040'!$B$13:$X$489,8,0)/1000</f>
        <v>#REF!</v>
      </c>
      <c r="G109" s="131" t="e">
        <f>VLOOKUP($A109,'BC.115+040'!$B$13:$X$489,9,0)/1000</f>
        <v>#REF!</v>
      </c>
      <c r="H109" s="131" t="e">
        <f>VLOOKUP($A109,'BC.115+040'!$B$13:$X$489,14,0)/1000</f>
        <v>#REF!</v>
      </c>
      <c r="I109" s="131" t="e">
        <f>VLOOKUP($A109,'BC.115+040'!$B$13:$X$489,15,0)/1000</f>
        <v>#REF!</v>
      </c>
      <c r="J109" s="131" t="e">
        <f>VLOOKUP($A109,'BC.115+040'!$B$13:$X$489,20,0)/1000</f>
        <v>#REF!</v>
      </c>
      <c r="K109" s="131" t="e">
        <f>VLOOKUP($A109,'BC.115+040'!$B$13:$X$489,21,0)/1000</f>
        <v>#REF!</v>
      </c>
      <c r="L109" s="129" t="e">
        <f t="shared" si="3"/>
        <v>#REF!</v>
      </c>
      <c r="M109" s="130" t="e">
        <f t="shared" si="4"/>
        <v>#REF!</v>
      </c>
      <c r="N109" s="129" t="e">
        <f t="shared" si="5"/>
        <v>#REF!</v>
      </c>
      <c r="O109" s="129"/>
    </row>
    <row r="110" spans="1:15">
      <c r="A110" s="67" t="e">
        <f>'BC.115+040'!B109</f>
        <v>#REF!</v>
      </c>
      <c r="B110" s="129">
        <v>96</v>
      </c>
      <c r="C110" s="131" t="e">
        <f>'BC.115+040'!M109/1000</f>
        <v>#REF!</v>
      </c>
      <c r="D110" s="131" t="e">
        <f>'BC.115+040'!AA109</f>
        <v>#REF!</v>
      </c>
      <c r="E110" s="132" t="e">
        <f>'BC.115+040'!AB109</f>
        <v>#REF!</v>
      </c>
      <c r="F110" s="131" t="e">
        <f>VLOOKUP($A110,'BC.115+040'!$B$13:$X$489,8,0)/1000</f>
        <v>#REF!</v>
      </c>
      <c r="G110" s="131" t="e">
        <f>VLOOKUP($A110,'BC.115+040'!$B$13:$X$489,9,0)/1000</f>
        <v>#REF!</v>
      </c>
      <c r="H110" s="131" t="e">
        <f>VLOOKUP($A110,'BC.115+040'!$B$13:$X$489,14,0)/1000</f>
        <v>#REF!</v>
      </c>
      <c r="I110" s="131" t="e">
        <f>VLOOKUP($A110,'BC.115+040'!$B$13:$X$489,15,0)/1000</f>
        <v>#REF!</v>
      </c>
      <c r="J110" s="131" t="e">
        <f>VLOOKUP($A110,'BC.115+040'!$B$13:$X$489,20,0)/1000</f>
        <v>#REF!</v>
      </c>
      <c r="K110" s="131" t="e">
        <f>VLOOKUP($A110,'BC.115+040'!$B$13:$X$489,21,0)/1000</f>
        <v>#REF!</v>
      </c>
      <c r="L110" s="129" t="e">
        <f t="shared" si="3"/>
        <v>#REF!</v>
      </c>
      <c r="M110" s="130" t="e">
        <f t="shared" si="4"/>
        <v>#REF!</v>
      </c>
      <c r="N110" s="129" t="e">
        <f t="shared" si="5"/>
        <v>#REF!</v>
      </c>
      <c r="O110" s="129"/>
    </row>
    <row r="111" spans="1:15">
      <c r="A111" s="67" t="e">
        <f>'BC.115+040'!B110</f>
        <v>#REF!</v>
      </c>
      <c r="B111" s="129">
        <v>97</v>
      </c>
      <c r="C111" s="131" t="e">
        <f>'BC.115+040'!M110/1000</f>
        <v>#REF!</v>
      </c>
      <c r="D111" s="131" t="e">
        <f>'BC.115+040'!AA110</f>
        <v>#REF!</v>
      </c>
      <c r="E111" s="132" t="e">
        <f>'BC.115+040'!AB110</f>
        <v>#REF!</v>
      </c>
      <c r="F111" s="131" t="e">
        <f>VLOOKUP($A111,'BC.115+040'!$B$13:$X$489,8,0)/1000</f>
        <v>#REF!</v>
      </c>
      <c r="G111" s="131" t="e">
        <f>VLOOKUP($A111,'BC.115+040'!$B$13:$X$489,9,0)/1000</f>
        <v>#REF!</v>
      </c>
      <c r="H111" s="131" t="e">
        <f>VLOOKUP($A111,'BC.115+040'!$B$13:$X$489,14,0)/1000</f>
        <v>#REF!</v>
      </c>
      <c r="I111" s="131" t="e">
        <f>VLOOKUP($A111,'BC.115+040'!$B$13:$X$489,15,0)/1000</f>
        <v>#REF!</v>
      </c>
      <c r="J111" s="131" t="e">
        <f>VLOOKUP($A111,'BC.115+040'!$B$13:$X$489,20,0)/1000</f>
        <v>#REF!</v>
      </c>
      <c r="K111" s="131" t="e">
        <f>VLOOKUP($A111,'BC.115+040'!$B$13:$X$489,21,0)/1000</f>
        <v>#REF!</v>
      </c>
      <c r="L111" s="129" t="e">
        <f t="shared" si="3"/>
        <v>#REF!</v>
      </c>
      <c r="M111" s="130" t="e">
        <f t="shared" si="4"/>
        <v>#REF!</v>
      </c>
      <c r="N111" s="129" t="e">
        <f t="shared" si="5"/>
        <v>#REF!</v>
      </c>
      <c r="O111" s="129"/>
    </row>
    <row r="112" spans="1:15">
      <c r="A112" s="67" t="e">
        <f>'BC.115+040'!B111</f>
        <v>#REF!</v>
      </c>
      <c r="B112" s="129">
        <v>98</v>
      </c>
      <c r="C112" s="131" t="e">
        <f>'BC.115+040'!M111/1000</f>
        <v>#REF!</v>
      </c>
      <c r="D112" s="131" t="e">
        <f>'BC.115+040'!AA111</f>
        <v>#REF!</v>
      </c>
      <c r="E112" s="132" t="e">
        <f>'BC.115+040'!AB111</f>
        <v>#REF!</v>
      </c>
      <c r="F112" s="131" t="e">
        <f>VLOOKUP($A112,'BC.115+040'!$B$13:$X$489,8,0)/1000</f>
        <v>#REF!</v>
      </c>
      <c r="G112" s="131" t="e">
        <f>VLOOKUP($A112,'BC.115+040'!$B$13:$X$489,9,0)/1000</f>
        <v>#REF!</v>
      </c>
      <c r="H112" s="131" t="e">
        <f>VLOOKUP($A112,'BC.115+040'!$B$13:$X$489,14,0)/1000</f>
        <v>#REF!</v>
      </c>
      <c r="I112" s="131" t="e">
        <f>VLOOKUP($A112,'BC.115+040'!$B$13:$X$489,15,0)/1000</f>
        <v>#REF!</v>
      </c>
      <c r="J112" s="131" t="e">
        <f>VLOOKUP($A112,'BC.115+040'!$B$13:$X$489,20,0)/1000</f>
        <v>#REF!</v>
      </c>
      <c r="K112" s="131" t="e">
        <f>VLOOKUP($A112,'BC.115+040'!$B$13:$X$489,21,0)/1000</f>
        <v>#REF!</v>
      </c>
      <c r="L112" s="129" t="e">
        <f t="shared" si="3"/>
        <v>#REF!</v>
      </c>
      <c r="M112" s="130" t="e">
        <f t="shared" si="4"/>
        <v>#REF!</v>
      </c>
      <c r="N112" s="129" t="e">
        <f t="shared" si="5"/>
        <v>#REF!</v>
      </c>
      <c r="O112" s="129"/>
    </row>
    <row r="113" spans="1:15">
      <c r="A113" s="67" t="e">
        <f>'BC.115+040'!B112</f>
        <v>#REF!</v>
      </c>
      <c r="B113" s="129">
        <v>99</v>
      </c>
      <c r="C113" s="131" t="e">
        <f>'BC.115+040'!M112/1000</f>
        <v>#REF!</v>
      </c>
      <c r="D113" s="131" t="e">
        <f>'BC.115+040'!AA112</f>
        <v>#REF!</v>
      </c>
      <c r="E113" s="132" t="e">
        <f>'BC.115+040'!AB112</f>
        <v>#REF!</v>
      </c>
      <c r="F113" s="131" t="e">
        <f>VLOOKUP($A113,'BC.115+040'!$B$13:$X$489,8,0)/1000</f>
        <v>#REF!</v>
      </c>
      <c r="G113" s="131" t="e">
        <f>VLOOKUP($A113,'BC.115+040'!$B$13:$X$489,9,0)/1000</f>
        <v>#REF!</v>
      </c>
      <c r="H113" s="131" t="e">
        <f>VLOOKUP($A113,'BC.115+040'!$B$13:$X$489,14,0)/1000</f>
        <v>#REF!</v>
      </c>
      <c r="I113" s="131" t="e">
        <f>VLOOKUP($A113,'BC.115+040'!$B$13:$X$489,15,0)/1000</f>
        <v>#REF!</v>
      </c>
      <c r="J113" s="131" t="e">
        <f>VLOOKUP($A113,'BC.115+040'!$B$13:$X$489,20,0)/1000</f>
        <v>#REF!</v>
      </c>
      <c r="K113" s="131" t="e">
        <f>VLOOKUP($A113,'BC.115+040'!$B$13:$X$489,21,0)/1000</f>
        <v>#REF!</v>
      </c>
      <c r="L113" s="129" t="e">
        <f t="shared" si="3"/>
        <v>#REF!</v>
      </c>
      <c r="M113" s="130" t="e">
        <f t="shared" si="4"/>
        <v>#REF!</v>
      </c>
      <c r="N113" s="129" t="e">
        <f t="shared" si="5"/>
        <v>#REF!</v>
      </c>
      <c r="O113" s="129"/>
    </row>
    <row r="114" spans="1:15">
      <c r="A114" s="67" t="e">
        <f>'BC.115+040'!B113</f>
        <v>#REF!</v>
      </c>
      <c r="B114" s="129">
        <v>100</v>
      </c>
      <c r="C114" s="131" t="e">
        <f>'BC.115+040'!M113/1000</f>
        <v>#REF!</v>
      </c>
      <c r="D114" s="131" t="e">
        <f>'BC.115+040'!AA113</f>
        <v>#REF!</v>
      </c>
      <c r="E114" s="132" t="e">
        <f>'BC.115+040'!AB113</f>
        <v>#REF!</v>
      </c>
      <c r="F114" s="131" t="e">
        <f>VLOOKUP($A114,'BC.115+040'!$B$13:$X$489,8,0)/1000</f>
        <v>#REF!</v>
      </c>
      <c r="G114" s="131" t="e">
        <f>VLOOKUP($A114,'BC.115+040'!$B$13:$X$489,9,0)/1000</f>
        <v>#REF!</v>
      </c>
      <c r="H114" s="131" t="e">
        <f>VLOOKUP($A114,'BC.115+040'!$B$13:$X$489,14,0)/1000</f>
        <v>#REF!</v>
      </c>
      <c r="I114" s="131" t="e">
        <f>VLOOKUP($A114,'BC.115+040'!$B$13:$X$489,15,0)/1000</f>
        <v>#REF!</v>
      </c>
      <c r="J114" s="131" t="e">
        <f>VLOOKUP($A114,'BC.115+040'!$B$13:$X$489,20,0)/1000</f>
        <v>#REF!</v>
      </c>
      <c r="K114" s="131" t="e">
        <f>VLOOKUP($A114,'BC.115+040'!$B$13:$X$489,21,0)/1000</f>
        <v>#REF!</v>
      </c>
      <c r="L114" s="129" t="e">
        <f t="shared" si="3"/>
        <v>#REF!</v>
      </c>
      <c r="M114" s="130" t="e">
        <f t="shared" si="4"/>
        <v>#REF!</v>
      </c>
      <c r="N114" s="129" t="e">
        <f t="shared" si="5"/>
        <v>#REF!</v>
      </c>
      <c r="O114" s="129"/>
    </row>
    <row r="115" spans="1:15">
      <c r="A115" s="67" t="e">
        <f>'BC.115+040'!B114</f>
        <v>#REF!</v>
      </c>
      <c r="B115" s="129">
        <v>101</v>
      </c>
      <c r="C115" s="131" t="e">
        <f>'BC.115+040'!M114/1000</f>
        <v>#REF!</v>
      </c>
      <c r="D115" s="131" t="e">
        <f>'BC.115+040'!AA114</f>
        <v>#REF!</v>
      </c>
      <c r="E115" s="132" t="e">
        <f>'BC.115+040'!AB114</f>
        <v>#REF!</v>
      </c>
      <c r="F115" s="131" t="e">
        <f>VLOOKUP($A115,'BC.115+040'!$B$13:$X$489,8,0)/1000</f>
        <v>#REF!</v>
      </c>
      <c r="G115" s="131" t="e">
        <f>VLOOKUP($A115,'BC.115+040'!$B$13:$X$489,9,0)/1000</f>
        <v>#REF!</v>
      </c>
      <c r="H115" s="131" t="e">
        <f>VLOOKUP($A115,'BC.115+040'!$B$13:$X$489,14,0)/1000</f>
        <v>#REF!</v>
      </c>
      <c r="I115" s="131" t="e">
        <f>VLOOKUP($A115,'BC.115+040'!$B$13:$X$489,15,0)/1000</f>
        <v>#REF!</v>
      </c>
      <c r="J115" s="131" t="e">
        <f>VLOOKUP($A115,'BC.115+040'!$B$13:$X$489,20,0)/1000</f>
        <v>#REF!</v>
      </c>
      <c r="K115" s="131" t="e">
        <f>VLOOKUP($A115,'BC.115+040'!$B$13:$X$489,21,0)/1000</f>
        <v>#REF!</v>
      </c>
      <c r="L115" s="129" t="e">
        <f t="shared" si="3"/>
        <v>#REF!</v>
      </c>
      <c r="M115" s="130" t="e">
        <f t="shared" si="4"/>
        <v>#REF!</v>
      </c>
      <c r="N115" s="129" t="e">
        <f t="shared" si="5"/>
        <v>#REF!</v>
      </c>
      <c r="O115" s="129"/>
    </row>
    <row r="116" spans="1:15">
      <c r="A116" s="67" t="e">
        <f>'BC.115+040'!B115</f>
        <v>#REF!</v>
      </c>
      <c r="B116" s="129">
        <v>102</v>
      </c>
      <c r="C116" s="131" t="e">
        <f>'BC.115+040'!M115/1000</f>
        <v>#REF!</v>
      </c>
      <c r="D116" s="131" t="e">
        <f>'BC.115+040'!AA115</f>
        <v>#REF!</v>
      </c>
      <c r="E116" s="132" t="e">
        <f>'BC.115+040'!AB115</f>
        <v>#REF!</v>
      </c>
      <c r="F116" s="131" t="e">
        <f>VLOOKUP($A116,'BC.115+040'!$B$13:$X$489,8,0)/1000</f>
        <v>#REF!</v>
      </c>
      <c r="G116" s="131" t="e">
        <f>VLOOKUP($A116,'BC.115+040'!$B$13:$X$489,9,0)/1000</f>
        <v>#REF!</v>
      </c>
      <c r="H116" s="131" t="e">
        <f>VLOOKUP($A116,'BC.115+040'!$B$13:$X$489,14,0)/1000</f>
        <v>#REF!</v>
      </c>
      <c r="I116" s="131" t="e">
        <f>VLOOKUP($A116,'BC.115+040'!$B$13:$X$489,15,0)/1000</f>
        <v>#REF!</v>
      </c>
      <c r="J116" s="131" t="e">
        <f>VLOOKUP($A116,'BC.115+040'!$B$13:$X$489,20,0)/1000</f>
        <v>#REF!</v>
      </c>
      <c r="K116" s="131" t="e">
        <f>VLOOKUP($A116,'BC.115+040'!$B$13:$X$489,21,0)/1000</f>
        <v>#REF!</v>
      </c>
      <c r="L116" s="129" t="e">
        <f t="shared" si="3"/>
        <v>#REF!</v>
      </c>
      <c r="M116" s="130" t="e">
        <f t="shared" si="4"/>
        <v>#REF!</v>
      </c>
      <c r="N116" s="129" t="e">
        <f t="shared" si="5"/>
        <v>#REF!</v>
      </c>
      <c r="O116" s="129"/>
    </row>
    <row r="117" spans="1:15">
      <c r="A117" s="67" t="e">
        <f>'BC.115+040'!B116</f>
        <v>#REF!</v>
      </c>
      <c r="B117" s="129">
        <v>103</v>
      </c>
      <c r="C117" s="131" t="e">
        <f>'BC.115+040'!M116/1000</f>
        <v>#REF!</v>
      </c>
      <c r="D117" s="131" t="e">
        <f>'BC.115+040'!AA116</f>
        <v>#REF!</v>
      </c>
      <c r="E117" s="132" t="e">
        <f>'BC.115+040'!AB116</f>
        <v>#REF!</v>
      </c>
      <c r="F117" s="131" t="e">
        <f>VLOOKUP($A117,'BC.115+040'!$B$13:$X$489,8,0)/1000</f>
        <v>#REF!</v>
      </c>
      <c r="G117" s="131" t="e">
        <f>VLOOKUP($A117,'BC.115+040'!$B$13:$X$489,9,0)/1000</f>
        <v>#REF!</v>
      </c>
      <c r="H117" s="131" t="e">
        <f>VLOOKUP($A117,'BC.115+040'!$B$13:$X$489,14,0)/1000</f>
        <v>#REF!</v>
      </c>
      <c r="I117" s="131" t="e">
        <f>VLOOKUP($A117,'BC.115+040'!$B$13:$X$489,15,0)/1000</f>
        <v>#REF!</v>
      </c>
      <c r="J117" s="131" t="e">
        <f>VLOOKUP($A117,'BC.115+040'!$B$13:$X$489,20,0)/1000</f>
        <v>#REF!</v>
      </c>
      <c r="K117" s="131" t="e">
        <f>VLOOKUP($A117,'BC.115+040'!$B$13:$X$489,21,0)/1000</f>
        <v>#REF!</v>
      </c>
      <c r="L117" s="129" t="e">
        <f t="shared" si="3"/>
        <v>#REF!</v>
      </c>
      <c r="M117" s="130" t="e">
        <f t="shared" si="4"/>
        <v>#REF!</v>
      </c>
      <c r="N117" s="129" t="e">
        <f t="shared" si="5"/>
        <v>#REF!</v>
      </c>
      <c r="O117" s="129"/>
    </row>
    <row r="118" spans="1:15">
      <c r="A118" s="67" t="e">
        <f>'BC.115+040'!B117</f>
        <v>#REF!</v>
      </c>
      <c r="B118" s="129">
        <v>104</v>
      </c>
      <c r="C118" s="131" t="e">
        <f>'BC.115+040'!M117/1000</f>
        <v>#REF!</v>
      </c>
      <c r="D118" s="131" t="e">
        <f>'BC.115+040'!AA117</f>
        <v>#REF!</v>
      </c>
      <c r="E118" s="132" t="e">
        <f>'BC.115+040'!AB117</f>
        <v>#REF!</v>
      </c>
      <c r="F118" s="131" t="e">
        <f>VLOOKUP($A118,'BC.115+040'!$B$13:$X$489,8,0)/1000</f>
        <v>#REF!</v>
      </c>
      <c r="G118" s="131" t="e">
        <f>VLOOKUP($A118,'BC.115+040'!$B$13:$X$489,9,0)/1000</f>
        <v>#REF!</v>
      </c>
      <c r="H118" s="131" t="e">
        <f>VLOOKUP($A118,'BC.115+040'!$B$13:$X$489,14,0)/1000</f>
        <v>#REF!</v>
      </c>
      <c r="I118" s="131" t="e">
        <f>VLOOKUP($A118,'BC.115+040'!$B$13:$X$489,15,0)/1000</f>
        <v>#REF!</v>
      </c>
      <c r="J118" s="131" t="e">
        <f>VLOOKUP($A118,'BC.115+040'!$B$13:$X$489,20,0)/1000</f>
        <v>#REF!</v>
      </c>
      <c r="K118" s="131" t="e">
        <f>VLOOKUP($A118,'BC.115+040'!$B$13:$X$489,21,0)/1000</f>
        <v>#REF!</v>
      </c>
      <c r="L118" s="129" t="e">
        <f t="shared" si="3"/>
        <v>#REF!</v>
      </c>
      <c r="M118" s="130" t="e">
        <f t="shared" si="4"/>
        <v>#REF!</v>
      </c>
      <c r="N118" s="129" t="e">
        <f t="shared" si="5"/>
        <v>#REF!</v>
      </c>
      <c r="O118" s="129"/>
    </row>
    <row r="119" spans="1:15">
      <c r="A119" s="67" t="e">
        <f>'BC.115+040'!B118</f>
        <v>#REF!</v>
      </c>
      <c r="B119" s="129">
        <v>105</v>
      </c>
      <c r="C119" s="131" t="e">
        <f>'BC.115+040'!M118/1000</f>
        <v>#REF!</v>
      </c>
      <c r="D119" s="131" t="e">
        <f>'BC.115+040'!AA118</f>
        <v>#REF!</v>
      </c>
      <c r="E119" s="132" t="e">
        <f>'BC.115+040'!AB118</f>
        <v>#REF!</v>
      </c>
      <c r="F119" s="131" t="e">
        <f>VLOOKUP($A119,'BC.115+040'!$B$13:$X$489,8,0)/1000</f>
        <v>#REF!</v>
      </c>
      <c r="G119" s="131" t="e">
        <f>VLOOKUP($A119,'BC.115+040'!$B$13:$X$489,9,0)/1000</f>
        <v>#REF!</v>
      </c>
      <c r="H119" s="131" t="e">
        <f>VLOOKUP($A119,'BC.115+040'!$B$13:$X$489,14,0)/1000</f>
        <v>#REF!</v>
      </c>
      <c r="I119" s="131" t="e">
        <f>VLOOKUP($A119,'BC.115+040'!$B$13:$X$489,15,0)/1000</f>
        <v>#REF!</v>
      </c>
      <c r="J119" s="131" t="e">
        <f>VLOOKUP($A119,'BC.115+040'!$B$13:$X$489,20,0)/1000</f>
        <v>#REF!</v>
      </c>
      <c r="K119" s="131" t="e">
        <f>VLOOKUP($A119,'BC.115+040'!$B$13:$X$489,21,0)/1000</f>
        <v>#REF!</v>
      </c>
      <c r="L119" s="129" t="e">
        <f t="shared" si="3"/>
        <v>#REF!</v>
      </c>
      <c r="M119" s="130" t="e">
        <f t="shared" si="4"/>
        <v>#REF!</v>
      </c>
      <c r="N119" s="129" t="e">
        <f t="shared" si="5"/>
        <v>#REF!</v>
      </c>
      <c r="O119" s="129"/>
    </row>
    <row r="120" spans="1:15">
      <c r="A120" s="67" t="e">
        <f>'BC.115+040'!B119</f>
        <v>#REF!</v>
      </c>
      <c r="B120" s="129">
        <v>106</v>
      </c>
      <c r="C120" s="131" t="e">
        <f>'BC.115+040'!M119/1000</f>
        <v>#REF!</v>
      </c>
      <c r="D120" s="131" t="e">
        <f>'BC.115+040'!AA119</f>
        <v>#REF!</v>
      </c>
      <c r="E120" s="132" t="e">
        <f>'BC.115+040'!AB119</f>
        <v>#REF!</v>
      </c>
      <c r="F120" s="131" t="e">
        <f>VLOOKUP($A120,'BC.115+040'!$B$13:$X$489,8,0)/1000</f>
        <v>#REF!</v>
      </c>
      <c r="G120" s="131" t="e">
        <f>VLOOKUP($A120,'BC.115+040'!$B$13:$X$489,9,0)/1000</f>
        <v>#REF!</v>
      </c>
      <c r="H120" s="131" t="e">
        <f>VLOOKUP($A120,'BC.115+040'!$B$13:$X$489,14,0)/1000</f>
        <v>#REF!</v>
      </c>
      <c r="I120" s="131" t="e">
        <f>VLOOKUP($A120,'BC.115+040'!$B$13:$X$489,15,0)/1000</f>
        <v>#REF!</v>
      </c>
      <c r="J120" s="131" t="e">
        <f>VLOOKUP($A120,'BC.115+040'!$B$13:$X$489,20,0)/1000</f>
        <v>#REF!</v>
      </c>
      <c r="K120" s="131" t="e">
        <f>VLOOKUP($A120,'BC.115+040'!$B$13:$X$489,21,0)/1000</f>
        <v>#REF!</v>
      </c>
      <c r="L120" s="129" t="e">
        <f t="shared" si="3"/>
        <v>#REF!</v>
      </c>
      <c r="M120" s="130" t="e">
        <f t="shared" si="4"/>
        <v>#REF!</v>
      </c>
      <c r="N120" s="129" t="e">
        <f t="shared" si="5"/>
        <v>#REF!</v>
      </c>
      <c r="O120" s="129"/>
    </row>
    <row r="121" spans="1:15">
      <c r="A121" s="67" t="e">
        <f>'BC.115+040'!B120</f>
        <v>#REF!</v>
      </c>
      <c r="B121" s="129">
        <v>107</v>
      </c>
      <c r="C121" s="131" t="e">
        <f>'BC.115+040'!M120/1000</f>
        <v>#REF!</v>
      </c>
      <c r="D121" s="131" t="e">
        <f>'BC.115+040'!AA120</f>
        <v>#REF!</v>
      </c>
      <c r="E121" s="132" t="e">
        <f>'BC.115+040'!AB120</f>
        <v>#REF!</v>
      </c>
      <c r="F121" s="131" t="e">
        <f>VLOOKUP($A121,'BC.115+040'!$B$13:$X$489,8,0)/1000</f>
        <v>#REF!</v>
      </c>
      <c r="G121" s="131" t="e">
        <f>VLOOKUP($A121,'BC.115+040'!$B$13:$X$489,9,0)/1000</f>
        <v>#REF!</v>
      </c>
      <c r="H121" s="131" t="e">
        <f>VLOOKUP($A121,'BC.115+040'!$B$13:$X$489,14,0)/1000</f>
        <v>#REF!</v>
      </c>
      <c r="I121" s="131" t="e">
        <f>VLOOKUP($A121,'BC.115+040'!$B$13:$X$489,15,0)/1000</f>
        <v>#REF!</v>
      </c>
      <c r="J121" s="131" t="e">
        <f>VLOOKUP($A121,'BC.115+040'!$B$13:$X$489,20,0)/1000</f>
        <v>#REF!</v>
      </c>
      <c r="K121" s="131" t="e">
        <f>VLOOKUP($A121,'BC.115+040'!$B$13:$X$489,21,0)/1000</f>
        <v>#REF!</v>
      </c>
      <c r="L121" s="129" t="e">
        <f t="shared" si="3"/>
        <v>#REF!</v>
      </c>
      <c r="M121" s="130" t="e">
        <f t="shared" si="4"/>
        <v>#REF!</v>
      </c>
      <c r="N121" s="129" t="e">
        <f t="shared" si="5"/>
        <v>#REF!</v>
      </c>
      <c r="O121" s="129"/>
    </row>
    <row r="122" spans="1:15">
      <c r="A122" s="67" t="e">
        <f>'BC.115+040'!B121</f>
        <v>#REF!</v>
      </c>
      <c r="B122" s="129">
        <v>108</v>
      </c>
      <c r="C122" s="131" t="e">
        <f>'BC.115+040'!M121/1000</f>
        <v>#REF!</v>
      </c>
      <c r="D122" s="131" t="e">
        <f>'BC.115+040'!AA121</f>
        <v>#REF!</v>
      </c>
      <c r="E122" s="132" t="e">
        <f>'BC.115+040'!AB121</f>
        <v>#REF!</v>
      </c>
      <c r="F122" s="131" t="e">
        <f>VLOOKUP($A122,'BC.115+040'!$B$13:$X$489,8,0)/1000</f>
        <v>#REF!</v>
      </c>
      <c r="G122" s="131" t="e">
        <f>VLOOKUP($A122,'BC.115+040'!$B$13:$X$489,9,0)/1000</f>
        <v>#REF!</v>
      </c>
      <c r="H122" s="131" t="e">
        <f>VLOOKUP($A122,'BC.115+040'!$B$13:$X$489,14,0)/1000</f>
        <v>#REF!</v>
      </c>
      <c r="I122" s="131" t="e">
        <f>VLOOKUP($A122,'BC.115+040'!$B$13:$X$489,15,0)/1000</f>
        <v>#REF!</v>
      </c>
      <c r="J122" s="131" t="e">
        <f>VLOOKUP($A122,'BC.115+040'!$B$13:$X$489,20,0)/1000</f>
        <v>#REF!</v>
      </c>
      <c r="K122" s="131" t="e">
        <f>VLOOKUP($A122,'BC.115+040'!$B$13:$X$489,21,0)/1000</f>
        <v>#REF!</v>
      </c>
      <c r="L122" s="129" t="e">
        <f t="shared" si="3"/>
        <v>#REF!</v>
      </c>
      <c r="M122" s="130" t="e">
        <f t="shared" si="4"/>
        <v>#REF!</v>
      </c>
      <c r="N122" s="129" t="e">
        <f t="shared" si="5"/>
        <v>#REF!</v>
      </c>
      <c r="O122" s="129"/>
    </row>
    <row r="123" spans="1:15">
      <c r="A123" s="67" t="e">
        <f>'BC.115+040'!B122</f>
        <v>#REF!</v>
      </c>
      <c r="B123" s="129">
        <v>109</v>
      </c>
      <c r="C123" s="131" t="e">
        <f>'BC.115+040'!M122/1000</f>
        <v>#REF!</v>
      </c>
      <c r="D123" s="131" t="e">
        <f>'BC.115+040'!AA122</f>
        <v>#REF!</v>
      </c>
      <c r="E123" s="132" t="e">
        <f>'BC.115+040'!AB122</f>
        <v>#REF!</v>
      </c>
      <c r="F123" s="131" t="e">
        <f>VLOOKUP($A123,'BC.115+040'!$B$13:$X$489,8,0)/1000</f>
        <v>#REF!</v>
      </c>
      <c r="G123" s="131" t="e">
        <f>VLOOKUP($A123,'BC.115+040'!$B$13:$X$489,9,0)/1000</f>
        <v>#REF!</v>
      </c>
      <c r="H123" s="131" t="e">
        <f>VLOOKUP($A123,'BC.115+040'!$B$13:$X$489,14,0)/1000</f>
        <v>#REF!</v>
      </c>
      <c r="I123" s="131" t="e">
        <f>VLOOKUP($A123,'BC.115+040'!$B$13:$X$489,15,0)/1000</f>
        <v>#REF!</v>
      </c>
      <c r="J123" s="131" t="e">
        <f>VLOOKUP($A123,'BC.115+040'!$B$13:$X$489,20,0)/1000</f>
        <v>#REF!</v>
      </c>
      <c r="K123" s="131" t="e">
        <f>VLOOKUP($A123,'BC.115+040'!$B$13:$X$489,21,0)/1000</f>
        <v>#REF!</v>
      </c>
      <c r="L123" s="129" t="e">
        <f t="shared" si="3"/>
        <v>#REF!</v>
      </c>
      <c r="M123" s="130" t="e">
        <f t="shared" si="4"/>
        <v>#REF!</v>
      </c>
      <c r="N123" s="129" t="e">
        <f t="shared" si="5"/>
        <v>#REF!</v>
      </c>
      <c r="O123" s="129"/>
    </row>
    <row r="124" spans="1:15">
      <c r="A124" s="67" t="e">
        <f>'BC.115+040'!B123</f>
        <v>#REF!</v>
      </c>
      <c r="B124" s="129">
        <v>110</v>
      </c>
      <c r="C124" s="131" t="e">
        <f>'BC.115+040'!M123/1000</f>
        <v>#REF!</v>
      </c>
      <c r="D124" s="131" t="e">
        <f>'BC.115+040'!AA123</f>
        <v>#REF!</v>
      </c>
      <c r="E124" s="132" t="e">
        <f>'BC.115+040'!AB123</f>
        <v>#REF!</v>
      </c>
      <c r="F124" s="131" t="e">
        <f>VLOOKUP($A124,'BC.115+040'!$B$13:$X$489,8,0)/1000</f>
        <v>#REF!</v>
      </c>
      <c r="G124" s="131" t="e">
        <f>VLOOKUP($A124,'BC.115+040'!$B$13:$X$489,9,0)/1000</f>
        <v>#REF!</v>
      </c>
      <c r="H124" s="131" t="e">
        <f>VLOOKUP($A124,'BC.115+040'!$B$13:$X$489,14,0)/1000</f>
        <v>#REF!</v>
      </c>
      <c r="I124" s="131" t="e">
        <f>VLOOKUP($A124,'BC.115+040'!$B$13:$X$489,15,0)/1000</f>
        <v>#REF!</v>
      </c>
      <c r="J124" s="131" t="e">
        <f>VLOOKUP($A124,'BC.115+040'!$B$13:$X$489,20,0)/1000</f>
        <v>#REF!</v>
      </c>
      <c r="K124" s="131" t="e">
        <f>VLOOKUP($A124,'BC.115+040'!$B$13:$X$489,21,0)/1000</f>
        <v>#REF!</v>
      </c>
      <c r="L124" s="129" t="e">
        <f t="shared" si="3"/>
        <v>#REF!</v>
      </c>
      <c r="M124" s="130" t="e">
        <f t="shared" si="4"/>
        <v>#REF!</v>
      </c>
      <c r="N124" s="129" t="e">
        <f t="shared" si="5"/>
        <v>#REF!</v>
      </c>
      <c r="O124" s="129"/>
    </row>
    <row r="125" spans="1:15">
      <c r="A125" s="67" t="e">
        <f>'BC.115+040'!B124</f>
        <v>#REF!</v>
      </c>
      <c r="B125" s="129">
        <v>111</v>
      </c>
      <c r="C125" s="131" t="e">
        <f>'BC.115+040'!M124/1000</f>
        <v>#REF!</v>
      </c>
      <c r="D125" s="131" t="e">
        <f>'BC.115+040'!AA124</f>
        <v>#REF!</v>
      </c>
      <c r="E125" s="132" t="e">
        <f>'BC.115+040'!AB124</f>
        <v>#REF!</v>
      </c>
      <c r="F125" s="131" t="e">
        <f>VLOOKUP($A125,'BC.115+040'!$B$13:$X$489,8,0)/1000</f>
        <v>#REF!</v>
      </c>
      <c r="G125" s="131" t="e">
        <f>VLOOKUP($A125,'BC.115+040'!$B$13:$X$489,9,0)/1000</f>
        <v>#REF!</v>
      </c>
      <c r="H125" s="131" t="e">
        <f>VLOOKUP($A125,'BC.115+040'!$B$13:$X$489,14,0)/1000</f>
        <v>#REF!</v>
      </c>
      <c r="I125" s="131" t="e">
        <f>VLOOKUP($A125,'BC.115+040'!$B$13:$X$489,15,0)/1000</f>
        <v>#REF!</v>
      </c>
      <c r="J125" s="131" t="e">
        <f>VLOOKUP($A125,'BC.115+040'!$B$13:$X$489,20,0)/1000</f>
        <v>#REF!</v>
      </c>
      <c r="K125" s="131" t="e">
        <f>VLOOKUP($A125,'BC.115+040'!$B$13:$X$489,21,0)/1000</f>
        <v>#REF!</v>
      </c>
      <c r="L125" s="129" t="e">
        <f t="shared" si="3"/>
        <v>#REF!</v>
      </c>
      <c r="M125" s="130" t="e">
        <f t="shared" si="4"/>
        <v>#REF!</v>
      </c>
      <c r="N125" s="129" t="e">
        <f t="shared" si="5"/>
        <v>#REF!</v>
      </c>
      <c r="O125" s="129"/>
    </row>
    <row r="126" spans="1:15">
      <c r="A126" s="67" t="e">
        <f>'BC.115+040'!B125</f>
        <v>#REF!</v>
      </c>
      <c r="B126" s="129">
        <v>112</v>
      </c>
      <c r="C126" s="131" t="e">
        <f>'BC.115+040'!M125/1000</f>
        <v>#REF!</v>
      </c>
      <c r="D126" s="131" t="e">
        <f>'BC.115+040'!AA125</f>
        <v>#REF!</v>
      </c>
      <c r="E126" s="132" t="e">
        <f>'BC.115+040'!AB125</f>
        <v>#REF!</v>
      </c>
      <c r="F126" s="131" t="e">
        <f>VLOOKUP($A126,'BC.115+040'!$B$13:$X$489,8,0)/1000</f>
        <v>#REF!</v>
      </c>
      <c r="G126" s="131" t="e">
        <f>VLOOKUP($A126,'BC.115+040'!$B$13:$X$489,9,0)/1000</f>
        <v>#REF!</v>
      </c>
      <c r="H126" s="131" t="e">
        <f>VLOOKUP($A126,'BC.115+040'!$B$13:$X$489,14,0)/1000</f>
        <v>#REF!</v>
      </c>
      <c r="I126" s="131" t="e">
        <f>VLOOKUP($A126,'BC.115+040'!$B$13:$X$489,15,0)/1000</f>
        <v>#REF!</v>
      </c>
      <c r="J126" s="131" t="e">
        <f>VLOOKUP($A126,'BC.115+040'!$B$13:$X$489,20,0)/1000</f>
        <v>#REF!</v>
      </c>
      <c r="K126" s="131" t="e">
        <f>VLOOKUP($A126,'BC.115+040'!$B$13:$X$489,21,0)/1000</f>
        <v>#REF!</v>
      </c>
      <c r="L126" s="129" t="e">
        <f t="shared" si="3"/>
        <v>#REF!</v>
      </c>
      <c r="M126" s="130" t="e">
        <f t="shared" si="4"/>
        <v>#REF!</v>
      </c>
      <c r="N126" s="129" t="e">
        <f t="shared" si="5"/>
        <v>#REF!</v>
      </c>
      <c r="O126" s="129"/>
    </row>
    <row r="127" spans="1:15">
      <c r="A127" s="67" t="e">
        <f>'BC.115+040'!B126</f>
        <v>#REF!</v>
      </c>
      <c r="B127" s="129">
        <v>113</v>
      </c>
      <c r="C127" s="131" t="e">
        <f>'BC.115+040'!M126/1000</f>
        <v>#REF!</v>
      </c>
      <c r="D127" s="131" t="e">
        <f>'BC.115+040'!AA126</f>
        <v>#REF!</v>
      </c>
      <c r="E127" s="132" t="e">
        <f>'BC.115+040'!AB126</f>
        <v>#REF!</v>
      </c>
      <c r="F127" s="131" t="e">
        <f>VLOOKUP($A127,'BC.115+040'!$B$13:$X$489,8,0)/1000</f>
        <v>#REF!</v>
      </c>
      <c r="G127" s="131" t="e">
        <f>VLOOKUP($A127,'BC.115+040'!$B$13:$X$489,9,0)/1000</f>
        <v>#REF!</v>
      </c>
      <c r="H127" s="131" t="e">
        <f>VLOOKUP($A127,'BC.115+040'!$B$13:$X$489,14,0)/1000</f>
        <v>#REF!</v>
      </c>
      <c r="I127" s="131" t="e">
        <f>VLOOKUP($A127,'BC.115+040'!$B$13:$X$489,15,0)/1000</f>
        <v>#REF!</v>
      </c>
      <c r="J127" s="131" t="e">
        <f>VLOOKUP($A127,'BC.115+040'!$B$13:$X$489,20,0)/1000</f>
        <v>#REF!</v>
      </c>
      <c r="K127" s="131" t="e">
        <f>VLOOKUP($A127,'BC.115+040'!$B$13:$X$489,21,0)/1000</f>
        <v>#REF!</v>
      </c>
      <c r="L127" s="129" t="e">
        <f t="shared" si="3"/>
        <v>#REF!</v>
      </c>
      <c r="M127" s="130" t="e">
        <f t="shared" si="4"/>
        <v>#REF!</v>
      </c>
      <c r="N127" s="129" t="e">
        <f t="shared" si="5"/>
        <v>#REF!</v>
      </c>
      <c r="O127" s="129"/>
    </row>
    <row r="128" spans="1:15">
      <c r="A128" s="67" t="e">
        <f>'BC.115+040'!B127</f>
        <v>#REF!</v>
      </c>
      <c r="B128" s="129">
        <v>114</v>
      </c>
      <c r="C128" s="131" t="e">
        <f>'BC.115+040'!M127/1000</f>
        <v>#REF!</v>
      </c>
      <c r="D128" s="131" t="e">
        <f>'BC.115+040'!AA127</f>
        <v>#REF!</v>
      </c>
      <c r="E128" s="132" t="e">
        <f>'BC.115+040'!AB127</f>
        <v>#REF!</v>
      </c>
      <c r="F128" s="131" t="e">
        <f>VLOOKUP($A128,'BC.115+040'!$B$13:$X$489,8,0)/1000</f>
        <v>#REF!</v>
      </c>
      <c r="G128" s="131" t="e">
        <f>VLOOKUP($A128,'BC.115+040'!$B$13:$X$489,9,0)/1000</f>
        <v>#REF!</v>
      </c>
      <c r="H128" s="131" t="e">
        <f>VLOOKUP($A128,'BC.115+040'!$B$13:$X$489,14,0)/1000</f>
        <v>#REF!</v>
      </c>
      <c r="I128" s="131" t="e">
        <f>VLOOKUP($A128,'BC.115+040'!$B$13:$X$489,15,0)/1000</f>
        <v>#REF!</v>
      </c>
      <c r="J128" s="131" t="e">
        <f>VLOOKUP($A128,'BC.115+040'!$B$13:$X$489,20,0)/1000</f>
        <v>#REF!</v>
      </c>
      <c r="K128" s="131" t="e">
        <f>VLOOKUP($A128,'BC.115+040'!$B$13:$X$489,21,0)/1000</f>
        <v>#REF!</v>
      </c>
      <c r="L128" s="129" t="e">
        <f t="shared" si="3"/>
        <v>#REF!</v>
      </c>
      <c r="M128" s="130" t="e">
        <f t="shared" si="4"/>
        <v>#REF!</v>
      </c>
      <c r="N128" s="129" t="e">
        <f t="shared" si="5"/>
        <v>#REF!</v>
      </c>
      <c r="O128" s="129"/>
    </row>
    <row r="129" spans="1:15">
      <c r="A129" s="67" t="e">
        <f>'BC.115+040'!B128</f>
        <v>#REF!</v>
      </c>
      <c r="B129" s="129">
        <v>115</v>
      </c>
      <c r="C129" s="131" t="e">
        <f>'BC.115+040'!M128/1000</f>
        <v>#REF!</v>
      </c>
      <c r="D129" s="131" t="e">
        <f>'BC.115+040'!AA128</f>
        <v>#REF!</v>
      </c>
      <c r="E129" s="132" t="e">
        <f>'BC.115+040'!AB128</f>
        <v>#REF!</v>
      </c>
      <c r="F129" s="131" t="e">
        <f>VLOOKUP($A129,'BC.115+040'!$B$13:$X$489,8,0)/1000</f>
        <v>#REF!</v>
      </c>
      <c r="G129" s="131" t="e">
        <f>VLOOKUP($A129,'BC.115+040'!$B$13:$X$489,9,0)/1000</f>
        <v>#REF!</v>
      </c>
      <c r="H129" s="131" t="e">
        <f>VLOOKUP($A129,'BC.115+040'!$B$13:$X$489,14,0)/1000</f>
        <v>#REF!</v>
      </c>
      <c r="I129" s="131" t="e">
        <f>VLOOKUP($A129,'BC.115+040'!$B$13:$X$489,15,0)/1000</f>
        <v>#REF!</v>
      </c>
      <c r="J129" s="131" t="e">
        <f>VLOOKUP($A129,'BC.115+040'!$B$13:$X$489,20,0)/1000</f>
        <v>#REF!</v>
      </c>
      <c r="K129" s="131" t="e">
        <f>VLOOKUP($A129,'BC.115+040'!$B$13:$X$489,21,0)/1000</f>
        <v>#REF!</v>
      </c>
      <c r="L129" s="129" t="e">
        <f t="shared" si="3"/>
        <v>#REF!</v>
      </c>
      <c r="M129" s="130" t="e">
        <f t="shared" si="4"/>
        <v>#REF!</v>
      </c>
      <c r="N129" s="129" t="e">
        <f t="shared" si="5"/>
        <v>#REF!</v>
      </c>
      <c r="O129" s="129"/>
    </row>
    <row r="130" spans="1:15">
      <c r="A130" s="67" t="e">
        <f>'BC.115+040'!B129</f>
        <v>#REF!</v>
      </c>
      <c r="B130" s="129">
        <v>116</v>
      </c>
      <c r="C130" s="131" t="e">
        <f>'BC.115+040'!M129/1000</f>
        <v>#REF!</v>
      </c>
      <c r="D130" s="131" t="e">
        <f>'BC.115+040'!AA129</f>
        <v>#REF!</v>
      </c>
      <c r="E130" s="132" t="e">
        <f>'BC.115+040'!AB129</f>
        <v>#REF!</v>
      </c>
      <c r="F130" s="131" t="e">
        <f>VLOOKUP($A130,'BC.115+040'!$B$13:$X$489,8,0)/1000</f>
        <v>#REF!</v>
      </c>
      <c r="G130" s="131" t="e">
        <f>VLOOKUP($A130,'BC.115+040'!$B$13:$X$489,9,0)/1000</f>
        <v>#REF!</v>
      </c>
      <c r="H130" s="131" t="e">
        <f>VLOOKUP($A130,'BC.115+040'!$B$13:$X$489,14,0)/1000</f>
        <v>#REF!</v>
      </c>
      <c r="I130" s="131" t="e">
        <f>VLOOKUP($A130,'BC.115+040'!$B$13:$X$489,15,0)/1000</f>
        <v>#REF!</v>
      </c>
      <c r="J130" s="131" t="e">
        <f>VLOOKUP($A130,'BC.115+040'!$B$13:$X$489,20,0)/1000</f>
        <v>#REF!</v>
      </c>
      <c r="K130" s="131" t="e">
        <f>VLOOKUP($A130,'BC.115+040'!$B$13:$X$489,21,0)/1000</f>
        <v>#REF!</v>
      </c>
      <c r="L130" s="129" t="e">
        <f t="shared" si="3"/>
        <v>#REF!</v>
      </c>
      <c r="M130" s="130" t="e">
        <f t="shared" si="4"/>
        <v>#REF!</v>
      </c>
      <c r="N130" s="129" t="e">
        <f t="shared" si="5"/>
        <v>#REF!</v>
      </c>
      <c r="O130" s="129"/>
    </row>
    <row r="131" spans="1:15">
      <c r="A131" s="67" t="e">
        <f>'BC.115+040'!B130</f>
        <v>#REF!</v>
      </c>
      <c r="B131" s="129">
        <v>117</v>
      </c>
      <c r="C131" s="131" t="e">
        <f>'BC.115+040'!M130/1000</f>
        <v>#REF!</v>
      </c>
      <c r="D131" s="131" t="e">
        <f>'BC.115+040'!AA130</f>
        <v>#REF!</v>
      </c>
      <c r="E131" s="132" t="e">
        <f>'BC.115+040'!AB130</f>
        <v>#REF!</v>
      </c>
      <c r="F131" s="131" t="e">
        <f>VLOOKUP($A131,'BC.115+040'!$B$13:$X$489,8,0)/1000</f>
        <v>#REF!</v>
      </c>
      <c r="G131" s="131" t="e">
        <f>VLOOKUP($A131,'BC.115+040'!$B$13:$X$489,9,0)/1000</f>
        <v>#REF!</v>
      </c>
      <c r="H131" s="131" t="e">
        <f>VLOOKUP($A131,'BC.115+040'!$B$13:$X$489,14,0)/1000</f>
        <v>#REF!</v>
      </c>
      <c r="I131" s="131" t="e">
        <f>VLOOKUP($A131,'BC.115+040'!$B$13:$X$489,15,0)/1000</f>
        <v>#REF!</v>
      </c>
      <c r="J131" s="131" t="e">
        <f>VLOOKUP($A131,'BC.115+040'!$B$13:$X$489,20,0)/1000</f>
        <v>#REF!</v>
      </c>
      <c r="K131" s="131" t="e">
        <f>VLOOKUP($A131,'BC.115+040'!$B$13:$X$489,21,0)/1000</f>
        <v>#REF!</v>
      </c>
      <c r="L131" s="129" t="e">
        <f t="shared" si="3"/>
        <v>#REF!</v>
      </c>
      <c r="M131" s="130" t="e">
        <f t="shared" si="4"/>
        <v>#REF!</v>
      </c>
      <c r="N131" s="129" t="e">
        <f t="shared" si="5"/>
        <v>#REF!</v>
      </c>
      <c r="O131" s="129"/>
    </row>
    <row r="132" spans="1:15">
      <c r="A132" s="67" t="e">
        <f>'BC.115+040'!B131</f>
        <v>#REF!</v>
      </c>
      <c r="B132" s="129">
        <v>118</v>
      </c>
      <c r="C132" s="131" t="e">
        <f>'BC.115+040'!M131/1000</f>
        <v>#REF!</v>
      </c>
      <c r="D132" s="131" t="e">
        <f>'BC.115+040'!AA131</f>
        <v>#REF!</v>
      </c>
      <c r="E132" s="132" t="e">
        <f>'BC.115+040'!AB131</f>
        <v>#REF!</v>
      </c>
      <c r="F132" s="131" t="e">
        <f>VLOOKUP($A132,'BC.115+040'!$B$13:$X$489,8,0)/1000</f>
        <v>#REF!</v>
      </c>
      <c r="G132" s="131" t="e">
        <f>VLOOKUP($A132,'BC.115+040'!$B$13:$X$489,9,0)/1000</f>
        <v>#REF!</v>
      </c>
      <c r="H132" s="131" t="e">
        <f>VLOOKUP($A132,'BC.115+040'!$B$13:$X$489,14,0)/1000</f>
        <v>#REF!</v>
      </c>
      <c r="I132" s="131" t="e">
        <f>VLOOKUP($A132,'BC.115+040'!$B$13:$X$489,15,0)/1000</f>
        <v>#REF!</v>
      </c>
      <c r="J132" s="131" t="e">
        <f>VLOOKUP($A132,'BC.115+040'!$B$13:$X$489,20,0)/1000</f>
        <v>#REF!</v>
      </c>
      <c r="K132" s="131" t="e">
        <f>VLOOKUP($A132,'BC.115+040'!$B$13:$X$489,21,0)/1000</f>
        <v>#REF!</v>
      </c>
      <c r="L132" s="129" t="e">
        <f t="shared" si="3"/>
        <v>#REF!</v>
      </c>
      <c r="M132" s="130" t="e">
        <f t="shared" si="4"/>
        <v>#REF!</v>
      </c>
      <c r="N132" s="129" t="e">
        <f t="shared" si="5"/>
        <v>#REF!</v>
      </c>
      <c r="O132" s="129"/>
    </row>
    <row r="133" spans="1:15">
      <c r="A133" s="67" t="e">
        <f>'BC.115+040'!B132</f>
        <v>#REF!</v>
      </c>
      <c r="B133" s="129">
        <v>119</v>
      </c>
      <c r="C133" s="131" t="e">
        <f>'BC.115+040'!M132/1000</f>
        <v>#REF!</v>
      </c>
      <c r="D133" s="131" t="e">
        <f>'BC.115+040'!AA132</f>
        <v>#REF!</v>
      </c>
      <c r="E133" s="132" t="e">
        <f>'BC.115+040'!AB132</f>
        <v>#REF!</v>
      </c>
      <c r="F133" s="131" t="e">
        <f>VLOOKUP($A133,'BC.115+040'!$B$13:$X$489,8,0)/1000</f>
        <v>#REF!</v>
      </c>
      <c r="G133" s="131" t="e">
        <f>VLOOKUP($A133,'BC.115+040'!$B$13:$X$489,9,0)/1000</f>
        <v>#REF!</v>
      </c>
      <c r="H133" s="131" t="e">
        <f>VLOOKUP($A133,'BC.115+040'!$B$13:$X$489,14,0)/1000</f>
        <v>#REF!</v>
      </c>
      <c r="I133" s="131" t="e">
        <f>VLOOKUP($A133,'BC.115+040'!$B$13:$X$489,15,0)/1000</f>
        <v>#REF!</v>
      </c>
      <c r="J133" s="131" t="e">
        <f>VLOOKUP($A133,'BC.115+040'!$B$13:$X$489,20,0)/1000</f>
        <v>#REF!</v>
      </c>
      <c r="K133" s="131" t="e">
        <f>VLOOKUP($A133,'BC.115+040'!$B$13:$X$489,21,0)/1000</f>
        <v>#REF!</v>
      </c>
      <c r="L133" s="129" t="e">
        <f t="shared" si="3"/>
        <v>#REF!</v>
      </c>
      <c r="M133" s="130" t="e">
        <f t="shared" si="4"/>
        <v>#REF!</v>
      </c>
      <c r="N133" s="129" t="e">
        <f t="shared" si="5"/>
        <v>#REF!</v>
      </c>
      <c r="O133" s="129"/>
    </row>
    <row r="134" spans="1:15">
      <c r="A134" s="67" t="e">
        <f>'BC.115+040'!B133</f>
        <v>#REF!</v>
      </c>
      <c r="B134" s="129">
        <v>120</v>
      </c>
      <c r="C134" s="131" t="e">
        <f>'BC.115+040'!M133/1000</f>
        <v>#REF!</v>
      </c>
      <c r="D134" s="131" t="e">
        <f>'BC.115+040'!AA133</f>
        <v>#REF!</v>
      </c>
      <c r="E134" s="132" t="e">
        <f>'BC.115+040'!AB133</f>
        <v>#REF!</v>
      </c>
      <c r="F134" s="131" t="e">
        <f>VLOOKUP($A134,'BC.115+040'!$B$13:$X$489,8,0)/1000</f>
        <v>#REF!</v>
      </c>
      <c r="G134" s="131" t="e">
        <f>VLOOKUP($A134,'BC.115+040'!$B$13:$X$489,9,0)/1000</f>
        <v>#REF!</v>
      </c>
      <c r="H134" s="131" t="e">
        <f>VLOOKUP($A134,'BC.115+040'!$B$13:$X$489,14,0)/1000</f>
        <v>#REF!</v>
      </c>
      <c r="I134" s="131" t="e">
        <f>VLOOKUP($A134,'BC.115+040'!$B$13:$X$489,15,0)/1000</f>
        <v>#REF!</v>
      </c>
      <c r="J134" s="131" t="e">
        <f>VLOOKUP($A134,'BC.115+040'!$B$13:$X$489,20,0)/1000</f>
        <v>#REF!</v>
      </c>
      <c r="K134" s="131" t="e">
        <f>VLOOKUP($A134,'BC.115+040'!$B$13:$X$489,21,0)/1000</f>
        <v>#REF!</v>
      </c>
      <c r="L134" s="129" t="e">
        <f t="shared" si="3"/>
        <v>#REF!</v>
      </c>
      <c r="M134" s="130" t="e">
        <f t="shared" si="4"/>
        <v>#REF!</v>
      </c>
      <c r="N134" s="129" t="e">
        <f t="shared" si="5"/>
        <v>#REF!</v>
      </c>
      <c r="O134" s="133"/>
    </row>
    <row r="135" spans="1:15">
      <c r="A135" s="67" t="e">
        <f>'BC.115+040'!B134</f>
        <v>#REF!</v>
      </c>
      <c r="B135" s="129">
        <v>121</v>
      </c>
      <c r="C135" s="131" t="e">
        <f>'BC.115+040'!M134/1000</f>
        <v>#REF!</v>
      </c>
      <c r="D135" s="131" t="e">
        <f>'BC.115+040'!AA134</f>
        <v>#REF!</v>
      </c>
      <c r="E135" s="132" t="e">
        <f>'BC.115+040'!AB134</f>
        <v>#REF!</v>
      </c>
      <c r="F135" s="131" t="e">
        <f>VLOOKUP($A135,'BC.115+040'!$B$13:$X$489,8,0)/1000</f>
        <v>#REF!</v>
      </c>
      <c r="G135" s="131" t="e">
        <f>VLOOKUP($A135,'BC.115+040'!$B$13:$X$489,9,0)/1000</f>
        <v>#REF!</v>
      </c>
      <c r="H135" s="131" t="e">
        <f>VLOOKUP($A135,'BC.115+040'!$B$13:$X$489,14,0)/1000</f>
        <v>#REF!</v>
      </c>
      <c r="I135" s="131" t="e">
        <f>VLOOKUP($A135,'BC.115+040'!$B$13:$X$489,15,0)/1000</f>
        <v>#REF!</v>
      </c>
      <c r="J135" s="131" t="e">
        <f>VLOOKUP($A135,'BC.115+040'!$B$13:$X$489,20,0)/1000</f>
        <v>#REF!</v>
      </c>
      <c r="K135" s="131" t="e">
        <f>VLOOKUP($A135,'BC.115+040'!$B$13:$X$489,21,0)/1000</f>
        <v>#REF!</v>
      </c>
      <c r="L135" s="129" t="e">
        <f t="shared" si="3"/>
        <v>#REF!</v>
      </c>
      <c r="M135" s="130" t="e">
        <f t="shared" si="4"/>
        <v>#REF!</v>
      </c>
      <c r="N135" s="129" t="e">
        <f t="shared" si="5"/>
        <v>#REF!</v>
      </c>
      <c r="O135" s="129"/>
    </row>
    <row r="136" spans="1:15">
      <c r="A136" s="67" t="e">
        <f>'BC.115+040'!B135</f>
        <v>#REF!</v>
      </c>
      <c r="B136" s="129">
        <v>122</v>
      </c>
      <c r="C136" s="131" t="e">
        <f>'BC.115+040'!M135/1000</f>
        <v>#REF!</v>
      </c>
      <c r="D136" s="131" t="e">
        <f>'BC.115+040'!AA135</f>
        <v>#REF!</v>
      </c>
      <c r="E136" s="132" t="e">
        <f>'BC.115+040'!AB135</f>
        <v>#REF!</v>
      </c>
      <c r="F136" s="131" t="e">
        <f>VLOOKUP($A136,'BC.115+040'!$B$13:$X$489,8,0)/1000</f>
        <v>#REF!</v>
      </c>
      <c r="G136" s="131" t="e">
        <f>VLOOKUP($A136,'BC.115+040'!$B$13:$X$489,9,0)/1000</f>
        <v>#REF!</v>
      </c>
      <c r="H136" s="131" t="e">
        <f>VLOOKUP($A136,'BC.115+040'!$B$13:$X$489,14,0)/1000</f>
        <v>#REF!</v>
      </c>
      <c r="I136" s="131" t="e">
        <f>VLOOKUP($A136,'BC.115+040'!$B$13:$X$489,15,0)/1000</f>
        <v>#REF!</v>
      </c>
      <c r="J136" s="131" t="e">
        <f>VLOOKUP($A136,'BC.115+040'!$B$13:$X$489,20,0)/1000</f>
        <v>#REF!</v>
      </c>
      <c r="K136" s="131" t="e">
        <f>VLOOKUP($A136,'BC.115+040'!$B$13:$X$489,21,0)/1000</f>
        <v>#REF!</v>
      </c>
      <c r="L136" s="129" t="e">
        <f t="shared" si="3"/>
        <v>#REF!</v>
      </c>
      <c r="M136" s="130" t="e">
        <f t="shared" si="4"/>
        <v>#REF!</v>
      </c>
      <c r="N136" s="129" t="e">
        <f t="shared" si="5"/>
        <v>#REF!</v>
      </c>
      <c r="O136" s="129"/>
    </row>
    <row r="137" spans="1:15">
      <c r="A137" s="67" t="e">
        <f>'BC.115+040'!B136</f>
        <v>#REF!</v>
      </c>
      <c r="B137" s="129">
        <v>123</v>
      </c>
      <c r="C137" s="131" t="e">
        <f>'BC.115+040'!M136/1000</f>
        <v>#REF!</v>
      </c>
      <c r="D137" s="131" t="e">
        <f>'BC.115+040'!AA136</f>
        <v>#REF!</v>
      </c>
      <c r="E137" s="132" t="e">
        <f>'BC.115+040'!AB136</f>
        <v>#REF!</v>
      </c>
      <c r="F137" s="131" t="e">
        <f>VLOOKUP($A137,'BC.115+040'!$B$13:$X$489,8,0)/1000</f>
        <v>#REF!</v>
      </c>
      <c r="G137" s="131" t="e">
        <f>VLOOKUP($A137,'BC.115+040'!$B$13:$X$489,9,0)/1000</f>
        <v>#REF!</v>
      </c>
      <c r="H137" s="131" t="e">
        <f>VLOOKUP($A137,'BC.115+040'!$B$13:$X$489,14,0)/1000</f>
        <v>#REF!</v>
      </c>
      <c r="I137" s="131" t="e">
        <f>VLOOKUP($A137,'BC.115+040'!$B$13:$X$489,15,0)/1000</f>
        <v>#REF!</v>
      </c>
      <c r="J137" s="131" t="e">
        <f>VLOOKUP($A137,'BC.115+040'!$B$13:$X$489,20,0)/1000</f>
        <v>#REF!</v>
      </c>
      <c r="K137" s="131" t="e">
        <f>VLOOKUP($A137,'BC.115+040'!$B$13:$X$489,21,0)/1000</f>
        <v>#REF!</v>
      </c>
      <c r="L137" s="129" t="e">
        <f t="shared" si="3"/>
        <v>#REF!</v>
      </c>
      <c r="M137" s="130" t="e">
        <f t="shared" si="4"/>
        <v>#REF!</v>
      </c>
      <c r="N137" s="129" t="e">
        <f t="shared" si="5"/>
        <v>#REF!</v>
      </c>
      <c r="O137" s="129"/>
    </row>
    <row r="138" spans="1:15">
      <c r="A138" s="67" t="e">
        <f>'BC.115+040'!B137</f>
        <v>#REF!</v>
      </c>
      <c r="B138" s="129">
        <v>124</v>
      </c>
      <c r="C138" s="131" t="e">
        <f>'BC.115+040'!M137/1000</f>
        <v>#REF!</v>
      </c>
      <c r="D138" s="131" t="e">
        <f>'BC.115+040'!AA137</f>
        <v>#REF!</v>
      </c>
      <c r="E138" s="132" t="e">
        <f>'BC.115+040'!AB137</f>
        <v>#REF!</v>
      </c>
      <c r="F138" s="131" t="e">
        <f>VLOOKUP($A138,'BC.115+040'!$B$13:$X$489,8,0)/1000</f>
        <v>#REF!</v>
      </c>
      <c r="G138" s="131" t="e">
        <f>VLOOKUP($A138,'BC.115+040'!$B$13:$X$489,9,0)/1000</f>
        <v>#REF!</v>
      </c>
      <c r="H138" s="131" t="e">
        <f>VLOOKUP($A138,'BC.115+040'!$B$13:$X$489,14,0)/1000</f>
        <v>#REF!</v>
      </c>
      <c r="I138" s="131" t="e">
        <f>VLOOKUP($A138,'BC.115+040'!$B$13:$X$489,15,0)/1000</f>
        <v>#REF!</v>
      </c>
      <c r="J138" s="131" t="e">
        <f>VLOOKUP($A138,'BC.115+040'!$B$13:$X$489,20,0)/1000</f>
        <v>#REF!</v>
      </c>
      <c r="K138" s="131" t="e">
        <f>VLOOKUP($A138,'BC.115+040'!$B$13:$X$489,21,0)/1000</f>
        <v>#REF!</v>
      </c>
      <c r="L138" s="129" t="e">
        <f t="shared" si="3"/>
        <v>#REF!</v>
      </c>
      <c r="M138" s="130" t="e">
        <f t="shared" si="4"/>
        <v>#REF!</v>
      </c>
      <c r="N138" s="129" t="e">
        <f t="shared" si="5"/>
        <v>#REF!</v>
      </c>
      <c r="O138" s="129"/>
    </row>
    <row r="139" spans="1:15">
      <c r="A139" s="67" t="e">
        <f>'BC.115+040'!B138</f>
        <v>#REF!</v>
      </c>
      <c r="B139" s="129">
        <v>125</v>
      </c>
      <c r="C139" s="131" t="e">
        <f>'BC.115+040'!M138/1000</f>
        <v>#REF!</v>
      </c>
      <c r="D139" s="131" t="e">
        <f>'BC.115+040'!AA138</f>
        <v>#REF!</v>
      </c>
      <c r="E139" s="132" t="e">
        <f>'BC.115+040'!AB138</f>
        <v>#REF!</v>
      </c>
      <c r="F139" s="131" t="e">
        <f>VLOOKUP($A139,'BC.115+040'!$B$13:$X$489,8,0)/1000</f>
        <v>#REF!</v>
      </c>
      <c r="G139" s="131" t="e">
        <f>VLOOKUP($A139,'BC.115+040'!$B$13:$X$489,9,0)/1000</f>
        <v>#REF!</v>
      </c>
      <c r="H139" s="131" t="e">
        <f>VLOOKUP($A139,'BC.115+040'!$B$13:$X$489,14,0)/1000</f>
        <v>#REF!</v>
      </c>
      <c r="I139" s="131" t="e">
        <f>VLOOKUP($A139,'BC.115+040'!$B$13:$X$489,15,0)/1000</f>
        <v>#REF!</v>
      </c>
      <c r="J139" s="131" t="e">
        <f>VLOOKUP($A139,'BC.115+040'!$B$13:$X$489,20,0)/1000</f>
        <v>#REF!</v>
      </c>
      <c r="K139" s="131" t="e">
        <f>VLOOKUP($A139,'BC.115+040'!$B$13:$X$489,21,0)/1000</f>
        <v>#REF!</v>
      </c>
      <c r="L139" s="129" t="e">
        <f t="shared" si="3"/>
        <v>#REF!</v>
      </c>
      <c r="M139" s="130" t="e">
        <f t="shared" si="4"/>
        <v>#REF!</v>
      </c>
      <c r="N139" s="129" t="e">
        <f t="shared" si="5"/>
        <v>#REF!</v>
      </c>
      <c r="O139" s="129"/>
    </row>
    <row r="140" spans="1:15">
      <c r="A140" s="67" t="e">
        <f>'BC.115+040'!B139</f>
        <v>#REF!</v>
      </c>
      <c r="B140" s="129">
        <v>126</v>
      </c>
      <c r="C140" s="131" t="e">
        <f>'BC.115+040'!M139/1000</f>
        <v>#REF!</v>
      </c>
      <c r="D140" s="131" t="e">
        <f>'BC.115+040'!AA139</f>
        <v>#REF!</v>
      </c>
      <c r="E140" s="132" t="e">
        <f>'BC.115+040'!AB139</f>
        <v>#REF!</v>
      </c>
      <c r="F140" s="131" t="e">
        <f>VLOOKUP($A140,'BC.115+040'!$B$13:$X$489,8,0)/1000</f>
        <v>#REF!</v>
      </c>
      <c r="G140" s="131" t="e">
        <f>VLOOKUP($A140,'BC.115+040'!$B$13:$X$489,9,0)/1000</f>
        <v>#REF!</v>
      </c>
      <c r="H140" s="131" t="e">
        <f>VLOOKUP($A140,'BC.115+040'!$B$13:$X$489,14,0)/1000</f>
        <v>#REF!</v>
      </c>
      <c r="I140" s="131" t="e">
        <f>VLOOKUP($A140,'BC.115+040'!$B$13:$X$489,15,0)/1000</f>
        <v>#REF!</v>
      </c>
      <c r="J140" s="131" t="e">
        <f>VLOOKUP($A140,'BC.115+040'!$B$13:$X$489,20,0)/1000</f>
        <v>#REF!</v>
      </c>
      <c r="K140" s="131" t="e">
        <f>VLOOKUP($A140,'BC.115+040'!$B$13:$X$489,21,0)/1000</f>
        <v>#REF!</v>
      </c>
      <c r="L140" s="129" t="e">
        <f t="shared" si="3"/>
        <v>#REF!</v>
      </c>
      <c r="M140" s="130" t="e">
        <f t="shared" si="4"/>
        <v>#REF!</v>
      </c>
      <c r="N140" s="129" t="e">
        <f t="shared" si="5"/>
        <v>#REF!</v>
      </c>
      <c r="O140" s="129"/>
    </row>
    <row r="141" spans="1:15">
      <c r="A141" s="67" t="e">
        <f>'BC.115+040'!B140</f>
        <v>#REF!</v>
      </c>
      <c r="B141" s="129">
        <v>127</v>
      </c>
      <c r="C141" s="131" t="e">
        <f>'BC.115+040'!M140/1000</f>
        <v>#REF!</v>
      </c>
      <c r="D141" s="131" t="e">
        <f>'BC.115+040'!AA140</f>
        <v>#REF!</v>
      </c>
      <c r="E141" s="132" t="e">
        <f>'BC.115+040'!AB140</f>
        <v>#REF!</v>
      </c>
      <c r="F141" s="131" t="e">
        <f>VLOOKUP($A141,'BC.115+040'!$B$13:$X$489,8,0)/1000</f>
        <v>#REF!</v>
      </c>
      <c r="G141" s="131" t="e">
        <f>VLOOKUP($A141,'BC.115+040'!$B$13:$X$489,9,0)/1000</f>
        <v>#REF!</v>
      </c>
      <c r="H141" s="131" t="e">
        <f>VLOOKUP($A141,'BC.115+040'!$B$13:$X$489,14,0)/1000</f>
        <v>#REF!</v>
      </c>
      <c r="I141" s="131" t="e">
        <f>VLOOKUP($A141,'BC.115+040'!$B$13:$X$489,15,0)/1000</f>
        <v>#REF!</v>
      </c>
      <c r="J141" s="131" t="e">
        <f>VLOOKUP($A141,'BC.115+040'!$B$13:$X$489,20,0)/1000</f>
        <v>#REF!</v>
      </c>
      <c r="K141" s="131" t="e">
        <f>VLOOKUP($A141,'BC.115+040'!$B$13:$X$489,21,0)/1000</f>
        <v>#REF!</v>
      </c>
      <c r="L141" s="129" t="e">
        <f t="shared" si="3"/>
        <v>#REF!</v>
      </c>
      <c r="M141" s="130" t="e">
        <f t="shared" si="4"/>
        <v>#REF!</v>
      </c>
      <c r="N141" s="129" t="e">
        <f t="shared" si="5"/>
        <v>#REF!</v>
      </c>
      <c r="O141" s="129"/>
    </row>
    <row r="142" spans="1:15">
      <c r="A142" s="67" t="e">
        <f>'BC.115+040'!B141</f>
        <v>#REF!</v>
      </c>
      <c r="B142" s="129">
        <v>128</v>
      </c>
      <c r="C142" s="131" t="e">
        <f>'BC.115+040'!M141/1000</f>
        <v>#REF!</v>
      </c>
      <c r="D142" s="131" t="e">
        <f>'BC.115+040'!AA141</f>
        <v>#REF!</v>
      </c>
      <c r="E142" s="132" t="e">
        <f>'BC.115+040'!AB141</f>
        <v>#REF!</v>
      </c>
      <c r="F142" s="131" t="e">
        <f>VLOOKUP($A142,'BC.115+040'!$B$13:$X$489,8,0)/1000</f>
        <v>#REF!</v>
      </c>
      <c r="G142" s="131" t="e">
        <f>VLOOKUP($A142,'BC.115+040'!$B$13:$X$489,9,0)/1000</f>
        <v>#REF!</v>
      </c>
      <c r="H142" s="131" t="e">
        <f>VLOOKUP($A142,'BC.115+040'!$B$13:$X$489,14,0)/1000</f>
        <v>#REF!</v>
      </c>
      <c r="I142" s="131" t="e">
        <f>VLOOKUP($A142,'BC.115+040'!$B$13:$X$489,15,0)/1000</f>
        <v>#REF!</v>
      </c>
      <c r="J142" s="131" t="e">
        <f>VLOOKUP($A142,'BC.115+040'!$B$13:$X$489,20,0)/1000</f>
        <v>#REF!</v>
      </c>
      <c r="K142" s="131" t="e">
        <f>VLOOKUP($A142,'BC.115+040'!$B$13:$X$489,21,0)/1000</f>
        <v>#REF!</v>
      </c>
      <c r="L142" s="129" t="e">
        <f t="shared" ref="L142:L205" si="6">(G142-$G$14)*1000</f>
        <v>#REF!</v>
      </c>
      <c r="M142" s="130" t="e">
        <f t="shared" ref="M142:M205" si="7">(I142-$I$14)*1000</f>
        <v>#REF!</v>
      </c>
      <c r="N142" s="129" t="e">
        <f t="shared" si="5"/>
        <v>#REF!</v>
      </c>
      <c r="O142" s="129"/>
    </row>
    <row r="143" spans="1:15">
      <c r="A143" s="67" t="e">
        <f>'BC.115+040'!B142</f>
        <v>#REF!</v>
      </c>
      <c r="B143" s="129">
        <v>129</v>
      </c>
      <c r="C143" s="131" t="e">
        <f>'BC.115+040'!M142/1000</f>
        <v>#REF!</v>
      </c>
      <c r="D143" s="131" t="e">
        <f>'BC.115+040'!AA142</f>
        <v>#REF!</v>
      </c>
      <c r="E143" s="132" t="e">
        <f>'BC.115+040'!AB142</f>
        <v>#REF!</v>
      </c>
      <c r="F143" s="131" t="e">
        <f>VLOOKUP($A143,'BC.115+040'!$B$13:$X$489,8,0)/1000</f>
        <v>#REF!</v>
      </c>
      <c r="G143" s="131" t="e">
        <f>VLOOKUP($A143,'BC.115+040'!$B$13:$X$489,9,0)/1000</f>
        <v>#REF!</v>
      </c>
      <c r="H143" s="131" t="e">
        <f>VLOOKUP($A143,'BC.115+040'!$B$13:$X$489,14,0)/1000</f>
        <v>#REF!</v>
      </c>
      <c r="I143" s="131" t="e">
        <f>VLOOKUP($A143,'BC.115+040'!$B$13:$X$489,15,0)/1000</f>
        <v>#REF!</v>
      </c>
      <c r="J143" s="131" t="e">
        <f>VLOOKUP($A143,'BC.115+040'!$B$13:$X$489,20,0)/1000</f>
        <v>#REF!</v>
      </c>
      <c r="K143" s="131" t="e">
        <f>VLOOKUP($A143,'BC.115+040'!$B$13:$X$489,21,0)/1000</f>
        <v>#REF!</v>
      </c>
      <c r="L143" s="129" t="e">
        <f t="shared" si="6"/>
        <v>#REF!</v>
      </c>
      <c r="M143" s="130" t="e">
        <f t="shared" si="7"/>
        <v>#REF!</v>
      </c>
      <c r="N143" s="129" t="e">
        <f t="shared" ref="N143:N206" si="8">(K143-$K$14)*1000</f>
        <v>#REF!</v>
      </c>
      <c r="O143" s="129"/>
    </row>
    <row r="144" spans="1:15">
      <c r="A144" s="67" t="e">
        <f>'BC.115+040'!B143</f>
        <v>#REF!</v>
      </c>
      <c r="B144" s="129">
        <v>130</v>
      </c>
      <c r="C144" s="131" t="e">
        <f>'BC.115+040'!M143/1000</f>
        <v>#REF!</v>
      </c>
      <c r="D144" s="131" t="e">
        <f>'BC.115+040'!AA143</f>
        <v>#REF!</v>
      </c>
      <c r="E144" s="132" t="e">
        <f>'BC.115+040'!AB143</f>
        <v>#REF!</v>
      </c>
      <c r="F144" s="131" t="e">
        <f>VLOOKUP($A144,'BC.115+040'!$B$13:$X$489,8,0)/1000</f>
        <v>#REF!</v>
      </c>
      <c r="G144" s="131" t="e">
        <f>VLOOKUP($A144,'BC.115+040'!$B$13:$X$489,9,0)/1000</f>
        <v>#REF!</v>
      </c>
      <c r="H144" s="131" t="e">
        <f>VLOOKUP($A144,'BC.115+040'!$B$13:$X$489,14,0)/1000</f>
        <v>#REF!</v>
      </c>
      <c r="I144" s="131" t="e">
        <f>VLOOKUP($A144,'BC.115+040'!$B$13:$X$489,15,0)/1000</f>
        <v>#REF!</v>
      </c>
      <c r="J144" s="131" t="e">
        <f>VLOOKUP($A144,'BC.115+040'!$B$13:$X$489,20,0)/1000</f>
        <v>#REF!</v>
      </c>
      <c r="K144" s="131" t="e">
        <f>VLOOKUP($A144,'BC.115+040'!$B$13:$X$489,21,0)/1000</f>
        <v>#REF!</v>
      </c>
      <c r="L144" s="129" t="e">
        <f t="shared" si="6"/>
        <v>#REF!</v>
      </c>
      <c r="M144" s="130" t="e">
        <f t="shared" si="7"/>
        <v>#REF!</v>
      </c>
      <c r="N144" s="129" t="e">
        <f t="shared" si="8"/>
        <v>#REF!</v>
      </c>
      <c r="O144" s="129"/>
    </row>
    <row r="145" spans="1:15">
      <c r="A145" s="67" t="e">
        <f>'BC.115+040'!B144</f>
        <v>#REF!</v>
      </c>
      <c r="B145" s="129">
        <v>131</v>
      </c>
      <c r="C145" s="131" t="e">
        <f>'BC.115+040'!M144/1000</f>
        <v>#REF!</v>
      </c>
      <c r="D145" s="131" t="e">
        <f>'BC.115+040'!AA144</f>
        <v>#REF!</v>
      </c>
      <c r="E145" s="132" t="e">
        <f>'BC.115+040'!AB144</f>
        <v>#REF!</v>
      </c>
      <c r="F145" s="131" t="e">
        <f>VLOOKUP($A145,'BC.115+040'!$B$13:$X$489,8,0)/1000</f>
        <v>#REF!</v>
      </c>
      <c r="G145" s="131" t="e">
        <f>VLOOKUP($A145,'BC.115+040'!$B$13:$X$489,9,0)/1000</f>
        <v>#REF!</v>
      </c>
      <c r="H145" s="131" t="e">
        <f>VLOOKUP($A145,'BC.115+040'!$B$13:$X$489,14,0)/1000</f>
        <v>#REF!</v>
      </c>
      <c r="I145" s="131" t="e">
        <f>VLOOKUP($A145,'BC.115+040'!$B$13:$X$489,15,0)/1000</f>
        <v>#REF!</v>
      </c>
      <c r="J145" s="131" t="e">
        <f>VLOOKUP($A145,'BC.115+040'!$B$13:$X$489,20,0)/1000</f>
        <v>#REF!</v>
      </c>
      <c r="K145" s="131" t="e">
        <f>VLOOKUP($A145,'BC.115+040'!$B$13:$X$489,21,0)/1000</f>
        <v>#REF!</v>
      </c>
      <c r="L145" s="129" t="e">
        <f t="shared" si="6"/>
        <v>#REF!</v>
      </c>
      <c r="M145" s="130" t="e">
        <f t="shared" si="7"/>
        <v>#REF!</v>
      </c>
      <c r="N145" s="129" t="e">
        <f t="shared" si="8"/>
        <v>#REF!</v>
      </c>
      <c r="O145" s="129"/>
    </row>
    <row r="146" spans="1:15">
      <c r="A146" s="67" t="e">
        <f>'BC.115+040'!B145</f>
        <v>#REF!</v>
      </c>
      <c r="B146" s="129">
        <v>132</v>
      </c>
      <c r="C146" s="131" t="e">
        <f>'BC.115+040'!M145/1000</f>
        <v>#REF!</v>
      </c>
      <c r="D146" s="131" t="e">
        <f>'BC.115+040'!AA145</f>
        <v>#REF!</v>
      </c>
      <c r="E146" s="132" t="e">
        <f>'BC.115+040'!AB145</f>
        <v>#REF!</v>
      </c>
      <c r="F146" s="131" t="e">
        <f>VLOOKUP($A146,'BC.115+040'!$B$13:$X$489,8,0)/1000</f>
        <v>#REF!</v>
      </c>
      <c r="G146" s="131" t="e">
        <f>VLOOKUP($A146,'BC.115+040'!$B$13:$X$489,9,0)/1000</f>
        <v>#REF!</v>
      </c>
      <c r="H146" s="131" t="e">
        <f>VLOOKUP($A146,'BC.115+040'!$B$13:$X$489,14,0)/1000</f>
        <v>#REF!</v>
      </c>
      <c r="I146" s="131" t="e">
        <f>VLOOKUP($A146,'BC.115+040'!$B$13:$X$489,15,0)/1000</f>
        <v>#REF!</v>
      </c>
      <c r="J146" s="131" t="e">
        <f>VLOOKUP($A146,'BC.115+040'!$B$13:$X$489,20,0)/1000</f>
        <v>#REF!</v>
      </c>
      <c r="K146" s="131" t="e">
        <f>VLOOKUP($A146,'BC.115+040'!$B$13:$X$489,21,0)/1000</f>
        <v>#REF!</v>
      </c>
      <c r="L146" s="129" t="e">
        <f t="shared" si="6"/>
        <v>#REF!</v>
      </c>
      <c r="M146" s="130" t="e">
        <f t="shared" si="7"/>
        <v>#REF!</v>
      </c>
      <c r="N146" s="129" t="e">
        <f t="shared" si="8"/>
        <v>#REF!</v>
      </c>
      <c r="O146" s="129"/>
    </row>
    <row r="147" spans="1:15">
      <c r="A147" s="67" t="e">
        <f>'BC.115+040'!B146</f>
        <v>#REF!</v>
      </c>
      <c r="B147" s="129">
        <v>133</v>
      </c>
      <c r="C147" s="131" t="e">
        <f>'BC.115+040'!M146/1000</f>
        <v>#REF!</v>
      </c>
      <c r="D147" s="131" t="e">
        <f>'BC.115+040'!AA146</f>
        <v>#REF!</v>
      </c>
      <c r="E147" s="132" t="e">
        <f>'BC.115+040'!AB146</f>
        <v>#REF!</v>
      </c>
      <c r="F147" s="131" t="e">
        <f>VLOOKUP($A147,'BC.115+040'!$B$13:$X$489,8,0)/1000</f>
        <v>#REF!</v>
      </c>
      <c r="G147" s="131" t="e">
        <f>VLOOKUP($A147,'BC.115+040'!$B$13:$X$489,9,0)/1000</f>
        <v>#REF!</v>
      </c>
      <c r="H147" s="131" t="e">
        <f>VLOOKUP($A147,'BC.115+040'!$B$13:$X$489,14,0)/1000</f>
        <v>#REF!</v>
      </c>
      <c r="I147" s="131" t="e">
        <f>VLOOKUP($A147,'BC.115+040'!$B$13:$X$489,15,0)/1000</f>
        <v>#REF!</v>
      </c>
      <c r="J147" s="131" t="e">
        <f>VLOOKUP($A147,'BC.115+040'!$B$13:$X$489,20,0)/1000</f>
        <v>#REF!</v>
      </c>
      <c r="K147" s="131" t="e">
        <f>VLOOKUP($A147,'BC.115+040'!$B$13:$X$489,21,0)/1000</f>
        <v>#REF!</v>
      </c>
      <c r="L147" s="129" t="e">
        <f t="shared" si="6"/>
        <v>#REF!</v>
      </c>
      <c r="M147" s="130" t="e">
        <f t="shared" si="7"/>
        <v>#REF!</v>
      </c>
      <c r="N147" s="129" t="e">
        <f t="shared" si="8"/>
        <v>#REF!</v>
      </c>
      <c r="O147" s="129"/>
    </row>
    <row r="148" spans="1:15">
      <c r="A148" s="67" t="e">
        <f>'BC.115+040'!B147</f>
        <v>#REF!</v>
      </c>
      <c r="B148" s="129">
        <v>134</v>
      </c>
      <c r="C148" s="131" t="e">
        <f>'BC.115+040'!M147/1000</f>
        <v>#REF!</v>
      </c>
      <c r="D148" s="131" t="e">
        <f>'BC.115+040'!AA147</f>
        <v>#REF!</v>
      </c>
      <c r="E148" s="132" t="e">
        <f>'BC.115+040'!AB147</f>
        <v>#REF!</v>
      </c>
      <c r="F148" s="131" t="e">
        <f>VLOOKUP($A148,'BC.115+040'!$B$13:$X$489,8,0)/1000</f>
        <v>#REF!</v>
      </c>
      <c r="G148" s="131" t="e">
        <f>VLOOKUP($A148,'BC.115+040'!$B$13:$X$489,9,0)/1000</f>
        <v>#REF!</v>
      </c>
      <c r="H148" s="131" t="e">
        <f>VLOOKUP($A148,'BC.115+040'!$B$13:$X$489,14,0)/1000</f>
        <v>#REF!</v>
      </c>
      <c r="I148" s="131" t="e">
        <f>VLOOKUP($A148,'BC.115+040'!$B$13:$X$489,15,0)/1000</f>
        <v>#REF!</v>
      </c>
      <c r="J148" s="131" t="e">
        <f>VLOOKUP($A148,'BC.115+040'!$B$13:$X$489,20,0)/1000</f>
        <v>#REF!</v>
      </c>
      <c r="K148" s="131" t="e">
        <f>VLOOKUP($A148,'BC.115+040'!$B$13:$X$489,21,0)/1000</f>
        <v>#REF!</v>
      </c>
      <c r="L148" s="129" t="e">
        <f t="shared" si="6"/>
        <v>#REF!</v>
      </c>
      <c r="M148" s="130" t="e">
        <f t="shared" si="7"/>
        <v>#REF!</v>
      </c>
      <c r="N148" s="129" t="e">
        <f t="shared" si="8"/>
        <v>#REF!</v>
      </c>
      <c r="O148" s="129"/>
    </row>
    <row r="149" spans="1:15">
      <c r="A149" s="67" t="e">
        <f>'BC.115+040'!B148</f>
        <v>#REF!</v>
      </c>
      <c r="B149" s="129">
        <v>135</v>
      </c>
      <c r="C149" s="131" t="e">
        <f>'BC.115+040'!M148/1000</f>
        <v>#REF!</v>
      </c>
      <c r="D149" s="131" t="e">
        <f>'BC.115+040'!AA148</f>
        <v>#REF!</v>
      </c>
      <c r="E149" s="132" t="e">
        <f>'BC.115+040'!AB148</f>
        <v>#REF!</v>
      </c>
      <c r="F149" s="131" t="e">
        <f>VLOOKUP($A149,'BC.115+040'!$B$13:$X$489,8,0)/1000</f>
        <v>#REF!</v>
      </c>
      <c r="G149" s="131" t="e">
        <f>VLOOKUP($A149,'BC.115+040'!$B$13:$X$489,9,0)/1000</f>
        <v>#REF!</v>
      </c>
      <c r="H149" s="131" t="e">
        <f>VLOOKUP($A149,'BC.115+040'!$B$13:$X$489,14,0)/1000</f>
        <v>#REF!</v>
      </c>
      <c r="I149" s="131" t="e">
        <f>VLOOKUP($A149,'BC.115+040'!$B$13:$X$489,15,0)/1000</f>
        <v>#REF!</v>
      </c>
      <c r="J149" s="131" t="e">
        <f>VLOOKUP($A149,'BC.115+040'!$B$13:$X$489,20,0)/1000</f>
        <v>#REF!</v>
      </c>
      <c r="K149" s="131" t="e">
        <f>VLOOKUP($A149,'BC.115+040'!$B$13:$X$489,21,0)/1000</f>
        <v>#REF!</v>
      </c>
      <c r="L149" s="129" t="e">
        <f t="shared" si="6"/>
        <v>#REF!</v>
      </c>
      <c r="M149" s="130" t="e">
        <f t="shared" si="7"/>
        <v>#REF!</v>
      </c>
      <c r="N149" s="129" t="e">
        <f t="shared" si="8"/>
        <v>#REF!</v>
      </c>
      <c r="O149" s="129"/>
    </row>
    <row r="150" spans="1:15">
      <c r="A150" s="67" t="e">
        <f>'BC.115+040'!B149</f>
        <v>#REF!</v>
      </c>
      <c r="B150" s="129">
        <v>136</v>
      </c>
      <c r="C150" s="131" t="e">
        <f>'BC.115+040'!M149/1000</f>
        <v>#REF!</v>
      </c>
      <c r="D150" s="131" t="e">
        <f>'BC.115+040'!AA149</f>
        <v>#REF!</v>
      </c>
      <c r="E150" s="132" t="e">
        <f>'BC.115+040'!AB149</f>
        <v>#REF!</v>
      </c>
      <c r="F150" s="131" t="e">
        <f>VLOOKUP($A150,'BC.115+040'!$B$13:$X$489,8,0)/1000</f>
        <v>#REF!</v>
      </c>
      <c r="G150" s="131" t="e">
        <f>VLOOKUP($A150,'BC.115+040'!$B$13:$X$489,9,0)/1000</f>
        <v>#REF!</v>
      </c>
      <c r="H150" s="131" t="e">
        <f>VLOOKUP($A150,'BC.115+040'!$B$13:$X$489,14,0)/1000</f>
        <v>#REF!</v>
      </c>
      <c r="I150" s="131" t="e">
        <f>VLOOKUP($A150,'BC.115+040'!$B$13:$X$489,15,0)/1000</f>
        <v>#REF!</v>
      </c>
      <c r="J150" s="131" t="e">
        <f>VLOOKUP($A150,'BC.115+040'!$B$13:$X$489,20,0)/1000</f>
        <v>#REF!</v>
      </c>
      <c r="K150" s="131" t="e">
        <f>VLOOKUP($A150,'BC.115+040'!$B$13:$X$489,21,0)/1000</f>
        <v>#REF!</v>
      </c>
      <c r="L150" s="129" t="e">
        <f t="shared" si="6"/>
        <v>#REF!</v>
      </c>
      <c r="M150" s="130" t="e">
        <f t="shared" si="7"/>
        <v>#REF!</v>
      </c>
      <c r="N150" s="129" t="e">
        <f t="shared" si="8"/>
        <v>#REF!</v>
      </c>
      <c r="O150" s="129"/>
    </row>
    <row r="151" spans="1:15">
      <c r="A151" s="67" t="e">
        <f>'BC.115+040'!B150</f>
        <v>#REF!</v>
      </c>
      <c r="B151" s="129">
        <v>137</v>
      </c>
      <c r="C151" s="131" t="e">
        <f>'BC.115+040'!M150/1000</f>
        <v>#REF!</v>
      </c>
      <c r="D151" s="131" t="e">
        <f>'BC.115+040'!AA150</f>
        <v>#REF!</v>
      </c>
      <c r="E151" s="132" t="e">
        <f>'BC.115+040'!AB150</f>
        <v>#REF!</v>
      </c>
      <c r="F151" s="131" t="e">
        <f>VLOOKUP($A151,'BC.115+040'!$B$13:$X$489,8,0)/1000</f>
        <v>#REF!</v>
      </c>
      <c r="G151" s="131" t="e">
        <f>VLOOKUP($A151,'BC.115+040'!$B$13:$X$489,9,0)/1000</f>
        <v>#REF!</v>
      </c>
      <c r="H151" s="131" t="e">
        <f>VLOOKUP($A151,'BC.115+040'!$B$13:$X$489,14,0)/1000</f>
        <v>#REF!</v>
      </c>
      <c r="I151" s="131" t="e">
        <f>VLOOKUP($A151,'BC.115+040'!$B$13:$X$489,15,0)/1000</f>
        <v>#REF!</v>
      </c>
      <c r="J151" s="131" t="e">
        <f>VLOOKUP($A151,'BC.115+040'!$B$13:$X$489,20,0)/1000</f>
        <v>#REF!</v>
      </c>
      <c r="K151" s="131" t="e">
        <f>VLOOKUP($A151,'BC.115+040'!$B$13:$X$489,21,0)/1000</f>
        <v>#REF!</v>
      </c>
      <c r="L151" s="129" t="e">
        <f t="shared" si="6"/>
        <v>#REF!</v>
      </c>
      <c r="M151" s="130" t="e">
        <f t="shared" si="7"/>
        <v>#REF!</v>
      </c>
      <c r="N151" s="129" t="e">
        <f t="shared" si="8"/>
        <v>#REF!</v>
      </c>
      <c r="O151" s="129"/>
    </row>
    <row r="152" spans="1:15">
      <c r="A152" s="67" t="e">
        <f>'BC.115+040'!B151</f>
        <v>#REF!</v>
      </c>
      <c r="B152" s="129">
        <v>138</v>
      </c>
      <c r="C152" s="131" t="e">
        <f>'BC.115+040'!M151/1000</f>
        <v>#REF!</v>
      </c>
      <c r="D152" s="131" t="e">
        <f>'BC.115+040'!AA151</f>
        <v>#REF!</v>
      </c>
      <c r="E152" s="132" t="e">
        <f>'BC.115+040'!AB151</f>
        <v>#REF!</v>
      </c>
      <c r="F152" s="131" t="e">
        <f>VLOOKUP($A152,'BC.115+040'!$B$13:$X$489,8,0)/1000</f>
        <v>#REF!</v>
      </c>
      <c r="G152" s="131" t="e">
        <f>VLOOKUP($A152,'BC.115+040'!$B$13:$X$489,9,0)/1000</f>
        <v>#REF!</v>
      </c>
      <c r="H152" s="131" t="e">
        <f>VLOOKUP($A152,'BC.115+040'!$B$13:$X$489,14,0)/1000</f>
        <v>#REF!</v>
      </c>
      <c r="I152" s="131" t="e">
        <f>VLOOKUP($A152,'BC.115+040'!$B$13:$X$489,15,0)/1000</f>
        <v>#REF!</v>
      </c>
      <c r="J152" s="131" t="e">
        <f>VLOOKUP($A152,'BC.115+040'!$B$13:$X$489,20,0)/1000</f>
        <v>#REF!</v>
      </c>
      <c r="K152" s="131" t="e">
        <f>VLOOKUP($A152,'BC.115+040'!$B$13:$X$489,21,0)/1000</f>
        <v>#REF!</v>
      </c>
      <c r="L152" s="129" t="e">
        <f t="shared" si="6"/>
        <v>#REF!</v>
      </c>
      <c r="M152" s="130" t="e">
        <f t="shared" si="7"/>
        <v>#REF!</v>
      </c>
      <c r="N152" s="129" t="e">
        <f t="shared" si="8"/>
        <v>#REF!</v>
      </c>
      <c r="O152" s="129"/>
    </row>
    <row r="153" spans="1:15">
      <c r="A153" s="67" t="e">
        <f>'BC.115+040'!B152</f>
        <v>#REF!</v>
      </c>
      <c r="B153" s="129">
        <v>139</v>
      </c>
      <c r="C153" s="131" t="e">
        <f>'BC.115+040'!M152/1000</f>
        <v>#REF!</v>
      </c>
      <c r="D153" s="131" t="e">
        <f>'BC.115+040'!AA152</f>
        <v>#REF!</v>
      </c>
      <c r="E153" s="132" t="e">
        <f>'BC.115+040'!AB152</f>
        <v>#REF!</v>
      </c>
      <c r="F153" s="131" t="e">
        <f>VLOOKUP($A153,'BC.115+040'!$B$13:$X$489,8,0)/1000</f>
        <v>#REF!</v>
      </c>
      <c r="G153" s="131" t="e">
        <f>VLOOKUP($A153,'BC.115+040'!$B$13:$X$489,9,0)/1000</f>
        <v>#REF!</v>
      </c>
      <c r="H153" s="131" t="e">
        <f>VLOOKUP($A153,'BC.115+040'!$B$13:$X$489,14,0)/1000</f>
        <v>#REF!</v>
      </c>
      <c r="I153" s="131" t="e">
        <f>VLOOKUP($A153,'BC.115+040'!$B$13:$X$489,15,0)/1000</f>
        <v>#REF!</v>
      </c>
      <c r="J153" s="131" t="e">
        <f>VLOOKUP($A153,'BC.115+040'!$B$13:$X$489,20,0)/1000</f>
        <v>#REF!</v>
      </c>
      <c r="K153" s="131" t="e">
        <f>VLOOKUP($A153,'BC.115+040'!$B$13:$X$489,21,0)/1000</f>
        <v>#REF!</v>
      </c>
      <c r="L153" s="129" t="e">
        <f t="shared" si="6"/>
        <v>#REF!</v>
      </c>
      <c r="M153" s="130" t="e">
        <f t="shared" si="7"/>
        <v>#REF!</v>
      </c>
      <c r="N153" s="129" t="e">
        <f t="shared" si="8"/>
        <v>#REF!</v>
      </c>
      <c r="O153" s="129"/>
    </row>
    <row r="154" spans="1:15">
      <c r="A154" s="67" t="e">
        <f>'BC.115+040'!B153</f>
        <v>#REF!</v>
      </c>
      <c r="B154" s="129">
        <v>140</v>
      </c>
      <c r="C154" s="131" t="e">
        <f>'BC.115+040'!M153/1000</f>
        <v>#REF!</v>
      </c>
      <c r="D154" s="131" t="e">
        <f>'BC.115+040'!AA153</f>
        <v>#REF!</v>
      </c>
      <c r="E154" s="132" t="e">
        <f>'BC.115+040'!AB153</f>
        <v>#REF!</v>
      </c>
      <c r="F154" s="131" t="e">
        <f>VLOOKUP($A154,'BC.115+040'!$B$13:$X$489,8,0)/1000</f>
        <v>#REF!</v>
      </c>
      <c r="G154" s="131" t="e">
        <f>VLOOKUP($A154,'BC.115+040'!$B$13:$X$489,9,0)/1000</f>
        <v>#REF!</v>
      </c>
      <c r="H154" s="131" t="e">
        <f>VLOOKUP($A154,'BC.115+040'!$B$13:$X$489,14,0)/1000</f>
        <v>#REF!</v>
      </c>
      <c r="I154" s="131" t="e">
        <f>VLOOKUP($A154,'BC.115+040'!$B$13:$X$489,15,0)/1000</f>
        <v>#REF!</v>
      </c>
      <c r="J154" s="131" t="e">
        <f>VLOOKUP($A154,'BC.115+040'!$B$13:$X$489,20,0)/1000</f>
        <v>#REF!</v>
      </c>
      <c r="K154" s="131" t="e">
        <f>VLOOKUP($A154,'BC.115+040'!$B$13:$X$489,21,0)/1000</f>
        <v>#REF!</v>
      </c>
      <c r="L154" s="129" t="e">
        <f t="shared" si="6"/>
        <v>#REF!</v>
      </c>
      <c r="M154" s="130" t="e">
        <f t="shared" si="7"/>
        <v>#REF!</v>
      </c>
      <c r="N154" s="129" t="e">
        <f t="shared" si="8"/>
        <v>#REF!</v>
      </c>
      <c r="O154" s="129"/>
    </row>
    <row r="155" spans="1:15">
      <c r="A155" s="67" t="e">
        <f>'BC.115+040'!B154</f>
        <v>#REF!</v>
      </c>
      <c r="B155" s="129">
        <v>141</v>
      </c>
      <c r="C155" s="131" t="e">
        <f>'BC.115+040'!M154/1000</f>
        <v>#REF!</v>
      </c>
      <c r="D155" s="131" t="e">
        <f>'BC.115+040'!AA154</f>
        <v>#REF!</v>
      </c>
      <c r="E155" s="132" t="e">
        <f>'BC.115+040'!AB154</f>
        <v>#REF!</v>
      </c>
      <c r="F155" s="131" t="e">
        <f>VLOOKUP($A155,'BC.115+040'!$B$13:$X$489,8,0)/1000</f>
        <v>#REF!</v>
      </c>
      <c r="G155" s="131" t="e">
        <f>VLOOKUP($A155,'BC.115+040'!$B$13:$X$489,9,0)/1000</f>
        <v>#REF!</v>
      </c>
      <c r="H155" s="131" t="e">
        <f>VLOOKUP($A155,'BC.115+040'!$B$13:$X$489,14,0)/1000</f>
        <v>#REF!</v>
      </c>
      <c r="I155" s="131" t="e">
        <f>VLOOKUP($A155,'BC.115+040'!$B$13:$X$489,15,0)/1000</f>
        <v>#REF!</v>
      </c>
      <c r="J155" s="131" t="e">
        <f>VLOOKUP($A155,'BC.115+040'!$B$13:$X$489,20,0)/1000</f>
        <v>#REF!</v>
      </c>
      <c r="K155" s="131" t="e">
        <f>VLOOKUP($A155,'BC.115+040'!$B$13:$X$489,21,0)/1000</f>
        <v>#REF!</v>
      </c>
      <c r="L155" s="129" t="e">
        <f t="shared" si="6"/>
        <v>#REF!</v>
      </c>
      <c r="M155" s="130" t="e">
        <f t="shared" si="7"/>
        <v>#REF!</v>
      </c>
      <c r="N155" s="129" t="e">
        <f t="shared" si="8"/>
        <v>#REF!</v>
      </c>
      <c r="O155" s="129"/>
    </row>
    <row r="156" spans="1:15">
      <c r="A156" s="67" t="e">
        <f>'BC.115+040'!B155</f>
        <v>#REF!</v>
      </c>
      <c r="B156" s="129">
        <v>142</v>
      </c>
      <c r="C156" s="131" t="e">
        <f>'BC.115+040'!M155/1000</f>
        <v>#REF!</v>
      </c>
      <c r="D156" s="131" t="e">
        <f>'BC.115+040'!AA155</f>
        <v>#REF!</v>
      </c>
      <c r="E156" s="132" t="e">
        <f>'BC.115+040'!AB155</f>
        <v>#REF!</v>
      </c>
      <c r="F156" s="131" t="e">
        <f>VLOOKUP($A156,'BC.115+040'!$B$13:$X$489,8,0)/1000</f>
        <v>#REF!</v>
      </c>
      <c r="G156" s="131" t="e">
        <f>VLOOKUP($A156,'BC.115+040'!$B$13:$X$489,9,0)/1000</f>
        <v>#REF!</v>
      </c>
      <c r="H156" s="131" t="e">
        <f>VLOOKUP($A156,'BC.115+040'!$B$13:$X$489,14,0)/1000</f>
        <v>#REF!</v>
      </c>
      <c r="I156" s="131" t="e">
        <f>VLOOKUP($A156,'BC.115+040'!$B$13:$X$489,15,0)/1000</f>
        <v>#REF!</v>
      </c>
      <c r="J156" s="131" t="e">
        <f>VLOOKUP($A156,'BC.115+040'!$B$13:$X$489,20,0)/1000</f>
        <v>#REF!</v>
      </c>
      <c r="K156" s="131" t="e">
        <f>VLOOKUP($A156,'BC.115+040'!$B$13:$X$489,21,0)/1000</f>
        <v>#REF!</v>
      </c>
      <c r="L156" s="129" t="e">
        <f t="shared" si="6"/>
        <v>#REF!</v>
      </c>
      <c r="M156" s="130" t="e">
        <f t="shared" si="7"/>
        <v>#REF!</v>
      </c>
      <c r="N156" s="129" t="e">
        <f t="shared" si="8"/>
        <v>#REF!</v>
      </c>
      <c r="O156" s="129"/>
    </row>
    <row r="157" spans="1:15">
      <c r="A157" s="67" t="e">
        <f>'BC.115+040'!B156</f>
        <v>#REF!</v>
      </c>
      <c r="B157" s="129">
        <v>143</v>
      </c>
      <c r="C157" s="131" t="e">
        <f>'BC.115+040'!M156/1000</f>
        <v>#REF!</v>
      </c>
      <c r="D157" s="131" t="e">
        <f>'BC.115+040'!AA156</f>
        <v>#REF!</v>
      </c>
      <c r="E157" s="132" t="e">
        <f>'BC.115+040'!AB156</f>
        <v>#REF!</v>
      </c>
      <c r="F157" s="131" t="e">
        <f>VLOOKUP($A157,'BC.115+040'!$B$13:$X$489,8,0)/1000</f>
        <v>#REF!</v>
      </c>
      <c r="G157" s="131" t="e">
        <f>VLOOKUP($A157,'BC.115+040'!$B$13:$X$489,9,0)/1000</f>
        <v>#REF!</v>
      </c>
      <c r="H157" s="131" t="e">
        <f>VLOOKUP($A157,'BC.115+040'!$B$13:$X$489,14,0)/1000</f>
        <v>#REF!</v>
      </c>
      <c r="I157" s="131" t="e">
        <f>VLOOKUP($A157,'BC.115+040'!$B$13:$X$489,15,0)/1000</f>
        <v>#REF!</v>
      </c>
      <c r="J157" s="131" t="e">
        <f>VLOOKUP($A157,'BC.115+040'!$B$13:$X$489,20,0)/1000</f>
        <v>#REF!</v>
      </c>
      <c r="K157" s="131" t="e">
        <f>VLOOKUP($A157,'BC.115+040'!$B$13:$X$489,21,0)/1000</f>
        <v>#REF!</v>
      </c>
      <c r="L157" s="129" t="e">
        <f t="shared" si="6"/>
        <v>#REF!</v>
      </c>
      <c r="M157" s="130" t="e">
        <f t="shared" si="7"/>
        <v>#REF!</v>
      </c>
      <c r="N157" s="129" t="e">
        <f t="shared" si="8"/>
        <v>#REF!</v>
      </c>
      <c r="O157" s="129"/>
    </row>
    <row r="158" spans="1:15">
      <c r="A158" s="67" t="e">
        <f>'BC.115+040'!B157</f>
        <v>#REF!</v>
      </c>
      <c r="B158" s="129">
        <v>144</v>
      </c>
      <c r="C158" s="131" t="e">
        <f>'BC.115+040'!M157/1000</f>
        <v>#REF!</v>
      </c>
      <c r="D158" s="131" t="e">
        <f>'BC.115+040'!AA157</f>
        <v>#REF!</v>
      </c>
      <c r="E158" s="132" t="e">
        <f>'BC.115+040'!AB157</f>
        <v>#REF!</v>
      </c>
      <c r="F158" s="131" t="e">
        <f>VLOOKUP($A158,'BC.115+040'!$B$13:$X$489,8,0)/1000</f>
        <v>#REF!</v>
      </c>
      <c r="G158" s="131" t="e">
        <f>VLOOKUP($A158,'BC.115+040'!$B$13:$X$489,9,0)/1000</f>
        <v>#REF!</v>
      </c>
      <c r="H158" s="131" t="e">
        <f>VLOOKUP($A158,'BC.115+040'!$B$13:$X$489,14,0)/1000</f>
        <v>#REF!</v>
      </c>
      <c r="I158" s="131" t="e">
        <f>VLOOKUP($A158,'BC.115+040'!$B$13:$X$489,15,0)/1000</f>
        <v>#REF!</v>
      </c>
      <c r="J158" s="131" t="e">
        <f>VLOOKUP($A158,'BC.115+040'!$B$13:$X$489,20,0)/1000</f>
        <v>#REF!</v>
      </c>
      <c r="K158" s="131" t="e">
        <f>VLOOKUP($A158,'BC.115+040'!$B$13:$X$489,21,0)/1000</f>
        <v>#REF!</v>
      </c>
      <c r="L158" s="129" t="e">
        <f t="shared" si="6"/>
        <v>#REF!</v>
      </c>
      <c r="M158" s="130" t="e">
        <f t="shared" si="7"/>
        <v>#REF!</v>
      </c>
      <c r="N158" s="129" t="e">
        <f t="shared" si="8"/>
        <v>#REF!</v>
      </c>
      <c r="O158" s="129"/>
    </row>
    <row r="159" spans="1:15">
      <c r="A159" s="67" t="e">
        <f>'BC.115+040'!B158</f>
        <v>#REF!</v>
      </c>
      <c r="B159" s="129">
        <v>145</v>
      </c>
      <c r="C159" s="131" t="e">
        <f>'BC.115+040'!M158/1000</f>
        <v>#REF!</v>
      </c>
      <c r="D159" s="131" t="e">
        <f>'BC.115+040'!AA158</f>
        <v>#REF!</v>
      </c>
      <c r="E159" s="132" t="e">
        <f>'BC.115+040'!AB158</f>
        <v>#REF!</v>
      </c>
      <c r="F159" s="131" t="e">
        <f>VLOOKUP($A159,'BC.115+040'!$B$13:$X$489,8,0)/1000</f>
        <v>#REF!</v>
      </c>
      <c r="G159" s="131" t="e">
        <f>VLOOKUP($A159,'BC.115+040'!$B$13:$X$489,9,0)/1000</f>
        <v>#REF!</v>
      </c>
      <c r="H159" s="131" t="e">
        <f>VLOOKUP($A159,'BC.115+040'!$B$13:$X$489,14,0)/1000</f>
        <v>#REF!</v>
      </c>
      <c r="I159" s="131" t="e">
        <f>VLOOKUP($A159,'BC.115+040'!$B$13:$X$489,15,0)/1000</f>
        <v>#REF!</v>
      </c>
      <c r="J159" s="131" t="e">
        <f>VLOOKUP($A159,'BC.115+040'!$B$13:$X$489,20,0)/1000</f>
        <v>#REF!</v>
      </c>
      <c r="K159" s="131" t="e">
        <f>VLOOKUP($A159,'BC.115+040'!$B$13:$X$489,21,0)/1000</f>
        <v>#REF!</v>
      </c>
      <c r="L159" s="129" t="e">
        <f t="shared" si="6"/>
        <v>#REF!</v>
      </c>
      <c r="M159" s="130" t="e">
        <f t="shared" si="7"/>
        <v>#REF!</v>
      </c>
      <c r="N159" s="129" t="e">
        <f t="shared" si="8"/>
        <v>#REF!</v>
      </c>
      <c r="O159" s="129"/>
    </row>
    <row r="160" spans="1:15">
      <c r="A160" s="67" t="e">
        <f>'BC.115+040'!B159</f>
        <v>#REF!</v>
      </c>
      <c r="B160" s="129">
        <v>146</v>
      </c>
      <c r="C160" s="131" t="e">
        <f>'BC.115+040'!M159/1000</f>
        <v>#REF!</v>
      </c>
      <c r="D160" s="131" t="e">
        <f>'BC.115+040'!AA159</f>
        <v>#REF!</v>
      </c>
      <c r="E160" s="132" t="e">
        <f>'BC.115+040'!AB159</f>
        <v>#REF!</v>
      </c>
      <c r="F160" s="131" t="e">
        <f>VLOOKUP($A160,'BC.115+040'!$B$13:$X$489,8,0)/1000</f>
        <v>#REF!</v>
      </c>
      <c r="G160" s="131" t="e">
        <f>VLOOKUP($A160,'BC.115+040'!$B$13:$X$489,9,0)/1000</f>
        <v>#REF!</v>
      </c>
      <c r="H160" s="131" t="e">
        <f>VLOOKUP($A160,'BC.115+040'!$B$13:$X$489,14,0)/1000</f>
        <v>#REF!</v>
      </c>
      <c r="I160" s="131" t="e">
        <f>VLOOKUP($A160,'BC.115+040'!$B$13:$X$489,15,0)/1000</f>
        <v>#REF!</v>
      </c>
      <c r="J160" s="131" t="e">
        <f>VLOOKUP($A160,'BC.115+040'!$B$13:$X$489,20,0)/1000</f>
        <v>#REF!</v>
      </c>
      <c r="K160" s="131" t="e">
        <f>VLOOKUP($A160,'BC.115+040'!$B$13:$X$489,21,0)/1000</f>
        <v>#REF!</v>
      </c>
      <c r="L160" s="129" t="e">
        <f t="shared" si="6"/>
        <v>#REF!</v>
      </c>
      <c r="M160" s="130" t="e">
        <f t="shared" si="7"/>
        <v>#REF!</v>
      </c>
      <c r="N160" s="129" t="e">
        <f t="shared" si="8"/>
        <v>#REF!</v>
      </c>
      <c r="O160" s="129"/>
    </row>
    <row r="161" spans="1:15">
      <c r="A161" s="67" t="e">
        <f>'BC.115+040'!B160</f>
        <v>#REF!</v>
      </c>
      <c r="B161" s="129">
        <v>147</v>
      </c>
      <c r="C161" s="131" t="e">
        <f>'BC.115+040'!M160/1000</f>
        <v>#REF!</v>
      </c>
      <c r="D161" s="131" t="e">
        <f>'BC.115+040'!AA160</f>
        <v>#REF!</v>
      </c>
      <c r="E161" s="132" t="e">
        <f>'BC.115+040'!AB160</f>
        <v>#REF!</v>
      </c>
      <c r="F161" s="131" t="e">
        <f>VLOOKUP($A161,'BC.115+040'!$B$13:$X$489,8,0)/1000</f>
        <v>#REF!</v>
      </c>
      <c r="G161" s="131" t="e">
        <f>VLOOKUP($A161,'BC.115+040'!$B$13:$X$489,9,0)/1000</f>
        <v>#REF!</v>
      </c>
      <c r="H161" s="131" t="e">
        <f>VLOOKUP($A161,'BC.115+040'!$B$13:$X$489,14,0)/1000</f>
        <v>#REF!</v>
      </c>
      <c r="I161" s="131" t="e">
        <f>VLOOKUP($A161,'BC.115+040'!$B$13:$X$489,15,0)/1000</f>
        <v>#REF!</v>
      </c>
      <c r="J161" s="131" t="e">
        <f>VLOOKUP($A161,'BC.115+040'!$B$13:$X$489,20,0)/1000</f>
        <v>#REF!</v>
      </c>
      <c r="K161" s="131" t="e">
        <f>VLOOKUP($A161,'BC.115+040'!$B$13:$X$489,21,0)/1000</f>
        <v>#REF!</v>
      </c>
      <c r="L161" s="129" t="e">
        <f t="shared" si="6"/>
        <v>#REF!</v>
      </c>
      <c r="M161" s="130" t="e">
        <f t="shared" si="7"/>
        <v>#REF!</v>
      </c>
      <c r="N161" s="129" t="e">
        <f t="shared" si="8"/>
        <v>#REF!</v>
      </c>
      <c r="O161" s="129"/>
    </row>
    <row r="162" spans="1:15">
      <c r="A162" s="67" t="e">
        <f>'BC.115+040'!B161</f>
        <v>#REF!</v>
      </c>
      <c r="B162" s="129">
        <v>148</v>
      </c>
      <c r="C162" s="131" t="e">
        <f>'BC.115+040'!M161/1000</f>
        <v>#REF!</v>
      </c>
      <c r="D162" s="131" t="e">
        <f>'BC.115+040'!AA161</f>
        <v>#REF!</v>
      </c>
      <c r="E162" s="132" t="e">
        <f>'BC.115+040'!AB161</f>
        <v>#REF!</v>
      </c>
      <c r="F162" s="131" t="e">
        <f>VLOOKUP($A162,'BC.115+040'!$B$13:$X$489,8,0)/1000</f>
        <v>#REF!</v>
      </c>
      <c r="G162" s="131" t="e">
        <f>VLOOKUP($A162,'BC.115+040'!$B$13:$X$489,9,0)/1000</f>
        <v>#REF!</v>
      </c>
      <c r="H162" s="131" t="e">
        <f>VLOOKUP($A162,'BC.115+040'!$B$13:$X$489,14,0)/1000</f>
        <v>#REF!</v>
      </c>
      <c r="I162" s="131" t="e">
        <f>VLOOKUP($A162,'BC.115+040'!$B$13:$X$489,15,0)/1000</f>
        <v>#REF!</v>
      </c>
      <c r="J162" s="131" t="e">
        <f>VLOOKUP($A162,'BC.115+040'!$B$13:$X$489,20,0)/1000</f>
        <v>#REF!</v>
      </c>
      <c r="K162" s="131" t="e">
        <f>VLOOKUP($A162,'BC.115+040'!$B$13:$X$489,21,0)/1000</f>
        <v>#REF!</v>
      </c>
      <c r="L162" s="129" t="e">
        <f t="shared" si="6"/>
        <v>#REF!</v>
      </c>
      <c r="M162" s="130" t="e">
        <f t="shared" si="7"/>
        <v>#REF!</v>
      </c>
      <c r="N162" s="129" t="e">
        <f t="shared" si="8"/>
        <v>#REF!</v>
      </c>
      <c r="O162" s="129"/>
    </row>
    <row r="163" spans="1:15">
      <c r="A163" s="67" t="e">
        <f>'BC.115+040'!B162</f>
        <v>#REF!</v>
      </c>
      <c r="B163" s="129">
        <v>149</v>
      </c>
      <c r="C163" s="131" t="e">
        <f>'BC.115+040'!M162/1000</f>
        <v>#REF!</v>
      </c>
      <c r="D163" s="131" t="e">
        <f>'BC.115+040'!AA162</f>
        <v>#REF!</v>
      </c>
      <c r="E163" s="132" t="e">
        <f>'BC.115+040'!AB162</f>
        <v>#REF!</v>
      </c>
      <c r="F163" s="131" t="e">
        <f>VLOOKUP($A163,'BC.115+040'!$B$13:$X$489,8,0)/1000</f>
        <v>#REF!</v>
      </c>
      <c r="G163" s="131" t="e">
        <f>VLOOKUP($A163,'BC.115+040'!$B$13:$X$489,9,0)/1000</f>
        <v>#REF!</v>
      </c>
      <c r="H163" s="131" t="e">
        <f>VLOOKUP($A163,'BC.115+040'!$B$13:$X$489,14,0)/1000</f>
        <v>#REF!</v>
      </c>
      <c r="I163" s="131" t="e">
        <f>VLOOKUP($A163,'BC.115+040'!$B$13:$X$489,15,0)/1000</f>
        <v>#REF!</v>
      </c>
      <c r="J163" s="131" t="e">
        <f>VLOOKUP($A163,'BC.115+040'!$B$13:$X$489,20,0)/1000</f>
        <v>#REF!</v>
      </c>
      <c r="K163" s="131" t="e">
        <f>VLOOKUP($A163,'BC.115+040'!$B$13:$X$489,21,0)/1000</f>
        <v>#REF!</v>
      </c>
      <c r="L163" s="129" t="e">
        <f t="shared" si="6"/>
        <v>#REF!</v>
      </c>
      <c r="M163" s="130" t="e">
        <f t="shared" si="7"/>
        <v>#REF!</v>
      </c>
      <c r="N163" s="129" t="e">
        <f t="shared" si="8"/>
        <v>#REF!</v>
      </c>
      <c r="O163" s="129"/>
    </row>
    <row r="164" spans="1:15">
      <c r="A164" s="67" t="e">
        <f>'BC.115+040'!B163</f>
        <v>#REF!</v>
      </c>
      <c r="B164" s="129">
        <v>150</v>
      </c>
      <c r="C164" s="131" t="e">
        <f>'BC.115+040'!M163/1000</f>
        <v>#REF!</v>
      </c>
      <c r="D164" s="131" t="e">
        <f>'BC.115+040'!AA163</f>
        <v>#REF!</v>
      </c>
      <c r="E164" s="132" t="e">
        <f>'BC.115+040'!AB163</f>
        <v>#REF!</v>
      </c>
      <c r="F164" s="131" t="e">
        <f>VLOOKUP($A164,'BC.115+040'!$B$13:$X$489,8,0)/1000</f>
        <v>#REF!</v>
      </c>
      <c r="G164" s="131" t="e">
        <f>VLOOKUP($A164,'BC.115+040'!$B$13:$X$489,9,0)/1000</f>
        <v>#REF!</v>
      </c>
      <c r="H164" s="131" t="e">
        <f>VLOOKUP($A164,'BC.115+040'!$B$13:$X$489,14,0)/1000</f>
        <v>#REF!</v>
      </c>
      <c r="I164" s="131" t="e">
        <f>VLOOKUP($A164,'BC.115+040'!$B$13:$X$489,15,0)/1000</f>
        <v>#REF!</v>
      </c>
      <c r="J164" s="131" t="e">
        <f>VLOOKUP($A164,'BC.115+040'!$B$13:$X$489,20,0)/1000</f>
        <v>#REF!</v>
      </c>
      <c r="K164" s="131" t="e">
        <f>VLOOKUP($A164,'BC.115+040'!$B$13:$X$489,21,0)/1000</f>
        <v>#REF!</v>
      </c>
      <c r="L164" s="129" t="e">
        <f t="shared" si="6"/>
        <v>#REF!</v>
      </c>
      <c r="M164" s="130" t="e">
        <f t="shared" si="7"/>
        <v>#REF!</v>
      </c>
      <c r="N164" s="129" t="e">
        <f t="shared" si="8"/>
        <v>#REF!</v>
      </c>
      <c r="O164" s="129"/>
    </row>
    <row r="165" spans="1:15">
      <c r="A165" s="67" t="e">
        <f>'BC.115+040'!B164</f>
        <v>#REF!</v>
      </c>
      <c r="B165" s="129">
        <v>151</v>
      </c>
      <c r="C165" s="131" t="e">
        <f>'BC.115+040'!M164/1000</f>
        <v>#REF!</v>
      </c>
      <c r="D165" s="131" t="e">
        <f>'BC.115+040'!AA164</f>
        <v>#REF!</v>
      </c>
      <c r="E165" s="132" t="e">
        <f>'BC.115+040'!AB164</f>
        <v>#REF!</v>
      </c>
      <c r="F165" s="131" t="e">
        <f>VLOOKUP($A165,'BC.115+040'!$B$13:$X$489,8,0)/1000</f>
        <v>#REF!</v>
      </c>
      <c r="G165" s="131" t="e">
        <f>VLOOKUP($A165,'BC.115+040'!$B$13:$X$489,9,0)/1000</f>
        <v>#REF!</v>
      </c>
      <c r="H165" s="131" t="e">
        <f>VLOOKUP($A165,'BC.115+040'!$B$13:$X$489,14,0)/1000</f>
        <v>#REF!</v>
      </c>
      <c r="I165" s="131" t="e">
        <f>VLOOKUP($A165,'BC.115+040'!$B$13:$X$489,15,0)/1000</f>
        <v>#REF!</v>
      </c>
      <c r="J165" s="131" t="e">
        <f>VLOOKUP($A165,'BC.115+040'!$B$13:$X$489,20,0)/1000</f>
        <v>#REF!</v>
      </c>
      <c r="K165" s="131" t="e">
        <f>VLOOKUP($A165,'BC.115+040'!$B$13:$X$489,21,0)/1000</f>
        <v>#REF!</v>
      </c>
      <c r="L165" s="129" t="e">
        <f t="shared" si="6"/>
        <v>#REF!</v>
      </c>
      <c r="M165" s="130" t="e">
        <f t="shared" si="7"/>
        <v>#REF!</v>
      </c>
      <c r="N165" s="129" t="e">
        <f t="shared" si="8"/>
        <v>#REF!</v>
      </c>
      <c r="O165" s="129"/>
    </row>
    <row r="166" spans="1:15">
      <c r="A166" s="67" t="e">
        <f>'BC.115+040'!B165</f>
        <v>#REF!</v>
      </c>
      <c r="B166" s="129">
        <v>152</v>
      </c>
      <c r="C166" s="131" t="e">
        <f>'BC.115+040'!M165/1000</f>
        <v>#REF!</v>
      </c>
      <c r="D166" s="131" t="e">
        <f>'BC.115+040'!AA165</f>
        <v>#REF!</v>
      </c>
      <c r="E166" s="132" t="e">
        <f>'BC.115+040'!AB165</f>
        <v>#REF!</v>
      </c>
      <c r="F166" s="131" t="e">
        <f>VLOOKUP($A166,'BC.115+040'!$B$13:$X$489,8,0)/1000</f>
        <v>#REF!</v>
      </c>
      <c r="G166" s="131" t="e">
        <f>VLOOKUP($A166,'BC.115+040'!$B$13:$X$489,9,0)/1000</f>
        <v>#REF!</v>
      </c>
      <c r="H166" s="131" t="e">
        <f>VLOOKUP($A166,'BC.115+040'!$B$13:$X$489,14,0)/1000</f>
        <v>#REF!</v>
      </c>
      <c r="I166" s="131" t="e">
        <f>VLOOKUP($A166,'BC.115+040'!$B$13:$X$489,15,0)/1000</f>
        <v>#REF!</v>
      </c>
      <c r="J166" s="131" t="e">
        <f>VLOOKUP($A166,'BC.115+040'!$B$13:$X$489,20,0)/1000</f>
        <v>#REF!</v>
      </c>
      <c r="K166" s="131" t="e">
        <f>VLOOKUP($A166,'BC.115+040'!$B$13:$X$489,21,0)/1000</f>
        <v>#REF!</v>
      </c>
      <c r="L166" s="129" t="e">
        <f t="shared" si="6"/>
        <v>#REF!</v>
      </c>
      <c r="M166" s="130" t="e">
        <f t="shared" si="7"/>
        <v>#REF!</v>
      </c>
      <c r="N166" s="129" t="e">
        <f t="shared" si="8"/>
        <v>#REF!</v>
      </c>
      <c r="O166" s="129"/>
    </row>
    <row r="167" spans="1:15">
      <c r="A167" s="67" t="e">
        <f>'BC.115+040'!B166</f>
        <v>#REF!</v>
      </c>
      <c r="B167" s="129">
        <v>153</v>
      </c>
      <c r="C167" s="131" t="e">
        <f>'BC.115+040'!M166/1000</f>
        <v>#REF!</v>
      </c>
      <c r="D167" s="131" t="e">
        <f>'BC.115+040'!AA166</f>
        <v>#REF!</v>
      </c>
      <c r="E167" s="132" t="e">
        <f>'BC.115+040'!AB166</f>
        <v>#REF!</v>
      </c>
      <c r="F167" s="131" t="e">
        <f>VLOOKUP($A167,'BC.115+040'!$B$13:$X$489,8,0)/1000</f>
        <v>#REF!</v>
      </c>
      <c r="G167" s="131" t="e">
        <f>VLOOKUP($A167,'BC.115+040'!$B$13:$X$489,9,0)/1000</f>
        <v>#REF!</v>
      </c>
      <c r="H167" s="131" t="e">
        <f>VLOOKUP($A167,'BC.115+040'!$B$13:$X$489,14,0)/1000</f>
        <v>#REF!</v>
      </c>
      <c r="I167" s="131" t="e">
        <f>VLOOKUP($A167,'BC.115+040'!$B$13:$X$489,15,0)/1000</f>
        <v>#REF!</v>
      </c>
      <c r="J167" s="131" t="e">
        <f>VLOOKUP($A167,'BC.115+040'!$B$13:$X$489,20,0)/1000</f>
        <v>#REF!</v>
      </c>
      <c r="K167" s="131" t="e">
        <f>VLOOKUP($A167,'BC.115+040'!$B$13:$X$489,21,0)/1000</f>
        <v>#REF!</v>
      </c>
      <c r="L167" s="129" t="e">
        <f t="shared" si="6"/>
        <v>#REF!</v>
      </c>
      <c r="M167" s="130" t="e">
        <f t="shared" si="7"/>
        <v>#REF!</v>
      </c>
      <c r="N167" s="129" t="e">
        <f t="shared" si="8"/>
        <v>#REF!</v>
      </c>
      <c r="O167" s="129"/>
    </row>
    <row r="168" spans="1:15">
      <c r="A168" s="67" t="e">
        <f>'BC.115+040'!B167</f>
        <v>#REF!</v>
      </c>
      <c r="B168" s="129">
        <v>154</v>
      </c>
      <c r="C168" s="131" t="e">
        <f>'BC.115+040'!M167/1000</f>
        <v>#REF!</v>
      </c>
      <c r="D168" s="131" t="e">
        <f>'BC.115+040'!AA167</f>
        <v>#REF!</v>
      </c>
      <c r="E168" s="132" t="e">
        <f>'BC.115+040'!AB167</f>
        <v>#REF!</v>
      </c>
      <c r="F168" s="131" t="e">
        <f>VLOOKUP($A168,'BC.115+040'!$B$13:$X$489,8,0)/1000</f>
        <v>#REF!</v>
      </c>
      <c r="G168" s="131" t="e">
        <f>VLOOKUP($A168,'BC.115+040'!$B$13:$X$489,9,0)/1000</f>
        <v>#REF!</v>
      </c>
      <c r="H168" s="131" t="e">
        <f>VLOOKUP($A168,'BC.115+040'!$B$13:$X$489,14,0)/1000</f>
        <v>#REF!</v>
      </c>
      <c r="I168" s="131" t="e">
        <f>VLOOKUP($A168,'BC.115+040'!$B$13:$X$489,15,0)/1000</f>
        <v>#REF!</v>
      </c>
      <c r="J168" s="131" t="e">
        <f>VLOOKUP($A168,'BC.115+040'!$B$13:$X$489,20,0)/1000</f>
        <v>#REF!</v>
      </c>
      <c r="K168" s="131" t="e">
        <f>VLOOKUP($A168,'BC.115+040'!$B$13:$X$489,21,0)/1000</f>
        <v>#REF!</v>
      </c>
      <c r="L168" s="129" t="e">
        <f t="shared" si="6"/>
        <v>#REF!</v>
      </c>
      <c r="M168" s="130" t="e">
        <f t="shared" si="7"/>
        <v>#REF!</v>
      </c>
      <c r="N168" s="129" t="e">
        <f t="shared" si="8"/>
        <v>#REF!</v>
      </c>
      <c r="O168" s="129"/>
    </row>
    <row r="169" spans="1:15">
      <c r="A169" s="67" t="e">
        <f>'BC.115+040'!B168</f>
        <v>#REF!</v>
      </c>
      <c r="B169" s="129">
        <v>155</v>
      </c>
      <c r="C169" s="131" t="e">
        <f>'BC.115+040'!M168/1000</f>
        <v>#REF!</v>
      </c>
      <c r="D169" s="131" t="e">
        <f>'BC.115+040'!AA168</f>
        <v>#REF!</v>
      </c>
      <c r="E169" s="132" t="e">
        <f>'BC.115+040'!AB168</f>
        <v>#REF!</v>
      </c>
      <c r="F169" s="131" t="e">
        <f>VLOOKUP($A169,'BC.115+040'!$B$13:$X$489,8,0)/1000</f>
        <v>#REF!</v>
      </c>
      <c r="G169" s="131" t="e">
        <f>VLOOKUP($A169,'BC.115+040'!$B$13:$X$489,9,0)/1000</f>
        <v>#REF!</v>
      </c>
      <c r="H169" s="131" t="e">
        <f>VLOOKUP($A169,'BC.115+040'!$B$13:$X$489,14,0)/1000</f>
        <v>#REF!</v>
      </c>
      <c r="I169" s="131" t="e">
        <f>VLOOKUP($A169,'BC.115+040'!$B$13:$X$489,15,0)/1000</f>
        <v>#REF!</v>
      </c>
      <c r="J169" s="131" t="e">
        <f>VLOOKUP($A169,'BC.115+040'!$B$13:$X$489,20,0)/1000</f>
        <v>#REF!</v>
      </c>
      <c r="K169" s="131" t="e">
        <f>VLOOKUP($A169,'BC.115+040'!$B$13:$X$489,21,0)/1000</f>
        <v>#REF!</v>
      </c>
      <c r="L169" s="129" t="e">
        <f t="shared" si="6"/>
        <v>#REF!</v>
      </c>
      <c r="M169" s="130" t="e">
        <f t="shared" si="7"/>
        <v>#REF!</v>
      </c>
      <c r="N169" s="129" t="e">
        <f t="shared" si="8"/>
        <v>#REF!</v>
      </c>
      <c r="O169" s="129"/>
    </row>
    <row r="170" spans="1:15">
      <c r="A170" s="67" t="e">
        <f>'BC.115+040'!B169</f>
        <v>#REF!</v>
      </c>
      <c r="B170" s="129">
        <v>156</v>
      </c>
      <c r="C170" s="131" t="e">
        <f>'BC.115+040'!M169/1000</f>
        <v>#REF!</v>
      </c>
      <c r="D170" s="131" t="e">
        <f>'BC.115+040'!AA169</f>
        <v>#REF!</v>
      </c>
      <c r="E170" s="132" t="e">
        <f>'BC.115+040'!AB169</f>
        <v>#REF!</v>
      </c>
      <c r="F170" s="131" t="e">
        <f>VLOOKUP($A170,'BC.115+040'!$B$13:$X$489,8,0)/1000</f>
        <v>#REF!</v>
      </c>
      <c r="G170" s="131" t="e">
        <f>VLOOKUP($A170,'BC.115+040'!$B$13:$X$489,9,0)/1000</f>
        <v>#REF!</v>
      </c>
      <c r="H170" s="131" t="e">
        <f>VLOOKUP($A170,'BC.115+040'!$B$13:$X$489,14,0)/1000</f>
        <v>#REF!</v>
      </c>
      <c r="I170" s="131" t="e">
        <f>VLOOKUP($A170,'BC.115+040'!$B$13:$X$489,15,0)/1000</f>
        <v>#REF!</v>
      </c>
      <c r="J170" s="131" t="e">
        <f>VLOOKUP($A170,'BC.115+040'!$B$13:$X$489,20,0)/1000</f>
        <v>#REF!</v>
      </c>
      <c r="K170" s="131" t="e">
        <f>VLOOKUP($A170,'BC.115+040'!$B$13:$X$489,21,0)/1000</f>
        <v>#REF!</v>
      </c>
      <c r="L170" s="129" t="e">
        <f t="shared" si="6"/>
        <v>#REF!</v>
      </c>
      <c r="M170" s="130" t="e">
        <f t="shared" si="7"/>
        <v>#REF!</v>
      </c>
      <c r="N170" s="129" t="e">
        <f t="shared" si="8"/>
        <v>#REF!</v>
      </c>
      <c r="O170" s="129"/>
    </row>
    <row r="171" spans="1:15">
      <c r="A171" s="67" t="e">
        <f>'BC.115+040'!B170</f>
        <v>#REF!</v>
      </c>
      <c r="B171" s="129">
        <v>157</v>
      </c>
      <c r="C171" s="131" t="e">
        <f>'BC.115+040'!M170/1000</f>
        <v>#REF!</v>
      </c>
      <c r="D171" s="131" t="e">
        <f>'BC.115+040'!AA170</f>
        <v>#REF!</v>
      </c>
      <c r="E171" s="132" t="e">
        <f>'BC.115+040'!AB170</f>
        <v>#REF!</v>
      </c>
      <c r="F171" s="131" t="e">
        <f>VLOOKUP($A171,'BC.115+040'!$B$13:$X$489,8,0)/1000</f>
        <v>#REF!</v>
      </c>
      <c r="G171" s="131" t="e">
        <f>VLOOKUP($A171,'BC.115+040'!$B$13:$X$489,9,0)/1000</f>
        <v>#REF!</v>
      </c>
      <c r="H171" s="131" t="e">
        <f>VLOOKUP($A171,'BC.115+040'!$B$13:$X$489,14,0)/1000</f>
        <v>#REF!</v>
      </c>
      <c r="I171" s="131" t="e">
        <f>VLOOKUP($A171,'BC.115+040'!$B$13:$X$489,15,0)/1000</f>
        <v>#REF!</v>
      </c>
      <c r="J171" s="131" t="e">
        <f>VLOOKUP($A171,'BC.115+040'!$B$13:$X$489,20,0)/1000</f>
        <v>#REF!</v>
      </c>
      <c r="K171" s="131" t="e">
        <f>VLOOKUP($A171,'BC.115+040'!$B$13:$X$489,21,0)/1000</f>
        <v>#REF!</v>
      </c>
      <c r="L171" s="129" t="e">
        <f t="shared" si="6"/>
        <v>#REF!</v>
      </c>
      <c r="M171" s="130" t="e">
        <f t="shared" si="7"/>
        <v>#REF!</v>
      </c>
      <c r="N171" s="129" t="e">
        <f t="shared" si="8"/>
        <v>#REF!</v>
      </c>
      <c r="O171" s="129"/>
    </row>
    <row r="172" spans="1:15">
      <c r="A172" s="67" t="e">
        <f>'BC.115+040'!B171</f>
        <v>#REF!</v>
      </c>
      <c r="B172" s="129">
        <v>158</v>
      </c>
      <c r="C172" s="131" t="e">
        <f>'BC.115+040'!M171/1000</f>
        <v>#REF!</v>
      </c>
      <c r="D172" s="131" t="e">
        <f>'BC.115+040'!AA171</f>
        <v>#REF!</v>
      </c>
      <c r="E172" s="132" t="e">
        <f>'BC.115+040'!AB171</f>
        <v>#REF!</v>
      </c>
      <c r="F172" s="131" t="e">
        <f>VLOOKUP($A172,'BC.115+040'!$B$13:$X$489,8,0)/1000</f>
        <v>#REF!</v>
      </c>
      <c r="G172" s="131" t="e">
        <f>VLOOKUP($A172,'BC.115+040'!$B$13:$X$489,9,0)/1000</f>
        <v>#REF!</v>
      </c>
      <c r="H172" s="131" t="e">
        <f>VLOOKUP($A172,'BC.115+040'!$B$13:$X$489,14,0)/1000</f>
        <v>#REF!</v>
      </c>
      <c r="I172" s="131" t="e">
        <f>VLOOKUP($A172,'BC.115+040'!$B$13:$X$489,15,0)/1000</f>
        <v>#REF!</v>
      </c>
      <c r="J172" s="131" t="e">
        <f>VLOOKUP($A172,'BC.115+040'!$B$13:$X$489,20,0)/1000</f>
        <v>#REF!</v>
      </c>
      <c r="K172" s="131" t="e">
        <f>VLOOKUP($A172,'BC.115+040'!$B$13:$X$489,21,0)/1000</f>
        <v>#REF!</v>
      </c>
      <c r="L172" s="129" t="e">
        <f t="shared" si="6"/>
        <v>#REF!</v>
      </c>
      <c r="M172" s="130" t="e">
        <f t="shared" si="7"/>
        <v>#REF!</v>
      </c>
      <c r="N172" s="129" t="e">
        <f t="shared" si="8"/>
        <v>#REF!</v>
      </c>
      <c r="O172" s="129"/>
    </row>
    <row r="173" spans="1:15">
      <c r="A173" s="67" t="e">
        <f>'BC.115+040'!B172</f>
        <v>#REF!</v>
      </c>
      <c r="B173" s="129">
        <v>159</v>
      </c>
      <c r="C173" s="131" t="e">
        <f>'BC.115+040'!M172/1000</f>
        <v>#REF!</v>
      </c>
      <c r="D173" s="131" t="e">
        <f>'BC.115+040'!AA172</f>
        <v>#REF!</v>
      </c>
      <c r="E173" s="132" t="e">
        <f>'BC.115+040'!AB172</f>
        <v>#REF!</v>
      </c>
      <c r="F173" s="131" t="e">
        <f>VLOOKUP($A173,'BC.115+040'!$B$13:$X$489,8,0)/1000</f>
        <v>#REF!</v>
      </c>
      <c r="G173" s="131" t="e">
        <f>VLOOKUP($A173,'BC.115+040'!$B$13:$X$489,9,0)/1000</f>
        <v>#REF!</v>
      </c>
      <c r="H173" s="131" t="e">
        <f>VLOOKUP($A173,'BC.115+040'!$B$13:$X$489,14,0)/1000</f>
        <v>#REF!</v>
      </c>
      <c r="I173" s="131" t="e">
        <f>VLOOKUP($A173,'BC.115+040'!$B$13:$X$489,15,0)/1000</f>
        <v>#REF!</v>
      </c>
      <c r="J173" s="131" t="e">
        <f>VLOOKUP($A173,'BC.115+040'!$B$13:$X$489,20,0)/1000</f>
        <v>#REF!</v>
      </c>
      <c r="K173" s="131" t="e">
        <f>VLOOKUP($A173,'BC.115+040'!$B$13:$X$489,21,0)/1000</f>
        <v>#REF!</v>
      </c>
      <c r="L173" s="129" t="e">
        <f t="shared" si="6"/>
        <v>#REF!</v>
      </c>
      <c r="M173" s="130" t="e">
        <f t="shared" si="7"/>
        <v>#REF!</v>
      </c>
      <c r="N173" s="129" t="e">
        <f t="shared" si="8"/>
        <v>#REF!</v>
      </c>
      <c r="O173" s="129"/>
    </row>
    <row r="174" spans="1:15">
      <c r="A174" s="67" t="e">
        <f>'BC.115+040'!B173</f>
        <v>#REF!</v>
      </c>
      <c r="B174" s="129">
        <v>160</v>
      </c>
      <c r="C174" s="131" t="e">
        <f>'BC.115+040'!M173/1000</f>
        <v>#REF!</v>
      </c>
      <c r="D174" s="131" t="e">
        <f>'BC.115+040'!AA173</f>
        <v>#REF!</v>
      </c>
      <c r="E174" s="132" t="e">
        <f>'BC.115+040'!AB173</f>
        <v>#REF!</v>
      </c>
      <c r="F174" s="131" t="e">
        <f>VLOOKUP($A174,'BC.115+040'!$B$13:$X$489,8,0)/1000</f>
        <v>#REF!</v>
      </c>
      <c r="G174" s="131" t="e">
        <f>VLOOKUP($A174,'BC.115+040'!$B$13:$X$489,9,0)/1000</f>
        <v>#REF!</v>
      </c>
      <c r="H174" s="131" t="e">
        <f>VLOOKUP($A174,'BC.115+040'!$B$13:$X$489,14,0)/1000</f>
        <v>#REF!</v>
      </c>
      <c r="I174" s="131" t="e">
        <f>VLOOKUP($A174,'BC.115+040'!$B$13:$X$489,15,0)/1000</f>
        <v>#REF!</v>
      </c>
      <c r="J174" s="131" t="e">
        <f>VLOOKUP($A174,'BC.115+040'!$B$13:$X$489,20,0)/1000</f>
        <v>#REF!</v>
      </c>
      <c r="K174" s="131" t="e">
        <f>VLOOKUP($A174,'BC.115+040'!$B$13:$X$489,21,0)/1000</f>
        <v>#REF!</v>
      </c>
      <c r="L174" s="129" t="e">
        <f t="shared" si="6"/>
        <v>#REF!</v>
      </c>
      <c r="M174" s="130" t="e">
        <f t="shared" si="7"/>
        <v>#REF!</v>
      </c>
      <c r="N174" s="129" t="e">
        <f t="shared" si="8"/>
        <v>#REF!</v>
      </c>
      <c r="O174" s="129"/>
    </row>
    <row r="175" spans="1:15">
      <c r="A175" s="67" t="e">
        <f>'BC.115+040'!B174</f>
        <v>#REF!</v>
      </c>
      <c r="B175" s="129">
        <v>161</v>
      </c>
      <c r="C175" s="131" t="e">
        <f>'BC.115+040'!M174/1000</f>
        <v>#REF!</v>
      </c>
      <c r="D175" s="131" t="e">
        <f>'BC.115+040'!AA174</f>
        <v>#REF!</v>
      </c>
      <c r="E175" s="132" t="e">
        <f>'BC.115+040'!AB174</f>
        <v>#REF!</v>
      </c>
      <c r="F175" s="131" t="e">
        <f>VLOOKUP($A175,'BC.115+040'!$B$13:$X$489,8,0)/1000</f>
        <v>#REF!</v>
      </c>
      <c r="G175" s="131" t="e">
        <f>VLOOKUP($A175,'BC.115+040'!$B$13:$X$489,9,0)/1000</f>
        <v>#REF!</v>
      </c>
      <c r="H175" s="131" t="e">
        <f>VLOOKUP($A175,'BC.115+040'!$B$13:$X$489,14,0)/1000</f>
        <v>#REF!</v>
      </c>
      <c r="I175" s="131" t="e">
        <f>VLOOKUP($A175,'BC.115+040'!$B$13:$X$489,15,0)/1000</f>
        <v>#REF!</v>
      </c>
      <c r="J175" s="131" t="e">
        <f>VLOOKUP($A175,'BC.115+040'!$B$13:$X$489,20,0)/1000</f>
        <v>#REF!</v>
      </c>
      <c r="K175" s="131" t="e">
        <f>VLOOKUP($A175,'BC.115+040'!$B$13:$X$489,21,0)/1000</f>
        <v>#REF!</v>
      </c>
      <c r="L175" s="129" t="e">
        <f t="shared" si="6"/>
        <v>#REF!</v>
      </c>
      <c r="M175" s="130" t="e">
        <f t="shared" si="7"/>
        <v>#REF!</v>
      </c>
      <c r="N175" s="129" t="e">
        <f t="shared" si="8"/>
        <v>#REF!</v>
      </c>
      <c r="O175" s="129"/>
    </row>
    <row r="176" spans="1:15">
      <c r="A176" s="67" t="e">
        <f>'BC.115+040'!B175</f>
        <v>#REF!</v>
      </c>
      <c r="B176" s="129">
        <v>162</v>
      </c>
      <c r="C176" s="131" t="e">
        <f>'BC.115+040'!M175/1000</f>
        <v>#REF!</v>
      </c>
      <c r="D176" s="131" t="e">
        <f>'BC.115+040'!AA175</f>
        <v>#REF!</v>
      </c>
      <c r="E176" s="132" t="e">
        <f>'BC.115+040'!AB175</f>
        <v>#REF!</v>
      </c>
      <c r="F176" s="131" t="e">
        <f>VLOOKUP($A176,'BC.115+040'!$B$13:$X$489,8,0)/1000</f>
        <v>#REF!</v>
      </c>
      <c r="G176" s="131" t="e">
        <f>VLOOKUP($A176,'BC.115+040'!$B$13:$X$489,9,0)/1000</f>
        <v>#REF!</v>
      </c>
      <c r="H176" s="131" t="e">
        <f>VLOOKUP($A176,'BC.115+040'!$B$13:$X$489,14,0)/1000</f>
        <v>#REF!</v>
      </c>
      <c r="I176" s="131" t="e">
        <f>VLOOKUP($A176,'BC.115+040'!$B$13:$X$489,15,0)/1000</f>
        <v>#REF!</v>
      </c>
      <c r="J176" s="131" t="e">
        <f>VLOOKUP($A176,'BC.115+040'!$B$13:$X$489,20,0)/1000</f>
        <v>#REF!</v>
      </c>
      <c r="K176" s="131" t="e">
        <f>VLOOKUP($A176,'BC.115+040'!$B$13:$X$489,21,0)/1000</f>
        <v>#REF!</v>
      </c>
      <c r="L176" s="129" t="e">
        <f t="shared" si="6"/>
        <v>#REF!</v>
      </c>
      <c r="M176" s="130" t="e">
        <f t="shared" si="7"/>
        <v>#REF!</v>
      </c>
      <c r="N176" s="129" t="e">
        <f t="shared" si="8"/>
        <v>#REF!</v>
      </c>
      <c r="O176" s="129"/>
    </row>
    <row r="177" spans="1:15">
      <c r="A177" s="67" t="e">
        <f>'BC.115+040'!B176</f>
        <v>#REF!</v>
      </c>
      <c r="B177" s="129">
        <v>163</v>
      </c>
      <c r="C177" s="131" t="e">
        <f>'BC.115+040'!M176/1000</f>
        <v>#REF!</v>
      </c>
      <c r="D177" s="131" t="e">
        <f>'BC.115+040'!AA176</f>
        <v>#REF!</v>
      </c>
      <c r="E177" s="132" t="e">
        <f>'BC.115+040'!AB176</f>
        <v>#REF!</v>
      </c>
      <c r="F177" s="131" t="e">
        <f>VLOOKUP($A177,'BC.115+040'!$B$13:$X$489,8,0)/1000</f>
        <v>#REF!</v>
      </c>
      <c r="G177" s="131" t="e">
        <f>VLOOKUP($A177,'BC.115+040'!$B$13:$X$489,9,0)/1000</f>
        <v>#REF!</v>
      </c>
      <c r="H177" s="131" t="e">
        <f>VLOOKUP($A177,'BC.115+040'!$B$13:$X$489,14,0)/1000</f>
        <v>#REF!</v>
      </c>
      <c r="I177" s="131" t="e">
        <f>VLOOKUP($A177,'BC.115+040'!$B$13:$X$489,15,0)/1000</f>
        <v>#REF!</v>
      </c>
      <c r="J177" s="131" t="e">
        <f>VLOOKUP($A177,'BC.115+040'!$B$13:$X$489,20,0)/1000</f>
        <v>#REF!</v>
      </c>
      <c r="K177" s="131" t="e">
        <f>VLOOKUP($A177,'BC.115+040'!$B$13:$X$489,21,0)/1000</f>
        <v>#REF!</v>
      </c>
      <c r="L177" s="129" t="e">
        <f t="shared" si="6"/>
        <v>#REF!</v>
      </c>
      <c r="M177" s="130" t="e">
        <f t="shared" si="7"/>
        <v>#REF!</v>
      </c>
      <c r="N177" s="129" t="e">
        <f t="shared" si="8"/>
        <v>#REF!</v>
      </c>
      <c r="O177" s="129"/>
    </row>
    <row r="178" spans="1:15">
      <c r="A178" s="67" t="e">
        <f>'BC.115+040'!B177</f>
        <v>#REF!</v>
      </c>
      <c r="B178" s="129">
        <v>164</v>
      </c>
      <c r="C178" s="131" t="e">
        <f>'BC.115+040'!M177/1000</f>
        <v>#REF!</v>
      </c>
      <c r="D178" s="131" t="e">
        <f>'BC.115+040'!AA177</f>
        <v>#REF!</v>
      </c>
      <c r="E178" s="132" t="e">
        <f>'BC.115+040'!AB177</f>
        <v>#REF!</v>
      </c>
      <c r="F178" s="131" t="e">
        <f>VLOOKUP($A178,'BC.115+040'!$B$13:$X$489,8,0)/1000</f>
        <v>#REF!</v>
      </c>
      <c r="G178" s="131" t="e">
        <f>VLOOKUP($A178,'BC.115+040'!$B$13:$X$489,9,0)/1000</f>
        <v>#REF!</v>
      </c>
      <c r="H178" s="131" t="e">
        <f>VLOOKUP($A178,'BC.115+040'!$B$13:$X$489,14,0)/1000</f>
        <v>#REF!</v>
      </c>
      <c r="I178" s="131" t="e">
        <f>VLOOKUP($A178,'BC.115+040'!$B$13:$X$489,15,0)/1000</f>
        <v>#REF!</v>
      </c>
      <c r="J178" s="131" t="e">
        <f>VLOOKUP($A178,'BC.115+040'!$B$13:$X$489,20,0)/1000</f>
        <v>#REF!</v>
      </c>
      <c r="K178" s="131" t="e">
        <f>VLOOKUP($A178,'BC.115+040'!$B$13:$X$489,21,0)/1000</f>
        <v>#REF!</v>
      </c>
      <c r="L178" s="129" t="e">
        <f t="shared" si="6"/>
        <v>#REF!</v>
      </c>
      <c r="M178" s="130" t="e">
        <f t="shared" si="7"/>
        <v>#REF!</v>
      </c>
      <c r="N178" s="129" t="e">
        <f t="shared" si="8"/>
        <v>#REF!</v>
      </c>
      <c r="O178" s="129"/>
    </row>
    <row r="179" spans="1:15">
      <c r="A179" s="67" t="e">
        <f>'BC.115+040'!B178</f>
        <v>#REF!</v>
      </c>
      <c r="B179" s="129">
        <v>165</v>
      </c>
      <c r="C179" s="131" t="e">
        <f>'BC.115+040'!M178/1000</f>
        <v>#REF!</v>
      </c>
      <c r="D179" s="131" t="e">
        <f>'BC.115+040'!AA178</f>
        <v>#REF!</v>
      </c>
      <c r="E179" s="132" t="e">
        <f>'BC.115+040'!AB178</f>
        <v>#REF!</v>
      </c>
      <c r="F179" s="131" t="e">
        <f>VLOOKUP($A179,'BC.115+040'!$B$13:$X$489,8,0)/1000</f>
        <v>#REF!</v>
      </c>
      <c r="G179" s="131" t="e">
        <f>VLOOKUP($A179,'BC.115+040'!$B$13:$X$489,9,0)/1000</f>
        <v>#REF!</v>
      </c>
      <c r="H179" s="131" t="e">
        <f>VLOOKUP($A179,'BC.115+040'!$B$13:$X$489,14,0)/1000</f>
        <v>#REF!</v>
      </c>
      <c r="I179" s="131" t="e">
        <f>VLOOKUP($A179,'BC.115+040'!$B$13:$X$489,15,0)/1000</f>
        <v>#REF!</v>
      </c>
      <c r="J179" s="131" t="e">
        <f>VLOOKUP($A179,'BC.115+040'!$B$13:$X$489,20,0)/1000</f>
        <v>#REF!</v>
      </c>
      <c r="K179" s="131" t="e">
        <f>VLOOKUP($A179,'BC.115+040'!$B$13:$X$489,21,0)/1000</f>
        <v>#REF!</v>
      </c>
      <c r="L179" s="129" t="e">
        <f t="shared" si="6"/>
        <v>#REF!</v>
      </c>
      <c r="M179" s="130" t="e">
        <f t="shared" si="7"/>
        <v>#REF!</v>
      </c>
      <c r="N179" s="129" t="e">
        <f t="shared" si="8"/>
        <v>#REF!</v>
      </c>
      <c r="O179" s="129"/>
    </row>
    <row r="180" spans="1:15">
      <c r="A180" s="67" t="e">
        <f>'BC.115+040'!B179</f>
        <v>#REF!</v>
      </c>
      <c r="B180" s="129">
        <v>166</v>
      </c>
      <c r="C180" s="131" t="e">
        <f>'BC.115+040'!M179/1000</f>
        <v>#REF!</v>
      </c>
      <c r="D180" s="131" t="e">
        <f>'BC.115+040'!AA179</f>
        <v>#REF!</v>
      </c>
      <c r="E180" s="132" t="e">
        <f>'BC.115+040'!AB179</f>
        <v>#REF!</v>
      </c>
      <c r="F180" s="131" t="e">
        <f>VLOOKUP($A180,'BC.115+040'!$B$13:$X$489,8,0)/1000</f>
        <v>#REF!</v>
      </c>
      <c r="G180" s="131" t="e">
        <f>VLOOKUP($A180,'BC.115+040'!$B$13:$X$489,9,0)/1000</f>
        <v>#REF!</v>
      </c>
      <c r="H180" s="131" t="e">
        <f>VLOOKUP($A180,'BC.115+040'!$B$13:$X$489,14,0)/1000</f>
        <v>#REF!</v>
      </c>
      <c r="I180" s="131" t="e">
        <f>VLOOKUP($A180,'BC.115+040'!$B$13:$X$489,15,0)/1000</f>
        <v>#REF!</v>
      </c>
      <c r="J180" s="131" t="e">
        <f>VLOOKUP($A180,'BC.115+040'!$B$13:$X$489,20,0)/1000</f>
        <v>#REF!</v>
      </c>
      <c r="K180" s="131" t="e">
        <f>VLOOKUP($A180,'BC.115+040'!$B$13:$X$489,21,0)/1000</f>
        <v>#REF!</v>
      </c>
      <c r="L180" s="129" t="e">
        <f t="shared" si="6"/>
        <v>#REF!</v>
      </c>
      <c r="M180" s="130" t="e">
        <f t="shared" si="7"/>
        <v>#REF!</v>
      </c>
      <c r="N180" s="129" t="e">
        <f t="shared" si="8"/>
        <v>#REF!</v>
      </c>
      <c r="O180" s="129"/>
    </row>
    <row r="181" spans="1:15">
      <c r="A181" s="67" t="e">
        <f>'BC.115+040'!B180</f>
        <v>#REF!</v>
      </c>
      <c r="B181" s="129">
        <v>167</v>
      </c>
      <c r="C181" s="131" t="e">
        <f>'BC.115+040'!M180/1000</f>
        <v>#REF!</v>
      </c>
      <c r="D181" s="131" t="e">
        <f>'BC.115+040'!AA180</f>
        <v>#REF!</v>
      </c>
      <c r="E181" s="132" t="e">
        <f>'BC.115+040'!AB180</f>
        <v>#REF!</v>
      </c>
      <c r="F181" s="131" t="e">
        <f>VLOOKUP($A181,'BC.115+040'!$B$13:$X$489,8,0)/1000</f>
        <v>#REF!</v>
      </c>
      <c r="G181" s="131" t="e">
        <f>VLOOKUP($A181,'BC.115+040'!$B$13:$X$489,9,0)/1000</f>
        <v>#REF!</v>
      </c>
      <c r="H181" s="131" t="e">
        <f>VLOOKUP($A181,'BC.115+040'!$B$13:$X$489,14,0)/1000</f>
        <v>#REF!</v>
      </c>
      <c r="I181" s="131" t="e">
        <f>VLOOKUP($A181,'BC.115+040'!$B$13:$X$489,15,0)/1000</f>
        <v>#REF!</v>
      </c>
      <c r="J181" s="131" t="e">
        <f>VLOOKUP($A181,'BC.115+040'!$B$13:$X$489,20,0)/1000</f>
        <v>#REF!</v>
      </c>
      <c r="K181" s="131" t="e">
        <f>VLOOKUP($A181,'BC.115+040'!$B$13:$X$489,21,0)/1000</f>
        <v>#REF!</v>
      </c>
      <c r="L181" s="129" t="e">
        <f t="shared" si="6"/>
        <v>#REF!</v>
      </c>
      <c r="M181" s="130" t="e">
        <f t="shared" si="7"/>
        <v>#REF!</v>
      </c>
      <c r="N181" s="129" t="e">
        <f t="shared" si="8"/>
        <v>#REF!</v>
      </c>
      <c r="O181" s="129"/>
    </row>
    <row r="182" spans="1:15">
      <c r="A182" s="67" t="e">
        <f>'BC.115+040'!B181</f>
        <v>#REF!</v>
      </c>
      <c r="B182" s="129">
        <v>168</v>
      </c>
      <c r="C182" s="131" t="e">
        <f>'BC.115+040'!M181/1000</f>
        <v>#REF!</v>
      </c>
      <c r="D182" s="131" t="e">
        <f>'BC.115+040'!AA181</f>
        <v>#REF!</v>
      </c>
      <c r="E182" s="132" t="e">
        <f>'BC.115+040'!AB181</f>
        <v>#REF!</v>
      </c>
      <c r="F182" s="131" t="e">
        <f>VLOOKUP($A182,'BC.115+040'!$B$13:$X$489,8,0)/1000</f>
        <v>#REF!</v>
      </c>
      <c r="G182" s="131" t="e">
        <f>VLOOKUP($A182,'BC.115+040'!$B$13:$X$489,9,0)/1000</f>
        <v>#REF!</v>
      </c>
      <c r="H182" s="131" t="e">
        <f>VLOOKUP($A182,'BC.115+040'!$B$13:$X$489,14,0)/1000</f>
        <v>#REF!</v>
      </c>
      <c r="I182" s="131" t="e">
        <f>VLOOKUP($A182,'BC.115+040'!$B$13:$X$489,15,0)/1000</f>
        <v>#REF!</v>
      </c>
      <c r="J182" s="131" t="e">
        <f>VLOOKUP($A182,'BC.115+040'!$B$13:$X$489,20,0)/1000</f>
        <v>#REF!</v>
      </c>
      <c r="K182" s="131" t="e">
        <f>VLOOKUP($A182,'BC.115+040'!$B$13:$X$489,21,0)/1000</f>
        <v>#REF!</v>
      </c>
      <c r="L182" s="129" t="e">
        <f t="shared" si="6"/>
        <v>#REF!</v>
      </c>
      <c r="M182" s="130" t="e">
        <f t="shared" si="7"/>
        <v>#REF!</v>
      </c>
      <c r="N182" s="129" t="e">
        <f t="shared" si="8"/>
        <v>#REF!</v>
      </c>
      <c r="O182" s="129"/>
    </row>
    <row r="183" spans="1:15">
      <c r="A183" s="67" t="e">
        <f>'BC.115+040'!B182</f>
        <v>#REF!</v>
      </c>
      <c r="B183" s="129">
        <v>169</v>
      </c>
      <c r="C183" s="131" t="e">
        <f>'BC.115+040'!M182/1000</f>
        <v>#REF!</v>
      </c>
      <c r="D183" s="131" t="e">
        <f>'BC.115+040'!AA182</f>
        <v>#REF!</v>
      </c>
      <c r="E183" s="132" t="e">
        <f>'BC.115+040'!AB182</f>
        <v>#REF!</v>
      </c>
      <c r="F183" s="131" t="e">
        <f>VLOOKUP($A183,'BC.115+040'!$B$13:$X$489,8,0)/1000</f>
        <v>#REF!</v>
      </c>
      <c r="G183" s="131" t="e">
        <f>VLOOKUP($A183,'BC.115+040'!$B$13:$X$489,9,0)/1000</f>
        <v>#REF!</v>
      </c>
      <c r="H183" s="131" t="e">
        <f>VLOOKUP($A183,'BC.115+040'!$B$13:$X$489,14,0)/1000</f>
        <v>#REF!</v>
      </c>
      <c r="I183" s="131" t="e">
        <f>VLOOKUP($A183,'BC.115+040'!$B$13:$X$489,15,0)/1000</f>
        <v>#REF!</v>
      </c>
      <c r="J183" s="131" t="e">
        <f>VLOOKUP($A183,'BC.115+040'!$B$13:$X$489,20,0)/1000</f>
        <v>#REF!</v>
      </c>
      <c r="K183" s="131" t="e">
        <f>VLOOKUP($A183,'BC.115+040'!$B$13:$X$489,21,0)/1000</f>
        <v>#REF!</v>
      </c>
      <c r="L183" s="129" t="e">
        <f t="shared" si="6"/>
        <v>#REF!</v>
      </c>
      <c r="M183" s="130" t="e">
        <f t="shared" si="7"/>
        <v>#REF!</v>
      </c>
      <c r="N183" s="129" t="e">
        <f t="shared" si="8"/>
        <v>#REF!</v>
      </c>
      <c r="O183" s="129"/>
    </row>
    <row r="184" spans="1:15">
      <c r="A184" s="67" t="e">
        <f>'BC.115+040'!B183</f>
        <v>#REF!</v>
      </c>
      <c r="B184" s="129">
        <v>170</v>
      </c>
      <c r="C184" s="131" t="e">
        <f>'BC.115+040'!M183/1000</f>
        <v>#REF!</v>
      </c>
      <c r="D184" s="131" t="e">
        <f>'BC.115+040'!AA183</f>
        <v>#REF!</v>
      </c>
      <c r="E184" s="132" t="e">
        <f>'BC.115+040'!AB183</f>
        <v>#REF!</v>
      </c>
      <c r="F184" s="131" t="e">
        <f>VLOOKUP($A184,'BC.115+040'!$B$13:$X$489,8,0)/1000</f>
        <v>#REF!</v>
      </c>
      <c r="G184" s="131" t="e">
        <f>VLOOKUP($A184,'BC.115+040'!$B$13:$X$489,9,0)/1000</f>
        <v>#REF!</v>
      </c>
      <c r="H184" s="131" t="e">
        <f>VLOOKUP($A184,'BC.115+040'!$B$13:$X$489,14,0)/1000</f>
        <v>#REF!</v>
      </c>
      <c r="I184" s="131" t="e">
        <f>VLOOKUP($A184,'BC.115+040'!$B$13:$X$489,15,0)/1000</f>
        <v>#REF!</v>
      </c>
      <c r="J184" s="131" t="e">
        <f>VLOOKUP($A184,'BC.115+040'!$B$13:$X$489,20,0)/1000</f>
        <v>#REF!</v>
      </c>
      <c r="K184" s="131" t="e">
        <f>VLOOKUP($A184,'BC.115+040'!$B$13:$X$489,21,0)/1000</f>
        <v>#REF!</v>
      </c>
      <c r="L184" s="129" t="e">
        <f t="shared" si="6"/>
        <v>#REF!</v>
      </c>
      <c r="M184" s="130" t="e">
        <f t="shared" si="7"/>
        <v>#REF!</v>
      </c>
      <c r="N184" s="129" t="e">
        <f t="shared" si="8"/>
        <v>#REF!</v>
      </c>
      <c r="O184" s="129"/>
    </row>
    <row r="185" spans="1:15">
      <c r="A185" s="67" t="e">
        <f>'BC.115+040'!B184</f>
        <v>#REF!</v>
      </c>
      <c r="B185" s="129">
        <v>171</v>
      </c>
      <c r="C185" s="131" t="e">
        <f>'BC.115+040'!M184/1000</f>
        <v>#REF!</v>
      </c>
      <c r="D185" s="131" t="e">
        <f>'BC.115+040'!AA184</f>
        <v>#REF!</v>
      </c>
      <c r="E185" s="132" t="e">
        <f>'BC.115+040'!AB184</f>
        <v>#REF!</v>
      </c>
      <c r="F185" s="131" t="e">
        <f>VLOOKUP($A185,'BC.115+040'!$B$13:$X$489,8,0)/1000</f>
        <v>#REF!</v>
      </c>
      <c r="G185" s="131" t="e">
        <f>VLOOKUP($A185,'BC.115+040'!$B$13:$X$489,9,0)/1000</f>
        <v>#REF!</v>
      </c>
      <c r="H185" s="131" t="e">
        <f>VLOOKUP($A185,'BC.115+040'!$B$13:$X$489,14,0)/1000</f>
        <v>#REF!</v>
      </c>
      <c r="I185" s="131" t="e">
        <f>VLOOKUP($A185,'BC.115+040'!$B$13:$X$489,15,0)/1000</f>
        <v>#REF!</v>
      </c>
      <c r="J185" s="131" t="e">
        <f>VLOOKUP($A185,'BC.115+040'!$B$13:$X$489,20,0)/1000</f>
        <v>#REF!</v>
      </c>
      <c r="K185" s="131" t="e">
        <f>VLOOKUP($A185,'BC.115+040'!$B$13:$X$489,21,0)/1000</f>
        <v>#REF!</v>
      </c>
      <c r="L185" s="129" t="e">
        <f t="shared" si="6"/>
        <v>#REF!</v>
      </c>
      <c r="M185" s="130" t="e">
        <f t="shared" si="7"/>
        <v>#REF!</v>
      </c>
      <c r="N185" s="129" t="e">
        <f t="shared" si="8"/>
        <v>#REF!</v>
      </c>
      <c r="O185" s="129"/>
    </row>
    <row r="186" spans="1:15">
      <c r="A186" s="67" t="e">
        <f>'BC.115+040'!B185</f>
        <v>#REF!</v>
      </c>
      <c r="B186" s="129">
        <v>172</v>
      </c>
      <c r="C186" s="131" t="e">
        <f>'BC.115+040'!M185/1000</f>
        <v>#REF!</v>
      </c>
      <c r="D186" s="131" t="e">
        <f>'BC.115+040'!AA185</f>
        <v>#REF!</v>
      </c>
      <c r="E186" s="132" t="e">
        <f>'BC.115+040'!AB185</f>
        <v>#REF!</v>
      </c>
      <c r="F186" s="131" t="e">
        <f>VLOOKUP($A186,'BC.115+040'!$B$13:$X$489,8,0)/1000</f>
        <v>#REF!</v>
      </c>
      <c r="G186" s="131" t="e">
        <f>VLOOKUP($A186,'BC.115+040'!$B$13:$X$489,9,0)/1000</f>
        <v>#REF!</v>
      </c>
      <c r="H186" s="131" t="e">
        <f>VLOOKUP($A186,'BC.115+040'!$B$13:$X$489,14,0)/1000</f>
        <v>#REF!</v>
      </c>
      <c r="I186" s="131" t="e">
        <f>VLOOKUP($A186,'BC.115+040'!$B$13:$X$489,15,0)/1000</f>
        <v>#REF!</v>
      </c>
      <c r="J186" s="131" t="e">
        <f>VLOOKUP($A186,'BC.115+040'!$B$13:$X$489,20,0)/1000</f>
        <v>#REF!</v>
      </c>
      <c r="K186" s="131" t="e">
        <f>VLOOKUP($A186,'BC.115+040'!$B$13:$X$489,21,0)/1000</f>
        <v>#REF!</v>
      </c>
      <c r="L186" s="129" t="e">
        <f t="shared" si="6"/>
        <v>#REF!</v>
      </c>
      <c r="M186" s="130" t="e">
        <f t="shared" si="7"/>
        <v>#REF!</v>
      </c>
      <c r="N186" s="129" t="e">
        <f t="shared" si="8"/>
        <v>#REF!</v>
      </c>
      <c r="O186" s="129"/>
    </row>
    <row r="187" spans="1:15">
      <c r="A187" s="67" t="e">
        <f>'BC.115+040'!B186</f>
        <v>#REF!</v>
      </c>
      <c r="B187" s="129">
        <v>173</v>
      </c>
      <c r="C187" s="131" t="e">
        <f>'BC.115+040'!M186/1000</f>
        <v>#REF!</v>
      </c>
      <c r="D187" s="131" t="e">
        <f>'BC.115+040'!AA186</f>
        <v>#REF!</v>
      </c>
      <c r="E187" s="132" t="e">
        <f>'BC.115+040'!AB186</f>
        <v>#REF!</v>
      </c>
      <c r="F187" s="131" t="e">
        <f>VLOOKUP($A187,'BC.115+040'!$B$13:$X$489,8,0)/1000</f>
        <v>#REF!</v>
      </c>
      <c r="G187" s="131" t="e">
        <f>VLOOKUP($A187,'BC.115+040'!$B$13:$X$489,9,0)/1000</f>
        <v>#REF!</v>
      </c>
      <c r="H187" s="131" t="e">
        <f>VLOOKUP($A187,'BC.115+040'!$B$13:$X$489,14,0)/1000</f>
        <v>#REF!</v>
      </c>
      <c r="I187" s="131" t="e">
        <f>VLOOKUP($A187,'BC.115+040'!$B$13:$X$489,15,0)/1000</f>
        <v>#REF!</v>
      </c>
      <c r="J187" s="131" t="e">
        <f>VLOOKUP($A187,'BC.115+040'!$B$13:$X$489,20,0)/1000</f>
        <v>#REF!</v>
      </c>
      <c r="K187" s="131" t="e">
        <f>VLOOKUP($A187,'BC.115+040'!$B$13:$X$489,21,0)/1000</f>
        <v>#REF!</v>
      </c>
      <c r="L187" s="129" t="e">
        <f t="shared" si="6"/>
        <v>#REF!</v>
      </c>
      <c r="M187" s="130" t="e">
        <f t="shared" si="7"/>
        <v>#REF!</v>
      </c>
      <c r="N187" s="129" t="e">
        <f t="shared" si="8"/>
        <v>#REF!</v>
      </c>
      <c r="O187" s="129"/>
    </row>
    <row r="188" spans="1:15">
      <c r="A188" s="67" t="e">
        <f>'BC.115+040'!B187</f>
        <v>#REF!</v>
      </c>
      <c r="B188" s="129">
        <v>174</v>
      </c>
      <c r="C188" s="131" t="e">
        <f>'BC.115+040'!M187/1000</f>
        <v>#REF!</v>
      </c>
      <c r="D188" s="131" t="e">
        <f>'BC.115+040'!AA187</f>
        <v>#REF!</v>
      </c>
      <c r="E188" s="132" t="e">
        <f>'BC.115+040'!AB187</f>
        <v>#REF!</v>
      </c>
      <c r="F188" s="131" t="e">
        <f>VLOOKUP($A188,'BC.115+040'!$B$13:$X$489,8,0)/1000</f>
        <v>#REF!</v>
      </c>
      <c r="G188" s="131" t="e">
        <f>VLOOKUP($A188,'BC.115+040'!$B$13:$X$489,9,0)/1000</f>
        <v>#REF!</v>
      </c>
      <c r="H188" s="131" t="e">
        <f>VLOOKUP($A188,'BC.115+040'!$B$13:$X$489,14,0)/1000</f>
        <v>#REF!</v>
      </c>
      <c r="I188" s="131" t="e">
        <f>VLOOKUP($A188,'BC.115+040'!$B$13:$X$489,15,0)/1000</f>
        <v>#REF!</v>
      </c>
      <c r="J188" s="131" t="e">
        <f>VLOOKUP($A188,'BC.115+040'!$B$13:$X$489,20,0)/1000</f>
        <v>#REF!</v>
      </c>
      <c r="K188" s="131" t="e">
        <f>VLOOKUP($A188,'BC.115+040'!$B$13:$X$489,21,0)/1000</f>
        <v>#REF!</v>
      </c>
      <c r="L188" s="129" t="e">
        <f t="shared" si="6"/>
        <v>#REF!</v>
      </c>
      <c r="M188" s="130" t="e">
        <f t="shared" si="7"/>
        <v>#REF!</v>
      </c>
      <c r="N188" s="129" t="e">
        <f t="shared" si="8"/>
        <v>#REF!</v>
      </c>
      <c r="O188" s="129"/>
    </row>
    <row r="189" spans="1:15">
      <c r="A189" s="67" t="e">
        <f>'BC.115+040'!B188</f>
        <v>#REF!</v>
      </c>
      <c r="B189" s="129">
        <v>175</v>
      </c>
      <c r="C189" s="131" t="e">
        <f>'BC.115+040'!M188/1000</f>
        <v>#REF!</v>
      </c>
      <c r="D189" s="131" t="e">
        <f>'BC.115+040'!AA188</f>
        <v>#REF!</v>
      </c>
      <c r="E189" s="132" t="e">
        <f>'BC.115+040'!AB188</f>
        <v>#REF!</v>
      </c>
      <c r="F189" s="131" t="e">
        <f>VLOOKUP($A189,'BC.115+040'!$B$13:$X$489,8,0)/1000</f>
        <v>#REF!</v>
      </c>
      <c r="G189" s="131" t="e">
        <f>VLOOKUP($A189,'BC.115+040'!$B$13:$X$489,9,0)/1000</f>
        <v>#REF!</v>
      </c>
      <c r="H189" s="131" t="e">
        <f>VLOOKUP($A189,'BC.115+040'!$B$13:$X$489,14,0)/1000</f>
        <v>#REF!</v>
      </c>
      <c r="I189" s="131" t="e">
        <f>VLOOKUP($A189,'BC.115+040'!$B$13:$X$489,15,0)/1000</f>
        <v>#REF!</v>
      </c>
      <c r="J189" s="131" t="e">
        <f>VLOOKUP($A189,'BC.115+040'!$B$13:$X$489,20,0)/1000</f>
        <v>#REF!</v>
      </c>
      <c r="K189" s="131" t="e">
        <f>VLOOKUP($A189,'BC.115+040'!$B$13:$X$489,21,0)/1000</f>
        <v>#REF!</v>
      </c>
      <c r="L189" s="129" t="e">
        <f t="shared" si="6"/>
        <v>#REF!</v>
      </c>
      <c r="M189" s="130" t="e">
        <f t="shared" si="7"/>
        <v>#REF!</v>
      </c>
      <c r="N189" s="129" t="e">
        <f t="shared" si="8"/>
        <v>#REF!</v>
      </c>
      <c r="O189" s="129"/>
    </row>
    <row r="190" spans="1:15">
      <c r="A190" s="67" t="e">
        <f>'BC.115+040'!B189</f>
        <v>#REF!</v>
      </c>
      <c r="B190" s="129">
        <v>176</v>
      </c>
      <c r="C190" s="131" t="e">
        <f>'BC.115+040'!M189/1000</f>
        <v>#REF!</v>
      </c>
      <c r="D190" s="131" t="e">
        <f>'BC.115+040'!AA189</f>
        <v>#REF!</v>
      </c>
      <c r="E190" s="132" t="e">
        <f>'BC.115+040'!AB189</f>
        <v>#REF!</v>
      </c>
      <c r="F190" s="131" t="e">
        <f>VLOOKUP($A190,'BC.115+040'!$B$13:$X$489,8,0)/1000</f>
        <v>#REF!</v>
      </c>
      <c r="G190" s="131" t="e">
        <f>VLOOKUP($A190,'BC.115+040'!$B$13:$X$489,9,0)/1000</f>
        <v>#REF!</v>
      </c>
      <c r="H190" s="131" t="e">
        <f>VLOOKUP($A190,'BC.115+040'!$B$13:$X$489,14,0)/1000</f>
        <v>#REF!</v>
      </c>
      <c r="I190" s="131" t="e">
        <f>VLOOKUP($A190,'BC.115+040'!$B$13:$X$489,15,0)/1000</f>
        <v>#REF!</v>
      </c>
      <c r="J190" s="131" t="e">
        <f>VLOOKUP($A190,'BC.115+040'!$B$13:$X$489,20,0)/1000</f>
        <v>#REF!</v>
      </c>
      <c r="K190" s="131" t="e">
        <f>VLOOKUP($A190,'BC.115+040'!$B$13:$X$489,21,0)/1000</f>
        <v>#REF!</v>
      </c>
      <c r="L190" s="129" t="e">
        <f t="shared" si="6"/>
        <v>#REF!</v>
      </c>
      <c r="M190" s="130" t="e">
        <f t="shared" si="7"/>
        <v>#REF!</v>
      </c>
      <c r="N190" s="129" t="e">
        <f t="shared" si="8"/>
        <v>#REF!</v>
      </c>
      <c r="O190" s="129"/>
    </row>
    <row r="191" spans="1:15">
      <c r="A191" s="67" t="e">
        <f>'BC.115+040'!B190</f>
        <v>#REF!</v>
      </c>
      <c r="B191" s="129">
        <v>177</v>
      </c>
      <c r="C191" s="131" t="e">
        <f>'BC.115+040'!M190/1000</f>
        <v>#REF!</v>
      </c>
      <c r="D191" s="131" t="e">
        <f>'BC.115+040'!AA190</f>
        <v>#REF!</v>
      </c>
      <c r="E191" s="132" t="e">
        <f>'BC.115+040'!AB190</f>
        <v>#REF!</v>
      </c>
      <c r="F191" s="131" t="e">
        <f>VLOOKUP($A191,'BC.115+040'!$B$13:$X$489,8,0)/1000</f>
        <v>#REF!</v>
      </c>
      <c r="G191" s="131" t="e">
        <f>VLOOKUP($A191,'BC.115+040'!$B$13:$X$489,9,0)/1000</f>
        <v>#REF!</v>
      </c>
      <c r="H191" s="131" t="e">
        <f>VLOOKUP($A191,'BC.115+040'!$B$13:$X$489,14,0)/1000</f>
        <v>#REF!</v>
      </c>
      <c r="I191" s="131" t="e">
        <f>VLOOKUP($A191,'BC.115+040'!$B$13:$X$489,15,0)/1000</f>
        <v>#REF!</v>
      </c>
      <c r="J191" s="131" t="e">
        <f>VLOOKUP($A191,'BC.115+040'!$B$13:$X$489,20,0)/1000</f>
        <v>#REF!</v>
      </c>
      <c r="K191" s="131" t="e">
        <f>VLOOKUP($A191,'BC.115+040'!$B$13:$X$489,21,0)/1000</f>
        <v>#REF!</v>
      </c>
      <c r="L191" s="129" t="e">
        <f t="shared" si="6"/>
        <v>#REF!</v>
      </c>
      <c r="M191" s="130" t="e">
        <f t="shared" si="7"/>
        <v>#REF!</v>
      </c>
      <c r="N191" s="129" t="e">
        <f t="shared" si="8"/>
        <v>#REF!</v>
      </c>
      <c r="O191" s="129"/>
    </row>
    <row r="192" spans="1:15">
      <c r="A192" s="67" t="e">
        <f>'BC.115+040'!B191</f>
        <v>#REF!</v>
      </c>
      <c r="B192" s="129">
        <v>178</v>
      </c>
      <c r="C192" s="131" t="e">
        <f>'BC.115+040'!M191/1000</f>
        <v>#REF!</v>
      </c>
      <c r="D192" s="131" t="e">
        <f>'BC.115+040'!AA191</f>
        <v>#REF!</v>
      </c>
      <c r="E192" s="132" t="e">
        <f>'BC.115+040'!AB191</f>
        <v>#REF!</v>
      </c>
      <c r="F192" s="131" t="e">
        <f>VLOOKUP($A192,'BC.115+040'!$B$13:$X$489,8,0)/1000</f>
        <v>#REF!</v>
      </c>
      <c r="G192" s="131" t="e">
        <f>VLOOKUP($A192,'BC.115+040'!$B$13:$X$489,9,0)/1000</f>
        <v>#REF!</v>
      </c>
      <c r="H192" s="131" t="e">
        <f>VLOOKUP($A192,'BC.115+040'!$B$13:$X$489,14,0)/1000</f>
        <v>#REF!</v>
      </c>
      <c r="I192" s="131" t="e">
        <f>VLOOKUP($A192,'BC.115+040'!$B$13:$X$489,15,0)/1000</f>
        <v>#REF!</v>
      </c>
      <c r="J192" s="131" t="e">
        <f>VLOOKUP($A192,'BC.115+040'!$B$13:$X$489,20,0)/1000</f>
        <v>#REF!</v>
      </c>
      <c r="K192" s="131" t="e">
        <f>VLOOKUP($A192,'BC.115+040'!$B$13:$X$489,21,0)/1000</f>
        <v>#REF!</v>
      </c>
      <c r="L192" s="129" t="e">
        <f t="shared" si="6"/>
        <v>#REF!</v>
      </c>
      <c r="M192" s="130" t="e">
        <f t="shared" si="7"/>
        <v>#REF!</v>
      </c>
      <c r="N192" s="129" t="e">
        <f t="shared" si="8"/>
        <v>#REF!</v>
      </c>
      <c r="O192" s="129"/>
    </row>
    <row r="193" spans="1:15">
      <c r="A193" s="67" t="e">
        <f>'BC.115+040'!B192</f>
        <v>#REF!</v>
      </c>
      <c r="B193" s="129">
        <v>179</v>
      </c>
      <c r="C193" s="131" t="e">
        <f>'BC.115+040'!M192/1000</f>
        <v>#REF!</v>
      </c>
      <c r="D193" s="131" t="e">
        <f>'BC.115+040'!AA192</f>
        <v>#REF!</v>
      </c>
      <c r="E193" s="132" t="e">
        <f>'BC.115+040'!AB192</f>
        <v>#REF!</v>
      </c>
      <c r="F193" s="131" t="e">
        <f>VLOOKUP($A193,'BC.115+040'!$B$13:$X$489,8,0)/1000</f>
        <v>#REF!</v>
      </c>
      <c r="G193" s="131" t="e">
        <f>VLOOKUP($A193,'BC.115+040'!$B$13:$X$489,9,0)/1000</f>
        <v>#REF!</v>
      </c>
      <c r="H193" s="131" t="e">
        <f>VLOOKUP($A193,'BC.115+040'!$B$13:$X$489,14,0)/1000</f>
        <v>#REF!</v>
      </c>
      <c r="I193" s="131" t="e">
        <f>VLOOKUP($A193,'BC.115+040'!$B$13:$X$489,15,0)/1000</f>
        <v>#REF!</v>
      </c>
      <c r="J193" s="131" t="e">
        <f>VLOOKUP($A193,'BC.115+040'!$B$13:$X$489,20,0)/1000</f>
        <v>#REF!</v>
      </c>
      <c r="K193" s="131" t="e">
        <f>VLOOKUP($A193,'BC.115+040'!$B$13:$X$489,21,0)/1000</f>
        <v>#REF!</v>
      </c>
      <c r="L193" s="129" t="e">
        <f t="shared" si="6"/>
        <v>#REF!</v>
      </c>
      <c r="M193" s="130" t="e">
        <f t="shared" si="7"/>
        <v>#REF!</v>
      </c>
      <c r="N193" s="129" t="e">
        <f t="shared" si="8"/>
        <v>#REF!</v>
      </c>
      <c r="O193" s="129"/>
    </row>
    <row r="194" spans="1:15">
      <c r="A194" s="67" t="e">
        <f>'BC.115+040'!B193</f>
        <v>#REF!</v>
      </c>
      <c r="B194" s="129">
        <v>180</v>
      </c>
      <c r="C194" s="131" t="e">
        <f>'BC.115+040'!M193/1000</f>
        <v>#REF!</v>
      </c>
      <c r="D194" s="131" t="e">
        <f>'BC.115+040'!AA193</f>
        <v>#REF!</v>
      </c>
      <c r="E194" s="132" t="e">
        <f>'BC.115+040'!AB193</f>
        <v>#REF!</v>
      </c>
      <c r="F194" s="131" t="e">
        <f>VLOOKUP($A194,'BC.115+040'!$B$13:$X$489,8,0)/1000</f>
        <v>#REF!</v>
      </c>
      <c r="G194" s="131" t="e">
        <f>VLOOKUP($A194,'BC.115+040'!$B$13:$X$489,9,0)/1000</f>
        <v>#REF!</v>
      </c>
      <c r="H194" s="131" t="e">
        <f>VLOOKUP($A194,'BC.115+040'!$B$13:$X$489,14,0)/1000</f>
        <v>#REF!</v>
      </c>
      <c r="I194" s="131" t="e">
        <f>VLOOKUP($A194,'BC.115+040'!$B$13:$X$489,15,0)/1000</f>
        <v>#REF!</v>
      </c>
      <c r="J194" s="131" t="e">
        <f>VLOOKUP($A194,'BC.115+040'!$B$13:$X$489,20,0)/1000</f>
        <v>#REF!</v>
      </c>
      <c r="K194" s="131" t="e">
        <f>VLOOKUP($A194,'BC.115+040'!$B$13:$X$489,21,0)/1000</f>
        <v>#REF!</v>
      </c>
      <c r="L194" s="129" t="e">
        <f t="shared" si="6"/>
        <v>#REF!</v>
      </c>
      <c r="M194" s="130" t="e">
        <f t="shared" si="7"/>
        <v>#REF!</v>
      </c>
      <c r="N194" s="129" t="e">
        <f t="shared" si="8"/>
        <v>#REF!</v>
      </c>
      <c r="O194" s="129"/>
    </row>
    <row r="195" spans="1:15">
      <c r="A195" s="67" t="e">
        <f>'BC.115+040'!B194</f>
        <v>#REF!</v>
      </c>
      <c r="B195" s="129">
        <v>181</v>
      </c>
      <c r="C195" s="131" t="e">
        <f>'BC.115+040'!M194/1000</f>
        <v>#REF!</v>
      </c>
      <c r="D195" s="131" t="e">
        <f>'BC.115+040'!AA194</f>
        <v>#REF!</v>
      </c>
      <c r="E195" s="132" t="e">
        <f>'BC.115+040'!AB194</f>
        <v>#REF!</v>
      </c>
      <c r="F195" s="131" t="e">
        <f>VLOOKUP($A195,'BC.115+040'!$B$13:$X$489,8,0)/1000</f>
        <v>#REF!</v>
      </c>
      <c r="G195" s="131" t="e">
        <f>VLOOKUP($A195,'BC.115+040'!$B$13:$X$489,9,0)/1000</f>
        <v>#REF!</v>
      </c>
      <c r="H195" s="131" t="e">
        <f>VLOOKUP($A195,'BC.115+040'!$B$13:$X$489,14,0)/1000</f>
        <v>#REF!</v>
      </c>
      <c r="I195" s="131" t="e">
        <f>VLOOKUP($A195,'BC.115+040'!$B$13:$X$489,15,0)/1000</f>
        <v>#REF!</v>
      </c>
      <c r="J195" s="131" t="e">
        <f>VLOOKUP($A195,'BC.115+040'!$B$13:$X$489,20,0)/1000</f>
        <v>#REF!</v>
      </c>
      <c r="K195" s="131" t="e">
        <f>VLOOKUP($A195,'BC.115+040'!$B$13:$X$489,21,0)/1000</f>
        <v>#REF!</v>
      </c>
      <c r="L195" s="129" t="e">
        <f t="shared" si="6"/>
        <v>#REF!</v>
      </c>
      <c r="M195" s="130" t="e">
        <f t="shared" si="7"/>
        <v>#REF!</v>
      </c>
      <c r="N195" s="129" t="e">
        <f t="shared" si="8"/>
        <v>#REF!</v>
      </c>
      <c r="O195" s="129"/>
    </row>
    <row r="196" spans="1:15">
      <c r="A196" s="67" t="e">
        <f>'BC.115+040'!B195</f>
        <v>#REF!</v>
      </c>
      <c r="B196" s="129">
        <v>182</v>
      </c>
      <c r="C196" s="131" t="e">
        <f>'BC.115+040'!M195/1000</f>
        <v>#REF!</v>
      </c>
      <c r="D196" s="131" t="e">
        <f>'BC.115+040'!AA195</f>
        <v>#REF!</v>
      </c>
      <c r="E196" s="132" t="e">
        <f>'BC.115+040'!AB195</f>
        <v>#REF!</v>
      </c>
      <c r="F196" s="131" t="e">
        <f>VLOOKUP($A196,'BC.115+040'!$B$13:$X$489,8,0)/1000</f>
        <v>#REF!</v>
      </c>
      <c r="G196" s="131" t="e">
        <f>VLOOKUP($A196,'BC.115+040'!$B$13:$X$489,9,0)/1000</f>
        <v>#REF!</v>
      </c>
      <c r="H196" s="131" t="e">
        <f>VLOOKUP($A196,'BC.115+040'!$B$13:$X$489,14,0)/1000</f>
        <v>#REF!</v>
      </c>
      <c r="I196" s="131" t="e">
        <f>VLOOKUP($A196,'BC.115+040'!$B$13:$X$489,15,0)/1000</f>
        <v>#REF!</v>
      </c>
      <c r="J196" s="131" t="e">
        <f>VLOOKUP($A196,'BC.115+040'!$B$13:$X$489,20,0)/1000</f>
        <v>#REF!</v>
      </c>
      <c r="K196" s="131" t="e">
        <f>VLOOKUP($A196,'BC.115+040'!$B$13:$X$489,21,0)/1000</f>
        <v>#REF!</v>
      </c>
      <c r="L196" s="129" t="e">
        <f t="shared" si="6"/>
        <v>#REF!</v>
      </c>
      <c r="M196" s="130" t="e">
        <f t="shared" si="7"/>
        <v>#REF!</v>
      </c>
      <c r="N196" s="129" t="e">
        <f t="shared" si="8"/>
        <v>#REF!</v>
      </c>
      <c r="O196" s="129"/>
    </row>
    <row r="197" spans="1:15">
      <c r="A197" s="67" t="e">
        <f>'BC.115+040'!B196</f>
        <v>#REF!</v>
      </c>
      <c r="B197" s="129">
        <v>183</v>
      </c>
      <c r="C197" s="131" t="e">
        <f>'BC.115+040'!M196/1000</f>
        <v>#REF!</v>
      </c>
      <c r="D197" s="131" t="e">
        <f>'BC.115+040'!AA196</f>
        <v>#REF!</v>
      </c>
      <c r="E197" s="132" t="e">
        <f>'BC.115+040'!AB196</f>
        <v>#REF!</v>
      </c>
      <c r="F197" s="131" t="e">
        <f>VLOOKUP($A197,'BC.115+040'!$B$13:$X$489,8,0)/1000</f>
        <v>#REF!</v>
      </c>
      <c r="G197" s="131" t="e">
        <f>VLOOKUP($A197,'BC.115+040'!$B$13:$X$489,9,0)/1000</f>
        <v>#REF!</v>
      </c>
      <c r="H197" s="131" t="e">
        <f>VLOOKUP($A197,'BC.115+040'!$B$13:$X$489,14,0)/1000</f>
        <v>#REF!</v>
      </c>
      <c r="I197" s="131" t="e">
        <f>VLOOKUP($A197,'BC.115+040'!$B$13:$X$489,15,0)/1000</f>
        <v>#REF!</v>
      </c>
      <c r="J197" s="131" t="e">
        <f>VLOOKUP($A197,'BC.115+040'!$B$13:$X$489,20,0)/1000</f>
        <v>#REF!</v>
      </c>
      <c r="K197" s="131" t="e">
        <f>VLOOKUP($A197,'BC.115+040'!$B$13:$X$489,21,0)/1000</f>
        <v>#REF!</v>
      </c>
      <c r="L197" s="129" t="e">
        <f t="shared" si="6"/>
        <v>#REF!</v>
      </c>
      <c r="M197" s="130" t="e">
        <f t="shared" si="7"/>
        <v>#REF!</v>
      </c>
      <c r="N197" s="129" t="e">
        <f t="shared" si="8"/>
        <v>#REF!</v>
      </c>
      <c r="O197" s="129"/>
    </row>
    <row r="198" spans="1:15">
      <c r="A198" s="67" t="e">
        <f>'BC.115+040'!B197</f>
        <v>#REF!</v>
      </c>
      <c r="B198" s="129">
        <v>184</v>
      </c>
      <c r="C198" s="131" t="e">
        <f>'BC.115+040'!M197/1000</f>
        <v>#REF!</v>
      </c>
      <c r="D198" s="131" t="e">
        <f>'BC.115+040'!AA197</f>
        <v>#REF!</v>
      </c>
      <c r="E198" s="132" t="e">
        <f>'BC.115+040'!AB197</f>
        <v>#REF!</v>
      </c>
      <c r="F198" s="131" t="e">
        <f>VLOOKUP($A198,'BC.115+040'!$B$13:$X$489,8,0)/1000</f>
        <v>#REF!</v>
      </c>
      <c r="G198" s="131" t="e">
        <f>VLOOKUP($A198,'BC.115+040'!$B$13:$X$489,9,0)/1000</f>
        <v>#REF!</v>
      </c>
      <c r="H198" s="131" t="e">
        <f>VLOOKUP($A198,'BC.115+040'!$B$13:$X$489,14,0)/1000</f>
        <v>#REF!</v>
      </c>
      <c r="I198" s="131" t="e">
        <f>VLOOKUP($A198,'BC.115+040'!$B$13:$X$489,15,0)/1000</f>
        <v>#REF!</v>
      </c>
      <c r="J198" s="131" t="e">
        <f>VLOOKUP($A198,'BC.115+040'!$B$13:$X$489,20,0)/1000</f>
        <v>#REF!</v>
      </c>
      <c r="K198" s="131" t="e">
        <f>VLOOKUP($A198,'BC.115+040'!$B$13:$X$489,21,0)/1000</f>
        <v>#REF!</v>
      </c>
      <c r="L198" s="129" t="e">
        <f t="shared" si="6"/>
        <v>#REF!</v>
      </c>
      <c r="M198" s="130" t="e">
        <f t="shared" si="7"/>
        <v>#REF!</v>
      </c>
      <c r="N198" s="129" t="e">
        <f t="shared" si="8"/>
        <v>#REF!</v>
      </c>
      <c r="O198" s="129"/>
    </row>
    <row r="199" spans="1:15">
      <c r="A199" s="67" t="e">
        <f>'BC.115+040'!B198</f>
        <v>#REF!</v>
      </c>
      <c r="B199" s="129">
        <v>185</v>
      </c>
      <c r="C199" s="131" t="e">
        <f>'BC.115+040'!M198/1000</f>
        <v>#REF!</v>
      </c>
      <c r="D199" s="131" t="e">
        <f>'BC.115+040'!AA198</f>
        <v>#REF!</v>
      </c>
      <c r="E199" s="132" t="e">
        <f>'BC.115+040'!AB198</f>
        <v>#REF!</v>
      </c>
      <c r="F199" s="131" t="e">
        <f>VLOOKUP($A199,'BC.115+040'!$B$13:$X$489,8,0)/1000</f>
        <v>#REF!</v>
      </c>
      <c r="G199" s="131" t="e">
        <f>VLOOKUP($A199,'BC.115+040'!$B$13:$X$489,9,0)/1000</f>
        <v>#REF!</v>
      </c>
      <c r="H199" s="131" t="e">
        <f>VLOOKUP($A199,'BC.115+040'!$B$13:$X$489,14,0)/1000</f>
        <v>#REF!</v>
      </c>
      <c r="I199" s="131" t="e">
        <f>VLOOKUP($A199,'BC.115+040'!$B$13:$X$489,15,0)/1000</f>
        <v>#REF!</v>
      </c>
      <c r="J199" s="131" t="e">
        <f>VLOOKUP($A199,'BC.115+040'!$B$13:$X$489,20,0)/1000</f>
        <v>#REF!</v>
      </c>
      <c r="K199" s="131" t="e">
        <f>VLOOKUP($A199,'BC.115+040'!$B$13:$X$489,21,0)/1000</f>
        <v>#REF!</v>
      </c>
      <c r="L199" s="129" t="e">
        <f t="shared" si="6"/>
        <v>#REF!</v>
      </c>
      <c r="M199" s="130" t="e">
        <f t="shared" si="7"/>
        <v>#REF!</v>
      </c>
      <c r="N199" s="129" t="e">
        <f t="shared" si="8"/>
        <v>#REF!</v>
      </c>
      <c r="O199" s="129"/>
    </row>
    <row r="200" spans="1:15">
      <c r="A200" s="67" t="e">
        <f>'BC.115+040'!B199</f>
        <v>#REF!</v>
      </c>
      <c r="B200" s="129">
        <v>186</v>
      </c>
      <c r="C200" s="131" t="e">
        <f>'BC.115+040'!M199/1000</f>
        <v>#REF!</v>
      </c>
      <c r="D200" s="131" t="e">
        <f>'BC.115+040'!AA199</f>
        <v>#REF!</v>
      </c>
      <c r="E200" s="132" t="e">
        <f>'BC.115+040'!AB199</f>
        <v>#REF!</v>
      </c>
      <c r="F200" s="131" t="e">
        <f>VLOOKUP($A200,'BC.115+040'!$B$13:$X$489,8,0)/1000</f>
        <v>#REF!</v>
      </c>
      <c r="G200" s="131" t="e">
        <f>VLOOKUP($A200,'BC.115+040'!$B$13:$X$489,9,0)/1000</f>
        <v>#REF!</v>
      </c>
      <c r="H200" s="131" t="e">
        <f>VLOOKUP($A200,'BC.115+040'!$B$13:$X$489,14,0)/1000</f>
        <v>#REF!</v>
      </c>
      <c r="I200" s="131" t="e">
        <f>VLOOKUP($A200,'BC.115+040'!$B$13:$X$489,15,0)/1000</f>
        <v>#REF!</v>
      </c>
      <c r="J200" s="131" t="e">
        <f>VLOOKUP($A200,'BC.115+040'!$B$13:$X$489,20,0)/1000</f>
        <v>#REF!</v>
      </c>
      <c r="K200" s="131" t="e">
        <f>VLOOKUP($A200,'BC.115+040'!$B$13:$X$489,21,0)/1000</f>
        <v>#REF!</v>
      </c>
      <c r="L200" s="129" t="e">
        <f t="shared" si="6"/>
        <v>#REF!</v>
      </c>
      <c r="M200" s="130" t="e">
        <f t="shared" si="7"/>
        <v>#REF!</v>
      </c>
      <c r="N200" s="129" t="e">
        <f t="shared" si="8"/>
        <v>#REF!</v>
      </c>
      <c r="O200" s="129"/>
    </row>
    <row r="201" spans="1:15">
      <c r="A201" s="67" t="e">
        <f>'BC.115+040'!B200</f>
        <v>#REF!</v>
      </c>
      <c r="B201" s="129">
        <v>187</v>
      </c>
      <c r="C201" s="131" t="e">
        <f>'BC.115+040'!M200/1000</f>
        <v>#REF!</v>
      </c>
      <c r="D201" s="131" t="e">
        <f>'BC.115+040'!AA200</f>
        <v>#REF!</v>
      </c>
      <c r="E201" s="132" t="e">
        <f>'BC.115+040'!AB200</f>
        <v>#REF!</v>
      </c>
      <c r="F201" s="131" t="e">
        <f>VLOOKUP($A201,'BC.115+040'!$B$13:$X$489,8,0)/1000</f>
        <v>#REF!</v>
      </c>
      <c r="G201" s="131" t="e">
        <f>VLOOKUP($A201,'BC.115+040'!$B$13:$X$489,9,0)/1000</f>
        <v>#REF!</v>
      </c>
      <c r="H201" s="131" t="e">
        <f>VLOOKUP($A201,'BC.115+040'!$B$13:$X$489,14,0)/1000</f>
        <v>#REF!</v>
      </c>
      <c r="I201" s="131" t="e">
        <f>VLOOKUP($A201,'BC.115+040'!$B$13:$X$489,15,0)/1000</f>
        <v>#REF!</v>
      </c>
      <c r="J201" s="131" t="e">
        <f>VLOOKUP($A201,'BC.115+040'!$B$13:$X$489,20,0)/1000</f>
        <v>#REF!</v>
      </c>
      <c r="K201" s="131" t="e">
        <f>VLOOKUP($A201,'BC.115+040'!$B$13:$X$489,21,0)/1000</f>
        <v>#REF!</v>
      </c>
      <c r="L201" s="129" t="e">
        <f t="shared" si="6"/>
        <v>#REF!</v>
      </c>
      <c r="M201" s="130" t="e">
        <f t="shared" si="7"/>
        <v>#REF!</v>
      </c>
      <c r="N201" s="129" t="e">
        <f t="shared" si="8"/>
        <v>#REF!</v>
      </c>
      <c r="O201" s="129"/>
    </row>
    <row r="202" spans="1:15">
      <c r="A202" s="67" t="e">
        <f>'BC.115+040'!B201</f>
        <v>#REF!</v>
      </c>
      <c r="B202" s="129">
        <v>188</v>
      </c>
      <c r="C202" s="131" t="e">
        <f>'BC.115+040'!M201/1000</f>
        <v>#REF!</v>
      </c>
      <c r="D202" s="131" t="e">
        <f>'BC.115+040'!AA201</f>
        <v>#REF!</v>
      </c>
      <c r="E202" s="132" t="e">
        <f>'BC.115+040'!AB201</f>
        <v>#REF!</v>
      </c>
      <c r="F202" s="131" t="e">
        <f>VLOOKUP($A202,'BC.115+040'!$B$13:$X$489,8,0)/1000</f>
        <v>#REF!</v>
      </c>
      <c r="G202" s="131" t="e">
        <f>VLOOKUP($A202,'BC.115+040'!$B$13:$X$489,9,0)/1000</f>
        <v>#REF!</v>
      </c>
      <c r="H202" s="131" t="e">
        <f>VLOOKUP($A202,'BC.115+040'!$B$13:$X$489,14,0)/1000</f>
        <v>#REF!</v>
      </c>
      <c r="I202" s="131" t="e">
        <f>VLOOKUP($A202,'BC.115+040'!$B$13:$X$489,15,0)/1000</f>
        <v>#REF!</v>
      </c>
      <c r="J202" s="131" t="e">
        <f>VLOOKUP($A202,'BC.115+040'!$B$13:$X$489,20,0)/1000</f>
        <v>#REF!</v>
      </c>
      <c r="K202" s="131" t="e">
        <f>VLOOKUP($A202,'BC.115+040'!$B$13:$X$489,21,0)/1000</f>
        <v>#REF!</v>
      </c>
      <c r="L202" s="129" t="e">
        <f t="shared" si="6"/>
        <v>#REF!</v>
      </c>
      <c r="M202" s="130" t="e">
        <f t="shared" si="7"/>
        <v>#REF!</v>
      </c>
      <c r="N202" s="129" t="e">
        <f t="shared" si="8"/>
        <v>#REF!</v>
      </c>
      <c r="O202" s="129"/>
    </row>
    <row r="203" spans="1:15">
      <c r="A203" s="67" t="e">
        <f>'BC.115+040'!B202</f>
        <v>#REF!</v>
      </c>
      <c r="B203" s="129">
        <v>189</v>
      </c>
      <c r="C203" s="131" t="e">
        <f>'BC.115+040'!M202/1000</f>
        <v>#REF!</v>
      </c>
      <c r="D203" s="131" t="e">
        <f>'BC.115+040'!AA202</f>
        <v>#REF!</v>
      </c>
      <c r="E203" s="132" t="e">
        <f>'BC.115+040'!AB202</f>
        <v>#REF!</v>
      </c>
      <c r="F203" s="131" t="e">
        <f>VLOOKUP($A203,'BC.115+040'!$B$13:$X$489,8,0)/1000</f>
        <v>#REF!</v>
      </c>
      <c r="G203" s="131" t="e">
        <f>VLOOKUP($A203,'BC.115+040'!$B$13:$X$489,9,0)/1000</f>
        <v>#REF!</v>
      </c>
      <c r="H203" s="131" t="e">
        <f>VLOOKUP($A203,'BC.115+040'!$B$13:$X$489,14,0)/1000</f>
        <v>#REF!</v>
      </c>
      <c r="I203" s="131" t="e">
        <f>VLOOKUP($A203,'BC.115+040'!$B$13:$X$489,15,0)/1000</f>
        <v>#REF!</v>
      </c>
      <c r="J203" s="131" t="e">
        <f>VLOOKUP($A203,'BC.115+040'!$B$13:$X$489,20,0)/1000</f>
        <v>#REF!</v>
      </c>
      <c r="K203" s="131" t="e">
        <f>VLOOKUP($A203,'BC.115+040'!$B$13:$X$489,21,0)/1000</f>
        <v>#REF!</v>
      </c>
      <c r="L203" s="129" t="e">
        <f t="shared" si="6"/>
        <v>#REF!</v>
      </c>
      <c r="M203" s="130" t="e">
        <f t="shared" si="7"/>
        <v>#REF!</v>
      </c>
      <c r="N203" s="129" t="e">
        <f t="shared" si="8"/>
        <v>#REF!</v>
      </c>
      <c r="O203" s="129"/>
    </row>
    <row r="204" spans="1:15">
      <c r="A204" s="67" t="e">
        <f>'BC.115+040'!B203</f>
        <v>#REF!</v>
      </c>
      <c r="B204" s="129">
        <v>190</v>
      </c>
      <c r="C204" s="131" t="e">
        <f>'BC.115+040'!M203/1000</f>
        <v>#REF!</v>
      </c>
      <c r="D204" s="131" t="e">
        <f>'BC.115+040'!AA203</f>
        <v>#REF!</v>
      </c>
      <c r="E204" s="132" t="e">
        <f>'BC.115+040'!AB203</f>
        <v>#REF!</v>
      </c>
      <c r="F204" s="131" t="e">
        <f>VLOOKUP($A204,'BC.115+040'!$B$13:$X$489,8,0)/1000</f>
        <v>#REF!</v>
      </c>
      <c r="G204" s="131" t="e">
        <f>VLOOKUP($A204,'BC.115+040'!$B$13:$X$489,9,0)/1000</f>
        <v>#REF!</v>
      </c>
      <c r="H204" s="131" t="e">
        <f>VLOOKUP($A204,'BC.115+040'!$B$13:$X$489,14,0)/1000</f>
        <v>#REF!</v>
      </c>
      <c r="I204" s="131" t="e">
        <f>VLOOKUP($A204,'BC.115+040'!$B$13:$X$489,15,0)/1000</f>
        <v>#REF!</v>
      </c>
      <c r="J204" s="131" t="e">
        <f>VLOOKUP($A204,'BC.115+040'!$B$13:$X$489,20,0)/1000</f>
        <v>#REF!</v>
      </c>
      <c r="K204" s="131" t="e">
        <f>VLOOKUP($A204,'BC.115+040'!$B$13:$X$489,21,0)/1000</f>
        <v>#REF!</v>
      </c>
      <c r="L204" s="129" t="e">
        <f t="shared" si="6"/>
        <v>#REF!</v>
      </c>
      <c r="M204" s="130" t="e">
        <f t="shared" si="7"/>
        <v>#REF!</v>
      </c>
      <c r="N204" s="129" t="e">
        <f t="shared" si="8"/>
        <v>#REF!</v>
      </c>
      <c r="O204" s="129"/>
    </row>
    <row r="205" spans="1:15">
      <c r="A205" s="67" t="e">
        <f>'BC.115+040'!B204</f>
        <v>#REF!</v>
      </c>
      <c r="B205" s="129">
        <v>191</v>
      </c>
      <c r="C205" s="131" t="e">
        <f>'BC.115+040'!M204/1000</f>
        <v>#REF!</v>
      </c>
      <c r="D205" s="131" t="e">
        <f>'BC.115+040'!AA204</f>
        <v>#REF!</v>
      </c>
      <c r="E205" s="132" t="e">
        <f>'BC.115+040'!AB204</f>
        <v>#REF!</v>
      </c>
      <c r="F205" s="131" t="e">
        <f>VLOOKUP($A205,'BC.115+040'!$B$13:$X$489,8,0)/1000</f>
        <v>#REF!</v>
      </c>
      <c r="G205" s="131" t="e">
        <f>VLOOKUP($A205,'BC.115+040'!$B$13:$X$489,9,0)/1000</f>
        <v>#REF!</v>
      </c>
      <c r="H205" s="131" t="e">
        <f>VLOOKUP($A205,'BC.115+040'!$B$13:$X$489,14,0)/1000</f>
        <v>#REF!</v>
      </c>
      <c r="I205" s="131" t="e">
        <f>VLOOKUP($A205,'BC.115+040'!$B$13:$X$489,15,0)/1000</f>
        <v>#REF!</v>
      </c>
      <c r="J205" s="131" t="e">
        <f>VLOOKUP($A205,'BC.115+040'!$B$13:$X$489,20,0)/1000</f>
        <v>#REF!</v>
      </c>
      <c r="K205" s="131" t="e">
        <f>VLOOKUP($A205,'BC.115+040'!$B$13:$X$489,21,0)/1000</f>
        <v>#REF!</v>
      </c>
      <c r="L205" s="129" t="e">
        <f t="shared" si="6"/>
        <v>#REF!</v>
      </c>
      <c r="M205" s="130" t="e">
        <f t="shared" si="7"/>
        <v>#REF!</v>
      </c>
      <c r="N205" s="129" t="e">
        <f t="shared" si="8"/>
        <v>#REF!</v>
      </c>
      <c r="O205" s="129"/>
    </row>
    <row r="206" spans="1:15">
      <c r="A206" s="67" t="e">
        <f>'BC.115+040'!B205</f>
        <v>#REF!</v>
      </c>
      <c r="B206" s="129">
        <v>192</v>
      </c>
      <c r="C206" s="131" t="e">
        <f>'BC.115+040'!M205/1000</f>
        <v>#REF!</v>
      </c>
      <c r="D206" s="131" t="e">
        <f>'BC.115+040'!AA205</f>
        <v>#REF!</v>
      </c>
      <c r="E206" s="132" t="e">
        <f>'BC.115+040'!AB205</f>
        <v>#REF!</v>
      </c>
      <c r="F206" s="131" t="e">
        <f>VLOOKUP($A206,'BC.115+040'!$B$13:$X$489,8,0)/1000</f>
        <v>#REF!</v>
      </c>
      <c r="G206" s="131" t="e">
        <f>VLOOKUP($A206,'BC.115+040'!$B$13:$X$489,9,0)/1000</f>
        <v>#REF!</v>
      </c>
      <c r="H206" s="131" t="e">
        <f>VLOOKUP($A206,'BC.115+040'!$B$13:$X$489,14,0)/1000</f>
        <v>#REF!</v>
      </c>
      <c r="I206" s="131" t="e">
        <f>VLOOKUP($A206,'BC.115+040'!$B$13:$X$489,15,0)/1000</f>
        <v>#REF!</v>
      </c>
      <c r="J206" s="131" t="e">
        <f>VLOOKUP($A206,'BC.115+040'!$B$13:$X$489,20,0)/1000</f>
        <v>#REF!</v>
      </c>
      <c r="K206" s="131" t="e">
        <f>VLOOKUP($A206,'BC.115+040'!$B$13:$X$489,21,0)/1000</f>
        <v>#REF!</v>
      </c>
      <c r="L206" s="129" t="e">
        <f t="shared" ref="L206:L269" si="9">(G206-$G$14)*1000</f>
        <v>#REF!</v>
      </c>
      <c r="M206" s="130" t="e">
        <f t="shared" ref="M206:M269" si="10">(I206-$I$14)*1000</f>
        <v>#REF!</v>
      </c>
      <c r="N206" s="129" t="e">
        <f t="shared" si="8"/>
        <v>#REF!</v>
      </c>
      <c r="O206" s="129"/>
    </row>
    <row r="207" spans="1:15">
      <c r="A207" s="67" t="e">
        <f>'BC.115+040'!B206</f>
        <v>#REF!</v>
      </c>
      <c r="B207" s="129">
        <v>193</v>
      </c>
      <c r="C207" s="131" t="e">
        <f>'BC.115+040'!M206/1000</f>
        <v>#REF!</v>
      </c>
      <c r="D207" s="131" t="e">
        <f>'BC.115+040'!AA206</f>
        <v>#REF!</v>
      </c>
      <c r="E207" s="132" t="e">
        <f>'BC.115+040'!AB206</f>
        <v>#REF!</v>
      </c>
      <c r="F207" s="131" t="e">
        <f>VLOOKUP($A207,'BC.115+040'!$B$13:$X$489,8,0)/1000</f>
        <v>#REF!</v>
      </c>
      <c r="G207" s="131" t="e">
        <f>VLOOKUP($A207,'BC.115+040'!$B$13:$X$489,9,0)/1000</f>
        <v>#REF!</v>
      </c>
      <c r="H207" s="131" t="e">
        <f>VLOOKUP($A207,'BC.115+040'!$B$13:$X$489,14,0)/1000</f>
        <v>#REF!</v>
      </c>
      <c r="I207" s="131" t="e">
        <f>VLOOKUP($A207,'BC.115+040'!$B$13:$X$489,15,0)/1000</f>
        <v>#REF!</v>
      </c>
      <c r="J207" s="131" t="e">
        <f>VLOOKUP($A207,'BC.115+040'!$B$13:$X$489,20,0)/1000</f>
        <v>#REF!</v>
      </c>
      <c r="K207" s="131" t="e">
        <f>VLOOKUP($A207,'BC.115+040'!$B$13:$X$489,21,0)/1000</f>
        <v>#REF!</v>
      </c>
      <c r="L207" s="129" t="e">
        <f t="shared" si="9"/>
        <v>#REF!</v>
      </c>
      <c r="M207" s="130" t="e">
        <f t="shared" si="10"/>
        <v>#REF!</v>
      </c>
      <c r="N207" s="129" t="e">
        <f t="shared" ref="N207:N270" si="11">(K207-$K$14)*1000</f>
        <v>#REF!</v>
      </c>
      <c r="O207" s="129"/>
    </row>
    <row r="208" spans="1:15">
      <c r="A208" s="67" t="e">
        <f>'BC.115+040'!B207</f>
        <v>#REF!</v>
      </c>
      <c r="B208" s="129">
        <v>194</v>
      </c>
      <c r="C208" s="131" t="e">
        <f>'BC.115+040'!M207/1000</f>
        <v>#REF!</v>
      </c>
      <c r="D208" s="131" t="e">
        <f>'BC.115+040'!AA207</f>
        <v>#REF!</v>
      </c>
      <c r="E208" s="132" t="e">
        <f>'BC.115+040'!AB207</f>
        <v>#REF!</v>
      </c>
      <c r="F208" s="131" t="e">
        <f>VLOOKUP($A208,'BC.115+040'!$B$13:$X$489,8,0)/1000</f>
        <v>#REF!</v>
      </c>
      <c r="G208" s="131" t="e">
        <f>VLOOKUP($A208,'BC.115+040'!$B$13:$X$489,9,0)/1000</f>
        <v>#REF!</v>
      </c>
      <c r="H208" s="131" t="e">
        <f>VLOOKUP($A208,'BC.115+040'!$B$13:$X$489,14,0)/1000</f>
        <v>#REF!</v>
      </c>
      <c r="I208" s="131" t="e">
        <f>VLOOKUP($A208,'BC.115+040'!$B$13:$X$489,15,0)/1000</f>
        <v>#REF!</v>
      </c>
      <c r="J208" s="131" t="e">
        <f>VLOOKUP($A208,'BC.115+040'!$B$13:$X$489,20,0)/1000</f>
        <v>#REF!</v>
      </c>
      <c r="K208" s="131" t="e">
        <f>VLOOKUP($A208,'BC.115+040'!$B$13:$X$489,21,0)/1000</f>
        <v>#REF!</v>
      </c>
      <c r="L208" s="129" t="e">
        <f t="shared" si="9"/>
        <v>#REF!</v>
      </c>
      <c r="M208" s="130" t="e">
        <f t="shared" si="10"/>
        <v>#REF!</v>
      </c>
      <c r="N208" s="129" t="e">
        <f t="shared" si="11"/>
        <v>#REF!</v>
      </c>
      <c r="O208" s="129"/>
    </row>
    <row r="209" spans="1:15">
      <c r="A209" s="67" t="e">
        <f>'BC.115+040'!B208</f>
        <v>#REF!</v>
      </c>
      <c r="B209" s="129">
        <v>195</v>
      </c>
      <c r="C209" s="131" t="e">
        <f>'BC.115+040'!M208/1000</f>
        <v>#REF!</v>
      </c>
      <c r="D209" s="131" t="e">
        <f>'BC.115+040'!AA208</f>
        <v>#REF!</v>
      </c>
      <c r="E209" s="132" t="e">
        <f>'BC.115+040'!AB208</f>
        <v>#REF!</v>
      </c>
      <c r="F209" s="131" t="e">
        <f>VLOOKUP($A209,'BC.115+040'!$B$13:$X$489,8,0)/1000</f>
        <v>#REF!</v>
      </c>
      <c r="G209" s="131" t="e">
        <f>VLOOKUP($A209,'BC.115+040'!$B$13:$X$489,9,0)/1000</f>
        <v>#REF!</v>
      </c>
      <c r="H209" s="131" t="e">
        <f>VLOOKUP($A209,'BC.115+040'!$B$13:$X$489,14,0)/1000</f>
        <v>#REF!</v>
      </c>
      <c r="I209" s="131" t="e">
        <f>VLOOKUP($A209,'BC.115+040'!$B$13:$X$489,15,0)/1000</f>
        <v>#REF!</v>
      </c>
      <c r="J209" s="131" t="e">
        <f>VLOOKUP($A209,'BC.115+040'!$B$13:$X$489,20,0)/1000</f>
        <v>#REF!</v>
      </c>
      <c r="K209" s="131" t="e">
        <f>VLOOKUP($A209,'BC.115+040'!$B$13:$X$489,21,0)/1000</f>
        <v>#REF!</v>
      </c>
      <c r="L209" s="129" t="e">
        <f t="shared" si="9"/>
        <v>#REF!</v>
      </c>
      <c r="M209" s="130" t="e">
        <f t="shared" si="10"/>
        <v>#REF!</v>
      </c>
      <c r="N209" s="129" t="e">
        <f t="shared" si="11"/>
        <v>#REF!</v>
      </c>
      <c r="O209" s="129"/>
    </row>
    <row r="210" spans="1:15">
      <c r="A210" s="67" t="e">
        <f>'BC.115+040'!B209</f>
        <v>#REF!</v>
      </c>
      <c r="B210" s="129">
        <v>196</v>
      </c>
      <c r="C210" s="131" t="e">
        <f>'BC.115+040'!M209/1000</f>
        <v>#REF!</v>
      </c>
      <c r="D210" s="131" t="e">
        <f>'BC.115+040'!AA209</f>
        <v>#REF!</v>
      </c>
      <c r="E210" s="132" t="e">
        <f>'BC.115+040'!AB209</f>
        <v>#REF!</v>
      </c>
      <c r="F210" s="131" t="e">
        <f>VLOOKUP($A210,'BC.115+040'!$B$13:$X$489,8,0)/1000</f>
        <v>#REF!</v>
      </c>
      <c r="G210" s="131" t="e">
        <f>VLOOKUP($A210,'BC.115+040'!$B$13:$X$489,9,0)/1000</f>
        <v>#REF!</v>
      </c>
      <c r="H210" s="131" t="e">
        <f>VLOOKUP($A210,'BC.115+040'!$B$13:$X$489,14,0)/1000</f>
        <v>#REF!</v>
      </c>
      <c r="I210" s="131" t="e">
        <f>VLOOKUP($A210,'BC.115+040'!$B$13:$X$489,15,0)/1000</f>
        <v>#REF!</v>
      </c>
      <c r="J210" s="131" t="e">
        <f>VLOOKUP($A210,'BC.115+040'!$B$13:$X$489,20,0)/1000</f>
        <v>#REF!</v>
      </c>
      <c r="K210" s="131" t="e">
        <f>VLOOKUP($A210,'BC.115+040'!$B$13:$X$489,21,0)/1000</f>
        <v>#REF!</v>
      </c>
      <c r="L210" s="129" t="e">
        <f t="shared" si="9"/>
        <v>#REF!</v>
      </c>
      <c r="M210" s="130" t="e">
        <f t="shared" si="10"/>
        <v>#REF!</v>
      </c>
      <c r="N210" s="129" t="e">
        <f t="shared" si="11"/>
        <v>#REF!</v>
      </c>
      <c r="O210" s="129"/>
    </row>
    <row r="211" spans="1:15">
      <c r="A211" s="67" t="e">
        <f>'BC.115+040'!B210</f>
        <v>#REF!</v>
      </c>
      <c r="B211" s="129">
        <v>197</v>
      </c>
      <c r="C211" s="131" t="e">
        <f>'BC.115+040'!M210/1000</f>
        <v>#REF!</v>
      </c>
      <c r="D211" s="131" t="e">
        <f>'BC.115+040'!AA210</f>
        <v>#REF!</v>
      </c>
      <c r="E211" s="132" t="e">
        <f>'BC.115+040'!AB210</f>
        <v>#REF!</v>
      </c>
      <c r="F211" s="131" t="e">
        <f>VLOOKUP($A211,'BC.115+040'!$B$13:$X$489,8,0)/1000</f>
        <v>#REF!</v>
      </c>
      <c r="G211" s="131" t="e">
        <f>VLOOKUP($A211,'BC.115+040'!$B$13:$X$489,9,0)/1000</f>
        <v>#REF!</v>
      </c>
      <c r="H211" s="131" t="e">
        <f>VLOOKUP($A211,'BC.115+040'!$B$13:$X$489,14,0)/1000</f>
        <v>#REF!</v>
      </c>
      <c r="I211" s="131" t="e">
        <f>VLOOKUP($A211,'BC.115+040'!$B$13:$X$489,15,0)/1000</f>
        <v>#REF!</v>
      </c>
      <c r="J211" s="131" t="e">
        <f>VLOOKUP($A211,'BC.115+040'!$B$13:$X$489,20,0)/1000</f>
        <v>#REF!</v>
      </c>
      <c r="K211" s="131" t="e">
        <f>VLOOKUP($A211,'BC.115+040'!$B$13:$X$489,21,0)/1000</f>
        <v>#REF!</v>
      </c>
      <c r="L211" s="129" t="e">
        <f t="shared" si="9"/>
        <v>#REF!</v>
      </c>
      <c r="M211" s="130" t="e">
        <f t="shared" si="10"/>
        <v>#REF!</v>
      </c>
      <c r="N211" s="129" t="e">
        <f t="shared" si="11"/>
        <v>#REF!</v>
      </c>
      <c r="O211" s="129"/>
    </row>
    <row r="212" spans="1:15">
      <c r="A212" s="67" t="e">
        <f>'BC.115+040'!B211</f>
        <v>#REF!</v>
      </c>
      <c r="B212" s="129">
        <v>198</v>
      </c>
      <c r="C212" s="131" t="e">
        <f>'BC.115+040'!M211/1000</f>
        <v>#REF!</v>
      </c>
      <c r="D212" s="131" t="e">
        <f>'BC.115+040'!AA211</f>
        <v>#REF!</v>
      </c>
      <c r="E212" s="132" t="e">
        <f>'BC.115+040'!AB211</f>
        <v>#REF!</v>
      </c>
      <c r="F212" s="131" t="e">
        <f>VLOOKUP($A212,'BC.115+040'!$B$13:$X$489,8,0)/1000</f>
        <v>#REF!</v>
      </c>
      <c r="G212" s="131" t="e">
        <f>VLOOKUP($A212,'BC.115+040'!$B$13:$X$489,9,0)/1000</f>
        <v>#REF!</v>
      </c>
      <c r="H212" s="131" t="e">
        <f>VLOOKUP($A212,'BC.115+040'!$B$13:$X$489,14,0)/1000</f>
        <v>#REF!</v>
      </c>
      <c r="I212" s="131" t="e">
        <f>VLOOKUP($A212,'BC.115+040'!$B$13:$X$489,15,0)/1000</f>
        <v>#REF!</v>
      </c>
      <c r="J212" s="131" t="e">
        <f>VLOOKUP($A212,'BC.115+040'!$B$13:$X$489,20,0)/1000</f>
        <v>#REF!</v>
      </c>
      <c r="K212" s="131" t="e">
        <f>VLOOKUP($A212,'BC.115+040'!$B$13:$X$489,21,0)/1000</f>
        <v>#REF!</v>
      </c>
      <c r="L212" s="129" t="e">
        <f t="shared" si="9"/>
        <v>#REF!</v>
      </c>
      <c r="M212" s="130" t="e">
        <f t="shared" si="10"/>
        <v>#REF!</v>
      </c>
      <c r="N212" s="129" t="e">
        <f t="shared" si="11"/>
        <v>#REF!</v>
      </c>
      <c r="O212" s="129"/>
    </row>
    <row r="213" spans="1:15">
      <c r="A213" s="67" t="e">
        <f>'BC.115+040'!B212</f>
        <v>#REF!</v>
      </c>
      <c r="B213" s="129">
        <v>199</v>
      </c>
      <c r="C213" s="131" t="e">
        <f>'BC.115+040'!M212/1000</f>
        <v>#REF!</v>
      </c>
      <c r="D213" s="131" t="e">
        <f>'BC.115+040'!AA212</f>
        <v>#REF!</v>
      </c>
      <c r="E213" s="132" t="e">
        <f>'BC.115+040'!AB212</f>
        <v>#REF!</v>
      </c>
      <c r="F213" s="131" t="e">
        <f>VLOOKUP($A213,'BC.115+040'!$B$13:$X$489,8,0)/1000</f>
        <v>#REF!</v>
      </c>
      <c r="G213" s="131" t="e">
        <f>VLOOKUP($A213,'BC.115+040'!$B$13:$X$489,9,0)/1000</f>
        <v>#REF!</v>
      </c>
      <c r="H213" s="131" t="e">
        <f>VLOOKUP($A213,'BC.115+040'!$B$13:$X$489,14,0)/1000</f>
        <v>#REF!</v>
      </c>
      <c r="I213" s="131" t="e">
        <f>VLOOKUP($A213,'BC.115+040'!$B$13:$X$489,15,0)/1000</f>
        <v>#REF!</v>
      </c>
      <c r="J213" s="131" t="e">
        <f>VLOOKUP($A213,'BC.115+040'!$B$13:$X$489,20,0)/1000</f>
        <v>#REF!</v>
      </c>
      <c r="K213" s="131" t="e">
        <f>VLOOKUP($A213,'BC.115+040'!$B$13:$X$489,21,0)/1000</f>
        <v>#REF!</v>
      </c>
      <c r="L213" s="129" t="e">
        <f t="shared" si="9"/>
        <v>#REF!</v>
      </c>
      <c r="M213" s="130" t="e">
        <f t="shared" si="10"/>
        <v>#REF!</v>
      </c>
      <c r="N213" s="129" t="e">
        <f t="shared" si="11"/>
        <v>#REF!</v>
      </c>
      <c r="O213" s="129"/>
    </row>
    <row r="214" spans="1:15">
      <c r="A214" s="67" t="e">
        <f>'BC.115+040'!B213</f>
        <v>#REF!</v>
      </c>
      <c r="B214" s="129">
        <v>200</v>
      </c>
      <c r="C214" s="131" t="e">
        <f>'BC.115+040'!M213/1000</f>
        <v>#REF!</v>
      </c>
      <c r="D214" s="131" t="e">
        <f>'BC.115+040'!AA213</f>
        <v>#REF!</v>
      </c>
      <c r="E214" s="132" t="e">
        <f>'BC.115+040'!AB213</f>
        <v>#REF!</v>
      </c>
      <c r="F214" s="131" t="e">
        <f>VLOOKUP($A214,'BC.115+040'!$B$13:$X$489,8,0)/1000</f>
        <v>#REF!</v>
      </c>
      <c r="G214" s="131" t="e">
        <f>VLOOKUP($A214,'BC.115+040'!$B$13:$X$489,9,0)/1000</f>
        <v>#REF!</v>
      </c>
      <c r="H214" s="131" t="e">
        <f>VLOOKUP($A214,'BC.115+040'!$B$13:$X$489,14,0)/1000</f>
        <v>#REF!</v>
      </c>
      <c r="I214" s="131" t="e">
        <f>VLOOKUP($A214,'BC.115+040'!$B$13:$X$489,15,0)/1000</f>
        <v>#REF!</v>
      </c>
      <c r="J214" s="131" t="e">
        <f>VLOOKUP($A214,'BC.115+040'!$B$13:$X$489,20,0)/1000</f>
        <v>#REF!</v>
      </c>
      <c r="K214" s="131" t="e">
        <f>VLOOKUP($A214,'BC.115+040'!$B$13:$X$489,21,0)/1000</f>
        <v>#REF!</v>
      </c>
      <c r="L214" s="129" t="e">
        <f t="shared" si="9"/>
        <v>#REF!</v>
      </c>
      <c r="M214" s="130" t="e">
        <f t="shared" si="10"/>
        <v>#REF!</v>
      </c>
      <c r="N214" s="129" t="e">
        <f t="shared" si="11"/>
        <v>#REF!</v>
      </c>
      <c r="O214" s="129"/>
    </row>
    <row r="215" spans="1:15">
      <c r="A215" s="67" t="e">
        <f>'BC.115+040'!B214</f>
        <v>#REF!</v>
      </c>
      <c r="B215" s="129">
        <v>201</v>
      </c>
      <c r="C215" s="131" t="e">
        <f>'BC.115+040'!M214/1000</f>
        <v>#REF!</v>
      </c>
      <c r="D215" s="131" t="e">
        <f>'BC.115+040'!AA214</f>
        <v>#REF!</v>
      </c>
      <c r="E215" s="132" t="e">
        <f>'BC.115+040'!AB214</f>
        <v>#REF!</v>
      </c>
      <c r="F215" s="131" t="e">
        <f>VLOOKUP($A215,'BC.115+040'!$B$13:$X$489,8,0)/1000</f>
        <v>#REF!</v>
      </c>
      <c r="G215" s="131" t="e">
        <f>VLOOKUP($A215,'BC.115+040'!$B$13:$X$489,9,0)/1000</f>
        <v>#REF!</v>
      </c>
      <c r="H215" s="131" t="e">
        <f>VLOOKUP($A215,'BC.115+040'!$B$13:$X$489,14,0)/1000</f>
        <v>#REF!</v>
      </c>
      <c r="I215" s="131" t="e">
        <f>VLOOKUP($A215,'BC.115+040'!$B$13:$X$489,15,0)/1000</f>
        <v>#REF!</v>
      </c>
      <c r="J215" s="131" t="e">
        <f>VLOOKUP($A215,'BC.115+040'!$B$13:$X$489,20,0)/1000</f>
        <v>#REF!</v>
      </c>
      <c r="K215" s="131" t="e">
        <f>VLOOKUP($A215,'BC.115+040'!$B$13:$X$489,21,0)/1000</f>
        <v>#REF!</v>
      </c>
      <c r="L215" s="129" t="e">
        <f t="shared" si="9"/>
        <v>#REF!</v>
      </c>
      <c r="M215" s="130" t="e">
        <f t="shared" si="10"/>
        <v>#REF!</v>
      </c>
      <c r="N215" s="129" t="e">
        <f t="shared" si="11"/>
        <v>#REF!</v>
      </c>
      <c r="O215" s="129"/>
    </row>
    <row r="216" spans="1:15">
      <c r="A216" s="67" t="e">
        <f>'BC.115+040'!B215</f>
        <v>#REF!</v>
      </c>
      <c r="B216" s="129">
        <v>202</v>
      </c>
      <c r="C216" s="131" t="e">
        <f>'BC.115+040'!M215/1000</f>
        <v>#REF!</v>
      </c>
      <c r="D216" s="131" t="e">
        <f>'BC.115+040'!AA215</f>
        <v>#REF!</v>
      </c>
      <c r="E216" s="132" t="e">
        <f>'BC.115+040'!AB215</f>
        <v>#REF!</v>
      </c>
      <c r="F216" s="131" t="e">
        <f>VLOOKUP($A216,'BC.115+040'!$B$13:$X$489,8,0)/1000</f>
        <v>#REF!</v>
      </c>
      <c r="G216" s="131" t="e">
        <f>VLOOKUP($A216,'BC.115+040'!$B$13:$X$489,9,0)/1000</f>
        <v>#REF!</v>
      </c>
      <c r="H216" s="131" t="e">
        <f>VLOOKUP($A216,'BC.115+040'!$B$13:$X$489,14,0)/1000</f>
        <v>#REF!</v>
      </c>
      <c r="I216" s="131" t="e">
        <f>VLOOKUP($A216,'BC.115+040'!$B$13:$X$489,15,0)/1000</f>
        <v>#REF!</v>
      </c>
      <c r="J216" s="131" t="e">
        <f>VLOOKUP($A216,'BC.115+040'!$B$13:$X$489,20,0)/1000</f>
        <v>#REF!</v>
      </c>
      <c r="K216" s="131" t="e">
        <f>VLOOKUP($A216,'BC.115+040'!$B$13:$X$489,21,0)/1000</f>
        <v>#REF!</v>
      </c>
      <c r="L216" s="129" t="e">
        <f t="shared" si="9"/>
        <v>#REF!</v>
      </c>
      <c r="M216" s="130" t="e">
        <f t="shared" si="10"/>
        <v>#REF!</v>
      </c>
      <c r="N216" s="129" t="e">
        <f t="shared" si="11"/>
        <v>#REF!</v>
      </c>
      <c r="O216" s="129"/>
    </row>
    <row r="217" spans="1:15">
      <c r="A217" s="67" t="e">
        <f>'BC.115+040'!B216</f>
        <v>#REF!</v>
      </c>
      <c r="B217" s="129">
        <v>203</v>
      </c>
      <c r="C217" s="131" t="e">
        <f>'BC.115+040'!M216/1000</f>
        <v>#REF!</v>
      </c>
      <c r="D217" s="131" t="e">
        <f>'BC.115+040'!AA216</f>
        <v>#REF!</v>
      </c>
      <c r="E217" s="132" t="e">
        <f>'BC.115+040'!AB216</f>
        <v>#REF!</v>
      </c>
      <c r="F217" s="131" t="e">
        <f>VLOOKUP($A217,'BC.115+040'!$B$13:$X$489,8,0)/1000</f>
        <v>#REF!</v>
      </c>
      <c r="G217" s="131" t="e">
        <f>VLOOKUP($A217,'BC.115+040'!$B$13:$X$489,9,0)/1000</f>
        <v>#REF!</v>
      </c>
      <c r="H217" s="131" t="e">
        <f>VLOOKUP($A217,'BC.115+040'!$B$13:$X$489,14,0)/1000</f>
        <v>#REF!</v>
      </c>
      <c r="I217" s="131" t="e">
        <f>VLOOKUP($A217,'BC.115+040'!$B$13:$X$489,15,0)/1000</f>
        <v>#REF!</v>
      </c>
      <c r="J217" s="131" t="e">
        <f>VLOOKUP($A217,'BC.115+040'!$B$13:$X$489,20,0)/1000</f>
        <v>#REF!</v>
      </c>
      <c r="K217" s="131" t="e">
        <f>VLOOKUP($A217,'BC.115+040'!$B$13:$X$489,21,0)/1000</f>
        <v>#REF!</v>
      </c>
      <c r="L217" s="129" t="e">
        <f t="shared" si="9"/>
        <v>#REF!</v>
      </c>
      <c r="M217" s="130" t="e">
        <f t="shared" si="10"/>
        <v>#REF!</v>
      </c>
      <c r="N217" s="129" t="e">
        <f t="shared" si="11"/>
        <v>#REF!</v>
      </c>
      <c r="O217" s="129"/>
    </row>
    <row r="218" spans="1:15">
      <c r="A218" s="67" t="e">
        <f>'BC.115+040'!B217</f>
        <v>#REF!</v>
      </c>
      <c r="B218" s="129">
        <v>204</v>
      </c>
      <c r="C218" s="131" t="e">
        <f>'BC.115+040'!M217/1000</f>
        <v>#REF!</v>
      </c>
      <c r="D218" s="131" t="e">
        <f>'BC.115+040'!AA217</f>
        <v>#REF!</v>
      </c>
      <c r="E218" s="132" t="e">
        <f>'BC.115+040'!AB217</f>
        <v>#REF!</v>
      </c>
      <c r="F218" s="131" t="e">
        <f>VLOOKUP($A218,'BC.115+040'!$B$13:$X$489,8,0)/1000</f>
        <v>#REF!</v>
      </c>
      <c r="G218" s="131" t="e">
        <f>VLOOKUP($A218,'BC.115+040'!$B$13:$X$489,9,0)/1000</f>
        <v>#REF!</v>
      </c>
      <c r="H218" s="131" t="e">
        <f>VLOOKUP($A218,'BC.115+040'!$B$13:$X$489,14,0)/1000</f>
        <v>#REF!</v>
      </c>
      <c r="I218" s="131" t="e">
        <f>VLOOKUP($A218,'BC.115+040'!$B$13:$X$489,15,0)/1000</f>
        <v>#REF!</v>
      </c>
      <c r="J218" s="131" t="e">
        <f>VLOOKUP($A218,'BC.115+040'!$B$13:$X$489,20,0)/1000</f>
        <v>#REF!</v>
      </c>
      <c r="K218" s="131" t="e">
        <f>VLOOKUP($A218,'BC.115+040'!$B$13:$X$489,21,0)/1000</f>
        <v>#REF!</v>
      </c>
      <c r="L218" s="129" t="e">
        <f t="shared" si="9"/>
        <v>#REF!</v>
      </c>
      <c r="M218" s="130" t="e">
        <f t="shared" si="10"/>
        <v>#REF!</v>
      </c>
      <c r="N218" s="129" t="e">
        <f t="shared" si="11"/>
        <v>#REF!</v>
      </c>
      <c r="O218" s="129"/>
    </row>
    <row r="219" spans="1:15">
      <c r="A219" s="67" t="e">
        <f>'BC.115+040'!B218</f>
        <v>#REF!</v>
      </c>
      <c r="B219" s="129">
        <v>205</v>
      </c>
      <c r="C219" s="131" t="e">
        <f>'BC.115+040'!M218/1000</f>
        <v>#REF!</v>
      </c>
      <c r="D219" s="131" t="e">
        <f>'BC.115+040'!AA218</f>
        <v>#REF!</v>
      </c>
      <c r="E219" s="132" t="e">
        <f>'BC.115+040'!AB218</f>
        <v>#REF!</v>
      </c>
      <c r="F219" s="131" t="e">
        <f>VLOOKUP($A219,'BC.115+040'!$B$13:$X$489,8,0)/1000</f>
        <v>#REF!</v>
      </c>
      <c r="G219" s="131" t="e">
        <f>VLOOKUP($A219,'BC.115+040'!$B$13:$X$489,9,0)/1000</f>
        <v>#REF!</v>
      </c>
      <c r="H219" s="131" t="e">
        <f>VLOOKUP($A219,'BC.115+040'!$B$13:$X$489,14,0)/1000</f>
        <v>#REF!</v>
      </c>
      <c r="I219" s="131" t="e">
        <f>VLOOKUP($A219,'BC.115+040'!$B$13:$X$489,15,0)/1000</f>
        <v>#REF!</v>
      </c>
      <c r="J219" s="131" t="e">
        <f>VLOOKUP($A219,'BC.115+040'!$B$13:$X$489,20,0)/1000</f>
        <v>#REF!</v>
      </c>
      <c r="K219" s="131" t="e">
        <f>VLOOKUP($A219,'BC.115+040'!$B$13:$X$489,21,0)/1000</f>
        <v>#REF!</v>
      </c>
      <c r="L219" s="129" t="e">
        <f t="shared" si="9"/>
        <v>#REF!</v>
      </c>
      <c r="M219" s="130" t="e">
        <f t="shared" si="10"/>
        <v>#REF!</v>
      </c>
      <c r="N219" s="129" t="e">
        <f t="shared" si="11"/>
        <v>#REF!</v>
      </c>
      <c r="O219" s="129"/>
    </row>
    <row r="220" spans="1:15">
      <c r="A220" s="67" t="e">
        <f>'BC.115+040'!B219</f>
        <v>#REF!</v>
      </c>
      <c r="B220" s="129">
        <v>206</v>
      </c>
      <c r="C220" s="131" t="e">
        <f>'BC.115+040'!M219/1000</f>
        <v>#REF!</v>
      </c>
      <c r="D220" s="131" t="e">
        <f>'BC.115+040'!AA219</f>
        <v>#REF!</v>
      </c>
      <c r="E220" s="132" t="e">
        <f>'BC.115+040'!AB219</f>
        <v>#REF!</v>
      </c>
      <c r="F220" s="131" t="e">
        <f>VLOOKUP($A220,'BC.115+040'!$B$13:$X$489,8,0)/1000</f>
        <v>#REF!</v>
      </c>
      <c r="G220" s="131" t="e">
        <f>VLOOKUP($A220,'BC.115+040'!$B$13:$X$489,9,0)/1000</f>
        <v>#REF!</v>
      </c>
      <c r="H220" s="131" t="e">
        <f>VLOOKUP($A220,'BC.115+040'!$B$13:$X$489,14,0)/1000</f>
        <v>#REF!</v>
      </c>
      <c r="I220" s="131" t="e">
        <f>VLOOKUP($A220,'BC.115+040'!$B$13:$X$489,15,0)/1000</f>
        <v>#REF!</v>
      </c>
      <c r="J220" s="131" t="e">
        <f>VLOOKUP($A220,'BC.115+040'!$B$13:$X$489,20,0)/1000</f>
        <v>#REF!</v>
      </c>
      <c r="K220" s="131" t="e">
        <f>VLOOKUP($A220,'BC.115+040'!$B$13:$X$489,21,0)/1000</f>
        <v>#REF!</v>
      </c>
      <c r="L220" s="129" t="e">
        <f t="shared" si="9"/>
        <v>#REF!</v>
      </c>
      <c r="M220" s="130" t="e">
        <f t="shared" si="10"/>
        <v>#REF!</v>
      </c>
      <c r="N220" s="129" t="e">
        <f t="shared" si="11"/>
        <v>#REF!</v>
      </c>
      <c r="O220" s="129"/>
    </row>
    <row r="221" spans="1:15">
      <c r="A221" s="67" t="e">
        <f>'BC.115+040'!B220</f>
        <v>#REF!</v>
      </c>
      <c r="B221" s="129">
        <v>207</v>
      </c>
      <c r="C221" s="131" t="e">
        <f>'BC.115+040'!M220/1000</f>
        <v>#REF!</v>
      </c>
      <c r="D221" s="131" t="e">
        <f>'BC.115+040'!AA220</f>
        <v>#REF!</v>
      </c>
      <c r="E221" s="132" t="e">
        <f>'BC.115+040'!AB220</f>
        <v>#REF!</v>
      </c>
      <c r="F221" s="131" t="e">
        <f>VLOOKUP($A221,'BC.115+040'!$B$13:$X$489,8,0)/1000</f>
        <v>#REF!</v>
      </c>
      <c r="G221" s="131" t="e">
        <f>VLOOKUP($A221,'BC.115+040'!$B$13:$X$489,9,0)/1000</f>
        <v>#REF!</v>
      </c>
      <c r="H221" s="131" t="e">
        <f>VLOOKUP($A221,'BC.115+040'!$B$13:$X$489,14,0)/1000</f>
        <v>#REF!</v>
      </c>
      <c r="I221" s="131" t="e">
        <f>VLOOKUP($A221,'BC.115+040'!$B$13:$X$489,15,0)/1000</f>
        <v>#REF!</v>
      </c>
      <c r="J221" s="131" t="e">
        <f>VLOOKUP($A221,'BC.115+040'!$B$13:$X$489,20,0)/1000</f>
        <v>#REF!</v>
      </c>
      <c r="K221" s="131" t="e">
        <f>VLOOKUP($A221,'BC.115+040'!$B$13:$X$489,21,0)/1000</f>
        <v>#REF!</v>
      </c>
      <c r="L221" s="129" t="e">
        <f t="shared" si="9"/>
        <v>#REF!</v>
      </c>
      <c r="M221" s="130" t="e">
        <f t="shared" si="10"/>
        <v>#REF!</v>
      </c>
      <c r="N221" s="129" t="e">
        <f t="shared" si="11"/>
        <v>#REF!</v>
      </c>
      <c r="O221" s="129"/>
    </row>
    <row r="222" spans="1:15">
      <c r="A222" s="67" t="e">
        <f>'BC.115+040'!B221</f>
        <v>#REF!</v>
      </c>
      <c r="B222" s="129">
        <v>208</v>
      </c>
      <c r="C222" s="131" t="e">
        <f>'BC.115+040'!M221/1000</f>
        <v>#REF!</v>
      </c>
      <c r="D222" s="131" t="e">
        <f>'BC.115+040'!AA221</f>
        <v>#REF!</v>
      </c>
      <c r="E222" s="132" t="e">
        <f>'BC.115+040'!AB221</f>
        <v>#REF!</v>
      </c>
      <c r="F222" s="131" t="e">
        <f>VLOOKUP($A222,'BC.115+040'!$B$13:$X$489,8,0)/1000</f>
        <v>#REF!</v>
      </c>
      <c r="G222" s="131" t="e">
        <f>VLOOKUP($A222,'BC.115+040'!$B$13:$X$489,9,0)/1000</f>
        <v>#REF!</v>
      </c>
      <c r="H222" s="131" t="e">
        <f>VLOOKUP($A222,'BC.115+040'!$B$13:$X$489,14,0)/1000</f>
        <v>#REF!</v>
      </c>
      <c r="I222" s="131" t="e">
        <f>VLOOKUP($A222,'BC.115+040'!$B$13:$X$489,15,0)/1000</f>
        <v>#REF!</v>
      </c>
      <c r="J222" s="131" t="e">
        <f>VLOOKUP($A222,'BC.115+040'!$B$13:$X$489,20,0)/1000</f>
        <v>#REF!</v>
      </c>
      <c r="K222" s="131" t="e">
        <f>VLOOKUP($A222,'BC.115+040'!$B$13:$X$489,21,0)/1000</f>
        <v>#REF!</v>
      </c>
      <c r="L222" s="129" t="e">
        <f t="shared" si="9"/>
        <v>#REF!</v>
      </c>
      <c r="M222" s="130" t="e">
        <f t="shared" si="10"/>
        <v>#REF!</v>
      </c>
      <c r="N222" s="129" t="e">
        <f t="shared" si="11"/>
        <v>#REF!</v>
      </c>
      <c r="O222" s="129"/>
    </row>
    <row r="223" spans="1:15">
      <c r="A223" s="67" t="e">
        <f>'BC.115+040'!B222</f>
        <v>#REF!</v>
      </c>
      <c r="B223" s="129">
        <v>209</v>
      </c>
      <c r="C223" s="131" t="e">
        <f>'BC.115+040'!M222/1000</f>
        <v>#REF!</v>
      </c>
      <c r="D223" s="131" t="e">
        <f>'BC.115+040'!AA222</f>
        <v>#REF!</v>
      </c>
      <c r="E223" s="132" t="e">
        <f>'BC.115+040'!AB222</f>
        <v>#REF!</v>
      </c>
      <c r="F223" s="131" t="e">
        <f>VLOOKUP($A223,'BC.115+040'!$B$13:$X$489,8,0)/1000</f>
        <v>#REF!</v>
      </c>
      <c r="G223" s="131" t="e">
        <f>VLOOKUP($A223,'BC.115+040'!$B$13:$X$489,9,0)/1000</f>
        <v>#REF!</v>
      </c>
      <c r="H223" s="131" t="e">
        <f>VLOOKUP($A223,'BC.115+040'!$B$13:$X$489,14,0)/1000</f>
        <v>#REF!</v>
      </c>
      <c r="I223" s="131" t="e">
        <f>VLOOKUP($A223,'BC.115+040'!$B$13:$X$489,15,0)/1000</f>
        <v>#REF!</v>
      </c>
      <c r="J223" s="131" t="e">
        <f>VLOOKUP($A223,'BC.115+040'!$B$13:$X$489,20,0)/1000</f>
        <v>#REF!</v>
      </c>
      <c r="K223" s="131" t="e">
        <f>VLOOKUP($A223,'BC.115+040'!$B$13:$X$489,21,0)/1000</f>
        <v>#REF!</v>
      </c>
      <c r="L223" s="129" t="e">
        <f t="shared" si="9"/>
        <v>#REF!</v>
      </c>
      <c r="M223" s="130" t="e">
        <f t="shared" si="10"/>
        <v>#REF!</v>
      </c>
      <c r="N223" s="129" t="e">
        <f t="shared" si="11"/>
        <v>#REF!</v>
      </c>
      <c r="O223" s="129"/>
    </row>
    <row r="224" spans="1:15">
      <c r="A224" s="67" t="e">
        <f>'BC.115+040'!B223</f>
        <v>#REF!</v>
      </c>
      <c r="B224" s="129">
        <v>210</v>
      </c>
      <c r="C224" s="131" t="e">
        <f>'BC.115+040'!M223/1000</f>
        <v>#REF!</v>
      </c>
      <c r="D224" s="131" t="e">
        <f>'BC.115+040'!AA223</f>
        <v>#REF!</v>
      </c>
      <c r="E224" s="132" t="e">
        <f>'BC.115+040'!AB223</f>
        <v>#REF!</v>
      </c>
      <c r="F224" s="131" t="e">
        <f>VLOOKUP($A224,'BC.115+040'!$B$13:$X$489,8,0)/1000</f>
        <v>#REF!</v>
      </c>
      <c r="G224" s="131" t="e">
        <f>VLOOKUP($A224,'BC.115+040'!$B$13:$X$489,9,0)/1000</f>
        <v>#REF!</v>
      </c>
      <c r="H224" s="131" t="e">
        <f>VLOOKUP($A224,'BC.115+040'!$B$13:$X$489,14,0)/1000</f>
        <v>#REF!</v>
      </c>
      <c r="I224" s="131" t="e">
        <f>VLOOKUP($A224,'BC.115+040'!$B$13:$X$489,15,0)/1000</f>
        <v>#REF!</v>
      </c>
      <c r="J224" s="131" t="e">
        <f>VLOOKUP($A224,'BC.115+040'!$B$13:$X$489,20,0)/1000</f>
        <v>#REF!</v>
      </c>
      <c r="K224" s="131" t="e">
        <f>VLOOKUP($A224,'BC.115+040'!$B$13:$X$489,21,0)/1000</f>
        <v>#REF!</v>
      </c>
      <c r="L224" s="129" t="e">
        <f t="shared" si="9"/>
        <v>#REF!</v>
      </c>
      <c r="M224" s="130" t="e">
        <f t="shared" si="10"/>
        <v>#REF!</v>
      </c>
      <c r="N224" s="129" t="e">
        <f t="shared" si="11"/>
        <v>#REF!</v>
      </c>
      <c r="O224" s="129"/>
    </row>
    <row r="225" spans="1:15">
      <c r="A225" s="67" t="e">
        <f>'BC.115+040'!B224</f>
        <v>#REF!</v>
      </c>
      <c r="B225" s="129">
        <v>211</v>
      </c>
      <c r="C225" s="131" t="e">
        <f>'BC.115+040'!M224/1000</f>
        <v>#REF!</v>
      </c>
      <c r="D225" s="131" t="e">
        <f>'BC.115+040'!AA224</f>
        <v>#REF!</v>
      </c>
      <c r="E225" s="132" t="e">
        <f>'BC.115+040'!AB224</f>
        <v>#REF!</v>
      </c>
      <c r="F225" s="131" t="e">
        <f>VLOOKUP($A225,'BC.115+040'!$B$13:$X$489,8,0)/1000</f>
        <v>#REF!</v>
      </c>
      <c r="G225" s="131" t="e">
        <f>VLOOKUP($A225,'BC.115+040'!$B$13:$X$489,9,0)/1000</f>
        <v>#REF!</v>
      </c>
      <c r="H225" s="131" t="e">
        <f>VLOOKUP($A225,'BC.115+040'!$B$13:$X$489,14,0)/1000</f>
        <v>#REF!</v>
      </c>
      <c r="I225" s="131" t="e">
        <f>VLOOKUP($A225,'BC.115+040'!$B$13:$X$489,15,0)/1000</f>
        <v>#REF!</v>
      </c>
      <c r="J225" s="131" t="e">
        <f>VLOOKUP($A225,'BC.115+040'!$B$13:$X$489,20,0)/1000</f>
        <v>#REF!</v>
      </c>
      <c r="K225" s="131" t="e">
        <f>VLOOKUP($A225,'BC.115+040'!$B$13:$X$489,21,0)/1000</f>
        <v>#REF!</v>
      </c>
      <c r="L225" s="129" t="e">
        <f t="shared" si="9"/>
        <v>#REF!</v>
      </c>
      <c r="M225" s="130" t="e">
        <f t="shared" si="10"/>
        <v>#REF!</v>
      </c>
      <c r="N225" s="129" t="e">
        <f t="shared" si="11"/>
        <v>#REF!</v>
      </c>
      <c r="O225" s="129"/>
    </row>
    <row r="226" spans="1:15">
      <c r="A226" s="67" t="e">
        <f>'BC.115+040'!B225</f>
        <v>#REF!</v>
      </c>
      <c r="B226" s="129">
        <v>212</v>
      </c>
      <c r="C226" s="131" t="e">
        <f>'BC.115+040'!M225/1000</f>
        <v>#REF!</v>
      </c>
      <c r="D226" s="131" t="e">
        <f>'BC.115+040'!AA225</f>
        <v>#REF!</v>
      </c>
      <c r="E226" s="132" t="e">
        <f>'BC.115+040'!AB225</f>
        <v>#REF!</v>
      </c>
      <c r="F226" s="131" t="e">
        <f>VLOOKUP($A226,'BC.115+040'!$B$13:$X$489,8,0)/1000</f>
        <v>#REF!</v>
      </c>
      <c r="G226" s="131" t="e">
        <f>VLOOKUP($A226,'BC.115+040'!$B$13:$X$489,9,0)/1000</f>
        <v>#REF!</v>
      </c>
      <c r="H226" s="131" t="e">
        <f>VLOOKUP($A226,'BC.115+040'!$B$13:$X$489,14,0)/1000</f>
        <v>#REF!</v>
      </c>
      <c r="I226" s="131" t="e">
        <f>VLOOKUP($A226,'BC.115+040'!$B$13:$X$489,15,0)/1000</f>
        <v>#REF!</v>
      </c>
      <c r="J226" s="131" t="e">
        <f>VLOOKUP($A226,'BC.115+040'!$B$13:$X$489,20,0)/1000</f>
        <v>#REF!</v>
      </c>
      <c r="K226" s="131" t="e">
        <f>VLOOKUP($A226,'BC.115+040'!$B$13:$X$489,21,0)/1000</f>
        <v>#REF!</v>
      </c>
      <c r="L226" s="129" t="e">
        <f t="shared" si="9"/>
        <v>#REF!</v>
      </c>
      <c r="M226" s="130" t="e">
        <f t="shared" si="10"/>
        <v>#REF!</v>
      </c>
      <c r="N226" s="129" t="e">
        <f t="shared" si="11"/>
        <v>#REF!</v>
      </c>
      <c r="O226" s="129"/>
    </row>
    <row r="227" spans="1:15">
      <c r="A227" s="67" t="e">
        <f>'BC.115+040'!B226</f>
        <v>#REF!</v>
      </c>
      <c r="B227" s="129">
        <v>213</v>
      </c>
      <c r="C227" s="131" t="e">
        <f>'BC.115+040'!M226/1000</f>
        <v>#REF!</v>
      </c>
      <c r="D227" s="131" t="e">
        <f>'BC.115+040'!AA226</f>
        <v>#REF!</v>
      </c>
      <c r="E227" s="132" t="e">
        <f>'BC.115+040'!AB226</f>
        <v>#REF!</v>
      </c>
      <c r="F227" s="131" t="e">
        <f>VLOOKUP($A227,'BC.115+040'!$B$13:$X$489,8,0)/1000</f>
        <v>#REF!</v>
      </c>
      <c r="G227" s="131" t="e">
        <f>VLOOKUP($A227,'BC.115+040'!$B$13:$X$489,9,0)/1000</f>
        <v>#REF!</v>
      </c>
      <c r="H227" s="131" t="e">
        <f>VLOOKUP($A227,'BC.115+040'!$B$13:$X$489,14,0)/1000</f>
        <v>#REF!</v>
      </c>
      <c r="I227" s="131" t="e">
        <f>VLOOKUP($A227,'BC.115+040'!$B$13:$X$489,15,0)/1000</f>
        <v>#REF!</v>
      </c>
      <c r="J227" s="131" t="e">
        <f>VLOOKUP($A227,'BC.115+040'!$B$13:$X$489,20,0)/1000</f>
        <v>#REF!</v>
      </c>
      <c r="K227" s="131" t="e">
        <f>VLOOKUP($A227,'BC.115+040'!$B$13:$X$489,21,0)/1000</f>
        <v>#REF!</v>
      </c>
      <c r="L227" s="129" t="e">
        <f t="shared" si="9"/>
        <v>#REF!</v>
      </c>
      <c r="M227" s="130" t="e">
        <f t="shared" si="10"/>
        <v>#REF!</v>
      </c>
      <c r="N227" s="129" t="e">
        <f t="shared" si="11"/>
        <v>#REF!</v>
      </c>
      <c r="O227" s="129"/>
    </row>
    <row r="228" spans="1:15">
      <c r="A228" s="67" t="e">
        <f>'BC.115+040'!B227</f>
        <v>#REF!</v>
      </c>
      <c r="B228" s="129">
        <v>214</v>
      </c>
      <c r="C228" s="131" t="e">
        <f>'BC.115+040'!M227/1000</f>
        <v>#REF!</v>
      </c>
      <c r="D228" s="131" t="e">
        <f>'BC.115+040'!AA227</f>
        <v>#REF!</v>
      </c>
      <c r="E228" s="132" t="e">
        <f>'BC.115+040'!AB227</f>
        <v>#REF!</v>
      </c>
      <c r="F228" s="131" t="e">
        <f>VLOOKUP($A228,'BC.115+040'!$B$13:$X$489,8,0)/1000</f>
        <v>#REF!</v>
      </c>
      <c r="G228" s="131" t="e">
        <f>VLOOKUP($A228,'BC.115+040'!$B$13:$X$489,9,0)/1000</f>
        <v>#REF!</v>
      </c>
      <c r="H228" s="131" t="e">
        <f>VLOOKUP($A228,'BC.115+040'!$B$13:$X$489,14,0)/1000</f>
        <v>#REF!</v>
      </c>
      <c r="I228" s="131" t="e">
        <f>VLOOKUP($A228,'BC.115+040'!$B$13:$X$489,15,0)/1000</f>
        <v>#REF!</v>
      </c>
      <c r="J228" s="131" t="e">
        <f>VLOOKUP($A228,'BC.115+040'!$B$13:$X$489,20,0)/1000</f>
        <v>#REF!</v>
      </c>
      <c r="K228" s="131" t="e">
        <f>VLOOKUP($A228,'BC.115+040'!$B$13:$X$489,21,0)/1000</f>
        <v>#REF!</v>
      </c>
      <c r="L228" s="129" t="e">
        <f t="shared" si="9"/>
        <v>#REF!</v>
      </c>
      <c r="M228" s="130" t="e">
        <f t="shared" si="10"/>
        <v>#REF!</v>
      </c>
      <c r="N228" s="129" t="e">
        <f t="shared" si="11"/>
        <v>#REF!</v>
      </c>
      <c r="O228" s="129"/>
    </row>
    <row r="229" spans="1:15">
      <c r="A229" s="67" t="e">
        <f>'BC.115+040'!B228</f>
        <v>#REF!</v>
      </c>
      <c r="B229" s="129">
        <v>215</v>
      </c>
      <c r="C229" s="131" t="e">
        <f>'BC.115+040'!M228/1000</f>
        <v>#REF!</v>
      </c>
      <c r="D229" s="131" t="e">
        <f>'BC.115+040'!AA228</f>
        <v>#REF!</v>
      </c>
      <c r="E229" s="132" t="e">
        <f>'BC.115+040'!AB228</f>
        <v>#REF!</v>
      </c>
      <c r="F229" s="131" t="e">
        <f>VLOOKUP($A229,'BC.115+040'!$B$13:$X$489,8,0)/1000</f>
        <v>#REF!</v>
      </c>
      <c r="G229" s="131" t="e">
        <f>VLOOKUP($A229,'BC.115+040'!$B$13:$X$489,9,0)/1000</f>
        <v>#REF!</v>
      </c>
      <c r="H229" s="131" t="e">
        <f>VLOOKUP($A229,'BC.115+040'!$B$13:$X$489,14,0)/1000</f>
        <v>#REF!</v>
      </c>
      <c r="I229" s="131" t="e">
        <f>VLOOKUP($A229,'BC.115+040'!$B$13:$X$489,15,0)/1000</f>
        <v>#REF!</v>
      </c>
      <c r="J229" s="131" t="e">
        <f>VLOOKUP($A229,'BC.115+040'!$B$13:$X$489,20,0)/1000</f>
        <v>#REF!</v>
      </c>
      <c r="K229" s="131" t="e">
        <f>VLOOKUP($A229,'BC.115+040'!$B$13:$X$489,21,0)/1000</f>
        <v>#REF!</v>
      </c>
      <c r="L229" s="129" t="e">
        <f t="shared" si="9"/>
        <v>#REF!</v>
      </c>
      <c r="M229" s="130" t="e">
        <f t="shared" si="10"/>
        <v>#REF!</v>
      </c>
      <c r="N229" s="129" t="e">
        <f t="shared" si="11"/>
        <v>#REF!</v>
      </c>
      <c r="O229" s="129"/>
    </row>
    <row r="230" spans="1:15">
      <c r="A230" s="67" t="e">
        <f>'BC.115+040'!B229</f>
        <v>#REF!</v>
      </c>
      <c r="B230" s="129">
        <v>216</v>
      </c>
      <c r="C230" s="131" t="e">
        <f>'BC.115+040'!M229/1000</f>
        <v>#REF!</v>
      </c>
      <c r="D230" s="131" t="e">
        <f>'BC.115+040'!AA229</f>
        <v>#REF!</v>
      </c>
      <c r="E230" s="132" t="e">
        <f>'BC.115+040'!AB229</f>
        <v>#REF!</v>
      </c>
      <c r="F230" s="131" t="e">
        <f>VLOOKUP($A230,'BC.115+040'!$B$13:$X$489,8,0)/1000</f>
        <v>#REF!</v>
      </c>
      <c r="G230" s="131" t="e">
        <f>VLOOKUP($A230,'BC.115+040'!$B$13:$X$489,9,0)/1000</f>
        <v>#REF!</v>
      </c>
      <c r="H230" s="131" t="e">
        <f>VLOOKUP($A230,'BC.115+040'!$B$13:$X$489,14,0)/1000</f>
        <v>#REF!</v>
      </c>
      <c r="I230" s="131" t="e">
        <f>VLOOKUP($A230,'BC.115+040'!$B$13:$X$489,15,0)/1000</f>
        <v>#REF!</v>
      </c>
      <c r="J230" s="131" t="e">
        <f>VLOOKUP($A230,'BC.115+040'!$B$13:$X$489,20,0)/1000</f>
        <v>#REF!</v>
      </c>
      <c r="K230" s="131" t="e">
        <f>VLOOKUP($A230,'BC.115+040'!$B$13:$X$489,21,0)/1000</f>
        <v>#REF!</v>
      </c>
      <c r="L230" s="129" t="e">
        <f t="shared" si="9"/>
        <v>#REF!</v>
      </c>
      <c r="M230" s="130" t="e">
        <f t="shared" si="10"/>
        <v>#REF!</v>
      </c>
      <c r="N230" s="129" t="e">
        <f t="shared" si="11"/>
        <v>#REF!</v>
      </c>
      <c r="O230" s="129"/>
    </row>
    <row r="231" spans="1:15">
      <c r="A231" s="67" t="e">
        <f>'BC.115+040'!B230</f>
        <v>#REF!</v>
      </c>
      <c r="B231" s="129">
        <v>217</v>
      </c>
      <c r="C231" s="131" t="e">
        <f>'BC.115+040'!M230/1000</f>
        <v>#REF!</v>
      </c>
      <c r="D231" s="131" t="e">
        <f>'BC.115+040'!AA230</f>
        <v>#REF!</v>
      </c>
      <c r="E231" s="132" t="e">
        <f>'BC.115+040'!AB230</f>
        <v>#REF!</v>
      </c>
      <c r="F231" s="131" t="e">
        <f>VLOOKUP($A231,'BC.115+040'!$B$13:$X$489,8,0)/1000</f>
        <v>#REF!</v>
      </c>
      <c r="G231" s="131" t="e">
        <f>VLOOKUP($A231,'BC.115+040'!$B$13:$X$489,9,0)/1000</f>
        <v>#REF!</v>
      </c>
      <c r="H231" s="131" t="e">
        <f>VLOOKUP($A231,'BC.115+040'!$B$13:$X$489,14,0)/1000</f>
        <v>#REF!</v>
      </c>
      <c r="I231" s="131" t="e">
        <f>VLOOKUP($A231,'BC.115+040'!$B$13:$X$489,15,0)/1000</f>
        <v>#REF!</v>
      </c>
      <c r="J231" s="131" t="e">
        <f>VLOOKUP($A231,'BC.115+040'!$B$13:$X$489,20,0)/1000</f>
        <v>#REF!</v>
      </c>
      <c r="K231" s="131" t="e">
        <f>VLOOKUP($A231,'BC.115+040'!$B$13:$X$489,21,0)/1000</f>
        <v>#REF!</v>
      </c>
      <c r="L231" s="129" t="e">
        <f t="shared" si="9"/>
        <v>#REF!</v>
      </c>
      <c r="M231" s="130" t="e">
        <f t="shared" si="10"/>
        <v>#REF!</v>
      </c>
      <c r="N231" s="129" t="e">
        <f t="shared" si="11"/>
        <v>#REF!</v>
      </c>
      <c r="O231" s="129"/>
    </row>
    <row r="232" spans="1:15">
      <c r="A232" s="67" t="e">
        <f>'BC.115+040'!B231</f>
        <v>#REF!</v>
      </c>
      <c r="B232" s="129">
        <v>218</v>
      </c>
      <c r="C232" s="131" t="e">
        <f>'BC.115+040'!M231/1000</f>
        <v>#REF!</v>
      </c>
      <c r="D232" s="131" t="e">
        <f>'BC.115+040'!AA231</f>
        <v>#REF!</v>
      </c>
      <c r="E232" s="132" t="e">
        <f>'BC.115+040'!AB231</f>
        <v>#REF!</v>
      </c>
      <c r="F232" s="131" t="e">
        <f>VLOOKUP($A232,'BC.115+040'!$B$13:$X$489,8,0)/1000</f>
        <v>#REF!</v>
      </c>
      <c r="G232" s="131" t="e">
        <f>VLOOKUP($A232,'BC.115+040'!$B$13:$X$489,9,0)/1000</f>
        <v>#REF!</v>
      </c>
      <c r="H232" s="131" t="e">
        <f>VLOOKUP($A232,'BC.115+040'!$B$13:$X$489,14,0)/1000</f>
        <v>#REF!</v>
      </c>
      <c r="I232" s="131" t="e">
        <f>VLOOKUP($A232,'BC.115+040'!$B$13:$X$489,15,0)/1000</f>
        <v>#REF!</v>
      </c>
      <c r="J232" s="131" t="e">
        <f>VLOOKUP($A232,'BC.115+040'!$B$13:$X$489,20,0)/1000</f>
        <v>#REF!</v>
      </c>
      <c r="K232" s="131" t="e">
        <f>VLOOKUP($A232,'BC.115+040'!$B$13:$X$489,21,0)/1000</f>
        <v>#REF!</v>
      </c>
      <c r="L232" s="129" t="e">
        <f t="shared" si="9"/>
        <v>#REF!</v>
      </c>
      <c r="M232" s="130" t="e">
        <f t="shared" si="10"/>
        <v>#REF!</v>
      </c>
      <c r="N232" s="129" t="e">
        <f t="shared" si="11"/>
        <v>#REF!</v>
      </c>
      <c r="O232" s="129"/>
    </row>
    <row r="233" spans="1:15">
      <c r="A233" s="67" t="e">
        <f>'BC.115+040'!B232</f>
        <v>#REF!</v>
      </c>
      <c r="B233" s="129">
        <v>219</v>
      </c>
      <c r="C233" s="131" t="e">
        <f>'BC.115+040'!M232/1000</f>
        <v>#REF!</v>
      </c>
      <c r="D233" s="131" t="e">
        <f>'BC.115+040'!AA232</f>
        <v>#REF!</v>
      </c>
      <c r="E233" s="132" t="e">
        <f>'BC.115+040'!AB232</f>
        <v>#REF!</v>
      </c>
      <c r="F233" s="131" t="e">
        <f>VLOOKUP($A233,'BC.115+040'!$B$13:$X$489,8,0)/1000</f>
        <v>#REF!</v>
      </c>
      <c r="G233" s="131" t="e">
        <f>VLOOKUP($A233,'BC.115+040'!$B$13:$X$489,9,0)/1000</f>
        <v>#REF!</v>
      </c>
      <c r="H233" s="131" t="e">
        <f>VLOOKUP($A233,'BC.115+040'!$B$13:$X$489,14,0)/1000</f>
        <v>#REF!</v>
      </c>
      <c r="I233" s="131" t="e">
        <f>VLOOKUP($A233,'BC.115+040'!$B$13:$X$489,15,0)/1000</f>
        <v>#REF!</v>
      </c>
      <c r="J233" s="131" t="e">
        <f>VLOOKUP($A233,'BC.115+040'!$B$13:$X$489,20,0)/1000</f>
        <v>#REF!</v>
      </c>
      <c r="K233" s="131" t="e">
        <f>VLOOKUP($A233,'BC.115+040'!$B$13:$X$489,21,0)/1000</f>
        <v>#REF!</v>
      </c>
      <c r="L233" s="129" t="e">
        <f t="shared" si="9"/>
        <v>#REF!</v>
      </c>
      <c r="M233" s="130" t="e">
        <f t="shared" si="10"/>
        <v>#REF!</v>
      </c>
      <c r="N233" s="129" t="e">
        <f t="shared" si="11"/>
        <v>#REF!</v>
      </c>
      <c r="O233" s="129"/>
    </row>
    <row r="234" spans="1:15">
      <c r="A234" s="67" t="e">
        <f>'BC.115+040'!B233</f>
        <v>#REF!</v>
      </c>
      <c r="B234" s="129">
        <v>220</v>
      </c>
      <c r="C234" s="131" t="e">
        <f>'BC.115+040'!M233/1000</f>
        <v>#REF!</v>
      </c>
      <c r="D234" s="131" t="e">
        <f>'BC.115+040'!AA233</f>
        <v>#REF!</v>
      </c>
      <c r="E234" s="132" t="e">
        <f>'BC.115+040'!AB233</f>
        <v>#REF!</v>
      </c>
      <c r="F234" s="131" t="e">
        <f>VLOOKUP($A234,'BC.115+040'!$B$13:$X$489,8,0)/1000</f>
        <v>#REF!</v>
      </c>
      <c r="G234" s="131" t="e">
        <f>VLOOKUP($A234,'BC.115+040'!$B$13:$X$489,9,0)/1000</f>
        <v>#REF!</v>
      </c>
      <c r="H234" s="131" t="e">
        <f>VLOOKUP($A234,'BC.115+040'!$B$13:$X$489,14,0)/1000</f>
        <v>#REF!</v>
      </c>
      <c r="I234" s="131" t="e">
        <f>VLOOKUP($A234,'BC.115+040'!$B$13:$X$489,15,0)/1000</f>
        <v>#REF!</v>
      </c>
      <c r="J234" s="131" t="e">
        <f>VLOOKUP($A234,'BC.115+040'!$B$13:$X$489,20,0)/1000</f>
        <v>#REF!</v>
      </c>
      <c r="K234" s="131" t="e">
        <f>VLOOKUP($A234,'BC.115+040'!$B$13:$X$489,21,0)/1000</f>
        <v>#REF!</v>
      </c>
      <c r="L234" s="129" t="e">
        <f t="shared" si="9"/>
        <v>#REF!</v>
      </c>
      <c r="M234" s="130" t="e">
        <f t="shared" si="10"/>
        <v>#REF!</v>
      </c>
      <c r="N234" s="129" t="e">
        <f t="shared" si="11"/>
        <v>#REF!</v>
      </c>
      <c r="O234" s="129"/>
    </row>
    <row r="235" spans="1:15">
      <c r="A235" s="67" t="e">
        <f>'BC.115+040'!B234</f>
        <v>#REF!</v>
      </c>
      <c r="B235" s="129">
        <v>221</v>
      </c>
      <c r="C235" s="131" t="e">
        <f>'BC.115+040'!M234/1000</f>
        <v>#REF!</v>
      </c>
      <c r="D235" s="131" t="e">
        <f>'BC.115+040'!AA234</f>
        <v>#REF!</v>
      </c>
      <c r="E235" s="132" t="e">
        <f>'BC.115+040'!AB234</f>
        <v>#REF!</v>
      </c>
      <c r="F235" s="131" t="e">
        <f>VLOOKUP($A235,'BC.115+040'!$B$13:$X$489,8,0)/1000</f>
        <v>#REF!</v>
      </c>
      <c r="G235" s="131" t="e">
        <f>VLOOKUP($A235,'BC.115+040'!$B$13:$X$489,9,0)/1000</f>
        <v>#REF!</v>
      </c>
      <c r="H235" s="131" t="e">
        <f>VLOOKUP($A235,'BC.115+040'!$B$13:$X$489,14,0)/1000</f>
        <v>#REF!</v>
      </c>
      <c r="I235" s="131" t="e">
        <f>VLOOKUP($A235,'BC.115+040'!$B$13:$X$489,15,0)/1000</f>
        <v>#REF!</v>
      </c>
      <c r="J235" s="131" t="e">
        <f>VLOOKUP($A235,'BC.115+040'!$B$13:$X$489,20,0)/1000</f>
        <v>#REF!</v>
      </c>
      <c r="K235" s="131" t="e">
        <f>VLOOKUP($A235,'BC.115+040'!$B$13:$X$489,21,0)/1000</f>
        <v>#REF!</v>
      </c>
      <c r="L235" s="129" t="e">
        <f t="shared" si="9"/>
        <v>#REF!</v>
      </c>
      <c r="M235" s="130" t="e">
        <f t="shared" si="10"/>
        <v>#REF!</v>
      </c>
      <c r="N235" s="129" t="e">
        <f t="shared" si="11"/>
        <v>#REF!</v>
      </c>
      <c r="O235" s="129"/>
    </row>
    <row r="236" spans="1:15">
      <c r="A236" s="67" t="e">
        <f>'BC.115+040'!B235</f>
        <v>#REF!</v>
      </c>
      <c r="B236" s="129">
        <v>222</v>
      </c>
      <c r="C236" s="131" t="e">
        <f>'BC.115+040'!M235/1000</f>
        <v>#REF!</v>
      </c>
      <c r="D236" s="131" t="e">
        <f>'BC.115+040'!AA235</f>
        <v>#REF!</v>
      </c>
      <c r="E236" s="132" t="e">
        <f>'BC.115+040'!AB235</f>
        <v>#REF!</v>
      </c>
      <c r="F236" s="131" t="e">
        <f>VLOOKUP($A236,'BC.115+040'!$B$13:$X$489,8,0)/1000</f>
        <v>#REF!</v>
      </c>
      <c r="G236" s="131" t="e">
        <f>VLOOKUP($A236,'BC.115+040'!$B$13:$X$489,9,0)/1000</f>
        <v>#REF!</v>
      </c>
      <c r="H236" s="131" t="e">
        <f>VLOOKUP($A236,'BC.115+040'!$B$13:$X$489,14,0)/1000</f>
        <v>#REF!</v>
      </c>
      <c r="I236" s="131" t="e">
        <f>VLOOKUP($A236,'BC.115+040'!$B$13:$X$489,15,0)/1000</f>
        <v>#REF!</v>
      </c>
      <c r="J236" s="131" t="e">
        <f>VLOOKUP($A236,'BC.115+040'!$B$13:$X$489,20,0)/1000</f>
        <v>#REF!</v>
      </c>
      <c r="K236" s="131" t="e">
        <f>VLOOKUP($A236,'BC.115+040'!$B$13:$X$489,21,0)/1000</f>
        <v>#REF!</v>
      </c>
      <c r="L236" s="129" t="e">
        <f t="shared" si="9"/>
        <v>#REF!</v>
      </c>
      <c r="M236" s="130" t="e">
        <f t="shared" si="10"/>
        <v>#REF!</v>
      </c>
      <c r="N236" s="129" t="e">
        <f t="shared" si="11"/>
        <v>#REF!</v>
      </c>
      <c r="O236" s="129"/>
    </row>
    <row r="237" spans="1:15">
      <c r="A237" s="67" t="e">
        <f>'BC.115+040'!B236</f>
        <v>#REF!</v>
      </c>
      <c r="B237" s="129">
        <v>223</v>
      </c>
      <c r="C237" s="131" t="e">
        <f>'BC.115+040'!M236/1000</f>
        <v>#REF!</v>
      </c>
      <c r="D237" s="131" t="e">
        <f>'BC.115+040'!AA236</f>
        <v>#REF!</v>
      </c>
      <c r="E237" s="132" t="e">
        <f>'BC.115+040'!AB236</f>
        <v>#REF!</v>
      </c>
      <c r="F237" s="131" t="e">
        <f>VLOOKUP($A237,'BC.115+040'!$B$13:$X$489,8,0)/1000</f>
        <v>#REF!</v>
      </c>
      <c r="G237" s="131" t="e">
        <f>VLOOKUP($A237,'BC.115+040'!$B$13:$X$489,9,0)/1000</f>
        <v>#REF!</v>
      </c>
      <c r="H237" s="131" t="e">
        <f>VLOOKUP($A237,'BC.115+040'!$B$13:$X$489,14,0)/1000</f>
        <v>#REF!</v>
      </c>
      <c r="I237" s="131" t="e">
        <f>VLOOKUP($A237,'BC.115+040'!$B$13:$X$489,15,0)/1000</f>
        <v>#REF!</v>
      </c>
      <c r="J237" s="131" t="e">
        <f>VLOOKUP($A237,'BC.115+040'!$B$13:$X$489,20,0)/1000</f>
        <v>#REF!</v>
      </c>
      <c r="K237" s="131" t="e">
        <f>VLOOKUP($A237,'BC.115+040'!$B$13:$X$489,21,0)/1000</f>
        <v>#REF!</v>
      </c>
      <c r="L237" s="129" t="e">
        <f t="shared" si="9"/>
        <v>#REF!</v>
      </c>
      <c r="M237" s="130" t="e">
        <f t="shared" si="10"/>
        <v>#REF!</v>
      </c>
      <c r="N237" s="129" t="e">
        <f t="shared" si="11"/>
        <v>#REF!</v>
      </c>
      <c r="O237" s="129"/>
    </row>
    <row r="238" spans="1:15">
      <c r="A238" s="67" t="e">
        <f>'BC.115+040'!B237</f>
        <v>#REF!</v>
      </c>
      <c r="B238" s="129">
        <v>224</v>
      </c>
      <c r="C238" s="131" t="e">
        <f>'BC.115+040'!M237/1000</f>
        <v>#REF!</v>
      </c>
      <c r="D238" s="131" t="e">
        <f>'BC.115+040'!AA237</f>
        <v>#REF!</v>
      </c>
      <c r="E238" s="132" t="e">
        <f>'BC.115+040'!AB237</f>
        <v>#REF!</v>
      </c>
      <c r="F238" s="131" t="e">
        <f>VLOOKUP($A238,'BC.115+040'!$B$13:$X$489,8,0)/1000</f>
        <v>#REF!</v>
      </c>
      <c r="G238" s="131" t="e">
        <f>VLOOKUP($A238,'BC.115+040'!$B$13:$X$489,9,0)/1000</f>
        <v>#REF!</v>
      </c>
      <c r="H238" s="131" t="e">
        <f>VLOOKUP($A238,'BC.115+040'!$B$13:$X$489,14,0)/1000</f>
        <v>#REF!</v>
      </c>
      <c r="I238" s="131" t="e">
        <f>VLOOKUP($A238,'BC.115+040'!$B$13:$X$489,15,0)/1000</f>
        <v>#REF!</v>
      </c>
      <c r="J238" s="131" t="e">
        <f>VLOOKUP($A238,'BC.115+040'!$B$13:$X$489,20,0)/1000</f>
        <v>#REF!</v>
      </c>
      <c r="K238" s="131" t="e">
        <f>VLOOKUP($A238,'BC.115+040'!$B$13:$X$489,21,0)/1000</f>
        <v>#REF!</v>
      </c>
      <c r="L238" s="129" t="e">
        <f t="shared" si="9"/>
        <v>#REF!</v>
      </c>
      <c r="M238" s="130" t="e">
        <f t="shared" si="10"/>
        <v>#REF!</v>
      </c>
      <c r="N238" s="129" t="e">
        <f t="shared" si="11"/>
        <v>#REF!</v>
      </c>
      <c r="O238" s="129"/>
    </row>
    <row r="239" spans="1:15">
      <c r="A239" s="67" t="e">
        <f>'BC.115+040'!B238</f>
        <v>#REF!</v>
      </c>
      <c r="B239" s="129">
        <v>225</v>
      </c>
      <c r="C239" s="131" t="e">
        <f>'BC.115+040'!M238/1000</f>
        <v>#REF!</v>
      </c>
      <c r="D239" s="131" t="e">
        <f>'BC.115+040'!AA238</f>
        <v>#REF!</v>
      </c>
      <c r="E239" s="132" t="e">
        <f>'BC.115+040'!AB238</f>
        <v>#REF!</v>
      </c>
      <c r="F239" s="131" t="e">
        <f>VLOOKUP($A239,'BC.115+040'!$B$13:$X$489,8,0)/1000</f>
        <v>#REF!</v>
      </c>
      <c r="G239" s="131" t="e">
        <f>VLOOKUP($A239,'BC.115+040'!$B$13:$X$489,9,0)/1000</f>
        <v>#REF!</v>
      </c>
      <c r="H239" s="131" t="e">
        <f>VLOOKUP($A239,'BC.115+040'!$B$13:$X$489,14,0)/1000</f>
        <v>#REF!</v>
      </c>
      <c r="I239" s="131" t="e">
        <f>VLOOKUP($A239,'BC.115+040'!$B$13:$X$489,15,0)/1000</f>
        <v>#REF!</v>
      </c>
      <c r="J239" s="131" t="e">
        <f>VLOOKUP($A239,'BC.115+040'!$B$13:$X$489,20,0)/1000</f>
        <v>#REF!</v>
      </c>
      <c r="K239" s="131" t="e">
        <f>VLOOKUP($A239,'BC.115+040'!$B$13:$X$489,21,0)/1000</f>
        <v>#REF!</v>
      </c>
      <c r="L239" s="129" t="e">
        <f t="shared" si="9"/>
        <v>#REF!</v>
      </c>
      <c r="M239" s="130" t="e">
        <f t="shared" si="10"/>
        <v>#REF!</v>
      </c>
      <c r="N239" s="129" t="e">
        <f t="shared" si="11"/>
        <v>#REF!</v>
      </c>
      <c r="O239" s="129"/>
    </row>
    <row r="240" spans="1:15">
      <c r="A240" s="67" t="e">
        <f>'BC.115+040'!B239</f>
        <v>#REF!</v>
      </c>
      <c r="B240" s="129">
        <v>226</v>
      </c>
      <c r="C240" s="131" t="e">
        <f>'BC.115+040'!M239/1000</f>
        <v>#REF!</v>
      </c>
      <c r="D240" s="131" t="e">
        <f>'BC.115+040'!AA239</f>
        <v>#REF!</v>
      </c>
      <c r="E240" s="132" t="e">
        <f>'BC.115+040'!AB239</f>
        <v>#REF!</v>
      </c>
      <c r="F240" s="131" t="e">
        <f>VLOOKUP($A240,'BC.115+040'!$B$13:$X$489,8,0)/1000</f>
        <v>#REF!</v>
      </c>
      <c r="G240" s="131" t="e">
        <f>VLOOKUP($A240,'BC.115+040'!$B$13:$X$489,9,0)/1000</f>
        <v>#REF!</v>
      </c>
      <c r="H240" s="131" t="e">
        <f>VLOOKUP($A240,'BC.115+040'!$B$13:$X$489,14,0)/1000</f>
        <v>#REF!</v>
      </c>
      <c r="I240" s="131" t="e">
        <f>VLOOKUP($A240,'BC.115+040'!$B$13:$X$489,15,0)/1000</f>
        <v>#REF!</v>
      </c>
      <c r="J240" s="131" t="e">
        <f>VLOOKUP($A240,'BC.115+040'!$B$13:$X$489,20,0)/1000</f>
        <v>#REF!</v>
      </c>
      <c r="K240" s="131" t="e">
        <f>VLOOKUP($A240,'BC.115+040'!$B$13:$X$489,21,0)/1000</f>
        <v>#REF!</v>
      </c>
      <c r="L240" s="129" t="e">
        <f t="shared" si="9"/>
        <v>#REF!</v>
      </c>
      <c r="M240" s="130" t="e">
        <f t="shared" si="10"/>
        <v>#REF!</v>
      </c>
      <c r="N240" s="129" t="e">
        <f t="shared" si="11"/>
        <v>#REF!</v>
      </c>
      <c r="O240" s="129"/>
    </row>
    <row r="241" spans="1:15">
      <c r="A241" s="67" t="e">
        <f>'BC.115+040'!B240</f>
        <v>#REF!</v>
      </c>
      <c r="B241" s="129">
        <v>227</v>
      </c>
      <c r="C241" s="131" t="e">
        <f>'BC.115+040'!M240/1000</f>
        <v>#REF!</v>
      </c>
      <c r="D241" s="131" t="e">
        <f>'BC.115+040'!AA240</f>
        <v>#REF!</v>
      </c>
      <c r="E241" s="132" t="e">
        <f>'BC.115+040'!AB240</f>
        <v>#REF!</v>
      </c>
      <c r="F241" s="131" t="e">
        <f>VLOOKUP($A241,'BC.115+040'!$B$13:$X$489,8,0)/1000</f>
        <v>#REF!</v>
      </c>
      <c r="G241" s="131" t="e">
        <f>VLOOKUP($A241,'BC.115+040'!$B$13:$X$489,9,0)/1000</f>
        <v>#REF!</v>
      </c>
      <c r="H241" s="131" t="e">
        <f>VLOOKUP($A241,'BC.115+040'!$B$13:$X$489,14,0)/1000</f>
        <v>#REF!</v>
      </c>
      <c r="I241" s="131" t="e">
        <f>VLOOKUP($A241,'BC.115+040'!$B$13:$X$489,15,0)/1000</f>
        <v>#REF!</v>
      </c>
      <c r="J241" s="131" t="e">
        <f>VLOOKUP($A241,'BC.115+040'!$B$13:$X$489,20,0)/1000</f>
        <v>#REF!</v>
      </c>
      <c r="K241" s="131" t="e">
        <f>VLOOKUP($A241,'BC.115+040'!$B$13:$X$489,21,0)/1000</f>
        <v>#REF!</v>
      </c>
      <c r="L241" s="129" t="e">
        <f t="shared" si="9"/>
        <v>#REF!</v>
      </c>
      <c r="M241" s="130" t="e">
        <f t="shared" si="10"/>
        <v>#REF!</v>
      </c>
      <c r="N241" s="129" t="e">
        <f t="shared" si="11"/>
        <v>#REF!</v>
      </c>
      <c r="O241" s="129"/>
    </row>
    <row r="242" spans="1:15">
      <c r="A242" s="67" t="e">
        <f>'BC.115+040'!B241</f>
        <v>#REF!</v>
      </c>
      <c r="B242" s="129">
        <v>228</v>
      </c>
      <c r="C242" s="131" t="e">
        <f>'BC.115+040'!M241/1000</f>
        <v>#REF!</v>
      </c>
      <c r="D242" s="131" t="e">
        <f>'BC.115+040'!AA241</f>
        <v>#REF!</v>
      </c>
      <c r="E242" s="132" t="e">
        <f>'BC.115+040'!AB241</f>
        <v>#REF!</v>
      </c>
      <c r="F242" s="131" t="e">
        <f>VLOOKUP($A242,'BC.115+040'!$B$13:$X$489,8,0)/1000</f>
        <v>#REF!</v>
      </c>
      <c r="G242" s="131" t="e">
        <f>VLOOKUP($A242,'BC.115+040'!$B$13:$X$489,9,0)/1000</f>
        <v>#REF!</v>
      </c>
      <c r="H242" s="131" t="e">
        <f>VLOOKUP($A242,'BC.115+040'!$B$13:$X$489,14,0)/1000</f>
        <v>#REF!</v>
      </c>
      <c r="I242" s="131" t="e">
        <f>VLOOKUP($A242,'BC.115+040'!$B$13:$X$489,15,0)/1000</f>
        <v>#REF!</v>
      </c>
      <c r="J242" s="131" t="e">
        <f>VLOOKUP($A242,'BC.115+040'!$B$13:$X$489,20,0)/1000</f>
        <v>#REF!</v>
      </c>
      <c r="K242" s="131" t="e">
        <f>VLOOKUP($A242,'BC.115+040'!$B$13:$X$489,21,0)/1000</f>
        <v>#REF!</v>
      </c>
      <c r="L242" s="129" t="e">
        <f t="shared" si="9"/>
        <v>#REF!</v>
      </c>
      <c r="M242" s="130" t="e">
        <f t="shared" si="10"/>
        <v>#REF!</v>
      </c>
      <c r="N242" s="129" t="e">
        <f t="shared" si="11"/>
        <v>#REF!</v>
      </c>
      <c r="O242" s="129"/>
    </row>
    <row r="243" spans="1:15">
      <c r="A243" s="67" t="e">
        <f>'BC.115+040'!B242</f>
        <v>#REF!</v>
      </c>
      <c r="B243" s="129">
        <v>229</v>
      </c>
      <c r="C243" s="131" t="e">
        <f>'BC.115+040'!M242/1000</f>
        <v>#REF!</v>
      </c>
      <c r="D243" s="131" t="e">
        <f>'BC.115+040'!AA242</f>
        <v>#REF!</v>
      </c>
      <c r="E243" s="132" t="e">
        <f>'BC.115+040'!AB242</f>
        <v>#REF!</v>
      </c>
      <c r="F243" s="131" t="e">
        <f>VLOOKUP($A243,'BC.115+040'!$B$13:$X$489,8,0)/1000</f>
        <v>#REF!</v>
      </c>
      <c r="G243" s="131" t="e">
        <f>VLOOKUP($A243,'BC.115+040'!$B$13:$X$489,9,0)/1000</f>
        <v>#REF!</v>
      </c>
      <c r="H243" s="131" t="e">
        <f>VLOOKUP($A243,'BC.115+040'!$B$13:$X$489,14,0)/1000</f>
        <v>#REF!</v>
      </c>
      <c r="I243" s="131" t="e">
        <f>VLOOKUP($A243,'BC.115+040'!$B$13:$X$489,15,0)/1000</f>
        <v>#REF!</v>
      </c>
      <c r="J243" s="131" t="e">
        <f>VLOOKUP($A243,'BC.115+040'!$B$13:$X$489,20,0)/1000</f>
        <v>#REF!</v>
      </c>
      <c r="K243" s="131" t="e">
        <f>VLOOKUP($A243,'BC.115+040'!$B$13:$X$489,21,0)/1000</f>
        <v>#REF!</v>
      </c>
      <c r="L243" s="129" t="e">
        <f t="shared" si="9"/>
        <v>#REF!</v>
      </c>
      <c r="M243" s="130" t="e">
        <f t="shared" si="10"/>
        <v>#REF!</v>
      </c>
      <c r="N243" s="129" t="e">
        <f t="shared" si="11"/>
        <v>#REF!</v>
      </c>
      <c r="O243" s="129"/>
    </row>
    <row r="244" spans="1:15">
      <c r="A244" s="67" t="e">
        <f>'BC.115+040'!B243</f>
        <v>#REF!</v>
      </c>
      <c r="B244" s="129">
        <v>230</v>
      </c>
      <c r="C244" s="131" t="e">
        <f>'BC.115+040'!M243/1000</f>
        <v>#REF!</v>
      </c>
      <c r="D244" s="131" t="e">
        <f>'BC.115+040'!AA243</f>
        <v>#REF!</v>
      </c>
      <c r="E244" s="132" t="e">
        <f>'BC.115+040'!AB243</f>
        <v>#REF!</v>
      </c>
      <c r="F244" s="131" t="e">
        <f>VLOOKUP($A244,'BC.115+040'!$B$13:$X$489,8,0)/1000</f>
        <v>#REF!</v>
      </c>
      <c r="G244" s="131" t="e">
        <f>VLOOKUP($A244,'BC.115+040'!$B$13:$X$489,9,0)/1000</f>
        <v>#REF!</v>
      </c>
      <c r="H244" s="131" t="e">
        <f>VLOOKUP($A244,'BC.115+040'!$B$13:$X$489,14,0)/1000</f>
        <v>#REF!</v>
      </c>
      <c r="I244" s="131" t="e">
        <f>VLOOKUP($A244,'BC.115+040'!$B$13:$X$489,15,0)/1000</f>
        <v>#REF!</v>
      </c>
      <c r="J244" s="131" t="e">
        <f>VLOOKUP($A244,'BC.115+040'!$B$13:$X$489,20,0)/1000</f>
        <v>#REF!</v>
      </c>
      <c r="K244" s="131" t="e">
        <f>VLOOKUP($A244,'BC.115+040'!$B$13:$X$489,21,0)/1000</f>
        <v>#REF!</v>
      </c>
      <c r="L244" s="129" t="e">
        <f t="shared" si="9"/>
        <v>#REF!</v>
      </c>
      <c r="M244" s="130" t="e">
        <f t="shared" si="10"/>
        <v>#REF!</v>
      </c>
      <c r="N244" s="129" t="e">
        <f t="shared" si="11"/>
        <v>#REF!</v>
      </c>
      <c r="O244" s="129"/>
    </row>
    <row r="245" spans="1:15">
      <c r="A245" s="67" t="e">
        <f>'BC.115+040'!B244</f>
        <v>#REF!</v>
      </c>
      <c r="B245" s="129">
        <v>231</v>
      </c>
      <c r="C245" s="131" t="e">
        <f>'BC.115+040'!M244/1000</f>
        <v>#REF!</v>
      </c>
      <c r="D245" s="131" t="e">
        <f>'BC.115+040'!AA244</f>
        <v>#REF!</v>
      </c>
      <c r="E245" s="132" t="e">
        <f>'BC.115+040'!AB244</f>
        <v>#REF!</v>
      </c>
      <c r="F245" s="131" t="e">
        <f>VLOOKUP($A245,'BC.115+040'!$B$13:$X$489,8,0)/1000</f>
        <v>#REF!</v>
      </c>
      <c r="G245" s="131" t="e">
        <f>VLOOKUP($A245,'BC.115+040'!$B$13:$X$489,9,0)/1000</f>
        <v>#REF!</v>
      </c>
      <c r="H245" s="131" t="e">
        <f>VLOOKUP($A245,'BC.115+040'!$B$13:$X$489,14,0)/1000</f>
        <v>#REF!</v>
      </c>
      <c r="I245" s="131" t="e">
        <f>VLOOKUP($A245,'BC.115+040'!$B$13:$X$489,15,0)/1000</f>
        <v>#REF!</v>
      </c>
      <c r="J245" s="131" t="e">
        <f>VLOOKUP($A245,'BC.115+040'!$B$13:$X$489,20,0)/1000</f>
        <v>#REF!</v>
      </c>
      <c r="K245" s="131" t="e">
        <f>VLOOKUP($A245,'BC.115+040'!$B$13:$X$489,21,0)/1000</f>
        <v>#REF!</v>
      </c>
      <c r="L245" s="129" t="e">
        <f t="shared" si="9"/>
        <v>#REF!</v>
      </c>
      <c r="M245" s="130" t="e">
        <f t="shared" si="10"/>
        <v>#REF!</v>
      </c>
      <c r="N245" s="129" t="e">
        <f t="shared" si="11"/>
        <v>#REF!</v>
      </c>
      <c r="O245" s="129"/>
    </row>
    <row r="246" spans="1:15">
      <c r="A246" s="67" t="e">
        <f>'BC.115+040'!B245</f>
        <v>#REF!</v>
      </c>
      <c r="B246" s="129">
        <v>232</v>
      </c>
      <c r="C246" s="131" t="e">
        <f>'BC.115+040'!M245/1000</f>
        <v>#REF!</v>
      </c>
      <c r="D246" s="131" t="e">
        <f>'BC.115+040'!AA245</f>
        <v>#REF!</v>
      </c>
      <c r="E246" s="132" t="e">
        <f>'BC.115+040'!AB245</f>
        <v>#REF!</v>
      </c>
      <c r="F246" s="131" t="e">
        <f>VLOOKUP($A246,'BC.115+040'!$B$13:$X$489,8,0)/1000</f>
        <v>#REF!</v>
      </c>
      <c r="G246" s="131" t="e">
        <f>VLOOKUP($A246,'BC.115+040'!$B$13:$X$489,9,0)/1000</f>
        <v>#REF!</v>
      </c>
      <c r="H246" s="131" t="e">
        <f>VLOOKUP($A246,'BC.115+040'!$B$13:$X$489,14,0)/1000</f>
        <v>#REF!</v>
      </c>
      <c r="I246" s="131" t="e">
        <f>VLOOKUP($A246,'BC.115+040'!$B$13:$X$489,15,0)/1000</f>
        <v>#REF!</v>
      </c>
      <c r="J246" s="131" t="e">
        <f>VLOOKUP($A246,'BC.115+040'!$B$13:$X$489,20,0)/1000</f>
        <v>#REF!</v>
      </c>
      <c r="K246" s="131" t="e">
        <f>VLOOKUP($A246,'BC.115+040'!$B$13:$X$489,21,0)/1000</f>
        <v>#REF!</v>
      </c>
      <c r="L246" s="129" t="e">
        <f t="shared" si="9"/>
        <v>#REF!</v>
      </c>
      <c r="M246" s="130" t="e">
        <f t="shared" si="10"/>
        <v>#REF!</v>
      </c>
      <c r="N246" s="129" t="e">
        <f t="shared" si="11"/>
        <v>#REF!</v>
      </c>
      <c r="O246" s="129"/>
    </row>
    <row r="247" spans="1:15">
      <c r="A247" s="67" t="e">
        <f>'BC.115+040'!B246</f>
        <v>#REF!</v>
      </c>
      <c r="B247" s="129">
        <v>233</v>
      </c>
      <c r="C247" s="131" t="e">
        <f>'BC.115+040'!M246/1000</f>
        <v>#REF!</v>
      </c>
      <c r="D247" s="131" t="e">
        <f>'BC.115+040'!AA246</f>
        <v>#REF!</v>
      </c>
      <c r="E247" s="132" t="e">
        <f>'BC.115+040'!AB246</f>
        <v>#REF!</v>
      </c>
      <c r="F247" s="131" t="e">
        <f>VLOOKUP($A247,'BC.115+040'!$B$13:$X$489,8,0)/1000</f>
        <v>#REF!</v>
      </c>
      <c r="G247" s="131" t="e">
        <f>VLOOKUP($A247,'BC.115+040'!$B$13:$X$489,9,0)/1000</f>
        <v>#REF!</v>
      </c>
      <c r="H247" s="131" t="e">
        <f>VLOOKUP($A247,'BC.115+040'!$B$13:$X$489,14,0)/1000</f>
        <v>#REF!</v>
      </c>
      <c r="I247" s="131" t="e">
        <f>VLOOKUP($A247,'BC.115+040'!$B$13:$X$489,15,0)/1000</f>
        <v>#REF!</v>
      </c>
      <c r="J247" s="131" t="e">
        <f>VLOOKUP($A247,'BC.115+040'!$B$13:$X$489,20,0)/1000</f>
        <v>#REF!</v>
      </c>
      <c r="K247" s="131" t="e">
        <f>VLOOKUP($A247,'BC.115+040'!$B$13:$X$489,21,0)/1000</f>
        <v>#REF!</v>
      </c>
      <c r="L247" s="129" t="e">
        <f t="shared" si="9"/>
        <v>#REF!</v>
      </c>
      <c r="M247" s="130" t="e">
        <f t="shared" si="10"/>
        <v>#REF!</v>
      </c>
      <c r="N247" s="129" t="e">
        <f t="shared" si="11"/>
        <v>#REF!</v>
      </c>
      <c r="O247" s="129"/>
    </row>
    <row r="248" spans="1:15">
      <c r="A248" s="67" t="e">
        <f>'BC.115+040'!B247</f>
        <v>#REF!</v>
      </c>
      <c r="B248" s="129">
        <v>234</v>
      </c>
      <c r="C248" s="131" t="e">
        <f>'BC.115+040'!M247/1000</f>
        <v>#REF!</v>
      </c>
      <c r="D248" s="131" t="e">
        <f>'BC.115+040'!AA247</f>
        <v>#REF!</v>
      </c>
      <c r="E248" s="132" t="e">
        <f>'BC.115+040'!AB247</f>
        <v>#REF!</v>
      </c>
      <c r="F248" s="131" t="e">
        <f>VLOOKUP($A248,'BC.115+040'!$B$13:$X$489,8,0)/1000</f>
        <v>#REF!</v>
      </c>
      <c r="G248" s="131" t="e">
        <f>VLOOKUP($A248,'BC.115+040'!$B$13:$X$489,9,0)/1000</f>
        <v>#REF!</v>
      </c>
      <c r="H248" s="131" t="e">
        <f>VLOOKUP($A248,'BC.115+040'!$B$13:$X$489,14,0)/1000</f>
        <v>#REF!</v>
      </c>
      <c r="I248" s="131" t="e">
        <f>VLOOKUP($A248,'BC.115+040'!$B$13:$X$489,15,0)/1000</f>
        <v>#REF!</v>
      </c>
      <c r="J248" s="131" t="e">
        <f>VLOOKUP($A248,'BC.115+040'!$B$13:$X$489,20,0)/1000</f>
        <v>#REF!</v>
      </c>
      <c r="K248" s="131" t="e">
        <f>VLOOKUP($A248,'BC.115+040'!$B$13:$X$489,21,0)/1000</f>
        <v>#REF!</v>
      </c>
      <c r="L248" s="129" t="e">
        <f t="shared" si="9"/>
        <v>#REF!</v>
      </c>
      <c r="M248" s="130" t="e">
        <f t="shared" si="10"/>
        <v>#REF!</v>
      </c>
      <c r="N248" s="129" t="e">
        <f t="shared" si="11"/>
        <v>#REF!</v>
      </c>
      <c r="O248" s="129"/>
    </row>
    <row r="249" spans="1:15">
      <c r="A249" s="67" t="e">
        <f>'BC.115+040'!B248</f>
        <v>#REF!</v>
      </c>
      <c r="B249" s="129">
        <v>235</v>
      </c>
      <c r="C249" s="131" t="e">
        <f>'BC.115+040'!M248/1000</f>
        <v>#REF!</v>
      </c>
      <c r="D249" s="131" t="e">
        <f>'BC.115+040'!AA248</f>
        <v>#REF!</v>
      </c>
      <c r="E249" s="132" t="e">
        <f>'BC.115+040'!AB248</f>
        <v>#REF!</v>
      </c>
      <c r="F249" s="131" t="e">
        <f>VLOOKUP($A249,'BC.115+040'!$B$13:$X$489,8,0)/1000</f>
        <v>#REF!</v>
      </c>
      <c r="G249" s="131" t="e">
        <f>VLOOKUP($A249,'BC.115+040'!$B$13:$X$489,9,0)/1000</f>
        <v>#REF!</v>
      </c>
      <c r="H249" s="131" t="e">
        <f>VLOOKUP($A249,'BC.115+040'!$B$13:$X$489,14,0)/1000</f>
        <v>#REF!</v>
      </c>
      <c r="I249" s="131" t="e">
        <f>VLOOKUP($A249,'BC.115+040'!$B$13:$X$489,15,0)/1000</f>
        <v>#REF!</v>
      </c>
      <c r="J249" s="131" t="e">
        <f>VLOOKUP($A249,'BC.115+040'!$B$13:$X$489,20,0)/1000</f>
        <v>#REF!</v>
      </c>
      <c r="K249" s="131" t="e">
        <f>VLOOKUP($A249,'BC.115+040'!$B$13:$X$489,21,0)/1000</f>
        <v>#REF!</v>
      </c>
      <c r="L249" s="129" t="e">
        <f t="shared" si="9"/>
        <v>#REF!</v>
      </c>
      <c r="M249" s="130" t="e">
        <f t="shared" si="10"/>
        <v>#REF!</v>
      </c>
      <c r="N249" s="129" t="e">
        <f t="shared" si="11"/>
        <v>#REF!</v>
      </c>
      <c r="O249" s="129"/>
    </row>
    <row r="250" spans="1:15">
      <c r="A250" s="67" t="e">
        <f>'BC.115+040'!B249</f>
        <v>#REF!</v>
      </c>
      <c r="B250" s="129">
        <v>236</v>
      </c>
      <c r="C250" s="131" t="e">
        <f>'BC.115+040'!M249/1000</f>
        <v>#REF!</v>
      </c>
      <c r="D250" s="131" t="e">
        <f>'BC.115+040'!AA249</f>
        <v>#REF!</v>
      </c>
      <c r="E250" s="132" t="e">
        <f>'BC.115+040'!AB249</f>
        <v>#REF!</v>
      </c>
      <c r="F250" s="131" t="e">
        <f>VLOOKUP($A250,'BC.115+040'!$B$13:$X$489,8,0)/1000</f>
        <v>#REF!</v>
      </c>
      <c r="G250" s="131" t="e">
        <f>VLOOKUP($A250,'BC.115+040'!$B$13:$X$489,9,0)/1000</f>
        <v>#REF!</v>
      </c>
      <c r="H250" s="131" t="e">
        <f>VLOOKUP($A250,'BC.115+040'!$B$13:$X$489,14,0)/1000</f>
        <v>#REF!</v>
      </c>
      <c r="I250" s="131" t="e">
        <f>VLOOKUP($A250,'BC.115+040'!$B$13:$X$489,15,0)/1000</f>
        <v>#REF!</v>
      </c>
      <c r="J250" s="131" t="e">
        <f>VLOOKUP($A250,'BC.115+040'!$B$13:$X$489,20,0)/1000</f>
        <v>#REF!</v>
      </c>
      <c r="K250" s="131" t="e">
        <f>VLOOKUP($A250,'BC.115+040'!$B$13:$X$489,21,0)/1000</f>
        <v>#REF!</v>
      </c>
      <c r="L250" s="129" t="e">
        <f t="shared" si="9"/>
        <v>#REF!</v>
      </c>
      <c r="M250" s="130" t="e">
        <f t="shared" si="10"/>
        <v>#REF!</v>
      </c>
      <c r="N250" s="129" t="e">
        <f t="shared" si="11"/>
        <v>#REF!</v>
      </c>
      <c r="O250" s="129"/>
    </row>
    <row r="251" spans="1:15">
      <c r="A251" s="67" t="e">
        <f>'BC.115+040'!B250</f>
        <v>#REF!</v>
      </c>
      <c r="B251" s="129">
        <v>237</v>
      </c>
      <c r="C251" s="131" t="e">
        <f>'BC.115+040'!M250/1000</f>
        <v>#REF!</v>
      </c>
      <c r="D251" s="131" t="e">
        <f>'BC.115+040'!AA250</f>
        <v>#REF!</v>
      </c>
      <c r="E251" s="132" t="e">
        <f>'BC.115+040'!AB250</f>
        <v>#REF!</v>
      </c>
      <c r="F251" s="131" t="e">
        <f>VLOOKUP($A251,'BC.115+040'!$B$13:$X$489,8,0)/1000</f>
        <v>#REF!</v>
      </c>
      <c r="G251" s="131" t="e">
        <f>VLOOKUP($A251,'BC.115+040'!$B$13:$X$489,9,0)/1000</f>
        <v>#REF!</v>
      </c>
      <c r="H251" s="131" t="e">
        <f>VLOOKUP($A251,'BC.115+040'!$B$13:$X$489,14,0)/1000</f>
        <v>#REF!</v>
      </c>
      <c r="I251" s="131" t="e">
        <f>VLOOKUP($A251,'BC.115+040'!$B$13:$X$489,15,0)/1000</f>
        <v>#REF!</v>
      </c>
      <c r="J251" s="131" t="e">
        <f>VLOOKUP($A251,'BC.115+040'!$B$13:$X$489,20,0)/1000</f>
        <v>#REF!</v>
      </c>
      <c r="K251" s="131" t="e">
        <f>VLOOKUP($A251,'BC.115+040'!$B$13:$X$489,21,0)/1000</f>
        <v>#REF!</v>
      </c>
      <c r="L251" s="129" t="e">
        <f t="shared" si="9"/>
        <v>#REF!</v>
      </c>
      <c r="M251" s="130" t="e">
        <f t="shared" si="10"/>
        <v>#REF!</v>
      </c>
      <c r="N251" s="129" t="e">
        <f t="shared" si="11"/>
        <v>#REF!</v>
      </c>
      <c r="O251" s="129"/>
    </row>
    <row r="252" spans="1:15">
      <c r="A252" s="67" t="e">
        <f>'BC.115+040'!B251</f>
        <v>#REF!</v>
      </c>
      <c r="B252" s="129">
        <v>238</v>
      </c>
      <c r="C252" s="131" t="e">
        <f>'BC.115+040'!M251/1000</f>
        <v>#REF!</v>
      </c>
      <c r="D252" s="131" t="e">
        <f>'BC.115+040'!AA251</f>
        <v>#REF!</v>
      </c>
      <c r="E252" s="132" t="e">
        <f>'BC.115+040'!AB251</f>
        <v>#REF!</v>
      </c>
      <c r="F252" s="131" t="e">
        <f>VLOOKUP($A252,'BC.115+040'!$B$13:$X$489,8,0)/1000</f>
        <v>#REF!</v>
      </c>
      <c r="G252" s="131" t="e">
        <f>VLOOKUP($A252,'BC.115+040'!$B$13:$X$489,9,0)/1000</f>
        <v>#REF!</v>
      </c>
      <c r="H252" s="131" t="e">
        <f>VLOOKUP($A252,'BC.115+040'!$B$13:$X$489,14,0)/1000</f>
        <v>#REF!</v>
      </c>
      <c r="I252" s="131" t="e">
        <f>VLOOKUP($A252,'BC.115+040'!$B$13:$X$489,15,0)/1000</f>
        <v>#REF!</v>
      </c>
      <c r="J252" s="131" t="e">
        <f>VLOOKUP($A252,'BC.115+040'!$B$13:$X$489,20,0)/1000</f>
        <v>#REF!</v>
      </c>
      <c r="K252" s="131" t="e">
        <f>VLOOKUP($A252,'BC.115+040'!$B$13:$X$489,21,0)/1000</f>
        <v>#REF!</v>
      </c>
      <c r="L252" s="129" t="e">
        <f t="shared" si="9"/>
        <v>#REF!</v>
      </c>
      <c r="M252" s="130" t="e">
        <f t="shared" si="10"/>
        <v>#REF!</v>
      </c>
      <c r="N252" s="129" t="e">
        <f t="shared" si="11"/>
        <v>#REF!</v>
      </c>
      <c r="O252" s="129"/>
    </row>
    <row r="253" spans="1:15">
      <c r="A253" s="67" t="e">
        <f>'BC.115+040'!B252</f>
        <v>#REF!</v>
      </c>
      <c r="B253" s="129">
        <v>239</v>
      </c>
      <c r="C253" s="131" t="e">
        <f>'BC.115+040'!M252/1000</f>
        <v>#REF!</v>
      </c>
      <c r="D253" s="131" t="e">
        <f>'BC.115+040'!AA252</f>
        <v>#REF!</v>
      </c>
      <c r="E253" s="132" t="e">
        <f>'BC.115+040'!AB252</f>
        <v>#REF!</v>
      </c>
      <c r="F253" s="131" t="e">
        <f>VLOOKUP($A253,'BC.115+040'!$B$13:$X$489,8,0)/1000</f>
        <v>#REF!</v>
      </c>
      <c r="G253" s="131" t="e">
        <f>VLOOKUP($A253,'BC.115+040'!$B$13:$X$489,9,0)/1000</f>
        <v>#REF!</v>
      </c>
      <c r="H253" s="131" t="e">
        <f>VLOOKUP($A253,'BC.115+040'!$B$13:$X$489,14,0)/1000</f>
        <v>#REF!</v>
      </c>
      <c r="I253" s="131" t="e">
        <f>VLOOKUP($A253,'BC.115+040'!$B$13:$X$489,15,0)/1000</f>
        <v>#REF!</v>
      </c>
      <c r="J253" s="131" t="e">
        <f>VLOOKUP($A253,'BC.115+040'!$B$13:$X$489,20,0)/1000</f>
        <v>#REF!</v>
      </c>
      <c r="K253" s="131" t="e">
        <f>VLOOKUP($A253,'BC.115+040'!$B$13:$X$489,21,0)/1000</f>
        <v>#REF!</v>
      </c>
      <c r="L253" s="129" t="e">
        <f t="shared" si="9"/>
        <v>#REF!</v>
      </c>
      <c r="M253" s="130" t="e">
        <f t="shared" si="10"/>
        <v>#REF!</v>
      </c>
      <c r="N253" s="129" t="e">
        <f t="shared" si="11"/>
        <v>#REF!</v>
      </c>
      <c r="O253" s="129"/>
    </row>
    <row r="254" spans="1:15">
      <c r="A254" s="67" t="e">
        <f>'BC.115+040'!B253</f>
        <v>#REF!</v>
      </c>
      <c r="B254" s="129">
        <v>240</v>
      </c>
      <c r="C254" s="131" t="e">
        <f>'BC.115+040'!M253/1000</f>
        <v>#REF!</v>
      </c>
      <c r="D254" s="131" t="e">
        <f>'BC.115+040'!AA253</f>
        <v>#REF!</v>
      </c>
      <c r="E254" s="132" t="e">
        <f>'BC.115+040'!AB253</f>
        <v>#REF!</v>
      </c>
      <c r="F254" s="131" t="e">
        <f>VLOOKUP($A254,'BC.115+040'!$B$13:$X$489,8,0)/1000</f>
        <v>#REF!</v>
      </c>
      <c r="G254" s="131" t="e">
        <f>VLOOKUP($A254,'BC.115+040'!$B$13:$X$489,9,0)/1000</f>
        <v>#REF!</v>
      </c>
      <c r="H254" s="131" t="e">
        <f>VLOOKUP($A254,'BC.115+040'!$B$13:$X$489,14,0)/1000</f>
        <v>#REF!</v>
      </c>
      <c r="I254" s="131" t="e">
        <f>VLOOKUP($A254,'BC.115+040'!$B$13:$X$489,15,0)/1000</f>
        <v>#REF!</v>
      </c>
      <c r="J254" s="131" t="e">
        <f>VLOOKUP($A254,'BC.115+040'!$B$13:$X$489,20,0)/1000</f>
        <v>#REF!</v>
      </c>
      <c r="K254" s="131" t="e">
        <f>VLOOKUP($A254,'BC.115+040'!$B$13:$X$489,21,0)/1000</f>
        <v>#REF!</v>
      </c>
      <c r="L254" s="129" t="e">
        <f t="shared" si="9"/>
        <v>#REF!</v>
      </c>
      <c r="M254" s="130" t="e">
        <f t="shared" si="10"/>
        <v>#REF!</v>
      </c>
      <c r="N254" s="129" t="e">
        <f t="shared" si="11"/>
        <v>#REF!</v>
      </c>
      <c r="O254" s="129"/>
    </row>
    <row r="255" spans="1:15">
      <c r="A255" s="67" t="e">
        <f>'BC.115+040'!B254</f>
        <v>#REF!</v>
      </c>
      <c r="B255" s="129">
        <f t="shared" ref="B255:B318" si="12">+B254+1</f>
        <v>241</v>
      </c>
      <c r="C255" s="131" t="e">
        <f>'BC.115+040'!M254/1000</f>
        <v>#REF!</v>
      </c>
      <c r="D255" s="131" t="e">
        <f>'BC.115+040'!AA254</f>
        <v>#REF!</v>
      </c>
      <c r="E255" s="132" t="e">
        <f>'BC.115+040'!AB254</f>
        <v>#REF!</v>
      </c>
      <c r="F255" s="131" t="e">
        <f>VLOOKUP($A255,'BC.115+040'!$B$13:$X$489,8,0)/1000</f>
        <v>#REF!</v>
      </c>
      <c r="G255" s="131" t="e">
        <f>VLOOKUP($A255,'BC.115+040'!$B$13:$X$489,9,0)/1000</f>
        <v>#REF!</v>
      </c>
      <c r="H255" s="131" t="e">
        <f>VLOOKUP($A255,'BC.115+040'!$B$13:$X$489,14,0)/1000</f>
        <v>#REF!</v>
      </c>
      <c r="I255" s="131" t="e">
        <f>VLOOKUP($A255,'BC.115+040'!$B$13:$X$489,15,0)/1000</f>
        <v>#REF!</v>
      </c>
      <c r="J255" s="131" t="e">
        <f>VLOOKUP($A255,'BC.115+040'!$B$13:$X$489,20,0)/1000</f>
        <v>#REF!</v>
      </c>
      <c r="K255" s="131" t="e">
        <f>VLOOKUP($A255,'BC.115+040'!$B$13:$X$489,21,0)/1000</f>
        <v>#REF!</v>
      </c>
      <c r="L255" s="129" t="e">
        <f t="shared" si="9"/>
        <v>#REF!</v>
      </c>
      <c r="M255" s="130" t="e">
        <f t="shared" si="10"/>
        <v>#REF!</v>
      </c>
      <c r="N255" s="129" t="e">
        <f t="shared" si="11"/>
        <v>#REF!</v>
      </c>
      <c r="O255" s="129"/>
    </row>
    <row r="256" spans="1:15">
      <c r="A256" s="67" t="e">
        <f>'BC.115+040'!B255</f>
        <v>#REF!</v>
      </c>
      <c r="B256" s="129">
        <f t="shared" si="12"/>
        <v>242</v>
      </c>
      <c r="C256" s="131" t="e">
        <f>'BC.115+040'!M255/1000</f>
        <v>#REF!</v>
      </c>
      <c r="D256" s="131" t="e">
        <f>'BC.115+040'!AA255</f>
        <v>#REF!</v>
      </c>
      <c r="E256" s="132" t="e">
        <f>'BC.115+040'!AB255</f>
        <v>#REF!</v>
      </c>
      <c r="F256" s="131" t="e">
        <f>VLOOKUP($A256,'BC.115+040'!$B$13:$X$489,8,0)/1000</f>
        <v>#REF!</v>
      </c>
      <c r="G256" s="131" t="e">
        <f>VLOOKUP($A256,'BC.115+040'!$B$13:$X$489,9,0)/1000</f>
        <v>#REF!</v>
      </c>
      <c r="H256" s="131" t="e">
        <f>VLOOKUP($A256,'BC.115+040'!$B$13:$X$489,14,0)/1000</f>
        <v>#REF!</v>
      </c>
      <c r="I256" s="131" t="e">
        <f>VLOOKUP($A256,'BC.115+040'!$B$13:$X$489,15,0)/1000</f>
        <v>#REF!</v>
      </c>
      <c r="J256" s="131" t="e">
        <f>VLOOKUP($A256,'BC.115+040'!$B$13:$X$489,20,0)/1000</f>
        <v>#REF!</v>
      </c>
      <c r="K256" s="131" t="e">
        <f>VLOOKUP($A256,'BC.115+040'!$B$13:$X$489,21,0)/1000</f>
        <v>#REF!</v>
      </c>
      <c r="L256" s="129" t="e">
        <f t="shared" si="9"/>
        <v>#REF!</v>
      </c>
      <c r="M256" s="130" t="e">
        <f t="shared" si="10"/>
        <v>#REF!</v>
      </c>
      <c r="N256" s="129" t="e">
        <f t="shared" si="11"/>
        <v>#REF!</v>
      </c>
      <c r="O256" s="129"/>
    </row>
    <row r="257" spans="1:15">
      <c r="A257" s="67" t="e">
        <f>'BC.115+040'!B256</f>
        <v>#REF!</v>
      </c>
      <c r="B257" s="129">
        <f t="shared" si="12"/>
        <v>243</v>
      </c>
      <c r="C257" s="131" t="e">
        <f>'BC.115+040'!M256/1000</f>
        <v>#REF!</v>
      </c>
      <c r="D257" s="131" t="e">
        <f>'BC.115+040'!AA256</f>
        <v>#REF!</v>
      </c>
      <c r="E257" s="132" t="e">
        <f>'BC.115+040'!AB256</f>
        <v>#REF!</v>
      </c>
      <c r="F257" s="131" t="e">
        <f>VLOOKUP($A257,'BC.115+040'!$B$13:$X$489,8,0)/1000</f>
        <v>#REF!</v>
      </c>
      <c r="G257" s="131" t="e">
        <f>VLOOKUP($A257,'BC.115+040'!$B$13:$X$489,9,0)/1000</f>
        <v>#REF!</v>
      </c>
      <c r="H257" s="131" t="e">
        <f>VLOOKUP($A257,'BC.115+040'!$B$13:$X$489,14,0)/1000</f>
        <v>#REF!</v>
      </c>
      <c r="I257" s="131" t="e">
        <f>VLOOKUP($A257,'BC.115+040'!$B$13:$X$489,15,0)/1000</f>
        <v>#REF!</v>
      </c>
      <c r="J257" s="131" t="e">
        <f>VLOOKUP($A257,'BC.115+040'!$B$13:$X$489,20,0)/1000</f>
        <v>#REF!</v>
      </c>
      <c r="K257" s="131" t="e">
        <f>VLOOKUP($A257,'BC.115+040'!$B$13:$X$489,21,0)/1000</f>
        <v>#REF!</v>
      </c>
      <c r="L257" s="129" t="e">
        <f t="shared" si="9"/>
        <v>#REF!</v>
      </c>
      <c r="M257" s="130" t="e">
        <f t="shared" si="10"/>
        <v>#REF!</v>
      </c>
      <c r="N257" s="129" t="e">
        <f t="shared" si="11"/>
        <v>#REF!</v>
      </c>
      <c r="O257" s="129"/>
    </row>
    <row r="258" spans="1:15">
      <c r="A258" s="67" t="e">
        <f>'BC.115+040'!B257</f>
        <v>#REF!</v>
      </c>
      <c r="B258" s="129">
        <f t="shared" si="12"/>
        <v>244</v>
      </c>
      <c r="C258" s="131" t="e">
        <f>'BC.115+040'!M257/1000</f>
        <v>#REF!</v>
      </c>
      <c r="D258" s="131" t="e">
        <f>'BC.115+040'!AA257</f>
        <v>#REF!</v>
      </c>
      <c r="E258" s="132" t="e">
        <f>'BC.115+040'!AB257</f>
        <v>#REF!</v>
      </c>
      <c r="F258" s="131" t="e">
        <f>VLOOKUP($A258,'BC.115+040'!$B$13:$X$489,8,0)/1000</f>
        <v>#REF!</v>
      </c>
      <c r="G258" s="131" t="e">
        <f>VLOOKUP($A258,'BC.115+040'!$B$13:$X$489,9,0)/1000</f>
        <v>#REF!</v>
      </c>
      <c r="H258" s="131" t="e">
        <f>VLOOKUP($A258,'BC.115+040'!$B$13:$X$489,14,0)/1000</f>
        <v>#REF!</v>
      </c>
      <c r="I258" s="131" t="e">
        <f>VLOOKUP($A258,'BC.115+040'!$B$13:$X$489,15,0)/1000</f>
        <v>#REF!</v>
      </c>
      <c r="J258" s="131" t="e">
        <f>VLOOKUP($A258,'BC.115+040'!$B$13:$X$489,20,0)/1000</f>
        <v>#REF!</v>
      </c>
      <c r="K258" s="131" t="e">
        <f>VLOOKUP($A258,'BC.115+040'!$B$13:$X$489,21,0)/1000</f>
        <v>#REF!</v>
      </c>
      <c r="L258" s="129" t="e">
        <f t="shared" si="9"/>
        <v>#REF!</v>
      </c>
      <c r="M258" s="130" t="e">
        <f t="shared" si="10"/>
        <v>#REF!</v>
      </c>
      <c r="N258" s="129" t="e">
        <f t="shared" si="11"/>
        <v>#REF!</v>
      </c>
      <c r="O258" s="129"/>
    </row>
    <row r="259" spans="1:15">
      <c r="A259" s="67" t="e">
        <f>'BC.115+040'!B258</f>
        <v>#REF!</v>
      </c>
      <c r="B259" s="129">
        <f t="shared" si="12"/>
        <v>245</v>
      </c>
      <c r="C259" s="131" t="e">
        <f>'BC.115+040'!M258/1000</f>
        <v>#REF!</v>
      </c>
      <c r="D259" s="131" t="e">
        <f>'BC.115+040'!AA258</f>
        <v>#REF!</v>
      </c>
      <c r="E259" s="132" t="e">
        <f>'BC.115+040'!AB258</f>
        <v>#REF!</v>
      </c>
      <c r="F259" s="131" t="e">
        <f>VLOOKUP($A259,'BC.115+040'!$B$13:$X$489,8,0)/1000</f>
        <v>#REF!</v>
      </c>
      <c r="G259" s="131" t="e">
        <f>VLOOKUP($A259,'BC.115+040'!$B$13:$X$489,9,0)/1000</f>
        <v>#REF!</v>
      </c>
      <c r="H259" s="131" t="e">
        <f>VLOOKUP($A259,'BC.115+040'!$B$13:$X$489,14,0)/1000</f>
        <v>#REF!</v>
      </c>
      <c r="I259" s="131" t="e">
        <f>VLOOKUP($A259,'BC.115+040'!$B$13:$X$489,15,0)/1000</f>
        <v>#REF!</v>
      </c>
      <c r="J259" s="131" t="e">
        <f>VLOOKUP($A259,'BC.115+040'!$B$13:$X$489,20,0)/1000</f>
        <v>#REF!</v>
      </c>
      <c r="K259" s="131" t="e">
        <f>VLOOKUP($A259,'BC.115+040'!$B$13:$X$489,21,0)/1000</f>
        <v>#REF!</v>
      </c>
      <c r="L259" s="129" t="e">
        <f t="shared" si="9"/>
        <v>#REF!</v>
      </c>
      <c r="M259" s="130" t="e">
        <f t="shared" si="10"/>
        <v>#REF!</v>
      </c>
      <c r="N259" s="129" t="e">
        <f t="shared" si="11"/>
        <v>#REF!</v>
      </c>
      <c r="O259" s="129"/>
    </row>
    <row r="260" spans="1:15">
      <c r="A260" s="67" t="e">
        <f>'BC.115+040'!B259</f>
        <v>#REF!</v>
      </c>
      <c r="B260" s="129">
        <f t="shared" si="12"/>
        <v>246</v>
      </c>
      <c r="C260" s="131" t="e">
        <f>'BC.115+040'!M259/1000</f>
        <v>#REF!</v>
      </c>
      <c r="D260" s="131" t="e">
        <f>'BC.115+040'!AA259</f>
        <v>#REF!</v>
      </c>
      <c r="E260" s="132" t="e">
        <f>'BC.115+040'!AB259</f>
        <v>#REF!</v>
      </c>
      <c r="F260" s="131" t="e">
        <f>VLOOKUP($A260,'BC.115+040'!$B$13:$X$489,8,0)/1000</f>
        <v>#REF!</v>
      </c>
      <c r="G260" s="131" t="e">
        <f>VLOOKUP($A260,'BC.115+040'!$B$13:$X$489,9,0)/1000</f>
        <v>#REF!</v>
      </c>
      <c r="H260" s="131" t="e">
        <f>VLOOKUP($A260,'BC.115+040'!$B$13:$X$489,14,0)/1000</f>
        <v>#REF!</v>
      </c>
      <c r="I260" s="131" t="e">
        <f>VLOOKUP($A260,'BC.115+040'!$B$13:$X$489,15,0)/1000</f>
        <v>#REF!</v>
      </c>
      <c r="J260" s="131" t="e">
        <f>VLOOKUP($A260,'BC.115+040'!$B$13:$X$489,20,0)/1000</f>
        <v>#REF!</v>
      </c>
      <c r="K260" s="131" t="e">
        <f>VLOOKUP($A260,'BC.115+040'!$B$13:$X$489,21,0)/1000</f>
        <v>#REF!</v>
      </c>
      <c r="L260" s="129" t="e">
        <f t="shared" si="9"/>
        <v>#REF!</v>
      </c>
      <c r="M260" s="130" t="e">
        <f t="shared" si="10"/>
        <v>#REF!</v>
      </c>
      <c r="N260" s="129" t="e">
        <f t="shared" si="11"/>
        <v>#REF!</v>
      </c>
      <c r="O260" s="129"/>
    </row>
    <row r="261" spans="1:15">
      <c r="A261" s="67" t="e">
        <f>'BC.115+040'!B260</f>
        <v>#REF!</v>
      </c>
      <c r="B261" s="129">
        <f t="shared" si="12"/>
        <v>247</v>
      </c>
      <c r="C261" s="131" t="e">
        <f>'BC.115+040'!M260/1000</f>
        <v>#REF!</v>
      </c>
      <c r="D261" s="131" t="e">
        <f>'BC.115+040'!AA260</f>
        <v>#REF!</v>
      </c>
      <c r="E261" s="132" t="e">
        <f>'BC.115+040'!AB260</f>
        <v>#REF!</v>
      </c>
      <c r="F261" s="131" t="e">
        <f>VLOOKUP($A261,'BC.115+040'!$B$13:$X$489,8,0)/1000</f>
        <v>#REF!</v>
      </c>
      <c r="G261" s="131" t="e">
        <f>VLOOKUP($A261,'BC.115+040'!$B$13:$X$489,9,0)/1000</f>
        <v>#REF!</v>
      </c>
      <c r="H261" s="131" t="e">
        <f>VLOOKUP($A261,'BC.115+040'!$B$13:$X$489,14,0)/1000</f>
        <v>#REF!</v>
      </c>
      <c r="I261" s="131" t="e">
        <f>VLOOKUP($A261,'BC.115+040'!$B$13:$X$489,15,0)/1000</f>
        <v>#REF!</v>
      </c>
      <c r="J261" s="131" t="e">
        <f>VLOOKUP($A261,'BC.115+040'!$B$13:$X$489,20,0)/1000</f>
        <v>#REF!</v>
      </c>
      <c r="K261" s="131" t="e">
        <f>VLOOKUP($A261,'BC.115+040'!$B$13:$X$489,21,0)/1000</f>
        <v>#REF!</v>
      </c>
      <c r="L261" s="129" t="e">
        <f t="shared" si="9"/>
        <v>#REF!</v>
      </c>
      <c r="M261" s="130" t="e">
        <f t="shared" si="10"/>
        <v>#REF!</v>
      </c>
      <c r="N261" s="129" t="e">
        <f t="shared" si="11"/>
        <v>#REF!</v>
      </c>
      <c r="O261" s="129"/>
    </row>
    <row r="262" spans="1:15">
      <c r="A262" s="67" t="e">
        <f>'BC.115+040'!B261</f>
        <v>#REF!</v>
      </c>
      <c r="B262" s="129">
        <f t="shared" si="12"/>
        <v>248</v>
      </c>
      <c r="C262" s="131" t="e">
        <f>'BC.115+040'!M261/1000</f>
        <v>#REF!</v>
      </c>
      <c r="D262" s="131" t="e">
        <f>'BC.115+040'!AA261</f>
        <v>#REF!</v>
      </c>
      <c r="E262" s="132" t="e">
        <f>'BC.115+040'!AB261</f>
        <v>#REF!</v>
      </c>
      <c r="F262" s="131" t="e">
        <f>VLOOKUP($A262,'BC.115+040'!$B$13:$X$489,8,0)/1000</f>
        <v>#REF!</v>
      </c>
      <c r="G262" s="131" t="e">
        <f>VLOOKUP($A262,'BC.115+040'!$B$13:$X$489,9,0)/1000</f>
        <v>#REF!</v>
      </c>
      <c r="H262" s="131" t="e">
        <f>VLOOKUP($A262,'BC.115+040'!$B$13:$X$489,14,0)/1000</f>
        <v>#REF!</v>
      </c>
      <c r="I262" s="131" t="e">
        <f>VLOOKUP($A262,'BC.115+040'!$B$13:$X$489,15,0)/1000</f>
        <v>#REF!</v>
      </c>
      <c r="J262" s="131" t="e">
        <f>VLOOKUP($A262,'BC.115+040'!$B$13:$X$489,20,0)/1000</f>
        <v>#REF!</v>
      </c>
      <c r="K262" s="131" t="e">
        <f>VLOOKUP($A262,'BC.115+040'!$B$13:$X$489,21,0)/1000</f>
        <v>#REF!</v>
      </c>
      <c r="L262" s="129" t="e">
        <f t="shared" si="9"/>
        <v>#REF!</v>
      </c>
      <c r="M262" s="130" t="e">
        <f t="shared" si="10"/>
        <v>#REF!</v>
      </c>
      <c r="N262" s="129" t="e">
        <f t="shared" si="11"/>
        <v>#REF!</v>
      </c>
      <c r="O262" s="129"/>
    </row>
    <row r="263" spans="1:15">
      <c r="A263" s="67" t="e">
        <f>'BC.115+040'!B262</f>
        <v>#REF!</v>
      </c>
      <c r="B263" s="129">
        <f t="shared" si="12"/>
        <v>249</v>
      </c>
      <c r="C263" s="131" t="e">
        <f>'BC.115+040'!M262/1000</f>
        <v>#REF!</v>
      </c>
      <c r="D263" s="131" t="e">
        <f>'BC.115+040'!AA262</f>
        <v>#REF!</v>
      </c>
      <c r="E263" s="132" t="e">
        <f>'BC.115+040'!AB262</f>
        <v>#REF!</v>
      </c>
      <c r="F263" s="131" t="e">
        <f>VLOOKUP($A263,'BC.115+040'!$B$13:$X$489,8,0)/1000</f>
        <v>#REF!</v>
      </c>
      <c r="G263" s="131" t="e">
        <f>VLOOKUP($A263,'BC.115+040'!$B$13:$X$489,9,0)/1000</f>
        <v>#REF!</v>
      </c>
      <c r="H263" s="131" t="e">
        <f>VLOOKUP($A263,'BC.115+040'!$B$13:$X$489,14,0)/1000</f>
        <v>#REF!</v>
      </c>
      <c r="I263" s="131" t="e">
        <f>VLOOKUP($A263,'BC.115+040'!$B$13:$X$489,15,0)/1000</f>
        <v>#REF!</v>
      </c>
      <c r="J263" s="131" t="e">
        <f>VLOOKUP($A263,'BC.115+040'!$B$13:$X$489,20,0)/1000</f>
        <v>#REF!</v>
      </c>
      <c r="K263" s="131" t="e">
        <f>VLOOKUP($A263,'BC.115+040'!$B$13:$X$489,21,0)/1000</f>
        <v>#REF!</v>
      </c>
      <c r="L263" s="129" t="e">
        <f t="shared" si="9"/>
        <v>#REF!</v>
      </c>
      <c r="M263" s="130" t="e">
        <f t="shared" si="10"/>
        <v>#REF!</v>
      </c>
      <c r="N263" s="129" t="e">
        <f t="shared" si="11"/>
        <v>#REF!</v>
      </c>
      <c r="O263" s="129"/>
    </row>
    <row r="264" spans="1:15">
      <c r="A264" s="67" t="e">
        <f>'BC.115+040'!B263</f>
        <v>#REF!</v>
      </c>
      <c r="B264" s="129">
        <f t="shared" si="12"/>
        <v>250</v>
      </c>
      <c r="C264" s="131" t="e">
        <f>'BC.115+040'!M263/1000</f>
        <v>#REF!</v>
      </c>
      <c r="D264" s="131" t="e">
        <f>'BC.115+040'!AA263</f>
        <v>#REF!</v>
      </c>
      <c r="E264" s="132" t="e">
        <f>'BC.115+040'!AB263</f>
        <v>#REF!</v>
      </c>
      <c r="F264" s="131" t="e">
        <f>VLOOKUP($A264,'BC.115+040'!$B$13:$X$489,8,0)/1000</f>
        <v>#REF!</v>
      </c>
      <c r="G264" s="131" t="e">
        <f>VLOOKUP($A264,'BC.115+040'!$B$13:$X$489,9,0)/1000</f>
        <v>#REF!</v>
      </c>
      <c r="H264" s="131" t="e">
        <f>VLOOKUP($A264,'BC.115+040'!$B$13:$X$489,14,0)/1000</f>
        <v>#REF!</v>
      </c>
      <c r="I264" s="131" t="e">
        <f>VLOOKUP($A264,'BC.115+040'!$B$13:$X$489,15,0)/1000</f>
        <v>#REF!</v>
      </c>
      <c r="J264" s="131" t="e">
        <f>VLOOKUP($A264,'BC.115+040'!$B$13:$X$489,20,0)/1000</f>
        <v>#REF!</v>
      </c>
      <c r="K264" s="131" t="e">
        <f>VLOOKUP($A264,'BC.115+040'!$B$13:$X$489,21,0)/1000</f>
        <v>#REF!</v>
      </c>
      <c r="L264" s="129" t="e">
        <f t="shared" si="9"/>
        <v>#REF!</v>
      </c>
      <c r="M264" s="130" t="e">
        <f t="shared" si="10"/>
        <v>#REF!</v>
      </c>
      <c r="N264" s="129" t="e">
        <f t="shared" si="11"/>
        <v>#REF!</v>
      </c>
      <c r="O264" s="129"/>
    </row>
    <row r="265" spans="1:15">
      <c r="A265" s="67" t="e">
        <f>'BC.115+040'!B264</f>
        <v>#REF!</v>
      </c>
      <c r="B265" s="129">
        <f t="shared" si="12"/>
        <v>251</v>
      </c>
      <c r="C265" s="131" t="e">
        <f>'BC.115+040'!M264/1000</f>
        <v>#REF!</v>
      </c>
      <c r="D265" s="131" t="e">
        <f>'BC.115+040'!AA264</f>
        <v>#REF!</v>
      </c>
      <c r="E265" s="132" t="e">
        <f>'BC.115+040'!AB264</f>
        <v>#REF!</v>
      </c>
      <c r="F265" s="131" t="e">
        <f>VLOOKUP($A265,'BC.115+040'!$B$13:$X$489,8,0)/1000</f>
        <v>#REF!</v>
      </c>
      <c r="G265" s="131" t="e">
        <f>VLOOKUP($A265,'BC.115+040'!$B$13:$X$489,9,0)/1000</f>
        <v>#REF!</v>
      </c>
      <c r="H265" s="131" t="e">
        <f>VLOOKUP($A265,'BC.115+040'!$B$13:$X$489,14,0)/1000</f>
        <v>#REF!</v>
      </c>
      <c r="I265" s="131" t="e">
        <f>VLOOKUP($A265,'BC.115+040'!$B$13:$X$489,15,0)/1000</f>
        <v>#REF!</v>
      </c>
      <c r="J265" s="131" t="e">
        <f>VLOOKUP($A265,'BC.115+040'!$B$13:$X$489,20,0)/1000</f>
        <v>#REF!</v>
      </c>
      <c r="K265" s="131" t="e">
        <f>VLOOKUP($A265,'BC.115+040'!$B$13:$X$489,21,0)/1000</f>
        <v>#REF!</v>
      </c>
      <c r="L265" s="129" t="e">
        <f t="shared" si="9"/>
        <v>#REF!</v>
      </c>
      <c r="M265" s="130" t="e">
        <f t="shared" si="10"/>
        <v>#REF!</v>
      </c>
      <c r="N265" s="129" t="e">
        <f t="shared" si="11"/>
        <v>#REF!</v>
      </c>
      <c r="O265" s="129"/>
    </row>
    <row r="266" spans="1:15">
      <c r="A266" s="67" t="e">
        <f>'BC.115+040'!B265</f>
        <v>#REF!</v>
      </c>
      <c r="B266" s="129">
        <f t="shared" si="12"/>
        <v>252</v>
      </c>
      <c r="C266" s="131" t="e">
        <f>'BC.115+040'!M265/1000</f>
        <v>#REF!</v>
      </c>
      <c r="D266" s="131" t="e">
        <f>'BC.115+040'!AA265</f>
        <v>#REF!</v>
      </c>
      <c r="E266" s="132" t="e">
        <f>'BC.115+040'!AB265</f>
        <v>#REF!</v>
      </c>
      <c r="F266" s="131" t="e">
        <f>VLOOKUP($A266,'BC.115+040'!$B$13:$X$489,8,0)/1000</f>
        <v>#REF!</v>
      </c>
      <c r="G266" s="131" t="e">
        <f>VLOOKUP($A266,'BC.115+040'!$B$13:$X$489,9,0)/1000</f>
        <v>#REF!</v>
      </c>
      <c r="H266" s="131" t="e">
        <f>VLOOKUP($A266,'BC.115+040'!$B$13:$X$489,14,0)/1000</f>
        <v>#REF!</v>
      </c>
      <c r="I266" s="131" t="e">
        <f>VLOOKUP($A266,'BC.115+040'!$B$13:$X$489,15,0)/1000</f>
        <v>#REF!</v>
      </c>
      <c r="J266" s="131" t="e">
        <f>VLOOKUP($A266,'BC.115+040'!$B$13:$X$489,20,0)/1000</f>
        <v>#REF!</v>
      </c>
      <c r="K266" s="131" t="e">
        <f>VLOOKUP($A266,'BC.115+040'!$B$13:$X$489,21,0)/1000</f>
        <v>#REF!</v>
      </c>
      <c r="L266" s="129" t="e">
        <f t="shared" si="9"/>
        <v>#REF!</v>
      </c>
      <c r="M266" s="130" t="e">
        <f t="shared" si="10"/>
        <v>#REF!</v>
      </c>
      <c r="N266" s="129" t="e">
        <f t="shared" si="11"/>
        <v>#REF!</v>
      </c>
      <c r="O266" s="129"/>
    </row>
    <row r="267" spans="1:15">
      <c r="A267" s="67" t="e">
        <f>'BC.115+040'!B266</f>
        <v>#REF!</v>
      </c>
      <c r="B267" s="129">
        <f t="shared" si="12"/>
        <v>253</v>
      </c>
      <c r="C267" s="131" t="e">
        <f>'BC.115+040'!M266/1000</f>
        <v>#REF!</v>
      </c>
      <c r="D267" s="131" t="e">
        <f>'BC.115+040'!AA266</f>
        <v>#REF!</v>
      </c>
      <c r="E267" s="132" t="e">
        <f>'BC.115+040'!AB266</f>
        <v>#REF!</v>
      </c>
      <c r="F267" s="131" t="e">
        <f>VLOOKUP($A267,'BC.115+040'!$B$13:$X$489,8,0)/1000</f>
        <v>#REF!</v>
      </c>
      <c r="G267" s="131" t="e">
        <f>VLOOKUP($A267,'BC.115+040'!$B$13:$X$489,9,0)/1000</f>
        <v>#REF!</v>
      </c>
      <c r="H267" s="131" t="e">
        <f>VLOOKUP($A267,'BC.115+040'!$B$13:$X$489,14,0)/1000</f>
        <v>#REF!</v>
      </c>
      <c r="I267" s="131" t="e">
        <f>VLOOKUP($A267,'BC.115+040'!$B$13:$X$489,15,0)/1000</f>
        <v>#REF!</v>
      </c>
      <c r="J267" s="131" t="e">
        <f>VLOOKUP($A267,'BC.115+040'!$B$13:$X$489,20,0)/1000</f>
        <v>#REF!</v>
      </c>
      <c r="K267" s="131" t="e">
        <f>VLOOKUP($A267,'BC.115+040'!$B$13:$X$489,21,0)/1000</f>
        <v>#REF!</v>
      </c>
      <c r="L267" s="129" t="e">
        <f t="shared" si="9"/>
        <v>#REF!</v>
      </c>
      <c r="M267" s="130" t="e">
        <f t="shared" si="10"/>
        <v>#REF!</v>
      </c>
      <c r="N267" s="129" t="e">
        <f t="shared" si="11"/>
        <v>#REF!</v>
      </c>
      <c r="O267" s="129"/>
    </row>
    <row r="268" spans="1:15">
      <c r="A268" s="67" t="e">
        <f>'BC.115+040'!B267</f>
        <v>#REF!</v>
      </c>
      <c r="B268" s="129">
        <f t="shared" si="12"/>
        <v>254</v>
      </c>
      <c r="C268" s="131" t="e">
        <f>'BC.115+040'!M267/1000</f>
        <v>#REF!</v>
      </c>
      <c r="D268" s="131" t="e">
        <f>'BC.115+040'!AA267</f>
        <v>#REF!</v>
      </c>
      <c r="E268" s="132" t="e">
        <f>'BC.115+040'!AB267</f>
        <v>#REF!</v>
      </c>
      <c r="F268" s="131" t="e">
        <f>VLOOKUP($A268,'BC.115+040'!$B$13:$X$489,8,0)/1000</f>
        <v>#REF!</v>
      </c>
      <c r="G268" s="131" t="e">
        <f>VLOOKUP($A268,'BC.115+040'!$B$13:$X$489,9,0)/1000</f>
        <v>#REF!</v>
      </c>
      <c r="H268" s="131" t="e">
        <f>VLOOKUP($A268,'BC.115+040'!$B$13:$X$489,14,0)/1000</f>
        <v>#REF!</v>
      </c>
      <c r="I268" s="131" t="e">
        <f>VLOOKUP($A268,'BC.115+040'!$B$13:$X$489,15,0)/1000</f>
        <v>#REF!</v>
      </c>
      <c r="J268" s="131" t="e">
        <f>VLOOKUP($A268,'BC.115+040'!$B$13:$X$489,20,0)/1000</f>
        <v>#REF!</v>
      </c>
      <c r="K268" s="131" t="e">
        <f>VLOOKUP($A268,'BC.115+040'!$B$13:$X$489,21,0)/1000</f>
        <v>#REF!</v>
      </c>
      <c r="L268" s="129" t="e">
        <f t="shared" si="9"/>
        <v>#REF!</v>
      </c>
      <c r="M268" s="130" t="e">
        <f t="shared" si="10"/>
        <v>#REF!</v>
      </c>
      <c r="N268" s="129" t="e">
        <f t="shared" si="11"/>
        <v>#REF!</v>
      </c>
      <c r="O268" s="129"/>
    </row>
    <row r="269" spans="1:15">
      <c r="A269" s="67" t="e">
        <f>'BC.115+040'!B268</f>
        <v>#REF!</v>
      </c>
      <c r="B269" s="129">
        <f t="shared" si="12"/>
        <v>255</v>
      </c>
      <c r="C269" s="131" t="e">
        <f>'BC.115+040'!M268/1000</f>
        <v>#REF!</v>
      </c>
      <c r="D269" s="131" t="e">
        <f>'BC.115+040'!AA268</f>
        <v>#REF!</v>
      </c>
      <c r="E269" s="132" t="e">
        <f>'BC.115+040'!AB268</f>
        <v>#REF!</v>
      </c>
      <c r="F269" s="131" t="e">
        <f>VLOOKUP($A269,'BC.115+040'!$B$13:$X$489,8,0)/1000</f>
        <v>#REF!</v>
      </c>
      <c r="G269" s="131" t="e">
        <f>VLOOKUP($A269,'BC.115+040'!$B$13:$X$489,9,0)/1000</f>
        <v>#REF!</v>
      </c>
      <c r="H269" s="131" t="e">
        <f>VLOOKUP($A269,'BC.115+040'!$B$13:$X$489,14,0)/1000</f>
        <v>#REF!</v>
      </c>
      <c r="I269" s="131" t="e">
        <f>VLOOKUP($A269,'BC.115+040'!$B$13:$X$489,15,0)/1000</f>
        <v>#REF!</v>
      </c>
      <c r="J269" s="131" t="e">
        <f>VLOOKUP($A269,'BC.115+040'!$B$13:$X$489,20,0)/1000</f>
        <v>#REF!</v>
      </c>
      <c r="K269" s="131" t="e">
        <f>VLOOKUP($A269,'BC.115+040'!$B$13:$X$489,21,0)/1000</f>
        <v>#REF!</v>
      </c>
      <c r="L269" s="129" t="e">
        <f t="shared" si="9"/>
        <v>#REF!</v>
      </c>
      <c r="M269" s="130" t="e">
        <f t="shared" si="10"/>
        <v>#REF!</v>
      </c>
      <c r="N269" s="129" t="e">
        <f t="shared" si="11"/>
        <v>#REF!</v>
      </c>
      <c r="O269" s="129"/>
    </row>
    <row r="270" spans="1:15">
      <c r="A270" s="67" t="e">
        <f>'BC.115+040'!B269</f>
        <v>#REF!</v>
      </c>
      <c r="B270" s="129">
        <f t="shared" si="12"/>
        <v>256</v>
      </c>
      <c r="C270" s="131" t="e">
        <f>'BC.115+040'!M269/1000</f>
        <v>#REF!</v>
      </c>
      <c r="D270" s="131" t="e">
        <f>'BC.115+040'!AA269</f>
        <v>#REF!</v>
      </c>
      <c r="E270" s="132" t="e">
        <f>'BC.115+040'!AB269</f>
        <v>#REF!</v>
      </c>
      <c r="F270" s="131" t="e">
        <f>VLOOKUP($A270,'BC.115+040'!$B$13:$X$489,8,0)/1000</f>
        <v>#REF!</v>
      </c>
      <c r="G270" s="131" t="e">
        <f>VLOOKUP($A270,'BC.115+040'!$B$13:$X$489,9,0)/1000</f>
        <v>#REF!</v>
      </c>
      <c r="H270" s="131" t="e">
        <f>VLOOKUP($A270,'BC.115+040'!$B$13:$X$489,14,0)/1000</f>
        <v>#REF!</v>
      </c>
      <c r="I270" s="131" t="e">
        <f>VLOOKUP($A270,'BC.115+040'!$B$13:$X$489,15,0)/1000</f>
        <v>#REF!</v>
      </c>
      <c r="J270" s="131" t="e">
        <f>VLOOKUP($A270,'BC.115+040'!$B$13:$X$489,20,0)/1000</f>
        <v>#REF!</v>
      </c>
      <c r="K270" s="131" t="e">
        <f>VLOOKUP($A270,'BC.115+040'!$B$13:$X$489,21,0)/1000</f>
        <v>#REF!</v>
      </c>
      <c r="L270" s="129" t="e">
        <f t="shared" ref="L270:L333" si="13">(G270-$G$14)*1000</f>
        <v>#REF!</v>
      </c>
      <c r="M270" s="130" t="e">
        <f t="shared" ref="M270:M333" si="14">(I270-$I$14)*1000</f>
        <v>#REF!</v>
      </c>
      <c r="N270" s="129" t="e">
        <f t="shared" si="11"/>
        <v>#REF!</v>
      </c>
      <c r="O270" s="129"/>
    </row>
    <row r="271" spans="1:15">
      <c r="A271" s="67" t="e">
        <f>'BC.115+040'!B270</f>
        <v>#REF!</v>
      </c>
      <c r="B271" s="129">
        <f t="shared" si="12"/>
        <v>257</v>
      </c>
      <c r="C271" s="131" t="e">
        <f>'BC.115+040'!M270/1000</f>
        <v>#REF!</v>
      </c>
      <c r="D271" s="131" t="e">
        <f>'BC.115+040'!AA270</f>
        <v>#REF!</v>
      </c>
      <c r="E271" s="132" t="e">
        <f>'BC.115+040'!AB270</f>
        <v>#REF!</v>
      </c>
      <c r="F271" s="131" t="e">
        <f>VLOOKUP($A271,'BC.115+040'!$B$13:$X$489,8,0)/1000</f>
        <v>#REF!</v>
      </c>
      <c r="G271" s="131" t="e">
        <f>VLOOKUP($A271,'BC.115+040'!$B$13:$X$489,9,0)/1000</f>
        <v>#REF!</v>
      </c>
      <c r="H271" s="131" t="e">
        <f>VLOOKUP($A271,'BC.115+040'!$B$13:$X$489,14,0)/1000</f>
        <v>#REF!</v>
      </c>
      <c r="I271" s="131" t="e">
        <f>VLOOKUP($A271,'BC.115+040'!$B$13:$X$489,15,0)/1000</f>
        <v>#REF!</v>
      </c>
      <c r="J271" s="131" t="e">
        <f>VLOOKUP($A271,'BC.115+040'!$B$13:$X$489,20,0)/1000</f>
        <v>#REF!</v>
      </c>
      <c r="K271" s="131" t="e">
        <f>VLOOKUP($A271,'BC.115+040'!$B$13:$X$489,21,0)/1000</f>
        <v>#REF!</v>
      </c>
      <c r="L271" s="129" t="e">
        <f t="shared" si="13"/>
        <v>#REF!</v>
      </c>
      <c r="M271" s="130" t="e">
        <f t="shared" si="14"/>
        <v>#REF!</v>
      </c>
      <c r="N271" s="129" t="e">
        <f t="shared" ref="N271:N334" si="15">(K271-$K$14)*1000</f>
        <v>#REF!</v>
      </c>
      <c r="O271" s="129"/>
    </row>
    <row r="272" spans="1:15">
      <c r="A272" s="67" t="e">
        <f>'BC.115+040'!B271</f>
        <v>#REF!</v>
      </c>
      <c r="B272" s="129">
        <f t="shared" si="12"/>
        <v>258</v>
      </c>
      <c r="C272" s="131" t="e">
        <f>'BC.115+040'!M271/1000</f>
        <v>#REF!</v>
      </c>
      <c r="D272" s="131" t="e">
        <f>'BC.115+040'!AA271</f>
        <v>#REF!</v>
      </c>
      <c r="E272" s="132" t="e">
        <f>'BC.115+040'!AB271</f>
        <v>#REF!</v>
      </c>
      <c r="F272" s="131" t="e">
        <f>VLOOKUP($A272,'BC.115+040'!$B$13:$X$489,8,0)/1000</f>
        <v>#REF!</v>
      </c>
      <c r="G272" s="131" t="e">
        <f>VLOOKUP($A272,'BC.115+040'!$B$13:$X$489,9,0)/1000</f>
        <v>#REF!</v>
      </c>
      <c r="H272" s="131" t="e">
        <f>VLOOKUP($A272,'BC.115+040'!$B$13:$X$489,14,0)/1000</f>
        <v>#REF!</v>
      </c>
      <c r="I272" s="131" t="e">
        <f>VLOOKUP($A272,'BC.115+040'!$B$13:$X$489,15,0)/1000</f>
        <v>#REF!</v>
      </c>
      <c r="J272" s="131" t="e">
        <f>VLOOKUP($A272,'BC.115+040'!$B$13:$X$489,20,0)/1000</f>
        <v>#REF!</v>
      </c>
      <c r="K272" s="131" t="e">
        <f>VLOOKUP($A272,'BC.115+040'!$B$13:$X$489,21,0)/1000</f>
        <v>#REF!</v>
      </c>
      <c r="L272" s="129" t="e">
        <f t="shared" si="13"/>
        <v>#REF!</v>
      </c>
      <c r="M272" s="130" t="e">
        <f t="shared" si="14"/>
        <v>#REF!</v>
      </c>
      <c r="N272" s="129" t="e">
        <f t="shared" si="15"/>
        <v>#REF!</v>
      </c>
      <c r="O272" s="129"/>
    </row>
    <row r="273" spans="1:15">
      <c r="A273" s="67" t="e">
        <f>'BC.115+040'!B272</f>
        <v>#REF!</v>
      </c>
      <c r="B273" s="129">
        <f t="shared" si="12"/>
        <v>259</v>
      </c>
      <c r="C273" s="131" t="e">
        <f>'BC.115+040'!M272/1000</f>
        <v>#REF!</v>
      </c>
      <c r="D273" s="131" t="e">
        <f>'BC.115+040'!AA272</f>
        <v>#REF!</v>
      </c>
      <c r="E273" s="132" t="e">
        <f>'BC.115+040'!AB272</f>
        <v>#REF!</v>
      </c>
      <c r="F273" s="131" t="e">
        <f>VLOOKUP($A273,'BC.115+040'!$B$13:$X$489,8,0)/1000</f>
        <v>#REF!</v>
      </c>
      <c r="G273" s="131" t="e">
        <f>VLOOKUP($A273,'BC.115+040'!$B$13:$X$489,9,0)/1000</f>
        <v>#REF!</v>
      </c>
      <c r="H273" s="131" t="e">
        <f>VLOOKUP($A273,'BC.115+040'!$B$13:$X$489,14,0)/1000</f>
        <v>#REF!</v>
      </c>
      <c r="I273" s="131" t="e">
        <f>VLOOKUP($A273,'BC.115+040'!$B$13:$X$489,15,0)/1000</f>
        <v>#REF!</v>
      </c>
      <c r="J273" s="131" t="e">
        <f>VLOOKUP($A273,'BC.115+040'!$B$13:$X$489,20,0)/1000</f>
        <v>#REF!</v>
      </c>
      <c r="K273" s="131" t="e">
        <f>VLOOKUP($A273,'BC.115+040'!$B$13:$X$489,21,0)/1000</f>
        <v>#REF!</v>
      </c>
      <c r="L273" s="129" t="e">
        <f t="shared" si="13"/>
        <v>#REF!</v>
      </c>
      <c r="M273" s="130" t="e">
        <f t="shared" si="14"/>
        <v>#REF!</v>
      </c>
      <c r="N273" s="129" t="e">
        <f t="shared" si="15"/>
        <v>#REF!</v>
      </c>
      <c r="O273" s="129"/>
    </row>
    <row r="274" spans="1:15">
      <c r="A274" s="67" t="e">
        <f>'BC.115+040'!B273</f>
        <v>#REF!</v>
      </c>
      <c r="B274" s="129">
        <f t="shared" si="12"/>
        <v>260</v>
      </c>
      <c r="C274" s="131" t="e">
        <f>'BC.115+040'!M273/1000</f>
        <v>#REF!</v>
      </c>
      <c r="D274" s="131" t="e">
        <f>'BC.115+040'!AA273</f>
        <v>#REF!</v>
      </c>
      <c r="E274" s="132" t="e">
        <f>'BC.115+040'!AB273</f>
        <v>#REF!</v>
      </c>
      <c r="F274" s="131" t="e">
        <f>VLOOKUP($A274,'BC.115+040'!$B$13:$X$489,8,0)/1000</f>
        <v>#REF!</v>
      </c>
      <c r="G274" s="131" t="e">
        <f>VLOOKUP($A274,'BC.115+040'!$B$13:$X$489,9,0)/1000</f>
        <v>#REF!</v>
      </c>
      <c r="H274" s="131" t="e">
        <f>VLOOKUP($A274,'BC.115+040'!$B$13:$X$489,14,0)/1000</f>
        <v>#REF!</v>
      </c>
      <c r="I274" s="131" t="e">
        <f>VLOOKUP($A274,'BC.115+040'!$B$13:$X$489,15,0)/1000</f>
        <v>#REF!</v>
      </c>
      <c r="J274" s="131" t="e">
        <f>VLOOKUP($A274,'BC.115+040'!$B$13:$X$489,20,0)/1000</f>
        <v>#REF!</v>
      </c>
      <c r="K274" s="131" t="e">
        <f>VLOOKUP($A274,'BC.115+040'!$B$13:$X$489,21,0)/1000</f>
        <v>#REF!</v>
      </c>
      <c r="L274" s="129" t="e">
        <f t="shared" si="13"/>
        <v>#REF!</v>
      </c>
      <c r="M274" s="130" t="e">
        <f t="shared" si="14"/>
        <v>#REF!</v>
      </c>
      <c r="N274" s="129" t="e">
        <f t="shared" si="15"/>
        <v>#REF!</v>
      </c>
      <c r="O274" s="129"/>
    </row>
    <row r="275" spans="1:15">
      <c r="A275" s="67" t="e">
        <f>'BC.115+040'!B274</f>
        <v>#REF!</v>
      </c>
      <c r="B275" s="129">
        <f t="shared" si="12"/>
        <v>261</v>
      </c>
      <c r="C275" s="131" t="e">
        <f>'BC.115+040'!M274/1000</f>
        <v>#REF!</v>
      </c>
      <c r="D275" s="131" t="e">
        <f>'BC.115+040'!AA274</f>
        <v>#REF!</v>
      </c>
      <c r="E275" s="132" t="e">
        <f>'BC.115+040'!AB274</f>
        <v>#REF!</v>
      </c>
      <c r="F275" s="131" t="e">
        <f>VLOOKUP($A275,'BC.115+040'!$B$13:$X$489,8,0)/1000</f>
        <v>#REF!</v>
      </c>
      <c r="G275" s="131" t="e">
        <f>VLOOKUP($A275,'BC.115+040'!$B$13:$X$489,9,0)/1000</f>
        <v>#REF!</v>
      </c>
      <c r="H275" s="131" t="e">
        <f>VLOOKUP($A275,'BC.115+040'!$B$13:$X$489,14,0)/1000</f>
        <v>#REF!</v>
      </c>
      <c r="I275" s="131" t="e">
        <f>VLOOKUP($A275,'BC.115+040'!$B$13:$X$489,15,0)/1000</f>
        <v>#REF!</v>
      </c>
      <c r="J275" s="131" t="e">
        <f>VLOOKUP($A275,'BC.115+040'!$B$13:$X$489,20,0)/1000</f>
        <v>#REF!</v>
      </c>
      <c r="K275" s="131" t="e">
        <f>VLOOKUP($A275,'BC.115+040'!$B$13:$X$489,21,0)/1000</f>
        <v>#REF!</v>
      </c>
      <c r="L275" s="129" t="e">
        <f t="shared" si="13"/>
        <v>#REF!</v>
      </c>
      <c r="M275" s="130" t="e">
        <f t="shared" si="14"/>
        <v>#REF!</v>
      </c>
      <c r="N275" s="129" t="e">
        <f t="shared" si="15"/>
        <v>#REF!</v>
      </c>
      <c r="O275" s="129"/>
    </row>
    <row r="276" spans="1:15">
      <c r="A276" s="67" t="e">
        <f>'BC.115+040'!B275</f>
        <v>#REF!</v>
      </c>
      <c r="B276" s="129">
        <f t="shared" si="12"/>
        <v>262</v>
      </c>
      <c r="C276" s="131" t="e">
        <f>'BC.115+040'!M275/1000</f>
        <v>#REF!</v>
      </c>
      <c r="D276" s="131" t="e">
        <f>'BC.115+040'!AA275</f>
        <v>#REF!</v>
      </c>
      <c r="E276" s="132" t="e">
        <f>'BC.115+040'!AB275</f>
        <v>#REF!</v>
      </c>
      <c r="F276" s="131" t="e">
        <f>VLOOKUP($A276,'BC.115+040'!$B$13:$X$489,8,0)/1000</f>
        <v>#REF!</v>
      </c>
      <c r="G276" s="131" t="e">
        <f>VLOOKUP($A276,'BC.115+040'!$B$13:$X$489,9,0)/1000</f>
        <v>#REF!</v>
      </c>
      <c r="H276" s="131" t="e">
        <f>VLOOKUP($A276,'BC.115+040'!$B$13:$X$489,14,0)/1000</f>
        <v>#REF!</v>
      </c>
      <c r="I276" s="131" t="e">
        <f>VLOOKUP($A276,'BC.115+040'!$B$13:$X$489,15,0)/1000</f>
        <v>#REF!</v>
      </c>
      <c r="J276" s="131" t="e">
        <f>VLOOKUP($A276,'BC.115+040'!$B$13:$X$489,20,0)/1000</f>
        <v>#REF!</v>
      </c>
      <c r="K276" s="131" t="e">
        <f>VLOOKUP($A276,'BC.115+040'!$B$13:$X$489,21,0)/1000</f>
        <v>#REF!</v>
      </c>
      <c r="L276" s="129" t="e">
        <f t="shared" si="13"/>
        <v>#REF!</v>
      </c>
      <c r="M276" s="130" t="e">
        <f t="shared" si="14"/>
        <v>#REF!</v>
      </c>
      <c r="N276" s="129" t="e">
        <f t="shared" si="15"/>
        <v>#REF!</v>
      </c>
      <c r="O276" s="129"/>
    </row>
    <row r="277" spans="1:15">
      <c r="A277" s="67" t="e">
        <f>'BC.115+040'!B276</f>
        <v>#REF!</v>
      </c>
      <c r="B277" s="129">
        <f t="shared" si="12"/>
        <v>263</v>
      </c>
      <c r="C277" s="131" t="e">
        <f>'BC.115+040'!M276/1000</f>
        <v>#REF!</v>
      </c>
      <c r="D277" s="131" t="e">
        <f>'BC.115+040'!AA276</f>
        <v>#REF!</v>
      </c>
      <c r="E277" s="132" t="e">
        <f>'BC.115+040'!AB276</f>
        <v>#REF!</v>
      </c>
      <c r="F277" s="131" t="e">
        <f>VLOOKUP($A277,'BC.115+040'!$B$13:$X$489,8,0)/1000</f>
        <v>#REF!</v>
      </c>
      <c r="G277" s="131" t="e">
        <f>VLOOKUP($A277,'BC.115+040'!$B$13:$X$489,9,0)/1000</f>
        <v>#REF!</v>
      </c>
      <c r="H277" s="131" t="e">
        <f>VLOOKUP($A277,'BC.115+040'!$B$13:$X$489,14,0)/1000</f>
        <v>#REF!</v>
      </c>
      <c r="I277" s="131" t="e">
        <f>VLOOKUP($A277,'BC.115+040'!$B$13:$X$489,15,0)/1000</f>
        <v>#REF!</v>
      </c>
      <c r="J277" s="131" t="e">
        <f>VLOOKUP($A277,'BC.115+040'!$B$13:$X$489,20,0)/1000</f>
        <v>#REF!</v>
      </c>
      <c r="K277" s="131" t="e">
        <f>VLOOKUP($A277,'BC.115+040'!$B$13:$X$489,21,0)/1000</f>
        <v>#REF!</v>
      </c>
      <c r="L277" s="129" t="e">
        <f t="shared" si="13"/>
        <v>#REF!</v>
      </c>
      <c r="M277" s="130" t="e">
        <f t="shared" si="14"/>
        <v>#REF!</v>
      </c>
      <c r="N277" s="129" t="e">
        <f t="shared" si="15"/>
        <v>#REF!</v>
      </c>
      <c r="O277" s="129"/>
    </row>
    <row r="278" spans="1:15">
      <c r="A278" s="67" t="e">
        <f>'BC.115+040'!B277</f>
        <v>#REF!</v>
      </c>
      <c r="B278" s="129">
        <f t="shared" si="12"/>
        <v>264</v>
      </c>
      <c r="C278" s="131" t="e">
        <f>'BC.115+040'!M277/1000</f>
        <v>#REF!</v>
      </c>
      <c r="D278" s="131" t="e">
        <f>'BC.115+040'!AA277</f>
        <v>#REF!</v>
      </c>
      <c r="E278" s="132" t="e">
        <f>'BC.115+040'!AB277</f>
        <v>#REF!</v>
      </c>
      <c r="F278" s="131" t="e">
        <f>VLOOKUP($A278,'BC.115+040'!$B$13:$X$489,8,0)/1000</f>
        <v>#REF!</v>
      </c>
      <c r="G278" s="131" t="e">
        <f>VLOOKUP($A278,'BC.115+040'!$B$13:$X$489,9,0)/1000</f>
        <v>#REF!</v>
      </c>
      <c r="H278" s="131" t="e">
        <f>VLOOKUP($A278,'BC.115+040'!$B$13:$X$489,14,0)/1000</f>
        <v>#REF!</v>
      </c>
      <c r="I278" s="131" t="e">
        <f>VLOOKUP($A278,'BC.115+040'!$B$13:$X$489,15,0)/1000</f>
        <v>#REF!</v>
      </c>
      <c r="J278" s="131" t="e">
        <f>VLOOKUP($A278,'BC.115+040'!$B$13:$X$489,20,0)/1000</f>
        <v>#REF!</v>
      </c>
      <c r="K278" s="131" t="e">
        <f>VLOOKUP($A278,'BC.115+040'!$B$13:$X$489,21,0)/1000</f>
        <v>#REF!</v>
      </c>
      <c r="L278" s="129" t="e">
        <f t="shared" si="13"/>
        <v>#REF!</v>
      </c>
      <c r="M278" s="130" t="e">
        <f t="shared" si="14"/>
        <v>#REF!</v>
      </c>
      <c r="N278" s="129" t="e">
        <f t="shared" si="15"/>
        <v>#REF!</v>
      </c>
      <c r="O278" s="129"/>
    </row>
    <row r="279" spans="1:15">
      <c r="A279" s="67" t="e">
        <f>'BC.115+040'!B278</f>
        <v>#REF!</v>
      </c>
      <c r="B279" s="129">
        <f t="shared" si="12"/>
        <v>265</v>
      </c>
      <c r="C279" s="131" t="e">
        <f>'BC.115+040'!M278/1000</f>
        <v>#REF!</v>
      </c>
      <c r="D279" s="131" t="e">
        <f>'BC.115+040'!AA278</f>
        <v>#REF!</v>
      </c>
      <c r="E279" s="132" t="e">
        <f>'BC.115+040'!AB278</f>
        <v>#REF!</v>
      </c>
      <c r="F279" s="131" t="e">
        <f>VLOOKUP($A279,'BC.115+040'!$B$13:$X$489,8,0)/1000</f>
        <v>#REF!</v>
      </c>
      <c r="G279" s="131" t="e">
        <f>VLOOKUP($A279,'BC.115+040'!$B$13:$X$489,9,0)/1000</f>
        <v>#REF!</v>
      </c>
      <c r="H279" s="131" t="e">
        <f>VLOOKUP($A279,'BC.115+040'!$B$13:$X$489,14,0)/1000</f>
        <v>#REF!</v>
      </c>
      <c r="I279" s="131" t="e">
        <f>VLOOKUP($A279,'BC.115+040'!$B$13:$X$489,15,0)/1000</f>
        <v>#REF!</v>
      </c>
      <c r="J279" s="131" t="e">
        <f>VLOOKUP($A279,'BC.115+040'!$B$13:$X$489,20,0)/1000</f>
        <v>#REF!</v>
      </c>
      <c r="K279" s="131" t="e">
        <f>VLOOKUP($A279,'BC.115+040'!$B$13:$X$489,21,0)/1000</f>
        <v>#REF!</v>
      </c>
      <c r="L279" s="129" t="e">
        <f t="shared" si="13"/>
        <v>#REF!</v>
      </c>
      <c r="M279" s="130" t="e">
        <f t="shared" si="14"/>
        <v>#REF!</v>
      </c>
      <c r="N279" s="129" t="e">
        <f t="shared" si="15"/>
        <v>#REF!</v>
      </c>
      <c r="O279" s="129"/>
    </row>
    <row r="280" spans="1:15">
      <c r="A280" s="67" t="e">
        <f>'BC.115+040'!B279</f>
        <v>#REF!</v>
      </c>
      <c r="B280" s="129">
        <f t="shared" si="12"/>
        <v>266</v>
      </c>
      <c r="C280" s="131" t="e">
        <f>'BC.115+040'!M279/1000</f>
        <v>#REF!</v>
      </c>
      <c r="D280" s="131" t="e">
        <f>'BC.115+040'!AA279</f>
        <v>#REF!</v>
      </c>
      <c r="E280" s="132" t="e">
        <f>'BC.115+040'!AB279</f>
        <v>#REF!</v>
      </c>
      <c r="F280" s="131" t="e">
        <f>VLOOKUP($A280,'BC.115+040'!$B$13:$X$489,8,0)/1000</f>
        <v>#REF!</v>
      </c>
      <c r="G280" s="131" t="e">
        <f>VLOOKUP($A280,'BC.115+040'!$B$13:$X$489,9,0)/1000</f>
        <v>#REF!</v>
      </c>
      <c r="H280" s="131" t="e">
        <f>VLOOKUP($A280,'BC.115+040'!$B$13:$X$489,14,0)/1000</f>
        <v>#REF!</v>
      </c>
      <c r="I280" s="131" t="e">
        <f>VLOOKUP($A280,'BC.115+040'!$B$13:$X$489,15,0)/1000</f>
        <v>#REF!</v>
      </c>
      <c r="J280" s="131" t="e">
        <f>VLOOKUP($A280,'BC.115+040'!$B$13:$X$489,20,0)/1000</f>
        <v>#REF!</v>
      </c>
      <c r="K280" s="131" t="e">
        <f>VLOOKUP($A280,'BC.115+040'!$B$13:$X$489,21,0)/1000</f>
        <v>#REF!</v>
      </c>
      <c r="L280" s="129" t="e">
        <f t="shared" si="13"/>
        <v>#REF!</v>
      </c>
      <c r="M280" s="130" t="e">
        <f t="shared" si="14"/>
        <v>#REF!</v>
      </c>
      <c r="N280" s="129" t="e">
        <f t="shared" si="15"/>
        <v>#REF!</v>
      </c>
      <c r="O280" s="129"/>
    </row>
    <row r="281" spans="1:15">
      <c r="A281" s="67" t="e">
        <f>'BC.115+040'!B280</f>
        <v>#REF!</v>
      </c>
      <c r="B281" s="129">
        <f t="shared" si="12"/>
        <v>267</v>
      </c>
      <c r="C281" s="131" t="e">
        <f>'BC.115+040'!M280/1000</f>
        <v>#REF!</v>
      </c>
      <c r="D281" s="131" t="e">
        <f>'BC.115+040'!AA280</f>
        <v>#REF!</v>
      </c>
      <c r="E281" s="132" t="e">
        <f>'BC.115+040'!AB280</f>
        <v>#REF!</v>
      </c>
      <c r="F281" s="131" t="e">
        <f>VLOOKUP($A281,'BC.115+040'!$B$13:$X$489,8,0)/1000</f>
        <v>#REF!</v>
      </c>
      <c r="G281" s="131" t="e">
        <f>VLOOKUP($A281,'BC.115+040'!$B$13:$X$489,9,0)/1000</f>
        <v>#REF!</v>
      </c>
      <c r="H281" s="131" t="e">
        <f>VLOOKUP($A281,'BC.115+040'!$B$13:$X$489,14,0)/1000</f>
        <v>#REF!</v>
      </c>
      <c r="I281" s="131" t="e">
        <f>VLOOKUP($A281,'BC.115+040'!$B$13:$X$489,15,0)/1000</f>
        <v>#REF!</v>
      </c>
      <c r="J281" s="131" t="e">
        <f>VLOOKUP($A281,'BC.115+040'!$B$13:$X$489,20,0)/1000</f>
        <v>#REF!</v>
      </c>
      <c r="K281" s="131" t="e">
        <f>VLOOKUP($A281,'BC.115+040'!$B$13:$X$489,21,0)/1000</f>
        <v>#REF!</v>
      </c>
      <c r="L281" s="129" t="e">
        <f t="shared" si="13"/>
        <v>#REF!</v>
      </c>
      <c r="M281" s="130" t="e">
        <f t="shared" si="14"/>
        <v>#REF!</v>
      </c>
      <c r="N281" s="129" t="e">
        <f t="shared" si="15"/>
        <v>#REF!</v>
      </c>
      <c r="O281" s="129"/>
    </row>
    <row r="282" spans="1:15">
      <c r="A282" s="67" t="e">
        <f>'BC.115+040'!B281</f>
        <v>#REF!</v>
      </c>
      <c r="B282" s="129">
        <f t="shared" si="12"/>
        <v>268</v>
      </c>
      <c r="C282" s="131" t="e">
        <f>'BC.115+040'!M281/1000</f>
        <v>#REF!</v>
      </c>
      <c r="D282" s="131" t="e">
        <f>'BC.115+040'!AA281</f>
        <v>#REF!</v>
      </c>
      <c r="E282" s="132" t="e">
        <f>'BC.115+040'!AB281</f>
        <v>#REF!</v>
      </c>
      <c r="F282" s="131" t="e">
        <f>VLOOKUP($A282,'BC.115+040'!$B$13:$X$489,8,0)/1000</f>
        <v>#REF!</v>
      </c>
      <c r="G282" s="131" t="e">
        <f>VLOOKUP($A282,'BC.115+040'!$B$13:$X$489,9,0)/1000</f>
        <v>#REF!</v>
      </c>
      <c r="H282" s="131" t="e">
        <f>VLOOKUP($A282,'BC.115+040'!$B$13:$X$489,14,0)/1000</f>
        <v>#REF!</v>
      </c>
      <c r="I282" s="131" t="e">
        <f>VLOOKUP($A282,'BC.115+040'!$B$13:$X$489,15,0)/1000</f>
        <v>#REF!</v>
      </c>
      <c r="J282" s="131" t="e">
        <f>VLOOKUP($A282,'BC.115+040'!$B$13:$X$489,20,0)/1000</f>
        <v>#REF!</v>
      </c>
      <c r="K282" s="131" t="e">
        <f>VLOOKUP($A282,'BC.115+040'!$B$13:$X$489,21,0)/1000</f>
        <v>#REF!</v>
      </c>
      <c r="L282" s="129" t="e">
        <f t="shared" si="13"/>
        <v>#REF!</v>
      </c>
      <c r="M282" s="130" t="e">
        <f t="shared" si="14"/>
        <v>#REF!</v>
      </c>
      <c r="N282" s="129" t="e">
        <f t="shared" si="15"/>
        <v>#REF!</v>
      </c>
      <c r="O282" s="129"/>
    </row>
    <row r="283" spans="1:15">
      <c r="A283" s="67" t="e">
        <f>'BC.115+040'!B282</f>
        <v>#REF!</v>
      </c>
      <c r="B283" s="129">
        <f t="shared" si="12"/>
        <v>269</v>
      </c>
      <c r="C283" s="131" t="e">
        <f>'BC.115+040'!M282/1000</f>
        <v>#REF!</v>
      </c>
      <c r="D283" s="131" t="e">
        <f>'BC.115+040'!AA282</f>
        <v>#REF!</v>
      </c>
      <c r="E283" s="132" t="e">
        <f>'BC.115+040'!AB282</f>
        <v>#REF!</v>
      </c>
      <c r="F283" s="131" t="e">
        <f>VLOOKUP($A283,'BC.115+040'!$B$13:$X$489,8,0)/1000</f>
        <v>#REF!</v>
      </c>
      <c r="G283" s="131" t="e">
        <f>VLOOKUP($A283,'BC.115+040'!$B$13:$X$489,9,0)/1000</f>
        <v>#REF!</v>
      </c>
      <c r="H283" s="131" t="e">
        <f>VLOOKUP($A283,'BC.115+040'!$B$13:$X$489,14,0)/1000</f>
        <v>#REF!</v>
      </c>
      <c r="I283" s="131" t="e">
        <f>VLOOKUP($A283,'BC.115+040'!$B$13:$X$489,15,0)/1000</f>
        <v>#REF!</v>
      </c>
      <c r="J283" s="131" t="e">
        <f>VLOOKUP($A283,'BC.115+040'!$B$13:$X$489,20,0)/1000</f>
        <v>#REF!</v>
      </c>
      <c r="K283" s="131" t="e">
        <f>VLOOKUP($A283,'BC.115+040'!$B$13:$X$489,21,0)/1000</f>
        <v>#REF!</v>
      </c>
      <c r="L283" s="129" t="e">
        <f t="shared" si="13"/>
        <v>#REF!</v>
      </c>
      <c r="M283" s="130" t="e">
        <f t="shared" si="14"/>
        <v>#REF!</v>
      </c>
      <c r="N283" s="129" t="e">
        <f t="shared" si="15"/>
        <v>#REF!</v>
      </c>
      <c r="O283" s="129"/>
    </row>
    <row r="284" spans="1:15">
      <c r="A284" s="67" t="e">
        <f>'BC.115+040'!B283</f>
        <v>#REF!</v>
      </c>
      <c r="B284" s="129">
        <f t="shared" si="12"/>
        <v>270</v>
      </c>
      <c r="C284" s="131" t="e">
        <f>'BC.115+040'!M283/1000</f>
        <v>#REF!</v>
      </c>
      <c r="D284" s="131" t="e">
        <f>'BC.115+040'!AA283</f>
        <v>#REF!</v>
      </c>
      <c r="E284" s="132" t="e">
        <f>'BC.115+040'!AB283</f>
        <v>#REF!</v>
      </c>
      <c r="F284" s="131" t="e">
        <f>VLOOKUP($A284,'BC.115+040'!$B$13:$X$489,8,0)/1000</f>
        <v>#REF!</v>
      </c>
      <c r="G284" s="131" t="e">
        <f>VLOOKUP($A284,'BC.115+040'!$B$13:$X$489,9,0)/1000</f>
        <v>#REF!</v>
      </c>
      <c r="H284" s="131" t="e">
        <f>VLOOKUP($A284,'BC.115+040'!$B$13:$X$489,14,0)/1000</f>
        <v>#REF!</v>
      </c>
      <c r="I284" s="131" t="e">
        <f>VLOOKUP($A284,'BC.115+040'!$B$13:$X$489,15,0)/1000</f>
        <v>#REF!</v>
      </c>
      <c r="J284" s="131" t="e">
        <f>VLOOKUP($A284,'BC.115+040'!$B$13:$X$489,20,0)/1000</f>
        <v>#REF!</v>
      </c>
      <c r="K284" s="131" t="e">
        <f>VLOOKUP($A284,'BC.115+040'!$B$13:$X$489,21,0)/1000</f>
        <v>#REF!</v>
      </c>
      <c r="L284" s="129" t="e">
        <f t="shared" si="13"/>
        <v>#REF!</v>
      </c>
      <c r="M284" s="130" t="e">
        <f t="shared" si="14"/>
        <v>#REF!</v>
      </c>
      <c r="N284" s="129" t="e">
        <f t="shared" si="15"/>
        <v>#REF!</v>
      </c>
      <c r="O284" s="129"/>
    </row>
    <row r="285" spans="1:15">
      <c r="A285" s="67" t="e">
        <f>'BC.115+040'!B284</f>
        <v>#REF!</v>
      </c>
      <c r="B285" s="129">
        <f t="shared" si="12"/>
        <v>271</v>
      </c>
      <c r="C285" s="131" t="e">
        <f>'BC.115+040'!M284/1000</f>
        <v>#REF!</v>
      </c>
      <c r="D285" s="131" t="e">
        <f>'BC.115+040'!AA284</f>
        <v>#REF!</v>
      </c>
      <c r="E285" s="132" t="e">
        <f>'BC.115+040'!AB284</f>
        <v>#REF!</v>
      </c>
      <c r="F285" s="131" t="e">
        <f>VLOOKUP($A285,'BC.115+040'!$B$13:$X$489,8,0)/1000</f>
        <v>#REF!</v>
      </c>
      <c r="G285" s="131" t="e">
        <f>VLOOKUP($A285,'BC.115+040'!$B$13:$X$489,9,0)/1000</f>
        <v>#REF!</v>
      </c>
      <c r="H285" s="131" t="e">
        <f>VLOOKUP($A285,'BC.115+040'!$B$13:$X$489,14,0)/1000</f>
        <v>#REF!</v>
      </c>
      <c r="I285" s="131" t="e">
        <f>VLOOKUP($A285,'BC.115+040'!$B$13:$X$489,15,0)/1000</f>
        <v>#REF!</v>
      </c>
      <c r="J285" s="131" t="e">
        <f>VLOOKUP($A285,'BC.115+040'!$B$13:$X$489,20,0)/1000</f>
        <v>#REF!</v>
      </c>
      <c r="K285" s="131" t="e">
        <f>VLOOKUP($A285,'BC.115+040'!$B$13:$X$489,21,0)/1000</f>
        <v>#REF!</v>
      </c>
      <c r="L285" s="129" t="e">
        <f t="shared" si="13"/>
        <v>#REF!</v>
      </c>
      <c r="M285" s="130" t="e">
        <f t="shared" si="14"/>
        <v>#REF!</v>
      </c>
      <c r="N285" s="129" t="e">
        <f t="shared" si="15"/>
        <v>#REF!</v>
      </c>
      <c r="O285" s="129"/>
    </row>
    <row r="286" spans="1:15">
      <c r="A286" s="67" t="e">
        <f>'BC.115+040'!B285</f>
        <v>#REF!</v>
      </c>
      <c r="B286" s="129">
        <f t="shared" si="12"/>
        <v>272</v>
      </c>
      <c r="C286" s="131" t="e">
        <f>'BC.115+040'!M285/1000</f>
        <v>#REF!</v>
      </c>
      <c r="D286" s="131" t="e">
        <f>'BC.115+040'!AA285</f>
        <v>#REF!</v>
      </c>
      <c r="E286" s="132" t="e">
        <f>'BC.115+040'!AB285</f>
        <v>#REF!</v>
      </c>
      <c r="F286" s="131" t="e">
        <f>VLOOKUP($A286,'BC.115+040'!$B$13:$X$489,8,0)/1000</f>
        <v>#REF!</v>
      </c>
      <c r="G286" s="131" t="e">
        <f>VLOOKUP($A286,'BC.115+040'!$B$13:$X$489,9,0)/1000</f>
        <v>#REF!</v>
      </c>
      <c r="H286" s="131" t="e">
        <f>VLOOKUP($A286,'BC.115+040'!$B$13:$X$489,14,0)/1000</f>
        <v>#REF!</v>
      </c>
      <c r="I286" s="131" t="e">
        <f>VLOOKUP($A286,'BC.115+040'!$B$13:$X$489,15,0)/1000</f>
        <v>#REF!</v>
      </c>
      <c r="J286" s="131" t="e">
        <f>VLOOKUP($A286,'BC.115+040'!$B$13:$X$489,20,0)/1000</f>
        <v>#REF!</v>
      </c>
      <c r="K286" s="131" t="e">
        <f>VLOOKUP($A286,'BC.115+040'!$B$13:$X$489,21,0)/1000</f>
        <v>#REF!</v>
      </c>
      <c r="L286" s="129" t="e">
        <f t="shared" si="13"/>
        <v>#REF!</v>
      </c>
      <c r="M286" s="130" t="e">
        <f t="shared" si="14"/>
        <v>#REF!</v>
      </c>
      <c r="N286" s="129" t="e">
        <f t="shared" si="15"/>
        <v>#REF!</v>
      </c>
      <c r="O286" s="129"/>
    </row>
    <row r="287" spans="1:15">
      <c r="A287" s="67" t="e">
        <f>'BC.115+040'!B286</f>
        <v>#REF!</v>
      </c>
      <c r="B287" s="129">
        <f t="shared" si="12"/>
        <v>273</v>
      </c>
      <c r="C287" s="131" t="e">
        <f>'BC.115+040'!M286/1000</f>
        <v>#REF!</v>
      </c>
      <c r="D287" s="131" t="e">
        <f>'BC.115+040'!AA286</f>
        <v>#REF!</v>
      </c>
      <c r="E287" s="132" t="e">
        <f>'BC.115+040'!AB286</f>
        <v>#REF!</v>
      </c>
      <c r="F287" s="131" t="e">
        <f>VLOOKUP($A287,'BC.115+040'!$B$13:$X$489,8,0)/1000</f>
        <v>#REF!</v>
      </c>
      <c r="G287" s="131" t="e">
        <f>VLOOKUP($A287,'BC.115+040'!$B$13:$X$489,9,0)/1000</f>
        <v>#REF!</v>
      </c>
      <c r="H287" s="131" t="e">
        <f>VLOOKUP($A287,'BC.115+040'!$B$13:$X$489,14,0)/1000</f>
        <v>#REF!</v>
      </c>
      <c r="I287" s="131" t="e">
        <f>VLOOKUP($A287,'BC.115+040'!$B$13:$X$489,15,0)/1000</f>
        <v>#REF!</v>
      </c>
      <c r="J287" s="131" t="e">
        <f>VLOOKUP($A287,'BC.115+040'!$B$13:$X$489,20,0)/1000</f>
        <v>#REF!</v>
      </c>
      <c r="K287" s="131" t="e">
        <f>VLOOKUP($A287,'BC.115+040'!$B$13:$X$489,21,0)/1000</f>
        <v>#REF!</v>
      </c>
      <c r="L287" s="129" t="e">
        <f t="shared" si="13"/>
        <v>#REF!</v>
      </c>
      <c r="M287" s="130" t="e">
        <f t="shared" si="14"/>
        <v>#REF!</v>
      </c>
      <c r="N287" s="129" t="e">
        <f t="shared" si="15"/>
        <v>#REF!</v>
      </c>
      <c r="O287" s="129"/>
    </row>
    <row r="288" spans="1:15">
      <c r="A288" s="67" t="e">
        <f>'BC.115+040'!B287</f>
        <v>#REF!</v>
      </c>
      <c r="B288" s="129">
        <f t="shared" si="12"/>
        <v>274</v>
      </c>
      <c r="C288" s="131" t="e">
        <f>'BC.115+040'!M287/1000</f>
        <v>#REF!</v>
      </c>
      <c r="D288" s="131" t="e">
        <f>'BC.115+040'!AA287</f>
        <v>#REF!</v>
      </c>
      <c r="E288" s="132" t="e">
        <f>'BC.115+040'!AB287</f>
        <v>#REF!</v>
      </c>
      <c r="F288" s="131" t="e">
        <f>VLOOKUP($A288,'BC.115+040'!$B$13:$X$489,8,0)/1000</f>
        <v>#REF!</v>
      </c>
      <c r="G288" s="131" t="e">
        <f>VLOOKUP($A288,'BC.115+040'!$B$13:$X$489,9,0)/1000</f>
        <v>#REF!</v>
      </c>
      <c r="H288" s="131" t="e">
        <f>VLOOKUP($A288,'BC.115+040'!$B$13:$X$489,14,0)/1000</f>
        <v>#REF!</v>
      </c>
      <c r="I288" s="131" t="e">
        <f>VLOOKUP($A288,'BC.115+040'!$B$13:$X$489,15,0)/1000</f>
        <v>#REF!</v>
      </c>
      <c r="J288" s="131" t="e">
        <f>VLOOKUP($A288,'BC.115+040'!$B$13:$X$489,20,0)/1000</f>
        <v>#REF!</v>
      </c>
      <c r="K288" s="131" t="e">
        <f>VLOOKUP($A288,'BC.115+040'!$B$13:$X$489,21,0)/1000</f>
        <v>#REF!</v>
      </c>
      <c r="L288" s="129" t="e">
        <f t="shared" si="13"/>
        <v>#REF!</v>
      </c>
      <c r="M288" s="130" t="e">
        <f t="shared" si="14"/>
        <v>#REF!</v>
      </c>
      <c r="N288" s="129" t="e">
        <f t="shared" si="15"/>
        <v>#REF!</v>
      </c>
      <c r="O288" s="129"/>
    </row>
    <row r="289" spans="1:15">
      <c r="A289" s="67" t="e">
        <f>'BC.115+040'!B288</f>
        <v>#REF!</v>
      </c>
      <c r="B289" s="129">
        <f t="shared" si="12"/>
        <v>275</v>
      </c>
      <c r="C289" s="131" t="e">
        <f>'BC.115+040'!M288/1000</f>
        <v>#REF!</v>
      </c>
      <c r="D289" s="131" t="e">
        <f>'BC.115+040'!AA288</f>
        <v>#REF!</v>
      </c>
      <c r="E289" s="132" t="e">
        <f>'BC.115+040'!AB288</f>
        <v>#REF!</v>
      </c>
      <c r="F289" s="131" t="e">
        <f>VLOOKUP($A289,'BC.115+040'!$B$13:$X$489,8,0)/1000</f>
        <v>#REF!</v>
      </c>
      <c r="G289" s="131" t="e">
        <f>VLOOKUP($A289,'BC.115+040'!$B$13:$X$489,9,0)/1000</f>
        <v>#REF!</v>
      </c>
      <c r="H289" s="131" t="e">
        <f>VLOOKUP($A289,'BC.115+040'!$B$13:$X$489,14,0)/1000</f>
        <v>#REF!</v>
      </c>
      <c r="I289" s="131" t="e">
        <f>VLOOKUP($A289,'BC.115+040'!$B$13:$X$489,15,0)/1000</f>
        <v>#REF!</v>
      </c>
      <c r="J289" s="131" t="e">
        <f>VLOOKUP($A289,'BC.115+040'!$B$13:$X$489,20,0)/1000</f>
        <v>#REF!</v>
      </c>
      <c r="K289" s="131" t="e">
        <f>VLOOKUP($A289,'BC.115+040'!$B$13:$X$489,21,0)/1000</f>
        <v>#REF!</v>
      </c>
      <c r="L289" s="129" t="e">
        <f t="shared" si="13"/>
        <v>#REF!</v>
      </c>
      <c r="M289" s="130" t="e">
        <f t="shared" si="14"/>
        <v>#REF!</v>
      </c>
      <c r="N289" s="129" t="e">
        <f t="shared" si="15"/>
        <v>#REF!</v>
      </c>
      <c r="O289" s="129"/>
    </row>
    <row r="290" spans="1:15">
      <c r="A290" s="67" t="e">
        <f>'BC.115+040'!B289</f>
        <v>#REF!</v>
      </c>
      <c r="B290" s="129">
        <f t="shared" si="12"/>
        <v>276</v>
      </c>
      <c r="C290" s="131" t="e">
        <f>'BC.115+040'!M289/1000</f>
        <v>#REF!</v>
      </c>
      <c r="D290" s="131" t="e">
        <f>'BC.115+040'!AA289</f>
        <v>#REF!</v>
      </c>
      <c r="E290" s="132" t="e">
        <f>'BC.115+040'!AB289</f>
        <v>#REF!</v>
      </c>
      <c r="F290" s="131" t="e">
        <f>VLOOKUP($A290,'BC.115+040'!$B$13:$X$489,8,0)/1000</f>
        <v>#REF!</v>
      </c>
      <c r="G290" s="131" t="e">
        <f>VLOOKUP($A290,'BC.115+040'!$B$13:$X$489,9,0)/1000</f>
        <v>#REF!</v>
      </c>
      <c r="H290" s="131" t="e">
        <f>VLOOKUP($A290,'BC.115+040'!$B$13:$X$489,14,0)/1000</f>
        <v>#REF!</v>
      </c>
      <c r="I290" s="131" t="e">
        <f>VLOOKUP($A290,'BC.115+040'!$B$13:$X$489,15,0)/1000</f>
        <v>#REF!</v>
      </c>
      <c r="J290" s="131" t="e">
        <f>VLOOKUP($A290,'BC.115+040'!$B$13:$X$489,20,0)/1000</f>
        <v>#REF!</v>
      </c>
      <c r="K290" s="131" t="e">
        <f>VLOOKUP($A290,'BC.115+040'!$B$13:$X$489,21,0)/1000</f>
        <v>#REF!</v>
      </c>
      <c r="L290" s="129" t="e">
        <f t="shared" si="13"/>
        <v>#REF!</v>
      </c>
      <c r="M290" s="130" t="e">
        <f t="shared" si="14"/>
        <v>#REF!</v>
      </c>
      <c r="N290" s="129" t="e">
        <f t="shared" si="15"/>
        <v>#REF!</v>
      </c>
      <c r="O290" s="129"/>
    </row>
    <row r="291" spans="1:15">
      <c r="A291" s="67" t="e">
        <f>'BC.115+040'!B290</f>
        <v>#REF!</v>
      </c>
      <c r="B291" s="129">
        <f t="shared" si="12"/>
        <v>277</v>
      </c>
      <c r="C291" s="131" t="e">
        <f>'BC.115+040'!M290/1000</f>
        <v>#REF!</v>
      </c>
      <c r="D291" s="131" t="e">
        <f>'BC.115+040'!AA290</f>
        <v>#REF!</v>
      </c>
      <c r="E291" s="132" t="e">
        <f>'BC.115+040'!AB290</f>
        <v>#REF!</v>
      </c>
      <c r="F291" s="131" t="e">
        <f>VLOOKUP($A291,'BC.115+040'!$B$13:$X$489,8,0)/1000</f>
        <v>#REF!</v>
      </c>
      <c r="G291" s="131" t="e">
        <f>VLOOKUP($A291,'BC.115+040'!$B$13:$X$489,9,0)/1000</f>
        <v>#REF!</v>
      </c>
      <c r="H291" s="131" t="e">
        <f>VLOOKUP($A291,'BC.115+040'!$B$13:$X$489,14,0)/1000</f>
        <v>#REF!</v>
      </c>
      <c r="I291" s="131" t="e">
        <f>VLOOKUP($A291,'BC.115+040'!$B$13:$X$489,15,0)/1000</f>
        <v>#REF!</v>
      </c>
      <c r="J291" s="131" t="e">
        <f>VLOOKUP($A291,'BC.115+040'!$B$13:$X$489,20,0)/1000</f>
        <v>#REF!</v>
      </c>
      <c r="K291" s="131" t="e">
        <f>VLOOKUP($A291,'BC.115+040'!$B$13:$X$489,21,0)/1000</f>
        <v>#REF!</v>
      </c>
      <c r="L291" s="129" t="e">
        <f t="shared" si="13"/>
        <v>#REF!</v>
      </c>
      <c r="M291" s="130" t="e">
        <f t="shared" si="14"/>
        <v>#REF!</v>
      </c>
      <c r="N291" s="129" t="e">
        <f t="shared" si="15"/>
        <v>#REF!</v>
      </c>
      <c r="O291" s="129"/>
    </row>
    <row r="292" spans="1:15">
      <c r="A292" s="67" t="e">
        <f>'BC.115+040'!B291</f>
        <v>#REF!</v>
      </c>
      <c r="B292" s="129">
        <f t="shared" si="12"/>
        <v>278</v>
      </c>
      <c r="C292" s="131" t="e">
        <f>'BC.115+040'!M291/1000</f>
        <v>#REF!</v>
      </c>
      <c r="D292" s="131" t="e">
        <f>'BC.115+040'!AA291</f>
        <v>#REF!</v>
      </c>
      <c r="E292" s="132" t="e">
        <f>'BC.115+040'!AB291</f>
        <v>#REF!</v>
      </c>
      <c r="F292" s="131" t="e">
        <f>VLOOKUP($A292,'BC.115+040'!$B$13:$X$489,8,0)/1000</f>
        <v>#REF!</v>
      </c>
      <c r="G292" s="131" t="e">
        <f>VLOOKUP($A292,'BC.115+040'!$B$13:$X$489,9,0)/1000</f>
        <v>#REF!</v>
      </c>
      <c r="H292" s="131" t="e">
        <f>VLOOKUP($A292,'BC.115+040'!$B$13:$X$489,14,0)/1000</f>
        <v>#REF!</v>
      </c>
      <c r="I292" s="131" t="e">
        <f>VLOOKUP($A292,'BC.115+040'!$B$13:$X$489,15,0)/1000</f>
        <v>#REF!</v>
      </c>
      <c r="J292" s="131" t="e">
        <f>VLOOKUP($A292,'BC.115+040'!$B$13:$X$489,20,0)/1000</f>
        <v>#REF!</v>
      </c>
      <c r="K292" s="131" t="e">
        <f>VLOOKUP($A292,'BC.115+040'!$B$13:$X$489,21,0)/1000</f>
        <v>#REF!</v>
      </c>
      <c r="L292" s="129" t="e">
        <f t="shared" si="13"/>
        <v>#REF!</v>
      </c>
      <c r="M292" s="130" t="e">
        <f t="shared" si="14"/>
        <v>#REF!</v>
      </c>
      <c r="N292" s="129" t="e">
        <f t="shared" si="15"/>
        <v>#REF!</v>
      </c>
      <c r="O292" s="129"/>
    </row>
    <row r="293" spans="1:15">
      <c r="A293" s="67" t="e">
        <f>'BC.115+040'!B292</f>
        <v>#REF!</v>
      </c>
      <c r="B293" s="129">
        <f t="shared" si="12"/>
        <v>279</v>
      </c>
      <c r="C293" s="131" t="e">
        <f>'BC.115+040'!M292/1000</f>
        <v>#REF!</v>
      </c>
      <c r="D293" s="131" t="e">
        <f>'BC.115+040'!AA292</f>
        <v>#REF!</v>
      </c>
      <c r="E293" s="132" t="e">
        <f>'BC.115+040'!AB292</f>
        <v>#REF!</v>
      </c>
      <c r="F293" s="131" t="e">
        <f>VLOOKUP($A293,'BC.115+040'!$B$13:$X$489,8,0)/1000</f>
        <v>#REF!</v>
      </c>
      <c r="G293" s="131" t="e">
        <f>VLOOKUP($A293,'BC.115+040'!$B$13:$X$489,9,0)/1000</f>
        <v>#REF!</v>
      </c>
      <c r="H293" s="131" t="e">
        <f>VLOOKUP($A293,'BC.115+040'!$B$13:$X$489,14,0)/1000</f>
        <v>#REF!</v>
      </c>
      <c r="I293" s="131" t="e">
        <f>VLOOKUP($A293,'BC.115+040'!$B$13:$X$489,15,0)/1000</f>
        <v>#REF!</v>
      </c>
      <c r="J293" s="131" t="e">
        <f>VLOOKUP($A293,'BC.115+040'!$B$13:$X$489,20,0)/1000</f>
        <v>#REF!</v>
      </c>
      <c r="K293" s="131" t="e">
        <f>VLOOKUP($A293,'BC.115+040'!$B$13:$X$489,21,0)/1000</f>
        <v>#REF!</v>
      </c>
      <c r="L293" s="129" t="e">
        <f t="shared" si="13"/>
        <v>#REF!</v>
      </c>
      <c r="M293" s="130" t="e">
        <f t="shared" si="14"/>
        <v>#REF!</v>
      </c>
      <c r="N293" s="129" t="e">
        <f t="shared" si="15"/>
        <v>#REF!</v>
      </c>
      <c r="O293" s="129"/>
    </row>
    <row r="294" spans="1:15">
      <c r="A294" s="67" t="e">
        <f>'BC.115+040'!B293</f>
        <v>#REF!</v>
      </c>
      <c r="B294" s="129">
        <f t="shared" si="12"/>
        <v>280</v>
      </c>
      <c r="C294" s="131" t="e">
        <f>'BC.115+040'!M293/1000</f>
        <v>#REF!</v>
      </c>
      <c r="D294" s="131" t="e">
        <f>'BC.115+040'!AA293</f>
        <v>#REF!</v>
      </c>
      <c r="E294" s="132" t="e">
        <f>'BC.115+040'!AB293</f>
        <v>#REF!</v>
      </c>
      <c r="F294" s="131" t="e">
        <f>VLOOKUP($A294,'BC.115+040'!$B$13:$X$489,8,0)/1000</f>
        <v>#REF!</v>
      </c>
      <c r="G294" s="131" t="e">
        <f>VLOOKUP($A294,'BC.115+040'!$B$13:$X$489,9,0)/1000</f>
        <v>#REF!</v>
      </c>
      <c r="H294" s="131" t="e">
        <f>VLOOKUP($A294,'BC.115+040'!$B$13:$X$489,14,0)/1000</f>
        <v>#REF!</v>
      </c>
      <c r="I294" s="131" t="e">
        <f>VLOOKUP($A294,'BC.115+040'!$B$13:$X$489,15,0)/1000</f>
        <v>#REF!</v>
      </c>
      <c r="J294" s="131" t="e">
        <f>VLOOKUP($A294,'BC.115+040'!$B$13:$X$489,20,0)/1000</f>
        <v>#REF!</v>
      </c>
      <c r="K294" s="131" t="e">
        <f>VLOOKUP($A294,'BC.115+040'!$B$13:$X$489,21,0)/1000</f>
        <v>#REF!</v>
      </c>
      <c r="L294" s="129" t="e">
        <f t="shared" si="13"/>
        <v>#REF!</v>
      </c>
      <c r="M294" s="130" t="e">
        <f t="shared" si="14"/>
        <v>#REF!</v>
      </c>
      <c r="N294" s="129" t="e">
        <f t="shared" si="15"/>
        <v>#REF!</v>
      </c>
      <c r="O294" s="129"/>
    </row>
    <row r="295" spans="1:15">
      <c r="A295" s="67" t="e">
        <f>'BC.115+040'!B294</f>
        <v>#REF!</v>
      </c>
      <c r="B295" s="129">
        <f t="shared" si="12"/>
        <v>281</v>
      </c>
      <c r="C295" s="131" t="e">
        <f>'BC.115+040'!M294/1000</f>
        <v>#REF!</v>
      </c>
      <c r="D295" s="131" t="e">
        <f>'BC.115+040'!AA294</f>
        <v>#REF!</v>
      </c>
      <c r="E295" s="132" t="e">
        <f>'BC.115+040'!AB294</f>
        <v>#REF!</v>
      </c>
      <c r="F295" s="131" t="e">
        <f>VLOOKUP($A295,'BC.115+040'!$B$13:$X$489,8,0)/1000</f>
        <v>#REF!</v>
      </c>
      <c r="G295" s="131" t="e">
        <f>VLOOKUP($A295,'BC.115+040'!$B$13:$X$489,9,0)/1000</f>
        <v>#REF!</v>
      </c>
      <c r="H295" s="131" t="e">
        <f>VLOOKUP($A295,'BC.115+040'!$B$13:$X$489,14,0)/1000</f>
        <v>#REF!</v>
      </c>
      <c r="I295" s="131" t="e">
        <f>VLOOKUP($A295,'BC.115+040'!$B$13:$X$489,15,0)/1000</f>
        <v>#REF!</v>
      </c>
      <c r="J295" s="131" t="e">
        <f>VLOOKUP($A295,'BC.115+040'!$B$13:$X$489,20,0)/1000</f>
        <v>#REF!</v>
      </c>
      <c r="K295" s="131" t="e">
        <f>VLOOKUP($A295,'BC.115+040'!$B$13:$X$489,21,0)/1000</f>
        <v>#REF!</v>
      </c>
      <c r="L295" s="129" t="e">
        <f t="shared" si="13"/>
        <v>#REF!</v>
      </c>
      <c r="M295" s="130" t="e">
        <f t="shared" si="14"/>
        <v>#REF!</v>
      </c>
      <c r="N295" s="129" t="e">
        <f t="shared" si="15"/>
        <v>#REF!</v>
      </c>
      <c r="O295" s="129"/>
    </row>
    <row r="296" spans="1:15">
      <c r="A296" s="67" t="e">
        <f>'BC.115+040'!B295</f>
        <v>#REF!</v>
      </c>
      <c r="B296" s="129">
        <f t="shared" si="12"/>
        <v>282</v>
      </c>
      <c r="C296" s="131" t="e">
        <f>'BC.115+040'!M295/1000</f>
        <v>#REF!</v>
      </c>
      <c r="D296" s="131" t="e">
        <f>'BC.115+040'!AA295</f>
        <v>#REF!</v>
      </c>
      <c r="E296" s="132" t="e">
        <f>'BC.115+040'!AB295</f>
        <v>#REF!</v>
      </c>
      <c r="F296" s="131" t="e">
        <f>VLOOKUP($A296,'BC.115+040'!$B$13:$X$489,8,0)/1000</f>
        <v>#REF!</v>
      </c>
      <c r="G296" s="131" t="e">
        <f>VLOOKUP($A296,'BC.115+040'!$B$13:$X$489,9,0)/1000</f>
        <v>#REF!</v>
      </c>
      <c r="H296" s="131" t="e">
        <f>VLOOKUP($A296,'BC.115+040'!$B$13:$X$489,14,0)/1000</f>
        <v>#REF!</v>
      </c>
      <c r="I296" s="131" t="e">
        <f>VLOOKUP($A296,'BC.115+040'!$B$13:$X$489,15,0)/1000</f>
        <v>#REF!</v>
      </c>
      <c r="J296" s="131" t="e">
        <f>VLOOKUP($A296,'BC.115+040'!$B$13:$X$489,20,0)/1000</f>
        <v>#REF!</v>
      </c>
      <c r="K296" s="131" t="e">
        <f>VLOOKUP($A296,'BC.115+040'!$B$13:$X$489,21,0)/1000</f>
        <v>#REF!</v>
      </c>
      <c r="L296" s="129" t="e">
        <f t="shared" si="13"/>
        <v>#REF!</v>
      </c>
      <c r="M296" s="130" t="e">
        <f t="shared" si="14"/>
        <v>#REF!</v>
      </c>
      <c r="N296" s="129" t="e">
        <f t="shared" si="15"/>
        <v>#REF!</v>
      </c>
      <c r="O296" s="129"/>
    </row>
    <row r="297" spans="1:15">
      <c r="A297" s="67" t="e">
        <f>'BC.115+040'!B296</f>
        <v>#REF!</v>
      </c>
      <c r="B297" s="129">
        <f t="shared" si="12"/>
        <v>283</v>
      </c>
      <c r="C297" s="131" t="e">
        <f>'BC.115+040'!M296/1000</f>
        <v>#REF!</v>
      </c>
      <c r="D297" s="131" t="e">
        <f>'BC.115+040'!AA296</f>
        <v>#REF!</v>
      </c>
      <c r="E297" s="132" t="e">
        <f>'BC.115+040'!AB296</f>
        <v>#REF!</v>
      </c>
      <c r="F297" s="131" t="e">
        <f>VLOOKUP($A297,'BC.115+040'!$B$13:$X$489,8,0)/1000</f>
        <v>#REF!</v>
      </c>
      <c r="G297" s="131" t="e">
        <f>VLOOKUP($A297,'BC.115+040'!$B$13:$X$489,9,0)/1000</f>
        <v>#REF!</v>
      </c>
      <c r="H297" s="131" t="e">
        <f>VLOOKUP($A297,'BC.115+040'!$B$13:$X$489,14,0)/1000</f>
        <v>#REF!</v>
      </c>
      <c r="I297" s="131" t="e">
        <f>VLOOKUP($A297,'BC.115+040'!$B$13:$X$489,15,0)/1000</f>
        <v>#REF!</v>
      </c>
      <c r="J297" s="131" t="e">
        <f>VLOOKUP($A297,'BC.115+040'!$B$13:$X$489,20,0)/1000</f>
        <v>#REF!</v>
      </c>
      <c r="K297" s="131" t="e">
        <f>VLOOKUP($A297,'BC.115+040'!$B$13:$X$489,21,0)/1000</f>
        <v>#REF!</v>
      </c>
      <c r="L297" s="129" t="e">
        <f t="shared" si="13"/>
        <v>#REF!</v>
      </c>
      <c r="M297" s="130" t="e">
        <f t="shared" si="14"/>
        <v>#REF!</v>
      </c>
      <c r="N297" s="129" t="e">
        <f t="shared" si="15"/>
        <v>#REF!</v>
      </c>
      <c r="O297" s="129"/>
    </row>
    <row r="298" spans="1:15">
      <c r="A298" s="67" t="e">
        <f>'BC.115+040'!B297</f>
        <v>#REF!</v>
      </c>
      <c r="B298" s="129">
        <f t="shared" si="12"/>
        <v>284</v>
      </c>
      <c r="C298" s="131" t="e">
        <f>'BC.115+040'!M297/1000</f>
        <v>#REF!</v>
      </c>
      <c r="D298" s="131" t="e">
        <f>'BC.115+040'!AA297</f>
        <v>#REF!</v>
      </c>
      <c r="E298" s="132" t="e">
        <f>'BC.115+040'!AB297</f>
        <v>#REF!</v>
      </c>
      <c r="F298" s="131" t="e">
        <f>VLOOKUP($A298,'BC.115+040'!$B$13:$X$489,8,0)/1000</f>
        <v>#REF!</v>
      </c>
      <c r="G298" s="131" t="e">
        <f>VLOOKUP($A298,'BC.115+040'!$B$13:$X$489,9,0)/1000</f>
        <v>#REF!</v>
      </c>
      <c r="H298" s="131" t="e">
        <f>VLOOKUP($A298,'BC.115+040'!$B$13:$X$489,14,0)/1000</f>
        <v>#REF!</v>
      </c>
      <c r="I298" s="131" t="e">
        <f>VLOOKUP($A298,'BC.115+040'!$B$13:$X$489,15,0)/1000</f>
        <v>#REF!</v>
      </c>
      <c r="J298" s="131" t="e">
        <f>VLOOKUP($A298,'BC.115+040'!$B$13:$X$489,20,0)/1000</f>
        <v>#REF!</v>
      </c>
      <c r="K298" s="131" t="e">
        <f>VLOOKUP($A298,'BC.115+040'!$B$13:$X$489,21,0)/1000</f>
        <v>#REF!</v>
      </c>
      <c r="L298" s="129" t="e">
        <f t="shared" si="13"/>
        <v>#REF!</v>
      </c>
      <c r="M298" s="130" t="e">
        <f t="shared" si="14"/>
        <v>#REF!</v>
      </c>
      <c r="N298" s="129" t="e">
        <f t="shared" si="15"/>
        <v>#REF!</v>
      </c>
      <c r="O298" s="129"/>
    </row>
    <row r="299" spans="1:15">
      <c r="A299" s="67" t="e">
        <f>'BC.115+040'!B298</f>
        <v>#REF!</v>
      </c>
      <c r="B299" s="129">
        <f t="shared" si="12"/>
        <v>285</v>
      </c>
      <c r="C299" s="131" t="e">
        <f>'BC.115+040'!M298/1000</f>
        <v>#REF!</v>
      </c>
      <c r="D299" s="131" t="e">
        <f>'BC.115+040'!AA298</f>
        <v>#REF!</v>
      </c>
      <c r="E299" s="132" t="e">
        <f>'BC.115+040'!AB298</f>
        <v>#REF!</v>
      </c>
      <c r="F299" s="131" t="e">
        <f>VLOOKUP($A299,'BC.115+040'!$B$13:$X$489,8,0)/1000</f>
        <v>#REF!</v>
      </c>
      <c r="G299" s="131" t="e">
        <f>VLOOKUP($A299,'BC.115+040'!$B$13:$X$489,9,0)/1000</f>
        <v>#REF!</v>
      </c>
      <c r="H299" s="131" t="e">
        <f>VLOOKUP($A299,'BC.115+040'!$B$13:$X$489,14,0)/1000</f>
        <v>#REF!</v>
      </c>
      <c r="I299" s="131" t="e">
        <f>VLOOKUP($A299,'BC.115+040'!$B$13:$X$489,15,0)/1000</f>
        <v>#REF!</v>
      </c>
      <c r="J299" s="131" t="e">
        <f>VLOOKUP($A299,'BC.115+040'!$B$13:$X$489,20,0)/1000</f>
        <v>#REF!</v>
      </c>
      <c r="K299" s="131" t="e">
        <f>VLOOKUP($A299,'BC.115+040'!$B$13:$X$489,21,0)/1000</f>
        <v>#REF!</v>
      </c>
      <c r="L299" s="129" t="e">
        <f t="shared" si="13"/>
        <v>#REF!</v>
      </c>
      <c r="M299" s="130" t="e">
        <f t="shared" si="14"/>
        <v>#REF!</v>
      </c>
      <c r="N299" s="129" t="e">
        <f t="shared" si="15"/>
        <v>#REF!</v>
      </c>
      <c r="O299" s="129"/>
    </row>
    <row r="300" spans="1:15">
      <c r="A300" s="67" t="e">
        <f>'BC.115+040'!B299</f>
        <v>#REF!</v>
      </c>
      <c r="B300" s="129">
        <f t="shared" si="12"/>
        <v>286</v>
      </c>
      <c r="C300" s="131" t="e">
        <f>'BC.115+040'!M299/1000</f>
        <v>#REF!</v>
      </c>
      <c r="D300" s="131" t="e">
        <f>'BC.115+040'!AA299</f>
        <v>#REF!</v>
      </c>
      <c r="E300" s="132" t="e">
        <f>'BC.115+040'!AB299</f>
        <v>#REF!</v>
      </c>
      <c r="F300" s="131" t="e">
        <f>VLOOKUP($A300,'BC.115+040'!$B$13:$X$489,8,0)/1000</f>
        <v>#REF!</v>
      </c>
      <c r="G300" s="131" t="e">
        <f>VLOOKUP($A300,'BC.115+040'!$B$13:$X$489,9,0)/1000</f>
        <v>#REF!</v>
      </c>
      <c r="H300" s="131" t="e">
        <f>VLOOKUP($A300,'BC.115+040'!$B$13:$X$489,14,0)/1000</f>
        <v>#REF!</v>
      </c>
      <c r="I300" s="131" t="e">
        <f>VLOOKUP($A300,'BC.115+040'!$B$13:$X$489,15,0)/1000</f>
        <v>#REF!</v>
      </c>
      <c r="J300" s="131" t="e">
        <f>VLOOKUP($A300,'BC.115+040'!$B$13:$X$489,20,0)/1000</f>
        <v>#REF!</v>
      </c>
      <c r="K300" s="131" t="e">
        <f>VLOOKUP($A300,'BC.115+040'!$B$13:$X$489,21,0)/1000</f>
        <v>#REF!</v>
      </c>
      <c r="L300" s="129" t="e">
        <f t="shared" si="13"/>
        <v>#REF!</v>
      </c>
      <c r="M300" s="130" t="e">
        <f t="shared" si="14"/>
        <v>#REF!</v>
      </c>
      <c r="N300" s="129" t="e">
        <f t="shared" si="15"/>
        <v>#REF!</v>
      </c>
      <c r="O300" s="129"/>
    </row>
    <row r="301" spans="1:15">
      <c r="A301" s="67" t="e">
        <f>'BC.115+040'!B300</f>
        <v>#REF!</v>
      </c>
      <c r="B301" s="129">
        <f t="shared" si="12"/>
        <v>287</v>
      </c>
      <c r="C301" s="131" t="e">
        <f>'BC.115+040'!M300/1000</f>
        <v>#REF!</v>
      </c>
      <c r="D301" s="131" t="e">
        <f>'BC.115+040'!AA300</f>
        <v>#REF!</v>
      </c>
      <c r="E301" s="132" t="e">
        <f>'BC.115+040'!AB300</f>
        <v>#REF!</v>
      </c>
      <c r="F301" s="131" t="e">
        <f>VLOOKUP($A301,'BC.115+040'!$B$13:$X$489,8,0)/1000</f>
        <v>#REF!</v>
      </c>
      <c r="G301" s="131" t="e">
        <f>VLOOKUP($A301,'BC.115+040'!$B$13:$X$489,9,0)/1000</f>
        <v>#REF!</v>
      </c>
      <c r="H301" s="131" t="e">
        <f>VLOOKUP($A301,'BC.115+040'!$B$13:$X$489,14,0)/1000</f>
        <v>#REF!</v>
      </c>
      <c r="I301" s="131" t="e">
        <f>VLOOKUP($A301,'BC.115+040'!$B$13:$X$489,15,0)/1000</f>
        <v>#REF!</v>
      </c>
      <c r="J301" s="131" t="e">
        <f>VLOOKUP($A301,'BC.115+040'!$B$13:$X$489,20,0)/1000</f>
        <v>#REF!</v>
      </c>
      <c r="K301" s="131" t="e">
        <f>VLOOKUP($A301,'BC.115+040'!$B$13:$X$489,21,0)/1000</f>
        <v>#REF!</v>
      </c>
      <c r="L301" s="129" t="e">
        <f t="shared" si="13"/>
        <v>#REF!</v>
      </c>
      <c r="M301" s="130" t="e">
        <f t="shared" si="14"/>
        <v>#REF!</v>
      </c>
      <c r="N301" s="129" t="e">
        <f t="shared" si="15"/>
        <v>#REF!</v>
      </c>
      <c r="O301" s="129"/>
    </row>
    <row r="302" spans="1:15">
      <c r="A302" s="67" t="e">
        <f>'BC.115+040'!B301</f>
        <v>#REF!</v>
      </c>
      <c r="B302" s="129">
        <f t="shared" si="12"/>
        <v>288</v>
      </c>
      <c r="C302" s="131" t="e">
        <f>'BC.115+040'!M301/1000</f>
        <v>#REF!</v>
      </c>
      <c r="D302" s="131" t="e">
        <f>'BC.115+040'!AA301</f>
        <v>#REF!</v>
      </c>
      <c r="E302" s="132" t="e">
        <f>'BC.115+040'!AB301</f>
        <v>#REF!</v>
      </c>
      <c r="F302" s="131" t="e">
        <f>VLOOKUP($A302,'BC.115+040'!$B$13:$X$489,8,0)/1000</f>
        <v>#REF!</v>
      </c>
      <c r="G302" s="131" t="e">
        <f>VLOOKUP($A302,'BC.115+040'!$B$13:$X$489,9,0)/1000</f>
        <v>#REF!</v>
      </c>
      <c r="H302" s="131" t="e">
        <f>VLOOKUP($A302,'BC.115+040'!$B$13:$X$489,14,0)/1000</f>
        <v>#REF!</v>
      </c>
      <c r="I302" s="131" t="e">
        <f>VLOOKUP($A302,'BC.115+040'!$B$13:$X$489,15,0)/1000</f>
        <v>#REF!</v>
      </c>
      <c r="J302" s="131" t="e">
        <f>VLOOKUP($A302,'BC.115+040'!$B$13:$X$489,20,0)/1000</f>
        <v>#REF!</v>
      </c>
      <c r="K302" s="131" t="e">
        <f>VLOOKUP($A302,'BC.115+040'!$B$13:$X$489,21,0)/1000</f>
        <v>#REF!</v>
      </c>
      <c r="L302" s="129" t="e">
        <f t="shared" si="13"/>
        <v>#REF!</v>
      </c>
      <c r="M302" s="130" t="e">
        <f t="shared" si="14"/>
        <v>#REF!</v>
      </c>
      <c r="N302" s="129" t="e">
        <f t="shared" si="15"/>
        <v>#REF!</v>
      </c>
      <c r="O302" s="129"/>
    </row>
    <row r="303" spans="1:15">
      <c r="A303" s="67" t="e">
        <f>'BC.115+040'!B302</f>
        <v>#REF!</v>
      </c>
      <c r="B303" s="129">
        <f t="shared" si="12"/>
        <v>289</v>
      </c>
      <c r="C303" s="131" t="e">
        <f>'BC.115+040'!M302/1000</f>
        <v>#REF!</v>
      </c>
      <c r="D303" s="131" t="e">
        <f>'BC.115+040'!AA302</f>
        <v>#REF!</v>
      </c>
      <c r="E303" s="132" t="e">
        <f>'BC.115+040'!AB302</f>
        <v>#REF!</v>
      </c>
      <c r="F303" s="131" t="e">
        <f>VLOOKUP($A303,'BC.115+040'!$B$13:$X$489,8,0)/1000</f>
        <v>#REF!</v>
      </c>
      <c r="G303" s="131" t="e">
        <f>VLOOKUP($A303,'BC.115+040'!$B$13:$X$489,9,0)/1000</f>
        <v>#REF!</v>
      </c>
      <c r="H303" s="131" t="e">
        <f>VLOOKUP($A303,'BC.115+040'!$B$13:$X$489,14,0)/1000</f>
        <v>#REF!</v>
      </c>
      <c r="I303" s="131" t="e">
        <f>VLOOKUP($A303,'BC.115+040'!$B$13:$X$489,15,0)/1000</f>
        <v>#REF!</v>
      </c>
      <c r="J303" s="131" t="e">
        <f>VLOOKUP($A303,'BC.115+040'!$B$13:$X$489,20,0)/1000</f>
        <v>#REF!</v>
      </c>
      <c r="K303" s="131" t="e">
        <f>VLOOKUP($A303,'BC.115+040'!$B$13:$X$489,21,0)/1000</f>
        <v>#REF!</v>
      </c>
      <c r="L303" s="129" t="e">
        <f t="shared" si="13"/>
        <v>#REF!</v>
      </c>
      <c r="M303" s="130" t="e">
        <f t="shared" si="14"/>
        <v>#REF!</v>
      </c>
      <c r="N303" s="129" t="e">
        <f t="shared" si="15"/>
        <v>#REF!</v>
      </c>
      <c r="O303" s="129"/>
    </row>
    <row r="304" spans="1:15">
      <c r="A304" s="67" t="e">
        <f>'BC.115+040'!B303</f>
        <v>#REF!</v>
      </c>
      <c r="B304" s="129">
        <f t="shared" si="12"/>
        <v>290</v>
      </c>
      <c r="C304" s="131" t="e">
        <f>'BC.115+040'!M303/1000</f>
        <v>#REF!</v>
      </c>
      <c r="D304" s="131" t="e">
        <f>'BC.115+040'!AA303</f>
        <v>#REF!</v>
      </c>
      <c r="E304" s="132" t="e">
        <f>'BC.115+040'!AB303</f>
        <v>#REF!</v>
      </c>
      <c r="F304" s="131" t="e">
        <f>VLOOKUP($A304,'BC.115+040'!$B$13:$X$489,8,0)/1000</f>
        <v>#REF!</v>
      </c>
      <c r="G304" s="131" t="e">
        <f>VLOOKUP($A304,'BC.115+040'!$B$13:$X$489,9,0)/1000</f>
        <v>#REF!</v>
      </c>
      <c r="H304" s="131" t="e">
        <f>VLOOKUP($A304,'BC.115+040'!$B$13:$X$489,14,0)/1000</f>
        <v>#REF!</v>
      </c>
      <c r="I304" s="131" t="e">
        <f>VLOOKUP($A304,'BC.115+040'!$B$13:$X$489,15,0)/1000</f>
        <v>#REF!</v>
      </c>
      <c r="J304" s="131" t="e">
        <f>VLOOKUP($A304,'BC.115+040'!$B$13:$X$489,20,0)/1000</f>
        <v>#REF!</v>
      </c>
      <c r="K304" s="131" t="e">
        <f>VLOOKUP($A304,'BC.115+040'!$B$13:$X$489,21,0)/1000</f>
        <v>#REF!</v>
      </c>
      <c r="L304" s="129" t="e">
        <f t="shared" si="13"/>
        <v>#REF!</v>
      </c>
      <c r="M304" s="130" t="e">
        <f t="shared" si="14"/>
        <v>#REF!</v>
      </c>
      <c r="N304" s="129" t="e">
        <f t="shared" si="15"/>
        <v>#REF!</v>
      </c>
      <c r="O304" s="129"/>
    </row>
    <row r="305" spans="1:15">
      <c r="A305" s="67" t="e">
        <f>'BC.115+040'!B304</f>
        <v>#REF!</v>
      </c>
      <c r="B305" s="129">
        <f t="shared" si="12"/>
        <v>291</v>
      </c>
      <c r="C305" s="131" t="e">
        <f>'BC.115+040'!M304/1000</f>
        <v>#REF!</v>
      </c>
      <c r="D305" s="131" t="e">
        <f>'BC.115+040'!AA304</f>
        <v>#REF!</v>
      </c>
      <c r="E305" s="132" t="e">
        <f>'BC.115+040'!AB304</f>
        <v>#REF!</v>
      </c>
      <c r="F305" s="131" t="e">
        <f>VLOOKUP($A305,'BC.115+040'!$B$13:$X$489,8,0)/1000</f>
        <v>#REF!</v>
      </c>
      <c r="G305" s="131" t="e">
        <f>VLOOKUP($A305,'BC.115+040'!$B$13:$X$489,9,0)/1000</f>
        <v>#REF!</v>
      </c>
      <c r="H305" s="131" t="e">
        <f>VLOOKUP($A305,'BC.115+040'!$B$13:$X$489,14,0)/1000</f>
        <v>#REF!</v>
      </c>
      <c r="I305" s="131" t="e">
        <f>VLOOKUP($A305,'BC.115+040'!$B$13:$X$489,15,0)/1000</f>
        <v>#REF!</v>
      </c>
      <c r="J305" s="131" t="e">
        <f>VLOOKUP($A305,'BC.115+040'!$B$13:$X$489,20,0)/1000</f>
        <v>#REF!</v>
      </c>
      <c r="K305" s="131" t="e">
        <f>VLOOKUP($A305,'BC.115+040'!$B$13:$X$489,21,0)/1000</f>
        <v>#REF!</v>
      </c>
      <c r="L305" s="129" t="e">
        <f t="shared" si="13"/>
        <v>#REF!</v>
      </c>
      <c r="M305" s="130" t="e">
        <f t="shared" si="14"/>
        <v>#REF!</v>
      </c>
      <c r="N305" s="129" t="e">
        <f t="shared" si="15"/>
        <v>#REF!</v>
      </c>
      <c r="O305" s="129"/>
    </row>
    <row r="306" spans="1:15">
      <c r="A306" s="67" t="e">
        <f>'BC.115+040'!B305</f>
        <v>#REF!</v>
      </c>
      <c r="B306" s="129">
        <f t="shared" si="12"/>
        <v>292</v>
      </c>
      <c r="C306" s="131" t="e">
        <f>'BC.115+040'!M305/1000</f>
        <v>#REF!</v>
      </c>
      <c r="D306" s="131" t="e">
        <f>'BC.115+040'!AA305</f>
        <v>#REF!</v>
      </c>
      <c r="E306" s="132" t="e">
        <f>'BC.115+040'!AB305</f>
        <v>#REF!</v>
      </c>
      <c r="F306" s="131" t="e">
        <f>VLOOKUP($A306,'BC.115+040'!$B$13:$X$489,8,0)/1000</f>
        <v>#REF!</v>
      </c>
      <c r="G306" s="131" t="e">
        <f>VLOOKUP($A306,'BC.115+040'!$B$13:$X$489,9,0)/1000</f>
        <v>#REF!</v>
      </c>
      <c r="H306" s="131" t="e">
        <f>VLOOKUP($A306,'BC.115+040'!$B$13:$X$489,14,0)/1000</f>
        <v>#REF!</v>
      </c>
      <c r="I306" s="131" t="e">
        <f>VLOOKUP($A306,'BC.115+040'!$B$13:$X$489,15,0)/1000</f>
        <v>#REF!</v>
      </c>
      <c r="J306" s="131" t="e">
        <f>VLOOKUP($A306,'BC.115+040'!$B$13:$X$489,20,0)/1000</f>
        <v>#REF!</v>
      </c>
      <c r="K306" s="131" t="e">
        <f>VLOOKUP($A306,'BC.115+040'!$B$13:$X$489,21,0)/1000</f>
        <v>#REF!</v>
      </c>
      <c r="L306" s="129" t="e">
        <f t="shared" si="13"/>
        <v>#REF!</v>
      </c>
      <c r="M306" s="130" t="e">
        <f t="shared" si="14"/>
        <v>#REF!</v>
      </c>
      <c r="N306" s="129" t="e">
        <f t="shared" si="15"/>
        <v>#REF!</v>
      </c>
      <c r="O306" s="129"/>
    </row>
    <row r="307" spans="1:15">
      <c r="A307" s="67" t="e">
        <f>'BC.115+040'!B306</f>
        <v>#REF!</v>
      </c>
      <c r="B307" s="129">
        <f t="shared" si="12"/>
        <v>293</v>
      </c>
      <c r="C307" s="131" t="e">
        <f>'BC.115+040'!M306/1000</f>
        <v>#REF!</v>
      </c>
      <c r="D307" s="131" t="e">
        <f>'BC.115+040'!AA306</f>
        <v>#REF!</v>
      </c>
      <c r="E307" s="132" t="e">
        <f>'BC.115+040'!AB306</f>
        <v>#REF!</v>
      </c>
      <c r="F307" s="131" t="e">
        <f>VLOOKUP($A307,'BC.115+040'!$B$13:$X$489,8,0)/1000</f>
        <v>#REF!</v>
      </c>
      <c r="G307" s="131" t="e">
        <f>VLOOKUP($A307,'BC.115+040'!$B$13:$X$489,9,0)/1000</f>
        <v>#REF!</v>
      </c>
      <c r="H307" s="131" t="e">
        <f>VLOOKUP($A307,'BC.115+040'!$B$13:$X$489,14,0)/1000</f>
        <v>#REF!</v>
      </c>
      <c r="I307" s="131" t="e">
        <f>VLOOKUP($A307,'BC.115+040'!$B$13:$X$489,15,0)/1000</f>
        <v>#REF!</v>
      </c>
      <c r="J307" s="131" t="e">
        <f>VLOOKUP($A307,'BC.115+040'!$B$13:$X$489,20,0)/1000</f>
        <v>#REF!</v>
      </c>
      <c r="K307" s="131" t="e">
        <f>VLOOKUP($A307,'BC.115+040'!$B$13:$X$489,21,0)/1000</f>
        <v>#REF!</v>
      </c>
      <c r="L307" s="129" t="e">
        <f t="shared" si="13"/>
        <v>#REF!</v>
      </c>
      <c r="M307" s="130" t="e">
        <f t="shared" si="14"/>
        <v>#REF!</v>
      </c>
      <c r="N307" s="129" t="e">
        <f t="shared" si="15"/>
        <v>#REF!</v>
      </c>
      <c r="O307" s="129"/>
    </row>
    <row r="308" spans="1:15">
      <c r="A308" s="67" t="e">
        <f>'BC.115+040'!B307</f>
        <v>#REF!</v>
      </c>
      <c r="B308" s="129">
        <f t="shared" si="12"/>
        <v>294</v>
      </c>
      <c r="C308" s="131" t="e">
        <f>'BC.115+040'!M307/1000</f>
        <v>#REF!</v>
      </c>
      <c r="D308" s="131" t="e">
        <f>'BC.115+040'!AA307</f>
        <v>#REF!</v>
      </c>
      <c r="E308" s="132" t="e">
        <f>'BC.115+040'!AB307</f>
        <v>#REF!</v>
      </c>
      <c r="F308" s="131" t="e">
        <f>VLOOKUP($A308,'BC.115+040'!$B$13:$X$489,8,0)/1000</f>
        <v>#REF!</v>
      </c>
      <c r="G308" s="131" t="e">
        <f>VLOOKUP($A308,'BC.115+040'!$B$13:$X$489,9,0)/1000</f>
        <v>#REF!</v>
      </c>
      <c r="H308" s="131" t="e">
        <f>VLOOKUP($A308,'BC.115+040'!$B$13:$X$489,14,0)/1000</f>
        <v>#REF!</v>
      </c>
      <c r="I308" s="131" t="e">
        <f>VLOOKUP($A308,'BC.115+040'!$B$13:$X$489,15,0)/1000</f>
        <v>#REF!</v>
      </c>
      <c r="J308" s="131" t="e">
        <f>VLOOKUP($A308,'BC.115+040'!$B$13:$X$489,20,0)/1000</f>
        <v>#REF!</v>
      </c>
      <c r="K308" s="131" t="e">
        <f>VLOOKUP($A308,'BC.115+040'!$B$13:$X$489,21,0)/1000</f>
        <v>#REF!</v>
      </c>
      <c r="L308" s="129" t="e">
        <f t="shared" si="13"/>
        <v>#REF!</v>
      </c>
      <c r="M308" s="130" t="e">
        <f t="shared" si="14"/>
        <v>#REF!</v>
      </c>
      <c r="N308" s="129" t="e">
        <f t="shared" si="15"/>
        <v>#REF!</v>
      </c>
      <c r="O308" s="129"/>
    </row>
    <row r="309" spans="1:15">
      <c r="A309" s="67" t="e">
        <f>'BC.115+040'!B308</f>
        <v>#REF!</v>
      </c>
      <c r="B309" s="129">
        <f t="shared" si="12"/>
        <v>295</v>
      </c>
      <c r="C309" s="131" t="e">
        <f>'BC.115+040'!M308/1000</f>
        <v>#REF!</v>
      </c>
      <c r="D309" s="131" t="e">
        <f>'BC.115+040'!AA308</f>
        <v>#REF!</v>
      </c>
      <c r="E309" s="132" t="e">
        <f>'BC.115+040'!AB308</f>
        <v>#REF!</v>
      </c>
      <c r="F309" s="131" t="e">
        <f>VLOOKUP($A309,'BC.115+040'!$B$13:$X$489,8,0)/1000</f>
        <v>#REF!</v>
      </c>
      <c r="G309" s="131" t="e">
        <f>VLOOKUP($A309,'BC.115+040'!$B$13:$X$489,9,0)/1000</f>
        <v>#REF!</v>
      </c>
      <c r="H309" s="131" t="e">
        <f>VLOOKUP($A309,'BC.115+040'!$B$13:$X$489,14,0)/1000</f>
        <v>#REF!</v>
      </c>
      <c r="I309" s="131" t="e">
        <f>VLOOKUP($A309,'BC.115+040'!$B$13:$X$489,15,0)/1000</f>
        <v>#REF!</v>
      </c>
      <c r="J309" s="131" t="e">
        <f>VLOOKUP($A309,'BC.115+040'!$B$13:$X$489,20,0)/1000</f>
        <v>#REF!</v>
      </c>
      <c r="K309" s="131" t="e">
        <f>VLOOKUP($A309,'BC.115+040'!$B$13:$X$489,21,0)/1000</f>
        <v>#REF!</v>
      </c>
      <c r="L309" s="129" t="e">
        <f t="shared" si="13"/>
        <v>#REF!</v>
      </c>
      <c r="M309" s="130" t="e">
        <f t="shared" si="14"/>
        <v>#REF!</v>
      </c>
      <c r="N309" s="129" t="e">
        <f t="shared" si="15"/>
        <v>#REF!</v>
      </c>
      <c r="O309" s="129"/>
    </row>
    <row r="310" spans="1:15">
      <c r="A310" s="67" t="e">
        <f>'BC.115+040'!B309</f>
        <v>#REF!</v>
      </c>
      <c r="B310" s="129">
        <f t="shared" si="12"/>
        <v>296</v>
      </c>
      <c r="C310" s="131" t="e">
        <f>'BC.115+040'!M309/1000</f>
        <v>#REF!</v>
      </c>
      <c r="D310" s="131" t="e">
        <f>'BC.115+040'!AA309</f>
        <v>#REF!</v>
      </c>
      <c r="E310" s="132" t="e">
        <f>'BC.115+040'!AB309</f>
        <v>#REF!</v>
      </c>
      <c r="F310" s="131" t="e">
        <f>VLOOKUP($A310,'BC.115+040'!$B$13:$X$489,8,0)/1000</f>
        <v>#REF!</v>
      </c>
      <c r="G310" s="131" t="e">
        <f>VLOOKUP($A310,'BC.115+040'!$B$13:$X$489,9,0)/1000</f>
        <v>#REF!</v>
      </c>
      <c r="H310" s="131" t="e">
        <f>VLOOKUP($A310,'BC.115+040'!$B$13:$X$489,14,0)/1000</f>
        <v>#REF!</v>
      </c>
      <c r="I310" s="131" t="e">
        <f>VLOOKUP($A310,'BC.115+040'!$B$13:$X$489,15,0)/1000</f>
        <v>#REF!</v>
      </c>
      <c r="J310" s="131" t="e">
        <f>VLOOKUP($A310,'BC.115+040'!$B$13:$X$489,20,0)/1000</f>
        <v>#REF!</v>
      </c>
      <c r="K310" s="131" t="e">
        <f>VLOOKUP($A310,'BC.115+040'!$B$13:$X$489,21,0)/1000</f>
        <v>#REF!</v>
      </c>
      <c r="L310" s="129" t="e">
        <f t="shared" si="13"/>
        <v>#REF!</v>
      </c>
      <c r="M310" s="130" t="e">
        <f t="shared" si="14"/>
        <v>#REF!</v>
      </c>
      <c r="N310" s="129" t="e">
        <f t="shared" si="15"/>
        <v>#REF!</v>
      </c>
      <c r="O310" s="129"/>
    </row>
    <row r="311" spans="1:15">
      <c r="A311" s="67" t="e">
        <f>'BC.115+040'!B310</f>
        <v>#REF!</v>
      </c>
      <c r="B311" s="129">
        <f t="shared" si="12"/>
        <v>297</v>
      </c>
      <c r="C311" s="131" t="e">
        <f>'BC.115+040'!M310/1000</f>
        <v>#REF!</v>
      </c>
      <c r="D311" s="131" t="e">
        <f>'BC.115+040'!AA310</f>
        <v>#REF!</v>
      </c>
      <c r="E311" s="132" t="e">
        <f>'BC.115+040'!AB310</f>
        <v>#REF!</v>
      </c>
      <c r="F311" s="131" t="e">
        <f>VLOOKUP($A311,'BC.115+040'!$B$13:$X$489,8,0)/1000</f>
        <v>#REF!</v>
      </c>
      <c r="G311" s="131" t="e">
        <f>VLOOKUP($A311,'BC.115+040'!$B$13:$X$489,9,0)/1000</f>
        <v>#REF!</v>
      </c>
      <c r="H311" s="131" t="e">
        <f>VLOOKUP($A311,'BC.115+040'!$B$13:$X$489,14,0)/1000</f>
        <v>#REF!</v>
      </c>
      <c r="I311" s="131" t="e">
        <f>VLOOKUP($A311,'BC.115+040'!$B$13:$X$489,15,0)/1000</f>
        <v>#REF!</v>
      </c>
      <c r="J311" s="131" t="e">
        <f>VLOOKUP($A311,'BC.115+040'!$B$13:$X$489,20,0)/1000</f>
        <v>#REF!</v>
      </c>
      <c r="K311" s="131" t="e">
        <f>VLOOKUP($A311,'BC.115+040'!$B$13:$X$489,21,0)/1000</f>
        <v>#REF!</v>
      </c>
      <c r="L311" s="129" t="e">
        <f t="shared" si="13"/>
        <v>#REF!</v>
      </c>
      <c r="M311" s="130" t="e">
        <f t="shared" si="14"/>
        <v>#REF!</v>
      </c>
      <c r="N311" s="129" t="e">
        <f t="shared" si="15"/>
        <v>#REF!</v>
      </c>
      <c r="O311" s="129"/>
    </row>
    <row r="312" spans="1:15">
      <c r="A312" s="67" t="e">
        <f>'BC.115+040'!B311</f>
        <v>#REF!</v>
      </c>
      <c r="B312" s="129">
        <f t="shared" si="12"/>
        <v>298</v>
      </c>
      <c r="C312" s="131" t="e">
        <f>'BC.115+040'!M311/1000</f>
        <v>#REF!</v>
      </c>
      <c r="D312" s="131" t="e">
        <f>'BC.115+040'!AA311</f>
        <v>#REF!</v>
      </c>
      <c r="E312" s="132" t="e">
        <f>'BC.115+040'!AB311</f>
        <v>#REF!</v>
      </c>
      <c r="F312" s="131" t="e">
        <f>VLOOKUP($A312,'BC.115+040'!$B$13:$X$489,8,0)/1000</f>
        <v>#REF!</v>
      </c>
      <c r="G312" s="131" t="e">
        <f>VLOOKUP($A312,'BC.115+040'!$B$13:$X$489,9,0)/1000</f>
        <v>#REF!</v>
      </c>
      <c r="H312" s="131" t="e">
        <f>VLOOKUP($A312,'BC.115+040'!$B$13:$X$489,14,0)/1000</f>
        <v>#REF!</v>
      </c>
      <c r="I312" s="131" t="e">
        <f>VLOOKUP($A312,'BC.115+040'!$B$13:$X$489,15,0)/1000</f>
        <v>#REF!</v>
      </c>
      <c r="J312" s="131" t="e">
        <f>VLOOKUP($A312,'BC.115+040'!$B$13:$X$489,20,0)/1000</f>
        <v>#REF!</v>
      </c>
      <c r="K312" s="131" t="e">
        <f>VLOOKUP($A312,'BC.115+040'!$B$13:$X$489,21,0)/1000</f>
        <v>#REF!</v>
      </c>
      <c r="L312" s="129" t="e">
        <f t="shared" si="13"/>
        <v>#REF!</v>
      </c>
      <c r="M312" s="130" t="e">
        <f t="shared" si="14"/>
        <v>#REF!</v>
      </c>
      <c r="N312" s="129" t="e">
        <f t="shared" si="15"/>
        <v>#REF!</v>
      </c>
      <c r="O312" s="129"/>
    </row>
    <row r="313" spans="1:15">
      <c r="A313" s="67" t="e">
        <f>'BC.115+040'!B312</f>
        <v>#REF!</v>
      </c>
      <c r="B313" s="129">
        <f t="shared" si="12"/>
        <v>299</v>
      </c>
      <c r="C313" s="131" t="e">
        <f>'BC.115+040'!M312/1000</f>
        <v>#REF!</v>
      </c>
      <c r="D313" s="131" t="e">
        <f>'BC.115+040'!AA312</f>
        <v>#REF!</v>
      </c>
      <c r="E313" s="132" t="e">
        <f>'BC.115+040'!AB312</f>
        <v>#REF!</v>
      </c>
      <c r="F313" s="131" t="e">
        <f>VLOOKUP($A313,'BC.115+040'!$B$13:$X$489,8,0)/1000</f>
        <v>#REF!</v>
      </c>
      <c r="G313" s="131" t="e">
        <f>VLOOKUP($A313,'BC.115+040'!$B$13:$X$489,9,0)/1000</f>
        <v>#REF!</v>
      </c>
      <c r="H313" s="131" t="e">
        <f>VLOOKUP($A313,'BC.115+040'!$B$13:$X$489,14,0)/1000</f>
        <v>#REF!</v>
      </c>
      <c r="I313" s="131" t="e">
        <f>VLOOKUP($A313,'BC.115+040'!$B$13:$X$489,15,0)/1000</f>
        <v>#REF!</v>
      </c>
      <c r="J313" s="131" t="e">
        <f>VLOOKUP($A313,'BC.115+040'!$B$13:$X$489,20,0)/1000</f>
        <v>#REF!</v>
      </c>
      <c r="K313" s="131" t="e">
        <f>VLOOKUP($A313,'BC.115+040'!$B$13:$X$489,21,0)/1000</f>
        <v>#REF!</v>
      </c>
      <c r="L313" s="129" t="e">
        <f t="shared" si="13"/>
        <v>#REF!</v>
      </c>
      <c r="M313" s="130" t="e">
        <f t="shared" si="14"/>
        <v>#REF!</v>
      </c>
      <c r="N313" s="129" t="e">
        <f t="shared" si="15"/>
        <v>#REF!</v>
      </c>
      <c r="O313" s="129"/>
    </row>
    <row r="314" spans="1:15">
      <c r="A314" s="67" t="e">
        <f>'BC.115+040'!B313</f>
        <v>#REF!</v>
      </c>
      <c r="B314" s="129">
        <f t="shared" si="12"/>
        <v>300</v>
      </c>
      <c r="C314" s="131" t="e">
        <f>'BC.115+040'!M313/1000</f>
        <v>#REF!</v>
      </c>
      <c r="D314" s="131" t="e">
        <f>'BC.115+040'!AA313</f>
        <v>#REF!</v>
      </c>
      <c r="E314" s="132" t="e">
        <f>'BC.115+040'!AB313</f>
        <v>#REF!</v>
      </c>
      <c r="F314" s="131" t="e">
        <f>VLOOKUP($A314,'BC.115+040'!$B$13:$X$489,8,0)/1000</f>
        <v>#REF!</v>
      </c>
      <c r="G314" s="131" t="e">
        <f>VLOOKUP($A314,'BC.115+040'!$B$13:$X$489,9,0)/1000</f>
        <v>#REF!</v>
      </c>
      <c r="H314" s="131" t="e">
        <f>VLOOKUP($A314,'BC.115+040'!$B$13:$X$489,14,0)/1000</f>
        <v>#REF!</v>
      </c>
      <c r="I314" s="131" t="e">
        <f>VLOOKUP($A314,'BC.115+040'!$B$13:$X$489,15,0)/1000</f>
        <v>#REF!</v>
      </c>
      <c r="J314" s="131" t="e">
        <f>VLOOKUP($A314,'BC.115+040'!$B$13:$X$489,20,0)/1000</f>
        <v>#REF!</v>
      </c>
      <c r="K314" s="131" t="e">
        <f>VLOOKUP($A314,'BC.115+040'!$B$13:$X$489,21,0)/1000</f>
        <v>#REF!</v>
      </c>
      <c r="L314" s="129" t="e">
        <f t="shared" si="13"/>
        <v>#REF!</v>
      </c>
      <c r="M314" s="130" t="e">
        <f t="shared" si="14"/>
        <v>#REF!</v>
      </c>
      <c r="N314" s="129" t="e">
        <f t="shared" si="15"/>
        <v>#REF!</v>
      </c>
      <c r="O314" s="129"/>
    </row>
    <row r="315" spans="1:15">
      <c r="A315" s="67" t="e">
        <f>'BC.115+040'!B314</f>
        <v>#REF!</v>
      </c>
      <c r="B315" s="129">
        <f t="shared" si="12"/>
        <v>301</v>
      </c>
      <c r="C315" s="131" t="e">
        <f>'BC.115+040'!M314/1000</f>
        <v>#REF!</v>
      </c>
      <c r="D315" s="131" t="e">
        <f>'BC.115+040'!AA314</f>
        <v>#REF!</v>
      </c>
      <c r="E315" s="132" t="e">
        <f>'BC.115+040'!AB314</f>
        <v>#REF!</v>
      </c>
      <c r="F315" s="131" t="e">
        <f>VLOOKUP($A315,'BC.115+040'!$B$13:$X$489,8,0)/1000</f>
        <v>#REF!</v>
      </c>
      <c r="G315" s="131" t="e">
        <f>VLOOKUP($A315,'BC.115+040'!$B$13:$X$489,9,0)/1000</f>
        <v>#REF!</v>
      </c>
      <c r="H315" s="131" t="e">
        <f>VLOOKUP($A315,'BC.115+040'!$B$13:$X$489,14,0)/1000</f>
        <v>#REF!</v>
      </c>
      <c r="I315" s="131" t="e">
        <f>VLOOKUP($A315,'BC.115+040'!$B$13:$X$489,15,0)/1000</f>
        <v>#REF!</v>
      </c>
      <c r="J315" s="131" t="e">
        <f>VLOOKUP($A315,'BC.115+040'!$B$13:$X$489,20,0)/1000</f>
        <v>#REF!</v>
      </c>
      <c r="K315" s="131" t="e">
        <f>VLOOKUP($A315,'BC.115+040'!$B$13:$X$489,21,0)/1000</f>
        <v>#REF!</v>
      </c>
      <c r="L315" s="129" t="e">
        <f t="shared" si="13"/>
        <v>#REF!</v>
      </c>
      <c r="M315" s="130" t="e">
        <f t="shared" si="14"/>
        <v>#REF!</v>
      </c>
      <c r="N315" s="129" t="e">
        <f t="shared" si="15"/>
        <v>#REF!</v>
      </c>
      <c r="O315" s="129"/>
    </row>
    <row r="316" spans="1:15">
      <c r="A316" s="67" t="e">
        <f>'BC.115+040'!B315</f>
        <v>#REF!</v>
      </c>
      <c r="B316" s="129">
        <f t="shared" si="12"/>
        <v>302</v>
      </c>
      <c r="C316" s="131" t="e">
        <f>'BC.115+040'!M315/1000</f>
        <v>#REF!</v>
      </c>
      <c r="D316" s="131" t="e">
        <f>'BC.115+040'!AA315</f>
        <v>#REF!</v>
      </c>
      <c r="E316" s="132" t="e">
        <f>'BC.115+040'!AB315</f>
        <v>#REF!</v>
      </c>
      <c r="F316" s="131" t="e">
        <f>VLOOKUP($A316,'BC.115+040'!$B$13:$X$489,8,0)/1000</f>
        <v>#REF!</v>
      </c>
      <c r="G316" s="131" t="e">
        <f>VLOOKUP($A316,'BC.115+040'!$B$13:$X$489,9,0)/1000</f>
        <v>#REF!</v>
      </c>
      <c r="H316" s="131" t="e">
        <f>VLOOKUP($A316,'BC.115+040'!$B$13:$X$489,14,0)/1000</f>
        <v>#REF!</v>
      </c>
      <c r="I316" s="131" t="e">
        <f>VLOOKUP($A316,'BC.115+040'!$B$13:$X$489,15,0)/1000</f>
        <v>#REF!</v>
      </c>
      <c r="J316" s="131" t="e">
        <f>VLOOKUP($A316,'BC.115+040'!$B$13:$X$489,20,0)/1000</f>
        <v>#REF!</v>
      </c>
      <c r="K316" s="131" t="e">
        <f>VLOOKUP($A316,'BC.115+040'!$B$13:$X$489,21,0)/1000</f>
        <v>#REF!</v>
      </c>
      <c r="L316" s="129" t="e">
        <f t="shared" si="13"/>
        <v>#REF!</v>
      </c>
      <c r="M316" s="130" t="e">
        <f t="shared" si="14"/>
        <v>#REF!</v>
      </c>
      <c r="N316" s="129" t="e">
        <f t="shared" si="15"/>
        <v>#REF!</v>
      </c>
      <c r="O316" s="129"/>
    </row>
    <row r="317" spans="1:15">
      <c r="A317" s="67" t="e">
        <f>'BC.115+040'!B316</f>
        <v>#REF!</v>
      </c>
      <c r="B317" s="129">
        <f t="shared" si="12"/>
        <v>303</v>
      </c>
      <c r="C317" s="131" t="e">
        <f>'BC.115+040'!M316/1000</f>
        <v>#REF!</v>
      </c>
      <c r="D317" s="131" t="e">
        <f>'BC.115+040'!AA316</f>
        <v>#REF!</v>
      </c>
      <c r="E317" s="132" t="e">
        <f>'BC.115+040'!AB316</f>
        <v>#REF!</v>
      </c>
      <c r="F317" s="131" t="e">
        <f>VLOOKUP($A317,'BC.115+040'!$B$13:$X$489,8,0)/1000</f>
        <v>#REF!</v>
      </c>
      <c r="G317" s="131" t="e">
        <f>VLOOKUP($A317,'BC.115+040'!$B$13:$X$489,9,0)/1000</f>
        <v>#REF!</v>
      </c>
      <c r="H317" s="131" t="e">
        <f>VLOOKUP($A317,'BC.115+040'!$B$13:$X$489,14,0)/1000</f>
        <v>#REF!</v>
      </c>
      <c r="I317" s="131" t="e">
        <f>VLOOKUP($A317,'BC.115+040'!$B$13:$X$489,15,0)/1000</f>
        <v>#REF!</v>
      </c>
      <c r="J317" s="131" t="e">
        <f>VLOOKUP($A317,'BC.115+040'!$B$13:$X$489,20,0)/1000</f>
        <v>#REF!</v>
      </c>
      <c r="K317" s="131" t="e">
        <f>VLOOKUP($A317,'BC.115+040'!$B$13:$X$489,21,0)/1000</f>
        <v>#REF!</v>
      </c>
      <c r="L317" s="129" t="e">
        <f t="shared" si="13"/>
        <v>#REF!</v>
      </c>
      <c r="M317" s="130" t="e">
        <f t="shared" si="14"/>
        <v>#REF!</v>
      </c>
      <c r="N317" s="129" t="e">
        <f t="shared" si="15"/>
        <v>#REF!</v>
      </c>
      <c r="O317" s="129"/>
    </row>
    <row r="318" spans="1:15">
      <c r="A318" s="67" t="e">
        <f>'BC.115+040'!B317</f>
        <v>#REF!</v>
      </c>
      <c r="B318" s="129">
        <f t="shared" si="12"/>
        <v>304</v>
      </c>
      <c r="C318" s="131" t="e">
        <f>'BC.115+040'!M317/1000</f>
        <v>#REF!</v>
      </c>
      <c r="D318" s="131" t="e">
        <f>'BC.115+040'!AA317</f>
        <v>#REF!</v>
      </c>
      <c r="E318" s="132" t="e">
        <f>'BC.115+040'!AB317</f>
        <v>#REF!</v>
      </c>
      <c r="F318" s="131" t="e">
        <f>VLOOKUP($A318,'BC.115+040'!$B$13:$X$489,8,0)/1000</f>
        <v>#REF!</v>
      </c>
      <c r="G318" s="131" t="e">
        <f>VLOOKUP($A318,'BC.115+040'!$B$13:$X$489,9,0)/1000</f>
        <v>#REF!</v>
      </c>
      <c r="H318" s="131" t="e">
        <f>VLOOKUP($A318,'BC.115+040'!$B$13:$X$489,14,0)/1000</f>
        <v>#REF!</v>
      </c>
      <c r="I318" s="131" t="e">
        <f>VLOOKUP($A318,'BC.115+040'!$B$13:$X$489,15,0)/1000</f>
        <v>#REF!</v>
      </c>
      <c r="J318" s="131" t="e">
        <f>VLOOKUP($A318,'BC.115+040'!$B$13:$X$489,20,0)/1000</f>
        <v>#REF!</v>
      </c>
      <c r="K318" s="131" t="e">
        <f>VLOOKUP($A318,'BC.115+040'!$B$13:$X$489,21,0)/1000</f>
        <v>#REF!</v>
      </c>
      <c r="L318" s="129" t="e">
        <f t="shared" si="13"/>
        <v>#REF!</v>
      </c>
      <c r="M318" s="130" t="e">
        <f t="shared" si="14"/>
        <v>#REF!</v>
      </c>
      <c r="N318" s="129" t="e">
        <f t="shared" si="15"/>
        <v>#REF!</v>
      </c>
      <c r="O318" s="129"/>
    </row>
    <row r="319" spans="1:15">
      <c r="A319" s="67" t="e">
        <f>'BC.115+040'!B318</f>
        <v>#REF!</v>
      </c>
      <c r="B319" s="129">
        <f t="shared" ref="B319:B382" si="16">+B318+1</f>
        <v>305</v>
      </c>
      <c r="C319" s="131" t="e">
        <f>'BC.115+040'!M318/1000</f>
        <v>#REF!</v>
      </c>
      <c r="D319" s="131" t="e">
        <f>'BC.115+040'!AA318</f>
        <v>#REF!</v>
      </c>
      <c r="E319" s="132" t="e">
        <f>'BC.115+040'!AB318</f>
        <v>#REF!</v>
      </c>
      <c r="F319" s="131" t="e">
        <f>VLOOKUP($A319,'BC.115+040'!$B$13:$X$489,8,0)/1000</f>
        <v>#REF!</v>
      </c>
      <c r="G319" s="131" t="e">
        <f>VLOOKUP($A319,'BC.115+040'!$B$13:$X$489,9,0)/1000</f>
        <v>#REF!</v>
      </c>
      <c r="H319" s="131" t="e">
        <f>VLOOKUP($A319,'BC.115+040'!$B$13:$X$489,14,0)/1000</f>
        <v>#REF!</v>
      </c>
      <c r="I319" s="131" t="e">
        <f>VLOOKUP($A319,'BC.115+040'!$B$13:$X$489,15,0)/1000</f>
        <v>#REF!</v>
      </c>
      <c r="J319" s="131" t="e">
        <f>VLOOKUP($A319,'BC.115+040'!$B$13:$X$489,20,0)/1000</f>
        <v>#REF!</v>
      </c>
      <c r="K319" s="131" t="e">
        <f>VLOOKUP($A319,'BC.115+040'!$B$13:$X$489,21,0)/1000</f>
        <v>#REF!</v>
      </c>
      <c r="L319" s="129" t="e">
        <f t="shared" si="13"/>
        <v>#REF!</v>
      </c>
      <c r="M319" s="130" t="e">
        <f t="shared" si="14"/>
        <v>#REF!</v>
      </c>
      <c r="N319" s="129" t="e">
        <f t="shared" si="15"/>
        <v>#REF!</v>
      </c>
      <c r="O319" s="129"/>
    </row>
    <row r="320" spans="1:15">
      <c r="A320" s="67" t="e">
        <f>'BC.115+040'!B319</f>
        <v>#REF!</v>
      </c>
      <c r="B320" s="129">
        <f t="shared" si="16"/>
        <v>306</v>
      </c>
      <c r="C320" s="131" t="e">
        <f>'BC.115+040'!M319/1000</f>
        <v>#REF!</v>
      </c>
      <c r="D320" s="131" t="e">
        <f>'BC.115+040'!AA319</f>
        <v>#REF!</v>
      </c>
      <c r="E320" s="132" t="e">
        <f>'BC.115+040'!AB319</f>
        <v>#REF!</v>
      </c>
      <c r="F320" s="131" t="e">
        <f>VLOOKUP($A320,'BC.115+040'!$B$13:$X$489,8,0)/1000</f>
        <v>#REF!</v>
      </c>
      <c r="G320" s="131" t="e">
        <f>VLOOKUP($A320,'BC.115+040'!$B$13:$X$489,9,0)/1000</f>
        <v>#REF!</v>
      </c>
      <c r="H320" s="131" t="e">
        <f>VLOOKUP($A320,'BC.115+040'!$B$13:$X$489,14,0)/1000</f>
        <v>#REF!</v>
      </c>
      <c r="I320" s="131" t="e">
        <f>VLOOKUP($A320,'BC.115+040'!$B$13:$X$489,15,0)/1000</f>
        <v>#REF!</v>
      </c>
      <c r="J320" s="131" t="e">
        <f>VLOOKUP($A320,'BC.115+040'!$B$13:$X$489,20,0)/1000</f>
        <v>#REF!</v>
      </c>
      <c r="K320" s="131" t="e">
        <f>VLOOKUP($A320,'BC.115+040'!$B$13:$X$489,21,0)/1000</f>
        <v>#REF!</v>
      </c>
      <c r="L320" s="129" t="e">
        <f t="shared" si="13"/>
        <v>#REF!</v>
      </c>
      <c r="M320" s="130" t="e">
        <f t="shared" si="14"/>
        <v>#REF!</v>
      </c>
      <c r="N320" s="129" t="e">
        <f t="shared" si="15"/>
        <v>#REF!</v>
      </c>
      <c r="O320" s="129"/>
    </row>
    <row r="321" spans="1:15">
      <c r="A321" s="67" t="e">
        <f>'BC.115+040'!B320</f>
        <v>#REF!</v>
      </c>
      <c r="B321" s="129">
        <f t="shared" si="16"/>
        <v>307</v>
      </c>
      <c r="C321" s="131" t="e">
        <f>'BC.115+040'!M320/1000</f>
        <v>#REF!</v>
      </c>
      <c r="D321" s="131" t="e">
        <f>'BC.115+040'!AA320</f>
        <v>#REF!</v>
      </c>
      <c r="E321" s="132" t="e">
        <f>'BC.115+040'!AB320</f>
        <v>#REF!</v>
      </c>
      <c r="F321" s="131" t="e">
        <f>VLOOKUP($A321,'BC.115+040'!$B$13:$X$489,8,0)/1000</f>
        <v>#REF!</v>
      </c>
      <c r="G321" s="131" t="e">
        <f>VLOOKUP($A321,'BC.115+040'!$B$13:$X$489,9,0)/1000</f>
        <v>#REF!</v>
      </c>
      <c r="H321" s="131" t="e">
        <f>VLOOKUP($A321,'BC.115+040'!$B$13:$X$489,14,0)/1000</f>
        <v>#REF!</v>
      </c>
      <c r="I321" s="131" t="e">
        <f>VLOOKUP($A321,'BC.115+040'!$B$13:$X$489,15,0)/1000</f>
        <v>#REF!</v>
      </c>
      <c r="J321" s="131" t="e">
        <f>VLOOKUP($A321,'BC.115+040'!$B$13:$X$489,20,0)/1000</f>
        <v>#REF!</v>
      </c>
      <c r="K321" s="131" t="e">
        <f>VLOOKUP($A321,'BC.115+040'!$B$13:$X$489,21,0)/1000</f>
        <v>#REF!</v>
      </c>
      <c r="L321" s="129" t="e">
        <f t="shared" si="13"/>
        <v>#REF!</v>
      </c>
      <c r="M321" s="130" t="e">
        <f t="shared" si="14"/>
        <v>#REF!</v>
      </c>
      <c r="N321" s="129" t="e">
        <f t="shared" si="15"/>
        <v>#REF!</v>
      </c>
      <c r="O321" s="129"/>
    </row>
    <row r="322" spans="1:15">
      <c r="A322" s="67" t="e">
        <f>'BC.115+040'!B321</f>
        <v>#REF!</v>
      </c>
      <c r="B322" s="129">
        <f t="shared" si="16"/>
        <v>308</v>
      </c>
      <c r="C322" s="131" t="e">
        <f>'BC.115+040'!M321/1000</f>
        <v>#REF!</v>
      </c>
      <c r="D322" s="131" t="e">
        <f>'BC.115+040'!AA321</f>
        <v>#REF!</v>
      </c>
      <c r="E322" s="132" t="e">
        <f>'BC.115+040'!AB321</f>
        <v>#REF!</v>
      </c>
      <c r="F322" s="131" t="e">
        <f>VLOOKUP($A322,'BC.115+040'!$B$13:$X$489,8,0)/1000</f>
        <v>#REF!</v>
      </c>
      <c r="G322" s="131" t="e">
        <f>VLOOKUP($A322,'BC.115+040'!$B$13:$X$489,9,0)/1000</f>
        <v>#REF!</v>
      </c>
      <c r="H322" s="131" t="e">
        <f>VLOOKUP($A322,'BC.115+040'!$B$13:$X$489,14,0)/1000</f>
        <v>#REF!</v>
      </c>
      <c r="I322" s="131" t="e">
        <f>VLOOKUP($A322,'BC.115+040'!$B$13:$X$489,15,0)/1000</f>
        <v>#REF!</v>
      </c>
      <c r="J322" s="131" t="e">
        <f>VLOOKUP($A322,'BC.115+040'!$B$13:$X$489,20,0)/1000</f>
        <v>#REF!</v>
      </c>
      <c r="K322" s="131" t="e">
        <f>VLOOKUP($A322,'BC.115+040'!$B$13:$X$489,21,0)/1000</f>
        <v>#REF!</v>
      </c>
      <c r="L322" s="129" t="e">
        <f t="shared" si="13"/>
        <v>#REF!</v>
      </c>
      <c r="M322" s="130" t="e">
        <f t="shared" si="14"/>
        <v>#REF!</v>
      </c>
      <c r="N322" s="129" t="e">
        <f t="shared" si="15"/>
        <v>#REF!</v>
      </c>
      <c r="O322" s="129"/>
    </row>
    <row r="323" spans="1:15">
      <c r="A323" s="67" t="e">
        <f>'BC.115+040'!B322</f>
        <v>#REF!</v>
      </c>
      <c r="B323" s="129">
        <f t="shared" si="16"/>
        <v>309</v>
      </c>
      <c r="C323" s="131" t="e">
        <f>'BC.115+040'!M322/1000</f>
        <v>#REF!</v>
      </c>
      <c r="D323" s="131" t="e">
        <f>'BC.115+040'!AA322</f>
        <v>#REF!</v>
      </c>
      <c r="E323" s="132" t="e">
        <f>'BC.115+040'!AB322</f>
        <v>#REF!</v>
      </c>
      <c r="F323" s="131" t="e">
        <f>VLOOKUP($A323,'BC.115+040'!$B$13:$X$489,8,0)/1000</f>
        <v>#REF!</v>
      </c>
      <c r="G323" s="131" t="e">
        <f>VLOOKUP($A323,'BC.115+040'!$B$13:$X$489,9,0)/1000</f>
        <v>#REF!</v>
      </c>
      <c r="H323" s="131" t="e">
        <f>VLOOKUP($A323,'BC.115+040'!$B$13:$X$489,14,0)/1000</f>
        <v>#REF!</v>
      </c>
      <c r="I323" s="131" t="e">
        <f>VLOOKUP($A323,'BC.115+040'!$B$13:$X$489,15,0)/1000</f>
        <v>#REF!</v>
      </c>
      <c r="J323" s="131" t="e">
        <f>VLOOKUP($A323,'BC.115+040'!$B$13:$X$489,20,0)/1000</f>
        <v>#REF!</v>
      </c>
      <c r="K323" s="131" t="e">
        <f>VLOOKUP($A323,'BC.115+040'!$B$13:$X$489,21,0)/1000</f>
        <v>#REF!</v>
      </c>
      <c r="L323" s="129" t="e">
        <f t="shared" si="13"/>
        <v>#REF!</v>
      </c>
      <c r="M323" s="130" t="e">
        <f t="shared" si="14"/>
        <v>#REF!</v>
      </c>
      <c r="N323" s="129" t="e">
        <f t="shared" si="15"/>
        <v>#REF!</v>
      </c>
      <c r="O323" s="129"/>
    </row>
    <row r="324" spans="1:15">
      <c r="A324" s="67" t="e">
        <f>'BC.115+040'!B323</f>
        <v>#REF!</v>
      </c>
      <c r="B324" s="129">
        <f t="shared" si="16"/>
        <v>310</v>
      </c>
      <c r="C324" s="131" t="e">
        <f>'BC.115+040'!M323/1000</f>
        <v>#REF!</v>
      </c>
      <c r="D324" s="131" t="e">
        <f>'BC.115+040'!AA323</f>
        <v>#REF!</v>
      </c>
      <c r="E324" s="132" t="e">
        <f>'BC.115+040'!AB323</f>
        <v>#REF!</v>
      </c>
      <c r="F324" s="131" t="e">
        <f>VLOOKUP($A324,'BC.115+040'!$B$13:$X$489,8,0)/1000</f>
        <v>#REF!</v>
      </c>
      <c r="G324" s="131" t="e">
        <f>VLOOKUP($A324,'BC.115+040'!$B$13:$X$489,9,0)/1000</f>
        <v>#REF!</v>
      </c>
      <c r="H324" s="131" t="e">
        <f>VLOOKUP($A324,'BC.115+040'!$B$13:$X$489,14,0)/1000</f>
        <v>#REF!</v>
      </c>
      <c r="I324" s="131" t="e">
        <f>VLOOKUP($A324,'BC.115+040'!$B$13:$X$489,15,0)/1000</f>
        <v>#REF!</v>
      </c>
      <c r="J324" s="131" t="e">
        <f>VLOOKUP($A324,'BC.115+040'!$B$13:$X$489,20,0)/1000</f>
        <v>#REF!</v>
      </c>
      <c r="K324" s="131" t="e">
        <f>VLOOKUP($A324,'BC.115+040'!$B$13:$X$489,21,0)/1000</f>
        <v>#REF!</v>
      </c>
      <c r="L324" s="129" t="e">
        <f t="shared" si="13"/>
        <v>#REF!</v>
      </c>
      <c r="M324" s="130" t="e">
        <f t="shared" si="14"/>
        <v>#REF!</v>
      </c>
      <c r="N324" s="129" t="e">
        <f t="shared" si="15"/>
        <v>#REF!</v>
      </c>
      <c r="O324" s="129"/>
    </row>
    <row r="325" spans="1:15">
      <c r="A325" s="67" t="e">
        <f>'BC.115+040'!B324</f>
        <v>#REF!</v>
      </c>
      <c r="B325" s="129">
        <f t="shared" si="16"/>
        <v>311</v>
      </c>
      <c r="C325" s="131" t="e">
        <f>'BC.115+040'!M324/1000</f>
        <v>#REF!</v>
      </c>
      <c r="D325" s="131" t="e">
        <f>'BC.115+040'!AA324</f>
        <v>#REF!</v>
      </c>
      <c r="E325" s="132" t="e">
        <f>'BC.115+040'!AB324</f>
        <v>#REF!</v>
      </c>
      <c r="F325" s="131" t="e">
        <f>VLOOKUP($A325,'BC.115+040'!$B$13:$X$489,8,0)/1000</f>
        <v>#REF!</v>
      </c>
      <c r="G325" s="131" t="e">
        <f>VLOOKUP($A325,'BC.115+040'!$B$13:$X$489,9,0)/1000</f>
        <v>#REF!</v>
      </c>
      <c r="H325" s="131" t="e">
        <f>VLOOKUP($A325,'BC.115+040'!$B$13:$X$489,14,0)/1000</f>
        <v>#REF!</v>
      </c>
      <c r="I325" s="131" t="e">
        <f>VLOOKUP($A325,'BC.115+040'!$B$13:$X$489,15,0)/1000</f>
        <v>#REF!</v>
      </c>
      <c r="J325" s="131" t="e">
        <f>VLOOKUP($A325,'BC.115+040'!$B$13:$X$489,20,0)/1000</f>
        <v>#REF!</v>
      </c>
      <c r="K325" s="131" t="e">
        <f>VLOOKUP($A325,'BC.115+040'!$B$13:$X$489,21,0)/1000</f>
        <v>#REF!</v>
      </c>
      <c r="L325" s="129" t="e">
        <f t="shared" si="13"/>
        <v>#REF!</v>
      </c>
      <c r="M325" s="130" t="e">
        <f t="shared" si="14"/>
        <v>#REF!</v>
      </c>
      <c r="N325" s="129" t="e">
        <f t="shared" si="15"/>
        <v>#REF!</v>
      </c>
      <c r="O325" s="129"/>
    </row>
    <row r="326" spans="1:15">
      <c r="A326" s="67" t="e">
        <f>'BC.115+040'!B325</f>
        <v>#REF!</v>
      </c>
      <c r="B326" s="129">
        <f t="shared" si="16"/>
        <v>312</v>
      </c>
      <c r="C326" s="131" t="e">
        <f>'BC.115+040'!M325/1000</f>
        <v>#REF!</v>
      </c>
      <c r="D326" s="131" t="e">
        <f>'BC.115+040'!AA325</f>
        <v>#REF!</v>
      </c>
      <c r="E326" s="132" t="e">
        <f>'BC.115+040'!AB325</f>
        <v>#REF!</v>
      </c>
      <c r="F326" s="131" t="e">
        <f>VLOOKUP($A326,'BC.115+040'!$B$13:$X$489,8,0)/1000</f>
        <v>#REF!</v>
      </c>
      <c r="G326" s="131" t="e">
        <f>VLOOKUP($A326,'BC.115+040'!$B$13:$X$489,9,0)/1000</f>
        <v>#REF!</v>
      </c>
      <c r="H326" s="131" t="e">
        <f>VLOOKUP($A326,'BC.115+040'!$B$13:$X$489,14,0)/1000</f>
        <v>#REF!</v>
      </c>
      <c r="I326" s="131" t="e">
        <f>VLOOKUP($A326,'BC.115+040'!$B$13:$X$489,15,0)/1000</f>
        <v>#REF!</v>
      </c>
      <c r="J326" s="131" t="e">
        <f>VLOOKUP($A326,'BC.115+040'!$B$13:$X$489,20,0)/1000</f>
        <v>#REF!</v>
      </c>
      <c r="K326" s="131" t="e">
        <f>VLOOKUP($A326,'BC.115+040'!$B$13:$X$489,21,0)/1000</f>
        <v>#REF!</v>
      </c>
      <c r="L326" s="129" t="e">
        <f t="shared" si="13"/>
        <v>#REF!</v>
      </c>
      <c r="M326" s="130" t="e">
        <f t="shared" si="14"/>
        <v>#REF!</v>
      </c>
      <c r="N326" s="129" t="e">
        <f t="shared" si="15"/>
        <v>#REF!</v>
      </c>
      <c r="O326" s="129"/>
    </row>
    <row r="327" spans="1:15">
      <c r="A327" s="67" t="e">
        <f>'BC.115+040'!B326</f>
        <v>#REF!</v>
      </c>
      <c r="B327" s="129">
        <f t="shared" si="16"/>
        <v>313</v>
      </c>
      <c r="C327" s="131" t="e">
        <f>'BC.115+040'!M326/1000</f>
        <v>#REF!</v>
      </c>
      <c r="D327" s="131" t="e">
        <f>'BC.115+040'!AA326</f>
        <v>#REF!</v>
      </c>
      <c r="E327" s="132" t="e">
        <f>'BC.115+040'!AB326</f>
        <v>#REF!</v>
      </c>
      <c r="F327" s="131" t="e">
        <f>VLOOKUP($A327,'BC.115+040'!$B$13:$X$489,8,0)/1000</f>
        <v>#REF!</v>
      </c>
      <c r="G327" s="131" t="e">
        <f>VLOOKUP($A327,'BC.115+040'!$B$13:$X$489,9,0)/1000</f>
        <v>#REF!</v>
      </c>
      <c r="H327" s="131" t="e">
        <f>VLOOKUP($A327,'BC.115+040'!$B$13:$X$489,14,0)/1000</f>
        <v>#REF!</v>
      </c>
      <c r="I327" s="131" t="e">
        <f>VLOOKUP($A327,'BC.115+040'!$B$13:$X$489,15,0)/1000</f>
        <v>#REF!</v>
      </c>
      <c r="J327" s="131" t="e">
        <f>VLOOKUP($A327,'BC.115+040'!$B$13:$X$489,20,0)/1000</f>
        <v>#REF!</v>
      </c>
      <c r="K327" s="131" t="e">
        <f>VLOOKUP($A327,'BC.115+040'!$B$13:$X$489,21,0)/1000</f>
        <v>#REF!</v>
      </c>
      <c r="L327" s="129" t="e">
        <f t="shared" si="13"/>
        <v>#REF!</v>
      </c>
      <c r="M327" s="130" t="e">
        <f t="shared" si="14"/>
        <v>#REF!</v>
      </c>
      <c r="N327" s="129" t="e">
        <f t="shared" si="15"/>
        <v>#REF!</v>
      </c>
      <c r="O327" s="129"/>
    </row>
    <row r="328" spans="1:15">
      <c r="A328" s="67" t="e">
        <f>'BC.115+040'!B327</f>
        <v>#REF!</v>
      </c>
      <c r="B328" s="129">
        <f t="shared" si="16"/>
        <v>314</v>
      </c>
      <c r="C328" s="131" t="e">
        <f>'BC.115+040'!M327/1000</f>
        <v>#REF!</v>
      </c>
      <c r="D328" s="131" t="e">
        <f>'BC.115+040'!AA327</f>
        <v>#REF!</v>
      </c>
      <c r="E328" s="132" t="e">
        <f>'BC.115+040'!AB327</f>
        <v>#REF!</v>
      </c>
      <c r="F328" s="131" t="e">
        <f>VLOOKUP($A328,'BC.115+040'!$B$13:$X$489,8,0)/1000</f>
        <v>#REF!</v>
      </c>
      <c r="G328" s="131" t="e">
        <f>VLOOKUP($A328,'BC.115+040'!$B$13:$X$489,9,0)/1000</f>
        <v>#REF!</v>
      </c>
      <c r="H328" s="131" t="e">
        <f>VLOOKUP($A328,'BC.115+040'!$B$13:$X$489,14,0)/1000</f>
        <v>#REF!</v>
      </c>
      <c r="I328" s="131" t="e">
        <f>VLOOKUP($A328,'BC.115+040'!$B$13:$X$489,15,0)/1000</f>
        <v>#REF!</v>
      </c>
      <c r="J328" s="131" t="e">
        <f>VLOOKUP($A328,'BC.115+040'!$B$13:$X$489,20,0)/1000</f>
        <v>#REF!</v>
      </c>
      <c r="K328" s="131" t="e">
        <f>VLOOKUP($A328,'BC.115+040'!$B$13:$X$489,21,0)/1000</f>
        <v>#REF!</v>
      </c>
      <c r="L328" s="129" t="e">
        <f t="shared" si="13"/>
        <v>#REF!</v>
      </c>
      <c r="M328" s="130" t="e">
        <f t="shared" si="14"/>
        <v>#REF!</v>
      </c>
      <c r="N328" s="129" t="e">
        <f t="shared" si="15"/>
        <v>#REF!</v>
      </c>
      <c r="O328" s="129"/>
    </row>
    <row r="329" spans="1:15">
      <c r="A329" s="67" t="e">
        <f>'BC.115+040'!B328</f>
        <v>#REF!</v>
      </c>
      <c r="B329" s="129">
        <f t="shared" si="16"/>
        <v>315</v>
      </c>
      <c r="C329" s="131" t="e">
        <f>'BC.115+040'!M328/1000</f>
        <v>#REF!</v>
      </c>
      <c r="D329" s="131" t="e">
        <f>'BC.115+040'!AA328</f>
        <v>#REF!</v>
      </c>
      <c r="E329" s="132" t="e">
        <f>'BC.115+040'!AB328</f>
        <v>#REF!</v>
      </c>
      <c r="F329" s="131" t="e">
        <f>VLOOKUP($A329,'BC.115+040'!$B$13:$X$489,8,0)/1000</f>
        <v>#REF!</v>
      </c>
      <c r="G329" s="131" t="e">
        <f>VLOOKUP($A329,'BC.115+040'!$B$13:$X$489,9,0)/1000</f>
        <v>#REF!</v>
      </c>
      <c r="H329" s="131" t="e">
        <f>VLOOKUP($A329,'BC.115+040'!$B$13:$X$489,14,0)/1000</f>
        <v>#REF!</v>
      </c>
      <c r="I329" s="131" t="e">
        <f>VLOOKUP($A329,'BC.115+040'!$B$13:$X$489,15,0)/1000</f>
        <v>#REF!</v>
      </c>
      <c r="J329" s="131" t="e">
        <f>VLOOKUP($A329,'BC.115+040'!$B$13:$X$489,20,0)/1000</f>
        <v>#REF!</v>
      </c>
      <c r="K329" s="131" t="e">
        <f>VLOOKUP($A329,'BC.115+040'!$B$13:$X$489,21,0)/1000</f>
        <v>#REF!</v>
      </c>
      <c r="L329" s="129" t="e">
        <f t="shared" si="13"/>
        <v>#REF!</v>
      </c>
      <c r="M329" s="130" t="e">
        <f t="shared" si="14"/>
        <v>#REF!</v>
      </c>
      <c r="N329" s="129" t="e">
        <f t="shared" si="15"/>
        <v>#REF!</v>
      </c>
      <c r="O329" s="129"/>
    </row>
    <row r="330" spans="1:15">
      <c r="A330" s="67" t="e">
        <f>'BC.115+040'!B329</f>
        <v>#REF!</v>
      </c>
      <c r="B330" s="129">
        <f t="shared" si="16"/>
        <v>316</v>
      </c>
      <c r="C330" s="131" t="e">
        <f>'BC.115+040'!M329/1000</f>
        <v>#REF!</v>
      </c>
      <c r="D330" s="131" t="e">
        <f>'BC.115+040'!AA329</f>
        <v>#REF!</v>
      </c>
      <c r="E330" s="132" t="e">
        <f>'BC.115+040'!AB329</f>
        <v>#REF!</v>
      </c>
      <c r="F330" s="131" t="e">
        <f>VLOOKUP($A330,'BC.115+040'!$B$13:$X$489,8,0)/1000</f>
        <v>#REF!</v>
      </c>
      <c r="G330" s="131" t="e">
        <f>VLOOKUP($A330,'BC.115+040'!$B$13:$X$489,9,0)/1000</f>
        <v>#REF!</v>
      </c>
      <c r="H330" s="131" t="e">
        <f>VLOOKUP($A330,'BC.115+040'!$B$13:$X$489,14,0)/1000</f>
        <v>#REF!</v>
      </c>
      <c r="I330" s="131" t="e">
        <f>VLOOKUP($A330,'BC.115+040'!$B$13:$X$489,15,0)/1000</f>
        <v>#REF!</v>
      </c>
      <c r="J330" s="131" t="e">
        <f>VLOOKUP($A330,'BC.115+040'!$B$13:$X$489,20,0)/1000</f>
        <v>#REF!</v>
      </c>
      <c r="K330" s="131" t="e">
        <f>VLOOKUP($A330,'BC.115+040'!$B$13:$X$489,21,0)/1000</f>
        <v>#REF!</v>
      </c>
      <c r="L330" s="129" t="e">
        <f t="shared" si="13"/>
        <v>#REF!</v>
      </c>
      <c r="M330" s="130" t="e">
        <f t="shared" si="14"/>
        <v>#REF!</v>
      </c>
      <c r="N330" s="129" t="e">
        <f t="shared" si="15"/>
        <v>#REF!</v>
      </c>
      <c r="O330" s="129"/>
    </row>
    <row r="331" spans="1:15">
      <c r="A331" s="67" t="e">
        <f>'BC.115+040'!B330</f>
        <v>#REF!</v>
      </c>
      <c r="B331" s="129">
        <f t="shared" si="16"/>
        <v>317</v>
      </c>
      <c r="C331" s="131" t="e">
        <f>'BC.115+040'!M330/1000</f>
        <v>#REF!</v>
      </c>
      <c r="D331" s="131" t="e">
        <f>'BC.115+040'!AA330</f>
        <v>#REF!</v>
      </c>
      <c r="E331" s="132" t="e">
        <f>'BC.115+040'!AB330</f>
        <v>#REF!</v>
      </c>
      <c r="F331" s="131" t="e">
        <f>VLOOKUP($A331,'BC.115+040'!$B$13:$X$489,8,0)/1000</f>
        <v>#REF!</v>
      </c>
      <c r="G331" s="131" t="e">
        <f>VLOOKUP($A331,'BC.115+040'!$B$13:$X$489,9,0)/1000</f>
        <v>#REF!</v>
      </c>
      <c r="H331" s="131" t="e">
        <f>VLOOKUP($A331,'BC.115+040'!$B$13:$X$489,14,0)/1000</f>
        <v>#REF!</v>
      </c>
      <c r="I331" s="131" t="e">
        <f>VLOOKUP($A331,'BC.115+040'!$B$13:$X$489,15,0)/1000</f>
        <v>#REF!</v>
      </c>
      <c r="J331" s="131" t="e">
        <f>VLOOKUP($A331,'BC.115+040'!$B$13:$X$489,20,0)/1000</f>
        <v>#REF!</v>
      </c>
      <c r="K331" s="131" t="e">
        <f>VLOOKUP($A331,'BC.115+040'!$B$13:$X$489,21,0)/1000</f>
        <v>#REF!</v>
      </c>
      <c r="L331" s="129" t="e">
        <f t="shared" si="13"/>
        <v>#REF!</v>
      </c>
      <c r="M331" s="130" t="e">
        <f t="shared" si="14"/>
        <v>#REF!</v>
      </c>
      <c r="N331" s="129" t="e">
        <f t="shared" si="15"/>
        <v>#REF!</v>
      </c>
      <c r="O331" s="129"/>
    </row>
    <row r="332" spans="1:15">
      <c r="A332" s="67" t="e">
        <f>'BC.115+040'!B331</f>
        <v>#REF!</v>
      </c>
      <c r="B332" s="129">
        <f t="shared" si="16"/>
        <v>318</v>
      </c>
      <c r="C332" s="131" t="e">
        <f>'BC.115+040'!M331/1000</f>
        <v>#REF!</v>
      </c>
      <c r="D332" s="131" t="e">
        <f>'BC.115+040'!AA331</f>
        <v>#REF!</v>
      </c>
      <c r="E332" s="132" t="e">
        <f>'BC.115+040'!AB331</f>
        <v>#REF!</v>
      </c>
      <c r="F332" s="131" t="e">
        <f>VLOOKUP($A332,'BC.115+040'!$B$13:$X$489,8,0)/1000</f>
        <v>#REF!</v>
      </c>
      <c r="G332" s="131" t="e">
        <f>VLOOKUP($A332,'BC.115+040'!$B$13:$X$489,9,0)/1000</f>
        <v>#REF!</v>
      </c>
      <c r="H332" s="131" t="e">
        <f>VLOOKUP($A332,'BC.115+040'!$B$13:$X$489,14,0)/1000</f>
        <v>#REF!</v>
      </c>
      <c r="I332" s="131" t="e">
        <f>VLOOKUP($A332,'BC.115+040'!$B$13:$X$489,15,0)/1000</f>
        <v>#REF!</v>
      </c>
      <c r="J332" s="131" t="e">
        <f>VLOOKUP($A332,'BC.115+040'!$B$13:$X$489,20,0)/1000</f>
        <v>#REF!</v>
      </c>
      <c r="K332" s="131" t="e">
        <f>VLOOKUP($A332,'BC.115+040'!$B$13:$X$489,21,0)/1000</f>
        <v>#REF!</v>
      </c>
      <c r="L332" s="129" t="e">
        <f t="shared" si="13"/>
        <v>#REF!</v>
      </c>
      <c r="M332" s="130" t="e">
        <f t="shared" si="14"/>
        <v>#REF!</v>
      </c>
      <c r="N332" s="129" t="e">
        <f t="shared" si="15"/>
        <v>#REF!</v>
      </c>
      <c r="O332" s="129"/>
    </row>
    <row r="333" spans="1:15">
      <c r="A333" s="67" t="e">
        <f>'BC.115+040'!B332</f>
        <v>#REF!</v>
      </c>
      <c r="B333" s="129">
        <f t="shared" si="16"/>
        <v>319</v>
      </c>
      <c r="C333" s="131" t="e">
        <f>'BC.115+040'!M332/1000</f>
        <v>#REF!</v>
      </c>
      <c r="D333" s="131" t="e">
        <f>'BC.115+040'!AA332</f>
        <v>#REF!</v>
      </c>
      <c r="E333" s="132" t="e">
        <f>'BC.115+040'!AB332</f>
        <v>#REF!</v>
      </c>
      <c r="F333" s="131" t="e">
        <f>VLOOKUP($A333,'BC.115+040'!$B$13:$X$489,8,0)/1000</f>
        <v>#REF!</v>
      </c>
      <c r="G333" s="131" t="e">
        <f>VLOOKUP($A333,'BC.115+040'!$B$13:$X$489,9,0)/1000</f>
        <v>#REF!</v>
      </c>
      <c r="H333" s="131" t="e">
        <f>VLOOKUP($A333,'BC.115+040'!$B$13:$X$489,14,0)/1000</f>
        <v>#REF!</v>
      </c>
      <c r="I333" s="131" t="e">
        <f>VLOOKUP($A333,'BC.115+040'!$B$13:$X$489,15,0)/1000</f>
        <v>#REF!</v>
      </c>
      <c r="J333" s="131" t="e">
        <f>VLOOKUP($A333,'BC.115+040'!$B$13:$X$489,20,0)/1000</f>
        <v>#REF!</v>
      </c>
      <c r="K333" s="131" t="e">
        <f>VLOOKUP($A333,'BC.115+040'!$B$13:$X$489,21,0)/1000</f>
        <v>#REF!</v>
      </c>
      <c r="L333" s="129" t="e">
        <f t="shared" si="13"/>
        <v>#REF!</v>
      </c>
      <c r="M333" s="130" t="e">
        <f t="shared" si="14"/>
        <v>#REF!</v>
      </c>
      <c r="N333" s="129" t="e">
        <f t="shared" si="15"/>
        <v>#REF!</v>
      </c>
      <c r="O333" s="129"/>
    </row>
    <row r="334" spans="1:15">
      <c r="A334" s="67" t="e">
        <f>'BC.115+040'!B333</f>
        <v>#REF!</v>
      </c>
      <c r="B334" s="129">
        <f t="shared" si="16"/>
        <v>320</v>
      </c>
      <c r="C334" s="131" t="e">
        <f>'BC.115+040'!M333/1000</f>
        <v>#REF!</v>
      </c>
      <c r="D334" s="131" t="e">
        <f>'BC.115+040'!AA333</f>
        <v>#REF!</v>
      </c>
      <c r="E334" s="132" t="e">
        <f>'BC.115+040'!AB333</f>
        <v>#REF!</v>
      </c>
      <c r="F334" s="131" t="e">
        <f>VLOOKUP($A334,'BC.115+040'!$B$13:$X$489,8,0)/1000</f>
        <v>#REF!</v>
      </c>
      <c r="G334" s="131" t="e">
        <f>VLOOKUP($A334,'BC.115+040'!$B$13:$X$489,9,0)/1000</f>
        <v>#REF!</v>
      </c>
      <c r="H334" s="131" t="e">
        <f>VLOOKUP($A334,'BC.115+040'!$B$13:$X$489,14,0)/1000</f>
        <v>#REF!</v>
      </c>
      <c r="I334" s="131" t="e">
        <f>VLOOKUP($A334,'BC.115+040'!$B$13:$X$489,15,0)/1000</f>
        <v>#REF!</v>
      </c>
      <c r="J334" s="131" t="e">
        <f>VLOOKUP($A334,'BC.115+040'!$B$13:$X$489,20,0)/1000</f>
        <v>#REF!</v>
      </c>
      <c r="K334" s="131" t="e">
        <f>VLOOKUP($A334,'BC.115+040'!$B$13:$X$489,21,0)/1000</f>
        <v>#REF!</v>
      </c>
      <c r="L334" s="129" t="e">
        <f t="shared" ref="L334:L397" si="17">(G334-$G$14)*1000</f>
        <v>#REF!</v>
      </c>
      <c r="M334" s="130" t="e">
        <f t="shared" ref="M334:M397" si="18">(I334-$I$14)*1000</f>
        <v>#REF!</v>
      </c>
      <c r="N334" s="129" t="e">
        <f t="shared" si="15"/>
        <v>#REF!</v>
      </c>
      <c r="O334" s="129"/>
    </row>
    <row r="335" spans="1:15">
      <c r="A335" s="67" t="e">
        <f>'BC.115+040'!B334</f>
        <v>#REF!</v>
      </c>
      <c r="B335" s="129">
        <f t="shared" si="16"/>
        <v>321</v>
      </c>
      <c r="C335" s="131" t="e">
        <f>'BC.115+040'!M334/1000</f>
        <v>#REF!</v>
      </c>
      <c r="D335" s="131" t="e">
        <f>'BC.115+040'!AA334</f>
        <v>#REF!</v>
      </c>
      <c r="E335" s="132" t="e">
        <f>'BC.115+040'!AB334</f>
        <v>#REF!</v>
      </c>
      <c r="F335" s="131" t="e">
        <f>VLOOKUP($A335,'BC.115+040'!$B$13:$X$489,8,0)/1000</f>
        <v>#REF!</v>
      </c>
      <c r="G335" s="131" t="e">
        <f>VLOOKUP($A335,'BC.115+040'!$B$13:$X$489,9,0)/1000</f>
        <v>#REF!</v>
      </c>
      <c r="H335" s="131" t="e">
        <f>VLOOKUP($A335,'BC.115+040'!$B$13:$X$489,14,0)/1000</f>
        <v>#REF!</v>
      </c>
      <c r="I335" s="131" t="e">
        <f>VLOOKUP($A335,'BC.115+040'!$B$13:$X$489,15,0)/1000</f>
        <v>#REF!</v>
      </c>
      <c r="J335" s="131" t="e">
        <f>VLOOKUP($A335,'BC.115+040'!$B$13:$X$489,20,0)/1000</f>
        <v>#REF!</v>
      </c>
      <c r="K335" s="131" t="e">
        <f>VLOOKUP($A335,'BC.115+040'!$B$13:$X$489,21,0)/1000</f>
        <v>#REF!</v>
      </c>
      <c r="L335" s="129" t="e">
        <f t="shared" si="17"/>
        <v>#REF!</v>
      </c>
      <c r="M335" s="130" t="e">
        <f t="shared" si="18"/>
        <v>#REF!</v>
      </c>
      <c r="N335" s="129" t="e">
        <f t="shared" ref="N335:N398" si="19">(K335-$K$14)*1000</f>
        <v>#REF!</v>
      </c>
      <c r="O335" s="129"/>
    </row>
    <row r="336" spans="1:15">
      <c r="A336" s="67" t="e">
        <f>'BC.115+040'!B335</f>
        <v>#REF!</v>
      </c>
      <c r="B336" s="129">
        <f t="shared" si="16"/>
        <v>322</v>
      </c>
      <c r="C336" s="131" t="e">
        <f>'BC.115+040'!M335/1000</f>
        <v>#REF!</v>
      </c>
      <c r="D336" s="131" t="e">
        <f>'BC.115+040'!AA335</f>
        <v>#REF!</v>
      </c>
      <c r="E336" s="132" t="e">
        <f>'BC.115+040'!AB335</f>
        <v>#REF!</v>
      </c>
      <c r="F336" s="131" t="e">
        <f>VLOOKUP($A336,'BC.115+040'!$B$13:$X$489,8,0)/1000</f>
        <v>#REF!</v>
      </c>
      <c r="G336" s="131" t="e">
        <f>VLOOKUP($A336,'BC.115+040'!$B$13:$X$489,9,0)/1000</f>
        <v>#REF!</v>
      </c>
      <c r="H336" s="131" t="e">
        <f>VLOOKUP($A336,'BC.115+040'!$B$13:$X$489,14,0)/1000</f>
        <v>#REF!</v>
      </c>
      <c r="I336" s="131" t="e">
        <f>VLOOKUP($A336,'BC.115+040'!$B$13:$X$489,15,0)/1000</f>
        <v>#REF!</v>
      </c>
      <c r="J336" s="131" t="e">
        <f>VLOOKUP($A336,'BC.115+040'!$B$13:$X$489,20,0)/1000</f>
        <v>#REF!</v>
      </c>
      <c r="K336" s="131" t="e">
        <f>VLOOKUP($A336,'BC.115+040'!$B$13:$X$489,21,0)/1000</f>
        <v>#REF!</v>
      </c>
      <c r="L336" s="129" t="e">
        <f t="shared" si="17"/>
        <v>#REF!</v>
      </c>
      <c r="M336" s="130" t="e">
        <f t="shared" si="18"/>
        <v>#REF!</v>
      </c>
      <c r="N336" s="129" t="e">
        <f t="shared" si="19"/>
        <v>#REF!</v>
      </c>
      <c r="O336" s="129"/>
    </row>
    <row r="337" spans="1:15">
      <c r="A337" s="67" t="e">
        <f>'BC.115+040'!B336</f>
        <v>#REF!</v>
      </c>
      <c r="B337" s="129">
        <f t="shared" si="16"/>
        <v>323</v>
      </c>
      <c r="C337" s="131" t="e">
        <f>'BC.115+040'!M336/1000</f>
        <v>#REF!</v>
      </c>
      <c r="D337" s="131" t="e">
        <f>'BC.115+040'!AA336</f>
        <v>#REF!</v>
      </c>
      <c r="E337" s="132" t="e">
        <f>'BC.115+040'!AB336</f>
        <v>#REF!</v>
      </c>
      <c r="F337" s="131" t="e">
        <f>VLOOKUP($A337,'BC.115+040'!$B$13:$X$489,8,0)/1000</f>
        <v>#REF!</v>
      </c>
      <c r="G337" s="131" t="e">
        <f>VLOOKUP($A337,'BC.115+040'!$B$13:$X$489,9,0)/1000</f>
        <v>#REF!</v>
      </c>
      <c r="H337" s="131" t="e">
        <f>VLOOKUP($A337,'BC.115+040'!$B$13:$X$489,14,0)/1000</f>
        <v>#REF!</v>
      </c>
      <c r="I337" s="131" t="e">
        <f>VLOOKUP($A337,'BC.115+040'!$B$13:$X$489,15,0)/1000</f>
        <v>#REF!</v>
      </c>
      <c r="J337" s="131" t="e">
        <f>VLOOKUP($A337,'BC.115+040'!$B$13:$X$489,20,0)/1000</f>
        <v>#REF!</v>
      </c>
      <c r="K337" s="131" t="e">
        <f>VLOOKUP($A337,'BC.115+040'!$B$13:$X$489,21,0)/1000</f>
        <v>#REF!</v>
      </c>
      <c r="L337" s="129" t="e">
        <f t="shared" si="17"/>
        <v>#REF!</v>
      </c>
      <c r="M337" s="130" t="e">
        <f t="shared" si="18"/>
        <v>#REF!</v>
      </c>
      <c r="N337" s="129" t="e">
        <f t="shared" si="19"/>
        <v>#REF!</v>
      </c>
      <c r="O337" s="129"/>
    </row>
    <row r="338" spans="1:15">
      <c r="A338" s="67" t="e">
        <f>'BC.115+040'!B337</f>
        <v>#REF!</v>
      </c>
      <c r="B338" s="129">
        <f t="shared" si="16"/>
        <v>324</v>
      </c>
      <c r="C338" s="131" t="e">
        <f>'BC.115+040'!M337/1000</f>
        <v>#REF!</v>
      </c>
      <c r="D338" s="131" t="e">
        <f>'BC.115+040'!AA337</f>
        <v>#REF!</v>
      </c>
      <c r="E338" s="132" t="e">
        <f>'BC.115+040'!AB337</f>
        <v>#REF!</v>
      </c>
      <c r="F338" s="131" t="e">
        <f>VLOOKUP($A338,'BC.115+040'!$B$13:$X$489,8,0)/1000</f>
        <v>#REF!</v>
      </c>
      <c r="G338" s="131" t="e">
        <f>VLOOKUP($A338,'BC.115+040'!$B$13:$X$489,9,0)/1000</f>
        <v>#REF!</v>
      </c>
      <c r="H338" s="131" t="e">
        <f>VLOOKUP($A338,'BC.115+040'!$B$13:$X$489,14,0)/1000</f>
        <v>#REF!</v>
      </c>
      <c r="I338" s="131" t="e">
        <f>VLOOKUP($A338,'BC.115+040'!$B$13:$X$489,15,0)/1000</f>
        <v>#REF!</v>
      </c>
      <c r="J338" s="131" t="e">
        <f>VLOOKUP($A338,'BC.115+040'!$B$13:$X$489,20,0)/1000</f>
        <v>#REF!</v>
      </c>
      <c r="K338" s="131" t="e">
        <f>VLOOKUP($A338,'BC.115+040'!$B$13:$X$489,21,0)/1000</f>
        <v>#REF!</v>
      </c>
      <c r="L338" s="129" t="e">
        <f t="shared" si="17"/>
        <v>#REF!</v>
      </c>
      <c r="M338" s="130" t="e">
        <f t="shared" si="18"/>
        <v>#REF!</v>
      </c>
      <c r="N338" s="129" t="e">
        <f t="shared" si="19"/>
        <v>#REF!</v>
      </c>
      <c r="O338" s="129"/>
    </row>
    <row r="339" spans="1:15">
      <c r="A339" s="67" t="e">
        <f>'BC.115+040'!B338</f>
        <v>#REF!</v>
      </c>
      <c r="B339" s="129">
        <f t="shared" si="16"/>
        <v>325</v>
      </c>
      <c r="C339" s="131" t="e">
        <f>'BC.115+040'!M338/1000</f>
        <v>#REF!</v>
      </c>
      <c r="D339" s="131" t="e">
        <f>'BC.115+040'!AA338</f>
        <v>#REF!</v>
      </c>
      <c r="E339" s="132" t="e">
        <f>'BC.115+040'!AB338</f>
        <v>#REF!</v>
      </c>
      <c r="F339" s="131" t="e">
        <f>VLOOKUP($A339,'BC.115+040'!$B$13:$X$489,8,0)/1000</f>
        <v>#REF!</v>
      </c>
      <c r="G339" s="131" t="e">
        <f>VLOOKUP($A339,'BC.115+040'!$B$13:$X$489,9,0)/1000</f>
        <v>#REF!</v>
      </c>
      <c r="H339" s="131" t="e">
        <f>VLOOKUP($A339,'BC.115+040'!$B$13:$X$489,14,0)/1000</f>
        <v>#REF!</v>
      </c>
      <c r="I339" s="131" t="e">
        <f>VLOOKUP($A339,'BC.115+040'!$B$13:$X$489,15,0)/1000</f>
        <v>#REF!</v>
      </c>
      <c r="J339" s="131" t="e">
        <f>VLOOKUP($A339,'BC.115+040'!$B$13:$X$489,20,0)/1000</f>
        <v>#REF!</v>
      </c>
      <c r="K339" s="131" t="e">
        <f>VLOOKUP($A339,'BC.115+040'!$B$13:$X$489,21,0)/1000</f>
        <v>#REF!</v>
      </c>
      <c r="L339" s="129" t="e">
        <f t="shared" si="17"/>
        <v>#REF!</v>
      </c>
      <c r="M339" s="130" t="e">
        <f t="shared" si="18"/>
        <v>#REF!</v>
      </c>
      <c r="N339" s="129" t="e">
        <f t="shared" si="19"/>
        <v>#REF!</v>
      </c>
      <c r="O339" s="129"/>
    </row>
    <row r="340" spans="1:15">
      <c r="A340" s="67" t="e">
        <f>'BC.115+040'!B339</f>
        <v>#REF!</v>
      </c>
      <c r="B340" s="129">
        <f t="shared" si="16"/>
        <v>326</v>
      </c>
      <c r="C340" s="131" t="e">
        <f>'BC.115+040'!M339/1000</f>
        <v>#REF!</v>
      </c>
      <c r="D340" s="131" t="e">
        <f>'BC.115+040'!AA339</f>
        <v>#REF!</v>
      </c>
      <c r="E340" s="132" t="e">
        <f>'BC.115+040'!AB339</f>
        <v>#REF!</v>
      </c>
      <c r="F340" s="131" t="e">
        <f>VLOOKUP($A340,'BC.115+040'!$B$13:$X$489,8,0)/1000</f>
        <v>#REF!</v>
      </c>
      <c r="G340" s="131" t="e">
        <f>VLOOKUP($A340,'BC.115+040'!$B$13:$X$489,9,0)/1000</f>
        <v>#REF!</v>
      </c>
      <c r="H340" s="131" t="e">
        <f>VLOOKUP($A340,'BC.115+040'!$B$13:$X$489,14,0)/1000</f>
        <v>#REF!</v>
      </c>
      <c r="I340" s="131" t="e">
        <f>VLOOKUP($A340,'BC.115+040'!$B$13:$X$489,15,0)/1000</f>
        <v>#REF!</v>
      </c>
      <c r="J340" s="131" t="e">
        <f>VLOOKUP($A340,'BC.115+040'!$B$13:$X$489,20,0)/1000</f>
        <v>#REF!</v>
      </c>
      <c r="K340" s="131" t="e">
        <f>VLOOKUP($A340,'BC.115+040'!$B$13:$X$489,21,0)/1000</f>
        <v>#REF!</v>
      </c>
      <c r="L340" s="129" t="e">
        <f t="shared" si="17"/>
        <v>#REF!</v>
      </c>
      <c r="M340" s="130" t="e">
        <f t="shared" si="18"/>
        <v>#REF!</v>
      </c>
      <c r="N340" s="129" t="e">
        <f t="shared" si="19"/>
        <v>#REF!</v>
      </c>
      <c r="O340" s="129"/>
    </row>
    <row r="341" spans="1:15">
      <c r="A341" s="67" t="e">
        <f>'BC.115+040'!B340</f>
        <v>#REF!</v>
      </c>
      <c r="B341" s="129">
        <f t="shared" si="16"/>
        <v>327</v>
      </c>
      <c r="C341" s="131" t="e">
        <f>'BC.115+040'!M340/1000</f>
        <v>#REF!</v>
      </c>
      <c r="D341" s="131" t="e">
        <f>'BC.115+040'!AA340</f>
        <v>#REF!</v>
      </c>
      <c r="E341" s="132" t="e">
        <f>'BC.115+040'!AB340</f>
        <v>#REF!</v>
      </c>
      <c r="F341" s="131" t="e">
        <f>VLOOKUP($A341,'BC.115+040'!$B$13:$X$489,8,0)/1000</f>
        <v>#REF!</v>
      </c>
      <c r="G341" s="131" t="e">
        <f>VLOOKUP($A341,'BC.115+040'!$B$13:$X$489,9,0)/1000</f>
        <v>#REF!</v>
      </c>
      <c r="H341" s="131" t="e">
        <f>VLOOKUP($A341,'BC.115+040'!$B$13:$X$489,14,0)/1000</f>
        <v>#REF!</v>
      </c>
      <c r="I341" s="131" t="e">
        <f>VLOOKUP($A341,'BC.115+040'!$B$13:$X$489,15,0)/1000</f>
        <v>#REF!</v>
      </c>
      <c r="J341" s="131" t="e">
        <f>VLOOKUP($A341,'BC.115+040'!$B$13:$X$489,20,0)/1000</f>
        <v>#REF!</v>
      </c>
      <c r="K341" s="131" t="e">
        <f>VLOOKUP($A341,'BC.115+040'!$B$13:$X$489,21,0)/1000</f>
        <v>#REF!</v>
      </c>
      <c r="L341" s="129" t="e">
        <f t="shared" si="17"/>
        <v>#REF!</v>
      </c>
      <c r="M341" s="130" t="e">
        <f t="shared" si="18"/>
        <v>#REF!</v>
      </c>
      <c r="N341" s="129" t="e">
        <f t="shared" si="19"/>
        <v>#REF!</v>
      </c>
      <c r="O341" s="129"/>
    </row>
    <row r="342" spans="1:15">
      <c r="A342" s="67" t="e">
        <f>'BC.115+040'!B341</f>
        <v>#REF!</v>
      </c>
      <c r="B342" s="129">
        <f t="shared" si="16"/>
        <v>328</v>
      </c>
      <c r="C342" s="131" t="e">
        <f>'BC.115+040'!M341/1000</f>
        <v>#REF!</v>
      </c>
      <c r="D342" s="131" t="e">
        <f>'BC.115+040'!AA341</f>
        <v>#REF!</v>
      </c>
      <c r="E342" s="132" t="e">
        <f>'BC.115+040'!AB341</f>
        <v>#REF!</v>
      </c>
      <c r="F342" s="131" t="e">
        <f>VLOOKUP($A342,'BC.115+040'!$B$13:$X$489,8,0)/1000</f>
        <v>#REF!</v>
      </c>
      <c r="G342" s="131" t="e">
        <f>VLOOKUP($A342,'BC.115+040'!$B$13:$X$489,9,0)/1000</f>
        <v>#REF!</v>
      </c>
      <c r="H342" s="131" t="e">
        <f>VLOOKUP($A342,'BC.115+040'!$B$13:$X$489,14,0)/1000</f>
        <v>#REF!</v>
      </c>
      <c r="I342" s="131" t="e">
        <f>VLOOKUP($A342,'BC.115+040'!$B$13:$X$489,15,0)/1000</f>
        <v>#REF!</v>
      </c>
      <c r="J342" s="131" t="e">
        <f>VLOOKUP($A342,'BC.115+040'!$B$13:$X$489,20,0)/1000</f>
        <v>#REF!</v>
      </c>
      <c r="K342" s="131" t="e">
        <f>VLOOKUP($A342,'BC.115+040'!$B$13:$X$489,21,0)/1000</f>
        <v>#REF!</v>
      </c>
      <c r="L342" s="129" t="e">
        <f t="shared" si="17"/>
        <v>#REF!</v>
      </c>
      <c r="M342" s="130" t="e">
        <f t="shared" si="18"/>
        <v>#REF!</v>
      </c>
      <c r="N342" s="129" t="e">
        <f t="shared" si="19"/>
        <v>#REF!</v>
      </c>
      <c r="O342" s="129"/>
    </row>
    <row r="343" spans="1:15">
      <c r="A343" s="67" t="e">
        <f>'BC.115+040'!B342</f>
        <v>#REF!</v>
      </c>
      <c r="B343" s="129">
        <f t="shared" si="16"/>
        <v>329</v>
      </c>
      <c r="C343" s="131" t="e">
        <f>'BC.115+040'!M342/1000</f>
        <v>#REF!</v>
      </c>
      <c r="D343" s="131" t="e">
        <f>'BC.115+040'!AA342</f>
        <v>#REF!</v>
      </c>
      <c r="E343" s="132" t="e">
        <f>'BC.115+040'!AB342</f>
        <v>#REF!</v>
      </c>
      <c r="F343" s="131" t="e">
        <f>VLOOKUP($A343,'BC.115+040'!$B$13:$X$489,8,0)/1000</f>
        <v>#REF!</v>
      </c>
      <c r="G343" s="131" t="e">
        <f>VLOOKUP($A343,'BC.115+040'!$B$13:$X$489,9,0)/1000</f>
        <v>#REF!</v>
      </c>
      <c r="H343" s="131" t="e">
        <f>VLOOKUP($A343,'BC.115+040'!$B$13:$X$489,14,0)/1000</f>
        <v>#REF!</v>
      </c>
      <c r="I343" s="131" t="e">
        <f>VLOOKUP($A343,'BC.115+040'!$B$13:$X$489,15,0)/1000</f>
        <v>#REF!</v>
      </c>
      <c r="J343" s="131" t="e">
        <f>VLOOKUP($A343,'BC.115+040'!$B$13:$X$489,20,0)/1000</f>
        <v>#REF!</v>
      </c>
      <c r="K343" s="131" t="e">
        <f>VLOOKUP($A343,'BC.115+040'!$B$13:$X$489,21,0)/1000</f>
        <v>#REF!</v>
      </c>
      <c r="L343" s="129" t="e">
        <f t="shared" si="17"/>
        <v>#REF!</v>
      </c>
      <c r="M343" s="130" t="e">
        <f t="shared" si="18"/>
        <v>#REF!</v>
      </c>
      <c r="N343" s="129" t="e">
        <f t="shared" si="19"/>
        <v>#REF!</v>
      </c>
      <c r="O343" s="129"/>
    </row>
    <row r="344" spans="1:15">
      <c r="A344" s="67" t="e">
        <f>'BC.115+040'!B343</f>
        <v>#REF!</v>
      </c>
      <c r="B344" s="129">
        <f t="shared" si="16"/>
        <v>330</v>
      </c>
      <c r="C344" s="131" t="e">
        <f>'BC.115+040'!M343/1000</f>
        <v>#REF!</v>
      </c>
      <c r="D344" s="131" t="e">
        <f>'BC.115+040'!AA343</f>
        <v>#REF!</v>
      </c>
      <c r="E344" s="132" t="e">
        <f>'BC.115+040'!AB343</f>
        <v>#REF!</v>
      </c>
      <c r="F344" s="131" t="e">
        <f>VLOOKUP($A344,'BC.115+040'!$B$13:$X$489,8,0)/1000</f>
        <v>#REF!</v>
      </c>
      <c r="G344" s="131" t="e">
        <f>VLOOKUP($A344,'BC.115+040'!$B$13:$X$489,9,0)/1000</f>
        <v>#REF!</v>
      </c>
      <c r="H344" s="131" t="e">
        <f>VLOOKUP($A344,'BC.115+040'!$B$13:$X$489,14,0)/1000</f>
        <v>#REF!</v>
      </c>
      <c r="I344" s="131" t="e">
        <f>VLOOKUP($A344,'BC.115+040'!$B$13:$X$489,15,0)/1000</f>
        <v>#REF!</v>
      </c>
      <c r="J344" s="131" t="e">
        <f>VLOOKUP($A344,'BC.115+040'!$B$13:$X$489,20,0)/1000</f>
        <v>#REF!</v>
      </c>
      <c r="K344" s="131" t="e">
        <f>VLOOKUP($A344,'BC.115+040'!$B$13:$X$489,21,0)/1000</f>
        <v>#REF!</v>
      </c>
      <c r="L344" s="129" t="e">
        <f t="shared" si="17"/>
        <v>#REF!</v>
      </c>
      <c r="M344" s="130" t="e">
        <f t="shared" si="18"/>
        <v>#REF!</v>
      </c>
      <c r="N344" s="129" t="e">
        <f t="shared" si="19"/>
        <v>#REF!</v>
      </c>
      <c r="O344" s="129"/>
    </row>
    <row r="345" spans="1:15">
      <c r="A345" s="67" t="e">
        <f>'BC.115+040'!B344</f>
        <v>#REF!</v>
      </c>
      <c r="B345" s="129">
        <f t="shared" si="16"/>
        <v>331</v>
      </c>
      <c r="C345" s="131" t="e">
        <f>'BC.115+040'!M344/1000</f>
        <v>#REF!</v>
      </c>
      <c r="D345" s="131" t="e">
        <f>'BC.115+040'!AA344</f>
        <v>#REF!</v>
      </c>
      <c r="E345" s="132" t="e">
        <f>'BC.115+040'!AB344</f>
        <v>#REF!</v>
      </c>
      <c r="F345" s="131" t="e">
        <f>VLOOKUP($A345,'BC.115+040'!$B$13:$X$489,8,0)/1000</f>
        <v>#REF!</v>
      </c>
      <c r="G345" s="131" t="e">
        <f>VLOOKUP($A345,'BC.115+040'!$B$13:$X$489,9,0)/1000</f>
        <v>#REF!</v>
      </c>
      <c r="H345" s="131" t="e">
        <f>VLOOKUP($A345,'BC.115+040'!$B$13:$X$489,14,0)/1000</f>
        <v>#REF!</v>
      </c>
      <c r="I345" s="131" t="e">
        <f>VLOOKUP($A345,'BC.115+040'!$B$13:$X$489,15,0)/1000</f>
        <v>#REF!</v>
      </c>
      <c r="J345" s="131" t="e">
        <f>VLOOKUP($A345,'BC.115+040'!$B$13:$X$489,20,0)/1000</f>
        <v>#REF!</v>
      </c>
      <c r="K345" s="131" t="e">
        <f>VLOOKUP($A345,'BC.115+040'!$B$13:$X$489,21,0)/1000</f>
        <v>#REF!</v>
      </c>
      <c r="L345" s="129" t="e">
        <f t="shared" si="17"/>
        <v>#REF!</v>
      </c>
      <c r="M345" s="130" t="e">
        <f t="shared" si="18"/>
        <v>#REF!</v>
      </c>
      <c r="N345" s="129" t="e">
        <f t="shared" si="19"/>
        <v>#REF!</v>
      </c>
      <c r="O345" s="129"/>
    </row>
    <row r="346" spans="1:15">
      <c r="A346" s="67" t="e">
        <f>'BC.115+040'!B345</f>
        <v>#REF!</v>
      </c>
      <c r="B346" s="129">
        <f t="shared" si="16"/>
        <v>332</v>
      </c>
      <c r="C346" s="131" t="e">
        <f>'BC.115+040'!M345/1000</f>
        <v>#REF!</v>
      </c>
      <c r="D346" s="131" t="e">
        <f>'BC.115+040'!AA345</f>
        <v>#REF!</v>
      </c>
      <c r="E346" s="132" t="e">
        <f>'BC.115+040'!AB345</f>
        <v>#REF!</v>
      </c>
      <c r="F346" s="131" t="e">
        <f>VLOOKUP($A346,'BC.115+040'!$B$13:$X$489,8,0)/1000</f>
        <v>#REF!</v>
      </c>
      <c r="G346" s="131" t="e">
        <f>VLOOKUP($A346,'BC.115+040'!$B$13:$X$489,9,0)/1000</f>
        <v>#REF!</v>
      </c>
      <c r="H346" s="131" t="e">
        <f>VLOOKUP($A346,'BC.115+040'!$B$13:$X$489,14,0)/1000</f>
        <v>#REF!</v>
      </c>
      <c r="I346" s="131" t="e">
        <f>VLOOKUP($A346,'BC.115+040'!$B$13:$X$489,15,0)/1000</f>
        <v>#REF!</v>
      </c>
      <c r="J346" s="131" t="e">
        <f>VLOOKUP($A346,'BC.115+040'!$B$13:$X$489,20,0)/1000</f>
        <v>#REF!</v>
      </c>
      <c r="K346" s="131" t="e">
        <f>VLOOKUP($A346,'BC.115+040'!$B$13:$X$489,21,0)/1000</f>
        <v>#REF!</v>
      </c>
      <c r="L346" s="129" t="e">
        <f t="shared" si="17"/>
        <v>#REF!</v>
      </c>
      <c r="M346" s="130" t="e">
        <f t="shared" si="18"/>
        <v>#REF!</v>
      </c>
      <c r="N346" s="129" t="e">
        <f t="shared" si="19"/>
        <v>#REF!</v>
      </c>
      <c r="O346" s="129"/>
    </row>
    <row r="347" spans="1:15">
      <c r="A347" s="67" t="e">
        <f>'BC.115+040'!B346</f>
        <v>#REF!</v>
      </c>
      <c r="B347" s="129">
        <f t="shared" si="16"/>
        <v>333</v>
      </c>
      <c r="C347" s="131" t="e">
        <f>'BC.115+040'!M346/1000</f>
        <v>#REF!</v>
      </c>
      <c r="D347" s="131" t="e">
        <f>'BC.115+040'!AA346</f>
        <v>#REF!</v>
      </c>
      <c r="E347" s="132" t="e">
        <f>'BC.115+040'!AB346</f>
        <v>#REF!</v>
      </c>
      <c r="F347" s="131" t="e">
        <f>VLOOKUP($A347,'BC.115+040'!$B$13:$X$489,8,0)/1000</f>
        <v>#REF!</v>
      </c>
      <c r="G347" s="131" t="e">
        <f>VLOOKUP($A347,'BC.115+040'!$B$13:$X$489,9,0)/1000</f>
        <v>#REF!</v>
      </c>
      <c r="H347" s="131" t="e">
        <f>VLOOKUP($A347,'BC.115+040'!$B$13:$X$489,14,0)/1000</f>
        <v>#REF!</v>
      </c>
      <c r="I347" s="131" t="e">
        <f>VLOOKUP($A347,'BC.115+040'!$B$13:$X$489,15,0)/1000</f>
        <v>#REF!</v>
      </c>
      <c r="J347" s="131" t="e">
        <f>VLOOKUP($A347,'BC.115+040'!$B$13:$X$489,20,0)/1000</f>
        <v>#REF!</v>
      </c>
      <c r="K347" s="131" t="e">
        <f>VLOOKUP($A347,'BC.115+040'!$B$13:$X$489,21,0)/1000</f>
        <v>#REF!</v>
      </c>
      <c r="L347" s="129" t="e">
        <f t="shared" si="17"/>
        <v>#REF!</v>
      </c>
      <c r="M347" s="130" t="e">
        <f t="shared" si="18"/>
        <v>#REF!</v>
      </c>
      <c r="N347" s="129" t="e">
        <f t="shared" si="19"/>
        <v>#REF!</v>
      </c>
      <c r="O347" s="129"/>
    </row>
    <row r="348" spans="1:15">
      <c r="A348" s="67" t="e">
        <f>'BC.115+040'!B347</f>
        <v>#REF!</v>
      </c>
      <c r="B348" s="129">
        <f t="shared" si="16"/>
        <v>334</v>
      </c>
      <c r="C348" s="131" t="e">
        <f>'BC.115+040'!M347/1000</f>
        <v>#REF!</v>
      </c>
      <c r="D348" s="131" t="e">
        <f>'BC.115+040'!AA347</f>
        <v>#REF!</v>
      </c>
      <c r="E348" s="132" t="e">
        <f>'BC.115+040'!AB347</f>
        <v>#REF!</v>
      </c>
      <c r="F348" s="131" t="e">
        <f>VLOOKUP($A348,'BC.115+040'!$B$13:$X$489,8,0)/1000</f>
        <v>#REF!</v>
      </c>
      <c r="G348" s="131" t="e">
        <f>VLOOKUP($A348,'BC.115+040'!$B$13:$X$489,9,0)/1000</f>
        <v>#REF!</v>
      </c>
      <c r="H348" s="131" t="e">
        <f>VLOOKUP($A348,'BC.115+040'!$B$13:$X$489,14,0)/1000</f>
        <v>#REF!</v>
      </c>
      <c r="I348" s="131" t="e">
        <f>VLOOKUP($A348,'BC.115+040'!$B$13:$X$489,15,0)/1000</f>
        <v>#REF!</v>
      </c>
      <c r="J348" s="131" t="e">
        <f>VLOOKUP($A348,'BC.115+040'!$B$13:$X$489,20,0)/1000</f>
        <v>#REF!</v>
      </c>
      <c r="K348" s="131" t="e">
        <f>VLOOKUP($A348,'BC.115+040'!$B$13:$X$489,21,0)/1000</f>
        <v>#REF!</v>
      </c>
      <c r="L348" s="129" t="e">
        <f t="shared" si="17"/>
        <v>#REF!</v>
      </c>
      <c r="M348" s="130" t="e">
        <f t="shared" si="18"/>
        <v>#REF!</v>
      </c>
      <c r="N348" s="129" t="e">
        <f t="shared" si="19"/>
        <v>#REF!</v>
      </c>
      <c r="O348" s="129"/>
    </row>
    <row r="349" spans="1:15">
      <c r="A349" s="67" t="e">
        <f>'BC.115+040'!B348</f>
        <v>#REF!</v>
      </c>
      <c r="B349" s="129">
        <f t="shared" si="16"/>
        <v>335</v>
      </c>
      <c r="C349" s="131" t="e">
        <f>'BC.115+040'!M348/1000</f>
        <v>#REF!</v>
      </c>
      <c r="D349" s="131" t="e">
        <f>'BC.115+040'!AA348</f>
        <v>#REF!</v>
      </c>
      <c r="E349" s="132" t="e">
        <f>'BC.115+040'!AB348</f>
        <v>#REF!</v>
      </c>
      <c r="F349" s="131" t="e">
        <f>VLOOKUP($A349,'BC.115+040'!$B$13:$X$489,8,0)/1000</f>
        <v>#REF!</v>
      </c>
      <c r="G349" s="131" t="e">
        <f>VLOOKUP($A349,'BC.115+040'!$B$13:$X$489,9,0)/1000</f>
        <v>#REF!</v>
      </c>
      <c r="H349" s="131" t="e">
        <f>VLOOKUP($A349,'BC.115+040'!$B$13:$X$489,14,0)/1000</f>
        <v>#REF!</v>
      </c>
      <c r="I349" s="131" t="e">
        <f>VLOOKUP($A349,'BC.115+040'!$B$13:$X$489,15,0)/1000</f>
        <v>#REF!</v>
      </c>
      <c r="J349" s="131" t="e">
        <f>VLOOKUP($A349,'BC.115+040'!$B$13:$X$489,20,0)/1000</f>
        <v>#REF!</v>
      </c>
      <c r="K349" s="131" t="e">
        <f>VLOOKUP($A349,'BC.115+040'!$B$13:$X$489,21,0)/1000</f>
        <v>#REF!</v>
      </c>
      <c r="L349" s="129" t="e">
        <f t="shared" si="17"/>
        <v>#REF!</v>
      </c>
      <c r="M349" s="130" t="e">
        <f t="shared" si="18"/>
        <v>#REF!</v>
      </c>
      <c r="N349" s="129" t="e">
        <f t="shared" si="19"/>
        <v>#REF!</v>
      </c>
      <c r="O349" s="129"/>
    </row>
    <row r="350" spans="1:15">
      <c r="A350" s="67" t="e">
        <f>'BC.115+040'!B349</f>
        <v>#REF!</v>
      </c>
      <c r="B350" s="129">
        <f t="shared" si="16"/>
        <v>336</v>
      </c>
      <c r="C350" s="131" t="e">
        <f>'BC.115+040'!M349/1000</f>
        <v>#REF!</v>
      </c>
      <c r="D350" s="131" t="e">
        <f>'BC.115+040'!AA349</f>
        <v>#REF!</v>
      </c>
      <c r="E350" s="132" t="e">
        <f>'BC.115+040'!AB349</f>
        <v>#REF!</v>
      </c>
      <c r="F350" s="131" t="e">
        <f>VLOOKUP($A350,'BC.115+040'!$B$13:$X$489,8,0)/1000</f>
        <v>#REF!</v>
      </c>
      <c r="G350" s="131" t="e">
        <f>VLOOKUP($A350,'BC.115+040'!$B$13:$X$489,9,0)/1000</f>
        <v>#REF!</v>
      </c>
      <c r="H350" s="131" t="e">
        <f>VLOOKUP($A350,'BC.115+040'!$B$13:$X$489,14,0)/1000</f>
        <v>#REF!</v>
      </c>
      <c r="I350" s="131" t="e">
        <f>VLOOKUP($A350,'BC.115+040'!$B$13:$X$489,15,0)/1000</f>
        <v>#REF!</v>
      </c>
      <c r="J350" s="131" t="e">
        <f>VLOOKUP($A350,'BC.115+040'!$B$13:$X$489,20,0)/1000</f>
        <v>#REF!</v>
      </c>
      <c r="K350" s="131" t="e">
        <f>VLOOKUP($A350,'BC.115+040'!$B$13:$X$489,21,0)/1000</f>
        <v>#REF!</v>
      </c>
      <c r="L350" s="129" t="e">
        <f t="shared" si="17"/>
        <v>#REF!</v>
      </c>
      <c r="M350" s="130" t="e">
        <f t="shared" si="18"/>
        <v>#REF!</v>
      </c>
      <c r="N350" s="129" t="e">
        <f t="shared" si="19"/>
        <v>#REF!</v>
      </c>
      <c r="O350" s="129"/>
    </row>
    <row r="351" spans="1:15">
      <c r="A351" s="67" t="e">
        <f>'BC.115+040'!B350</f>
        <v>#REF!</v>
      </c>
      <c r="B351" s="129">
        <f t="shared" si="16"/>
        <v>337</v>
      </c>
      <c r="C351" s="131" t="e">
        <f>'BC.115+040'!M350/1000</f>
        <v>#REF!</v>
      </c>
      <c r="D351" s="131" t="e">
        <f>'BC.115+040'!AA350</f>
        <v>#REF!</v>
      </c>
      <c r="E351" s="132" t="e">
        <f>'BC.115+040'!AB350</f>
        <v>#REF!</v>
      </c>
      <c r="F351" s="131" t="e">
        <f>VLOOKUP($A351,'BC.115+040'!$B$13:$X$489,8,0)/1000</f>
        <v>#REF!</v>
      </c>
      <c r="G351" s="131" t="e">
        <f>VLOOKUP($A351,'BC.115+040'!$B$13:$X$489,9,0)/1000</f>
        <v>#REF!</v>
      </c>
      <c r="H351" s="131" t="e">
        <f>VLOOKUP($A351,'BC.115+040'!$B$13:$X$489,14,0)/1000</f>
        <v>#REF!</v>
      </c>
      <c r="I351" s="131" t="e">
        <f>VLOOKUP($A351,'BC.115+040'!$B$13:$X$489,15,0)/1000</f>
        <v>#REF!</v>
      </c>
      <c r="J351" s="131" t="e">
        <f>VLOOKUP($A351,'BC.115+040'!$B$13:$X$489,20,0)/1000</f>
        <v>#REF!</v>
      </c>
      <c r="K351" s="131" t="e">
        <f>VLOOKUP($A351,'BC.115+040'!$B$13:$X$489,21,0)/1000</f>
        <v>#REF!</v>
      </c>
      <c r="L351" s="129" t="e">
        <f t="shared" si="17"/>
        <v>#REF!</v>
      </c>
      <c r="M351" s="130" t="e">
        <f t="shared" si="18"/>
        <v>#REF!</v>
      </c>
      <c r="N351" s="129" t="e">
        <f t="shared" si="19"/>
        <v>#REF!</v>
      </c>
      <c r="O351" s="129"/>
    </row>
    <row r="352" spans="1:15">
      <c r="A352" s="67" t="e">
        <f>'BC.115+040'!B351</f>
        <v>#REF!</v>
      </c>
      <c r="B352" s="129">
        <f t="shared" si="16"/>
        <v>338</v>
      </c>
      <c r="C352" s="131" t="e">
        <f>'BC.115+040'!M351/1000</f>
        <v>#REF!</v>
      </c>
      <c r="D352" s="131" t="e">
        <f>'BC.115+040'!AA351</f>
        <v>#REF!</v>
      </c>
      <c r="E352" s="132" t="e">
        <f>'BC.115+040'!AB351</f>
        <v>#REF!</v>
      </c>
      <c r="F352" s="131" t="e">
        <f>VLOOKUP($A352,'BC.115+040'!$B$13:$X$489,8,0)/1000</f>
        <v>#REF!</v>
      </c>
      <c r="G352" s="131" t="e">
        <f>VLOOKUP($A352,'BC.115+040'!$B$13:$X$489,9,0)/1000</f>
        <v>#REF!</v>
      </c>
      <c r="H352" s="131" t="e">
        <f>VLOOKUP($A352,'BC.115+040'!$B$13:$X$489,14,0)/1000</f>
        <v>#REF!</v>
      </c>
      <c r="I352" s="131" t="e">
        <f>VLOOKUP($A352,'BC.115+040'!$B$13:$X$489,15,0)/1000</f>
        <v>#REF!</v>
      </c>
      <c r="J352" s="131" t="e">
        <f>VLOOKUP($A352,'BC.115+040'!$B$13:$X$489,20,0)/1000</f>
        <v>#REF!</v>
      </c>
      <c r="K352" s="131" t="e">
        <f>VLOOKUP($A352,'BC.115+040'!$B$13:$X$489,21,0)/1000</f>
        <v>#REF!</v>
      </c>
      <c r="L352" s="129" t="e">
        <f t="shared" si="17"/>
        <v>#REF!</v>
      </c>
      <c r="M352" s="130" t="e">
        <f t="shared" si="18"/>
        <v>#REF!</v>
      </c>
      <c r="N352" s="129" t="e">
        <f t="shared" si="19"/>
        <v>#REF!</v>
      </c>
      <c r="O352" s="129"/>
    </row>
    <row r="353" spans="1:15">
      <c r="A353" s="67" t="e">
        <f>'BC.115+040'!B352</f>
        <v>#REF!</v>
      </c>
      <c r="B353" s="129">
        <f t="shared" si="16"/>
        <v>339</v>
      </c>
      <c r="C353" s="131" t="e">
        <f>'BC.115+040'!M352/1000</f>
        <v>#REF!</v>
      </c>
      <c r="D353" s="131" t="e">
        <f>'BC.115+040'!AA352</f>
        <v>#REF!</v>
      </c>
      <c r="E353" s="132" t="e">
        <f>'BC.115+040'!AB352</f>
        <v>#REF!</v>
      </c>
      <c r="F353" s="131" t="e">
        <f>VLOOKUP($A353,'BC.115+040'!$B$13:$X$489,8,0)/1000</f>
        <v>#REF!</v>
      </c>
      <c r="G353" s="131" t="e">
        <f>VLOOKUP($A353,'BC.115+040'!$B$13:$X$489,9,0)/1000</f>
        <v>#REF!</v>
      </c>
      <c r="H353" s="131" t="e">
        <f>VLOOKUP($A353,'BC.115+040'!$B$13:$X$489,14,0)/1000</f>
        <v>#REF!</v>
      </c>
      <c r="I353" s="131" t="e">
        <f>VLOOKUP($A353,'BC.115+040'!$B$13:$X$489,15,0)/1000</f>
        <v>#REF!</v>
      </c>
      <c r="J353" s="131" t="e">
        <f>VLOOKUP($A353,'BC.115+040'!$B$13:$X$489,20,0)/1000</f>
        <v>#REF!</v>
      </c>
      <c r="K353" s="131" t="e">
        <f>VLOOKUP($A353,'BC.115+040'!$B$13:$X$489,21,0)/1000</f>
        <v>#REF!</v>
      </c>
      <c r="L353" s="129" t="e">
        <f t="shared" si="17"/>
        <v>#REF!</v>
      </c>
      <c r="M353" s="130" t="e">
        <f t="shared" si="18"/>
        <v>#REF!</v>
      </c>
      <c r="N353" s="129" t="e">
        <f t="shared" si="19"/>
        <v>#REF!</v>
      </c>
      <c r="O353" s="129"/>
    </row>
    <row r="354" spans="1:15">
      <c r="A354" s="67" t="e">
        <f>'BC.115+040'!B353</f>
        <v>#REF!</v>
      </c>
      <c r="B354" s="129">
        <f t="shared" si="16"/>
        <v>340</v>
      </c>
      <c r="C354" s="131" t="e">
        <f>'BC.115+040'!M353/1000</f>
        <v>#REF!</v>
      </c>
      <c r="D354" s="131" t="e">
        <f>'BC.115+040'!AA353</f>
        <v>#REF!</v>
      </c>
      <c r="E354" s="132" t="e">
        <f>'BC.115+040'!AB353</f>
        <v>#REF!</v>
      </c>
      <c r="F354" s="131" t="e">
        <f>VLOOKUP($A354,'BC.115+040'!$B$13:$X$489,8,0)/1000</f>
        <v>#REF!</v>
      </c>
      <c r="G354" s="131" t="e">
        <f>VLOOKUP($A354,'BC.115+040'!$B$13:$X$489,9,0)/1000</f>
        <v>#REF!</v>
      </c>
      <c r="H354" s="131" t="e">
        <f>VLOOKUP($A354,'BC.115+040'!$B$13:$X$489,14,0)/1000</f>
        <v>#REF!</v>
      </c>
      <c r="I354" s="131" t="e">
        <f>VLOOKUP($A354,'BC.115+040'!$B$13:$X$489,15,0)/1000</f>
        <v>#REF!</v>
      </c>
      <c r="J354" s="131" t="e">
        <f>VLOOKUP($A354,'BC.115+040'!$B$13:$X$489,20,0)/1000</f>
        <v>#REF!</v>
      </c>
      <c r="K354" s="131" t="e">
        <f>VLOOKUP($A354,'BC.115+040'!$B$13:$X$489,21,0)/1000</f>
        <v>#REF!</v>
      </c>
      <c r="L354" s="129" t="e">
        <f t="shared" si="17"/>
        <v>#REF!</v>
      </c>
      <c r="M354" s="130" t="e">
        <f t="shared" si="18"/>
        <v>#REF!</v>
      </c>
      <c r="N354" s="129" t="e">
        <f t="shared" si="19"/>
        <v>#REF!</v>
      </c>
      <c r="O354" s="129"/>
    </row>
    <row r="355" spans="1:15">
      <c r="A355" s="67" t="e">
        <f>'BC.115+040'!B354</f>
        <v>#REF!</v>
      </c>
      <c r="B355" s="129">
        <f t="shared" si="16"/>
        <v>341</v>
      </c>
      <c r="C355" s="131" t="e">
        <f>'BC.115+040'!M354/1000</f>
        <v>#REF!</v>
      </c>
      <c r="D355" s="131" t="e">
        <f>'BC.115+040'!AA354</f>
        <v>#REF!</v>
      </c>
      <c r="E355" s="132" t="e">
        <f>'BC.115+040'!AB354</f>
        <v>#REF!</v>
      </c>
      <c r="F355" s="131" t="e">
        <f>VLOOKUP($A355,'BC.115+040'!$B$13:$X$489,8,0)/1000</f>
        <v>#REF!</v>
      </c>
      <c r="G355" s="131" t="e">
        <f>VLOOKUP($A355,'BC.115+040'!$B$13:$X$489,9,0)/1000</f>
        <v>#REF!</v>
      </c>
      <c r="H355" s="131" t="e">
        <f>VLOOKUP($A355,'BC.115+040'!$B$13:$X$489,14,0)/1000</f>
        <v>#REF!</v>
      </c>
      <c r="I355" s="131" t="e">
        <f>VLOOKUP($A355,'BC.115+040'!$B$13:$X$489,15,0)/1000</f>
        <v>#REF!</v>
      </c>
      <c r="J355" s="131" t="e">
        <f>VLOOKUP($A355,'BC.115+040'!$B$13:$X$489,20,0)/1000</f>
        <v>#REF!</v>
      </c>
      <c r="K355" s="131" t="e">
        <f>VLOOKUP($A355,'BC.115+040'!$B$13:$X$489,21,0)/1000</f>
        <v>#REF!</v>
      </c>
      <c r="L355" s="129" t="e">
        <f t="shared" si="17"/>
        <v>#REF!</v>
      </c>
      <c r="M355" s="130" t="e">
        <f t="shared" si="18"/>
        <v>#REF!</v>
      </c>
      <c r="N355" s="129" t="e">
        <f t="shared" si="19"/>
        <v>#REF!</v>
      </c>
      <c r="O355" s="129"/>
    </row>
    <row r="356" spans="1:15">
      <c r="A356" s="67" t="e">
        <f>'BC.115+040'!B355</f>
        <v>#REF!</v>
      </c>
      <c r="B356" s="129">
        <f t="shared" si="16"/>
        <v>342</v>
      </c>
      <c r="C356" s="131" t="e">
        <f>'BC.115+040'!M355/1000</f>
        <v>#REF!</v>
      </c>
      <c r="D356" s="131" t="e">
        <f>'BC.115+040'!AA355</f>
        <v>#REF!</v>
      </c>
      <c r="E356" s="132" t="e">
        <f>'BC.115+040'!AB355</f>
        <v>#REF!</v>
      </c>
      <c r="F356" s="131" t="e">
        <f>VLOOKUP($A356,'BC.115+040'!$B$13:$X$489,8,0)/1000</f>
        <v>#REF!</v>
      </c>
      <c r="G356" s="131" t="e">
        <f>VLOOKUP($A356,'BC.115+040'!$B$13:$X$489,9,0)/1000</f>
        <v>#REF!</v>
      </c>
      <c r="H356" s="131" t="e">
        <f>VLOOKUP($A356,'BC.115+040'!$B$13:$X$489,14,0)/1000</f>
        <v>#REF!</v>
      </c>
      <c r="I356" s="131" t="e">
        <f>VLOOKUP($A356,'BC.115+040'!$B$13:$X$489,15,0)/1000</f>
        <v>#REF!</v>
      </c>
      <c r="J356" s="131" t="e">
        <f>VLOOKUP($A356,'BC.115+040'!$B$13:$X$489,20,0)/1000</f>
        <v>#REF!</v>
      </c>
      <c r="K356" s="131" t="e">
        <f>VLOOKUP($A356,'BC.115+040'!$B$13:$X$489,21,0)/1000</f>
        <v>#REF!</v>
      </c>
      <c r="L356" s="129" t="e">
        <f t="shared" si="17"/>
        <v>#REF!</v>
      </c>
      <c r="M356" s="130" t="e">
        <f t="shared" si="18"/>
        <v>#REF!</v>
      </c>
      <c r="N356" s="129" t="e">
        <f t="shared" si="19"/>
        <v>#REF!</v>
      </c>
      <c r="O356" s="129"/>
    </row>
    <row r="357" spans="1:15">
      <c r="A357" s="67" t="e">
        <f>'BC.115+040'!B356</f>
        <v>#REF!</v>
      </c>
      <c r="B357" s="129">
        <f t="shared" si="16"/>
        <v>343</v>
      </c>
      <c r="C357" s="131" t="e">
        <f>'BC.115+040'!M356/1000</f>
        <v>#REF!</v>
      </c>
      <c r="D357" s="131" t="e">
        <f>'BC.115+040'!AA356</f>
        <v>#REF!</v>
      </c>
      <c r="E357" s="132" t="e">
        <f>'BC.115+040'!AB356</f>
        <v>#REF!</v>
      </c>
      <c r="F357" s="131" t="e">
        <f>VLOOKUP($A357,'BC.115+040'!$B$13:$X$489,8,0)/1000</f>
        <v>#REF!</v>
      </c>
      <c r="G357" s="131" t="e">
        <f>VLOOKUP($A357,'BC.115+040'!$B$13:$X$489,9,0)/1000</f>
        <v>#REF!</v>
      </c>
      <c r="H357" s="131" t="e">
        <f>VLOOKUP($A357,'BC.115+040'!$B$13:$X$489,14,0)/1000</f>
        <v>#REF!</v>
      </c>
      <c r="I357" s="131" t="e">
        <f>VLOOKUP($A357,'BC.115+040'!$B$13:$X$489,15,0)/1000</f>
        <v>#REF!</v>
      </c>
      <c r="J357" s="131" t="e">
        <f>VLOOKUP($A357,'BC.115+040'!$B$13:$X$489,20,0)/1000</f>
        <v>#REF!</v>
      </c>
      <c r="K357" s="131" t="e">
        <f>VLOOKUP($A357,'BC.115+040'!$B$13:$X$489,21,0)/1000</f>
        <v>#REF!</v>
      </c>
      <c r="L357" s="129" t="e">
        <f t="shared" si="17"/>
        <v>#REF!</v>
      </c>
      <c r="M357" s="130" t="e">
        <f t="shared" si="18"/>
        <v>#REF!</v>
      </c>
      <c r="N357" s="129" t="e">
        <f t="shared" si="19"/>
        <v>#REF!</v>
      </c>
      <c r="O357" s="129"/>
    </row>
    <row r="358" spans="1:15">
      <c r="A358" s="67" t="e">
        <f>'BC.115+040'!B357</f>
        <v>#REF!</v>
      </c>
      <c r="B358" s="129">
        <f t="shared" si="16"/>
        <v>344</v>
      </c>
      <c r="C358" s="131" t="e">
        <f>'BC.115+040'!M357/1000</f>
        <v>#REF!</v>
      </c>
      <c r="D358" s="131" t="e">
        <f>'BC.115+040'!AA357</f>
        <v>#REF!</v>
      </c>
      <c r="E358" s="132" t="e">
        <f>'BC.115+040'!AB357</f>
        <v>#REF!</v>
      </c>
      <c r="F358" s="131" t="e">
        <f>VLOOKUP($A358,'BC.115+040'!$B$13:$X$489,8,0)/1000</f>
        <v>#REF!</v>
      </c>
      <c r="G358" s="131" t="e">
        <f>VLOOKUP($A358,'BC.115+040'!$B$13:$X$489,9,0)/1000</f>
        <v>#REF!</v>
      </c>
      <c r="H358" s="131" t="e">
        <f>VLOOKUP($A358,'BC.115+040'!$B$13:$X$489,14,0)/1000</f>
        <v>#REF!</v>
      </c>
      <c r="I358" s="131" t="e">
        <f>VLOOKUP($A358,'BC.115+040'!$B$13:$X$489,15,0)/1000</f>
        <v>#REF!</v>
      </c>
      <c r="J358" s="131" t="e">
        <f>VLOOKUP($A358,'BC.115+040'!$B$13:$X$489,20,0)/1000</f>
        <v>#REF!</v>
      </c>
      <c r="K358" s="131" t="e">
        <f>VLOOKUP($A358,'BC.115+040'!$B$13:$X$489,21,0)/1000</f>
        <v>#REF!</v>
      </c>
      <c r="L358" s="129" t="e">
        <f t="shared" si="17"/>
        <v>#REF!</v>
      </c>
      <c r="M358" s="130" t="e">
        <f t="shared" si="18"/>
        <v>#REF!</v>
      </c>
      <c r="N358" s="129" t="e">
        <f t="shared" si="19"/>
        <v>#REF!</v>
      </c>
      <c r="O358" s="129"/>
    </row>
    <row r="359" spans="1:15">
      <c r="A359" s="67" t="e">
        <f>'BC.115+040'!B358</f>
        <v>#REF!</v>
      </c>
      <c r="B359" s="129">
        <f t="shared" si="16"/>
        <v>345</v>
      </c>
      <c r="C359" s="131" t="e">
        <f>'BC.115+040'!M358/1000</f>
        <v>#REF!</v>
      </c>
      <c r="D359" s="131" t="e">
        <f>'BC.115+040'!AA358</f>
        <v>#REF!</v>
      </c>
      <c r="E359" s="132" t="e">
        <f>'BC.115+040'!AB358</f>
        <v>#REF!</v>
      </c>
      <c r="F359" s="131" t="e">
        <f>VLOOKUP($A359,'BC.115+040'!$B$13:$X$489,8,0)/1000</f>
        <v>#REF!</v>
      </c>
      <c r="G359" s="131" t="e">
        <f>VLOOKUP($A359,'BC.115+040'!$B$13:$X$489,9,0)/1000</f>
        <v>#REF!</v>
      </c>
      <c r="H359" s="131" t="e">
        <f>VLOOKUP($A359,'BC.115+040'!$B$13:$X$489,14,0)/1000</f>
        <v>#REF!</v>
      </c>
      <c r="I359" s="131" t="e">
        <f>VLOOKUP($A359,'BC.115+040'!$B$13:$X$489,15,0)/1000</f>
        <v>#REF!</v>
      </c>
      <c r="J359" s="131" t="e">
        <f>VLOOKUP($A359,'BC.115+040'!$B$13:$X$489,20,0)/1000</f>
        <v>#REF!</v>
      </c>
      <c r="K359" s="131" t="e">
        <f>VLOOKUP($A359,'BC.115+040'!$B$13:$X$489,21,0)/1000</f>
        <v>#REF!</v>
      </c>
      <c r="L359" s="129" t="e">
        <f t="shared" si="17"/>
        <v>#REF!</v>
      </c>
      <c r="M359" s="130" t="e">
        <f t="shared" si="18"/>
        <v>#REF!</v>
      </c>
      <c r="N359" s="129" t="e">
        <f t="shared" si="19"/>
        <v>#REF!</v>
      </c>
      <c r="O359" s="129"/>
    </row>
    <row r="360" spans="1:15">
      <c r="A360" s="67" t="e">
        <f>'BC.115+040'!B359</f>
        <v>#REF!</v>
      </c>
      <c r="B360" s="129">
        <f t="shared" si="16"/>
        <v>346</v>
      </c>
      <c r="C360" s="131" t="e">
        <f>'BC.115+040'!M359/1000</f>
        <v>#REF!</v>
      </c>
      <c r="D360" s="131" t="e">
        <f>'BC.115+040'!AA359</f>
        <v>#REF!</v>
      </c>
      <c r="E360" s="132" t="e">
        <f>'BC.115+040'!AB359</f>
        <v>#REF!</v>
      </c>
      <c r="F360" s="131" t="e">
        <f>VLOOKUP($A360,'BC.115+040'!$B$13:$X$489,8,0)/1000</f>
        <v>#REF!</v>
      </c>
      <c r="G360" s="131" t="e">
        <f>VLOOKUP($A360,'BC.115+040'!$B$13:$X$489,9,0)/1000</f>
        <v>#REF!</v>
      </c>
      <c r="H360" s="131" t="e">
        <f>VLOOKUP($A360,'BC.115+040'!$B$13:$X$489,14,0)/1000</f>
        <v>#REF!</v>
      </c>
      <c r="I360" s="131" t="e">
        <f>VLOOKUP($A360,'BC.115+040'!$B$13:$X$489,15,0)/1000</f>
        <v>#REF!</v>
      </c>
      <c r="J360" s="131" t="e">
        <f>VLOOKUP($A360,'BC.115+040'!$B$13:$X$489,20,0)/1000</f>
        <v>#REF!</v>
      </c>
      <c r="K360" s="131" t="e">
        <f>VLOOKUP($A360,'BC.115+040'!$B$13:$X$489,21,0)/1000</f>
        <v>#REF!</v>
      </c>
      <c r="L360" s="129" t="e">
        <f t="shared" si="17"/>
        <v>#REF!</v>
      </c>
      <c r="M360" s="130" t="e">
        <f t="shared" si="18"/>
        <v>#REF!</v>
      </c>
      <c r="N360" s="129" t="e">
        <f t="shared" si="19"/>
        <v>#REF!</v>
      </c>
      <c r="O360" s="129"/>
    </row>
    <row r="361" spans="1:15">
      <c r="A361" s="67" t="e">
        <f>'BC.115+040'!B360</f>
        <v>#REF!</v>
      </c>
      <c r="B361" s="129">
        <f t="shared" si="16"/>
        <v>347</v>
      </c>
      <c r="C361" s="131" t="e">
        <f>'BC.115+040'!M360/1000</f>
        <v>#REF!</v>
      </c>
      <c r="D361" s="131" t="e">
        <f>'BC.115+040'!AA360</f>
        <v>#REF!</v>
      </c>
      <c r="E361" s="132" t="e">
        <f>'BC.115+040'!AB360</f>
        <v>#REF!</v>
      </c>
      <c r="F361" s="131" t="e">
        <f>VLOOKUP($A361,'BC.115+040'!$B$13:$X$489,8,0)/1000</f>
        <v>#REF!</v>
      </c>
      <c r="G361" s="131" t="e">
        <f>VLOOKUP($A361,'BC.115+040'!$B$13:$X$489,9,0)/1000</f>
        <v>#REF!</v>
      </c>
      <c r="H361" s="131" t="e">
        <f>VLOOKUP($A361,'BC.115+040'!$B$13:$X$489,14,0)/1000</f>
        <v>#REF!</v>
      </c>
      <c r="I361" s="131" t="e">
        <f>VLOOKUP($A361,'BC.115+040'!$B$13:$X$489,15,0)/1000</f>
        <v>#REF!</v>
      </c>
      <c r="J361" s="131" t="e">
        <f>VLOOKUP($A361,'BC.115+040'!$B$13:$X$489,20,0)/1000</f>
        <v>#REF!</v>
      </c>
      <c r="K361" s="131" t="e">
        <f>VLOOKUP($A361,'BC.115+040'!$B$13:$X$489,21,0)/1000</f>
        <v>#REF!</v>
      </c>
      <c r="L361" s="129" t="e">
        <f t="shared" si="17"/>
        <v>#REF!</v>
      </c>
      <c r="M361" s="130" t="e">
        <f t="shared" si="18"/>
        <v>#REF!</v>
      </c>
      <c r="N361" s="129" t="e">
        <f t="shared" si="19"/>
        <v>#REF!</v>
      </c>
      <c r="O361" s="129"/>
    </row>
    <row r="362" spans="1:15">
      <c r="A362" s="67" t="e">
        <f>'BC.115+040'!B361</f>
        <v>#REF!</v>
      </c>
      <c r="B362" s="129">
        <f t="shared" si="16"/>
        <v>348</v>
      </c>
      <c r="C362" s="131" t="e">
        <f>'BC.115+040'!M361/1000</f>
        <v>#REF!</v>
      </c>
      <c r="D362" s="131" t="e">
        <f>'BC.115+040'!AA361</f>
        <v>#REF!</v>
      </c>
      <c r="E362" s="132" t="e">
        <f>'BC.115+040'!AB361</f>
        <v>#REF!</v>
      </c>
      <c r="F362" s="131" t="e">
        <f>VLOOKUP($A362,'BC.115+040'!$B$13:$X$489,8,0)/1000</f>
        <v>#REF!</v>
      </c>
      <c r="G362" s="131" t="e">
        <f>VLOOKUP($A362,'BC.115+040'!$B$13:$X$489,9,0)/1000</f>
        <v>#REF!</v>
      </c>
      <c r="H362" s="131" t="e">
        <f>VLOOKUP($A362,'BC.115+040'!$B$13:$X$489,14,0)/1000</f>
        <v>#REF!</v>
      </c>
      <c r="I362" s="131" t="e">
        <f>VLOOKUP($A362,'BC.115+040'!$B$13:$X$489,15,0)/1000</f>
        <v>#REF!</v>
      </c>
      <c r="J362" s="131" t="e">
        <f>VLOOKUP($A362,'BC.115+040'!$B$13:$X$489,20,0)/1000</f>
        <v>#REF!</v>
      </c>
      <c r="K362" s="131" t="e">
        <f>VLOOKUP($A362,'BC.115+040'!$B$13:$X$489,21,0)/1000</f>
        <v>#REF!</v>
      </c>
      <c r="L362" s="129" t="e">
        <f t="shared" si="17"/>
        <v>#REF!</v>
      </c>
      <c r="M362" s="130" t="e">
        <f t="shared" si="18"/>
        <v>#REF!</v>
      </c>
      <c r="N362" s="129" t="e">
        <f t="shared" si="19"/>
        <v>#REF!</v>
      </c>
      <c r="O362" s="129"/>
    </row>
    <row r="363" spans="1:15">
      <c r="A363" s="67" t="e">
        <f>'BC.115+040'!B362</f>
        <v>#REF!</v>
      </c>
      <c r="B363" s="129">
        <f t="shared" si="16"/>
        <v>349</v>
      </c>
      <c r="C363" s="131" t="e">
        <f>'BC.115+040'!M362/1000</f>
        <v>#REF!</v>
      </c>
      <c r="D363" s="131" t="e">
        <f>'BC.115+040'!AA362</f>
        <v>#REF!</v>
      </c>
      <c r="E363" s="132" t="e">
        <f>'BC.115+040'!AB362</f>
        <v>#REF!</v>
      </c>
      <c r="F363" s="131" t="e">
        <f>VLOOKUP($A363,'BC.115+040'!$B$13:$X$489,8,0)/1000</f>
        <v>#REF!</v>
      </c>
      <c r="G363" s="131" t="e">
        <f>VLOOKUP($A363,'BC.115+040'!$B$13:$X$489,9,0)/1000</f>
        <v>#REF!</v>
      </c>
      <c r="H363" s="131" t="e">
        <f>VLOOKUP($A363,'BC.115+040'!$B$13:$X$489,14,0)/1000</f>
        <v>#REF!</v>
      </c>
      <c r="I363" s="131" t="e">
        <f>VLOOKUP($A363,'BC.115+040'!$B$13:$X$489,15,0)/1000</f>
        <v>#REF!</v>
      </c>
      <c r="J363" s="131" t="e">
        <f>VLOOKUP($A363,'BC.115+040'!$B$13:$X$489,20,0)/1000</f>
        <v>#REF!</v>
      </c>
      <c r="K363" s="131" t="e">
        <f>VLOOKUP($A363,'BC.115+040'!$B$13:$X$489,21,0)/1000</f>
        <v>#REF!</v>
      </c>
      <c r="L363" s="129" t="e">
        <f t="shared" si="17"/>
        <v>#REF!</v>
      </c>
      <c r="M363" s="130" t="e">
        <f t="shared" si="18"/>
        <v>#REF!</v>
      </c>
      <c r="N363" s="129" t="e">
        <f t="shared" si="19"/>
        <v>#REF!</v>
      </c>
      <c r="O363" s="129"/>
    </row>
    <row r="364" spans="1:15">
      <c r="A364" s="67" t="e">
        <f>'BC.115+040'!B363</f>
        <v>#REF!</v>
      </c>
      <c r="B364" s="129">
        <f t="shared" si="16"/>
        <v>350</v>
      </c>
      <c r="C364" s="131" t="e">
        <f>'BC.115+040'!M363/1000</f>
        <v>#REF!</v>
      </c>
      <c r="D364" s="131" t="e">
        <f>'BC.115+040'!AA363</f>
        <v>#REF!</v>
      </c>
      <c r="E364" s="132" t="e">
        <f>'BC.115+040'!AB363</f>
        <v>#REF!</v>
      </c>
      <c r="F364" s="131" t="e">
        <f>VLOOKUP($A364,'BC.115+040'!$B$13:$X$489,8,0)/1000</f>
        <v>#REF!</v>
      </c>
      <c r="G364" s="131" t="e">
        <f>VLOOKUP($A364,'BC.115+040'!$B$13:$X$489,9,0)/1000</f>
        <v>#REF!</v>
      </c>
      <c r="H364" s="131" t="e">
        <f>VLOOKUP($A364,'BC.115+040'!$B$13:$X$489,14,0)/1000</f>
        <v>#REF!</v>
      </c>
      <c r="I364" s="131" t="e">
        <f>VLOOKUP($A364,'BC.115+040'!$B$13:$X$489,15,0)/1000</f>
        <v>#REF!</v>
      </c>
      <c r="J364" s="131" t="e">
        <f>VLOOKUP($A364,'BC.115+040'!$B$13:$X$489,20,0)/1000</f>
        <v>#REF!</v>
      </c>
      <c r="K364" s="131" t="e">
        <f>VLOOKUP($A364,'BC.115+040'!$B$13:$X$489,21,0)/1000</f>
        <v>#REF!</v>
      </c>
      <c r="L364" s="129" t="e">
        <f t="shared" si="17"/>
        <v>#REF!</v>
      </c>
      <c r="M364" s="130" t="e">
        <f t="shared" si="18"/>
        <v>#REF!</v>
      </c>
      <c r="N364" s="129" t="e">
        <f t="shared" si="19"/>
        <v>#REF!</v>
      </c>
      <c r="O364" s="129"/>
    </row>
    <row r="365" spans="1:15">
      <c r="A365" s="67" t="e">
        <f>'BC.115+040'!B364</f>
        <v>#REF!</v>
      </c>
      <c r="B365" s="129">
        <f t="shared" si="16"/>
        <v>351</v>
      </c>
      <c r="C365" s="131" t="e">
        <f>'BC.115+040'!M364/1000</f>
        <v>#REF!</v>
      </c>
      <c r="D365" s="131" t="e">
        <f>'BC.115+040'!AA364</f>
        <v>#REF!</v>
      </c>
      <c r="E365" s="132" t="e">
        <f>'BC.115+040'!AB364</f>
        <v>#REF!</v>
      </c>
      <c r="F365" s="131" t="e">
        <f>VLOOKUP($A365,'BC.115+040'!$B$13:$X$489,8,0)/1000</f>
        <v>#REF!</v>
      </c>
      <c r="G365" s="131" t="e">
        <f>VLOOKUP($A365,'BC.115+040'!$B$13:$X$489,9,0)/1000</f>
        <v>#REF!</v>
      </c>
      <c r="H365" s="131" t="e">
        <f>VLOOKUP($A365,'BC.115+040'!$B$13:$X$489,14,0)/1000</f>
        <v>#REF!</v>
      </c>
      <c r="I365" s="131" t="e">
        <f>VLOOKUP($A365,'BC.115+040'!$B$13:$X$489,15,0)/1000</f>
        <v>#REF!</v>
      </c>
      <c r="J365" s="131" t="e">
        <f>VLOOKUP($A365,'BC.115+040'!$B$13:$X$489,20,0)/1000</f>
        <v>#REF!</v>
      </c>
      <c r="K365" s="131" t="e">
        <f>VLOOKUP($A365,'BC.115+040'!$B$13:$X$489,21,0)/1000</f>
        <v>#REF!</v>
      </c>
      <c r="L365" s="129" t="e">
        <f t="shared" si="17"/>
        <v>#REF!</v>
      </c>
      <c r="M365" s="130" t="e">
        <f t="shared" si="18"/>
        <v>#REF!</v>
      </c>
      <c r="N365" s="129" t="e">
        <f t="shared" si="19"/>
        <v>#REF!</v>
      </c>
      <c r="O365" s="129"/>
    </row>
    <row r="366" spans="1:15">
      <c r="A366" s="67" t="e">
        <f>'BC.115+040'!B365</f>
        <v>#REF!</v>
      </c>
      <c r="B366" s="129">
        <f t="shared" si="16"/>
        <v>352</v>
      </c>
      <c r="C366" s="131" t="e">
        <f>'BC.115+040'!M365/1000</f>
        <v>#REF!</v>
      </c>
      <c r="D366" s="131" t="e">
        <f>'BC.115+040'!AA365</f>
        <v>#REF!</v>
      </c>
      <c r="E366" s="132" t="e">
        <f>'BC.115+040'!AB365</f>
        <v>#REF!</v>
      </c>
      <c r="F366" s="131" t="e">
        <f>VLOOKUP($A366,'BC.115+040'!$B$13:$X$489,8,0)/1000</f>
        <v>#REF!</v>
      </c>
      <c r="G366" s="131" t="e">
        <f>VLOOKUP($A366,'BC.115+040'!$B$13:$X$489,9,0)/1000</f>
        <v>#REF!</v>
      </c>
      <c r="H366" s="131" t="e">
        <f>VLOOKUP($A366,'BC.115+040'!$B$13:$X$489,14,0)/1000</f>
        <v>#REF!</v>
      </c>
      <c r="I366" s="131" t="e">
        <f>VLOOKUP($A366,'BC.115+040'!$B$13:$X$489,15,0)/1000</f>
        <v>#REF!</v>
      </c>
      <c r="J366" s="131" t="e">
        <f>VLOOKUP($A366,'BC.115+040'!$B$13:$X$489,20,0)/1000</f>
        <v>#REF!</v>
      </c>
      <c r="K366" s="131" t="e">
        <f>VLOOKUP($A366,'BC.115+040'!$B$13:$X$489,21,0)/1000</f>
        <v>#REF!</v>
      </c>
      <c r="L366" s="129" t="e">
        <f t="shared" si="17"/>
        <v>#REF!</v>
      </c>
      <c r="M366" s="130" t="e">
        <f t="shared" si="18"/>
        <v>#REF!</v>
      </c>
      <c r="N366" s="129" t="e">
        <f t="shared" si="19"/>
        <v>#REF!</v>
      </c>
      <c r="O366" s="129"/>
    </row>
    <row r="367" spans="1:15">
      <c r="A367" s="67" t="e">
        <f>'BC.115+040'!B366</f>
        <v>#REF!</v>
      </c>
      <c r="B367" s="129">
        <f t="shared" si="16"/>
        <v>353</v>
      </c>
      <c r="C367" s="131" t="e">
        <f>'BC.115+040'!M366/1000</f>
        <v>#REF!</v>
      </c>
      <c r="D367" s="131" t="e">
        <f>'BC.115+040'!AA366</f>
        <v>#REF!</v>
      </c>
      <c r="E367" s="132" t="e">
        <f>'BC.115+040'!AB366</f>
        <v>#REF!</v>
      </c>
      <c r="F367" s="131" t="e">
        <f>VLOOKUP($A367,'BC.115+040'!$B$13:$X$489,8,0)/1000</f>
        <v>#REF!</v>
      </c>
      <c r="G367" s="131" t="e">
        <f>VLOOKUP($A367,'BC.115+040'!$B$13:$X$489,9,0)/1000</f>
        <v>#REF!</v>
      </c>
      <c r="H367" s="131" t="e">
        <f>VLOOKUP($A367,'BC.115+040'!$B$13:$X$489,14,0)/1000</f>
        <v>#REF!</v>
      </c>
      <c r="I367" s="131" t="e">
        <f>VLOOKUP($A367,'BC.115+040'!$B$13:$X$489,15,0)/1000</f>
        <v>#REF!</v>
      </c>
      <c r="J367" s="131" t="e">
        <f>VLOOKUP($A367,'BC.115+040'!$B$13:$X$489,20,0)/1000</f>
        <v>#REF!</v>
      </c>
      <c r="K367" s="131" t="e">
        <f>VLOOKUP($A367,'BC.115+040'!$B$13:$X$489,21,0)/1000</f>
        <v>#REF!</v>
      </c>
      <c r="L367" s="129" t="e">
        <f t="shared" si="17"/>
        <v>#REF!</v>
      </c>
      <c r="M367" s="130" t="e">
        <f t="shared" si="18"/>
        <v>#REF!</v>
      </c>
      <c r="N367" s="129" t="e">
        <f t="shared" si="19"/>
        <v>#REF!</v>
      </c>
      <c r="O367" s="129"/>
    </row>
    <row r="368" spans="1:15">
      <c r="A368" s="67" t="e">
        <f>'BC.115+040'!B367</f>
        <v>#REF!</v>
      </c>
      <c r="B368" s="129">
        <f t="shared" si="16"/>
        <v>354</v>
      </c>
      <c r="C368" s="131" t="e">
        <f>'BC.115+040'!M367/1000</f>
        <v>#REF!</v>
      </c>
      <c r="D368" s="131" t="e">
        <f>'BC.115+040'!AA367</f>
        <v>#REF!</v>
      </c>
      <c r="E368" s="132" t="e">
        <f>'BC.115+040'!AB367</f>
        <v>#REF!</v>
      </c>
      <c r="F368" s="131" t="e">
        <f>VLOOKUP($A368,'BC.115+040'!$B$13:$X$489,8,0)/1000</f>
        <v>#REF!</v>
      </c>
      <c r="G368" s="131" t="e">
        <f>VLOOKUP($A368,'BC.115+040'!$B$13:$X$489,9,0)/1000</f>
        <v>#REF!</v>
      </c>
      <c r="H368" s="131" t="e">
        <f>VLOOKUP($A368,'BC.115+040'!$B$13:$X$489,14,0)/1000</f>
        <v>#REF!</v>
      </c>
      <c r="I368" s="131" t="e">
        <f>VLOOKUP($A368,'BC.115+040'!$B$13:$X$489,15,0)/1000</f>
        <v>#REF!</v>
      </c>
      <c r="J368" s="131" t="e">
        <f>VLOOKUP($A368,'BC.115+040'!$B$13:$X$489,20,0)/1000</f>
        <v>#REF!</v>
      </c>
      <c r="K368" s="131" t="e">
        <f>VLOOKUP($A368,'BC.115+040'!$B$13:$X$489,21,0)/1000</f>
        <v>#REF!</v>
      </c>
      <c r="L368" s="129" t="e">
        <f t="shared" si="17"/>
        <v>#REF!</v>
      </c>
      <c r="M368" s="130" t="e">
        <f t="shared" si="18"/>
        <v>#REF!</v>
      </c>
      <c r="N368" s="129" t="e">
        <f t="shared" si="19"/>
        <v>#REF!</v>
      </c>
      <c r="O368" s="129"/>
    </row>
    <row r="369" spans="1:15">
      <c r="A369" s="67" t="e">
        <f>'BC.115+040'!B368</f>
        <v>#REF!</v>
      </c>
      <c r="B369" s="129">
        <f t="shared" si="16"/>
        <v>355</v>
      </c>
      <c r="C369" s="131" t="e">
        <f>'BC.115+040'!M368/1000</f>
        <v>#REF!</v>
      </c>
      <c r="D369" s="131" t="e">
        <f>'BC.115+040'!AA368</f>
        <v>#REF!</v>
      </c>
      <c r="E369" s="132" t="e">
        <f>'BC.115+040'!AB368</f>
        <v>#REF!</v>
      </c>
      <c r="F369" s="131" t="e">
        <f>VLOOKUP($A369,'BC.115+040'!$B$13:$X$489,8,0)/1000</f>
        <v>#REF!</v>
      </c>
      <c r="G369" s="131" t="e">
        <f>VLOOKUP($A369,'BC.115+040'!$B$13:$X$489,9,0)/1000</f>
        <v>#REF!</v>
      </c>
      <c r="H369" s="131" t="e">
        <f>VLOOKUP($A369,'BC.115+040'!$B$13:$X$489,14,0)/1000</f>
        <v>#REF!</v>
      </c>
      <c r="I369" s="131" t="e">
        <f>VLOOKUP($A369,'BC.115+040'!$B$13:$X$489,15,0)/1000</f>
        <v>#REF!</v>
      </c>
      <c r="J369" s="131" t="e">
        <f>VLOOKUP($A369,'BC.115+040'!$B$13:$X$489,20,0)/1000</f>
        <v>#REF!</v>
      </c>
      <c r="K369" s="131" t="e">
        <f>VLOOKUP($A369,'BC.115+040'!$B$13:$X$489,21,0)/1000</f>
        <v>#REF!</v>
      </c>
      <c r="L369" s="129" t="e">
        <f t="shared" si="17"/>
        <v>#REF!</v>
      </c>
      <c r="M369" s="130" t="e">
        <f t="shared" si="18"/>
        <v>#REF!</v>
      </c>
      <c r="N369" s="129" t="e">
        <f t="shared" si="19"/>
        <v>#REF!</v>
      </c>
      <c r="O369" s="129"/>
    </row>
    <row r="370" spans="1:15">
      <c r="A370" s="67" t="e">
        <f>'BC.115+040'!B369</f>
        <v>#REF!</v>
      </c>
      <c r="B370" s="129">
        <f t="shared" si="16"/>
        <v>356</v>
      </c>
      <c r="C370" s="131" t="e">
        <f>'BC.115+040'!M369/1000</f>
        <v>#REF!</v>
      </c>
      <c r="D370" s="131" t="e">
        <f>'BC.115+040'!AA369</f>
        <v>#REF!</v>
      </c>
      <c r="E370" s="132" t="e">
        <f>'BC.115+040'!AB369</f>
        <v>#REF!</v>
      </c>
      <c r="F370" s="131" t="e">
        <f>VLOOKUP($A370,'BC.115+040'!$B$13:$X$489,8,0)/1000</f>
        <v>#REF!</v>
      </c>
      <c r="G370" s="131" t="e">
        <f>VLOOKUP($A370,'BC.115+040'!$B$13:$X$489,9,0)/1000</f>
        <v>#REF!</v>
      </c>
      <c r="H370" s="131" t="e">
        <f>VLOOKUP($A370,'BC.115+040'!$B$13:$X$489,14,0)/1000</f>
        <v>#REF!</v>
      </c>
      <c r="I370" s="131" t="e">
        <f>VLOOKUP($A370,'BC.115+040'!$B$13:$X$489,15,0)/1000</f>
        <v>#REF!</v>
      </c>
      <c r="J370" s="131" t="e">
        <f>VLOOKUP($A370,'BC.115+040'!$B$13:$X$489,20,0)/1000</f>
        <v>#REF!</v>
      </c>
      <c r="K370" s="131" t="e">
        <f>VLOOKUP($A370,'BC.115+040'!$B$13:$X$489,21,0)/1000</f>
        <v>#REF!</v>
      </c>
      <c r="L370" s="129" t="e">
        <f t="shared" si="17"/>
        <v>#REF!</v>
      </c>
      <c r="M370" s="130" t="e">
        <f t="shared" si="18"/>
        <v>#REF!</v>
      </c>
      <c r="N370" s="129" t="e">
        <f t="shared" si="19"/>
        <v>#REF!</v>
      </c>
      <c r="O370" s="129"/>
    </row>
    <row r="371" spans="1:15">
      <c r="A371" s="67" t="e">
        <f>'BC.115+040'!B370</f>
        <v>#REF!</v>
      </c>
      <c r="B371" s="129">
        <f t="shared" si="16"/>
        <v>357</v>
      </c>
      <c r="C371" s="131" t="e">
        <f>'BC.115+040'!M370/1000</f>
        <v>#REF!</v>
      </c>
      <c r="D371" s="131" t="e">
        <f>'BC.115+040'!AA370</f>
        <v>#REF!</v>
      </c>
      <c r="E371" s="132" t="e">
        <f>'BC.115+040'!AB370</f>
        <v>#REF!</v>
      </c>
      <c r="F371" s="131" t="e">
        <f>VLOOKUP($A371,'BC.115+040'!$B$13:$X$489,8,0)/1000</f>
        <v>#REF!</v>
      </c>
      <c r="G371" s="131" t="e">
        <f>VLOOKUP($A371,'BC.115+040'!$B$13:$X$489,9,0)/1000</f>
        <v>#REF!</v>
      </c>
      <c r="H371" s="131" t="e">
        <f>VLOOKUP($A371,'BC.115+040'!$B$13:$X$489,14,0)/1000</f>
        <v>#REF!</v>
      </c>
      <c r="I371" s="131" t="e">
        <f>VLOOKUP($A371,'BC.115+040'!$B$13:$X$489,15,0)/1000</f>
        <v>#REF!</v>
      </c>
      <c r="J371" s="131" t="e">
        <f>VLOOKUP($A371,'BC.115+040'!$B$13:$X$489,20,0)/1000</f>
        <v>#REF!</v>
      </c>
      <c r="K371" s="131" t="e">
        <f>VLOOKUP($A371,'BC.115+040'!$B$13:$X$489,21,0)/1000</f>
        <v>#REF!</v>
      </c>
      <c r="L371" s="129" t="e">
        <f t="shared" si="17"/>
        <v>#REF!</v>
      </c>
      <c r="M371" s="130" t="e">
        <f t="shared" si="18"/>
        <v>#REF!</v>
      </c>
      <c r="N371" s="129" t="e">
        <f t="shared" si="19"/>
        <v>#REF!</v>
      </c>
      <c r="O371" s="129"/>
    </row>
    <row r="372" spans="1:15">
      <c r="A372" s="67" t="e">
        <f>'BC.115+040'!B371</f>
        <v>#REF!</v>
      </c>
      <c r="B372" s="129">
        <f t="shared" si="16"/>
        <v>358</v>
      </c>
      <c r="C372" s="131" t="e">
        <f>'BC.115+040'!M371/1000</f>
        <v>#REF!</v>
      </c>
      <c r="D372" s="131" t="e">
        <f>'BC.115+040'!AA371</f>
        <v>#REF!</v>
      </c>
      <c r="E372" s="132" t="e">
        <f>'BC.115+040'!AB371</f>
        <v>#REF!</v>
      </c>
      <c r="F372" s="131" t="e">
        <f>VLOOKUP($A372,'BC.115+040'!$B$13:$X$489,8,0)/1000</f>
        <v>#REF!</v>
      </c>
      <c r="G372" s="131" t="e">
        <f>VLOOKUP($A372,'BC.115+040'!$B$13:$X$489,9,0)/1000</f>
        <v>#REF!</v>
      </c>
      <c r="H372" s="131" t="e">
        <f>VLOOKUP($A372,'BC.115+040'!$B$13:$X$489,14,0)/1000</f>
        <v>#REF!</v>
      </c>
      <c r="I372" s="131" t="e">
        <f>VLOOKUP($A372,'BC.115+040'!$B$13:$X$489,15,0)/1000</f>
        <v>#REF!</v>
      </c>
      <c r="J372" s="131" t="e">
        <f>VLOOKUP($A372,'BC.115+040'!$B$13:$X$489,20,0)/1000</f>
        <v>#REF!</v>
      </c>
      <c r="K372" s="131" t="e">
        <f>VLOOKUP($A372,'BC.115+040'!$B$13:$X$489,21,0)/1000</f>
        <v>#REF!</v>
      </c>
      <c r="L372" s="129" t="e">
        <f t="shared" si="17"/>
        <v>#REF!</v>
      </c>
      <c r="M372" s="130" t="e">
        <f t="shared" si="18"/>
        <v>#REF!</v>
      </c>
      <c r="N372" s="129" t="e">
        <f t="shared" si="19"/>
        <v>#REF!</v>
      </c>
      <c r="O372" s="129"/>
    </row>
    <row r="373" spans="1:15">
      <c r="A373" s="67" t="e">
        <f>'BC.115+040'!B372</f>
        <v>#REF!</v>
      </c>
      <c r="B373" s="129">
        <f t="shared" si="16"/>
        <v>359</v>
      </c>
      <c r="C373" s="131" t="e">
        <f>'BC.115+040'!M372/1000</f>
        <v>#REF!</v>
      </c>
      <c r="D373" s="131" t="e">
        <f>'BC.115+040'!AA372</f>
        <v>#REF!</v>
      </c>
      <c r="E373" s="132" t="e">
        <f>'BC.115+040'!AB372</f>
        <v>#REF!</v>
      </c>
      <c r="F373" s="131" t="e">
        <f>VLOOKUP($A373,'BC.115+040'!$B$13:$X$489,8,0)/1000</f>
        <v>#REF!</v>
      </c>
      <c r="G373" s="131" t="e">
        <f>VLOOKUP($A373,'BC.115+040'!$B$13:$X$489,9,0)/1000</f>
        <v>#REF!</v>
      </c>
      <c r="H373" s="131" t="e">
        <f>VLOOKUP($A373,'BC.115+040'!$B$13:$X$489,14,0)/1000</f>
        <v>#REF!</v>
      </c>
      <c r="I373" s="131" t="e">
        <f>VLOOKUP($A373,'BC.115+040'!$B$13:$X$489,15,0)/1000</f>
        <v>#REF!</v>
      </c>
      <c r="J373" s="131" t="e">
        <f>VLOOKUP($A373,'BC.115+040'!$B$13:$X$489,20,0)/1000</f>
        <v>#REF!</v>
      </c>
      <c r="K373" s="131" t="e">
        <f>VLOOKUP($A373,'BC.115+040'!$B$13:$X$489,21,0)/1000</f>
        <v>#REF!</v>
      </c>
      <c r="L373" s="129" t="e">
        <f t="shared" si="17"/>
        <v>#REF!</v>
      </c>
      <c r="M373" s="130" t="e">
        <f t="shared" si="18"/>
        <v>#REF!</v>
      </c>
      <c r="N373" s="129" t="e">
        <f t="shared" si="19"/>
        <v>#REF!</v>
      </c>
      <c r="O373" s="129"/>
    </row>
    <row r="374" spans="1:15">
      <c r="A374" s="67" t="e">
        <f>'BC.115+040'!B373</f>
        <v>#REF!</v>
      </c>
      <c r="B374" s="129">
        <f t="shared" si="16"/>
        <v>360</v>
      </c>
      <c r="C374" s="131" t="e">
        <f>'BC.115+040'!M373/1000</f>
        <v>#REF!</v>
      </c>
      <c r="D374" s="131" t="e">
        <f>'BC.115+040'!AA373</f>
        <v>#REF!</v>
      </c>
      <c r="E374" s="132" t="e">
        <f>'BC.115+040'!AB373</f>
        <v>#REF!</v>
      </c>
      <c r="F374" s="131" t="e">
        <f>VLOOKUP($A374,'BC.115+040'!$B$13:$X$489,8,0)/1000</f>
        <v>#REF!</v>
      </c>
      <c r="G374" s="131" t="e">
        <f>VLOOKUP($A374,'BC.115+040'!$B$13:$X$489,9,0)/1000</f>
        <v>#REF!</v>
      </c>
      <c r="H374" s="131" t="e">
        <f>VLOOKUP($A374,'BC.115+040'!$B$13:$X$489,14,0)/1000</f>
        <v>#REF!</v>
      </c>
      <c r="I374" s="131" t="e">
        <f>VLOOKUP($A374,'BC.115+040'!$B$13:$X$489,15,0)/1000</f>
        <v>#REF!</v>
      </c>
      <c r="J374" s="131" t="e">
        <f>VLOOKUP($A374,'BC.115+040'!$B$13:$X$489,20,0)/1000</f>
        <v>#REF!</v>
      </c>
      <c r="K374" s="131" t="e">
        <f>VLOOKUP($A374,'BC.115+040'!$B$13:$X$489,21,0)/1000</f>
        <v>#REF!</v>
      </c>
      <c r="L374" s="129" t="e">
        <f t="shared" si="17"/>
        <v>#REF!</v>
      </c>
      <c r="M374" s="130" t="e">
        <f t="shared" si="18"/>
        <v>#REF!</v>
      </c>
      <c r="N374" s="129" t="e">
        <f t="shared" si="19"/>
        <v>#REF!</v>
      </c>
      <c r="O374" s="129"/>
    </row>
    <row r="375" spans="1:15">
      <c r="A375" s="67" t="e">
        <f>'BC.115+040'!B374</f>
        <v>#REF!</v>
      </c>
      <c r="B375" s="129">
        <f t="shared" si="16"/>
        <v>361</v>
      </c>
      <c r="C375" s="131" t="e">
        <f>'BC.115+040'!M374/1000</f>
        <v>#REF!</v>
      </c>
      <c r="D375" s="131" t="e">
        <f>'BC.115+040'!AA374</f>
        <v>#REF!</v>
      </c>
      <c r="E375" s="132" t="e">
        <f>'BC.115+040'!AB374</f>
        <v>#REF!</v>
      </c>
      <c r="F375" s="131" t="e">
        <f>VLOOKUP($A375,'BC.115+040'!$B$13:$X$489,8,0)/1000</f>
        <v>#REF!</v>
      </c>
      <c r="G375" s="131" t="e">
        <f>VLOOKUP($A375,'BC.115+040'!$B$13:$X$489,9,0)/1000</f>
        <v>#REF!</v>
      </c>
      <c r="H375" s="131" t="e">
        <f>VLOOKUP($A375,'BC.115+040'!$B$13:$X$489,14,0)/1000</f>
        <v>#REF!</v>
      </c>
      <c r="I375" s="131" t="e">
        <f>VLOOKUP($A375,'BC.115+040'!$B$13:$X$489,15,0)/1000</f>
        <v>#REF!</v>
      </c>
      <c r="J375" s="131" t="e">
        <f>VLOOKUP($A375,'BC.115+040'!$B$13:$X$489,20,0)/1000</f>
        <v>#REF!</v>
      </c>
      <c r="K375" s="131" t="e">
        <f>VLOOKUP($A375,'BC.115+040'!$B$13:$X$489,21,0)/1000</f>
        <v>#REF!</v>
      </c>
      <c r="L375" s="129" t="e">
        <f t="shared" si="17"/>
        <v>#REF!</v>
      </c>
      <c r="M375" s="130" t="e">
        <f t="shared" si="18"/>
        <v>#REF!</v>
      </c>
      <c r="N375" s="129" t="e">
        <f t="shared" si="19"/>
        <v>#REF!</v>
      </c>
      <c r="O375" s="129"/>
    </row>
    <row r="376" spans="1:15">
      <c r="A376" s="67" t="e">
        <f>'BC.115+040'!B375</f>
        <v>#REF!</v>
      </c>
      <c r="B376" s="129">
        <f t="shared" si="16"/>
        <v>362</v>
      </c>
      <c r="C376" s="131" t="e">
        <f>'BC.115+040'!M375/1000</f>
        <v>#REF!</v>
      </c>
      <c r="D376" s="131" t="e">
        <f>'BC.115+040'!AA375</f>
        <v>#REF!</v>
      </c>
      <c r="E376" s="132" t="e">
        <f>'BC.115+040'!AB375</f>
        <v>#REF!</v>
      </c>
      <c r="F376" s="131" t="e">
        <f>VLOOKUP($A376,'BC.115+040'!$B$13:$X$489,8,0)/1000</f>
        <v>#REF!</v>
      </c>
      <c r="G376" s="131" t="e">
        <f>VLOOKUP($A376,'BC.115+040'!$B$13:$X$489,9,0)/1000</f>
        <v>#REF!</v>
      </c>
      <c r="H376" s="131" t="e">
        <f>VLOOKUP($A376,'BC.115+040'!$B$13:$X$489,14,0)/1000</f>
        <v>#REF!</v>
      </c>
      <c r="I376" s="131" t="e">
        <f>VLOOKUP($A376,'BC.115+040'!$B$13:$X$489,15,0)/1000</f>
        <v>#REF!</v>
      </c>
      <c r="J376" s="131" t="e">
        <f>VLOOKUP($A376,'BC.115+040'!$B$13:$X$489,20,0)/1000</f>
        <v>#REF!</v>
      </c>
      <c r="K376" s="131" t="e">
        <f>VLOOKUP($A376,'BC.115+040'!$B$13:$X$489,21,0)/1000</f>
        <v>#REF!</v>
      </c>
      <c r="L376" s="129" t="e">
        <f t="shared" si="17"/>
        <v>#REF!</v>
      </c>
      <c r="M376" s="130" t="e">
        <f t="shared" si="18"/>
        <v>#REF!</v>
      </c>
      <c r="N376" s="129" t="e">
        <f t="shared" si="19"/>
        <v>#REF!</v>
      </c>
      <c r="O376" s="129"/>
    </row>
    <row r="377" spans="1:15">
      <c r="A377" s="67" t="e">
        <f>'BC.115+040'!B376</f>
        <v>#REF!</v>
      </c>
      <c r="B377" s="129">
        <f t="shared" si="16"/>
        <v>363</v>
      </c>
      <c r="C377" s="131" t="e">
        <f>'BC.115+040'!M376/1000</f>
        <v>#REF!</v>
      </c>
      <c r="D377" s="131" t="e">
        <f>'BC.115+040'!AA376</f>
        <v>#REF!</v>
      </c>
      <c r="E377" s="132" t="e">
        <f>'BC.115+040'!AB376</f>
        <v>#REF!</v>
      </c>
      <c r="F377" s="131" t="e">
        <f>VLOOKUP($A377,'BC.115+040'!$B$13:$X$489,8,0)/1000</f>
        <v>#REF!</v>
      </c>
      <c r="G377" s="131" t="e">
        <f>VLOOKUP($A377,'BC.115+040'!$B$13:$X$489,9,0)/1000</f>
        <v>#REF!</v>
      </c>
      <c r="H377" s="131" t="e">
        <f>VLOOKUP($A377,'BC.115+040'!$B$13:$X$489,14,0)/1000</f>
        <v>#REF!</v>
      </c>
      <c r="I377" s="131" t="e">
        <f>VLOOKUP($A377,'BC.115+040'!$B$13:$X$489,15,0)/1000</f>
        <v>#REF!</v>
      </c>
      <c r="J377" s="131" t="e">
        <f>VLOOKUP($A377,'BC.115+040'!$B$13:$X$489,20,0)/1000</f>
        <v>#REF!</v>
      </c>
      <c r="K377" s="131" t="e">
        <f>VLOOKUP($A377,'BC.115+040'!$B$13:$X$489,21,0)/1000</f>
        <v>#REF!</v>
      </c>
      <c r="L377" s="129" t="e">
        <f t="shared" si="17"/>
        <v>#REF!</v>
      </c>
      <c r="M377" s="130" t="e">
        <f t="shared" si="18"/>
        <v>#REF!</v>
      </c>
      <c r="N377" s="129" t="e">
        <f t="shared" si="19"/>
        <v>#REF!</v>
      </c>
      <c r="O377" s="129"/>
    </row>
    <row r="378" spans="1:15">
      <c r="A378" s="67" t="e">
        <f>'BC.115+040'!B377</f>
        <v>#REF!</v>
      </c>
      <c r="B378" s="129">
        <f t="shared" si="16"/>
        <v>364</v>
      </c>
      <c r="C378" s="131" t="e">
        <f>'BC.115+040'!M377/1000</f>
        <v>#REF!</v>
      </c>
      <c r="D378" s="131" t="e">
        <f>'BC.115+040'!AA377</f>
        <v>#REF!</v>
      </c>
      <c r="E378" s="132" t="e">
        <f>'BC.115+040'!AB377</f>
        <v>#REF!</v>
      </c>
      <c r="F378" s="131" t="e">
        <f>VLOOKUP($A378,'BC.115+040'!$B$13:$X$489,8,0)/1000</f>
        <v>#REF!</v>
      </c>
      <c r="G378" s="131" t="e">
        <f>VLOOKUP($A378,'BC.115+040'!$B$13:$X$489,9,0)/1000</f>
        <v>#REF!</v>
      </c>
      <c r="H378" s="131" t="e">
        <f>VLOOKUP($A378,'BC.115+040'!$B$13:$X$489,14,0)/1000</f>
        <v>#REF!</v>
      </c>
      <c r="I378" s="131" t="e">
        <f>VLOOKUP($A378,'BC.115+040'!$B$13:$X$489,15,0)/1000</f>
        <v>#REF!</v>
      </c>
      <c r="J378" s="131" t="e">
        <f>VLOOKUP($A378,'BC.115+040'!$B$13:$X$489,20,0)/1000</f>
        <v>#REF!</v>
      </c>
      <c r="K378" s="131" t="e">
        <f>VLOOKUP($A378,'BC.115+040'!$B$13:$X$489,21,0)/1000</f>
        <v>#REF!</v>
      </c>
      <c r="L378" s="129" t="e">
        <f t="shared" si="17"/>
        <v>#REF!</v>
      </c>
      <c r="M378" s="130" t="e">
        <f t="shared" si="18"/>
        <v>#REF!</v>
      </c>
      <c r="N378" s="129" t="e">
        <f t="shared" si="19"/>
        <v>#REF!</v>
      </c>
      <c r="O378" s="129"/>
    </row>
    <row r="379" spans="1:15">
      <c r="A379" s="67" t="e">
        <f>'BC.115+040'!B378</f>
        <v>#REF!</v>
      </c>
      <c r="B379" s="129">
        <f t="shared" si="16"/>
        <v>365</v>
      </c>
      <c r="C379" s="131" t="e">
        <f>'BC.115+040'!M378/1000</f>
        <v>#REF!</v>
      </c>
      <c r="D379" s="131" t="e">
        <f>'BC.115+040'!AA378</f>
        <v>#REF!</v>
      </c>
      <c r="E379" s="132" t="e">
        <f>'BC.115+040'!AB378</f>
        <v>#REF!</v>
      </c>
      <c r="F379" s="131" t="e">
        <f>VLOOKUP($A379,'BC.115+040'!$B$13:$X$489,8,0)/1000</f>
        <v>#REF!</v>
      </c>
      <c r="G379" s="131" t="e">
        <f>VLOOKUP($A379,'BC.115+040'!$B$13:$X$489,9,0)/1000</f>
        <v>#REF!</v>
      </c>
      <c r="H379" s="131" t="e">
        <f>VLOOKUP($A379,'BC.115+040'!$B$13:$X$489,14,0)/1000</f>
        <v>#REF!</v>
      </c>
      <c r="I379" s="131" t="e">
        <f>VLOOKUP($A379,'BC.115+040'!$B$13:$X$489,15,0)/1000</f>
        <v>#REF!</v>
      </c>
      <c r="J379" s="131" t="e">
        <f>VLOOKUP($A379,'BC.115+040'!$B$13:$X$489,20,0)/1000</f>
        <v>#REF!</v>
      </c>
      <c r="K379" s="131" t="e">
        <f>VLOOKUP($A379,'BC.115+040'!$B$13:$X$489,21,0)/1000</f>
        <v>#REF!</v>
      </c>
      <c r="L379" s="129" t="e">
        <f t="shared" si="17"/>
        <v>#REF!</v>
      </c>
      <c r="M379" s="130" t="e">
        <f t="shared" si="18"/>
        <v>#REF!</v>
      </c>
      <c r="N379" s="129" t="e">
        <f t="shared" si="19"/>
        <v>#REF!</v>
      </c>
      <c r="O379" s="129"/>
    </row>
    <row r="380" spans="1:15">
      <c r="A380" s="67" t="e">
        <f>'BC.115+040'!B379</f>
        <v>#REF!</v>
      </c>
      <c r="B380" s="129">
        <f t="shared" si="16"/>
        <v>366</v>
      </c>
      <c r="C380" s="131" t="e">
        <f>'BC.115+040'!M379/1000</f>
        <v>#REF!</v>
      </c>
      <c r="D380" s="131" t="e">
        <f>'BC.115+040'!AA379</f>
        <v>#REF!</v>
      </c>
      <c r="E380" s="132" t="e">
        <f>'BC.115+040'!AB379</f>
        <v>#REF!</v>
      </c>
      <c r="F380" s="131" t="e">
        <f>VLOOKUP($A380,'BC.115+040'!$B$13:$X$489,8,0)/1000</f>
        <v>#REF!</v>
      </c>
      <c r="G380" s="131" t="e">
        <f>VLOOKUP($A380,'BC.115+040'!$B$13:$X$489,9,0)/1000</f>
        <v>#REF!</v>
      </c>
      <c r="H380" s="131" t="e">
        <f>VLOOKUP($A380,'BC.115+040'!$B$13:$X$489,14,0)/1000</f>
        <v>#REF!</v>
      </c>
      <c r="I380" s="131" t="e">
        <f>VLOOKUP($A380,'BC.115+040'!$B$13:$X$489,15,0)/1000</f>
        <v>#REF!</v>
      </c>
      <c r="J380" s="131" t="e">
        <f>VLOOKUP($A380,'BC.115+040'!$B$13:$X$489,20,0)/1000</f>
        <v>#REF!</v>
      </c>
      <c r="K380" s="131" t="e">
        <f>VLOOKUP($A380,'BC.115+040'!$B$13:$X$489,21,0)/1000</f>
        <v>#REF!</v>
      </c>
      <c r="L380" s="129" t="e">
        <f t="shared" si="17"/>
        <v>#REF!</v>
      </c>
      <c r="M380" s="130" t="e">
        <f t="shared" si="18"/>
        <v>#REF!</v>
      </c>
      <c r="N380" s="129" t="e">
        <f t="shared" si="19"/>
        <v>#REF!</v>
      </c>
      <c r="O380" s="129"/>
    </row>
    <row r="381" spans="1:15">
      <c r="A381" s="67" t="e">
        <f>'BC.115+040'!B380</f>
        <v>#REF!</v>
      </c>
      <c r="B381" s="129">
        <f t="shared" si="16"/>
        <v>367</v>
      </c>
      <c r="C381" s="131" t="e">
        <f>'BC.115+040'!M380/1000</f>
        <v>#REF!</v>
      </c>
      <c r="D381" s="131" t="e">
        <f>'BC.115+040'!AA380</f>
        <v>#REF!</v>
      </c>
      <c r="E381" s="132" t="e">
        <f>'BC.115+040'!AB380</f>
        <v>#REF!</v>
      </c>
      <c r="F381" s="131" t="e">
        <f>VLOOKUP($A381,'BC.115+040'!$B$13:$X$489,8,0)/1000</f>
        <v>#REF!</v>
      </c>
      <c r="G381" s="131" t="e">
        <f>VLOOKUP($A381,'BC.115+040'!$B$13:$X$489,9,0)/1000</f>
        <v>#REF!</v>
      </c>
      <c r="H381" s="131" t="e">
        <f>VLOOKUP($A381,'BC.115+040'!$B$13:$X$489,14,0)/1000</f>
        <v>#REF!</v>
      </c>
      <c r="I381" s="131" t="e">
        <f>VLOOKUP($A381,'BC.115+040'!$B$13:$X$489,15,0)/1000</f>
        <v>#REF!</v>
      </c>
      <c r="J381" s="131" t="e">
        <f>VLOOKUP($A381,'BC.115+040'!$B$13:$X$489,20,0)/1000</f>
        <v>#REF!</v>
      </c>
      <c r="K381" s="131" t="e">
        <f>VLOOKUP($A381,'BC.115+040'!$B$13:$X$489,21,0)/1000</f>
        <v>#REF!</v>
      </c>
      <c r="L381" s="129" t="e">
        <f t="shared" si="17"/>
        <v>#REF!</v>
      </c>
      <c r="M381" s="130" t="e">
        <f t="shared" si="18"/>
        <v>#REF!</v>
      </c>
      <c r="N381" s="129" t="e">
        <f t="shared" si="19"/>
        <v>#REF!</v>
      </c>
      <c r="O381" s="129"/>
    </row>
    <row r="382" spans="1:15">
      <c r="A382" s="67" t="e">
        <f>'BC.115+040'!B381</f>
        <v>#REF!</v>
      </c>
      <c r="B382" s="129">
        <f t="shared" si="16"/>
        <v>368</v>
      </c>
      <c r="C382" s="131" t="e">
        <f>'BC.115+040'!M381/1000</f>
        <v>#REF!</v>
      </c>
      <c r="D382" s="131" t="e">
        <f>'BC.115+040'!AA381</f>
        <v>#REF!</v>
      </c>
      <c r="E382" s="132" t="e">
        <f>'BC.115+040'!AB381</f>
        <v>#REF!</v>
      </c>
      <c r="F382" s="131" t="e">
        <f>VLOOKUP($A382,'BC.115+040'!$B$13:$X$489,8,0)/1000</f>
        <v>#REF!</v>
      </c>
      <c r="G382" s="131" t="e">
        <f>VLOOKUP($A382,'BC.115+040'!$B$13:$X$489,9,0)/1000</f>
        <v>#REF!</v>
      </c>
      <c r="H382" s="131" t="e">
        <f>VLOOKUP($A382,'BC.115+040'!$B$13:$X$489,14,0)/1000</f>
        <v>#REF!</v>
      </c>
      <c r="I382" s="131" t="e">
        <f>VLOOKUP($A382,'BC.115+040'!$B$13:$X$489,15,0)/1000</f>
        <v>#REF!</v>
      </c>
      <c r="J382" s="131" t="e">
        <f>VLOOKUP($A382,'BC.115+040'!$B$13:$X$489,20,0)/1000</f>
        <v>#REF!</v>
      </c>
      <c r="K382" s="131" t="e">
        <f>VLOOKUP($A382,'BC.115+040'!$B$13:$X$489,21,0)/1000</f>
        <v>#REF!</v>
      </c>
      <c r="L382" s="129" t="e">
        <f t="shared" si="17"/>
        <v>#REF!</v>
      </c>
      <c r="M382" s="130" t="e">
        <f t="shared" si="18"/>
        <v>#REF!</v>
      </c>
      <c r="N382" s="129" t="e">
        <f t="shared" si="19"/>
        <v>#REF!</v>
      </c>
      <c r="O382" s="129"/>
    </row>
    <row r="383" spans="1:15">
      <c r="A383" s="67" t="e">
        <f>'BC.115+040'!B382</f>
        <v>#REF!</v>
      </c>
      <c r="B383" s="129">
        <f t="shared" ref="B383:B446" si="20">+B382+1</f>
        <v>369</v>
      </c>
      <c r="C383" s="131" t="e">
        <f>'BC.115+040'!M382/1000</f>
        <v>#REF!</v>
      </c>
      <c r="D383" s="131" t="e">
        <f>'BC.115+040'!AA382</f>
        <v>#REF!</v>
      </c>
      <c r="E383" s="132" t="e">
        <f>'BC.115+040'!AB382</f>
        <v>#REF!</v>
      </c>
      <c r="F383" s="131" t="e">
        <f>VLOOKUP($A383,'BC.115+040'!$B$13:$X$489,8,0)/1000</f>
        <v>#REF!</v>
      </c>
      <c r="G383" s="131" t="e">
        <f>VLOOKUP($A383,'BC.115+040'!$B$13:$X$489,9,0)/1000</f>
        <v>#REF!</v>
      </c>
      <c r="H383" s="131" t="e">
        <f>VLOOKUP($A383,'BC.115+040'!$B$13:$X$489,14,0)/1000</f>
        <v>#REF!</v>
      </c>
      <c r="I383" s="131" t="e">
        <f>VLOOKUP($A383,'BC.115+040'!$B$13:$X$489,15,0)/1000</f>
        <v>#REF!</v>
      </c>
      <c r="J383" s="131" t="e">
        <f>VLOOKUP($A383,'BC.115+040'!$B$13:$X$489,20,0)/1000</f>
        <v>#REF!</v>
      </c>
      <c r="K383" s="131" t="e">
        <f>VLOOKUP($A383,'BC.115+040'!$B$13:$X$489,21,0)/1000</f>
        <v>#REF!</v>
      </c>
      <c r="L383" s="129" t="e">
        <f t="shared" si="17"/>
        <v>#REF!</v>
      </c>
      <c r="M383" s="130" t="e">
        <f t="shared" si="18"/>
        <v>#REF!</v>
      </c>
      <c r="N383" s="129" t="e">
        <f t="shared" si="19"/>
        <v>#REF!</v>
      </c>
      <c r="O383" s="129"/>
    </row>
    <row r="384" spans="1:15">
      <c r="A384" s="67" t="e">
        <f>'BC.115+040'!B383</f>
        <v>#REF!</v>
      </c>
      <c r="B384" s="129">
        <f t="shared" si="20"/>
        <v>370</v>
      </c>
      <c r="C384" s="131" t="e">
        <f>'BC.115+040'!M383/1000</f>
        <v>#REF!</v>
      </c>
      <c r="D384" s="131" t="e">
        <f>'BC.115+040'!AA383</f>
        <v>#REF!</v>
      </c>
      <c r="E384" s="132" t="e">
        <f>'BC.115+040'!AB383</f>
        <v>#REF!</v>
      </c>
      <c r="F384" s="131" t="e">
        <f>VLOOKUP($A384,'BC.115+040'!$B$13:$X$489,8,0)/1000</f>
        <v>#REF!</v>
      </c>
      <c r="G384" s="131" t="e">
        <f>VLOOKUP($A384,'BC.115+040'!$B$13:$X$489,9,0)/1000</f>
        <v>#REF!</v>
      </c>
      <c r="H384" s="131" t="e">
        <f>VLOOKUP($A384,'BC.115+040'!$B$13:$X$489,14,0)/1000</f>
        <v>#REF!</v>
      </c>
      <c r="I384" s="131" t="e">
        <f>VLOOKUP($A384,'BC.115+040'!$B$13:$X$489,15,0)/1000</f>
        <v>#REF!</v>
      </c>
      <c r="J384" s="131" t="e">
        <f>VLOOKUP($A384,'BC.115+040'!$B$13:$X$489,20,0)/1000</f>
        <v>#REF!</v>
      </c>
      <c r="K384" s="131" t="e">
        <f>VLOOKUP($A384,'BC.115+040'!$B$13:$X$489,21,0)/1000</f>
        <v>#REF!</v>
      </c>
      <c r="L384" s="129" t="e">
        <f t="shared" si="17"/>
        <v>#REF!</v>
      </c>
      <c r="M384" s="130" t="e">
        <f t="shared" si="18"/>
        <v>#REF!</v>
      </c>
      <c r="N384" s="129" t="e">
        <f t="shared" si="19"/>
        <v>#REF!</v>
      </c>
      <c r="O384" s="129"/>
    </row>
    <row r="385" spans="1:15">
      <c r="A385" s="67" t="e">
        <f>'BC.115+040'!B384</f>
        <v>#REF!</v>
      </c>
      <c r="B385" s="129">
        <f t="shared" si="20"/>
        <v>371</v>
      </c>
      <c r="C385" s="131" t="e">
        <f>'BC.115+040'!M384/1000</f>
        <v>#REF!</v>
      </c>
      <c r="D385" s="131" t="e">
        <f>'BC.115+040'!AA384</f>
        <v>#REF!</v>
      </c>
      <c r="E385" s="132" t="e">
        <f>'BC.115+040'!AB384</f>
        <v>#REF!</v>
      </c>
      <c r="F385" s="131" t="e">
        <f>VLOOKUP($A385,'BC.115+040'!$B$13:$X$489,8,0)/1000</f>
        <v>#REF!</v>
      </c>
      <c r="G385" s="131" t="e">
        <f>VLOOKUP($A385,'BC.115+040'!$B$13:$X$489,9,0)/1000</f>
        <v>#REF!</v>
      </c>
      <c r="H385" s="131" t="e">
        <f>VLOOKUP($A385,'BC.115+040'!$B$13:$X$489,14,0)/1000</f>
        <v>#REF!</v>
      </c>
      <c r="I385" s="131" t="e">
        <f>VLOOKUP($A385,'BC.115+040'!$B$13:$X$489,15,0)/1000</f>
        <v>#REF!</v>
      </c>
      <c r="J385" s="131" t="e">
        <f>VLOOKUP($A385,'BC.115+040'!$B$13:$X$489,20,0)/1000</f>
        <v>#REF!</v>
      </c>
      <c r="K385" s="131" t="e">
        <f>VLOOKUP($A385,'BC.115+040'!$B$13:$X$489,21,0)/1000</f>
        <v>#REF!</v>
      </c>
      <c r="L385" s="129" t="e">
        <f t="shared" si="17"/>
        <v>#REF!</v>
      </c>
      <c r="M385" s="130" t="e">
        <f t="shared" si="18"/>
        <v>#REF!</v>
      </c>
      <c r="N385" s="129" t="e">
        <f t="shared" si="19"/>
        <v>#REF!</v>
      </c>
      <c r="O385" s="129"/>
    </row>
    <row r="386" spans="1:15">
      <c r="A386" s="67" t="e">
        <f>'BC.115+040'!B385</f>
        <v>#REF!</v>
      </c>
      <c r="B386" s="129">
        <f t="shared" si="20"/>
        <v>372</v>
      </c>
      <c r="C386" s="131" t="e">
        <f>'BC.115+040'!M385/1000</f>
        <v>#REF!</v>
      </c>
      <c r="D386" s="131" t="e">
        <f>'BC.115+040'!AA385</f>
        <v>#REF!</v>
      </c>
      <c r="E386" s="132" t="e">
        <f>'BC.115+040'!AB385</f>
        <v>#REF!</v>
      </c>
      <c r="F386" s="131" t="e">
        <f>VLOOKUP($A386,'BC.115+040'!$B$13:$X$489,8,0)/1000</f>
        <v>#REF!</v>
      </c>
      <c r="G386" s="131" t="e">
        <f>VLOOKUP($A386,'BC.115+040'!$B$13:$X$489,9,0)/1000</f>
        <v>#REF!</v>
      </c>
      <c r="H386" s="131" t="e">
        <f>VLOOKUP($A386,'BC.115+040'!$B$13:$X$489,14,0)/1000</f>
        <v>#REF!</v>
      </c>
      <c r="I386" s="131" t="e">
        <f>VLOOKUP($A386,'BC.115+040'!$B$13:$X$489,15,0)/1000</f>
        <v>#REF!</v>
      </c>
      <c r="J386" s="131" t="e">
        <f>VLOOKUP($A386,'BC.115+040'!$B$13:$X$489,20,0)/1000</f>
        <v>#REF!</v>
      </c>
      <c r="K386" s="131" t="e">
        <f>VLOOKUP($A386,'BC.115+040'!$B$13:$X$489,21,0)/1000</f>
        <v>#REF!</v>
      </c>
      <c r="L386" s="129" t="e">
        <f t="shared" si="17"/>
        <v>#REF!</v>
      </c>
      <c r="M386" s="130" t="e">
        <f t="shared" si="18"/>
        <v>#REF!</v>
      </c>
      <c r="N386" s="129" t="e">
        <f t="shared" si="19"/>
        <v>#REF!</v>
      </c>
      <c r="O386" s="129"/>
    </row>
    <row r="387" spans="1:15">
      <c r="A387" s="67" t="e">
        <f>'BC.115+040'!B386</f>
        <v>#REF!</v>
      </c>
      <c r="B387" s="129">
        <f t="shared" si="20"/>
        <v>373</v>
      </c>
      <c r="C387" s="131" t="e">
        <f>'BC.115+040'!M386/1000</f>
        <v>#REF!</v>
      </c>
      <c r="D387" s="131" t="e">
        <f>'BC.115+040'!AA386</f>
        <v>#REF!</v>
      </c>
      <c r="E387" s="132" t="e">
        <f>'BC.115+040'!AB386</f>
        <v>#REF!</v>
      </c>
      <c r="F387" s="131" t="e">
        <f>VLOOKUP($A387,'BC.115+040'!$B$13:$X$489,8,0)/1000</f>
        <v>#REF!</v>
      </c>
      <c r="G387" s="131" t="e">
        <f>VLOOKUP($A387,'BC.115+040'!$B$13:$X$489,9,0)/1000</f>
        <v>#REF!</v>
      </c>
      <c r="H387" s="131" t="e">
        <f>VLOOKUP($A387,'BC.115+040'!$B$13:$X$489,14,0)/1000</f>
        <v>#REF!</v>
      </c>
      <c r="I387" s="131" t="e">
        <f>VLOOKUP($A387,'BC.115+040'!$B$13:$X$489,15,0)/1000</f>
        <v>#REF!</v>
      </c>
      <c r="J387" s="131" t="e">
        <f>VLOOKUP($A387,'BC.115+040'!$B$13:$X$489,20,0)/1000</f>
        <v>#REF!</v>
      </c>
      <c r="K387" s="131" t="e">
        <f>VLOOKUP($A387,'BC.115+040'!$B$13:$X$489,21,0)/1000</f>
        <v>#REF!</v>
      </c>
      <c r="L387" s="129" t="e">
        <f t="shared" si="17"/>
        <v>#REF!</v>
      </c>
      <c r="M387" s="130" t="e">
        <f t="shared" si="18"/>
        <v>#REF!</v>
      </c>
      <c r="N387" s="129" t="e">
        <f t="shared" si="19"/>
        <v>#REF!</v>
      </c>
      <c r="O387" s="129"/>
    </row>
    <row r="388" spans="1:15">
      <c r="A388" s="67" t="e">
        <f>'BC.115+040'!B387</f>
        <v>#REF!</v>
      </c>
      <c r="B388" s="129">
        <f t="shared" si="20"/>
        <v>374</v>
      </c>
      <c r="C388" s="131" t="e">
        <f>'BC.115+040'!M387/1000</f>
        <v>#REF!</v>
      </c>
      <c r="D388" s="131" t="e">
        <f>'BC.115+040'!AA387</f>
        <v>#REF!</v>
      </c>
      <c r="E388" s="132" t="e">
        <f>'BC.115+040'!AB387</f>
        <v>#REF!</v>
      </c>
      <c r="F388" s="131" t="e">
        <f>VLOOKUP($A388,'BC.115+040'!$B$13:$X$489,8,0)/1000</f>
        <v>#REF!</v>
      </c>
      <c r="G388" s="131" t="e">
        <f>VLOOKUP($A388,'BC.115+040'!$B$13:$X$489,9,0)/1000</f>
        <v>#REF!</v>
      </c>
      <c r="H388" s="131" t="e">
        <f>VLOOKUP($A388,'BC.115+040'!$B$13:$X$489,14,0)/1000</f>
        <v>#REF!</v>
      </c>
      <c r="I388" s="131" t="e">
        <f>VLOOKUP($A388,'BC.115+040'!$B$13:$X$489,15,0)/1000</f>
        <v>#REF!</v>
      </c>
      <c r="J388" s="131" t="e">
        <f>VLOOKUP($A388,'BC.115+040'!$B$13:$X$489,20,0)/1000</f>
        <v>#REF!</v>
      </c>
      <c r="K388" s="131" t="e">
        <f>VLOOKUP($A388,'BC.115+040'!$B$13:$X$489,21,0)/1000</f>
        <v>#REF!</v>
      </c>
      <c r="L388" s="129" t="e">
        <f t="shared" si="17"/>
        <v>#REF!</v>
      </c>
      <c r="M388" s="130" t="e">
        <f t="shared" si="18"/>
        <v>#REF!</v>
      </c>
      <c r="N388" s="129" t="e">
        <f t="shared" si="19"/>
        <v>#REF!</v>
      </c>
      <c r="O388" s="129"/>
    </row>
    <row r="389" spans="1:15">
      <c r="A389" s="67" t="e">
        <f>'BC.115+040'!B388</f>
        <v>#REF!</v>
      </c>
      <c r="B389" s="129">
        <f t="shared" si="20"/>
        <v>375</v>
      </c>
      <c r="C389" s="131" t="e">
        <f>'BC.115+040'!M388/1000</f>
        <v>#REF!</v>
      </c>
      <c r="D389" s="131" t="e">
        <f>'BC.115+040'!AA388</f>
        <v>#REF!</v>
      </c>
      <c r="E389" s="132" t="e">
        <f>'BC.115+040'!AB388</f>
        <v>#REF!</v>
      </c>
      <c r="F389" s="131" t="e">
        <f>VLOOKUP($A389,'BC.115+040'!$B$13:$X$489,8,0)/1000</f>
        <v>#REF!</v>
      </c>
      <c r="G389" s="131" t="e">
        <f>VLOOKUP($A389,'BC.115+040'!$B$13:$X$489,9,0)/1000</f>
        <v>#REF!</v>
      </c>
      <c r="H389" s="131" t="e">
        <f>VLOOKUP($A389,'BC.115+040'!$B$13:$X$489,14,0)/1000</f>
        <v>#REF!</v>
      </c>
      <c r="I389" s="131" t="e">
        <f>VLOOKUP($A389,'BC.115+040'!$B$13:$X$489,15,0)/1000</f>
        <v>#REF!</v>
      </c>
      <c r="J389" s="131" t="e">
        <f>VLOOKUP($A389,'BC.115+040'!$B$13:$X$489,20,0)/1000</f>
        <v>#REF!</v>
      </c>
      <c r="K389" s="131" t="e">
        <f>VLOOKUP($A389,'BC.115+040'!$B$13:$X$489,21,0)/1000</f>
        <v>#REF!</v>
      </c>
      <c r="L389" s="129" t="e">
        <f t="shared" si="17"/>
        <v>#REF!</v>
      </c>
      <c r="M389" s="130" t="e">
        <f t="shared" si="18"/>
        <v>#REF!</v>
      </c>
      <c r="N389" s="129" t="e">
        <f t="shared" si="19"/>
        <v>#REF!</v>
      </c>
      <c r="O389" s="129"/>
    </row>
    <row r="390" spans="1:15">
      <c r="A390" s="67" t="e">
        <f>'BC.115+040'!B389</f>
        <v>#REF!</v>
      </c>
      <c r="B390" s="129">
        <f t="shared" si="20"/>
        <v>376</v>
      </c>
      <c r="C390" s="131" t="e">
        <f>'BC.115+040'!M389/1000</f>
        <v>#REF!</v>
      </c>
      <c r="D390" s="131" t="e">
        <f>'BC.115+040'!AA389</f>
        <v>#REF!</v>
      </c>
      <c r="E390" s="132" t="e">
        <f>'BC.115+040'!AB389</f>
        <v>#REF!</v>
      </c>
      <c r="F390" s="131" t="e">
        <f>VLOOKUP($A390,'BC.115+040'!$B$13:$X$489,8,0)/1000</f>
        <v>#REF!</v>
      </c>
      <c r="G390" s="131" t="e">
        <f>VLOOKUP($A390,'BC.115+040'!$B$13:$X$489,9,0)/1000</f>
        <v>#REF!</v>
      </c>
      <c r="H390" s="131" t="e">
        <f>VLOOKUP($A390,'BC.115+040'!$B$13:$X$489,14,0)/1000</f>
        <v>#REF!</v>
      </c>
      <c r="I390" s="131" t="e">
        <f>VLOOKUP($A390,'BC.115+040'!$B$13:$X$489,15,0)/1000</f>
        <v>#REF!</v>
      </c>
      <c r="J390" s="131" t="e">
        <f>VLOOKUP($A390,'BC.115+040'!$B$13:$X$489,20,0)/1000</f>
        <v>#REF!</v>
      </c>
      <c r="K390" s="131" t="e">
        <f>VLOOKUP($A390,'BC.115+040'!$B$13:$X$489,21,0)/1000</f>
        <v>#REF!</v>
      </c>
      <c r="L390" s="129" t="e">
        <f t="shared" si="17"/>
        <v>#REF!</v>
      </c>
      <c r="M390" s="130" t="e">
        <f t="shared" si="18"/>
        <v>#REF!</v>
      </c>
      <c r="N390" s="129" t="e">
        <f t="shared" si="19"/>
        <v>#REF!</v>
      </c>
      <c r="O390" s="129"/>
    </row>
    <row r="391" spans="1:15">
      <c r="A391" s="67" t="e">
        <f>'BC.115+040'!B390</f>
        <v>#REF!</v>
      </c>
      <c r="B391" s="129">
        <f t="shared" si="20"/>
        <v>377</v>
      </c>
      <c r="C391" s="131" t="e">
        <f>'BC.115+040'!M390/1000</f>
        <v>#REF!</v>
      </c>
      <c r="D391" s="131" t="e">
        <f>'BC.115+040'!AA390</f>
        <v>#REF!</v>
      </c>
      <c r="E391" s="132" t="e">
        <f>'BC.115+040'!AB390</f>
        <v>#REF!</v>
      </c>
      <c r="F391" s="131" t="e">
        <f>VLOOKUP($A391,'BC.115+040'!$B$13:$X$489,8,0)/1000</f>
        <v>#REF!</v>
      </c>
      <c r="G391" s="131" t="e">
        <f>VLOOKUP($A391,'BC.115+040'!$B$13:$X$489,9,0)/1000</f>
        <v>#REF!</v>
      </c>
      <c r="H391" s="131" t="e">
        <f>VLOOKUP($A391,'BC.115+040'!$B$13:$X$489,14,0)/1000</f>
        <v>#REF!</v>
      </c>
      <c r="I391" s="131" t="e">
        <f>VLOOKUP($A391,'BC.115+040'!$B$13:$X$489,15,0)/1000</f>
        <v>#REF!</v>
      </c>
      <c r="J391" s="131" t="e">
        <f>VLOOKUP($A391,'BC.115+040'!$B$13:$X$489,20,0)/1000</f>
        <v>#REF!</v>
      </c>
      <c r="K391" s="131" t="e">
        <f>VLOOKUP($A391,'BC.115+040'!$B$13:$X$489,21,0)/1000</f>
        <v>#REF!</v>
      </c>
      <c r="L391" s="129" t="e">
        <f t="shared" si="17"/>
        <v>#REF!</v>
      </c>
      <c r="M391" s="130" t="e">
        <f t="shared" si="18"/>
        <v>#REF!</v>
      </c>
      <c r="N391" s="129" t="e">
        <f t="shared" si="19"/>
        <v>#REF!</v>
      </c>
      <c r="O391" s="129"/>
    </row>
    <row r="392" spans="1:15">
      <c r="A392" s="67" t="e">
        <f>'BC.115+040'!B391</f>
        <v>#REF!</v>
      </c>
      <c r="B392" s="129">
        <f t="shared" si="20"/>
        <v>378</v>
      </c>
      <c r="C392" s="131" t="e">
        <f>'BC.115+040'!M391/1000</f>
        <v>#REF!</v>
      </c>
      <c r="D392" s="131" t="e">
        <f>'BC.115+040'!AA391</f>
        <v>#REF!</v>
      </c>
      <c r="E392" s="132" t="e">
        <f>'BC.115+040'!AB391</f>
        <v>#REF!</v>
      </c>
      <c r="F392" s="131" t="e">
        <f>VLOOKUP($A392,'BC.115+040'!$B$13:$X$489,8,0)/1000</f>
        <v>#REF!</v>
      </c>
      <c r="G392" s="131" t="e">
        <f>VLOOKUP($A392,'BC.115+040'!$B$13:$X$489,9,0)/1000</f>
        <v>#REF!</v>
      </c>
      <c r="H392" s="131" t="e">
        <f>VLOOKUP($A392,'BC.115+040'!$B$13:$X$489,14,0)/1000</f>
        <v>#REF!</v>
      </c>
      <c r="I392" s="131" t="e">
        <f>VLOOKUP($A392,'BC.115+040'!$B$13:$X$489,15,0)/1000</f>
        <v>#REF!</v>
      </c>
      <c r="J392" s="131" t="e">
        <f>VLOOKUP($A392,'BC.115+040'!$B$13:$X$489,20,0)/1000</f>
        <v>#REF!</v>
      </c>
      <c r="K392" s="131" t="e">
        <f>VLOOKUP($A392,'BC.115+040'!$B$13:$X$489,21,0)/1000</f>
        <v>#REF!</v>
      </c>
      <c r="L392" s="129" t="e">
        <f t="shared" si="17"/>
        <v>#REF!</v>
      </c>
      <c r="M392" s="130" t="e">
        <f t="shared" si="18"/>
        <v>#REF!</v>
      </c>
      <c r="N392" s="129" t="e">
        <f t="shared" si="19"/>
        <v>#REF!</v>
      </c>
      <c r="O392" s="129"/>
    </row>
    <row r="393" spans="1:15">
      <c r="A393" s="67" t="e">
        <f>'BC.115+040'!B392</f>
        <v>#REF!</v>
      </c>
      <c r="B393" s="129">
        <f t="shared" si="20"/>
        <v>379</v>
      </c>
      <c r="C393" s="131" t="e">
        <f>'BC.115+040'!M392/1000</f>
        <v>#REF!</v>
      </c>
      <c r="D393" s="131" t="e">
        <f>'BC.115+040'!AA392</f>
        <v>#REF!</v>
      </c>
      <c r="E393" s="132" t="e">
        <f>'BC.115+040'!AB392</f>
        <v>#REF!</v>
      </c>
      <c r="F393" s="131" t="e">
        <f>VLOOKUP($A393,'BC.115+040'!$B$13:$X$489,8,0)/1000</f>
        <v>#REF!</v>
      </c>
      <c r="G393" s="131" t="e">
        <f>VLOOKUP($A393,'BC.115+040'!$B$13:$X$489,9,0)/1000</f>
        <v>#REF!</v>
      </c>
      <c r="H393" s="131" t="e">
        <f>VLOOKUP($A393,'BC.115+040'!$B$13:$X$489,14,0)/1000</f>
        <v>#REF!</v>
      </c>
      <c r="I393" s="131" t="e">
        <f>VLOOKUP($A393,'BC.115+040'!$B$13:$X$489,15,0)/1000</f>
        <v>#REF!</v>
      </c>
      <c r="J393" s="131" t="e">
        <f>VLOOKUP($A393,'BC.115+040'!$B$13:$X$489,20,0)/1000</f>
        <v>#REF!</v>
      </c>
      <c r="K393" s="131" t="e">
        <f>VLOOKUP($A393,'BC.115+040'!$B$13:$X$489,21,0)/1000</f>
        <v>#REF!</v>
      </c>
      <c r="L393" s="129" t="e">
        <f t="shared" si="17"/>
        <v>#REF!</v>
      </c>
      <c r="M393" s="130" t="e">
        <f t="shared" si="18"/>
        <v>#REF!</v>
      </c>
      <c r="N393" s="129" t="e">
        <f t="shared" si="19"/>
        <v>#REF!</v>
      </c>
      <c r="O393" s="129"/>
    </row>
    <row r="394" spans="1:15">
      <c r="A394" s="67" t="e">
        <f>'BC.115+040'!B393</f>
        <v>#REF!</v>
      </c>
      <c r="B394" s="129">
        <f t="shared" si="20"/>
        <v>380</v>
      </c>
      <c r="C394" s="131" t="e">
        <f>'BC.115+040'!M393/1000</f>
        <v>#REF!</v>
      </c>
      <c r="D394" s="131" t="e">
        <f>'BC.115+040'!AA393</f>
        <v>#REF!</v>
      </c>
      <c r="E394" s="132" t="e">
        <f>'BC.115+040'!AB393</f>
        <v>#REF!</v>
      </c>
      <c r="F394" s="131" t="e">
        <f>VLOOKUP($A394,'BC.115+040'!$B$13:$X$489,8,0)/1000</f>
        <v>#REF!</v>
      </c>
      <c r="G394" s="131" t="e">
        <f>VLOOKUP($A394,'BC.115+040'!$B$13:$X$489,9,0)/1000</f>
        <v>#REF!</v>
      </c>
      <c r="H394" s="131" t="e">
        <f>VLOOKUP($A394,'BC.115+040'!$B$13:$X$489,14,0)/1000</f>
        <v>#REF!</v>
      </c>
      <c r="I394" s="131" t="e">
        <f>VLOOKUP($A394,'BC.115+040'!$B$13:$X$489,15,0)/1000</f>
        <v>#REF!</v>
      </c>
      <c r="J394" s="131" t="e">
        <f>VLOOKUP($A394,'BC.115+040'!$B$13:$X$489,20,0)/1000</f>
        <v>#REF!</v>
      </c>
      <c r="K394" s="131" t="e">
        <f>VLOOKUP($A394,'BC.115+040'!$B$13:$X$489,21,0)/1000</f>
        <v>#REF!</v>
      </c>
      <c r="L394" s="129" t="e">
        <f t="shared" si="17"/>
        <v>#REF!</v>
      </c>
      <c r="M394" s="130" t="e">
        <f t="shared" si="18"/>
        <v>#REF!</v>
      </c>
      <c r="N394" s="129" t="e">
        <f t="shared" si="19"/>
        <v>#REF!</v>
      </c>
      <c r="O394" s="129"/>
    </row>
    <row r="395" spans="1:15">
      <c r="A395" s="67" t="e">
        <f>'BC.115+040'!B394</f>
        <v>#REF!</v>
      </c>
      <c r="B395" s="129">
        <f t="shared" si="20"/>
        <v>381</v>
      </c>
      <c r="C395" s="131" t="e">
        <f>'BC.115+040'!M394/1000</f>
        <v>#REF!</v>
      </c>
      <c r="D395" s="131" t="e">
        <f>'BC.115+040'!AA394</f>
        <v>#REF!</v>
      </c>
      <c r="E395" s="132" t="e">
        <f>'BC.115+040'!AB394</f>
        <v>#REF!</v>
      </c>
      <c r="F395" s="131" t="e">
        <f>VLOOKUP($A395,'BC.115+040'!$B$13:$X$489,8,0)/1000</f>
        <v>#REF!</v>
      </c>
      <c r="G395" s="131" t="e">
        <f>VLOOKUP($A395,'BC.115+040'!$B$13:$X$489,9,0)/1000</f>
        <v>#REF!</v>
      </c>
      <c r="H395" s="131" t="e">
        <f>VLOOKUP($A395,'BC.115+040'!$B$13:$X$489,14,0)/1000</f>
        <v>#REF!</v>
      </c>
      <c r="I395" s="131" t="e">
        <f>VLOOKUP($A395,'BC.115+040'!$B$13:$X$489,15,0)/1000</f>
        <v>#REF!</v>
      </c>
      <c r="J395" s="131" t="e">
        <f>VLOOKUP($A395,'BC.115+040'!$B$13:$X$489,20,0)/1000</f>
        <v>#REF!</v>
      </c>
      <c r="K395" s="131" t="e">
        <f>VLOOKUP($A395,'BC.115+040'!$B$13:$X$489,21,0)/1000</f>
        <v>#REF!</v>
      </c>
      <c r="L395" s="129" t="e">
        <f t="shared" si="17"/>
        <v>#REF!</v>
      </c>
      <c r="M395" s="130" t="e">
        <f t="shared" si="18"/>
        <v>#REF!</v>
      </c>
      <c r="N395" s="129" t="e">
        <f t="shared" si="19"/>
        <v>#REF!</v>
      </c>
      <c r="O395" s="129"/>
    </row>
    <row r="396" spans="1:15">
      <c r="A396" s="67" t="e">
        <f>'BC.115+040'!B395</f>
        <v>#REF!</v>
      </c>
      <c r="B396" s="129">
        <f t="shared" si="20"/>
        <v>382</v>
      </c>
      <c r="C396" s="131" t="e">
        <f>'BC.115+040'!M395/1000</f>
        <v>#REF!</v>
      </c>
      <c r="D396" s="131" t="e">
        <f>'BC.115+040'!AA395</f>
        <v>#REF!</v>
      </c>
      <c r="E396" s="132" t="e">
        <f>'BC.115+040'!AB395</f>
        <v>#REF!</v>
      </c>
      <c r="F396" s="131" t="e">
        <f>VLOOKUP($A396,'BC.115+040'!$B$13:$X$489,8,0)/1000</f>
        <v>#REF!</v>
      </c>
      <c r="G396" s="131" t="e">
        <f>VLOOKUP($A396,'BC.115+040'!$B$13:$X$489,9,0)/1000</f>
        <v>#REF!</v>
      </c>
      <c r="H396" s="131" t="e">
        <f>VLOOKUP($A396,'BC.115+040'!$B$13:$X$489,14,0)/1000</f>
        <v>#REF!</v>
      </c>
      <c r="I396" s="131" t="e">
        <f>VLOOKUP($A396,'BC.115+040'!$B$13:$X$489,15,0)/1000</f>
        <v>#REF!</v>
      </c>
      <c r="J396" s="131" t="e">
        <f>VLOOKUP($A396,'BC.115+040'!$B$13:$X$489,20,0)/1000</f>
        <v>#REF!</v>
      </c>
      <c r="K396" s="131" t="e">
        <f>VLOOKUP($A396,'BC.115+040'!$B$13:$X$489,21,0)/1000</f>
        <v>#REF!</v>
      </c>
      <c r="L396" s="129" t="e">
        <f t="shared" si="17"/>
        <v>#REF!</v>
      </c>
      <c r="M396" s="130" t="e">
        <f t="shared" si="18"/>
        <v>#REF!</v>
      </c>
      <c r="N396" s="129" t="e">
        <f t="shared" si="19"/>
        <v>#REF!</v>
      </c>
      <c r="O396" s="129"/>
    </row>
    <row r="397" spans="1:15">
      <c r="A397" s="67" t="e">
        <f>'BC.115+040'!B396</f>
        <v>#REF!</v>
      </c>
      <c r="B397" s="129">
        <f t="shared" si="20"/>
        <v>383</v>
      </c>
      <c r="C397" s="131" t="e">
        <f>'BC.115+040'!M396/1000</f>
        <v>#REF!</v>
      </c>
      <c r="D397" s="131" t="e">
        <f>'BC.115+040'!AA396</f>
        <v>#REF!</v>
      </c>
      <c r="E397" s="132" t="e">
        <f>'BC.115+040'!AB396</f>
        <v>#REF!</v>
      </c>
      <c r="F397" s="131" t="e">
        <f>VLOOKUP($A397,'BC.115+040'!$B$13:$X$489,8,0)/1000</f>
        <v>#REF!</v>
      </c>
      <c r="G397" s="131" t="e">
        <f>VLOOKUP($A397,'BC.115+040'!$B$13:$X$489,9,0)/1000</f>
        <v>#REF!</v>
      </c>
      <c r="H397" s="131" t="e">
        <f>VLOOKUP($A397,'BC.115+040'!$B$13:$X$489,14,0)/1000</f>
        <v>#REF!</v>
      </c>
      <c r="I397" s="131" t="e">
        <f>VLOOKUP($A397,'BC.115+040'!$B$13:$X$489,15,0)/1000</f>
        <v>#REF!</v>
      </c>
      <c r="J397" s="131" t="e">
        <f>VLOOKUP($A397,'BC.115+040'!$B$13:$X$489,20,0)/1000</f>
        <v>#REF!</v>
      </c>
      <c r="K397" s="131" t="e">
        <f>VLOOKUP($A397,'BC.115+040'!$B$13:$X$489,21,0)/1000</f>
        <v>#REF!</v>
      </c>
      <c r="L397" s="129" t="e">
        <f t="shared" si="17"/>
        <v>#REF!</v>
      </c>
      <c r="M397" s="130" t="e">
        <f t="shared" si="18"/>
        <v>#REF!</v>
      </c>
      <c r="N397" s="129" t="e">
        <f t="shared" si="19"/>
        <v>#REF!</v>
      </c>
      <c r="O397" s="129"/>
    </row>
    <row r="398" spans="1:15">
      <c r="A398" s="67" t="e">
        <f>'BC.115+040'!B397</f>
        <v>#REF!</v>
      </c>
      <c r="B398" s="129">
        <f t="shared" si="20"/>
        <v>384</v>
      </c>
      <c r="C398" s="131" t="e">
        <f>'BC.115+040'!M397/1000</f>
        <v>#REF!</v>
      </c>
      <c r="D398" s="131" t="e">
        <f>'BC.115+040'!AA397</f>
        <v>#REF!</v>
      </c>
      <c r="E398" s="132" t="e">
        <f>'BC.115+040'!AB397</f>
        <v>#REF!</v>
      </c>
      <c r="F398" s="131" t="e">
        <f>VLOOKUP($A398,'BC.115+040'!$B$13:$X$489,8,0)/1000</f>
        <v>#REF!</v>
      </c>
      <c r="G398" s="131" t="e">
        <f>VLOOKUP($A398,'BC.115+040'!$B$13:$X$489,9,0)/1000</f>
        <v>#REF!</v>
      </c>
      <c r="H398" s="131" t="e">
        <f>VLOOKUP($A398,'BC.115+040'!$B$13:$X$489,14,0)/1000</f>
        <v>#REF!</v>
      </c>
      <c r="I398" s="131" t="e">
        <f>VLOOKUP($A398,'BC.115+040'!$B$13:$X$489,15,0)/1000</f>
        <v>#REF!</v>
      </c>
      <c r="J398" s="131" t="e">
        <f>VLOOKUP($A398,'BC.115+040'!$B$13:$X$489,20,0)/1000</f>
        <v>#REF!</v>
      </c>
      <c r="K398" s="131" t="e">
        <f>VLOOKUP($A398,'BC.115+040'!$B$13:$X$489,21,0)/1000</f>
        <v>#REF!</v>
      </c>
      <c r="L398" s="129" t="e">
        <f t="shared" ref="L398:L461" si="21">(G398-$G$14)*1000</f>
        <v>#REF!</v>
      </c>
      <c r="M398" s="130" t="e">
        <f t="shared" ref="M398:M461" si="22">(I398-$I$14)*1000</f>
        <v>#REF!</v>
      </c>
      <c r="N398" s="129" t="e">
        <f t="shared" si="19"/>
        <v>#REF!</v>
      </c>
      <c r="O398" s="129"/>
    </row>
    <row r="399" spans="1:15">
      <c r="A399" s="67" t="e">
        <f>'BC.115+040'!B398</f>
        <v>#REF!</v>
      </c>
      <c r="B399" s="129">
        <f t="shared" si="20"/>
        <v>385</v>
      </c>
      <c r="C399" s="131" t="e">
        <f>'BC.115+040'!M398/1000</f>
        <v>#REF!</v>
      </c>
      <c r="D399" s="131" t="e">
        <f>'BC.115+040'!AA398</f>
        <v>#REF!</v>
      </c>
      <c r="E399" s="132" t="e">
        <f>'BC.115+040'!AB398</f>
        <v>#REF!</v>
      </c>
      <c r="F399" s="131" t="e">
        <f>VLOOKUP($A399,'BC.115+040'!$B$13:$X$489,8,0)/1000</f>
        <v>#REF!</v>
      </c>
      <c r="G399" s="131" t="e">
        <f>VLOOKUP($A399,'BC.115+040'!$B$13:$X$489,9,0)/1000</f>
        <v>#REF!</v>
      </c>
      <c r="H399" s="131" t="e">
        <f>VLOOKUP($A399,'BC.115+040'!$B$13:$X$489,14,0)/1000</f>
        <v>#REF!</v>
      </c>
      <c r="I399" s="131" t="e">
        <f>VLOOKUP($A399,'BC.115+040'!$B$13:$X$489,15,0)/1000</f>
        <v>#REF!</v>
      </c>
      <c r="J399" s="131" t="e">
        <f>VLOOKUP($A399,'BC.115+040'!$B$13:$X$489,20,0)/1000</f>
        <v>#REF!</v>
      </c>
      <c r="K399" s="131" t="e">
        <f>VLOOKUP($A399,'BC.115+040'!$B$13:$X$489,21,0)/1000</f>
        <v>#REF!</v>
      </c>
      <c r="L399" s="129" t="e">
        <f t="shared" si="21"/>
        <v>#REF!</v>
      </c>
      <c r="M399" s="130" t="e">
        <f t="shared" si="22"/>
        <v>#REF!</v>
      </c>
      <c r="N399" s="129" t="e">
        <f t="shared" ref="N399:N462" si="23">(K399-$K$14)*1000</f>
        <v>#REF!</v>
      </c>
      <c r="O399" s="129"/>
    </row>
    <row r="400" spans="1:15">
      <c r="A400" s="67" t="e">
        <f>'BC.115+040'!B399</f>
        <v>#REF!</v>
      </c>
      <c r="B400" s="129">
        <f t="shared" si="20"/>
        <v>386</v>
      </c>
      <c r="C400" s="131" t="e">
        <f>'BC.115+040'!M399/1000</f>
        <v>#REF!</v>
      </c>
      <c r="D400" s="131" t="e">
        <f>'BC.115+040'!AA399</f>
        <v>#REF!</v>
      </c>
      <c r="E400" s="132" t="e">
        <f>'BC.115+040'!AB399</f>
        <v>#REF!</v>
      </c>
      <c r="F400" s="131" t="e">
        <f>VLOOKUP($A400,'BC.115+040'!$B$13:$X$489,8,0)/1000</f>
        <v>#REF!</v>
      </c>
      <c r="G400" s="131" t="e">
        <f>VLOOKUP($A400,'BC.115+040'!$B$13:$X$489,9,0)/1000</f>
        <v>#REF!</v>
      </c>
      <c r="H400" s="131" t="e">
        <f>VLOOKUP($A400,'BC.115+040'!$B$13:$X$489,14,0)/1000</f>
        <v>#REF!</v>
      </c>
      <c r="I400" s="131" t="e">
        <f>VLOOKUP($A400,'BC.115+040'!$B$13:$X$489,15,0)/1000</f>
        <v>#REF!</v>
      </c>
      <c r="J400" s="131" t="e">
        <f>VLOOKUP($A400,'BC.115+040'!$B$13:$X$489,20,0)/1000</f>
        <v>#REF!</v>
      </c>
      <c r="K400" s="131" t="e">
        <f>VLOOKUP($A400,'BC.115+040'!$B$13:$X$489,21,0)/1000</f>
        <v>#REF!</v>
      </c>
      <c r="L400" s="129" t="e">
        <f t="shared" si="21"/>
        <v>#REF!</v>
      </c>
      <c r="M400" s="130" t="e">
        <f t="shared" si="22"/>
        <v>#REF!</v>
      </c>
      <c r="N400" s="129" t="e">
        <f t="shared" si="23"/>
        <v>#REF!</v>
      </c>
      <c r="O400" s="129"/>
    </row>
    <row r="401" spans="1:15">
      <c r="A401" s="67" t="e">
        <f>'BC.115+040'!B400</f>
        <v>#REF!</v>
      </c>
      <c r="B401" s="129">
        <f t="shared" si="20"/>
        <v>387</v>
      </c>
      <c r="C401" s="131" t="e">
        <f>'BC.115+040'!M400/1000</f>
        <v>#REF!</v>
      </c>
      <c r="D401" s="131" t="e">
        <f>'BC.115+040'!AA400</f>
        <v>#REF!</v>
      </c>
      <c r="E401" s="132" t="e">
        <f>'BC.115+040'!AB400</f>
        <v>#REF!</v>
      </c>
      <c r="F401" s="131" t="e">
        <f>VLOOKUP($A401,'BC.115+040'!$B$13:$X$489,8,0)/1000</f>
        <v>#REF!</v>
      </c>
      <c r="G401" s="131" t="e">
        <f>VLOOKUP($A401,'BC.115+040'!$B$13:$X$489,9,0)/1000</f>
        <v>#REF!</v>
      </c>
      <c r="H401" s="131" t="e">
        <f>VLOOKUP($A401,'BC.115+040'!$B$13:$X$489,14,0)/1000</f>
        <v>#REF!</v>
      </c>
      <c r="I401" s="131" t="e">
        <f>VLOOKUP($A401,'BC.115+040'!$B$13:$X$489,15,0)/1000</f>
        <v>#REF!</v>
      </c>
      <c r="J401" s="131" t="e">
        <f>VLOOKUP($A401,'BC.115+040'!$B$13:$X$489,20,0)/1000</f>
        <v>#REF!</v>
      </c>
      <c r="K401" s="131" t="e">
        <f>VLOOKUP($A401,'BC.115+040'!$B$13:$X$489,21,0)/1000</f>
        <v>#REF!</v>
      </c>
      <c r="L401" s="129" t="e">
        <f t="shared" si="21"/>
        <v>#REF!</v>
      </c>
      <c r="M401" s="130" t="e">
        <f t="shared" si="22"/>
        <v>#REF!</v>
      </c>
      <c r="N401" s="129" t="e">
        <f t="shared" si="23"/>
        <v>#REF!</v>
      </c>
      <c r="O401" s="129"/>
    </row>
    <row r="402" spans="1:15">
      <c r="A402" s="67" t="e">
        <f>'BC.115+040'!B401</f>
        <v>#REF!</v>
      </c>
      <c r="B402" s="129">
        <f t="shared" si="20"/>
        <v>388</v>
      </c>
      <c r="C402" s="131" t="e">
        <f>'BC.115+040'!M401/1000</f>
        <v>#REF!</v>
      </c>
      <c r="D402" s="131" t="e">
        <f>'BC.115+040'!AA401</f>
        <v>#REF!</v>
      </c>
      <c r="E402" s="132" t="e">
        <f>'BC.115+040'!AB401</f>
        <v>#REF!</v>
      </c>
      <c r="F402" s="131" t="e">
        <f>VLOOKUP($A402,'BC.115+040'!$B$13:$X$489,8,0)/1000</f>
        <v>#REF!</v>
      </c>
      <c r="G402" s="131" t="e">
        <f>VLOOKUP($A402,'BC.115+040'!$B$13:$X$489,9,0)/1000</f>
        <v>#REF!</v>
      </c>
      <c r="H402" s="131" t="e">
        <f>VLOOKUP($A402,'BC.115+040'!$B$13:$X$489,14,0)/1000</f>
        <v>#REF!</v>
      </c>
      <c r="I402" s="131" t="e">
        <f>VLOOKUP($A402,'BC.115+040'!$B$13:$X$489,15,0)/1000</f>
        <v>#REF!</v>
      </c>
      <c r="J402" s="131" t="e">
        <f>VLOOKUP($A402,'BC.115+040'!$B$13:$X$489,20,0)/1000</f>
        <v>#REF!</v>
      </c>
      <c r="K402" s="131" t="e">
        <f>VLOOKUP($A402,'BC.115+040'!$B$13:$X$489,21,0)/1000</f>
        <v>#REF!</v>
      </c>
      <c r="L402" s="129" t="e">
        <f t="shared" si="21"/>
        <v>#REF!</v>
      </c>
      <c r="M402" s="130" t="e">
        <f t="shared" si="22"/>
        <v>#REF!</v>
      </c>
      <c r="N402" s="129" t="e">
        <f t="shared" si="23"/>
        <v>#REF!</v>
      </c>
      <c r="O402" s="129"/>
    </row>
    <row r="403" spans="1:15">
      <c r="A403" s="67" t="e">
        <f>'BC.115+040'!B402</f>
        <v>#REF!</v>
      </c>
      <c r="B403" s="129">
        <f t="shared" si="20"/>
        <v>389</v>
      </c>
      <c r="C403" s="131" t="e">
        <f>'BC.115+040'!M402/1000</f>
        <v>#REF!</v>
      </c>
      <c r="D403" s="131" t="e">
        <f>'BC.115+040'!AA402</f>
        <v>#REF!</v>
      </c>
      <c r="E403" s="132" t="e">
        <f>'BC.115+040'!AB402</f>
        <v>#REF!</v>
      </c>
      <c r="F403" s="131" t="e">
        <f>VLOOKUP($A403,'BC.115+040'!$B$13:$X$489,8,0)/1000</f>
        <v>#REF!</v>
      </c>
      <c r="G403" s="131" t="e">
        <f>VLOOKUP($A403,'BC.115+040'!$B$13:$X$489,9,0)/1000</f>
        <v>#REF!</v>
      </c>
      <c r="H403" s="131" t="e">
        <f>VLOOKUP($A403,'BC.115+040'!$B$13:$X$489,14,0)/1000</f>
        <v>#REF!</v>
      </c>
      <c r="I403" s="131" t="e">
        <f>VLOOKUP($A403,'BC.115+040'!$B$13:$X$489,15,0)/1000</f>
        <v>#REF!</v>
      </c>
      <c r="J403" s="131" t="e">
        <f>VLOOKUP($A403,'BC.115+040'!$B$13:$X$489,20,0)/1000</f>
        <v>#REF!</v>
      </c>
      <c r="K403" s="131" t="e">
        <f>VLOOKUP($A403,'BC.115+040'!$B$13:$X$489,21,0)/1000</f>
        <v>#REF!</v>
      </c>
      <c r="L403" s="129" t="e">
        <f t="shared" si="21"/>
        <v>#REF!</v>
      </c>
      <c r="M403" s="130" t="e">
        <f t="shared" si="22"/>
        <v>#REF!</v>
      </c>
      <c r="N403" s="129" t="e">
        <f t="shared" si="23"/>
        <v>#REF!</v>
      </c>
      <c r="O403" s="129"/>
    </row>
    <row r="404" spans="1:15">
      <c r="A404" s="67" t="e">
        <f>'BC.115+040'!B403</f>
        <v>#REF!</v>
      </c>
      <c r="B404" s="129">
        <f t="shared" si="20"/>
        <v>390</v>
      </c>
      <c r="C404" s="131" t="e">
        <f>'BC.115+040'!M403/1000</f>
        <v>#REF!</v>
      </c>
      <c r="D404" s="131" t="e">
        <f>'BC.115+040'!AA403</f>
        <v>#REF!</v>
      </c>
      <c r="E404" s="132" t="e">
        <f>'BC.115+040'!AB403</f>
        <v>#REF!</v>
      </c>
      <c r="F404" s="131" t="e">
        <f>VLOOKUP($A404,'BC.115+040'!$B$13:$X$489,8,0)/1000</f>
        <v>#REF!</v>
      </c>
      <c r="G404" s="131" t="e">
        <f>VLOOKUP($A404,'BC.115+040'!$B$13:$X$489,9,0)/1000</f>
        <v>#REF!</v>
      </c>
      <c r="H404" s="131" t="e">
        <f>VLOOKUP($A404,'BC.115+040'!$B$13:$X$489,14,0)/1000</f>
        <v>#REF!</v>
      </c>
      <c r="I404" s="131" t="e">
        <f>VLOOKUP($A404,'BC.115+040'!$B$13:$X$489,15,0)/1000</f>
        <v>#REF!</v>
      </c>
      <c r="J404" s="131" t="e">
        <f>VLOOKUP($A404,'BC.115+040'!$B$13:$X$489,20,0)/1000</f>
        <v>#REF!</v>
      </c>
      <c r="K404" s="131" t="e">
        <f>VLOOKUP($A404,'BC.115+040'!$B$13:$X$489,21,0)/1000</f>
        <v>#REF!</v>
      </c>
      <c r="L404" s="129" t="e">
        <f t="shared" si="21"/>
        <v>#REF!</v>
      </c>
      <c r="M404" s="130" t="e">
        <f t="shared" si="22"/>
        <v>#REF!</v>
      </c>
      <c r="N404" s="129" t="e">
        <f t="shared" si="23"/>
        <v>#REF!</v>
      </c>
      <c r="O404" s="129"/>
    </row>
    <row r="405" spans="1:15">
      <c r="A405" s="67" t="e">
        <f>'BC.115+040'!B404</f>
        <v>#REF!</v>
      </c>
      <c r="B405" s="129">
        <f t="shared" si="20"/>
        <v>391</v>
      </c>
      <c r="C405" s="131" t="e">
        <f>'BC.115+040'!M404/1000</f>
        <v>#REF!</v>
      </c>
      <c r="D405" s="131" t="e">
        <f>'BC.115+040'!AA404</f>
        <v>#REF!</v>
      </c>
      <c r="E405" s="132" t="e">
        <f>'BC.115+040'!AB404</f>
        <v>#REF!</v>
      </c>
      <c r="F405" s="131" t="e">
        <f>VLOOKUP($A405,'BC.115+040'!$B$13:$X$489,8,0)/1000</f>
        <v>#REF!</v>
      </c>
      <c r="G405" s="131" t="e">
        <f>VLOOKUP($A405,'BC.115+040'!$B$13:$X$489,9,0)/1000</f>
        <v>#REF!</v>
      </c>
      <c r="H405" s="131" t="e">
        <f>VLOOKUP($A405,'BC.115+040'!$B$13:$X$489,14,0)/1000</f>
        <v>#REF!</v>
      </c>
      <c r="I405" s="131" t="e">
        <f>VLOOKUP($A405,'BC.115+040'!$B$13:$X$489,15,0)/1000</f>
        <v>#REF!</v>
      </c>
      <c r="J405" s="131" t="e">
        <f>VLOOKUP($A405,'BC.115+040'!$B$13:$X$489,20,0)/1000</f>
        <v>#REF!</v>
      </c>
      <c r="K405" s="131" t="e">
        <f>VLOOKUP($A405,'BC.115+040'!$B$13:$X$489,21,0)/1000</f>
        <v>#REF!</v>
      </c>
      <c r="L405" s="129" t="e">
        <f t="shared" si="21"/>
        <v>#REF!</v>
      </c>
      <c r="M405" s="130" t="e">
        <f t="shared" si="22"/>
        <v>#REF!</v>
      </c>
      <c r="N405" s="129" t="e">
        <f t="shared" si="23"/>
        <v>#REF!</v>
      </c>
      <c r="O405" s="129"/>
    </row>
    <row r="406" spans="1:15">
      <c r="A406" s="67" t="e">
        <f>'BC.115+040'!B405</f>
        <v>#REF!</v>
      </c>
      <c r="B406" s="129">
        <f t="shared" si="20"/>
        <v>392</v>
      </c>
      <c r="C406" s="131" t="e">
        <f>'BC.115+040'!M405/1000</f>
        <v>#REF!</v>
      </c>
      <c r="D406" s="131" t="e">
        <f>'BC.115+040'!AA405</f>
        <v>#REF!</v>
      </c>
      <c r="E406" s="132" t="e">
        <f>'BC.115+040'!AB405</f>
        <v>#REF!</v>
      </c>
      <c r="F406" s="131" t="e">
        <f>VLOOKUP($A406,'BC.115+040'!$B$13:$X$489,8,0)/1000</f>
        <v>#REF!</v>
      </c>
      <c r="G406" s="131" t="e">
        <f>VLOOKUP($A406,'BC.115+040'!$B$13:$X$489,9,0)/1000</f>
        <v>#REF!</v>
      </c>
      <c r="H406" s="131" t="e">
        <f>VLOOKUP($A406,'BC.115+040'!$B$13:$X$489,14,0)/1000</f>
        <v>#REF!</v>
      </c>
      <c r="I406" s="131" t="e">
        <f>VLOOKUP($A406,'BC.115+040'!$B$13:$X$489,15,0)/1000</f>
        <v>#REF!</v>
      </c>
      <c r="J406" s="131" t="e">
        <f>VLOOKUP($A406,'BC.115+040'!$B$13:$X$489,20,0)/1000</f>
        <v>#REF!</v>
      </c>
      <c r="K406" s="131" t="e">
        <f>VLOOKUP($A406,'BC.115+040'!$B$13:$X$489,21,0)/1000</f>
        <v>#REF!</v>
      </c>
      <c r="L406" s="129" t="e">
        <f t="shared" si="21"/>
        <v>#REF!</v>
      </c>
      <c r="M406" s="130" t="e">
        <f t="shared" si="22"/>
        <v>#REF!</v>
      </c>
      <c r="N406" s="129" t="e">
        <f t="shared" si="23"/>
        <v>#REF!</v>
      </c>
      <c r="O406" s="129"/>
    </row>
    <row r="407" spans="1:15">
      <c r="A407" s="67" t="e">
        <f>'BC.115+040'!B406</f>
        <v>#REF!</v>
      </c>
      <c r="B407" s="129">
        <f t="shared" si="20"/>
        <v>393</v>
      </c>
      <c r="C407" s="131" t="e">
        <f>'BC.115+040'!M406/1000</f>
        <v>#REF!</v>
      </c>
      <c r="D407" s="131" t="e">
        <f>'BC.115+040'!AA406</f>
        <v>#REF!</v>
      </c>
      <c r="E407" s="132" t="e">
        <f>'BC.115+040'!AB406</f>
        <v>#REF!</v>
      </c>
      <c r="F407" s="131" t="e">
        <f>VLOOKUP($A407,'BC.115+040'!$B$13:$X$489,8,0)/1000</f>
        <v>#REF!</v>
      </c>
      <c r="G407" s="131" t="e">
        <f>VLOOKUP($A407,'BC.115+040'!$B$13:$X$489,9,0)/1000</f>
        <v>#REF!</v>
      </c>
      <c r="H407" s="131" t="e">
        <f>VLOOKUP($A407,'BC.115+040'!$B$13:$X$489,14,0)/1000</f>
        <v>#REF!</v>
      </c>
      <c r="I407" s="131" t="e">
        <f>VLOOKUP($A407,'BC.115+040'!$B$13:$X$489,15,0)/1000</f>
        <v>#REF!</v>
      </c>
      <c r="J407" s="131" t="e">
        <f>VLOOKUP($A407,'BC.115+040'!$B$13:$X$489,20,0)/1000</f>
        <v>#REF!</v>
      </c>
      <c r="K407" s="131" t="e">
        <f>VLOOKUP($A407,'BC.115+040'!$B$13:$X$489,21,0)/1000</f>
        <v>#REF!</v>
      </c>
      <c r="L407" s="129" t="e">
        <f t="shared" si="21"/>
        <v>#REF!</v>
      </c>
      <c r="M407" s="130" t="e">
        <f t="shared" si="22"/>
        <v>#REF!</v>
      </c>
      <c r="N407" s="129" t="e">
        <f t="shared" si="23"/>
        <v>#REF!</v>
      </c>
      <c r="O407" s="129"/>
    </row>
    <row r="408" spans="1:15">
      <c r="A408" s="67" t="e">
        <f>'BC.115+040'!B407</f>
        <v>#REF!</v>
      </c>
      <c r="B408" s="129">
        <f t="shared" si="20"/>
        <v>394</v>
      </c>
      <c r="C408" s="131" t="e">
        <f>'BC.115+040'!M407/1000</f>
        <v>#REF!</v>
      </c>
      <c r="D408" s="131" t="e">
        <f>'BC.115+040'!AA407</f>
        <v>#REF!</v>
      </c>
      <c r="E408" s="132" t="e">
        <f>'BC.115+040'!AB407</f>
        <v>#REF!</v>
      </c>
      <c r="F408" s="131" t="e">
        <f>VLOOKUP($A408,'BC.115+040'!$B$13:$X$489,8,0)/1000</f>
        <v>#REF!</v>
      </c>
      <c r="G408" s="131" t="e">
        <f>VLOOKUP($A408,'BC.115+040'!$B$13:$X$489,9,0)/1000</f>
        <v>#REF!</v>
      </c>
      <c r="H408" s="131" t="e">
        <f>VLOOKUP($A408,'BC.115+040'!$B$13:$X$489,14,0)/1000</f>
        <v>#REF!</v>
      </c>
      <c r="I408" s="131" t="e">
        <f>VLOOKUP($A408,'BC.115+040'!$B$13:$X$489,15,0)/1000</f>
        <v>#REF!</v>
      </c>
      <c r="J408" s="131" t="e">
        <f>VLOOKUP($A408,'BC.115+040'!$B$13:$X$489,20,0)/1000</f>
        <v>#REF!</v>
      </c>
      <c r="K408" s="131" t="e">
        <f>VLOOKUP($A408,'BC.115+040'!$B$13:$X$489,21,0)/1000</f>
        <v>#REF!</v>
      </c>
      <c r="L408" s="129" t="e">
        <f t="shared" si="21"/>
        <v>#REF!</v>
      </c>
      <c r="M408" s="130" t="e">
        <f t="shared" si="22"/>
        <v>#REF!</v>
      </c>
      <c r="N408" s="129" t="e">
        <f t="shared" si="23"/>
        <v>#REF!</v>
      </c>
      <c r="O408" s="129"/>
    </row>
    <row r="409" spans="1:15">
      <c r="A409" s="67" t="e">
        <f>'BC.115+040'!B408</f>
        <v>#REF!</v>
      </c>
      <c r="B409" s="129">
        <f t="shared" si="20"/>
        <v>395</v>
      </c>
      <c r="C409" s="131" t="e">
        <f>'BC.115+040'!M408/1000</f>
        <v>#REF!</v>
      </c>
      <c r="D409" s="131" t="e">
        <f>'BC.115+040'!AA408</f>
        <v>#REF!</v>
      </c>
      <c r="E409" s="132" t="e">
        <f>'BC.115+040'!AB408</f>
        <v>#REF!</v>
      </c>
      <c r="F409" s="131" t="e">
        <f>VLOOKUP($A409,'BC.115+040'!$B$13:$X$489,8,0)/1000</f>
        <v>#REF!</v>
      </c>
      <c r="G409" s="131" t="e">
        <f>VLOOKUP($A409,'BC.115+040'!$B$13:$X$489,9,0)/1000</f>
        <v>#REF!</v>
      </c>
      <c r="H409" s="131" t="e">
        <f>VLOOKUP($A409,'BC.115+040'!$B$13:$X$489,14,0)/1000</f>
        <v>#REF!</v>
      </c>
      <c r="I409" s="131" t="e">
        <f>VLOOKUP($A409,'BC.115+040'!$B$13:$X$489,15,0)/1000</f>
        <v>#REF!</v>
      </c>
      <c r="J409" s="131" t="e">
        <f>VLOOKUP($A409,'BC.115+040'!$B$13:$X$489,20,0)/1000</f>
        <v>#REF!</v>
      </c>
      <c r="K409" s="131" t="e">
        <f>VLOOKUP($A409,'BC.115+040'!$B$13:$X$489,21,0)/1000</f>
        <v>#REF!</v>
      </c>
      <c r="L409" s="129" t="e">
        <f t="shared" si="21"/>
        <v>#REF!</v>
      </c>
      <c r="M409" s="130" t="e">
        <f t="shared" si="22"/>
        <v>#REF!</v>
      </c>
      <c r="N409" s="129" t="e">
        <f t="shared" si="23"/>
        <v>#REF!</v>
      </c>
      <c r="O409" s="129"/>
    </row>
    <row r="410" spans="1:15">
      <c r="A410" s="67" t="e">
        <f>'BC.115+040'!B409</f>
        <v>#REF!</v>
      </c>
      <c r="B410" s="129">
        <f t="shared" si="20"/>
        <v>396</v>
      </c>
      <c r="C410" s="131" t="e">
        <f>'BC.115+040'!M409/1000</f>
        <v>#REF!</v>
      </c>
      <c r="D410" s="131" t="e">
        <f>'BC.115+040'!AA409</f>
        <v>#REF!</v>
      </c>
      <c r="E410" s="132" t="e">
        <f>'BC.115+040'!AB409</f>
        <v>#REF!</v>
      </c>
      <c r="F410" s="131" t="e">
        <f>VLOOKUP($A410,'BC.115+040'!$B$13:$X$489,8,0)/1000</f>
        <v>#REF!</v>
      </c>
      <c r="G410" s="131" t="e">
        <f>VLOOKUP($A410,'BC.115+040'!$B$13:$X$489,9,0)/1000</f>
        <v>#REF!</v>
      </c>
      <c r="H410" s="131" t="e">
        <f>VLOOKUP($A410,'BC.115+040'!$B$13:$X$489,14,0)/1000</f>
        <v>#REF!</v>
      </c>
      <c r="I410" s="131" t="e">
        <f>VLOOKUP($A410,'BC.115+040'!$B$13:$X$489,15,0)/1000</f>
        <v>#REF!</v>
      </c>
      <c r="J410" s="131" t="e">
        <f>VLOOKUP($A410,'BC.115+040'!$B$13:$X$489,20,0)/1000</f>
        <v>#REF!</v>
      </c>
      <c r="K410" s="131" t="e">
        <f>VLOOKUP($A410,'BC.115+040'!$B$13:$X$489,21,0)/1000</f>
        <v>#REF!</v>
      </c>
      <c r="L410" s="129" t="e">
        <f t="shared" si="21"/>
        <v>#REF!</v>
      </c>
      <c r="M410" s="130" t="e">
        <f t="shared" si="22"/>
        <v>#REF!</v>
      </c>
      <c r="N410" s="129" t="e">
        <f t="shared" si="23"/>
        <v>#REF!</v>
      </c>
      <c r="O410" s="129"/>
    </row>
    <row r="411" spans="1:15">
      <c r="A411" s="67" t="e">
        <f>'BC.115+040'!B410</f>
        <v>#REF!</v>
      </c>
      <c r="B411" s="129">
        <f t="shared" si="20"/>
        <v>397</v>
      </c>
      <c r="C411" s="131" t="e">
        <f>'BC.115+040'!M410/1000</f>
        <v>#REF!</v>
      </c>
      <c r="D411" s="131" t="e">
        <f>'BC.115+040'!AA410</f>
        <v>#REF!</v>
      </c>
      <c r="E411" s="132" t="e">
        <f>'BC.115+040'!AB410</f>
        <v>#REF!</v>
      </c>
      <c r="F411" s="131" t="e">
        <f>VLOOKUP($A411,'BC.115+040'!$B$13:$X$489,8,0)/1000</f>
        <v>#REF!</v>
      </c>
      <c r="G411" s="131" t="e">
        <f>VLOOKUP($A411,'BC.115+040'!$B$13:$X$489,9,0)/1000</f>
        <v>#REF!</v>
      </c>
      <c r="H411" s="131" t="e">
        <f>VLOOKUP($A411,'BC.115+040'!$B$13:$X$489,14,0)/1000</f>
        <v>#REF!</v>
      </c>
      <c r="I411" s="131" t="e">
        <f>VLOOKUP($A411,'BC.115+040'!$B$13:$X$489,15,0)/1000</f>
        <v>#REF!</v>
      </c>
      <c r="J411" s="131" t="e">
        <f>VLOOKUP($A411,'BC.115+040'!$B$13:$X$489,20,0)/1000</f>
        <v>#REF!</v>
      </c>
      <c r="K411" s="131" t="e">
        <f>VLOOKUP($A411,'BC.115+040'!$B$13:$X$489,21,0)/1000</f>
        <v>#REF!</v>
      </c>
      <c r="L411" s="129" t="e">
        <f t="shared" si="21"/>
        <v>#REF!</v>
      </c>
      <c r="M411" s="130" t="e">
        <f t="shared" si="22"/>
        <v>#REF!</v>
      </c>
      <c r="N411" s="129" t="e">
        <f t="shared" si="23"/>
        <v>#REF!</v>
      </c>
      <c r="O411" s="129"/>
    </row>
    <row r="412" spans="1:15">
      <c r="A412" s="67" t="e">
        <f>'BC.115+040'!B411</f>
        <v>#REF!</v>
      </c>
      <c r="B412" s="129">
        <f t="shared" si="20"/>
        <v>398</v>
      </c>
      <c r="C412" s="131" t="e">
        <f>'BC.115+040'!M411/1000</f>
        <v>#REF!</v>
      </c>
      <c r="D412" s="131" t="e">
        <f>'BC.115+040'!AA411</f>
        <v>#REF!</v>
      </c>
      <c r="E412" s="132" t="e">
        <f>'BC.115+040'!AB411</f>
        <v>#REF!</v>
      </c>
      <c r="F412" s="131" t="e">
        <f>VLOOKUP($A412,'BC.115+040'!$B$13:$X$489,8,0)/1000</f>
        <v>#REF!</v>
      </c>
      <c r="G412" s="131" t="e">
        <f>VLOOKUP($A412,'BC.115+040'!$B$13:$X$489,9,0)/1000</f>
        <v>#REF!</v>
      </c>
      <c r="H412" s="131" t="e">
        <f>VLOOKUP($A412,'BC.115+040'!$B$13:$X$489,14,0)/1000</f>
        <v>#REF!</v>
      </c>
      <c r="I412" s="131" t="e">
        <f>VLOOKUP($A412,'BC.115+040'!$B$13:$X$489,15,0)/1000</f>
        <v>#REF!</v>
      </c>
      <c r="J412" s="131" t="e">
        <f>VLOOKUP($A412,'BC.115+040'!$B$13:$X$489,20,0)/1000</f>
        <v>#REF!</v>
      </c>
      <c r="K412" s="131" t="e">
        <f>VLOOKUP($A412,'BC.115+040'!$B$13:$X$489,21,0)/1000</f>
        <v>#REF!</v>
      </c>
      <c r="L412" s="129" t="e">
        <f t="shared" si="21"/>
        <v>#REF!</v>
      </c>
      <c r="M412" s="130" t="e">
        <f t="shared" si="22"/>
        <v>#REF!</v>
      </c>
      <c r="N412" s="129" t="e">
        <f t="shared" si="23"/>
        <v>#REF!</v>
      </c>
      <c r="O412" s="129"/>
    </row>
    <row r="413" spans="1:15">
      <c r="A413" s="67" t="e">
        <f>'BC.115+040'!B412</f>
        <v>#REF!</v>
      </c>
      <c r="B413" s="129">
        <f t="shared" si="20"/>
        <v>399</v>
      </c>
      <c r="C413" s="131" t="e">
        <f>'BC.115+040'!M412/1000</f>
        <v>#REF!</v>
      </c>
      <c r="D413" s="131" t="e">
        <f>'BC.115+040'!AA412</f>
        <v>#REF!</v>
      </c>
      <c r="E413" s="132" t="e">
        <f>'BC.115+040'!AB412</f>
        <v>#REF!</v>
      </c>
      <c r="F413" s="131" t="e">
        <f>VLOOKUP($A413,'BC.115+040'!$B$13:$X$489,8,0)/1000</f>
        <v>#REF!</v>
      </c>
      <c r="G413" s="131" t="e">
        <f>VLOOKUP($A413,'BC.115+040'!$B$13:$X$489,9,0)/1000</f>
        <v>#REF!</v>
      </c>
      <c r="H413" s="131" t="e">
        <f>VLOOKUP($A413,'BC.115+040'!$B$13:$X$489,14,0)/1000</f>
        <v>#REF!</v>
      </c>
      <c r="I413" s="131" t="e">
        <f>VLOOKUP($A413,'BC.115+040'!$B$13:$X$489,15,0)/1000</f>
        <v>#REF!</v>
      </c>
      <c r="J413" s="131" t="e">
        <f>VLOOKUP($A413,'BC.115+040'!$B$13:$X$489,20,0)/1000</f>
        <v>#REF!</v>
      </c>
      <c r="K413" s="131" t="e">
        <f>VLOOKUP($A413,'BC.115+040'!$B$13:$X$489,21,0)/1000</f>
        <v>#REF!</v>
      </c>
      <c r="L413" s="129" t="e">
        <f t="shared" si="21"/>
        <v>#REF!</v>
      </c>
      <c r="M413" s="130" t="e">
        <f t="shared" si="22"/>
        <v>#REF!</v>
      </c>
      <c r="N413" s="129" t="e">
        <f t="shared" si="23"/>
        <v>#REF!</v>
      </c>
      <c r="O413" s="129"/>
    </row>
    <row r="414" spans="1:15">
      <c r="A414" s="67" t="e">
        <f>'BC.115+040'!B413</f>
        <v>#REF!</v>
      </c>
      <c r="B414" s="129">
        <f t="shared" si="20"/>
        <v>400</v>
      </c>
      <c r="C414" s="131" t="e">
        <f>'BC.115+040'!M413/1000</f>
        <v>#REF!</v>
      </c>
      <c r="D414" s="131" t="e">
        <f>'BC.115+040'!AA413</f>
        <v>#REF!</v>
      </c>
      <c r="E414" s="132" t="e">
        <f>'BC.115+040'!AB413</f>
        <v>#REF!</v>
      </c>
      <c r="F414" s="131" t="e">
        <f>VLOOKUP($A414,'BC.115+040'!$B$13:$X$489,8,0)/1000</f>
        <v>#REF!</v>
      </c>
      <c r="G414" s="131" t="e">
        <f>VLOOKUP($A414,'BC.115+040'!$B$13:$X$489,9,0)/1000</f>
        <v>#REF!</v>
      </c>
      <c r="H414" s="131" t="e">
        <f>VLOOKUP($A414,'BC.115+040'!$B$13:$X$489,14,0)/1000</f>
        <v>#REF!</v>
      </c>
      <c r="I414" s="131" t="e">
        <f>VLOOKUP($A414,'BC.115+040'!$B$13:$X$489,15,0)/1000</f>
        <v>#REF!</v>
      </c>
      <c r="J414" s="131" t="e">
        <f>VLOOKUP($A414,'BC.115+040'!$B$13:$X$489,20,0)/1000</f>
        <v>#REF!</v>
      </c>
      <c r="K414" s="131" t="e">
        <f>VLOOKUP($A414,'BC.115+040'!$B$13:$X$489,21,0)/1000</f>
        <v>#REF!</v>
      </c>
      <c r="L414" s="129" t="e">
        <f t="shared" si="21"/>
        <v>#REF!</v>
      </c>
      <c r="M414" s="130" t="e">
        <f t="shared" si="22"/>
        <v>#REF!</v>
      </c>
      <c r="N414" s="129" t="e">
        <f t="shared" si="23"/>
        <v>#REF!</v>
      </c>
      <c r="O414" s="129"/>
    </row>
    <row r="415" spans="1:15">
      <c r="A415" s="67" t="e">
        <f>'BC.115+040'!B414</f>
        <v>#REF!</v>
      </c>
      <c r="B415" s="129">
        <f t="shared" si="20"/>
        <v>401</v>
      </c>
      <c r="C415" s="131" t="e">
        <f>'BC.115+040'!M414/1000</f>
        <v>#REF!</v>
      </c>
      <c r="D415" s="131" t="e">
        <f>'BC.115+040'!AA414</f>
        <v>#REF!</v>
      </c>
      <c r="E415" s="132" t="e">
        <f>'BC.115+040'!AB414</f>
        <v>#REF!</v>
      </c>
      <c r="F415" s="131" t="e">
        <f>VLOOKUP($A415,'BC.115+040'!$B$13:$X$489,8,0)/1000</f>
        <v>#REF!</v>
      </c>
      <c r="G415" s="131" t="e">
        <f>VLOOKUP($A415,'BC.115+040'!$B$13:$X$489,9,0)/1000</f>
        <v>#REF!</v>
      </c>
      <c r="H415" s="131" t="e">
        <f>VLOOKUP($A415,'BC.115+040'!$B$13:$X$489,14,0)/1000</f>
        <v>#REF!</v>
      </c>
      <c r="I415" s="131" t="e">
        <f>VLOOKUP($A415,'BC.115+040'!$B$13:$X$489,15,0)/1000</f>
        <v>#REF!</v>
      </c>
      <c r="J415" s="131" t="e">
        <f>VLOOKUP($A415,'BC.115+040'!$B$13:$X$489,20,0)/1000</f>
        <v>#REF!</v>
      </c>
      <c r="K415" s="131" t="e">
        <f>VLOOKUP($A415,'BC.115+040'!$B$13:$X$489,21,0)/1000</f>
        <v>#REF!</v>
      </c>
      <c r="L415" s="129" t="e">
        <f t="shared" si="21"/>
        <v>#REF!</v>
      </c>
      <c r="M415" s="130" t="e">
        <f t="shared" si="22"/>
        <v>#REF!</v>
      </c>
      <c r="N415" s="129" t="e">
        <f t="shared" si="23"/>
        <v>#REF!</v>
      </c>
      <c r="O415" s="129"/>
    </row>
    <row r="416" spans="1:15">
      <c r="A416" s="67" t="e">
        <f>'BC.115+040'!B415</f>
        <v>#REF!</v>
      </c>
      <c r="B416" s="129">
        <f t="shared" si="20"/>
        <v>402</v>
      </c>
      <c r="C416" s="131" t="e">
        <f>'BC.115+040'!M415/1000</f>
        <v>#REF!</v>
      </c>
      <c r="D416" s="131" t="e">
        <f>'BC.115+040'!AA415</f>
        <v>#REF!</v>
      </c>
      <c r="E416" s="132" t="e">
        <f>'BC.115+040'!AB415</f>
        <v>#REF!</v>
      </c>
      <c r="F416" s="131" t="e">
        <f>VLOOKUP($A416,'BC.115+040'!$B$13:$X$489,8,0)/1000</f>
        <v>#REF!</v>
      </c>
      <c r="G416" s="131" t="e">
        <f>VLOOKUP($A416,'BC.115+040'!$B$13:$X$489,9,0)/1000</f>
        <v>#REF!</v>
      </c>
      <c r="H416" s="131" t="e">
        <f>VLOOKUP($A416,'BC.115+040'!$B$13:$X$489,14,0)/1000</f>
        <v>#REF!</v>
      </c>
      <c r="I416" s="131" t="e">
        <f>VLOOKUP($A416,'BC.115+040'!$B$13:$X$489,15,0)/1000</f>
        <v>#REF!</v>
      </c>
      <c r="J416" s="131" t="e">
        <f>VLOOKUP($A416,'BC.115+040'!$B$13:$X$489,20,0)/1000</f>
        <v>#REF!</v>
      </c>
      <c r="K416" s="131" t="e">
        <f>VLOOKUP($A416,'BC.115+040'!$B$13:$X$489,21,0)/1000</f>
        <v>#REF!</v>
      </c>
      <c r="L416" s="129" t="e">
        <f t="shared" si="21"/>
        <v>#REF!</v>
      </c>
      <c r="M416" s="130" t="e">
        <f t="shared" si="22"/>
        <v>#REF!</v>
      </c>
      <c r="N416" s="129" t="e">
        <f t="shared" si="23"/>
        <v>#REF!</v>
      </c>
      <c r="O416" s="129"/>
    </row>
    <row r="417" spans="1:15">
      <c r="A417" s="67" t="e">
        <f>'BC.115+040'!B416</f>
        <v>#REF!</v>
      </c>
      <c r="B417" s="129">
        <f t="shared" si="20"/>
        <v>403</v>
      </c>
      <c r="C417" s="131" t="e">
        <f>'BC.115+040'!M416/1000</f>
        <v>#REF!</v>
      </c>
      <c r="D417" s="131" t="e">
        <f>'BC.115+040'!AA416</f>
        <v>#REF!</v>
      </c>
      <c r="E417" s="132" t="e">
        <f>'BC.115+040'!AB416</f>
        <v>#REF!</v>
      </c>
      <c r="F417" s="131" t="e">
        <f>VLOOKUP($A417,'BC.115+040'!$B$13:$X$489,8,0)/1000</f>
        <v>#REF!</v>
      </c>
      <c r="G417" s="131" t="e">
        <f>VLOOKUP($A417,'BC.115+040'!$B$13:$X$489,9,0)/1000</f>
        <v>#REF!</v>
      </c>
      <c r="H417" s="131" t="e">
        <f>VLOOKUP($A417,'BC.115+040'!$B$13:$X$489,14,0)/1000</f>
        <v>#REF!</v>
      </c>
      <c r="I417" s="131" t="e">
        <f>VLOOKUP($A417,'BC.115+040'!$B$13:$X$489,15,0)/1000</f>
        <v>#REF!</v>
      </c>
      <c r="J417" s="131" t="e">
        <f>VLOOKUP($A417,'BC.115+040'!$B$13:$X$489,20,0)/1000</f>
        <v>#REF!</v>
      </c>
      <c r="K417" s="131" t="e">
        <f>VLOOKUP($A417,'BC.115+040'!$B$13:$X$489,21,0)/1000</f>
        <v>#REF!</v>
      </c>
      <c r="L417" s="129" t="e">
        <f t="shared" si="21"/>
        <v>#REF!</v>
      </c>
      <c r="M417" s="130" t="e">
        <f t="shared" si="22"/>
        <v>#REF!</v>
      </c>
      <c r="N417" s="129" t="e">
        <f t="shared" si="23"/>
        <v>#REF!</v>
      </c>
      <c r="O417" s="129"/>
    </row>
    <row r="418" spans="1:15">
      <c r="A418" s="67" t="e">
        <f>'BC.115+040'!B417</f>
        <v>#REF!</v>
      </c>
      <c r="B418" s="129">
        <f t="shared" si="20"/>
        <v>404</v>
      </c>
      <c r="C418" s="131" t="e">
        <f>'BC.115+040'!M417/1000</f>
        <v>#REF!</v>
      </c>
      <c r="D418" s="131" t="e">
        <f>'BC.115+040'!AA417</f>
        <v>#REF!</v>
      </c>
      <c r="E418" s="132" t="e">
        <f>'BC.115+040'!AB417</f>
        <v>#REF!</v>
      </c>
      <c r="F418" s="131" t="e">
        <f>VLOOKUP($A418,'BC.115+040'!$B$13:$X$489,8,0)/1000</f>
        <v>#REF!</v>
      </c>
      <c r="G418" s="131" t="e">
        <f>VLOOKUP($A418,'BC.115+040'!$B$13:$X$489,9,0)/1000</f>
        <v>#REF!</v>
      </c>
      <c r="H418" s="131" t="e">
        <f>VLOOKUP($A418,'BC.115+040'!$B$13:$X$489,14,0)/1000</f>
        <v>#REF!</v>
      </c>
      <c r="I418" s="131" t="e">
        <f>VLOOKUP($A418,'BC.115+040'!$B$13:$X$489,15,0)/1000</f>
        <v>#REF!</v>
      </c>
      <c r="J418" s="131" t="e">
        <f>VLOOKUP($A418,'BC.115+040'!$B$13:$X$489,20,0)/1000</f>
        <v>#REF!</v>
      </c>
      <c r="K418" s="131" t="e">
        <f>VLOOKUP($A418,'BC.115+040'!$B$13:$X$489,21,0)/1000</f>
        <v>#REF!</v>
      </c>
      <c r="L418" s="129" t="e">
        <f t="shared" si="21"/>
        <v>#REF!</v>
      </c>
      <c r="M418" s="130" t="e">
        <f t="shared" si="22"/>
        <v>#REF!</v>
      </c>
      <c r="N418" s="129" t="e">
        <f t="shared" si="23"/>
        <v>#REF!</v>
      </c>
      <c r="O418" s="129"/>
    </row>
    <row r="419" spans="1:15">
      <c r="A419" s="67" t="e">
        <f>'BC.115+040'!B418</f>
        <v>#REF!</v>
      </c>
      <c r="B419" s="129">
        <f t="shared" si="20"/>
        <v>405</v>
      </c>
      <c r="C419" s="131" t="e">
        <f>'BC.115+040'!M418/1000</f>
        <v>#REF!</v>
      </c>
      <c r="D419" s="131" t="e">
        <f>'BC.115+040'!AA418</f>
        <v>#REF!</v>
      </c>
      <c r="E419" s="132" t="e">
        <f>'BC.115+040'!AB418</f>
        <v>#REF!</v>
      </c>
      <c r="F419" s="131" t="e">
        <f>VLOOKUP($A419,'BC.115+040'!$B$13:$X$489,8,0)/1000</f>
        <v>#REF!</v>
      </c>
      <c r="G419" s="131" t="e">
        <f>VLOOKUP($A419,'BC.115+040'!$B$13:$X$489,9,0)/1000</f>
        <v>#REF!</v>
      </c>
      <c r="H419" s="131" t="e">
        <f>VLOOKUP($A419,'BC.115+040'!$B$13:$X$489,14,0)/1000</f>
        <v>#REF!</v>
      </c>
      <c r="I419" s="131" t="e">
        <f>VLOOKUP($A419,'BC.115+040'!$B$13:$X$489,15,0)/1000</f>
        <v>#REF!</v>
      </c>
      <c r="J419" s="131" t="e">
        <f>VLOOKUP($A419,'BC.115+040'!$B$13:$X$489,20,0)/1000</f>
        <v>#REF!</v>
      </c>
      <c r="K419" s="131" t="e">
        <f>VLOOKUP($A419,'BC.115+040'!$B$13:$X$489,21,0)/1000</f>
        <v>#REF!</v>
      </c>
      <c r="L419" s="129" t="e">
        <f t="shared" si="21"/>
        <v>#REF!</v>
      </c>
      <c r="M419" s="130" t="e">
        <f t="shared" si="22"/>
        <v>#REF!</v>
      </c>
      <c r="N419" s="129" t="e">
        <f t="shared" si="23"/>
        <v>#REF!</v>
      </c>
      <c r="O419" s="129"/>
    </row>
    <row r="420" spans="1:15">
      <c r="A420" s="67" t="e">
        <f>'BC.115+040'!B419</f>
        <v>#REF!</v>
      </c>
      <c r="B420" s="129">
        <f t="shared" si="20"/>
        <v>406</v>
      </c>
      <c r="C420" s="131" t="e">
        <f>'BC.115+040'!M419/1000</f>
        <v>#REF!</v>
      </c>
      <c r="D420" s="131" t="e">
        <f>'BC.115+040'!AA419</f>
        <v>#REF!</v>
      </c>
      <c r="E420" s="132" t="e">
        <f>'BC.115+040'!AB419</f>
        <v>#REF!</v>
      </c>
      <c r="F420" s="131" t="e">
        <f>VLOOKUP($A420,'BC.115+040'!$B$13:$X$489,8,0)/1000</f>
        <v>#REF!</v>
      </c>
      <c r="G420" s="131" t="e">
        <f>VLOOKUP($A420,'BC.115+040'!$B$13:$X$489,9,0)/1000</f>
        <v>#REF!</v>
      </c>
      <c r="H420" s="131" t="e">
        <f>VLOOKUP($A420,'BC.115+040'!$B$13:$X$489,14,0)/1000</f>
        <v>#REF!</v>
      </c>
      <c r="I420" s="131" t="e">
        <f>VLOOKUP($A420,'BC.115+040'!$B$13:$X$489,15,0)/1000</f>
        <v>#REF!</v>
      </c>
      <c r="J420" s="131" t="e">
        <f>VLOOKUP($A420,'BC.115+040'!$B$13:$X$489,20,0)/1000</f>
        <v>#REF!</v>
      </c>
      <c r="K420" s="131" t="e">
        <f>VLOOKUP($A420,'BC.115+040'!$B$13:$X$489,21,0)/1000</f>
        <v>#REF!</v>
      </c>
      <c r="L420" s="129" t="e">
        <f t="shared" si="21"/>
        <v>#REF!</v>
      </c>
      <c r="M420" s="130" t="e">
        <f t="shared" si="22"/>
        <v>#REF!</v>
      </c>
      <c r="N420" s="129" t="e">
        <f t="shared" si="23"/>
        <v>#REF!</v>
      </c>
      <c r="O420" s="129"/>
    </row>
    <row r="421" spans="1:15">
      <c r="A421" s="67" t="e">
        <f>'BC.115+040'!B420</f>
        <v>#REF!</v>
      </c>
      <c r="B421" s="129">
        <f t="shared" si="20"/>
        <v>407</v>
      </c>
      <c r="C421" s="131" t="e">
        <f>'BC.115+040'!M420/1000</f>
        <v>#REF!</v>
      </c>
      <c r="D421" s="131" t="e">
        <f>'BC.115+040'!AA420</f>
        <v>#REF!</v>
      </c>
      <c r="E421" s="132" t="e">
        <f>'BC.115+040'!AB420</f>
        <v>#REF!</v>
      </c>
      <c r="F421" s="131" t="e">
        <f>VLOOKUP($A421,'BC.115+040'!$B$13:$X$489,8,0)/1000</f>
        <v>#REF!</v>
      </c>
      <c r="G421" s="131" t="e">
        <f>VLOOKUP($A421,'BC.115+040'!$B$13:$X$489,9,0)/1000</f>
        <v>#REF!</v>
      </c>
      <c r="H421" s="131" t="e">
        <f>VLOOKUP($A421,'BC.115+040'!$B$13:$X$489,14,0)/1000</f>
        <v>#REF!</v>
      </c>
      <c r="I421" s="131" t="e">
        <f>VLOOKUP($A421,'BC.115+040'!$B$13:$X$489,15,0)/1000</f>
        <v>#REF!</v>
      </c>
      <c r="J421" s="131" t="e">
        <f>VLOOKUP($A421,'BC.115+040'!$B$13:$X$489,20,0)/1000</f>
        <v>#REF!</v>
      </c>
      <c r="K421" s="131" t="e">
        <f>VLOOKUP($A421,'BC.115+040'!$B$13:$X$489,21,0)/1000</f>
        <v>#REF!</v>
      </c>
      <c r="L421" s="129" t="e">
        <f t="shared" si="21"/>
        <v>#REF!</v>
      </c>
      <c r="M421" s="130" t="e">
        <f t="shared" si="22"/>
        <v>#REF!</v>
      </c>
      <c r="N421" s="129" t="e">
        <f t="shared" si="23"/>
        <v>#REF!</v>
      </c>
      <c r="O421" s="129"/>
    </row>
    <row r="422" spans="1:15">
      <c r="A422" s="67" t="e">
        <f>'BC.115+040'!B421</f>
        <v>#REF!</v>
      </c>
      <c r="B422" s="129">
        <f t="shared" si="20"/>
        <v>408</v>
      </c>
      <c r="C422" s="131" t="e">
        <f>'BC.115+040'!M421/1000</f>
        <v>#REF!</v>
      </c>
      <c r="D422" s="131" t="e">
        <f>'BC.115+040'!AA421</f>
        <v>#REF!</v>
      </c>
      <c r="E422" s="132" t="e">
        <f>'BC.115+040'!AB421</f>
        <v>#REF!</v>
      </c>
      <c r="F422" s="131" t="e">
        <f>VLOOKUP($A422,'BC.115+040'!$B$13:$X$489,8,0)/1000</f>
        <v>#REF!</v>
      </c>
      <c r="G422" s="131" t="e">
        <f>VLOOKUP($A422,'BC.115+040'!$B$13:$X$489,9,0)/1000</f>
        <v>#REF!</v>
      </c>
      <c r="H422" s="131" t="e">
        <f>VLOOKUP($A422,'BC.115+040'!$B$13:$X$489,14,0)/1000</f>
        <v>#REF!</v>
      </c>
      <c r="I422" s="131" t="e">
        <f>VLOOKUP($A422,'BC.115+040'!$B$13:$X$489,15,0)/1000</f>
        <v>#REF!</v>
      </c>
      <c r="J422" s="131" t="e">
        <f>VLOOKUP($A422,'BC.115+040'!$B$13:$X$489,20,0)/1000</f>
        <v>#REF!</v>
      </c>
      <c r="K422" s="131" t="e">
        <f>VLOOKUP($A422,'BC.115+040'!$B$13:$X$489,21,0)/1000</f>
        <v>#REF!</v>
      </c>
      <c r="L422" s="129" t="e">
        <f t="shared" si="21"/>
        <v>#REF!</v>
      </c>
      <c r="M422" s="130" t="e">
        <f t="shared" si="22"/>
        <v>#REF!</v>
      </c>
      <c r="N422" s="129" t="e">
        <f t="shared" si="23"/>
        <v>#REF!</v>
      </c>
      <c r="O422" s="129"/>
    </row>
    <row r="423" spans="1:15">
      <c r="A423" s="67" t="e">
        <f>'BC.115+040'!B422</f>
        <v>#REF!</v>
      </c>
      <c r="B423" s="129">
        <f t="shared" si="20"/>
        <v>409</v>
      </c>
      <c r="C423" s="131" t="e">
        <f>'BC.115+040'!M422/1000</f>
        <v>#REF!</v>
      </c>
      <c r="D423" s="131" t="e">
        <f>'BC.115+040'!AA422</f>
        <v>#REF!</v>
      </c>
      <c r="E423" s="132" t="e">
        <f>'BC.115+040'!AB422</f>
        <v>#REF!</v>
      </c>
      <c r="F423" s="131" t="e">
        <f>VLOOKUP($A423,'BC.115+040'!$B$13:$X$489,8,0)/1000</f>
        <v>#REF!</v>
      </c>
      <c r="G423" s="131" t="e">
        <f>VLOOKUP($A423,'BC.115+040'!$B$13:$X$489,9,0)/1000</f>
        <v>#REF!</v>
      </c>
      <c r="H423" s="131" t="e">
        <f>VLOOKUP($A423,'BC.115+040'!$B$13:$X$489,14,0)/1000</f>
        <v>#REF!</v>
      </c>
      <c r="I423" s="131" t="e">
        <f>VLOOKUP($A423,'BC.115+040'!$B$13:$X$489,15,0)/1000</f>
        <v>#REF!</v>
      </c>
      <c r="J423" s="131" t="e">
        <f>VLOOKUP($A423,'BC.115+040'!$B$13:$X$489,20,0)/1000</f>
        <v>#REF!</v>
      </c>
      <c r="K423" s="131" t="e">
        <f>VLOOKUP($A423,'BC.115+040'!$B$13:$X$489,21,0)/1000</f>
        <v>#REF!</v>
      </c>
      <c r="L423" s="129" t="e">
        <f t="shared" si="21"/>
        <v>#REF!</v>
      </c>
      <c r="M423" s="130" t="e">
        <f t="shared" si="22"/>
        <v>#REF!</v>
      </c>
      <c r="N423" s="129" t="e">
        <f t="shared" si="23"/>
        <v>#REF!</v>
      </c>
      <c r="O423" s="129"/>
    </row>
    <row r="424" spans="1:15">
      <c r="A424" s="67" t="e">
        <f>'BC.115+040'!B423</f>
        <v>#REF!</v>
      </c>
      <c r="B424" s="129">
        <f t="shared" si="20"/>
        <v>410</v>
      </c>
      <c r="C424" s="131" t="e">
        <f>'BC.115+040'!M423/1000</f>
        <v>#REF!</v>
      </c>
      <c r="D424" s="131" t="e">
        <f>'BC.115+040'!AA423</f>
        <v>#REF!</v>
      </c>
      <c r="E424" s="132" t="e">
        <f>'BC.115+040'!AB423</f>
        <v>#REF!</v>
      </c>
      <c r="F424" s="131" t="e">
        <f>VLOOKUP($A424,'BC.115+040'!$B$13:$X$489,8,0)/1000</f>
        <v>#REF!</v>
      </c>
      <c r="G424" s="131" t="e">
        <f>VLOOKUP($A424,'BC.115+040'!$B$13:$X$489,9,0)/1000</f>
        <v>#REF!</v>
      </c>
      <c r="H424" s="131" t="e">
        <f>VLOOKUP($A424,'BC.115+040'!$B$13:$X$489,14,0)/1000</f>
        <v>#REF!</v>
      </c>
      <c r="I424" s="131" t="e">
        <f>VLOOKUP($A424,'BC.115+040'!$B$13:$X$489,15,0)/1000</f>
        <v>#REF!</v>
      </c>
      <c r="J424" s="131" t="e">
        <f>VLOOKUP($A424,'BC.115+040'!$B$13:$X$489,20,0)/1000</f>
        <v>#REF!</v>
      </c>
      <c r="K424" s="131" t="e">
        <f>VLOOKUP($A424,'BC.115+040'!$B$13:$X$489,21,0)/1000</f>
        <v>#REF!</v>
      </c>
      <c r="L424" s="129" t="e">
        <f t="shared" si="21"/>
        <v>#REF!</v>
      </c>
      <c r="M424" s="130" t="e">
        <f t="shared" si="22"/>
        <v>#REF!</v>
      </c>
      <c r="N424" s="129" t="e">
        <f t="shared" si="23"/>
        <v>#REF!</v>
      </c>
      <c r="O424" s="129"/>
    </row>
    <row r="425" spans="1:15">
      <c r="A425" s="67" t="e">
        <f>'BC.115+040'!B424</f>
        <v>#REF!</v>
      </c>
      <c r="B425" s="129">
        <f t="shared" si="20"/>
        <v>411</v>
      </c>
      <c r="C425" s="131" t="e">
        <f>'BC.115+040'!M424/1000</f>
        <v>#REF!</v>
      </c>
      <c r="D425" s="131" t="e">
        <f>'BC.115+040'!AA424</f>
        <v>#REF!</v>
      </c>
      <c r="E425" s="132" t="e">
        <f>'BC.115+040'!AB424</f>
        <v>#REF!</v>
      </c>
      <c r="F425" s="131" t="e">
        <f>VLOOKUP($A425,'BC.115+040'!$B$13:$X$489,8,0)/1000</f>
        <v>#REF!</v>
      </c>
      <c r="G425" s="131" t="e">
        <f>VLOOKUP($A425,'BC.115+040'!$B$13:$X$489,9,0)/1000</f>
        <v>#REF!</v>
      </c>
      <c r="H425" s="131" t="e">
        <f>VLOOKUP($A425,'BC.115+040'!$B$13:$X$489,14,0)/1000</f>
        <v>#REF!</v>
      </c>
      <c r="I425" s="131" t="e">
        <f>VLOOKUP($A425,'BC.115+040'!$B$13:$X$489,15,0)/1000</f>
        <v>#REF!</v>
      </c>
      <c r="J425" s="131" t="e">
        <f>VLOOKUP($A425,'BC.115+040'!$B$13:$X$489,20,0)/1000</f>
        <v>#REF!</v>
      </c>
      <c r="K425" s="131" t="e">
        <f>VLOOKUP($A425,'BC.115+040'!$B$13:$X$489,21,0)/1000</f>
        <v>#REF!</v>
      </c>
      <c r="L425" s="129" t="e">
        <f t="shared" si="21"/>
        <v>#REF!</v>
      </c>
      <c r="M425" s="130" t="e">
        <f t="shared" si="22"/>
        <v>#REF!</v>
      </c>
      <c r="N425" s="129" t="e">
        <f t="shared" si="23"/>
        <v>#REF!</v>
      </c>
      <c r="O425" s="129"/>
    </row>
    <row r="426" spans="1:15">
      <c r="A426" s="67" t="e">
        <f>'BC.115+040'!B425</f>
        <v>#REF!</v>
      </c>
      <c r="B426" s="129">
        <f t="shared" si="20"/>
        <v>412</v>
      </c>
      <c r="C426" s="131" t="e">
        <f>'BC.115+040'!M425/1000</f>
        <v>#REF!</v>
      </c>
      <c r="D426" s="131" t="e">
        <f>'BC.115+040'!AA425</f>
        <v>#REF!</v>
      </c>
      <c r="E426" s="132" t="e">
        <f>'BC.115+040'!AB425</f>
        <v>#REF!</v>
      </c>
      <c r="F426" s="131" t="e">
        <f>VLOOKUP($A426,'BC.115+040'!$B$13:$X$489,8,0)/1000</f>
        <v>#REF!</v>
      </c>
      <c r="G426" s="131" t="e">
        <f>VLOOKUP($A426,'BC.115+040'!$B$13:$X$489,9,0)/1000</f>
        <v>#REF!</v>
      </c>
      <c r="H426" s="131" t="e">
        <f>VLOOKUP($A426,'BC.115+040'!$B$13:$X$489,14,0)/1000</f>
        <v>#REF!</v>
      </c>
      <c r="I426" s="131" t="e">
        <f>VLOOKUP($A426,'BC.115+040'!$B$13:$X$489,15,0)/1000</f>
        <v>#REF!</v>
      </c>
      <c r="J426" s="131" t="e">
        <f>VLOOKUP($A426,'BC.115+040'!$B$13:$X$489,20,0)/1000</f>
        <v>#REF!</v>
      </c>
      <c r="K426" s="131" t="e">
        <f>VLOOKUP($A426,'BC.115+040'!$B$13:$X$489,21,0)/1000</f>
        <v>#REF!</v>
      </c>
      <c r="L426" s="129" t="e">
        <f t="shared" si="21"/>
        <v>#REF!</v>
      </c>
      <c r="M426" s="130" t="e">
        <f t="shared" si="22"/>
        <v>#REF!</v>
      </c>
      <c r="N426" s="129" t="e">
        <f t="shared" si="23"/>
        <v>#REF!</v>
      </c>
      <c r="O426" s="129"/>
    </row>
    <row r="427" spans="1:15">
      <c r="A427" s="67" t="e">
        <f>'BC.115+040'!B426</f>
        <v>#REF!</v>
      </c>
      <c r="B427" s="129">
        <f t="shared" si="20"/>
        <v>413</v>
      </c>
      <c r="C427" s="131" t="e">
        <f>'BC.115+040'!M426/1000</f>
        <v>#REF!</v>
      </c>
      <c r="D427" s="131" t="e">
        <f>'BC.115+040'!AA426</f>
        <v>#REF!</v>
      </c>
      <c r="E427" s="132" t="e">
        <f>'BC.115+040'!AB426</f>
        <v>#REF!</v>
      </c>
      <c r="F427" s="131" t="e">
        <f>VLOOKUP($A427,'BC.115+040'!$B$13:$X$489,8,0)/1000</f>
        <v>#REF!</v>
      </c>
      <c r="G427" s="131" t="e">
        <f>VLOOKUP($A427,'BC.115+040'!$B$13:$X$489,9,0)/1000</f>
        <v>#REF!</v>
      </c>
      <c r="H427" s="131" t="e">
        <f>VLOOKUP($A427,'BC.115+040'!$B$13:$X$489,14,0)/1000</f>
        <v>#REF!</v>
      </c>
      <c r="I427" s="131" t="e">
        <f>VLOOKUP($A427,'BC.115+040'!$B$13:$X$489,15,0)/1000</f>
        <v>#REF!</v>
      </c>
      <c r="J427" s="131" t="e">
        <f>VLOOKUP($A427,'BC.115+040'!$B$13:$X$489,20,0)/1000</f>
        <v>#REF!</v>
      </c>
      <c r="K427" s="131" t="e">
        <f>VLOOKUP($A427,'BC.115+040'!$B$13:$X$489,21,0)/1000</f>
        <v>#REF!</v>
      </c>
      <c r="L427" s="129" t="e">
        <f t="shared" si="21"/>
        <v>#REF!</v>
      </c>
      <c r="M427" s="130" t="e">
        <f t="shared" si="22"/>
        <v>#REF!</v>
      </c>
      <c r="N427" s="129" t="e">
        <f t="shared" si="23"/>
        <v>#REF!</v>
      </c>
      <c r="O427" s="129"/>
    </row>
    <row r="428" spans="1:15">
      <c r="A428" s="67" t="e">
        <f>'BC.115+040'!B427</f>
        <v>#REF!</v>
      </c>
      <c r="B428" s="129">
        <f t="shared" si="20"/>
        <v>414</v>
      </c>
      <c r="C428" s="131" t="e">
        <f>'BC.115+040'!M427/1000</f>
        <v>#REF!</v>
      </c>
      <c r="D428" s="131" t="e">
        <f>'BC.115+040'!AA427</f>
        <v>#REF!</v>
      </c>
      <c r="E428" s="132" t="e">
        <f>'BC.115+040'!AB427</f>
        <v>#REF!</v>
      </c>
      <c r="F428" s="131" t="e">
        <f>VLOOKUP($A428,'BC.115+040'!$B$13:$X$489,8,0)/1000</f>
        <v>#REF!</v>
      </c>
      <c r="G428" s="131" t="e">
        <f>VLOOKUP($A428,'BC.115+040'!$B$13:$X$489,9,0)/1000</f>
        <v>#REF!</v>
      </c>
      <c r="H428" s="131" t="e">
        <f>VLOOKUP($A428,'BC.115+040'!$B$13:$X$489,14,0)/1000</f>
        <v>#REF!</v>
      </c>
      <c r="I428" s="131" t="e">
        <f>VLOOKUP($A428,'BC.115+040'!$B$13:$X$489,15,0)/1000</f>
        <v>#REF!</v>
      </c>
      <c r="J428" s="131" t="e">
        <f>VLOOKUP($A428,'BC.115+040'!$B$13:$X$489,20,0)/1000</f>
        <v>#REF!</v>
      </c>
      <c r="K428" s="131" t="e">
        <f>VLOOKUP($A428,'BC.115+040'!$B$13:$X$489,21,0)/1000</f>
        <v>#REF!</v>
      </c>
      <c r="L428" s="129" t="e">
        <f t="shared" si="21"/>
        <v>#REF!</v>
      </c>
      <c r="M428" s="130" t="e">
        <f t="shared" si="22"/>
        <v>#REF!</v>
      </c>
      <c r="N428" s="129" t="e">
        <f t="shared" si="23"/>
        <v>#REF!</v>
      </c>
      <c r="O428" s="129"/>
    </row>
    <row r="429" spans="1:15">
      <c r="A429" s="67" t="e">
        <f>'BC.115+040'!B428</f>
        <v>#REF!</v>
      </c>
      <c r="B429" s="129">
        <f t="shared" si="20"/>
        <v>415</v>
      </c>
      <c r="C429" s="131" t="e">
        <f>'BC.115+040'!M428/1000</f>
        <v>#REF!</v>
      </c>
      <c r="D429" s="131" t="e">
        <f>'BC.115+040'!AA428</f>
        <v>#REF!</v>
      </c>
      <c r="E429" s="132" t="e">
        <f>'BC.115+040'!AB428</f>
        <v>#REF!</v>
      </c>
      <c r="F429" s="131" t="e">
        <f>VLOOKUP($A429,'BC.115+040'!$B$13:$X$489,8,0)/1000</f>
        <v>#REF!</v>
      </c>
      <c r="G429" s="131" t="e">
        <f>VLOOKUP($A429,'BC.115+040'!$B$13:$X$489,9,0)/1000</f>
        <v>#REF!</v>
      </c>
      <c r="H429" s="131" t="e">
        <f>VLOOKUP($A429,'BC.115+040'!$B$13:$X$489,14,0)/1000</f>
        <v>#REF!</v>
      </c>
      <c r="I429" s="131" t="e">
        <f>VLOOKUP($A429,'BC.115+040'!$B$13:$X$489,15,0)/1000</f>
        <v>#REF!</v>
      </c>
      <c r="J429" s="131" t="e">
        <f>VLOOKUP($A429,'BC.115+040'!$B$13:$X$489,20,0)/1000</f>
        <v>#REF!</v>
      </c>
      <c r="K429" s="131" t="e">
        <f>VLOOKUP($A429,'BC.115+040'!$B$13:$X$489,21,0)/1000</f>
        <v>#REF!</v>
      </c>
      <c r="L429" s="129" t="e">
        <f t="shared" si="21"/>
        <v>#REF!</v>
      </c>
      <c r="M429" s="130" t="e">
        <f t="shared" si="22"/>
        <v>#REF!</v>
      </c>
      <c r="N429" s="129" t="e">
        <f t="shared" si="23"/>
        <v>#REF!</v>
      </c>
      <c r="O429" s="129"/>
    </row>
    <row r="430" spans="1:15">
      <c r="A430" s="67" t="e">
        <f>'BC.115+040'!B429</f>
        <v>#REF!</v>
      </c>
      <c r="B430" s="129">
        <f t="shared" si="20"/>
        <v>416</v>
      </c>
      <c r="C430" s="131" t="e">
        <f>'BC.115+040'!M429/1000</f>
        <v>#REF!</v>
      </c>
      <c r="D430" s="131" t="e">
        <f>'BC.115+040'!AA429</f>
        <v>#REF!</v>
      </c>
      <c r="E430" s="132" t="e">
        <f>'BC.115+040'!AB429</f>
        <v>#REF!</v>
      </c>
      <c r="F430" s="131" t="e">
        <f>VLOOKUP($A430,'BC.115+040'!$B$13:$X$489,8,0)/1000</f>
        <v>#REF!</v>
      </c>
      <c r="G430" s="131" t="e">
        <f>VLOOKUP($A430,'BC.115+040'!$B$13:$X$489,9,0)/1000</f>
        <v>#REF!</v>
      </c>
      <c r="H430" s="131" t="e">
        <f>VLOOKUP($A430,'BC.115+040'!$B$13:$X$489,14,0)/1000</f>
        <v>#REF!</v>
      </c>
      <c r="I430" s="131" t="e">
        <f>VLOOKUP($A430,'BC.115+040'!$B$13:$X$489,15,0)/1000</f>
        <v>#REF!</v>
      </c>
      <c r="J430" s="131" t="e">
        <f>VLOOKUP($A430,'BC.115+040'!$B$13:$X$489,20,0)/1000</f>
        <v>#REF!</v>
      </c>
      <c r="K430" s="131" t="e">
        <f>VLOOKUP($A430,'BC.115+040'!$B$13:$X$489,21,0)/1000</f>
        <v>#REF!</v>
      </c>
      <c r="L430" s="129" t="e">
        <f t="shared" si="21"/>
        <v>#REF!</v>
      </c>
      <c r="M430" s="130" t="e">
        <f t="shared" si="22"/>
        <v>#REF!</v>
      </c>
      <c r="N430" s="129" t="e">
        <f t="shared" si="23"/>
        <v>#REF!</v>
      </c>
      <c r="O430" s="129"/>
    </row>
    <row r="431" spans="1:15">
      <c r="A431" s="67" t="e">
        <f>'BC.115+040'!B430</f>
        <v>#REF!</v>
      </c>
      <c r="B431" s="129">
        <f t="shared" si="20"/>
        <v>417</v>
      </c>
      <c r="C431" s="131" t="e">
        <f>'BC.115+040'!M430/1000</f>
        <v>#REF!</v>
      </c>
      <c r="D431" s="131" t="e">
        <f>'BC.115+040'!AA430</f>
        <v>#REF!</v>
      </c>
      <c r="E431" s="132" t="e">
        <f>'BC.115+040'!AB430</f>
        <v>#REF!</v>
      </c>
      <c r="F431" s="131" t="e">
        <f>VLOOKUP($A431,'BC.115+040'!$B$13:$X$489,8,0)/1000</f>
        <v>#REF!</v>
      </c>
      <c r="G431" s="131" t="e">
        <f>VLOOKUP($A431,'BC.115+040'!$B$13:$X$489,9,0)/1000</f>
        <v>#REF!</v>
      </c>
      <c r="H431" s="131" t="e">
        <f>VLOOKUP($A431,'BC.115+040'!$B$13:$X$489,14,0)/1000</f>
        <v>#REF!</v>
      </c>
      <c r="I431" s="131" t="e">
        <f>VLOOKUP($A431,'BC.115+040'!$B$13:$X$489,15,0)/1000</f>
        <v>#REF!</v>
      </c>
      <c r="J431" s="131" t="e">
        <f>VLOOKUP($A431,'BC.115+040'!$B$13:$X$489,20,0)/1000</f>
        <v>#REF!</v>
      </c>
      <c r="K431" s="131" t="e">
        <f>VLOOKUP($A431,'BC.115+040'!$B$13:$X$489,21,0)/1000</f>
        <v>#REF!</v>
      </c>
      <c r="L431" s="129" t="e">
        <f t="shared" si="21"/>
        <v>#REF!</v>
      </c>
      <c r="M431" s="130" t="e">
        <f t="shared" si="22"/>
        <v>#REF!</v>
      </c>
      <c r="N431" s="129" t="e">
        <f t="shared" si="23"/>
        <v>#REF!</v>
      </c>
      <c r="O431" s="129"/>
    </row>
    <row r="432" spans="1:15">
      <c r="A432" s="67" t="e">
        <f>'BC.115+040'!B431</f>
        <v>#REF!</v>
      </c>
      <c r="B432" s="129">
        <f t="shared" si="20"/>
        <v>418</v>
      </c>
      <c r="C432" s="131" t="e">
        <f>'BC.115+040'!M431/1000</f>
        <v>#REF!</v>
      </c>
      <c r="D432" s="131" t="e">
        <f>'BC.115+040'!AA431</f>
        <v>#REF!</v>
      </c>
      <c r="E432" s="132" t="e">
        <f>'BC.115+040'!AB431</f>
        <v>#REF!</v>
      </c>
      <c r="F432" s="131" t="e">
        <f>VLOOKUP($A432,'BC.115+040'!$B$13:$X$489,8,0)/1000</f>
        <v>#REF!</v>
      </c>
      <c r="G432" s="131" t="e">
        <f>VLOOKUP($A432,'BC.115+040'!$B$13:$X$489,9,0)/1000</f>
        <v>#REF!</v>
      </c>
      <c r="H432" s="131" t="e">
        <f>VLOOKUP($A432,'BC.115+040'!$B$13:$X$489,14,0)/1000</f>
        <v>#REF!</v>
      </c>
      <c r="I432" s="131" t="e">
        <f>VLOOKUP($A432,'BC.115+040'!$B$13:$X$489,15,0)/1000</f>
        <v>#REF!</v>
      </c>
      <c r="J432" s="131" t="e">
        <f>VLOOKUP($A432,'BC.115+040'!$B$13:$X$489,20,0)/1000</f>
        <v>#REF!</v>
      </c>
      <c r="K432" s="131" t="e">
        <f>VLOOKUP($A432,'BC.115+040'!$B$13:$X$489,21,0)/1000</f>
        <v>#REF!</v>
      </c>
      <c r="L432" s="129" t="e">
        <f t="shared" si="21"/>
        <v>#REF!</v>
      </c>
      <c r="M432" s="130" t="e">
        <f t="shared" si="22"/>
        <v>#REF!</v>
      </c>
      <c r="N432" s="129" t="e">
        <f t="shared" si="23"/>
        <v>#REF!</v>
      </c>
      <c r="O432" s="129"/>
    </row>
    <row r="433" spans="1:15">
      <c r="A433" s="67" t="e">
        <f>'BC.115+040'!B432</f>
        <v>#REF!</v>
      </c>
      <c r="B433" s="129">
        <f t="shared" si="20"/>
        <v>419</v>
      </c>
      <c r="C433" s="131" t="e">
        <f>'BC.115+040'!M432/1000</f>
        <v>#REF!</v>
      </c>
      <c r="D433" s="131" t="e">
        <f>'BC.115+040'!AA432</f>
        <v>#REF!</v>
      </c>
      <c r="E433" s="132" t="e">
        <f>'BC.115+040'!AB432</f>
        <v>#REF!</v>
      </c>
      <c r="F433" s="131" t="e">
        <f>VLOOKUP($A433,'BC.115+040'!$B$13:$X$489,8,0)/1000</f>
        <v>#REF!</v>
      </c>
      <c r="G433" s="131" t="e">
        <f>VLOOKUP($A433,'BC.115+040'!$B$13:$X$489,9,0)/1000</f>
        <v>#REF!</v>
      </c>
      <c r="H433" s="131" t="e">
        <f>VLOOKUP($A433,'BC.115+040'!$B$13:$X$489,14,0)/1000</f>
        <v>#REF!</v>
      </c>
      <c r="I433" s="131" t="e">
        <f>VLOOKUP($A433,'BC.115+040'!$B$13:$X$489,15,0)/1000</f>
        <v>#REF!</v>
      </c>
      <c r="J433" s="131" t="e">
        <f>VLOOKUP($A433,'BC.115+040'!$B$13:$X$489,20,0)/1000</f>
        <v>#REF!</v>
      </c>
      <c r="K433" s="131" t="e">
        <f>VLOOKUP($A433,'BC.115+040'!$B$13:$X$489,21,0)/1000</f>
        <v>#REF!</v>
      </c>
      <c r="L433" s="129" t="e">
        <f t="shared" si="21"/>
        <v>#REF!</v>
      </c>
      <c r="M433" s="130" t="e">
        <f t="shared" si="22"/>
        <v>#REF!</v>
      </c>
      <c r="N433" s="129" t="e">
        <f t="shared" si="23"/>
        <v>#REF!</v>
      </c>
      <c r="O433" s="129"/>
    </row>
    <row r="434" spans="1:15">
      <c r="A434" s="67" t="e">
        <f>'BC.115+040'!B433</f>
        <v>#REF!</v>
      </c>
      <c r="B434" s="129">
        <f t="shared" si="20"/>
        <v>420</v>
      </c>
      <c r="C434" s="131" t="e">
        <f>'BC.115+040'!M433/1000</f>
        <v>#REF!</v>
      </c>
      <c r="D434" s="131" t="e">
        <f>'BC.115+040'!AA433</f>
        <v>#REF!</v>
      </c>
      <c r="E434" s="132" t="e">
        <f>'BC.115+040'!AB433</f>
        <v>#REF!</v>
      </c>
      <c r="F434" s="131" t="e">
        <f>VLOOKUP($A434,'BC.115+040'!$B$13:$X$489,8,0)/1000</f>
        <v>#REF!</v>
      </c>
      <c r="G434" s="131" t="e">
        <f>VLOOKUP($A434,'BC.115+040'!$B$13:$X$489,9,0)/1000</f>
        <v>#REF!</v>
      </c>
      <c r="H434" s="131" t="e">
        <f>VLOOKUP($A434,'BC.115+040'!$B$13:$X$489,14,0)/1000</f>
        <v>#REF!</v>
      </c>
      <c r="I434" s="131" t="e">
        <f>VLOOKUP($A434,'BC.115+040'!$B$13:$X$489,15,0)/1000</f>
        <v>#REF!</v>
      </c>
      <c r="J434" s="131" t="e">
        <f>VLOOKUP($A434,'BC.115+040'!$B$13:$X$489,20,0)/1000</f>
        <v>#REF!</v>
      </c>
      <c r="K434" s="131" t="e">
        <f>VLOOKUP($A434,'BC.115+040'!$B$13:$X$489,21,0)/1000</f>
        <v>#REF!</v>
      </c>
      <c r="L434" s="129" t="e">
        <f t="shared" si="21"/>
        <v>#REF!</v>
      </c>
      <c r="M434" s="130" t="e">
        <f t="shared" si="22"/>
        <v>#REF!</v>
      </c>
      <c r="N434" s="129" t="e">
        <f t="shared" si="23"/>
        <v>#REF!</v>
      </c>
      <c r="O434" s="129"/>
    </row>
    <row r="435" spans="1:15">
      <c r="A435" s="67" t="e">
        <f>'BC.115+040'!B434</f>
        <v>#REF!</v>
      </c>
      <c r="B435" s="129">
        <f t="shared" si="20"/>
        <v>421</v>
      </c>
      <c r="C435" s="131" t="e">
        <f>'BC.115+040'!M434/1000</f>
        <v>#REF!</v>
      </c>
      <c r="D435" s="131" t="e">
        <f>'BC.115+040'!AA434</f>
        <v>#REF!</v>
      </c>
      <c r="E435" s="132" t="e">
        <f>'BC.115+040'!AB434</f>
        <v>#REF!</v>
      </c>
      <c r="F435" s="131" t="e">
        <f>VLOOKUP($A435,'BC.115+040'!$B$13:$X$489,8,0)/1000</f>
        <v>#REF!</v>
      </c>
      <c r="G435" s="131" t="e">
        <f>VLOOKUP($A435,'BC.115+040'!$B$13:$X$489,9,0)/1000</f>
        <v>#REF!</v>
      </c>
      <c r="H435" s="131" t="e">
        <f>VLOOKUP($A435,'BC.115+040'!$B$13:$X$489,14,0)/1000</f>
        <v>#REF!</v>
      </c>
      <c r="I435" s="131" t="e">
        <f>VLOOKUP($A435,'BC.115+040'!$B$13:$X$489,15,0)/1000</f>
        <v>#REF!</v>
      </c>
      <c r="J435" s="131" t="e">
        <f>VLOOKUP($A435,'BC.115+040'!$B$13:$X$489,20,0)/1000</f>
        <v>#REF!</v>
      </c>
      <c r="K435" s="131" t="e">
        <f>VLOOKUP($A435,'BC.115+040'!$B$13:$X$489,21,0)/1000</f>
        <v>#REF!</v>
      </c>
      <c r="L435" s="129" t="e">
        <f t="shared" si="21"/>
        <v>#REF!</v>
      </c>
      <c r="M435" s="130" t="e">
        <f t="shared" si="22"/>
        <v>#REF!</v>
      </c>
      <c r="N435" s="129" t="e">
        <f t="shared" si="23"/>
        <v>#REF!</v>
      </c>
      <c r="O435" s="129"/>
    </row>
    <row r="436" spans="1:15">
      <c r="A436" s="67" t="e">
        <f>'BC.115+040'!B435</f>
        <v>#REF!</v>
      </c>
      <c r="B436" s="129">
        <f t="shared" si="20"/>
        <v>422</v>
      </c>
      <c r="C436" s="131" t="e">
        <f>'BC.115+040'!M435/1000</f>
        <v>#REF!</v>
      </c>
      <c r="D436" s="131" t="e">
        <f>'BC.115+040'!AA435</f>
        <v>#REF!</v>
      </c>
      <c r="E436" s="132" t="e">
        <f>'BC.115+040'!AB435</f>
        <v>#REF!</v>
      </c>
      <c r="F436" s="131" t="e">
        <f>VLOOKUP($A436,'BC.115+040'!$B$13:$X$489,8,0)/1000</f>
        <v>#REF!</v>
      </c>
      <c r="G436" s="131" t="e">
        <f>VLOOKUP($A436,'BC.115+040'!$B$13:$X$489,9,0)/1000</f>
        <v>#REF!</v>
      </c>
      <c r="H436" s="131" t="e">
        <f>VLOOKUP($A436,'BC.115+040'!$B$13:$X$489,14,0)/1000</f>
        <v>#REF!</v>
      </c>
      <c r="I436" s="131" t="e">
        <f>VLOOKUP($A436,'BC.115+040'!$B$13:$X$489,15,0)/1000</f>
        <v>#REF!</v>
      </c>
      <c r="J436" s="131" t="e">
        <f>VLOOKUP($A436,'BC.115+040'!$B$13:$X$489,20,0)/1000</f>
        <v>#REF!</v>
      </c>
      <c r="K436" s="131" t="e">
        <f>VLOOKUP($A436,'BC.115+040'!$B$13:$X$489,21,0)/1000</f>
        <v>#REF!</v>
      </c>
      <c r="L436" s="129" t="e">
        <f t="shared" si="21"/>
        <v>#REF!</v>
      </c>
      <c r="M436" s="130" t="e">
        <f t="shared" si="22"/>
        <v>#REF!</v>
      </c>
      <c r="N436" s="129" t="e">
        <f t="shared" si="23"/>
        <v>#REF!</v>
      </c>
      <c r="O436" s="129"/>
    </row>
    <row r="437" spans="1:15">
      <c r="A437" s="67" t="e">
        <f>'BC.115+040'!B436</f>
        <v>#REF!</v>
      </c>
      <c r="B437" s="129">
        <f t="shared" si="20"/>
        <v>423</v>
      </c>
      <c r="C437" s="131" t="e">
        <f>'BC.115+040'!M436/1000</f>
        <v>#REF!</v>
      </c>
      <c r="D437" s="131" t="e">
        <f>'BC.115+040'!AA436</f>
        <v>#REF!</v>
      </c>
      <c r="E437" s="132" t="e">
        <f>'BC.115+040'!AB436</f>
        <v>#REF!</v>
      </c>
      <c r="F437" s="131" t="e">
        <f>VLOOKUP($A437,'BC.115+040'!$B$13:$X$489,8,0)/1000</f>
        <v>#REF!</v>
      </c>
      <c r="G437" s="131" t="e">
        <f>VLOOKUP($A437,'BC.115+040'!$B$13:$X$489,9,0)/1000</f>
        <v>#REF!</v>
      </c>
      <c r="H437" s="131" t="e">
        <f>VLOOKUP($A437,'BC.115+040'!$B$13:$X$489,14,0)/1000</f>
        <v>#REF!</v>
      </c>
      <c r="I437" s="131" t="e">
        <f>VLOOKUP($A437,'BC.115+040'!$B$13:$X$489,15,0)/1000</f>
        <v>#REF!</v>
      </c>
      <c r="J437" s="131" t="e">
        <f>VLOOKUP($A437,'BC.115+040'!$B$13:$X$489,20,0)/1000</f>
        <v>#REF!</v>
      </c>
      <c r="K437" s="131" t="e">
        <f>VLOOKUP($A437,'BC.115+040'!$B$13:$X$489,21,0)/1000</f>
        <v>#REF!</v>
      </c>
      <c r="L437" s="129" t="e">
        <f t="shared" si="21"/>
        <v>#REF!</v>
      </c>
      <c r="M437" s="130" t="e">
        <f t="shared" si="22"/>
        <v>#REF!</v>
      </c>
      <c r="N437" s="129" t="e">
        <f t="shared" si="23"/>
        <v>#REF!</v>
      </c>
      <c r="O437" s="129"/>
    </row>
    <row r="438" spans="1:15">
      <c r="A438" s="67" t="e">
        <f>'BC.115+040'!B437</f>
        <v>#REF!</v>
      </c>
      <c r="B438" s="129">
        <f t="shared" si="20"/>
        <v>424</v>
      </c>
      <c r="C438" s="131" t="e">
        <f>'BC.115+040'!M437/1000</f>
        <v>#REF!</v>
      </c>
      <c r="D438" s="131" t="e">
        <f>'BC.115+040'!AA437</f>
        <v>#REF!</v>
      </c>
      <c r="E438" s="132" t="e">
        <f>'BC.115+040'!AB437</f>
        <v>#REF!</v>
      </c>
      <c r="F438" s="131" t="e">
        <f>VLOOKUP($A438,'BC.115+040'!$B$13:$X$489,8,0)/1000</f>
        <v>#REF!</v>
      </c>
      <c r="G438" s="131" t="e">
        <f>VLOOKUP($A438,'BC.115+040'!$B$13:$X$489,9,0)/1000</f>
        <v>#REF!</v>
      </c>
      <c r="H438" s="131" t="e">
        <f>VLOOKUP($A438,'BC.115+040'!$B$13:$X$489,14,0)/1000</f>
        <v>#REF!</v>
      </c>
      <c r="I438" s="131" t="e">
        <f>VLOOKUP($A438,'BC.115+040'!$B$13:$X$489,15,0)/1000</f>
        <v>#REF!</v>
      </c>
      <c r="J438" s="131" t="e">
        <f>VLOOKUP($A438,'BC.115+040'!$B$13:$X$489,20,0)/1000</f>
        <v>#REF!</v>
      </c>
      <c r="K438" s="131" t="e">
        <f>VLOOKUP($A438,'BC.115+040'!$B$13:$X$489,21,0)/1000</f>
        <v>#REF!</v>
      </c>
      <c r="L438" s="129" t="e">
        <f t="shared" si="21"/>
        <v>#REF!</v>
      </c>
      <c r="M438" s="130" t="e">
        <f t="shared" si="22"/>
        <v>#REF!</v>
      </c>
      <c r="N438" s="129" t="e">
        <f t="shared" si="23"/>
        <v>#REF!</v>
      </c>
      <c r="O438" s="129"/>
    </row>
    <row r="439" spans="1:15">
      <c r="A439" s="67" t="e">
        <f>'BC.115+040'!B438</f>
        <v>#REF!</v>
      </c>
      <c r="B439" s="129">
        <f t="shared" si="20"/>
        <v>425</v>
      </c>
      <c r="C439" s="131" t="e">
        <f>'BC.115+040'!M438/1000</f>
        <v>#REF!</v>
      </c>
      <c r="D439" s="131" t="e">
        <f>'BC.115+040'!AA438</f>
        <v>#REF!</v>
      </c>
      <c r="E439" s="132" t="e">
        <f>'BC.115+040'!AB438</f>
        <v>#REF!</v>
      </c>
      <c r="F439" s="131" t="e">
        <f>VLOOKUP($A439,'BC.115+040'!$B$13:$X$489,8,0)/1000</f>
        <v>#REF!</v>
      </c>
      <c r="G439" s="131" t="e">
        <f>VLOOKUP($A439,'BC.115+040'!$B$13:$X$489,9,0)/1000</f>
        <v>#REF!</v>
      </c>
      <c r="H439" s="131" t="e">
        <f>VLOOKUP($A439,'BC.115+040'!$B$13:$X$489,14,0)/1000</f>
        <v>#REF!</v>
      </c>
      <c r="I439" s="131" t="e">
        <f>VLOOKUP($A439,'BC.115+040'!$B$13:$X$489,15,0)/1000</f>
        <v>#REF!</v>
      </c>
      <c r="J439" s="131" t="e">
        <f>VLOOKUP($A439,'BC.115+040'!$B$13:$X$489,20,0)/1000</f>
        <v>#REF!</v>
      </c>
      <c r="K439" s="131" t="e">
        <f>VLOOKUP($A439,'BC.115+040'!$B$13:$X$489,21,0)/1000</f>
        <v>#REF!</v>
      </c>
      <c r="L439" s="129" t="e">
        <f t="shared" si="21"/>
        <v>#REF!</v>
      </c>
      <c r="M439" s="130" t="e">
        <f t="shared" si="22"/>
        <v>#REF!</v>
      </c>
      <c r="N439" s="129" t="e">
        <f t="shared" si="23"/>
        <v>#REF!</v>
      </c>
      <c r="O439" s="129"/>
    </row>
    <row r="440" spans="1:15">
      <c r="A440" s="67" t="e">
        <f>'BC.115+040'!B439</f>
        <v>#REF!</v>
      </c>
      <c r="B440" s="129">
        <f t="shared" si="20"/>
        <v>426</v>
      </c>
      <c r="C440" s="131" t="e">
        <f>'BC.115+040'!M439/1000</f>
        <v>#REF!</v>
      </c>
      <c r="D440" s="131" t="e">
        <f>'BC.115+040'!AA439</f>
        <v>#REF!</v>
      </c>
      <c r="E440" s="132" t="e">
        <f>'BC.115+040'!AB439</f>
        <v>#REF!</v>
      </c>
      <c r="F440" s="131" t="e">
        <f>VLOOKUP($A440,'BC.115+040'!$B$13:$X$489,8,0)/1000</f>
        <v>#REF!</v>
      </c>
      <c r="G440" s="131" t="e">
        <f>VLOOKUP($A440,'BC.115+040'!$B$13:$X$489,9,0)/1000</f>
        <v>#REF!</v>
      </c>
      <c r="H440" s="131" t="e">
        <f>VLOOKUP($A440,'BC.115+040'!$B$13:$X$489,14,0)/1000</f>
        <v>#REF!</v>
      </c>
      <c r="I440" s="131" t="e">
        <f>VLOOKUP($A440,'BC.115+040'!$B$13:$X$489,15,0)/1000</f>
        <v>#REF!</v>
      </c>
      <c r="J440" s="131" t="e">
        <f>VLOOKUP($A440,'BC.115+040'!$B$13:$X$489,20,0)/1000</f>
        <v>#REF!</v>
      </c>
      <c r="K440" s="131" t="e">
        <f>VLOOKUP($A440,'BC.115+040'!$B$13:$X$489,21,0)/1000</f>
        <v>#REF!</v>
      </c>
      <c r="L440" s="129" t="e">
        <f t="shared" si="21"/>
        <v>#REF!</v>
      </c>
      <c r="M440" s="130" t="e">
        <f t="shared" si="22"/>
        <v>#REF!</v>
      </c>
      <c r="N440" s="129" t="e">
        <f t="shared" si="23"/>
        <v>#REF!</v>
      </c>
      <c r="O440" s="129"/>
    </row>
    <row r="441" spans="1:15">
      <c r="A441" s="67" t="e">
        <f>'BC.115+040'!B440</f>
        <v>#REF!</v>
      </c>
      <c r="B441" s="129">
        <f t="shared" si="20"/>
        <v>427</v>
      </c>
      <c r="C441" s="131" t="e">
        <f>'BC.115+040'!M440/1000</f>
        <v>#REF!</v>
      </c>
      <c r="D441" s="131" t="e">
        <f>'BC.115+040'!AA440</f>
        <v>#REF!</v>
      </c>
      <c r="E441" s="132" t="e">
        <f>'BC.115+040'!AB440</f>
        <v>#REF!</v>
      </c>
      <c r="F441" s="131" t="e">
        <f>VLOOKUP($A441,'BC.115+040'!$B$13:$X$489,8,0)/1000</f>
        <v>#REF!</v>
      </c>
      <c r="G441" s="131" t="e">
        <f>VLOOKUP($A441,'BC.115+040'!$B$13:$X$489,9,0)/1000</f>
        <v>#REF!</v>
      </c>
      <c r="H441" s="131" t="e">
        <f>VLOOKUP($A441,'BC.115+040'!$B$13:$X$489,14,0)/1000</f>
        <v>#REF!</v>
      </c>
      <c r="I441" s="131" t="e">
        <f>VLOOKUP($A441,'BC.115+040'!$B$13:$X$489,15,0)/1000</f>
        <v>#REF!</v>
      </c>
      <c r="J441" s="131" t="e">
        <f>VLOOKUP($A441,'BC.115+040'!$B$13:$X$489,20,0)/1000</f>
        <v>#REF!</v>
      </c>
      <c r="K441" s="131" t="e">
        <f>VLOOKUP($A441,'BC.115+040'!$B$13:$X$489,21,0)/1000</f>
        <v>#REF!</v>
      </c>
      <c r="L441" s="129" t="e">
        <f t="shared" si="21"/>
        <v>#REF!</v>
      </c>
      <c r="M441" s="130" t="e">
        <f t="shared" si="22"/>
        <v>#REF!</v>
      </c>
      <c r="N441" s="129" t="e">
        <f t="shared" si="23"/>
        <v>#REF!</v>
      </c>
      <c r="O441" s="129"/>
    </row>
    <row r="442" spans="1:15">
      <c r="A442" s="67" t="e">
        <f>'BC.115+040'!B441</f>
        <v>#REF!</v>
      </c>
      <c r="B442" s="129">
        <f t="shared" si="20"/>
        <v>428</v>
      </c>
      <c r="C442" s="131" t="e">
        <f>'BC.115+040'!M441/1000</f>
        <v>#REF!</v>
      </c>
      <c r="D442" s="131" t="e">
        <f>'BC.115+040'!AA441</f>
        <v>#REF!</v>
      </c>
      <c r="E442" s="132" t="e">
        <f>'BC.115+040'!AB441</f>
        <v>#REF!</v>
      </c>
      <c r="F442" s="131" t="e">
        <f>VLOOKUP($A442,'BC.115+040'!$B$13:$X$489,8,0)/1000</f>
        <v>#REF!</v>
      </c>
      <c r="G442" s="131" t="e">
        <f>VLOOKUP($A442,'BC.115+040'!$B$13:$X$489,9,0)/1000</f>
        <v>#REF!</v>
      </c>
      <c r="H442" s="131" t="e">
        <f>VLOOKUP($A442,'BC.115+040'!$B$13:$X$489,14,0)/1000</f>
        <v>#REF!</v>
      </c>
      <c r="I442" s="131" t="e">
        <f>VLOOKUP($A442,'BC.115+040'!$B$13:$X$489,15,0)/1000</f>
        <v>#REF!</v>
      </c>
      <c r="J442" s="131" t="e">
        <f>VLOOKUP($A442,'BC.115+040'!$B$13:$X$489,20,0)/1000</f>
        <v>#REF!</v>
      </c>
      <c r="K442" s="131" t="e">
        <f>VLOOKUP($A442,'BC.115+040'!$B$13:$X$489,21,0)/1000</f>
        <v>#REF!</v>
      </c>
      <c r="L442" s="129" t="e">
        <f t="shared" si="21"/>
        <v>#REF!</v>
      </c>
      <c r="M442" s="130" t="e">
        <f t="shared" si="22"/>
        <v>#REF!</v>
      </c>
      <c r="N442" s="129" t="e">
        <f t="shared" si="23"/>
        <v>#REF!</v>
      </c>
      <c r="O442" s="129"/>
    </row>
    <row r="443" spans="1:15">
      <c r="A443" s="67" t="e">
        <f>'BC.115+040'!B442</f>
        <v>#REF!</v>
      </c>
      <c r="B443" s="129">
        <f t="shared" si="20"/>
        <v>429</v>
      </c>
      <c r="C443" s="131" t="e">
        <f>'BC.115+040'!M442/1000</f>
        <v>#REF!</v>
      </c>
      <c r="D443" s="131" t="e">
        <f>'BC.115+040'!AA442</f>
        <v>#REF!</v>
      </c>
      <c r="E443" s="132" t="e">
        <f>'BC.115+040'!AB442</f>
        <v>#REF!</v>
      </c>
      <c r="F443" s="131" t="e">
        <f>VLOOKUP($A443,'BC.115+040'!$B$13:$X$489,8,0)/1000</f>
        <v>#REF!</v>
      </c>
      <c r="G443" s="131" t="e">
        <f>VLOOKUP($A443,'BC.115+040'!$B$13:$X$489,9,0)/1000</f>
        <v>#REF!</v>
      </c>
      <c r="H443" s="131" t="e">
        <f>VLOOKUP($A443,'BC.115+040'!$B$13:$X$489,14,0)/1000</f>
        <v>#REF!</v>
      </c>
      <c r="I443" s="131" t="e">
        <f>VLOOKUP($A443,'BC.115+040'!$B$13:$X$489,15,0)/1000</f>
        <v>#REF!</v>
      </c>
      <c r="J443" s="131" t="e">
        <f>VLOOKUP($A443,'BC.115+040'!$B$13:$X$489,20,0)/1000</f>
        <v>#REF!</v>
      </c>
      <c r="K443" s="131" t="e">
        <f>VLOOKUP($A443,'BC.115+040'!$B$13:$X$489,21,0)/1000</f>
        <v>#REF!</v>
      </c>
      <c r="L443" s="129" t="e">
        <f t="shared" si="21"/>
        <v>#REF!</v>
      </c>
      <c r="M443" s="130" t="e">
        <f t="shared" si="22"/>
        <v>#REF!</v>
      </c>
      <c r="N443" s="129" t="e">
        <f t="shared" si="23"/>
        <v>#REF!</v>
      </c>
      <c r="O443" s="129"/>
    </row>
    <row r="444" spans="1:15">
      <c r="A444" s="67" t="e">
        <f>'BC.115+040'!B443</f>
        <v>#REF!</v>
      </c>
      <c r="B444" s="129">
        <f t="shared" si="20"/>
        <v>430</v>
      </c>
      <c r="C444" s="131" t="e">
        <f>'BC.115+040'!M443/1000</f>
        <v>#REF!</v>
      </c>
      <c r="D444" s="131" t="e">
        <f>'BC.115+040'!AA443</f>
        <v>#REF!</v>
      </c>
      <c r="E444" s="132" t="e">
        <f>'BC.115+040'!AB443</f>
        <v>#REF!</v>
      </c>
      <c r="F444" s="131" t="e">
        <f>VLOOKUP($A444,'BC.115+040'!$B$13:$X$489,8,0)/1000</f>
        <v>#REF!</v>
      </c>
      <c r="G444" s="131" t="e">
        <f>VLOOKUP($A444,'BC.115+040'!$B$13:$X$489,9,0)/1000</f>
        <v>#REF!</v>
      </c>
      <c r="H444" s="131" t="e">
        <f>VLOOKUP($A444,'BC.115+040'!$B$13:$X$489,14,0)/1000</f>
        <v>#REF!</v>
      </c>
      <c r="I444" s="131" t="e">
        <f>VLOOKUP($A444,'BC.115+040'!$B$13:$X$489,15,0)/1000</f>
        <v>#REF!</v>
      </c>
      <c r="J444" s="131" t="e">
        <f>VLOOKUP($A444,'BC.115+040'!$B$13:$X$489,20,0)/1000</f>
        <v>#REF!</v>
      </c>
      <c r="K444" s="131" t="e">
        <f>VLOOKUP($A444,'BC.115+040'!$B$13:$X$489,21,0)/1000</f>
        <v>#REF!</v>
      </c>
      <c r="L444" s="129" t="e">
        <f t="shared" si="21"/>
        <v>#REF!</v>
      </c>
      <c r="M444" s="130" t="e">
        <f t="shared" si="22"/>
        <v>#REF!</v>
      </c>
      <c r="N444" s="129" t="e">
        <f t="shared" si="23"/>
        <v>#REF!</v>
      </c>
      <c r="O444" s="129"/>
    </row>
    <row r="445" spans="1:15">
      <c r="A445" s="67" t="e">
        <f>'BC.115+040'!B444</f>
        <v>#REF!</v>
      </c>
      <c r="B445" s="129">
        <f t="shared" si="20"/>
        <v>431</v>
      </c>
      <c r="C445" s="131" t="e">
        <f>'BC.115+040'!M444/1000</f>
        <v>#REF!</v>
      </c>
      <c r="D445" s="131" t="e">
        <f>'BC.115+040'!AA444</f>
        <v>#REF!</v>
      </c>
      <c r="E445" s="132" t="e">
        <f>'BC.115+040'!AB444</f>
        <v>#REF!</v>
      </c>
      <c r="F445" s="131" t="e">
        <f>VLOOKUP($A445,'BC.115+040'!$B$13:$X$489,8,0)/1000</f>
        <v>#REF!</v>
      </c>
      <c r="G445" s="131" t="e">
        <f>VLOOKUP($A445,'BC.115+040'!$B$13:$X$489,9,0)/1000</f>
        <v>#REF!</v>
      </c>
      <c r="H445" s="131" t="e">
        <f>VLOOKUP($A445,'BC.115+040'!$B$13:$X$489,14,0)/1000</f>
        <v>#REF!</v>
      </c>
      <c r="I445" s="131" t="e">
        <f>VLOOKUP($A445,'BC.115+040'!$B$13:$X$489,15,0)/1000</f>
        <v>#REF!</v>
      </c>
      <c r="J445" s="131" t="e">
        <f>VLOOKUP($A445,'BC.115+040'!$B$13:$X$489,20,0)/1000</f>
        <v>#REF!</v>
      </c>
      <c r="K445" s="131" t="e">
        <f>VLOOKUP($A445,'BC.115+040'!$B$13:$X$489,21,0)/1000</f>
        <v>#REF!</v>
      </c>
      <c r="L445" s="129" t="e">
        <f t="shared" si="21"/>
        <v>#REF!</v>
      </c>
      <c r="M445" s="130" t="e">
        <f t="shared" si="22"/>
        <v>#REF!</v>
      </c>
      <c r="N445" s="129" t="e">
        <f t="shared" si="23"/>
        <v>#REF!</v>
      </c>
      <c r="O445" s="129"/>
    </row>
    <row r="446" spans="1:15">
      <c r="A446" s="67" t="e">
        <f>'BC.115+040'!B445</f>
        <v>#REF!</v>
      </c>
      <c r="B446" s="129">
        <f t="shared" si="20"/>
        <v>432</v>
      </c>
      <c r="C446" s="131" t="e">
        <f>'BC.115+040'!M445/1000</f>
        <v>#REF!</v>
      </c>
      <c r="D446" s="131" t="e">
        <f>'BC.115+040'!AA445</f>
        <v>#REF!</v>
      </c>
      <c r="E446" s="132" t="e">
        <f>'BC.115+040'!AB445</f>
        <v>#REF!</v>
      </c>
      <c r="F446" s="131" t="e">
        <f>VLOOKUP($A446,'BC.115+040'!$B$13:$X$489,8,0)/1000</f>
        <v>#REF!</v>
      </c>
      <c r="G446" s="131" t="e">
        <f>VLOOKUP($A446,'BC.115+040'!$B$13:$X$489,9,0)/1000</f>
        <v>#REF!</v>
      </c>
      <c r="H446" s="131" t="e">
        <f>VLOOKUP($A446,'BC.115+040'!$B$13:$X$489,14,0)/1000</f>
        <v>#REF!</v>
      </c>
      <c r="I446" s="131" t="e">
        <f>VLOOKUP($A446,'BC.115+040'!$B$13:$X$489,15,0)/1000</f>
        <v>#REF!</v>
      </c>
      <c r="J446" s="131" t="e">
        <f>VLOOKUP($A446,'BC.115+040'!$B$13:$X$489,20,0)/1000</f>
        <v>#REF!</v>
      </c>
      <c r="K446" s="131" t="e">
        <f>VLOOKUP($A446,'BC.115+040'!$B$13:$X$489,21,0)/1000</f>
        <v>#REF!</v>
      </c>
      <c r="L446" s="129" t="e">
        <f t="shared" si="21"/>
        <v>#REF!</v>
      </c>
      <c r="M446" s="130" t="e">
        <f t="shared" si="22"/>
        <v>#REF!</v>
      </c>
      <c r="N446" s="129" t="e">
        <f t="shared" si="23"/>
        <v>#REF!</v>
      </c>
      <c r="O446" s="129"/>
    </row>
    <row r="447" spans="1:15">
      <c r="A447" s="67" t="e">
        <f>'BC.115+040'!B446</f>
        <v>#REF!</v>
      </c>
      <c r="B447" s="129">
        <f t="shared" ref="B447:B491" si="24">+B446+1</f>
        <v>433</v>
      </c>
      <c r="C447" s="131" t="e">
        <f>'BC.115+040'!M446/1000</f>
        <v>#REF!</v>
      </c>
      <c r="D447" s="131" t="e">
        <f>'BC.115+040'!AA446</f>
        <v>#REF!</v>
      </c>
      <c r="E447" s="132" t="e">
        <f>'BC.115+040'!AB446</f>
        <v>#REF!</v>
      </c>
      <c r="F447" s="131" t="e">
        <f>VLOOKUP($A447,'BC.115+040'!$B$13:$X$489,8,0)/1000</f>
        <v>#REF!</v>
      </c>
      <c r="G447" s="131" t="e">
        <f>VLOOKUP($A447,'BC.115+040'!$B$13:$X$489,9,0)/1000</f>
        <v>#REF!</v>
      </c>
      <c r="H447" s="131" t="e">
        <f>VLOOKUP($A447,'BC.115+040'!$B$13:$X$489,14,0)/1000</f>
        <v>#REF!</v>
      </c>
      <c r="I447" s="131" t="e">
        <f>VLOOKUP($A447,'BC.115+040'!$B$13:$X$489,15,0)/1000</f>
        <v>#REF!</v>
      </c>
      <c r="J447" s="131" t="e">
        <f>VLOOKUP($A447,'BC.115+040'!$B$13:$X$489,20,0)/1000</f>
        <v>#REF!</v>
      </c>
      <c r="K447" s="131" t="e">
        <f>VLOOKUP($A447,'BC.115+040'!$B$13:$X$489,21,0)/1000</f>
        <v>#REF!</v>
      </c>
      <c r="L447" s="129" t="e">
        <f t="shared" si="21"/>
        <v>#REF!</v>
      </c>
      <c r="M447" s="130" t="e">
        <f t="shared" si="22"/>
        <v>#REF!</v>
      </c>
      <c r="N447" s="129" t="e">
        <f t="shared" si="23"/>
        <v>#REF!</v>
      </c>
      <c r="O447" s="129"/>
    </row>
    <row r="448" spans="1:15">
      <c r="A448" s="67" t="e">
        <f>'BC.115+040'!B447</f>
        <v>#REF!</v>
      </c>
      <c r="B448" s="129">
        <f t="shared" si="24"/>
        <v>434</v>
      </c>
      <c r="C448" s="131" t="e">
        <f>'BC.115+040'!M447/1000</f>
        <v>#REF!</v>
      </c>
      <c r="D448" s="131" t="e">
        <f>'BC.115+040'!AA447</f>
        <v>#REF!</v>
      </c>
      <c r="E448" s="132" t="e">
        <f>'BC.115+040'!AB447</f>
        <v>#REF!</v>
      </c>
      <c r="F448" s="131" t="e">
        <f>VLOOKUP($A448,'BC.115+040'!$B$13:$X$489,8,0)/1000</f>
        <v>#REF!</v>
      </c>
      <c r="G448" s="131" t="e">
        <f>VLOOKUP($A448,'BC.115+040'!$B$13:$X$489,9,0)/1000</f>
        <v>#REF!</v>
      </c>
      <c r="H448" s="131" t="e">
        <f>VLOOKUP($A448,'BC.115+040'!$B$13:$X$489,14,0)/1000</f>
        <v>#REF!</v>
      </c>
      <c r="I448" s="131" t="e">
        <f>VLOOKUP($A448,'BC.115+040'!$B$13:$X$489,15,0)/1000</f>
        <v>#REF!</v>
      </c>
      <c r="J448" s="131" t="e">
        <f>VLOOKUP($A448,'BC.115+040'!$B$13:$X$489,20,0)/1000</f>
        <v>#REF!</v>
      </c>
      <c r="K448" s="131" t="e">
        <f>VLOOKUP($A448,'BC.115+040'!$B$13:$X$489,21,0)/1000</f>
        <v>#REF!</v>
      </c>
      <c r="L448" s="129" t="e">
        <f t="shared" si="21"/>
        <v>#REF!</v>
      </c>
      <c r="M448" s="130" t="e">
        <f t="shared" si="22"/>
        <v>#REF!</v>
      </c>
      <c r="N448" s="129" t="e">
        <f t="shared" si="23"/>
        <v>#REF!</v>
      </c>
      <c r="O448" s="129"/>
    </row>
    <row r="449" spans="1:15">
      <c r="A449" s="67" t="e">
        <f>'BC.115+040'!B448</f>
        <v>#REF!</v>
      </c>
      <c r="B449" s="129">
        <f t="shared" si="24"/>
        <v>435</v>
      </c>
      <c r="C449" s="131" t="e">
        <f>'BC.115+040'!M448/1000</f>
        <v>#REF!</v>
      </c>
      <c r="D449" s="131" t="e">
        <f>'BC.115+040'!AA448</f>
        <v>#REF!</v>
      </c>
      <c r="E449" s="132" t="e">
        <f>'BC.115+040'!AB448</f>
        <v>#REF!</v>
      </c>
      <c r="F449" s="131" t="e">
        <f>VLOOKUP($A449,'BC.115+040'!$B$13:$X$489,8,0)/1000</f>
        <v>#REF!</v>
      </c>
      <c r="G449" s="131" t="e">
        <f>VLOOKUP($A449,'BC.115+040'!$B$13:$X$489,9,0)/1000</f>
        <v>#REF!</v>
      </c>
      <c r="H449" s="131" t="e">
        <f>VLOOKUP($A449,'BC.115+040'!$B$13:$X$489,14,0)/1000</f>
        <v>#REF!</v>
      </c>
      <c r="I449" s="131" t="e">
        <f>VLOOKUP($A449,'BC.115+040'!$B$13:$X$489,15,0)/1000</f>
        <v>#REF!</v>
      </c>
      <c r="J449" s="131" t="e">
        <f>VLOOKUP($A449,'BC.115+040'!$B$13:$X$489,20,0)/1000</f>
        <v>#REF!</v>
      </c>
      <c r="K449" s="131" t="e">
        <f>VLOOKUP($A449,'BC.115+040'!$B$13:$X$489,21,0)/1000</f>
        <v>#REF!</v>
      </c>
      <c r="L449" s="129" t="e">
        <f t="shared" si="21"/>
        <v>#REF!</v>
      </c>
      <c r="M449" s="130" t="e">
        <f t="shared" si="22"/>
        <v>#REF!</v>
      </c>
      <c r="N449" s="129" t="e">
        <f t="shared" si="23"/>
        <v>#REF!</v>
      </c>
      <c r="O449" s="129"/>
    </row>
    <row r="450" spans="1:15">
      <c r="A450" s="67" t="e">
        <f>'BC.115+040'!B449</f>
        <v>#REF!</v>
      </c>
      <c r="B450" s="129">
        <f t="shared" si="24"/>
        <v>436</v>
      </c>
      <c r="C450" s="131" t="e">
        <f>'BC.115+040'!M449/1000</f>
        <v>#REF!</v>
      </c>
      <c r="D450" s="131" t="e">
        <f>'BC.115+040'!AA449</f>
        <v>#REF!</v>
      </c>
      <c r="E450" s="132" t="e">
        <f>'BC.115+040'!AB449</f>
        <v>#REF!</v>
      </c>
      <c r="F450" s="131" t="e">
        <f>VLOOKUP($A450,'BC.115+040'!$B$13:$X$489,8,0)/1000</f>
        <v>#REF!</v>
      </c>
      <c r="G450" s="131" t="e">
        <f>VLOOKUP($A450,'BC.115+040'!$B$13:$X$489,9,0)/1000</f>
        <v>#REF!</v>
      </c>
      <c r="H450" s="131" t="e">
        <f>VLOOKUP($A450,'BC.115+040'!$B$13:$X$489,14,0)/1000</f>
        <v>#REF!</v>
      </c>
      <c r="I450" s="131" t="e">
        <f>VLOOKUP($A450,'BC.115+040'!$B$13:$X$489,15,0)/1000</f>
        <v>#REF!</v>
      </c>
      <c r="J450" s="131" t="e">
        <f>VLOOKUP($A450,'BC.115+040'!$B$13:$X$489,20,0)/1000</f>
        <v>#REF!</v>
      </c>
      <c r="K450" s="131" t="e">
        <f>VLOOKUP($A450,'BC.115+040'!$B$13:$X$489,21,0)/1000</f>
        <v>#REF!</v>
      </c>
      <c r="L450" s="129" t="e">
        <f t="shared" si="21"/>
        <v>#REF!</v>
      </c>
      <c r="M450" s="130" t="e">
        <f t="shared" si="22"/>
        <v>#REF!</v>
      </c>
      <c r="N450" s="129" t="e">
        <f t="shared" si="23"/>
        <v>#REF!</v>
      </c>
      <c r="O450" s="129"/>
    </row>
    <row r="451" spans="1:15">
      <c r="A451" s="67" t="e">
        <f>'BC.115+040'!B450</f>
        <v>#REF!</v>
      </c>
      <c r="B451" s="129">
        <f t="shared" si="24"/>
        <v>437</v>
      </c>
      <c r="C451" s="131" t="e">
        <f>'BC.115+040'!M450/1000</f>
        <v>#REF!</v>
      </c>
      <c r="D451" s="131" t="e">
        <f>'BC.115+040'!AA450</f>
        <v>#REF!</v>
      </c>
      <c r="E451" s="132" t="e">
        <f>'BC.115+040'!AB450</f>
        <v>#REF!</v>
      </c>
      <c r="F451" s="131" t="e">
        <f>VLOOKUP($A451,'BC.115+040'!$B$13:$X$489,8,0)/1000</f>
        <v>#REF!</v>
      </c>
      <c r="G451" s="131" t="e">
        <f>VLOOKUP($A451,'BC.115+040'!$B$13:$X$489,9,0)/1000</f>
        <v>#REF!</v>
      </c>
      <c r="H451" s="131" t="e">
        <f>VLOOKUP($A451,'BC.115+040'!$B$13:$X$489,14,0)/1000</f>
        <v>#REF!</v>
      </c>
      <c r="I451" s="131" t="e">
        <f>VLOOKUP($A451,'BC.115+040'!$B$13:$X$489,15,0)/1000</f>
        <v>#REF!</v>
      </c>
      <c r="J451" s="131" t="e">
        <f>VLOOKUP($A451,'BC.115+040'!$B$13:$X$489,20,0)/1000</f>
        <v>#REF!</v>
      </c>
      <c r="K451" s="131" t="e">
        <f>VLOOKUP($A451,'BC.115+040'!$B$13:$X$489,21,0)/1000</f>
        <v>#REF!</v>
      </c>
      <c r="L451" s="129" t="e">
        <f t="shared" si="21"/>
        <v>#REF!</v>
      </c>
      <c r="M451" s="130" t="e">
        <f t="shared" si="22"/>
        <v>#REF!</v>
      </c>
      <c r="N451" s="129" t="e">
        <f t="shared" si="23"/>
        <v>#REF!</v>
      </c>
      <c r="O451" s="129"/>
    </row>
    <row r="452" spans="1:15">
      <c r="A452" s="67" t="e">
        <f>'BC.115+040'!B451</f>
        <v>#REF!</v>
      </c>
      <c r="B452" s="129">
        <f t="shared" si="24"/>
        <v>438</v>
      </c>
      <c r="C452" s="131" t="e">
        <f>'BC.115+040'!M451/1000</f>
        <v>#REF!</v>
      </c>
      <c r="D452" s="131" t="e">
        <f>'BC.115+040'!AA451</f>
        <v>#REF!</v>
      </c>
      <c r="E452" s="132" t="e">
        <f>'BC.115+040'!AB451</f>
        <v>#REF!</v>
      </c>
      <c r="F452" s="131" t="e">
        <f>VLOOKUP($A452,'BC.115+040'!$B$13:$X$489,8,0)/1000</f>
        <v>#REF!</v>
      </c>
      <c r="G452" s="131" t="e">
        <f>VLOOKUP($A452,'BC.115+040'!$B$13:$X$489,9,0)/1000</f>
        <v>#REF!</v>
      </c>
      <c r="H452" s="131" t="e">
        <f>VLOOKUP($A452,'BC.115+040'!$B$13:$X$489,14,0)/1000</f>
        <v>#REF!</v>
      </c>
      <c r="I452" s="131" t="e">
        <f>VLOOKUP($A452,'BC.115+040'!$B$13:$X$489,15,0)/1000</f>
        <v>#REF!</v>
      </c>
      <c r="J452" s="131" t="e">
        <f>VLOOKUP($A452,'BC.115+040'!$B$13:$X$489,20,0)/1000</f>
        <v>#REF!</v>
      </c>
      <c r="K452" s="131" t="e">
        <f>VLOOKUP($A452,'BC.115+040'!$B$13:$X$489,21,0)/1000</f>
        <v>#REF!</v>
      </c>
      <c r="L452" s="129" t="e">
        <f t="shared" si="21"/>
        <v>#REF!</v>
      </c>
      <c r="M452" s="130" t="e">
        <f t="shared" si="22"/>
        <v>#REF!</v>
      </c>
      <c r="N452" s="129" t="e">
        <f t="shared" si="23"/>
        <v>#REF!</v>
      </c>
      <c r="O452" s="129"/>
    </row>
    <row r="453" spans="1:15">
      <c r="A453" s="67" t="e">
        <f>'BC.115+040'!B452</f>
        <v>#REF!</v>
      </c>
      <c r="B453" s="129">
        <f t="shared" si="24"/>
        <v>439</v>
      </c>
      <c r="C453" s="131" t="e">
        <f>'BC.115+040'!M452/1000</f>
        <v>#REF!</v>
      </c>
      <c r="D453" s="131" t="e">
        <f>'BC.115+040'!AA452</f>
        <v>#REF!</v>
      </c>
      <c r="E453" s="132" t="e">
        <f>'BC.115+040'!AB452</f>
        <v>#REF!</v>
      </c>
      <c r="F453" s="131" t="e">
        <f>VLOOKUP($A453,'BC.115+040'!$B$13:$X$489,8,0)/1000</f>
        <v>#REF!</v>
      </c>
      <c r="G453" s="131" t="e">
        <f>VLOOKUP($A453,'BC.115+040'!$B$13:$X$489,9,0)/1000</f>
        <v>#REF!</v>
      </c>
      <c r="H453" s="131" t="e">
        <f>VLOOKUP($A453,'BC.115+040'!$B$13:$X$489,14,0)/1000</f>
        <v>#REF!</v>
      </c>
      <c r="I453" s="131" t="e">
        <f>VLOOKUP($A453,'BC.115+040'!$B$13:$X$489,15,0)/1000</f>
        <v>#REF!</v>
      </c>
      <c r="J453" s="131" t="e">
        <f>VLOOKUP($A453,'BC.115+040'!$B$13:$X$489,20,0)/1000</f>
        <v>#REF!</v>
      </c>
      <c r="K453" s="131" t="e">
        <f>VLOOKUP($A453,'BC.115+040'!$B$13:$X$489,21,0)/1000</f>
        <v>#REF!</v>
      </c>
      <c r="L453" s="129" t="e">
        <f t="shared" si="21"/>
        <v>#REF!</v>
      </c>
      <c r="M453" s="130" t="e">
        <f t="shared" si="22"/>
        <v>#REF!</v>
      </c>
      <c r="N453" s="129" t="e">
        <f t="shared" si="23"/>
        <v>#REF!</v>
      </c>
      <c r="O453" s="129"/>
    </row>
    <row r="454" spans="1:15">
      <c r="A454" s="67" t="e">
        <f>'BC.115+040'!B453</f>
        <v>#REF!</v>
      </c>
      <c r="B454" s="129">
        <f t="shared" si="24"/>
        <v>440</v>
      </c>
      <c r="C454" s="131" t="e">
        <f>'BC.115+040'!M453/1000</f>
        <v>#REF!</v>
      </c>
      <c r="D454" s="131" t="e">
        <f>'BC.115+040'!AA453</f>
        <v>#REF!</v>
      </c>
      <c r="E454" s="132" t="e">
        <f>'BC.115+040'!AB453</f>
        <v>#REF!</v>
      </c>
      <c r="F454" s="131" t="e">
        <f>VLOOKUP($A454,'BC.115+040'!$B$13:$X$489,8,0)/1000</f>
        <v>#REF!</v>
      </c>
      <c r="G454" s="131" t="e">
        <f>VLOOKUP($A454,'BC.115+040'!$B$13:$X$489,9,0)/1000</f>
        <v>#REF!</v>
      </c>
      <c r="H454" s="131" t="e">
        <f>VLOOKUP($A454,'BC.115+040'!$B$13:$X$489,14,0)/1000</f>
        <v>#REF!</v>
      </c>
      <c r="I454" s="131" t="e">
        <f>VLOOKUP($A454,'BC.115+040'!$B$13:$X$489,15,0)/1000</f>
        <v>#REF!</v>
      </c>
      <c r="J454" s="131" t="e">
        <f>VLOOKUP($A454,'BC.115+040'!$B$13:$X$489,20,0)/1000</f>
        <v>#REF!</v>
      </c>
      <c r="K454" s="131" t="e">
        <f>VLOOKUP($A454,'BC.115+040'!$B$13:$X$489,21,0)/1000</f>
        <v>#REF!</v>
      </c>
      <c r="L454" s="129" t="e">
        <f t="shared" si="21"/>
        <v>#REF!</v>
      </c>
      <c r="M454" s="130" t="e">
        <f t="shared" si="22"/>
        <v>#REF!</v>
      </c>
      <c r="N454" s="129" t="e">
        <f t="shared" si="23"/>
        <v>#REF!</v>
      </c>
      <c r="O454" s="129"/>
    </row>
    <row r="455" spans="1:15">
      <c r="A455" s="67" t="e">
        <f>'BC.115+040'!B454</f>
        <v>#REF!</v>
      </c>
      <c r="B455" s="129">
        <f t="shared" si="24"/>
        <v>441</v>
      </c>
      <c r="C455" s="131" t="e">
        <f>'BC.115+040'!M454/1000</f>
        <v>#REF!</v>
      </c>
      <c r="D455" s="131" t="e">
        <f>'BC.115+040'!AA454</f>
        <v>#REF!</v>
      </c>
      <c r="E455" s="132" t="e">
        <f>'BC.115+040'!AB454</f>
        <v>#REF!</v>
      </c>
      <c r="F455" s="131" t="e">
        <f>VLOOKUP($A455,'BC.115+040'!$B$13:$X$489,8,0)/1000</f>
        <v>#REF!</v>
      </c>
      <c r="G455" s="131" t="e">
        <f>VLOOKUP($A455,'BC.115+040'!$B$13:$X$489,9,0)/1000</f>
        <v>#REF!</v>
      </c>
      <c r="H455" s="131" t="e">
        <f>VLOOKUP($A455,'BC.115+040'!$B$13:$X$489,14,0)/1000</f>
        <v>#REF!</v>
      </c>
      <c r="I455" s="131" t="e">
        <f>VLOOKUP($A455,'BC.115+040'!$B$13:$X$489,15,0)/1000</f>
        <v>#REF!</v>
      </c>
      <c r="J455" s="131" t="e">
        <f>VLOOKUP($A455,'BC.115+040'!$B$13:$X$489,20,0)/1000</f>
        <v>#REF!</v>
      </c>
      <c r="K455" s="131" t="e">
        <f>VLOOKUP($A455,'BC.115+040'!$B$13:$X$489,21,0)/1000</f>
        <v>#REF!</v>
      </c>
      <c r="L455" s="129" t="e">
        <f t="shared" si="21"/>
        <v>#REF!</v>
      </c>
      <c r="M455" s="130" t="e">
        <f t="shared" si="22"/>
        <v>#REF!</v>
      </c>
      <c r="N455" s="129" t="e">
        <f t="shared" si="23"/>
        <v>#REF!</v>
      </c>
      <c r="O455" s="129"/>
    </row>
    <row r="456" spans="1:15">
      <c r="A456" s="67" t="e">
        <f>'BC.115+040'!B455</f>
        <v>#REF!</v>
      </c>
      <c r="B456" s="129">
        <f t="shared" si="24"/>
        <v>442</v>
      </c>
      <c r="C456" s="131" t="e">
        <f>'BC.115+040'!M455/1000</f>
        <v>#REF!</v>
      </c>
      <c r="D456" s="131" t="e">
        <f>'BC.115+040'!AA455</f>
        <v>#REF!</v>
      </c>
      <c r="E456" s="132" t="e">
        <f>'BC.115+040'!AB455</f>
        <v>#REF!</v>
      </c>
      <c r="F456" s="131" t="e">
        <f>VLOOKUP($A456,'BC.115+040'!$B$13:$X$489,8,0)/1000</f>
        <v>#REF!</v>
      </c>
      <c r="G456" s="131" t="e">
        <f>VLOOKUP($A456,'BC.115+040'!$B$13:$X$489,9,0)/1000</f>
        <v>#REF!</v>
      </c>
      <c r="H456" s="131" t="e">
        <f>VLOOKUP($A456,'BC.115+040'!$B$13:$X$489,14,0)/1000</f>
        <v>#REF!</v>
      </c>
      <c r="I456" s="131" t="e">
        <f>VLOOKUP($A456,'BC.115+040'!$B$13:$X$489,15,0)/1000</f>
        <v>#REF!</v>
      </c>
      <c r="J456" s="131" t="e">
        <f>VLOOKUP($A456,'BC.115+040'!$B$13:$X$489,20,0)/1000</f>
        <v>#REF!</v>
      </c>
      <c r="K456" s="131" t="e">
        <f>VLOOKUP($A456,'BC.115+040'!$B$13:$X$489,21,0)/1000</f>
        <v>#REF!</v>
      </c>
      <c r="L456" s="129" t="e">
        <f t="shared" si="21"/>
        <v>#REF!</v>
      </c>
      <c r="M456" s="130" t="e">
        <f t="shared" si="22"/>
        <v>#REF!</v>
      </c>
      <c r="N456" s="129" t="e">
        <f t="shared" si="23"/>
        <v>#REF!</v>
      </c>
      <c r="O456" s="129"/>
    </row>
    <row r="457" spans="1:15">
      <c r="A457" s="67" t="e">
        <f>'BC.115+040'!B456</f>
        <v>#REF!</v>
      </c>
      <c r="B457" s="129">
        <f t="shared" si="24"/>
        <v>443</v>
      </c>
      <c r="C457" s="131" t="e">
        <f>'BC.115+040'!M456/1000</f>
        <v>#REF!</v>
      </c>
      <c r="D457" s="131" t="e">
        <f>'BC.115+040'!AA456</f>
        <v>#REF!</v>
      </c>
      <c r="E457" s="132" t="e">
        <f>'BC.115+040'!AB456</f>
        <v>#REF!</v>
      </c>
      <c r="F457" s="131" t="e">
        <f>VLOOKUP($A457,'BC.115+040'!$B$13:$X$489,8,0)/1000</f>
        <v>#REF!</v>
      </c>
      <c r="G457" s="131" t="e">
        <f>VLOOKUP($A457,'BC.115+040'!$B$13:$X$489,9,0)/1000</f>
        <v>#REF!</v>
      </c>
      <c r="H457" s="131" t="e">
        <f>VLOOKUP($A457,'BC.115+040'!$B$13:$X$489,14,0)/1000</f>
        <v>#REF!</v>
      </c>
      <c r="I457" s="131" t="e">
        <f>VLOOKUP($A457,'BC.115+040'!$B$13:$X$489,15,0)/1000</f>
        <v>#REF!</v>
      </c>
      <c r="J457" s="131" t="e">
        <f>VLOOKUP($A457,'BC.115+040'!$B$13:$X$489,20,0)/1000</f>
        <v>#REF!</v>
      </c>
      <c r="K457" s="131" t="e">
        <f>VLOOKUP($A457,'BC.115+040'!$B$13:$X$489,21,0)/1000</f>
        <v>#REF!</v>
      </c>
      <c r="L457" s="129" t="e">
        <f t="shared" si="21"/>
        <v>#REF!</v>
      </c>
      <c r="M457" s="130" t="e">
        <f t="shared" si="22"/>
        <v>#REF!</v>
      </c>
      <c r="N457" s="129" t="e">
        <f t="shared" si="23"/>
        <v>#REF!</v>
      </c>
      <c r="O457" s="129"/>
    </row>
    <row r="458" spans="1:15">
      <c r="A458" s="67" t="e">
        <f>'BC.115+040'!B457</f>
        <v>#REF!</v>
      </c>
      <c r="B458" s="129">
        <f t="shared" si="24"/>
        <v>444</v>
      </c>
      <c r="C458" s="131" t="e">
        <f>'BC.115+040'!M457/1000</f>
        <v>#REF!</v>
      </c>
      <c r="D458" s="131" t="e">
        <f>'BC.115+040'!AA457</f>
        <v>#REF!</v>
      </c>
      <c r="E458" s="132" t="e">
        <f>'BC.115+040'!AB457</f>
        <v>#REF!</v>
      </c>
      <c r="F458" s="131" t="e">
        <f>VLOOKUP($A458,'BC.115+040'!$B$13:$X$489,8,0)/1000</f>
        <v>#REF!</v>
      </c>
      <c r="G458" s="131" t="e">
        <f>VLOOKUP($A458,'BC.115+040'!$B$13:$X$489,9,0)/1000</f>
        <v>#REF!</v>
      </c>
      <c r="H458" s="131" t="e">
        <f>VLOOKUP($A458,'BC.115+040'!$B$13:$X$489,14,0)/1000</f>
        <v>#REF!</v>
      </c>
      <c r="I458" s="131" t="e">
        <f>VLOOKUP($A458,'BC.115+040'!$B$13:$X$489,15,0)/1000</f>
        <v>#REF!</v>
      </c>
      <c r="J458" s="131" t="e">
        <f>VLOOKUP($A458,'BC.115+040'!$B$13:$X$489,20,0)/1000</f>
        <v>#REF!</v>
      </c>
      <c r="K458" s="131" t="e">
        <f>VLOOKUP($A458,'BC.115+040'!$B$13:$X$489,21,0)/1000</f>
        <v>#REF!</v>
      </c>
      <c r="L458" s="129" t="e">
        <f t="shared" si="21"/>
        <v>#REF!</v>
      </c>
      <c r="M458" s="130" t="e">
        <f t="shared" si="22"/>
        <v>#REF!</v>
      </c>
      <c r="N458" s="129" t="e">
        <f t="shared" si="23"/>
        <v>#REF!</v>
      </c>
      <c r="O458" s="129"/>
    </row>
    <row r="459" spans="1:15">
      <c r="A459" s="67" t="e">
        <f>'BC.115+040'!B458</f>
        <v>#REF!</v>
      </c>
      <c r="B459" s="129">
        <f t="shared" si="24"/>
        <v>445</v>
      </c>
      <c r="C459" s="131" t="e">
        <f>'BC.115+040'!M458/1000</f>
        <v>#REF!</v>
      </c>
      <c r="D459" s="131" t="e">
        <f>'BC.115+040'!AA458</f>
        <v>#REF!</v>
      </c>
      <c r="E459" s="132" t="e">
        <f>'BC.115+040'!AB458</f>
        <v>#REF!</v>
      </c>
      <c r="F459" s="131" t="e">
        <f>VLOOKUP($A459,'BC.115+040'!$B$13:$X$489,8,0)/1000</f>
        <v>#REF!</v>
      </c>
      <c r="G459" s="131" t="e">
        <f>VLOOKUP($A459,'BC.115+040'!$B$13:$X$489,9,0)/1000</f>
        <v>#REF!</v>
      </c>
      <c r="H459" s="131" t="e">
        <f>VLOOKUP($A459,'BC.115+040'!$B$13:$X$489,14,0)/1000</f>
        <v>#REF!</v>
      </c>
      <c r="I459" s="131" t="e">
        <f>VLOOKUP($A459,'BC.115+040'!$B$13:$X$489,15,0)/1000</f>
        <v>#REF!</v>
      </c>
      <c r="J459" s="131" t="e">
        <f>VLOOKUP($A459,'BC.115+040'!$B$13:$X$489,20,0)/1000</f>
        <v>#REF!</v>
      </c>
      <c r="K459" s="131" t="e">
        <f>VLOOKUP($A459,'BC.115+040'!$B$13:$X$489,21,0)/1000</f>
        <v>#REF!</v>
      </c>
      <c r="L459" s="129" t="e">
        <f t="shared" si="21"/>
        <v>#REF!</v>
      </c>
      <c r="M459" s="130" t="e">
        <f t="shared" si="22"/>
        <v>#REF!</v>
      </c>
      <c r="N459" s="129" t="e">
        <f t="shared" si="23"/>
        <v>#REF!</v>
      </c>
      <c r="O459" s="129"/>
    </row>
    <row r="460" spans="1:15">
      <c r="A460" s="67" t="e">
        <f>'BC.115+040'!B459</f>
        <v>#REF!</v>
      </c>
      <c r="B460" s="129">
        <f t="shared" si="24"/>
        <v>446</v>
      </c>
      <c r="C460" s="131" t="e">
        <f>'BC.115+040'!M459/1000</f>
        <v>#REF!</v>
      </c>
      <c r="D460" s="131" t="e">
        <f>'BC.115+040'!AA459</f>
        <v>#REF!</v>
      </c>
      <c r="E460" s="132" t="e">
        <f>'BC.115+040'!AB459</f>
        <v>#REF!</v>
      </c>
      <c r="F460" s="131" t="e">
        <f>VLOOKUP($A460,'BC.115+040'!$B$13:$X$489,8,0)/1000</f>
        <v>#REF!</v>
      </c>
      <c r="G460" s="131" t="e">
        <f>VLOOKUP($A460,'BC.115+040'!$B$13:$X$489,9,0)/1000</f>
        <v>#REF!</v>
      </c>
      <c r="H460" s="131" t="e">
        <f>VLOOKUP($A460,'BC.115+040'!$B$13:$X$489,14,0)/1000</f>
        <v>#REF!</v>
      </c>
      <c r="I460" s="131" t="e">
        <f>VLOOKUP($A460,'BC.115+040'!$B$13:$X$489,15,0)/1000</f>
        <v>#REF!</v>
      </c>
      <c r="J460" s="131" t="e">
        <f>VLOOKUP($A460,'BC.115+040'!$B$13:$X$489,20,0)/1000</f>
        <v>#REF!</v>
      </c>
      <c r="K460" s="131" t="e">
        <f>VLOOKUP($A460,'BC.115+040'!$B$13:$X$489,21,0)/1000</f>
        <v>#REF!</v>
      </c>
      <c r="L460" s="129" t="e">
        <f t="shared" si="21"/>
        <v>#REF!</v>
      </c>
      <c r="M460" s="130" t="e">
        <f t="shared" si="22"/>
        <v>#REF!</v>
      </c>
      <c r="N460" s="129" t="e">
        <f t="shared" si="23"/>
        <v>#REF!</v>
      </c>
      <c r="O460" s="129"/>
    </row>
    <row r="461" spans="1:15">
      <c r="A461" s="67" t="e">
        <f>'BC.115+040'!B460</f>
        <v>#REF!</v>
      </c>
      <c r="B461" s="129">
        <f t="shared" si="24"/>
        <v>447</v>
      </c>
      <c r="C461" s="131" t="e">
        <f>'BC.115+040'!M460/1000</f>
        <v>#REF!</v>
      </c>
      <c r="D461" s="131" t="e">
        <f>'BC.115+040'!AA460</f>
        <v>#REF!</v>
      </c>
      <c r="E461" s="132" t="e">
        <f>'BC.115+040'!AB460</f>
        <v>#REF!</v>
      </c>
      <c r="F461" s="131" t="e">
        <f>VLOOKUP($A461,'BC.115+040'!$B$13:$X$489,8,0)/1000</f>
        <v>#REF!</v>
      </c>
      <c r="G461" s="131" t="e">
        <f>VLOOKUP($A461,'BC.115+040'!$B$13:$X$489,9,0)/1000</f>
        <v>#REF!</v>
      </c>
      <c r="H461" s="131" t="e">
        <f>VLOOKUP($A461,'BC.115+040'!$B$13:$X$489,14,0)/1000</f>
        <v>#REF!</v>
      </c>
      <c r="I461" s="131" t="e">
        <f>VLOOKUP($A461,'BC.115+040'!$B$13:$X$489,15,0)/1000</f>
        <v>#REF!</v>
      </c>
      <c r="J461" s="131" t="e">
        <f>VLOOKUP($A461,'BC.115+040'!$B$13:$X$489,20,0)/1000</f>
        <v>#REF!</v>
      </c>
      <c r="K461" s="131" t="e">
        <f>VLOOKUP($A461,'BC.115+040'!$B$13:$X$489,21,0)/1000</f>
        <v>#REF!</v>
      </c>
      <c r="L461" s="129" t="e">
        <f t="shared" si="21"/>
        <v>#REF!</v>
      </c>
      <c r="M461" s="130" t="e">
        <f t="shared" si="22"/>
        <v>#REF!</v>
      </c>
      <c r="N461" s="129" t="e">
        <f t="shared" si="23"/>
        <v>#REF!</v>
      </c>
      <c r="O461" s="129"/>
    </row>
    <row r="462" spans="1:15">
      <c r="A462" s="67" t="e">
        <f>'BC.115+040'!B461</f>
        <v>#REF!</v>
      </c>
      <c r="B462" s="129">
        <f t="shared" si="24"/>
        <v>448</v>
      </c>
      <c r="C462" s="131" t="e">
        <f>'BC.115+040'!M461/1000</f>
        <v>#REF!</v>
      </c>
      <c r="D462" s="131" t="e">
        <f>'BC.115+040'!AA461</f>
        <v>#REF!</v>
      </c>
      <c r="E462" s="132" t="e">
        <f>'BC.115+040'!AB461</f>
        <v>#REF!</v>
      </c>
      <c r="F462" s="131" t="e">
        <f>VLOOKUP($A462,'BC.115+040'!$B$13:$X$489,8,0)/1000</f>
        <v>#REF!</v>
      </c>
      <c r="G462" s="131" t="e">
        <f>VLOOKUP($A462,'BC.115+040'!$B$13:$X$489,9,0)/1000</f>
        <v>#REF!</v>
      </c>
      <c r="H462" s="131" t="e">
        <f>VLOOKUP($A462,'BC.115+040'!$B$13:$X$489,14,0)/1000</f>
        <v>#REF!</v>
      </c>
      <c r="I462" s="131" t="e">
        <f>VLOOKUP($A462,'BC.115+040'!$B$13:$X$489,15,0)/1000</f>
        <v>#REF!</v>
      </c>
      <c r="J462" s="131" t="e">
        <f>VLOOKUP($A462,'BC.115+040'!$B$13:$X$489,20,0)/1000</f>
        <v>#REF!</v>
      </c>
      <c r="K462" s="131" t="e">
        <f>VLOOKUP($A462,'BC.115+040'!$B$13:$X$489,21,0)/1000</f>
        <v>#REF!</v>
      </c>
      <c r="L462" s="129" t="e">
        <f t="shared" ref="L462:L491" si="25">(G462-$G$14)*1000</f>
        <v>#REF!</v>
      </c>
      <c r="M462" s="130" t="e">
        <f t="shared" ref="M462:M491" si="26">(I462-$I$14)*1000</f>
        <v>#REF!</v>
      </c>
      <c r="N462" s="129" t="e">
        <f t="shared" si="23"/>
        <v>#REF!</v>
      </c>
      <c r="O462" s="129"/>
    </row>
    <row r="463" spans="1:15">
      <c r="A463" s="67" t="e">
        <f>'BC.115+040'!B462</f>
        <v>#REF!</v>
      </c>
      <c r="B463" s="129">
        <f t="shared" si="24"/>
        <v>449</v>
      </c>
      <c r="C463" s="131" t="e">
        <f>'BC.115+040'!M462/1000</f>
        <v>#REF!</v>
      </c>
      <c r="D463" s="131" t="e">
        <f>'BC.115+040'!AA462</f>
        <v>#REF!</v>
      </c>
      <c r="E463" s="132" t="e">
        <f>'BC.115+040'!AB462</f>
        <v>#REF!</v>
      </c>
      <c r="F463" s="131" t="e">
        <f>VLOOKUP($A463,'BC.115+040'!$B$13:$X$489,8,0)/1000</f>
        <v>#REF!</v>
      </c>
      <c r="G463" s="131" t="e">
        <f>VLOOKUP($A463,'BC.115+040'!$B$13:$X$489,9,0)/1000</f>
        <v>#REF!</v>
      </c>
      <c r="H463" s="131" t="e">
        <f>VLOOKUP($A463,'BC.115+040'!$B$13:$X$489,14,0)/1000</f>
        <v>#REF!</v>
      </c>
      <c r="I463" s="131" t="e">
        <f>VLOOKUP($A463,'BC.115+040'!$B$13:$X$489,15,0)/1000</f>
        <v>#REF!</v>
      </c>
      <c r="J463" s="131" t="e">
        <f>VLOOKUP($A463,'BC.115+040'!$B$13:$X$489,20,0)/1000</f>
        <v>#REF!</v>
      </c>
      <c r="K463" s="131" t="e">
        <f>VLOOKUP($A463,'BC.115+040'!$B$13:$X$489,21,0)/1000</f>
        <v>#REF!</v>
      </c>
      <c r="L463" s="129" t="e">
        <f t="shared" si="25"/>
        <v>#REF!</v>
      </c>
      <c r="M463" s="130" t="e">
        <f t="shared" si="26"/>
        <v>#REF!</v>
      </c>
      <c r="N463" s="129" t="e">
        <f t="shared" ref="N463:N491" si="27">(K463-$K$14)*1000</f>
        <v>#REF!</v>
      </c>
      <c r="O463" s="129"/>
    </row>
    <row r="464" spans="1:15">
      <c r="A464" s="67" t="e">
        <f>'BC.115+040'!B463</f>
        <v>#REF!</v>
      </c>
      <c r="B464" s="129">
        <f t="shared" si="24"/>
        <v>450</v>
      </c>
      <c r="C464" s="131" t="e">
        <f>'BC.115+040'!M463/1000</f>
        <v>#REF!</v>
      </c>
      <c r="D464" s="131" t="e">
        <f>'BC.115+040'!AA463</f>
        <v>#REF!</v>
      </c>
      <c r="E464" s="132" t="e">
        <f>'BC.115+040'!AB463</f>
        <v>#REF!</v>
      </c>
      <c r="F464" s="131" t="e">
        <f>VLOOKUP($A464,'BC.115+040'!$B$13:$X$489,8,0)/1000</f>
        <v>#REF!</v>
      </c>
      <c r="G464" s="131" t="e">
        <f>VLOOKUP($A464,'BC.115+040'!$B$13:$X$489,9,0)/1000</f>
        <v>#REF!</v>
      </c>
      <c r="H464" s="131" t="e">
        <f>VLOOKUP($A464,'BC.115+040'!$B$13:$X$489,14,0)/1000</f>
        <v>#REF!</v>
      </c>
      <c r="I464" s="131" t="e">
        <f>VLOOKUP($A464,'BC.115+040'!$B$13:$X$489,15,0)/1000</f>
        <v>#REF!</v>
      </c>
      <c r="J464" s="131" t="e">
        <f>VLOOKUP($A464,'BC.115+040'!$B$13:$X$489,20,0)/1000</f>
        <v>#REF!</v>
      </c>
      <c r="K464" s="131" t="e">
        <f>VLOOKUP($A464,'BC.115+040'!$B$13:$X$489,21,0)/1000</f>
        <v>#REF!</v>
      </c>
      <c r="L464" s="129" t="e">
        <f t="shared" si="25"/>
        <v>#REF!</v>
      </c>
      <c r="M464" s="130" t="e">
        <f t="shared" si="26"/>
        <v>#REF!</v>
      </c>
      <c r="N464" s="129" t="e">
        <f t="shared" si="27"/>
        <v>#REF!</v>
      </c>
      <c r="O464" s="129"/>
    </row>
    <row r="465" spans="1:15">
      <c r="A465" s="67" t="e">
        <f>'BC.115+040'!B464</f>
        <v>#REF!</v>
      </c>
      <c r="B465" s="129">
        <f t="shared" si="24"/>
        <v>451</v>
      </c>
      <c r="C465" s="131" t="e">
        <f>'BC.115+040'!M464/1000</f>
        <v>#REF!</v>
      </c>
      <c r="D465" s="131" t="e">
        <f>'BC.115+040'!AA464</f>
        <v>#REF!</v>
      </c>
      <c r="E465" s="132" t="e">
        <f>'BC.115+040'!AB464</f>
        <v>#REF!</v>
      </c>
      <c r="F465" s="131" t="e">
        <f>VLOOKUP($A465,'BC.115+040'!$B$13:$X$489,8,0)/1000</f>
        <v>#REF!</v>
      </c>
      <c r="G465" s="131" t="e">
        <f>VLOOKUP($A465,'BC.115+040'!$B$13:$X$489,9,0)/1000</f>
        <v>#REF!</v>
      </c>
      <c r="H465" s="131" t="e">
        <f>VLOOKUP($A465,'BC.115+040'!$B$13:$X$489,14,0)/1000</f>
        <v>#REF!</v>
      </c>
      <c r="I465" s="131" t="e">
        <f>VLOOKUP($A465,'BC.115+040'!$B$13:$X$489,15,0)/1000</f>
        <v>#REF!</v>
      </c>
      <c r="J465" s="131" t="e">
        <f>VLOOKUP($A465,'BC.115+040'!$B$13:$X$489,20,0)/1000</f>
        <v>#REF!</v>
      </c>
      <c r="K465" s="131" t="e">
        <f>VLOOKUP($A465,'BC.115+040'!$B$13:$X$489,21,0)/1000</f>
        <v>#REF!</v>
      </c>
      <c r="L465" s="129" t="e">
        <f t="shared" si="25"/>
        <v>#REF!</v>
      </c>
      <c r="M465" s="130" t="e">
        <f t="shared" si="26"/>
        <v>#REF!</v>
      </c>
      <c r="N465" s="129" t="e">
        <f t="shared" si="27"/>
        <v>#REF!</v>
      </c>
      <c r="O465" s="129"/>
    </row>
    <row r="466" spans="1:15">
      <c r="A466" s="67" t="e">
        <f>'BC.115+040'!B465</f>
        <v>#REF!</v>
      </c>
      <c r="B466" s="129">
        <f t="shared" si="24"/>
        <v>452</v>
      </c>
      <c r="C466" s="131" t="e">
        <f>'BC.115+040'!M465/1000</f>
        <v>#REF!</v>
      </c>
      <c r="D466" s="131" t="e">
        <f>'BC.115+040'!AA465</f>
        <v>#REF!</v>
      </c>
      <c r="E466" s="132" t="e">
        <f>'BC.115+040'!AB465</f>
        <v>#REF!</v>
      </c>
      <c r="F466" s="131" t="e">
        <f>VLOOKUP($A466,'BC.115+040'!$B$13:$X$489,8,0)/1000</f>
        <v>#REF!</v>
      </c>
      <c r="G466" s="131" t="e">
        <f>VLOOKUP($A466,'BC.115+040'!$B$13:$X$489,9,0)/1000</f>
        <v>#REF!</v>
      </c>
      <c r="H466" s="131" t="e">
        <f>VLOOKUP($A466,'BC.115+040'!$B$13:$X$489,14,0)/1000</f>
        <v>#REF!</v>
      </c>
      <c r="I466" s="131" t="e">
        <f>VLOOKUP($A466,'BC.115+040'!$B$13:$X$489,15,0)/1000</f>
        <v>#REF!</v>
      </c>
      <c r="J466" s="131" t="e">
        <f>VLOOKUP($A466,'BC.115+040'!$B$13:$X$489,20,0)/1000</f>
        <v>#REF!</v>
      </c>
      <c r="K466" s="131" t="e">
        <f>VLOOKUP($A466,'BC.115+040'!$B$13:$X$489,21,0)/1000</f>
        <v>#REF!</v>
      </c>
      <c r="L466" s="129" t="e">
        <f t="shared" si="25"/>
        <v>#REF!</v>
      </c>
      <c r="M466" s="130" t="e">
        <f t="shared" si="26"/>
        <v>#REF!</v>
      </c>
      <c r="N466" s="129" t="e">
        <f t="shared" si="27"/>
        <v>#REF!</v>
      </c>
      <c r="O466" s="129"/>
    </row>
    <row r="467" spans="1:15">
      <c r="A467" s="67" t="e">
        <f>'BC.115+040'!B466</f>
        <v>#REF!</v>
      </c>
      <c r="B467" s="129">
        <f t="shared" si="24"/>
        <v>453</v>
      </c>
      <c r="C467" s="131" t="e">
        <f>'BC.115+040'!M466/1000</f>
        <v>#REF!</v>
      </c>
      <c r="D467" s="131" t="e">
        <f>'BC.115+040'!AA466</f>
        <v>#REF!</v>
      </c>
      <c r="E467" s="132" t="e">
        <f>'BC.115+040'!AB466</f>
        <v>#REF!</v>
      </c>
      <c r="F467" s="131" t="e">
        <f>VLOOKUP($A467,'BC.115+040'!$B$13:$X$489,8,0)/1000</f>
        <v>#REF!</v>
      </c>
      <c r="G467" s="131" t="e">
        <f>VLOOKUP($A467,'BC.115+040'!$B$13:$X$489,9,0)/1000</f>
        <v>#REF!</v>
      </c>
      <c r="H467" s="131" t="e">
        <f>VLOOKUP($A467,'BC.115+040'!$B$13:$X$489,14,0)/1000</f>
        <v>#REF!</v>
      </c>
      <c r="I467" s="131" t="e">
        <f>VLOOKUP($A467,'BC.115+040'!$B$13:$X$489,15,0)/1000</f>
        <v>#REF!</v>
      </c>
      <c r="J467" s="131" t="e">
        <f>VLOOKUP($A467,'BC.115+040'!$B$13:$X$489,20,0)/1000</f>
        <v>#REF!</v>
      </c>
      <c r="K467" s="131" t="e">
        <f>VLOOKUP($A467,'BC.115+040'!$B$13:$X$489,21,0)/1000</f>
        <v>#REF!</v>
      </c>
      <c r="L467" s="129" t="e">
        <f t="shared" si="25"/>
        <v>#REF!</v>
      </c>
      <c r="M467" s="130" t="e">
        <f t="shared" si="26"/>
        <v>#REF!</v>
      </c>
      <c r="N467" s="129" t="e">
        <f t="shared" si="27"/>
        <v>#REF!</v>
      </c>
      <c r="O467" s="129"/>
    </row>
    <row r="468" spans="1:15">
      <c r="A468" s="67" t="e">
        <f>'BC.115+040'!B467</f>
        <v>#REF!</v>
      </c>
      <c r="B468" s="129">
        <f t="shared" si="24"/>
        <v>454</v>
      </c>
      <c r="C468" s="131" t="e">
        <f>'BC.115+040'!M467/1000</f>
        <v>#REF!</v>
      </c>
      <c r="D468" s="131" t="e">
        <f>'BC.115+040'!AA467</f>
        <v>#REF!</v>
      </c>
      <c r="E468" s="132" t="e">
        <f>'BC.115+040'!AB467</f>
        <v>#REF!</v>
      </c>
      <c r="F468" s="131" t="e">
        <f>VLOOKUP($A468,'BC.115+040'!$B$13:$X$489,8,0)/1000</f>
        <v>#REF!</v>
      </c>
      <c r="G468" s="131" t="e">
        <f>VLOOKUP($A468,'BC.115+040'!$B$13:$X$489,9,0)/1000</f>
        <v>#REF!</v>
      </c>
      <c r="H468" s="131" t="e">
        <f>VLOOKUP($A468,'BC.115+040'!$B$13:$X$489,14,0)/1000</f>
        <v>#REF!</v>
      </c>
      <c r="I468" s="131" t="e">
        <f>VLOOKUP($A468,'BC.115+040'!$B$13:$X$489,15,0)/1000</f>
        <v>#REF!</v>
      </c>
      <c r="J468" s="131" t="e">
        <f>VLOOKUP($A468,'BC.115+040'!$B$13:$X$489,20,0)/1000</f>
        <v>#REF!</v>
      </c>
      <c r="K468" s="131" t="e">
        <f>VLOOKUP($A468,'BC.115+040'!$B$13:$X$489,21,0)/1000</f>
        <v>#REF!</v>
      </c>
      <c r="L468" s="129" t="e">
        <f t="shared" si="25"/>
        <v>#REF!</v>
      </c>
      <c r="M468" s="130" t="e">
        <f t="shared" si="26"/>
        <v>#REF!</v>
      </c>
      <c r="N468" s="129" t="e">
        <f t="shared" si="27"/>
        <v>#REF!</v>
      </c>
      <c r="O468" s="129"/>
    </row>
    <row r="469" spans="1:15">
      <c r="A469" s="67" t="e">
        <f>'BC.115+040'!B468</f>
        <v>#REF!</v>
      </c>
      <c r="B469" s="129">
        <f t="shared" si="24"/>
        <v>455</v>
      </c>
      <c r="C469" s="131" t="e">
        <f>'BC.115+040'!M468/1000</f>
        <v>#REF!</v>
      </c>
      <c r="D469" s="131" t="e">
        <f>'BC.115+040'!AA468</f>
        <v>#REF!</v>
      </c>
      <c r="E469" s="132" t="e">
        <f>'BC.115+040'!AB468</f>
        <v>#REF!</v>
      </c>
      <c r="F469" s="131" t="e">
        <f>VLOOKUP($A469,'BC.115+040'!$B$13:$X$489,8,0)/1000</f>
        <v>#REF!</v>
      </c>
      <c r="G469" s="131" t="e">
        <f>VLOOKUP($A469,'BC.115+040'!$B$13:$X$489,9,0)/1000</f>
        <v>#REF!</v>
      </c>
      <c r="H469" s="131" t="e">
        <f>VLOOKUP($A469,'BC.115+040'!$B$13:$X$489,14,0)/1000</f>
        <v>#REF!</v>
      </c>
      <c r="I469" s="131" t="e">
        <f>VLOOKUP($A469,'BC.115+040'!$B$13:$X$489,15,0)/1000</f>
        <v>#REF!</v>
      </c>
      <c r="J469" s="131" t="e">
        <f>VLOOKUP($A469,'BC.115+040'!$B$13:$X$489,20,0)/1000</f>
        <v>#REF!</v>
      </c>
      <c r="K469" s="131" t="e">
        <f>VLOOKUP($A469,'BC.115+040'!$B$13:$X$489,21,0)/1000</f>
        <v>#REF!</v>
      </c>
      <c r="L469" s="129" t="e">
        <f t="shared" si="25"/>
        <v>#REF!</v>
      </c>
      <c r="M469" s="130" t="e">
        <f t="shared" si="26"/>
        <v>#REF!</v>
      </c>
      <c r="N469" s="129" t="e">
        <f t="shared" si="27"/>
        <v>#REF!</v>
      </c>
      <c r="O469" s="129"/>
    </row>
    <row r="470" spans="1:15">
      <c r="A470" s="67" t="e">
        <f>'BC.115+040'!B469</f>
        <v>#REF!</v>
      </c>
      <c r="B470" s="129">
        <f t="shared" si="24"/>
        <v>456</v>
      </c>
      <c r="C470" s="131" t="e">
        <f>'BC.115+040'!M469/1000</f>
        <v>#REF!</v>
      </c>
      <c r="D470" s="131" t="e">
        <f>'BC.115+040'!AA469</f>
        <v>#REF!</v>
      </c>
      <c r="E470" s="132" t="e">
        <f>'BC.115+040'!AB469</f>
        <v>#REF!</v>
      </c>
      <c r="F470" s="131" t="e">
        <f>VLOOKUP($A470,'BC.115+040'!$B$13:$X$489,8,0)/1000</f>
        <v>#REF!</v>
      </c>
      <c r="G470" s="131" t="e">
        <f>VLOOKUP($A470,'BC.115+040'!$B$13:$X$489,9,0)/1000</f>
        <v>#REF!</v>
      </c>
      <c r="H470" s="131" t="e">
        <f>VLOOKUP($A470,'BC.115+040'!$B$13:$X$489,14,0)/1000</f>
        <v>#REF!</v>
      </c>
      <c r="I470" s="131" t="e">
        <f>VLOOKUP($A470,'BC.115+040'!$B$13:$X$489,15,0)/1000</f>
        <v>#REF!</v>
      </c>
      <c r="J470" s="131" t="e">
        <f>VLOOKUP($A470,'BC.115+040'!$B$13:$X$489,20,0)/1000</f>
        <v>#REF!</v>
      </c>
      <c r="K470" s="131" t="e">
        <f>VLOOKUP($A470,'BC.115+040'!$B$13:$X$489,21,0)/1000</f>
        <v>#REF!</v>
      </c>
      <c r="L470" s="129" t="e">
        <f t="shared" si="25"/>
        <v>#REF!</v>
      </c>
      <c r="M470" s="130" t="e">
        <f t="shared" si="26"/>
        <v>#REF!</v>
      </c>
      <c r="N470" s="129" t="e">
        <f t="shared" si="27"/>
        <v>#REF!</v>
      </c>
      <c r="O470" s="129"/>
    </row>
    <row r="471" spans="1:15">
      <c r="A471" s="67" t="e">
        <f>'BC.115+040'!B470</f>
        <v>#REF!</v>
      </c>
      <c r="B471" s="129">
        <f t="shared" si="24"/>
        <v>457</v>
      </c>
      <c r="C471" s="131" t="e">
        <f>'BC.115+040'!M470/1000</f>
        <v>#REF!</v>
      </c>
      <c r="D471" s="131" t="e">
        <f>'BC.115+040'!AA470</f>
        <v>#REF!</v>
      </c>
      <c r="E471" s="132" t="e">
        <f>'BC.115+040'!AB470</f>
        <v>#REF!</v>
      </c>
      <c r="F471" s="131" t="e">
        <f>VLOOKUP($A471,'BC.115+040'!$B$13:$X$489,8,0)/1000</f>
        <v>#REF!</v>
      </c>
      <c r="G471" s="131" t="e">
        <f>VLOOKUP($A471,'BC.115+040'!$B$13:$X$489,9,0)/1000</f>
        <v>#REF!</v>
      </c>
      <c r="H471" s="131" t="e">
        <f>VLOOKUP($A471,'BC.115+040'!$B$13:$X$489,14,0)/1000</f>
        <v>#REF!</v>
      </c>
      <c r="I471" s="131" t="e">
        <f>VLOOKUP($A471,'BC.115+040'!$B$13:$X$489,15,0)/1000</f>
        <v>#REF!</v>
      </c>
      <c r="J471" s="131" t="e">
        <f>VLOOKUP($A471,'BC.115+040'!$B$13:$X$489,20,0)/1000</f>
        <v>#REF!</v>
      </c>
      <c r="K471" s="131" t="e">
        <f>VLOOKUP($A471,'BC.115+040'!$B$13:$X$489,21,0)/1000</f>
        <v>#REF!</v>
      </c>
      <c r="L471" s="129" t="e">
        <f t="shared" si="25"/>
        <v>#REF!</v>
      </c>
      <c r="M471" s="130" t="e">
        <f t="shared" si="26"/>
        <v>#REF!</v>
      </c>
      <c r="N471" s="129" t="e">
        <f t="shared" si="27"/>
        <v>#REF!</v>
      </c>
      <c r="O471" s="129"/>
    </row>
    <row r="472" spans="1:15">
      <c r="A472" s="67" t="e">
        <f>'BC.115+040'!B471</f>
        <v>#REF!</v>
      </c>
      <c r="B472" s="129">
        <f t="shared" si="24"/>
        <v>458</v>
      </c>
      <c r="C472" s="131" t="e">
        <f>'BC.115+040'!M471/1000</f>
        <v>#REF!</v>
      </c>
      <c r="D472" s="131" t="e">
        <f>'BC.115+040'!AA471</f>
        <v>#REF!</v>
      </c>
      <c r="E472" s="132" t="e">
        <f>'BC.115+040'!AB471</f>
        <v>#REF!</v>
      </c>
      <c r="F472" s="131" t="e">
        <f>VLOOKUP($A472,'BC.115+040'!$B$13:$X$489,8,0)/1000</f>
        <v>#REF!</v>
      </c>
      <c r="G472" s="131" t="e">
        <f>VLOOKUP($A472,'BC.115+040'!$B$13:$X$489,9,0)/1000</f>
        <v>#REF!</v>
      </c>
      <c r="H472" s="131" t="e">
        <f>VLOOKUP($A472,'BC.115+040'!$B$13:$X$489,14,0)/1000</f>
        <v>#REF!</v>
      </c>
      <c r="I472" s="131" t="e">
        <f>VLOOKUP($A472,'BC.115+040'!$B$13:$X$489,15,0)/1000</f>
        <v>#REF!</v>
      </c>
      <c r="J472" s="131" t="e">
        <f>VLOOKUP($A472,'BC.115+040'!$B$13:$X$489,20,0)/1000</f>
        <v>#REF!</v>
      </c>
      <c r="K472" s="131" t="e">
        <f>VLOOKUP($A472,'BC.115+040'!$B$13:$X$489,21,0)/1000</f>
        <v>#REF!</v>
      </c>
      <c r="L472" s="129" t="e">
        <f t="shared" si="25"/>
        <v>#REF!</v>
      </c>
      <c r="M472" s="130" t="e">
        <f t="shared" si="26"/>
        <v>#REF!</v>
      </c>
      <c r="N472" s="129" t="e">
        <f t="shared" si="27"/>
        <v>#REF!</v>
      </c>
      <c r="O472" s="129"/>
    </row>
    <row r="473" spans="1:15">
      <c r="A473" s="67" t="e">
        <f>'BC.115+040'!B472</f>
        <v>#REF!</v>
      </c>
      <c r="B473" s="129">
        <f t="shared" si="24"/>
        <v>459</v>
      </c>
      <c r="C473" s="131" t="e">
        <f>'BC.115+040'!M472/1000</f>
        <v>#REF!</v>
      </c>
      <c r="D473" s="131" t="e">
        <f>'BC.115+040'!AA472</f>
        <v>#REF!</v>
      </c>
      <c r="E473" s="132" t="e">
        <f>'BC.115+040'!AB472</f>
        <v>#REF!</v>
      </c>
      <c r="F473" s="131" t="e">
        <f>VLOOKUP($A473,'BC.115+040'!$B$13:$X$489,8,0)/1000</f>
        <v>#REF!</v>
      </c>
      <c r="G473" s="131" t="e">
        <f>VLOOKUP($A473,'BC.115+040'!$B$13:$X$489,9,0)/1000</f>
        <v>#REF!</v>
      </c>
      <c r="H473" s="131" t="e">
        <f>VLOOKUP($A473,'BC.115+040'!$B$13:$X$489,14,0)/1000</f>
        <v>#REF!</v>
      </c>
      <c r="I473" s="131" t="e">
        <f>VLOOKUP($A473,'BC.115+040'!$B$13:$X$489,15,0)/1000</f>
        <v>#REF!</v>
      </c>
      <c r="J473" s="131" t="e">
        <f>VLOOKUP($A473,'BC.115+040'!$B$13:$X$489,20,0)/1000</f>
        <v>#REF!</v>
      </c>
      <c r="K473" s="131" t="e">
        <f>VLOOKUP($A473,'BC.115+040'!$B$13:$X$489,21,0)/1000</f>
        <v>#REF!</v>
      </c>
      <c r="L473" s="129" t="e">
        <f t="shared" si="25"/>
        <v>#REF!</v>
      </c>
      <c r="M473" s="130" t="e">
        <f t="shared" si="26"/>
        <v>#REF!</v>
      </c>
      <c r="N473" s="129" t="e">
        <f t="shared" si="27"/>
        <v>#REF!</v>
      </c>
      <c r="O473" s="129"/>
    </row>
    <row r="474" spans="1:15">
      <c r="A474" s="67" t="e">
        <f>'BC.115+040'!B473</f>
        <v>#REF!</v>
      </c>
      <c r="B474" s="129">
        <f t="shared" si="24"/>
        <v>460</v>
      </c>
      <c r="C474" s="131" t="e">
        <f>'BC.115+040'!M473/1000</f>
        <v>#REF!</v>
      </c>
      <c r="D474" s="131" t="e">
        <f>'BC.115+040'!AA473</f>
        <v>#REF!</v>
      </c>
      <c r="E474" s="132" t="e">
        <f>'BC.115+040'!AB473</f>
        <v>#REF!</v>
      </c>
      <c r="F474" s="131" t="e">
        <f>VLOOKUP($A474,'BC.115+040'!$B$13:$X$489,8,0)/1000</f>
        <v>#REF!</v>
      </c>
      <c r="G474" s="131" t="e">
        <f>VLOOKUP($A474,'BC.115+040'!$B$13:$X$489,9,0)/1000</f>
        <v>#REF!</v>
      </c>
      <c r="H474" s="131" t="e">
        <f>VLOOKUP($A474,'BC.115+040'!$B$13:$X$489,14,0)/1000</f>
        <v>#REF!</v>
      </c>
      <c r="I474" s="131" t="e">
        <f>VLOOKUP($A474,'BC.115+040'!$B$13:$X$489,15,0)/1000</f>
        <v>#REF!</v>
      </c>
      <c r="J474" s="131" t="e">
        <f>VLOOKUP($A474,'BC.115+040'!$B$13:$X$489,20,0)/1000</f>
        <v>#REF!</v>
      </c>
      <c r="K474" s="131" t="e">
        <f>VLOOKUP($A474,'BC.115+040'!$B$13:$X$489,21,0)/1000</f>
        <v>#REF!</v>
      </c>
      <c r="L474" s="129" t="e">
        <f t="shared" si="25"/>
        <v>#REF!</v>
      </c>
      <c r="M474" s="130" t="e">
        <f t="shared" si="26"/>
        <v>#REF!</v>
      </c>
      <c r="N474" s="129" t="e">
        <f t="shared" si="27"/>
        <v>#REF!</v>
      </c>
      <c r="O474" s="129"/>
    </row>
    <row r="475" spans="1:15">
      <c r="A475" s="67" t="e">
        <f>'BC.115+040'!B474</f>
        <v>#REF!</v>
      </c>
      <c r="B475" s="129">
        <f t="shared" si="24"/>
        <v>461</v>
      </c>
      <c r="C475" s="131" t="e">
        <f>'BC.115+040'!M474/1000</f>
        <v>#REF!</v>
      </c>
      <c r="D475" s="131" t="e">
        <f>'BC.115+040'!AA474</f>
        <v>#REF!</v>
      </c>
      <c r="E475" s="132" t="e">
        <f>'BC.115+040'!AB474</f>
        <v>#REF!</v>
      </c>
      <c r="F475" s="131" t="e">
        <f>VLOOKUP($A475,'BC.115+040'!$B$13:$X$489,8,0)/1000</f>
        <v>#REF!</v>
      </c>
      <c r="G475" s="131" t="e">
        <f>VLOOKUP($A475,'BC.115+040'!$B$13:$X$489,9,0)/1000</f>
        <v>#REF!</v>
      </c>
      <c r="H475" s="131" t="e">
        <f>VLOOKUP($A475,'BC.115+040'!$B$13:$X$489,14,0)/1000</f>
        <v>#REF!</v>
      </c>
      <c r="I475" s="131" t="e">
        <f>VLOOKUP($A475,'BC.115+040'!$B$13:$X$489,15,0)/1000</f>
        <v>#REF!</v>
      </c>
      <c r="J475" s="131" t="e">
        <f>VLOOKUP($A475,'BC.115+040'!$B$13:$X$489,20,0)/1000</f>
        <v>#REF!</v>
      </c>
      <c r="K475" s="131" t="e">
        <f>VLOOKUP($A475,'BC.115+040'!$B$13:$X$489,21,0)/1000</f>
        <v>#REF!</v>
      </c>
      <c r="L475" s="129" t="e">
        <f t="shared" si="25"/>
        <v>#REF!</v>
      </c>
      <c r="M475" s="130" t="e">
        <f t="shared" si="26"/>
        <v>#REF!</v>
      </c>
      <c r="N475" s="129" t="e">
        <f t="shared" si="27"/>
        <v>#REF!</v>
      </c>
      <c r="O475" s="129"/>
    </row>
    <row r="476" spans="1:15">
      <c r="A476" s="67" t="e">
        <f>'BC.115+040'!B475</f>
        <v>#REF!</v>
      </c>
      <c r="B476" s="129">
        <f t="shared" si="24"/>
        <v>462</v>
      </c>
      <c r="C476" s="131" t="e">
        <f>'BC.115+040'!M475/1000</f>
        <v>#REF!</v>
      </c>
      <c r="D476" s="131" t="e">
        <f>'BC.115+040'!AA475</f>
        <v>#REF!</v>
      </c>
      <c r="E476" s="132" t="e">
        <f>'BC.115+040'!AB475</f>
        <v>#REF!</v>
      </c>
      <c r="F476" s="131" t="e">
        <f>VLOOKUP($A476,'BC.115+040'!$B$13:$X$489,8,0)/1000</f>
        <v>#REF!</v>
      </c>
      <c r="G476" s="131" t="e">
        <f>VLOOKUP($A476,'BC.115+040'!$B$13:$X$489,9,0)/1000</f>
        <v>#REF!</v>
      </c>
      <c r="H476" s="131" t="e">
        <f>VLOOKUP($A476,'BC.115+040'!$B$13:$X$489,14,0)/1000</f>
        <v>#REF!</v>
      </c>
      <c r="I476" s="131" t="e">
        <f>VLOOKUP($A476,'BC.115+040'!$B$13:$X$489,15,0)/1000</f>
        <v>#REF!</v>
      </c>
      <c r="J476" s="131" t="e">
        <f>VLOOKUP($A476,'BC.115+040'!$B$13:$X$489,20,0)/1000</f>
        <v>#REF!</v>
      </c>
      <c r="K476" s="131" t="e">
        <f>VLOOKUP($A476,'BC.115+040'!$B$13:$X$489,21,0)/1000</f>
        <v>#REF!</v>
      </c>
      <c r="L476" s="129" t="e">
        <f t="shared" si="25"/>
        <v>#REF!</v>
      </c>
      <c r="M476" s="130" t="e">
        <f t="shared" si="26"/>
        <v>#REF!</v>
      </c>
      <c r="N476" s="129" t="e">
        <f t="shared" si="27"/>
        <v>#REF!</v>
      </c>
      <c r="O476" s="129"/>
    </row>
    <row r="477" spans="1:15">
      <c r="A477" s="67" t="e">
        <f>'BC.115+040'!B476</f>
        <v>#REF!</v>
      </c>
      <c r="B477" s="129">
        <f t="shared" si="24"/>
        <v>463</v>
      </c>
      <c r="C477" s="131" t="e">
        <f>'BC.115+040'!M476/1000</f>
        <v>#REF!</v>
      </c>
      <c r="D477" s="131" t="e">
        <f>'BC.115+040'!AA476</f>
        <v>#REF!</v>
      </c>
      <c r="E477" s="132" t="e">
        <f>'BC.115+040'!AB476</f>
        <v>#REF!</v>
      </c>
      <c r="F477" s="131" t="e">
        <f>VLOOKUP($A477,'BC.115+040'!$B$13:$X$489,8,0)/1000</f>
        <v>#REF!</v>
      </c>
      <c r="G477" s="131" t="e">
        <f>VLOOKUP($A477,'BC.115+040'!$B$13:$X$489,9,0)/1000</f>
        <v>#REF!</v>
      </c>
      <c r="H477" s="131" t="e">
        <f>VLOOKUP($A477,'BC.115+040'!$B$13:$X$489,14,0)/1000</f>
        <v>#REF!</v>
      </c>
      <c r="I477" s="131" t="e">
        <f>VLOOKUP($A477,'BC.115+040'!$B$13:$X$489,15,0)/1000</f>
        <v>#REF!</v>
      </c>
      <c r="J477" s="131" t="e">
        <f>VLOOKUP($A477,'BC.115+040'!$B$13:$X$489,20,0)/1000</f>
        <v>#REF!</v>
      </c>
      <c r="K477" s="131" t="e">
        <f>VLOOKUP($A477,'BC.115+040'!$B$13:$X$489,21,0)/1000</f>
        <v>#REF!</v>
      </c>
      <c r="L477" s="129" t="e">
        <f t="shared" si="25"/>
        <v>#REF!</v>
      </c>
      <c r="M477" s="130" t="e">
        <f t="shared" si="26"/>
        <v>#REF!</v>
      </c>
      <c r="N477" s="129" t="e">
        <f t="shared" si="27"/>
        <v>#REF!</v>
      </c>
      <c r="O477" s="129"/>
    </row>
    <row r="478" spans="1:15">
      <c r="A478" s="67" t="e">
        <f>'BC.115+040'!B477</f>
        <v>#REF!</v>
      </c>
      <c r="B478" s="129">
        <f t="shared" si="24"/>
        <v>464</v>
      </c>
      <c r="C478" s="131" t="e">
        <f>'BC.115+040'!M477/1000</f>
        <v>#REF!</v>
      </c>
      <c r="D478" s="131" t="e">
        <f>'BC.115+040'!AA477</f>
        <v>#REF!</v>
      </c>
      <c r="E478" s="132" t="e">
        <f>'BC.115+040'!AB477</f>
        <v>#REF!</v>
      </c>
      <c r="F478" s="131" t="e">
        <f>VLOOKUP($A478,'BC.115+040'!$B$13:$X$489,8,0)/1000</f>
        <v>#REF!</v>
      </c>
      <c r="G478" s="131" t="e">
        <f>VLOOKUP($A478,'BC.115+040'!$B$13:$X$489,9,0)/1000</f>
        <v>#REF!</v>
      </c>
      <c r="H478" s="131" t="e">
        <f>VLOOKUP($A478,'BC.115+040'!$B$13:$X$489,14,0)/1000</f>
        <v>#REF!</v>
      </c>
      <c r="I478" s="131" t="e">
        <f>VLOOKUP($A478,'BC.115+040'!$B$13:$X$489,15,0)/1000</f>
        <v>#REF!</v>
      </c>
      <c r="J478" s="131" t="e">
        <f>VLOOKUP($A478,'BC.115+040'!$B$13:$X$489,20,0)/1000</f>
        <v>#REF!</v>
      </c>
      <c r="K478" s="131" t="e">
        <f>VLOOKUP($A478,'BC.115+040'!$B$13:$X$489,21,0)/1000</f>
        <v>#REF!</v>
      </c>
      <c r="L478" s="129" t="e">
        <f t="shared" si="25"/>
        <v>#REF!</v>
      </c>
      <c r="M478" s="130" t="e">
        <f t="shared" si="26"/>
        <v>#REF!</v>
      </c>
      <c r="N478" s="129" t="e">
        <f t="shared" si="27"/>
        <v>#REF!</v>
      </c>
      <c r="O478" s="129"/>
    </row>
    <row r="479" spans="1:15">
      <c r="A479" s="67" t="e">
        <f>'BC.115+040'!B478</f>
        <v>#REF!</v>
      </c>
      <c r="B479" s="129">
        <f t="shared" si="24"/>
        <v>465</v>
      </c>
      <c r="C479" s="131" t="e">
        <f>'BC.115+040'!M478/1000</f>
        <v>#REF!</v>
      </c>
      <c r="D479" s="131" t="e">
        <f>'BC.115+040'!AA478</f>
        <v>#REF!</v>
      </c>
      <c r="E479" s="132" t="e">
        <f>'BC.115+040'!AB478</f>
        <v>#REF!</v>
      </c>
      <c r="F479" s="131" t="e">
        <f>VLOOKUP($A479,'BC.115+040'!$B$13:$X$489,8,0)/1000</f>
        <v>#REF!</v>
      </c>
      <c r="G479" s="131" t="e">
        <f>VLOOKUP($A479,'BC.115+040'!$B$13:$X$489,9,0)/1000</f>
        <v>#REF!</v>
      </c>
      <c r="H479" s="131" t="e">
        <f>VLOOKUP($A479,'BC.115+040'!$B$13:$X$489,14,0)/1000</f>
        <v>#REF!</v>
      </c>
      <c r="I479" s="131" t="e">
        <f>VLOOKUP($A479,'BC.115+040'!$B$13:$X$489,15,0)/1000</f>
        <v>#REF!</v>
      </c>
      <c r="J479" s="131" t="e">
        <f>VLOOKUP($A479,'BC.115+040'!$B$13:$X$489,20,0)/1000</f>
        <v>#REF!</v>
      </c>
      <c r="K479" s="131" t="e">
        <f>VLOOKUP($A479,'BC.115+040'!$B$13:$X$489,21,0)/1000</f>
        <v>#REF!</v>
      </c>
      <c r="L479" s="129" t="e">
        <f t="shared" si="25"/>
        <v>#REF!</v>
      </c>
      <c r="M479" s="130" t="e">
        <f t="shared" si="26"/>
        <v>#REF!</v>
      </c>
      <c r="N479" s="129" t="e">
        <f t="shared" si="27"/>
        <v>#REF!</v>
      </c>
      <c r="O479" s="129"/>
    </row>
    <row r="480" spans="1:15">
      <c r="A480" s="67" t="e">
        <f>'BC.115+040'!B479</f>
        <v>#REF!</v>
      </c>
      <c r="B480" s="129">
        <f t="shared" si="24"/>
        <v>466</v>
      </c>
      <c r="C480" s="131" t="e">
        <f>'BC.115+040'!M479/1000</f>
        <v>#REF!</v>
      </c>
      <c r="D480" s="131" t="e">
        <f>'BC.115+040'!AA479</f>
        <v>#REF!</v>
      </c>
      <c r="E480" s="132" t="e">
        <f>'BC.115+040'!AB479</f>
        <v>#REF!</v>
      </c>
      <c r="F480" s="131" t="e">
        <f>VLOOKUP($A480,'BC.115+040'!$B$13:$X$489,8,0)/1000</f>
        <v>#REF!</v>
      </c>
      <c r="G480" s="131" t="e">
        <f>VLOOKUP($A480,'BC.115+040'!$B$13:$X$489,9,0)/1000</f>
        <v>#REF!</v>
      </c>
      <c r="H480" s="131" t="e">
        <f>VLOOKUP($A480,'BC.115+040'!$B$13:$X$489,14,0)/1000</f>
        <v>#REF!</v>
      </c>
      <c r="I480" s="131" t="e">
        <f>VLOOKUP($A480,'BC.115+040'!$B$13:$X$489,15,0)/1000</f>
        <v>#REF!</v>
      </c>
      <c r="J480" s="131" t="e">
        <f>VLOOKUP($A480,'BC.115+040'!$B$13:$X$489,20,0)/1000</f>
        <v>#REF!</v>
      </c>
      <c r="K480" s="131" t="e">
        <f>VLOOKUP($A480,'BC.115+040'!$B$13:$X$489,21,0)/1000</f>
        <v>#REF!</v>
      </c>
      <c r="L480" s="129" t="e">
        <f t="shared" si="25"/>
        <v>#REF!</v>
      </c>
      <c r="M480" s="130" t="e">
        <f t="shared" si="26"/>
        <v>#REF!</v>
      </c>
      <c r="N480" s="129" t="e">
        <f t="shared" si="27"/>
        <v>#REF!</v>
      </c>
      <c r="O480" s="129"/>
    </row>
    <row r="481" spans="1:15">
      <c r="A481" s="67" t="e">
        <f>'BC.115+040'!B480</f>
        <v>#REF!</v>
      </c>
      <c r="B481" s="129">
        <f t="shared" si="24"/>
        <v>467</v>
      </c>
      <c r="C481" s="131" t="e">
        <f>'BC.115+040'!M480/1000</f>
        <v>#REF!</v>
      </c>
      <c r="D481" s="131" t="e">
        <f>'BC.115+040'!AA480</f>
        <v>#REF!</v>
      </c>
      <c r="E481" s="132" t="e">
        <f>'BC.115+040'!AB480</f>
        <v>#REF!</v>
      </c>
      <c r="F481" s="131" t="e">
        <f>VLOOKUP($A481,'BC.115+040'!$B$13:$X$489,8,0)/1000</f>
        <v>#REF!</v>
      </c>
      <c r="G481" s="131" t="e">
        <f>VLOOKUP($A481,'BC.115+040'!$B$13:$X$489,9,0)/1000</f>
        <v>#REF!</v>
      </c>
      <c r="H481" s="131" t="e">
        <f>VLOOKUP($A481,'BC.115+040'!$B$13:$X$489,14,0)/1000</f>
        <v>#REF!</v>
      </c>
      <c r="I481" s="131" t="e">
        <f>VLOOKUP($A481,'BC.115+040'!$B$13:$X$489,15,0)/1000</f>
        <v>#REF!</v>
      </c>
      <c r="J481" s="131" t="e">
        <f>VLOOKUP($A481,'BC.115+040'!$B$13:$X$489,20,0)/1000</f>
        <v>#REF!</v>
      </c>
      <c r="K481" s="131" t="e">
        <f>VLOOKUP($A481,'BC.115+040'!$B$13:$X$489,21,0)/1000</f>
        <v>#REF!</v>
      </c>
      <c r="L481" s="129" t="e">
        <f t="shared" si="25"/>
        <v>#REF!</v>
      </c>
      <c r="M481" s="130" t="e">
        <f t="shared" si="26"/>
        <v>#REF!</v>
      </c>
      <c r="N481" s="129" t="e">
        <f t="shared" si="27"/>
        <v>#REF!</v>
      </c>
      <c r="O481" s="129"/>
    </row>
    <row r="482" spans="1:15">
      <c r="A482" s="67" t="e">
        <f>'BC.115+040'!B481</f>
        <v>#REF!</v>
      </c>
      <c r="B482" s="129">
        <f t="shared" si="24"/>
        <v>468</v>
      </c>
      <c r="C482" s="131" t="e">
        <f>'BC.115+040'!M481/1000</f>
        <v>#REF!</v>
      </c>
      <c r="D482" s="131" t="e">
        <f>'BC.115+040'!AA481</f>
        <v>#REF!</v>
      </c>
      <c r="E482" s="132" t="e">
        <f>'BC.115+040'!AB481</f>
        <v>#REF!</v>
      </c>
      <c r="F482" s="131" t="e">
        <f>VLOOKUP($A482,'BC.115+040'!$B$13:$X$489,8,0)/1000</f>
        <v>#REF!</v>
      </c>
      <c r="G482" s="131" t="e">
        <f>VLOOKUP($A482,'BC.115+040'!$B$13:$X$489,9,0)/1000</f>
        <v>#REF!</v>
      </c>
      <c r="H482" s="131" t="e">
        <f>VLOOKUP($A482,'BC.115+040'!$B$13:$X$489,14,0)/1000</f>
        <v>#REF!</v>
      </c>
      <c r="I482" s="131" t="e">
        <f>VLOOKUP($A482,'BC.115+040'!$B$13:$X$489,15,0)/1000</f>
        <v>#REF!</v>
      </c>
      <c r="J482" s="131" t="e">
        <f>VLOOKUP($A482,'BC.115+040'!$B$13:$X$489,20,0)/1000</f>
        <v>#REF!</v>
      </c>
      <c r="K482" s="131" t="e">
        <f>VLOOKUP($A482,'BC.115+040'!$B$13:$X$489,21,0)/1000</f>
        <v>#REF!</v>
      </c>
      <c r="L482" s="129" t="e">
        <f t="shared" si="25"/>
        <v>#REF!</v>
      </c>
      <c r="M482" s="130" t="e">
        <f t="shared" si="26"/>
        <v>#REF!</v>
      </c>
      <c r="N482" s="129" t="e">
        <f t="shared" si="27"/>
        <v>#REF!</v>
      </c>
      <c r="O482" s="129"/>
    </row>
    <row r="483" spans="1:15">
      <c r="A483" s="67" t="e">
        <f>'BC.115+040'!B482</f>
        <v>#REF!</v>
      </c>
      <c r="B483" s="129">
        <f t="shared" si="24"/>
        <v>469</v>
      </c>
      <c r="C483" s="131" t="e">
        <f>'BC.115+040'!M482/1000</f>
        <v>#REF!</v>
      </c>
      <c r="D483" s="131" t="e">
        <f>'BC.115+040'!AA482</f>
        <v>#REF!</v>
      </c>
      <c r="E483" s="132" t="e">
        <f>'BC.115+040'!AB482</f>
        <v>#REF!</v>
      </c>
      <c r="F483" s="131" t="e">
        <f>VLOOKUP($A483,'BC.115+040'!$B$13:$X$489,8,0)/1000</f>
        <v>#REF!</v>
      </c>
      <c r="G483" s="131" t="e">
        <f>VLOOKUP($A483,'BC.115+040'!$B$13:$X$489,9,0)/1000</f>
        <v>#REF!</v>
      </c>
      <c r="H483" s="131" t="e">
        <f>VLOOKUP($A483,'BC.115+040'!$B$13:$X$489,14,0)/1000</f>
        <v>#REF!</v>
      </c>
      <c r="I483" s="131" t="e">
        <f>VLOOKUP($A483,'BC.115+040'!$B$13:$X$489,15,0)/1000</f>
        <v>#REF!</v>
      </c>
      <c r="J483" s="131" t="e">
        <f>VLOOKUP($A483,'BC.115+040'!$B$13:$X$489,20,0)/1000</f>
        <v>#REF!</v>
      </c>
      <c r="K483" s="131" t="e">
        <f>VLOOKUP($A483,'BC.115+040'!$B$13:$X$489,21,0)/1000</f>
        <v>#REF!</v>
      </c>
      <c r="L483" s="129" t="e">
        <f t="shared" si="25"/>
        <v>#REF!</v>
      </c>
      <c r="M483" s="130" t="e">
        <f t="shared" si="26"/>
        <v>#REF!</v>
      </c>
      <c r="N483" s="129" t="e">
        <f t="shared" si="27"/>
        <v>#REF!</v>
      </c>
      <c r="O483" s="129"/>
    </row>
    <row r="484" spans="1:15">
      <c r="A484" s="67" t="e">
        <f>'BC.115+040'!B483</f>
        <v>#REF!</v>
      </c>
      <c r="B484" s="129">
        <f t="shared" si="24"/>
        <v>470</v>
      </c>
      <c r="C484" s="131" t="e">
        <f>'BC.115+040'!M483/1000</f>
        <v>#REF!</v>
      </c>
      <c r="D484" s="131" t="e">
        <f>'BC.115+040'!AA483</f>
        <v>#REF!</v>
      </c>
      <c r="E484" s="132" t="e">
        <f>'BC.115+040'!AB483</f>
        <v>#REF!</v>
      </c>
      <c r="F484" s="131" t="e">
        <f>VLOOKUP($A484,'BC.115+040'!$B$13:$X$489,8,0)/1000</f>
        <v>#REF!</v>
      </c>
      <c r="G484" s="131" t="e">
        <f>VLOOKUP($A484,'BC.115+040'!$B$13:$X$489,9,0)/1000</f>
        <v>#REF!</v>
      </c>
      <c r="H484" s="131" t="e">
        <f>VLOOKUP($A484,'BC.115+040'!$B$13:$X$489,14,0)/1000</f>
        <v>#REF!</v>
      </c>
      <c r="I484" s="131" t="e">
        <f>VLOOKUP($A484,'BC.115+040'!$B$13:$X$489,15,0)/1000</f>
        <v>#REF!</v>
      </c>
      <c r="J484" s="131" t="e">
        <f>VLOOKUP($A484,'BC.115+040'!$B$13:$X$489,20,0)/1000</f>
        <v>#REF!</v>
      </c>
      <c r="K484" s="131" t="e">
        <f>VLOOKUP($A484,'BC.115+040'!$B$13:$X$489,21,0)/1000</f>
        <v>#REF!</v>
      </c>
      <c r="L484" s="129" t="e">
        <f t="shared" si="25"/>
        <v>#REF!</v>
      </c>
      <c r="M484" s="130" t="e">
        <f t="shared" si="26"/>
        <v>#REF!</v>
      </c>
      <c r="N484" s="129" t="e">
        <f t="shared" si="27"/>
        <v>#REF!</v>
      </c>
      <c r="O484" s="129"/>
    </row>
    <row r="485" spans="1:15">
      <c r="A485" s="67" t="e">
        <f>'BC.115+040'!B484</f>
        <v>#REF!</v>
      </c>
      <c r="B485" s="129">
        <f t="shared" si="24"/>
        <v>471</v>
      </c>
      <c r="C485" s="131" t="e">
        <f>'BC.115+040'!M484/1000</f>
        <v>#REF!</v>
      </c>
      <c r="D485" s="131" t="e">
        <f>'BC.115+040'!AA484</f>
        <v>#REF!</v>
      </c>
      <c r="E485" s="132" t="e">
        <f>'BC.115+040'!AB484</f>
        <v>#REF!</v>
      </c>
      <c r="F485" s="131" t="e">
        <f>VLOOKUP($A485,'BC.115+040'!$B$13:$X$489,8,0)/1000</f>
        <v>#REF!</v>
      </c>
      <c r="G485" s="131" t="e">
        <f>VLOOKUP($A485,'BC.115+040'!$B$13:$X$489,9,0)/1000</f>
        <v>#REF!</v>
      </c>
      <c r="H485" s="131" t="e">
        <f>VLOOKUP($A485,'BC.115+040'!$B$13:$X$489,14,0)/1000</f>
        <v>#REF!</v>
      </c>
      <c r="I485" s="131" t="e">
        <f>VLOOKUP($A485,'BC.115+040'!$B$13:$X$489,15,0)/1000</f>
        <v>#REF!</v>
      </c>
      <c r="J485" s="131" t="e">
        <f>VLOOKUP($A485,'BC.115+040'!$B$13:$X$489,20,0)/1000</f>
        <v>#REF!</v>
      </c>
      <c r="K485" s="131" t="e">
        <f>VLOOKUP($A485,'BC.115+040'!$B$13:$X$489,21,0)/1000</f>
        <v>#REF!</v>
      </c>
      <c r="L485" s="129" t="e">
        <f t="shared" si="25"/>
        <v>#REF!</v>
      </c>
      <c r="M485" s="130" t="e">
        <f t="shared" si="26"/>
        <v>#REF!</v>
      </c>
      <c r="N485" s="129" t="e">
        <f t="shared" si="27"/>
        <v>#REF!</v>
      </c>
      <c r="O485" s="129"/>
    </row>
    <row r="486" spans="1:15">
      <c r="A486" s="67" t="e">
        <f>'BC.115+040'!B485</f>
        <v>#REF!</v>
      </c>
      <c r="B486" s="129">
        <f t="shared" si="24"/>
        <v>472</v>
      </c>
      <c r="C486" s="131" t="e">
        <f>'BC.115+040'!M485/1000</f>
        <v>#REF!</v>
      </c>
      <c r="D486" s="131" t="e">
        <f>'BC.115+040'!AA485</f>
        <v>#REF!</v>
      </c>
      <c r="E486" s="132" t="e">
        <f>'BC.115+040'!AB485</f>
        <v>#REF!</v>
      </c>
      <c r="F486" s="131" t="e">
        <f>VLOOKUP($A486,'BC.115+040'!$B$13:$X$489,8,0)/1000</f>
        <v>#REF!</v>
      </c>
      <c r="G486" s="131" t="e">
        <f>VLOOKUP($A486,'BC.115+040'!$B$13:$X$489,9,0)/1000</f>
        <v>#REF!</v>
      </c>
      <c r="H486" s="131" t="e">
        <f>VLOOKUP($A486,'BC.115+040'!$B$13:$X$489,14,0)/1000</f>
        <v>#REF!</v>
      </c>
      <c r="I486" s="131" t="e">
        <f>VLOOKUP($A486,'BC.115+040'!$B$13:$X$489,15,0)/1000</f>
        <v>#REF!</v>
      </c>
      <c r="J486" s="131" t="e">
        <f>VLOOKUP($A486,'BC.115+040'!$B$13:$X$489,20,0)/1000</f>
        <v>#REF!</v>
      </c>
      <c r="K486" s="131" t="e">
        <f>VLOOKUP($A486,'BC.115+040'!$B$13:$X$489,21,0)/1000</f>
        <v>#REF!</v>
      </c>
      <c r="L486" s="129" t="e">
        <f t="shared" si="25"/>
        <v>#REF!</v>
      </c>
      <c r="M486" s="130" t="e">
        <f t="shared" si="26"/>
        <v>#REF!</v>
      </c>
      <c r="N486" s="129" t="e">
        <f t="shared" si="27"/>
        <v>#REF!</v>
      </c>
      <c r="O486" s="129"/>
    </row>
    <row r="487" spans="1:15">
      <c r="A487" s="67" t="e">
        <f>'BC.115+040'!B486</f>
        <v>#REF!</v>
      </c>
      <c r="B487" s="129">
        <f t="shared" si="24"/>
        <v>473</v>
      </c>
      <c r="C487" s="131" t="e">
        <f>'BC.115+040'!M486/1000</f>
        <v>#REF!</v>
      </c>
      <c r="D487" s="131" t="e">
        <f>'BC.115+040'!AA486</f>
        <v>#REF!</v>
      </c>
      <c r="E487" s="132" t="e">
        <f>'BC.115+040'!AB486</f>
        <v>#REF!</v>
      </c>
      <c r="F487" s="131" t="e">
        <f>VLOOKUP($A487,'BC.115+040'!$B$13:$X$489,8,0)/1000</f>
        <v>#REF!</v>
      </c>
      <c r="G487" s="131" t="e">
        <f>VLOOKUP($A487,'BC.115+040'!$B$13:$X$489,9,0)/1000</f>
        <v>#REF!</v>
      </c>
      <c r="H487" s="131" t="e">
        <f>VLOOKUP($A487,'BC.115+040'!$B$13:$X$489,14,0)/1000</f>
        <v>#REF!</v>
      </c>
      <c r="I487" s="131" t="e">
        <f>VLOOKUP($A487,'BC.115+040'!$B$13:$X$489,15,0)/1000</f>
        <v>#REF!</v>
      </c>
      <c r="J487" s="131" t="e">
        <f>VLOOKUP($A487,'BC.115+040'!$B$13:$X$489,20,0)/1000</f>
        <v>#REF!</v>
      </c>
      <c r="K487" s="131" t="e">
        <f>VLOOKUP($A487,'BC.115+040'!$B$13:$X$489,21,0)/1000</f>
        <v>#REF!</v>
      </c>
      <c r="L487" s="129" t="e">
        <f t="shared" si="25"/>
        <v>#REF!</v>
      </c>
      <c r="M487" s="130" t="e">
        <f t="shared" si="26"/>
        <v>#REF!</v>
      </c>
      <c r="N487" s="129" t="e">
        <f t="shared" si="27"/>
        <v>#REF!</v>
      </c>
      <c r="O487" s="129"/>
    </row>
    <row r="488" spans="1:15">
      <c r="A488" s="67" t="e">
        <f>'BC.115+040'!B487</f>
        <v>#REF!</v>
      </c>
      <c r="B488" s="129">
        <f t="shared" si="24"/>
        <v>474</v>
      </c>
      <c r="C488" s="131" t="e">
        <f>'BC.115+040'!M487/1000</f>
        <v>#REF!</v>
      </c>
      <c r="D488" s="131" t="e">
        <f>'BC.115+040'!AA487</f>
        <v>#REF!</v>
      </c>
      <c r="E488" s="132" t="e">
        <f>'BC.115+040'!AB487</f>
        <v>#REF!</v>
      </c>
      <c r="F488" s="131" t="e">
        <f>VLOOKUP($A488,'BC.115+040'!$B$13:$X$489,8,0)/1000</f>
        <v>#REF!</v>
      </c>
      <c r="G488" s="131" t="e">
        <f>VLOOKUP($A488,'BC.115+040'!$B$13:$X$489,9,0)/1000</f>
        <v>#REF!</v>
      </c>
      <c r="H488" s="131" t="e">
        <f>VLOOKUP($A488,'BC.115+040'!$B$13:$X$489,14,0)/1000</f>
        <v>#REF!</v>
      </c>
      <c r="I488" s="131" t="e">
        <f>VLOOKUP($A488,'BC.115+040'!$B$13:$X$489,15,0)/1000</f>
        <v>#REF!</v>
      </c>
      <c r="J488" s="131" t="e">
        <f>VLOOKUP($A488,'BC.115+040'!$B$13:$X$489,20,0)/1000</f>
        <v>#REF!</v>
      </c>
      <c r="K488" s="131" t="e">
        <f>VLOOKUP($A488,'BC.115+040'!$B$13:$X$489,21,0)/1000</f>
        <v>#REF!</v>
      </c>
      <c r="L488" s="129" t="e">
        <f t="shared" si="25"/>
        <v>#REF!</v>
      </c>
      <c r="M488" s="130" t="e">
        <f t="shared" si="26"/>
        <v>#REF!</v>
      </c>
      <c r="N488" s="129" t="e">
        <f t="shared" si="27"/>
        <v>#REF!</v>
      </c>
      <c r="O488" s="129"/>
    </row>
    <row r="489" spans="1:15">
      <c r="A489" s="67" t="e">
        <f>'BC.115+040'!B488</f>
        <v>#REF!</v>
      </c>
      <c r="B489" s="129">
        <f t="shared" si="24"/>
        <v>475</v>
      </c>
      <c r="C489" s="131" t="e">
        <f>'BC.115+040'!M488/1000</f>
        <v>#REF!</v>
      </c>
      <c r="D489" s="131" t="e">
        <f>'BC.115+040'!AA488</f>
        <v>#REF!</v>
      </c>
      <c r="E489" s="132" t="e">
        <f>'BC.115+040'!AB488</f>
        <v>#REF!</v>
      </c>
      <c r="F489" s="131" t="e">
        <f>VLOOKUP($A489,'BC.115+040'!$B$13:$X$489,8,0)/1000</f>
        <v>#REF!</v>
      </c>
      <c r="G489" s="131" t="e">
        <f>VLOOKUP($A489,'BC.115+040'!$B$13:$X$489,9,0)/1000</f>
        <v>#REF!</v>
      </c>
      <c r="H489" s="131" t="e">
        <f>VLOOKUP($A489,'BC.115+040'!$B$13:$X$489,14,0)/1000</f>
        <v>#REF!</v>
      </c>
      <c r="I489" s="131" t="e">
        <f>VLOOKUP($A489,'BC.115+040'!$B$13:$X$489,15,0)/1000</f>
        <v>#REF!</v>
      </c>
      <c r="J489" s="131" t="e">
        <f>VLOOKUP($A489,'BC.115+040'!$B$13:$X$489,20,0)/1000</f>
        <v>#REF!</v>
      </c>
      <c r="K489" s="131" t="e">
        <f>VLOOKUP($A489,'BC.115+040'!$B$13:$X$489,21,0)/1000</f>
        <v>#REF!</v>
      </c>
      <c r="L489" s="129" t="e">
        <f t="shared" si="25"/>
        <v>#REF!</v>
      </c>
      <c r="M489" s="130" t="e">
        <f t="shared" si="26"/>
        <v>#REF!</v>
      </c>
      <c r="N489" s="129" t="e">
        <f t="shared" si="27"/>
        <v>#REF!</v>
      </c>
      <c r="O489" s="129"/>
    </row>
    <row r="490" spans="1:15">
      <c r="A490" s="67" t="e">
        <f>'BC.115+040'!B489</f>
        <v>#REF!</v>
      </c>
      <c r="B490" s="129">
        <f t="shared" si="24"/>
        <v>476</v>
      </c>
      <c r="C490" s="131" t="e">
        <f>'BC.115+040'!M489/1000</f>
        <v>#REF!</v>
      </c>
      <c r="D490" s="131" t="e">
        <f>'BC.115+040'!AA489</f>
        <v>#REF!</v>
      </c>
      <c r="E490" s="132" t="e">
        <f>'BC.115+040'!AB489</f>
        <v>#REF!</v>
      </c>
      <c r="F490" s="131" t="e">
        <f>VLOOKUP($A490,'BC.115+040'!$B$13:$X$4809,8,0)/1000</f>
        <v>#REF!</v>
      </c>
      <c r="G490" s="131" t="e">
        <f>VLOOKUP($A490,'BC.115+040'!$B$13:$X$4809,9,0)/1000</f>
        <v>#REF!</v>
      </c>
      <c r="H490" s="131" t="e">
        <f>VLOOKUP($A490,'BC.115+040'!$B$13:$X$4809,14,0)/1000</f>
        <v>#REF!</v>
      </c>
      <c r="I490" s="131" t="e">
        <f>VLOOKUP($A490,'BC.115+040'!$B$13:$X$4089,15,0)/1000</f>
        <v>#REF!</v>
      </c>
      <c r="J490" s="131" t="e">
        <f>VLOOKUP($A490,'BC.115+040'!$B$13:$X$4089,20,0)/1000</f>
        <v>#REF!</v>
      </c>
      <c r="K490" s="131" t="e">
        <f>VLOOKUP($A490,'BC.115+040'!$B$13:$X$4089,21,0)/1000</f>
        <v>#REF!</v>
      </c>
      <c r="L490" s="129" t="e">
        <f t="shared" si="25"/>
        <v>#REF!</v>
      </c>
      <c r="M490" s="130" t="e">
        <f t="shared" si="26"/>
        <v>#REF!</v>
      </c>
      <c r="N490" s="129" t="e">
        <f t="shared" si="27"/>
        <v>#REF!</v>
      </c>
      <c r="O490" s="129"/>
    </row>
    <row r="491" spans="1:15">
      <c r="A491" s="67" t="e">
        <f>'BC.115+040'!B490</f>
        <v>#REF!</v>
      </c>
      <c r="B491" s="129">
        <f t="shared" si="24"/>
        <v>477</v>
      </c>
      <c r="C491" s="131" t="e">
        <f>'BC.115+040'!M490/1000</f>
        <v>#REF!</v>
      </c>
      <c r="D491" s="131" t="e">
        <f>'BC.115+040'!AA490</f>
        <v>#REF!</v>
      </c>
      <c r="E491" s="132" t="e">
        <f>'BC.115+040'!AB490</f>
        <v>#REF!</v>
      </c>
      <c r="F491" s="131" t="e">
        <f>VLOOKUP($A491,'BC.115+040'!$B$13:$X$4809,8,0)/1000</f>
        <v>#REF!</v>
      </c>
      <c r="G491" s="131" t="e">
        <f>VLOOKUP($A491,'BC.115+040'!$B$13:$X$4809,9,0)/1000</f>
        <v>#REF!</v>
      </c>
      <c r="H491" s="131" t="e">
        <f>VLOOKUP($A491,'BC.115+040'!$B$13:$X$4809,14,0)/1000</f>
        <v>#REF!</v>
      </c>
      <c r="I491" s="131" t="e">
        <f>VLOOKUP($A491,'BC.115+040'!$B$13:$X$4089,15,0)/1000</f>
        <v>#REF!</v>
      </c>
      <c r="J491" s="131" t="e">
        <f>VLOOKUP($A491,'BC.115+040'!$B$13:$X$4089,20,0)/1000</f>
        <v>#REF!</v>
      </c>
      <c r="K491" s="131" t="e">
        <f>VLOOKUP($A491,'BC.115+040'!$B$13:$X$4089,21,0)/1000</f>
        <v>#REF!</v>
      </c>
      <c r="L491" s="129" t="e">
        <f t="shared" si="25"/>
        <v>#REF!</v>
      </c>
      <c r="M491" s="130" t="e">
        <f t="shared" si="26"/>
        <v>#REF!</v>
      </c>
      <c r="N491" s="129" t="e">
        <f t="shared" si="27"/>
        <v>#REF!</v>
      </c>
      <c r="O491" s="129"/>
    </row>
    <row r="492" spans="1:15">
      <c r="A492" s="67" t="e">
        <f>'BC.115+040'!B491</f>
        <v>#REF!</v>
      </c>
      <c r="B492" s="129">
        <f t="shared" ref="B492:B527" si="28">+B491+1</f>
        <v>478</v>
      </c>
      <c r="C492" s="131" t="e">
        <f>'BC.115+040'!M491/1000</f>
        <v>#REF!</v>
      </c>
      <c r="D492" s="131" t="e">
        <f>'BC.115+040'!AA491</f>
        <v>#REF!</v>
      </c>
      <c r="E492" s="132" t="e">
        <f>'BC.115+040'!AB491</f>
        <v>#REF!</v>
      </c>
      <c r="F492" s="131" t="e">
        <f>VLOOKUP($A492,'BC.115+040'!$B$13:$X$4809,8,0)/1000</f>
        <v>#REF!</v>
      </c>
      <c r="G492" s="131" t="e">
        <f>VLOOKUP($A492,'BC.115+040'!$B$13:$X$4809,9,0)/1000</f>
        <v>#REF!</v>
      </c>
      <c r="H492" s="131" t="e">
        <f>VLOOKUP($A492,'BC.115+040'!$B$13:$X$4809,14,0)/1000</f>
        <v>#REF!</v>
      </c>
      <c r="I492" s="131" t="e">
        <f>VLOOKUP($A492,'BC.115+040'!$B$13:$X$4089,15,0)/1000</f>
        <v>#REF!</v>
      </c>
      <c r="J492" s="131" t="e">
        <f>VLOOKUP($A492,'BC.115+040'!$B$13:$X$4089,20,0)/1000</f>
        <v>#REF!</v>
      </c>
      <c r="K492" s="131" t="e">
        <f>VLOOKUP($A492,'BC.115+040'!$B$13:$X$4089,21,0)/1000</f>
        <v>#REF!</v>
      </c>
      <c r="L492" s="129" t="e">
        <f t="shared" ref="L492:L522" si="29">(G492-$G$14)*1000</f>
        <v>#REF!</v>
      </c>
      <c r="M492" s="130" t="e">
        <f t="shared" ref="M492:M522" si="30">(I492-$I$14)*1000</f>
        <v>#REF!</v>
      </c>
      <c r="N492" s="129" t="e">
        <f t="shared" ref="N492:N522" si="31">(K492-$K$14)*1000</f>
        <v>#REF!</v>
      </c>
      <c r="O492" s="129"/>
    </row>
    <row r="493" spans="1:15">
      <c r="A493" s="67" t="e">
        <f>'BC.115+040'!B492</f>
        <v>#REF!</v>
      </c>
      <c r="B493" s="129">
        <f t="shared" si="28"/>
        <v>479</v>
      </c>
      <c r="C493" s="131" t="e">
        <f>'BC.115+040'!M492/1000</f>
        <v>#REF!</v>
      </c>
      <c r="D493" s="131" t="e">
        <f>'BC.115+040'!AA492</f>
        <v>#REF!</v>
      </c>
      <c r="E493" s="132" t="e">
        <f>'BC.115+040'!AB492</f>
        <v>#REF!</v>
      </c>
      <c r="F493" s="131" t="e">
        <f>VLOOKUP($A493,'BC.115+040'!$B$13:$X$4809,8,0)/1000</f>
        <v>#REF!</v>
      </c>
      <c r="G493" s="131" t="e">
        <f>VLOOKUP($A493,'BC.115+040'!$B$13:$X$4809,9,0)/1000</f>
        <v>#REF!</v>
      </c>
      <c r="H493" s="131" t="e">
        <f>VLOOKUP($A493,'BC.115+040'!$B$13:$X$4809,14,0)/1000</f>
        <v>#REF!</v>
      </c>
      <c r="I493" s="131" t="e">
        <f>VLOOKUP($A493,'BC.115+040'!$B$13:$X$4089,15,0)/1000</f>
        <v>#REF!</v>
      </c>
      <c r="J493" s="131" t="e">
        <f>VLOOKUP($A493,'BC.115+040'!$B$13:$X$4089,20,0)/1000</f>
        <v>#REF!</v>
      </c>
      <c r="K493" s="131" t="e">
        <f>VLOOKUP($A493,'BC.115+040'!$B$13:$X$4089,21,0)/1000</f>
        <v>#REF!</v>
      </c>
      <c r="L493" s="129" t="e">
        <f t="shared" si="29"/>
        <v>#REF!</v>
      </c>
      <c r="M493" s="130" t="e">
        <f t="shared" si="30"/>
        <v>#REF!</v>
      </c>
      <c r="N493" s="129" t="e">
        <f t="shared" si="31"/>
        <v>#REF!</v>
      </c>
      <c r="O493" s="129"/>
    </row>
    <row r="494" spans="1:15">
      <c r="A494" s="67" t="e">
        <f>'BC.115+040'!B493</f>
        <v>#REF!</v>
      </c>
      <c r="B494" s="129">
        <f t="shared" si="28"/>
        <v>480</v>
      </c>
      <c r="C494" s="131" t="e">
        <f>'BC.115+040'!M493/1000</f>
        <v>#REF!</v>
      </c>
      <c r="D494" s="131" t="e">
        <f>'BC.115+040'!AA493</f>
        <v>#REF!</v>
      </c>
      <c r="E494" s="132" t="e">
        <f>'BC.115+040'!AB493</f>
        <v>#REF!</v>
      </c>
      <c r="F494" s="131" t="e">
        <f>VLOOKUP($A494,'BC.115+040'!$B$13:$X$4809,8,0)/1000</f>
        <v>#REF!</v>
      </c>
      <c r="G494" s="131" t="e">
        <f>VLOOKUP($A494,'BC.115+040'!$B$13:$X$4809,9,0)/1000</f>
        <v>#REF!</v>
      </c>
      <c r="H494" s="131" t="e">
        <f>VLOOKUP($A494,'BC.115+040'!$B$13:$X$4809,14,0)/1000</f>
        <v>#REF!</v>
      </c>
      <c r="I494" s="131" t="e">
        <f>VLOOKUP($A494,'BC.115+040'!$B$13:$X$4089,15,0)/1000</f>
        <v>#REF!</v>
      </c>
      <c r="J494" s="131" t="e">
        <f>VLOOKUP($A494,'BC.115+040'!$B$13:$X$4089,20,0)/1000</f>
        <v>#REF!</v>
      </c>
      <c r="K494" s="131" t="e">
        <f>VLOOKUP($A494,'BC.115+040'!$B$13:$X$4089,21,0)/1000</f>
        <v>#REF!</v>
      </c>
      <c r="L494" s="129" t="e">
        <f t="shared" si="29"/>
        <v>#REF!</v>
      </c>
      <c r="M494" s="130" t="e">
        <f t="shared" si="30"/>
        <v>#REF!</v>
      </c>
      <c r="N494" s="129" t="e">
        <f t="shared" si="31"/>
        <v>#REF!</v>
      </c>
      <c r="O494" s="129"/>
    </row>
    <row r="495" spans="1:15">
      <c r="A495" s="67" t="e">
        <f>'BC.115+040'!B494</f>
        <v>#REF!</v>
      </c>
      <c r="B495" s="129">
        <f t="shared" si="28"/>
        <v>481</v>
      </c>
      <c r="C495" s="131" t="e">
        <f>'BC.115+040'!M494/1000</f>
        <v>#REF!</v>
      </c>
      <c r="D495" s="131" t="e">
        <f>'BC.115+040'!AA494</f>
        <v>#REF!</v>
      </c>
      <c r="E495" s="132" t="e">
        <f>'BC.115+040'!AB494</f>
        <v>#REF!</v>
      </c>
      <c r="F495" s="131" t="e">
        <f>VLOOKUP($A495,'BC.115+040'!$B$13:$X$4809,8,0)/1000</f>
        <v>#REF!</v>
      </c>
      <c r="G495" s="131" t="e">
        <f>VLOOKUP($A495,'BC.115+040'!$B$13:$X$4809,9,0)/1000</f>
        <v>#REF!</v>
      </c>
      <c r="H495" s="131" t="e">
        <f>VLOOKUP($A495,'BC.115+040'!$B$13:$X$4809,14,0)/1000</f>
        <v>#REF!</v>
      </c>
      <c r="I495" s="131" t="e">
        <f>VLOOKUP($A495,'BC.115+040'!$B$13:$X$4089,15,0)/1000</f>
        <v>#REF!</v>
      </c>
      <c r="J495" s="131" t="e">
        <f>VLOOKUP($A495,'BC.115+040'!$B$13:$X$4089,20,0)/1000</f>
        <v>#REF!</v>
      </c>
      <c r="K495" s="131" t="e">
        <f>VLOOKUP($A495,'BC.115+040'!$B$13:$X$4089,21,0)/1000</f>
        <v>#REF!</v>
      </c>
      <c r="L495" s="129" t="e">
        <f t="shared" si="29"/>
        <v>#REF!</v>
      </c>
      <c r="M495" s="130" t="e">
        <f t="shared" si="30"/>
        <v>#REF!</v>
      </c>
      <c r="N495" s="129" t="e">
        <f t="shared" si="31"/>
        <v>#REF!</v>
      </c>
      <c r="O495" s="129"/>
    </row>
    <row r="496" spans="1:15">
      <c r="A496" s="67" t="e">
        <f>'BC.115+040'!B495</f>
        <v>#REF!</v>
      </c>
      <c r="B496" s="129">
        <f t="shared" si="28"/>
        <v>482</v>
      </c>
      <c r="C496" s="131" t="e">
        <f>'BC.115+040'!M495/1000</f>
        <v>#REF!</v>
      </c>
      <c r="D496" s="131" t="e">
        <f>'BC.115+040'!AA495</f>
        <v>#REF!</v>
      </c>
      <c r="E496" s="132" t="e">
        <f>'BC.115+040'!AB495</f>
        <v>#REF!</v>
      </c>
      <c r="F496" s="131" t="e">
        <f>VLOOKUP($A496,'BC.115+040'!$B$13:$X$4809,8,0)/1000</f>
        <v>#REF!</v>
      </c>
      <c r="G496" s="131" t="e">
        <f>VLOOKUP($A496,'BC.115+040'!$B$13:$X$4809,9,0)/1000</f>
        <v>#REF!</v>
      </c>
      <c r="H496" s="131" t="e">
        <f>VLOOKUP($A496,'BC.115+040'!$B$13:$X$4809,14,0)/1000</f>
        <v>#REF!</v>
      </c>
      <c r="I496" s="131" t="e">
        <f>VLOOKUP($A496,'BC.115+040'!$B$13:$X$4089,15,0)/1000</f>
        <v>#REF!</v>
      </c>
      <c r="J496" s="131" t="e">
        <f>VLOOKUP($A496,'BC.115+040'!$B$13:$X$4089,20,0)/1000</f>
        <v>#REF!</v>
      </c>
      <c r="K496" s="131" t="e">
        <f>VLOOKUP($A496,'BC.115+040'!$B$13:$X$4089,21,0)/1000</f>
        <v>#REF!</v>
      </c>
      <c r="L496" s="129" t="e">
        <f t="shared" si="29"/>
        <v>#REF!</v>
      </c>
      <c r="M496" s="130" t="e">
        <f t="shared" si="30"/>
        <v>#REF!</v>
      </c>
      <c r="N496" s="129" t="e">
        <f t="shared" si="31"/>
        <v>#REF!</v>
      </c>
      <c r="O496" s="129"/>
    </row>
    <row r="497" spans="1:16">
      <c r="A497" s="67" t="e">
        <f>'BC.115+040'!B496</f>
        <v>#REF!</v>
      </c>
      <c r="B497" s="129">
        <f t="shared" si="28"/>
        <v>483</v>
      </c>
      <c r="C497" s="131" t="e">
        <f>'BC.115+040'!M496/1000</f>
        <v>#REF!</v>
      </c>
      <c r="D497" s="131" t="e">
        <f>'BC.115+040'!AA496</f>
        <v>#REF!</v>
      </c>
      <c r="E497" s="132" t="e">
        <f>'BC.115+040'!AB496</f>
        <v>#REF!</v>
      </c>
      <c r="F497" s="131" t="e">
        <f>VLOOKUP($A497,'BC.115+040'!$B$13:$X$4809,8,0)/1000</f>
        <v>#REF!</v>
      </c>
      <c r="G497" s="131" t="e">
        <f>VLOOKUP($A497,'BC.115+040'!$B$13:$X$4809,9,0)/1000</f>
        <v>#REF!</v>
      </c>
      <c r="H497" s="131" t="e">
        <f>VLOOKUP($A497,'BC.115+040'!$B$13:$X$4809,14,0)/1000</f>
        <v>#REF!</v>
      </c>
      <c r="I497" s="131" t="e">
        <f>VLOOKUP($A497,'BC.115+040'!$B$13:$X$4089,15,0)/1000</f>
        <v>#REF!</v>
      </c>
      <c r="J497" s="131" t="e">
        <f>VLOOKUP($A497,'BC.115+040'!$B$13:$X$4089,20,0)/1000</f>
        <v>#REF!</v>
      </c>
      <c r="K497" s="131" t="e">
        <f>VLOOKUP($A497,'BC.115+040'!$B$13:$X$4089,21,0)/1000</f>
        <v>#REF!</v>
      </c>
      <c r="L497" s="129" t="e">
        <f t="shared" si="29"/>
        <v>#REF!</v>
      </c>
      <c r="M497" s="130" t="e">
        <f t="shared" si="30"/>
        <v>#REF!</v>
      </c>
      <c r="N497" s="129" t="e">
        <f t="shared" si="31"/>
        <v>#REF!</v>
      </c>
      <c r="O497" s="129"/>
    </row>
    <row r="498" spans="1:16">
      <c r="A498" s="67" t="e">
        <f>'BC.115+040'!B497</f>
        <v>#REF!</v>
      </c>
      <c r="B498" s="129">
        <f t="shared" si="28"/>
        <v>484</v>
      </c>
      <c r="C498" s="131" t="e">
        <f>'BC.115+040'!M497/1000</f>
        <v>#REF!</v>
      </c>
      <c r="D498" s="131" t="e">
        <f>'BC.115+040'!AA497</f>
        <v>#REF!</v>
      </c>
      <c r="E498" s="132" t="e">
        <f>'BC.115+040'!AB497</f>
        <v>#REF!</v>
      </c>
      <c r="F498" s="131" t="e">
        <f>VLOOKUP($A498,'BC.115+040'!$B$13:$X$4809,8,0)/1000</f>
        <v>#REF!</v>
      </c>
      <c r="G498" s="131" t="e">
        <f>VLOOKUP($A498,'BC.115+040'!$B$13:$X$4809,9,0)/1000</f>
        <v>#REF!</v>
      </c>
      <c r="H498" s="131" t="e">
        <f>VLOOKUP($A498,'BC.115+040'!$B$13:$X$4809,14,0)/1000</f>
        <v>#REF!</v>
      </c>
      <c r="I498" s="131" t="e">
        <f>VLOOKUP($A498,'BC.115+040'!$B$13:$X$4089,15,0)/1000</f>
        <v>#REF!</v>
      </c>
      <c r="J498" s="131" t="e">
        <f>VLOOKUP($A498,'BC.115+040'!$B$13:$X$4089,20,0)/1000</f>
        <v>#REF!</v>
      </c>
      <c r="K498" s="131" t="e">
        <f>VLOOKUP($A498,'BC.115+040'!$B$13:$X$4089,21,0)/1000</f>
        <v>#REF!</v>
      </c>
      <c r="L498" s="129" t="e">
        <f t="shared" si="29"/>
        <v>#REF!</v>
      </c>
      <c r="M498" s="130" t="e">
        <f t="shared" si="30"/>
        <v>#REF!</v>
      </c>
      <c r="N498" s="129" t="e">
        <f t="shared" si="31"/>
        <v>#REF!</v>
      </c>
      <c r="O498" s="129"/>
    </row>
    <row r="499" spans="1:16">
      <c r="A499" s="67" t="e">
        <f>'BC.115+040'!B498</f>
        <v>#REF!</v>
      </c>
      <c r="B499" s="129">
        <f t="shared" si="28"/>
        <v>485</v>
      </c>
      <c r="C499" s="131" t="e">
        <f>'BC.115+040'!M498/1000</f>
        <v>#REF!</v>
      </c>
      <c r="D499" s="131" t="e">
        <f>'BC.115+040'!AA498</f>
        <v>#REF!</v>
      </c>
      <c r="E499" s="132" t="e">
        <f>'BC.115+040'!AB498</f>
        <v>#REF!</v>
      </c>
      <c r="F499" s="131" t="e">
        <f>VLOOKUP($A499,'BC.115+040'!$B$13:$X$4809,8,0)/1000</f>
        <v>#REF!</v>
      </c>
      <c r="G499" s="131" t="e">
        <f>VLOOKUP($A499,'BC.115+040'!$B$13:$X$4809,9,0)/1000</f>
        <v>#REF!</v>
      </c>
      <c r="H499" s="131" t="e">
        <f>VLOOKUP($A499,'BC.115+040'!$B$13:$X$4809,14,0)/1000</f>
        <v>#REF!</v>
      </c>
      <c r="I499" s="131" t="e">
        <f>VLOOKUP($A499,'BC.115+040'!$B$13:$X$4089,15,0)/1000</f>
        <v>#REF!</v>
      </c>
      <c r="J499" s="131" t="e">
        <f>VLOOKUP($A499,'BC.115+040'!$B$13:$X$4089,20,0)/1000</f>
        <v>#REF!</v>
      </c>
      <c r="K499" s="131" t="e">
        <f>VLOOKUP($A499,'BC.115+040'!$B$13:$X$4089,21,0)/1000</f>
        <v>#REF!</v>
      </c>
      <c r="L499" s="129" t="e">
        <f t="shared" si="29"/>
        <v>#REF!</v>
      </c>
      <c r="M499" s="130" t="e">
        <f t="shared" si="30"/>
        <v>#REF!</v>
      </c>
      <c r="N499" s="129" t="e">
        <f t="shared" si="31"/>
        <v>#REF!</v>
      </c>
      <c r="O499" s="129"/>
    </row>
    <row r="500" spans="1:16">
      <c r="A500" s="67" t="e">
        <f>'BC.115+040'!B499</f>
        <v>#REF!</v>
      </c>
      <c r="B500" s="129">
        <f t="shared" si="28"/>
        <v>486</v>
      </c>
      <c r="C500" s="131" t="e">
        <f>'BC.115+040'!M499/1000</f>
        <v>#REF!</v>
      </c>
      <c r="D500" s="131" t="e">
        <f>'BC.115+040'!AA499</f>
        <v>#REF!</v>
      </c>
      <c r="E500" s="132" t="e">
        <f>'BC.115+040'!AB499</f>
        <v>#REF!</v>
      </c>
      <c r="F500" s="131" t="e">
        <f>VLOOKUP($A500,'BC.115+040'!$B$13:$X$4809,8,0)/1000</f>
        <v>#REF!</v>
      </c>
      <c r="G500" s="131" t="e">
        <f>VLOOKUP($A500,'BC.115+040'!$B$13:$X$4809,9,0)/1000</f>
        <v>#REF!</v>
      </c>
      <c r="H500" s="131" t="e">
        <f>VLOOKUP($A500,'BC.115+040'!$B$13:$X$4809,14,0)/1000</f>
        <v>#REF!</v>
      </c>
      <c r="I500" s="131" t="e">
        <f>VLOOKUP($A500,'BC.115+040'!$B$13:$X$4089,15,0)/1000</f>
        <v>#REF!</v>
      </c>
      <c r="J500" s="131" t="e">
        <f>VLOOKUP($A500,'BC.115+040'!$B$13:$X$4089,20,0)/1000</f>
        <v>#REF!</v>
      </c>
      <c r="K500" s="131" t="e">
        <f>VLOOKUP($A500,'BC.115+040'!$B$13:$X$4089,21,0)/1000</f>
        <v>#REF!</v>
      </c>
      <c r="L500" s="129" t="e">
        <f t="shared" si="29"/>
        <v>#REF!</v>
      </c>
      <c r="M500" s="130" t="e">
        <f t="shared" si="30"/>
        <v>#REF!</v>
      </c>
      <c r="N500" s="129" t="e">
        <f t="shared" si="31"/>
        <v>#REF!</v>
      </c>
      <c r="O500" s="129"/>
    </row>
    <row r="501" spans="1:16">
      <c r="A501" s="67" t="e">
        <f>'BC.115+040'!B500</f>
        <v>#REF!</v>
      </c>
      <c r="B501" s="129">
        <f t="shared" si="28"/>
        <v>487</v>
      </c>
      <c r="C501" s="131" t="e">
        <f>'BC.115+040'!M500/1000</f>
        <v>#REF!</v>
      </c>
      <c r="D501" s="131" t="e">
        <f>'BC.115+040'!AA500</f>
        <v>#REF!</v>
      </c>
      <c r="E501" s="132" t="e">
        <f>'BC.115+040'!AB500</f>
        <v>#REF!</v>
      </c>
      <c r="F501" s="131" t="e">
        <f>VLOOKUP($A501,'BC.115+040'!$B$13:$X$4809,8,0)/1000</f>
        <v>#REF!</v>
      </c>
      <c r="G501" s="131" t="e">
        <f>VLOOKUP($A501,'BC.115+040'!$B$13:$X$4809,9,0)/1000</f>
        <v>#REF!</v>
      </c>
      <c r="H501" s="131" t="e">
        <f>VLOOKUP($A501,'BC.115+040'!$B$13:$X$4809,14,0)/1000</f>
        <v>#REF!</v>
      </c>
      <c r="I501" s="131" t="e">
        <f>VLOOKUP($A501,'BC.115+040'!$B$13:$X$4089,15,0)/1000</f>
        <v>#REF!</v>
      </c>
      <c r="J501" s="131" t="e">
        <f>VLOOKUP($A501,'BC.115+040'!$B$13:$X$4089,20,0)/1000</f>
        <v>#REF!</v>
      </c>
      <c r="K501" s="131" t="e">
        <f>VLOOKUP($A501,'BC.115+040'!$B$13:$X$4089,21,0)/1000</f>
        <v>#REF!</v>
      </c>
      <c r="L501" s="129" t="e">
        <f t="shared" si="29"/>
        <v>#REF!</v>
      </c>
      <c r="M501" s="130" t="e">
        <f t="shared" si="30"/>
        <v>#REF!</v>
      </c>
      <c r="N501" s="129" t="e">
        <f t="shared" si="31"/>
        <v>#REF!</v>
      </c>
      <c r="O501" s="129"/>
    </row>
    <row r="502" spans="1:16">
      <c r="A502" s="67" t="e">
        <f>'BC.115+040'!B501</f>
        <v>#REF!</v>
      </c>
      <c r="B502" s="129">
        <f t="shared" si="28"/>
        <v>488</v>
      </c>
      <c r="C502" s="131" t="e">
        <f>'BC.115+040'!M501/1000</f>
        <v>#REF!</v>
      </c>
      <c r="D502" s="131" t="e">
        <f>'BC.115+040'!AA501</f>
        <v>#REF!</v>
      </c>
      <c r="E502" s="132" t="e">
        <f>'BC.115+040'!AB501</f>
        <v>#REF!</v>
      </c>
      <c r="F502" s="131" t="e">
        <f>VLOOKUP($A502,'BC.115+040'!$B$13:$X$4809,8,0)/1000</f>
        <v>#REF!</v>
      </c>
      <c r="G502" s="131" t="e">
        <f>VLOOKUP($A502,'BC.115+040'!$B$13:$X$4809,9,0)/1000</f>
        <v>#REF!</v>
      </c>
      <c r="H502" s="131" t="e">
        <f>VLOOKUP($A502,'BC.115+040'!$B$13:$X$4809,14,0)/1000</f>
        <v>#REF!</v>
      </c>
      <c r="I502" s="131" t="e">
        <f>VLOOKUP($A502,'BC.115+040'!$B$13:$X$4089,15,0)/1000</f>
        <v>#REF!</v>
      </c>
      <c r="J502" s="131" t="e">
        <f>VLOOKUP($A502,'BC.115+040'!$B$13:$X$4089,20,0)/1000</f>
        <v>#REF!</v>
      </c>
      <c r="K502" s="131" t="e">
        <f>VLOOKUP($A502,'BC.115+040'!$B$13:$X$4089,21,0)/1000</f>
        <v>#REF!</v>
      </c>
      <c r="L502" s="129" t="e">
        <f t="shared" si="29"/>
        <v>#REF!</v>
      </c>
      <c r="M502" s="130" t="e">
        <f t="shared" si="30"/>
        <v>#REF!</v>
      </c>
      <c r="N502" s="129" t="e">
        <f t="shared" si="31"/>
        <v>#REF!</v>
      </c>
      <c r="O502" s="129"/>
    </row>
    <row r="503" spans="1:16">
      <c r="A503" s="67" t="e">
        <f>'BC.115+040'!B502</f>
        <v>#REF!</v>
      </c>
      <c r="B503" s="129">
        <f t="shared" si="28"/>
        <v>489</v>
      </c>
      <c r="C503" s="131" t="e">
        <f>'BC.115+040'!M502/1000</f>
        <v>#REF!</v>
      </c>
      <c r="D503" s="131" t="e">
        <f>'BC.115+040'!AA502</f>
        <v>#REF!</v>
      </c>
      <c r="E503" s="132" t="e">
        <f>'BC.115+040'!AB502</f>
        <v>#REF!</v>
      </c>
      <c r="F503" s="131" t="e">
        <f>VLOOKUP($A503,'BC.115+040'!$B$13:$X$4809,8,0)/1000</f>
        <v>#REF!</v>
      </c>
      <c r="G503" s="131" t="e">
        <f>VLOOKUP($A503,'BC.115+040'!$B$13:$X$4809,9,0)/1000</f>
        <v>#REF!</v>
      </c>
      <c r="H503" s="131" t="e">
        <f>VLOOKUP($A503,'BC.115+040'!$B$13:$X$4809,14,0)/1000</f>
        <v>#REF!</v>
      </c>
      <c r="I503" s="131" t="e">
        <f>VLOOKUP($A503,'BC.115+040'!$B$13:$X$4089,15,0)/1000</f>
        <v>#REF!</v>
      </c>
      <c r="J503" s="131" t="e">
        <f>VLOOKUP($A503,'BC.115+040'!$B$13:$X$4089,20,0)/1000</f>
        <v>#REF!</v>
      </c>
      <c r="K503" s="131" t="e">
        <f>VLOOKUP($A503,'BC.115+040'!$B$13:$X$4089,21,0)/1000</f>
        <v>#REF!</v>
      </c>
      <c r="L503" s="129" t="e">
        <f t="shared" si="29"/>
        <v>#REF!</v>
      </c>
      <c r="M503" s="130" t="e">
        <f t="shared" si="30"/>
        <v>#REF!</v>
      </c>
      <c r="N503" s="129" t="e">
        <f t="shared" si="31"/>
        <v>#REF!</v>
      </c>
      <c r="O503" s="129"/>
    </row>
    <row r="504" spans="1:16">
      <c r="A504" s="67" t="e">
        <f>'BC.115+040'!B503</f>
        <v>#REF!</v>
      </c>
      <c r="B504" s="129">
        <f t="shared" si="28"/>
        <v>490</v>
      </c>
      <c r="C504" s="131" t="e">
        <f>'BC.115+040'!M503/1000</f>
        <v>#REF!</v>
      </c>
      <c r="D504" s="131" t="e">
        <f>'BC.115+040'!AA503</f>
        <v>#REF!</v>
      </c>
      <c r="E504" s="132" t="e">
        <f>'BC.115+040'!AB503</f>
        <v>#REF!</v>
      </c>
      <c r="F504" s="131" t="e">
        <f>VLOOKUP($A504,'BC.115+040'!$B$13:$X$4809,8,0)/1000</f>
        <v>#REF!</v>
      </c>
      <c r="G504" s="131" t="e">
        <f>VLOOKUP($A504,'BC.115+040'!$B$13:$X$4809,9,0)/1000</f>
        <v>#REF!</v>
      </c>
      <c r="H504" s="131" t="e">
        <f>VLOOKUP($A504,'BC.115+040'!$B$13:$X$4809,14,0)/1000</f>
        <v>#REF!</v>
      </c>
      <c r="I504" s="131" t="e">
        <f>VLOOKUP($A504,'BC.115+040'!$B$13:$X$4089,15,0)/1000</f>
        <v>#REF!</v>
      </c>
      <c r="J504" s="131" t="e">
        <f>VLOOKUP($A504,'BC.115+040'!$B$13:$X$4089,20,0)/1000</f>
        <v>#REF!</v>
      </c>
      <c r="K504" s="131" t="e">
        <f>VLOOKUP($A504,'BC.115+040'!$B$13:$X$4089,21,0)/1000</f>
        <v>#REF!</v>
      </c>
      <c r="L504" s="129" t="e">
        <f t="shared" si="29"/>
        <v>#REF!</v>
      </c>
      <c r="M504" s="130" t="e">
        <f t="shared" si="30"/>
        <v>#REF!</v>
      </c>
      <c r="N504" s="129" t="e">
        <f t="shared" si="31"/>
        <v>#REF!</v>
      </c>
      <c r="O504" s="129"/>
    </row>
    <row r="505" spans="1:16">
      <c r="A505" s="163" t="e">
        <f>'BC.115+040'!B504</f>
        <v>#REF!</v>
      </c>
      <c r="B505" s="133">
        <f t="shared" si="28"/>
        <v>491</v>
      </c>
      <c r="C505" s="164" t="e">
        <f>'BC.115+040'!M504/1000</f>
        <v>#REF!</v>
      </c>
      <c r="D505" s="164" t="e">
        <f>'BC.115+040'!AA504</f>
        <v>#REF!</v>
      </c>
      <c r="E505" s="165" t="e">
        <f>'BC.115+040'!AB504</f>
        <v>#REF!</v>
      </c>
      <c r="F505" s="164" t="e">
        <f>VLOOKUP($A505,'BC.115+040'!$B$13:$X$4809,8,0)/1000</f>
        <v>#REF!</v>
      </c>
      <c r="G505" s="164" t="e">
        <f>VLOOKUP($A505,'BC.115+040'!$B$13:$X$4809,9,0)/1000</f>
        <v>#REF!</v>
      </c>
      <c r="H505" s="164" t="e">
        <f>VLOOKUP($A505,'BC.115+040'!$B$13:$X$4809,14,0)/1000</f>
        <v>#REF!</v>
      </c>
      <c r="I505" s="164" t="e">
        <f>VLOOKUP($A505,'BC.115+040'!$B$13:$X$4089,15,0)/1000</f>
        <v>#REF!</v>
      </c>
      <c r="J505" s="164" t="e">
        <f>VLOOKUP($A505,'BC.115+040'!$B$13:$X$4089,20,0)/1000</f>
        <v>#REF!</v>
      </c>
      <c r="K505" s="164" t="e">
        <f>VLOOKUP($A505,'BC.115+040'!$B$13:$X$4089,21,0)/1000</f>
        <v>#REF!</v>
      </c>
      <c r="L505" s="133" t="e">
        <f t="shared" si="29"/>
        <v>#REF!</v>
      </c>
      <c r="M505" s="166" t="e">
        <f t="shared" si="30"/>
        <v>#REF!</v>
      </c>
      <c r="N505" s="133" t="e">
        <f t="shared" si="31"/>
        <v>#REF!</v>
      </c>
      <c r="O505" s="157" t="s">
        <v>68</v>
      </c>
      <c r="P505" s="168" t="e">
        <f>C505-M505/1000</f>
        <v>#REF!</v>
      </c>
    </row>
    <row r="506" spans="1:16">
      <c r="A506" s="67" t="e">
        <f>'BC.115+040'!B505</f>
        <v>#REF!</v>
      </c>
      <c r="B506" s="129">
        <f t="shared" si="28"/>
        <v>492</v>
      </c>
      <c r="C506" s="131" t="e">
        <f>'BC.115+040'!M505/1000</f>
        <v>#REF!</v>
      </c>
      <c r="D506" s="131" t="e">
        <f>'BC.115+040'!AA505</f>
        <v>#REF!</v>
      </c>
      <c r="E506" s="132" t="e">
        <f>'BC.115+040'!AB505</f>
        <v>#REF!</v>
      </c>
      <c r="F506" s="131" t="e">
        <f>VLOOKUP($A506,'BC.115+040'!$B$13:$X$4809,8,0)/1000</f>
        <v>#REF!</v>
      </c>
      <c r="G506" s="131" t="e">
        <f>VLOOKUP($A506,'BC.115+040'!$B$13:$X$4809,9,0)/1000</f>
        <v>#REF!</v>
      </c>
      <c r="H506" s="131" t="e">
        <f>VLOOKUP($A506,'BC.115+040'!$B$13:$X$4809,14,0)/1000</f>
        <v>#REF!</v>
      </c>
      <c r="I506" s="131" t="e">
        <f>VLOOKUP($A506,'BC.115+040'!$B$13:$X$4089,15,0)/1000</f>
        <v>#REF!</v>
      </c>
      <c r="J506" s="131" t="e">
        <f>VLOOKUP($A506,'BC.115+040'!$B$13:$X$4089,20,0)/1000</f>
        <v>#REF!</v>
      </c>
      <c r="K506" s="131" t="e">
        <f>VLOOKUP($A506,'BC.115+040'!$B$13:$X$4089,21,0)/1000</f>
        <v>#REF!</v>
      </c>
      <c r="L506" s="129" t="e">
        <f t="shared" si="29"/>
        <v>#REF!</v>
      </c>
      <c r="M506" s="130" t="e">
        <f t="shared" si="30"/>
        <v>#REF!</v>
      </c>
      <c r="N506" s="129" t="e">
        <f t="shared" si="31"/>
        <v>#REF!</v>
      </c>
      <c r="O506" s="129"/>
    </row>
    <row r="507" spans="1:16">
      <c r="A507" s="67" t="e">
        <f>'BC.115+040'!B506</f>
        <v>#REF!</v>
      </c>
      <c r="B507" s="129">
        <f t="shared" si="28"/>
        <v>493</v>
      </c>
      <c r="C507" s="131" t="e">
        <f>'BC.115+040'!M506/1000</f>
        <v>#REF!</v>
      </c>
      <c r="D507" s="131" t="e">
        <f>'BC.115+040'!AA506</f>
        <v>#REF!</v>
      </c>
      <c r="E507" s="132" t="e">
        <f>'BC.115+040'!AB506</f>
        <v>#REF!</v>
      </c>
      <c r="F507" s="131" t="e">
        <f>VLOOKUP($A507,'BC.115+040'!$B$13:$X$4809,8,0)/1000</f>
        <v>#REF!</v>
      </c>
      <c r="G507" s="131" t="e">
        <f>VLOOKUP($A507,'BC.115+040'!$B$13:$X$4809,9,0)/1000</f>
        <v>#REF!</v>
      </c>
      <c r="H507" s="131" t="e">
        <f>VLOOKUP($A507,'BC.115+040'!$B$13:$X$4809,14,0)/1000</f>
        <v>#REF!</v>
      </c>
      <c r="I507" s="131" t="e">
        <f>VLOOKUP($A507,'BC.115+040'!$B$13:$X$4089,15,0)/1000</f>
        <v>#REF!</v>
      </c>
      <c r="J507" s="131" t="e">
        <f>VLOOKUP($A507,'BC.115+040'!$B$13:$X$4089,20,0)/1000</f>
        <v>#REF!</v>
      </c>
      <c r="K507" s="131" t="e">
        <f>VLOOKUP($A507,'BC.115+040'!$B$13:$X$4089,21,0)/1000</f>
        <v>#REF!</v>
      </c>
      <c r="L507" s="129" t="e">
        <f t="shared" si="29"/>
        <v>#REF!</v>
      </c>
      <c r="M507" s="130" t="e">
        <f t="shared" si="30"/>
        <v>#REF!</v>
      </c>
      <c r="N507" s="129" t="e">
        <f t="shared" si="31"/>
        <v>#REF!</v>
      </c>
      <c r="O507" s="129"/>
    </row>
    <row r="508" spans="1:16">
      <c r="A508" s="67" t="e">
        <f>'BC.115+040'!B507</f>
        <v>#REF!</v>
      </c>
      <c r="B508" s="129">
        <f t="shared" si="28"/>
        <v>494</v>
      </c>
      <c r="C508" s="131" t="e">
        <f>'BC.115+040'!M507/1000</f>
        <v>#REF!</v>
      </c>
      <c r="D508" s="131" t="e">
        <f>'BC.115+040'!AA507</f>
        <v>#REF!</v>
      </c>
      <c r="E508" s="132" t="e">
        <f>'BC.115+040'!AB507</f>
        <v>#REF!</v>
      </c>
      <c r="F508" s="131" t="e">
        <f>VLOOKUP($A508,'BC.115+040'!$B$13:$X$4809,8,0)/1000</f>
        <v>#REF!</v>
      </c>
      <c r="G508" s="131" t="e">
        <f>VLOOKUP($A508,'BC.115+040'!$B$13:$X$4809,9,0)/1000</f>
        <v>#REF!</v>
      </c>
      <c r="H508" s="131" t="e">
        <f>VLOOKUP($A508,'BC.115+040'!$B$13:$X$4809,14,0)/1000</f>
        <v>#REF!</v>
      </c>
      <c r="I508" s="131" t="e">
        <f>VLOOKUP($A508,'BC.115+040'!$B$13:$X$4089,15,0)/1000</f>
        <v>#REF!</v>
      </c>
      <c r="J508" s="131" t="e">
        <f>VLOOKUP($A508,'BC.115+040'!$B$13:$X$4089,20,0)/1000</f>
        <v>#REF!</v>
      </c>
      <c r="K508" s="131" t="e">
        <f>VLOOKUP($A508,'BC.115+040'!$B$13:$X$4089,21,0)/1000</f>
        <v>#REF!</v>
      </c>
      <c r="L508" s="129" t="e">
        <f t="shared" si="29"/>
        <v>#REF!</v>
      </c>
      <c r="M508" s="130" t="e">
        <f t="shared" si="30"/>
        <v>#REF!</v>
      </c>
      <c r="N508" s="129" t="e">
        <f t="shared" si="31"/>
        <v>#REF!</v>
      </c>
      <c r="O508" s="129"/>
    </row>
    <row r="509" spans="1:16">
      <c r="A509" s="67" t="e">
        <f>'BC.115+040'!B508</f>
        <v>#REF!</v>
      </c>
      <c r="B509" s="129">
        <f t="shared" si="28"/>
        <v>495</v>
      </c>
      <c r="C509" s="131" t="e">
        <f>'BC.115+040'!M508/1000</f>
        <v>#REF!</v>
      </c>
      <c r="D509" s="131" t="e">
        <f>'BC.115+040'!AA508</f>
        <v>#REF!</v>
      </c>
      <c r="E509" s="132" t="e">
        <f>'BC.115+040'!AB508</f>
        <v>#REF!</v>
      </c>
      <c r="F509" s="131" t="e">
        <f>VLOOKUP($A509,'BC.115+040'!$B$13:$X$4809,8,0)/1000</f>
        <v>#REF!</v>
      </c>
      <c r="G509" s="131" t="e">
        <f>VLOOKUP($A509,'BC.115+040'!$B$13:$X$4809,9,0)/1000</f>
        <v>#REF!</v>
      </c>
      <c r="H509" s="131" t="e">
        <f>VLOOKUP($A509,'BC.115+040'!$B$13:$X$4809,14,0)/1000</f>
        <v>#REF!</v>
      </c>
      <c r="I509" s="131" t="e">
        <f>VLOOKUP($A509,'BC.115+040'!$B$13:$X$4089,15,0)/1000</f>
        <v>#REF!</v>
      </c>
      <c r="J509" s="131" t="e">
        <f>VLOOKUP($A509,'BC.115+040'!$B$13:$X$4089,20,0)/1000</f>
        <v>#REF!</v>
      </c>
      <c r="K509" s="131" t="e">
        <f>VLOOKUP($A509,'BC.115+040'!$B$13:$X$4089,21,0)/1000</f>
        <v>#REF!</v>
      </c>
      <c r="L509" s="129" t="e">
        <f t="shared" si="29"/>
        <v>#REF!</v>
      </c>
      <c r="M509" s="130" t="e">
        <f t="shared" si="30"/>
        <v>#REF!</v>
      </c>
      <c r="N509" s="129" t="e">
        <f t="shared" si="31"/>
        <v>#REF!</v>
      </c>
      <c r="O509" s="129"/>
    </row>
    <row r="510" spans="1:16">
      <c r="A510" s="67" t="e">
        <f>'BC.115+040'!B509</f>
        <v>#REF!</v>
      </c>
      <c r="B510" s="129">
        <f t="shared" si="28"/>
        <v>496</v>
      </c>
      <c r="C510" s="131" t="e">
        <f>'BC.115+040'!M509/1000</f>
        <v>#REF!</v>
      </c>
      <c r="D510" s="131" t="e">
        <f>'BC.115+040'!AA509</f>
        <v>#REF!</v>
      </c>
      <c r="E510" s="132" t="e">
        <f>'BC.115+040'!AB509</f>
        <v>#REF!</v>
      </c>
      <c r="F510" s="131" t="e">
        <f>VLOOKUP($A510,'BC.115+040'!$B$13:$X$4809,8,0)/1000</f>
        <v>#REF!</v>
      </c>
      <c r="G510" s="131" t="e">
        <f>VLOOKUP($A510,'BC.115+040'!$B$13:$X$4809,9,0)/1000</f>
        <v>#REF!</v>
      </c>
      <c r="H510" s="131" t="e">
        <f>VLOOKUP($A510,'BC.115+040'!$B$13:$X$4809,14,0)/1000</f>
        <v>#REF!</v>
      </c>
      <c r="I510" s="131" t="e">
        <f>VLOOKUP($A510,'BC.115+040'!$B$13:$X$4089,15,0)/1000</f>
        <v>#REF!</v>
      </c>
      <c r="J510" s="131" t="e">
        <f>VLOOKUP($A510,'BC.115+040'!$B$13:$X$4089,20,0)/1000</f>
        <v>#REF!</v>
      </c>
      <c r="K510" s="131" t="e">
        <f>VLOOKUP($A510,'BC.115+040'!$B$13:$X$4089,21,0)/1000</f>
        <v>#REF!</v>
      </c>
      <c r="L510" s="129" t="e">
        <f t="shared" si="29"/>
        <v>#REF!</v>
      </c>
      <c r="M510" s="130" t="e">
        <f t="shared" si="30"/>
        <v>#REF!</v>
      </c>
      <c r="N510" s="129" t="e">
        <f t="shared" si="31"/>
        <v>#REF!</v>
      </c>
      <c r="O510" s="129"/>
    </row>
    <row r="511" spans="1:16">
      <c r="A511" s="67" t="e">
        <f>'BC.115+040'!B510</f>
        <v>#REF!</v>
      </c>
      <c r="B511" s="129">
        <f t="shared" si="28"/>
        <v>497</v>
      </c>
      <c r="C511" s="131" t="e">
        <f>'BC.115+040'!M510/1000</f>
        <v>#REF!</v>
      </c>
      <c r="D511" s="131" t="e">
        <f>'BC.115+040'!AA510</f>
        <v>#REF!</v>
      </c>
      <c r="E511" s="132" t="e">
        <f>'BC.115+040'!AB510</f>
        <v>#REF!</v>
      </c>
      <c r="F511" s="131" t="e">
        <f>VLOOKUP($A511,'BC.115+040'!$B$13:$X$4809,8,0)/1000</f>
        <v>#REF!</v>
      </c>
      <c r="G511" s="131" t="e">
        <f>VLOOKUP($A511,'BC.115+040'!$B$13:$X$4809,9,0)/1000</f>
        <v>#REF!</v>
      </c>
      <c r="H511" s="131" t="e">
        <f>VLOOKUP($A511,'BC.115+040'!$B$13:$X$4809,14,0)/1000</f>
        <v>#REF!</v>
      </c>
      <c r="I511" s="131" t="e">
        <f>VLOOKUP($A511,'BC.115+040'!$B$13:$X$4089,15,0)/1000</f>
        <v>#REF!</v>
      </c>
      <c r="J511" s="131" t="e">
        <f>VLOOKUP($A511,'BC.115+040'!$B$13:$X$4089,20,0)/1000</f>
        <v>#REF!</v>
      </c>
      <c r="K511" s="131" t="e">
        <f>VLOOKUP($A511,'BC.115+040'!$B$13:$X$4089,21,0)/1000</f>
        <v>#REF!</v>
      </c>
      <c r="L511" s="129" t="e">
        <f t="shared" si="29"/>
        <v>#REF!</v>
      </c>
      <c r="M511" s="130" t="e">
        <f t="shared" si="30"/>
        <v>#REF!</v>
      </c>
      <c r="N511" s="129" t="e">
        <f t="shared" si="31"/>
        <v>#REF!</v>
      </c>
      <c r="O511" s="129"/>
    </row>
    <row r="512" spans="1:16">
      <c r="A512" s="67" t="e">
        <f>'BC.115+040'!B511</f>
        <v>#REF!</v>
      </c>
      <c r="B512" s="129">
        <f t="shared" si="28"/>
        <v>498</v>
      </c>
      <c r="C512" s="131" t="e">
        <f>'BC.115+040'!M511/1000</f>
        <v>#REF!</v>
      </c>
      <c r="D512" s="131" t="e">
        <f>'BC.115+040'!AA511</f>
        <v>#REF!</v>
      </c>
      <c r="E512" s="132" t="e">
        <f>'BC.115+040'!AB511</f>
        <v>#REF!</v>
      </c>
      <c r="F512" s="131" t="e">
        <f>VLOOKUP($A512,'BC.115+040'!$B$13:$X$4809,8,0)/1000</f>
        <v>#REF!</v>
      </c>
      <c r="G512" s="131" t="e">
        <f>VLOOKUP($A512,'BC.115+040'!$B$13:$X$4809,9,0)/1000</f>
        <v>#REF!</v>
      </c>
      <c r="H512" s="131" t="e">
        <f>VLOOKUP($A512,'BC.115+040'!$B$13:$X$4809,14,0)/1000</f>
        <v>#REF!</v>
      </c>
      <c r="I512" s="131" t="e">
        <f>VLOOKUP($A512,'BC.115+040'!$B$13:$X$4089,15,0)/1000</f>
        <v>#REF!</v>
      </c>
      <c r="J512" s="131" t="e">
        <f>VLOOKUP($A512,'BC.115+040'!$B$13:$X$4089,20,0)/1000</f>
        <v>#REF!</v>
      </c>
      <c r="K512" s="131" t="e">
        <f>VLOOKUP($A512,'BC.115+040'!$B$13:$X$4089,21,0)/1000</f>
        <v>#REF!</v>
      </c>
      <c r="L512" s="129" t="e">
        <f t="shared" si="29"/>
        <v>#REF!</v>
      </c>
      <c r="M512" s="130" t="e">
        <f t="shared" si="30"/>
        <v>#REF!</v>
      </c>
      <c r="N512" s="129" t="e">
        <f t="shared" si="31"/>
        <v>#REF!</v>
      </c>
      <c r="O512" s="129"/>
    </row>
    <row r="513" spans="1:15">
      <c r="A513" s="67" t="e">
        <f>'BC.115+040'!B512</f>
        <v>#REF!</v>
      </c>
      <c r="B513" s="129">
        <f t="shared" si="28"/>
        <v>499</v>
      </c>
      <c r="C513" s="131" t="e">
        <f>'BC.115+040'!M512/1000</f>
        <v>#REF!</v>
      </c>
      <c r="D513" s="131" t="e">
        <f>'BC.115+040'!AA512</f>
        <v>#REF!</v>
      </c>
      <c r="E513" s="132" t="e">
        <f>'BC.115+040'!AB512</f>
        <v>#REF!</v>
      </c>
      <c r="F513" s="131" t="e">
        <f>VLOOKUP($A513,'BC.115+040'!$B$13:$X$4809,8,0)/1000</f>
        <v>#REF!</v>
      </c>
      <c r="G513" s="131" t="e">
        <f>VLOOKUP($A513,'BC.115+040'!$B$13:$X$4809,9,0)/1000</f>
        <v>#REF!</v>
      </c>
      <c r="H513" s="131" t="e">
        <f>VLOOKUP($A513,'BC.115+040'!$B$13:$X$4809,14,0)/1000</f>
        <v>#REF!</v>
      </c>
      <c r="I513" s="131" t="e">
        <f>VLOOKUP($A513,'BC.115+040'!$B$13:$X$4089,15,0)/1000</f>
        <v>#REF!</v>
      </c>
      <c r="J513" s="131" t="e">
        <f>VLOOKUP($A513,'BC.115+040'!$B$13:$X$4089,20,0)/1000</f>
        <v>#REF!</v>
      </c>
      <c r="K513" s="131" t="e">
        <f>VLOOKUP($A513,'BC.115+040'!$B$13:$X$4089,21,0)/1000</f>
        <v>#REF!</v>
      </c>
      <c r="L513" s="129" t="e">
        <f t="shared" si="29"/>
        <v>#REF!</v>
      </c>
      <c r="M513" s="130" t="e">
        <f t="shared" si="30"/>
        <v>#REF!</v>
      </c>
      <c r="N513" s="129" t="e">
        <f t="shared" si="31"/>
        <v>#REF!</v>
      </c>
      <c r="O513" s="129"/>
    </row>
    <row r="514" spans="1:15">
      <c r="A514" s="67" t="e">
        <f>'BC.115+040'!B513</f>
        <v>#REF!</v>
      </c>
      <c r="B514" s="129">
        <f t="shared" si="28"/>
        <v>500</v>
      </c>
      <c r="C514" s="131" t="e">
        <f>'BC.115+040'!M513/1000</f>
        <v>#REF!</v>
      </c>
      <c r="D514" s="131" t="e">
        <f>'BC.115+040'!AA513</f>
        <v>#REF!</v>
      </c>
      <c r="E514" s="132" t="e">
        <f>'BC.115+040'!AB513</f>
        <v>#REF!</v>
      </c>
      <c r="F514" s="131" t="e">
        <f>VLOOKUP($A514,'BC.115+040'!$B$13:$X$4809,8,0)/1000</f>
        <v>#REF!</v>
      </c>
      <c r="G514" s="131" t="e">
        <f>VLOOKUP($A514,'BC.115+040'!$B$13:$X$4809,9,0)/1000</f>
        <v>#REF!</v>
      </c>
      <c r="H514" s="131" t="e">
        <f>VLOOKUP($A514,'BC.115+040'!$B$13:$X$4809,14,0)/1000</f>
        <v>#REF!</v>
      </c>
      <c r="I514" s="131" t="e">
        <f>VLOOKUP($A514,'BC.115+040'!$B$13:$X$4089,15,0)/1000</f>
        <v>#REF!</v>
      </c>
      <c r="J514" s="131" t="e">
        <f>VLOOKUP($A514,'BC.115+040'!$B$13:$X$4089,20,0)/1000</f>
        <v>#REF!</v>
      </c>
      <c r="K514" s="131" t="e">
        <f>VLOOKUP($A514,'BC.115+040'!$B$13:$X$4089,21,0)/1000</f>
        <v>#REF!</v>
      </c>
      <c r="L514" s="129" t="e">
        <f t="shared" si="29"/>
        <v>#REF!</v>
      </c>
      <c r="M514" s="130" t="e">
        <f t="shared" si="30"/>
        <v>#REF!</v>
      </c>
      <c r="N514" s="129" t="e">
        <f t="shared" si="31"/>
        <v>#REF!</v>
      </c>
      <c r="O514" s="129"/>
    </row>
    <row r="515" spans="1:15">
      <c r="A515" s="67" t="e">
        <f>'BC.115+040'!B514</f>
        <v>#REF!</v>
      </c>
      <c r="B515" s="129">
        <f t="shared" si="28"/>
        <v>501</v>
      </c>
      <c r="C515" s="131" t="e">
        <f>'BC.115+040'!M514/1000</f>
        <v>#REF!</v>
      </c>
      <c r="D515" s="131" t="e">
        <f>'BC.115+040'!AA514</f>
        <v>#REF!</v>
      </c>
      <c r="E515" s="132" t="e">
        <f>'BC.115+040'!AB514</f>
        <v>#REF!</v>
      </c>
      <c r="F515" s="131" t="e">
        <f>VLOOKUP($A515,'BC.115+040'!$B$13:$X$4809,8,0)/1000</f>
        <v>#REF!</v>
      </c>
      <c r="G515" s="131" t="e">
        <f>VLOOKUP($A515,'BC.115+040'!$B$13:$X$4809,9,0)/1000</f>
        <v>#REF!</v>
      </c>
      <c r="H515" s="131" t="e">
        <f>VLOOKUP($A515,'BC.115+040'!$B$13:$X$4809,14,0)/1000</f>
        <v>#REF!</v>
      </c>
      <c r="I515" s="131" t="e">
        <f>VLOOKUP($A515,'BC.115+040'!$B$13:$X$4089,15,0)/1000</f>
        <v>#REF!</v>
      </c>
      <c r="J515" s="131" t="e">
        <f>VLOOKUP($A515,'BC.115+040'!$B$13:$X$4089,20,0)/1000</f>
        <v>#REF!</v>
      </c>
      <c r="K515" s="131" t="e">
        <f>VLOOKUP($A515,'BC.115+040'!$B$13:$X$4089,21,0)/1000</f>
        <v>#REF!</v>
      </c>
      <c r="L515" s="129" t="e">
        <f t="shared" si="29"/>
        <v>#REF!</v>
      </c>
      <c r="M515" s="130" t="e">
        <f t="shared" si="30"/>
        <v>#REF!</v>
      </c>
      <c r="N515" s="129" t="e">
        <f t="shared" si="31"/>
        <v>#REF!</v>
      </c>
      <c r="O515" s="129"/>
    </row>
    <row r="516" spans="1:15">
      <c r="A516" s="67" t="e">
        <f>'BC.115+040'!B515</f>
        <v>#REF!</v>
      </c>
      <c r="B516" s="129">
        <f t="shared" si="28"/>
        <v>502</v>
      </c>
      <c r="C516" s="131" t="e">
        <f>'BC.115+040'!M515/1000</f>
        <v>#REF!</v>
      </c>
      <c r="D516" s="131" t="e">
        <f>'BC.115+040'!AA515</f>
        <v>#REF!</v>
      </c>
      <c r="E516" s="132" t="e">
        <f>'BC.115+040'!AB515</f>
        <v>#REF!</v>
      </c>
      <c r="F516" s="131" t="e">
        <f>VLOOKUP($A516,'BC.115+040'!$B$13:$X$4809,8,0)/1000</f>
        <v>#REF!</v>
      </c>
      <c r="G516" s="131" t="e">
        <f>VLOOKUP($A516,'BC.115+040'!$B$13:$X$4809,9,0)/1000</f>
        <v>#REF!</v>
      </c>
      <c r="H516" s="131" t="e">
        <f>VLOOKUP($A516,'BC.115+040'!$B$13:$X$4809,14,0)/1000</f>
        <v>#REF!</v>
      </c>
      <c r="I516" s="131" t="e">
        <f>VLOOKUP($A516,'BC.115+040'!$B$13:$X$4089,15,0)/1000</f>
        <v>#REF!</v>
      </c>
      <c r="J516" s="131" t="e">
        <f>VLOOKUP($A516,'BC.115+040'!$B$13:$X$4089,20,0)/1000</f>
        <v>#REF!</v>
      </c>
      <c r="K516" s="131" t="e">
        <f>VLOOKUP($A516,'BC.115+040'!$B$13:$X$4089,21,0)/1000</f>
        <v>#REF!</v>
      </c>
      <c r="L516" s="129" t="e">
        <f t="shared" si="29"/>
        <v>#REF!</v>
      </c>
      <c r="M516" s="130" t="e">
        <f t="shared" si="30"/>
        <v>#REF!</v>
      </c>
      <c r="N516" s="129" t="e">
        <f t="shared" si="31"/>
        <v>#REF!</v>
      </c>
      <c r="O516" s="129"/>
    </row>
    <row r="517" spans="1:15">
      <c r="A517" s="67" t="e">
        <f>'BC.115+040'!B516</f>
        <v>#REF!</v>
      </c>
      <c r="B517" s="129">
        <f t="shared" si="28"/>
        <v>503</v>
      </c>
      <c r="C517" s="131" t="e">
        <f>'BC.115+040'!M516/1000</f>
        <v>#REF!</v>
      </c>
      <c r="D517" s="131" t="e">
        <f>'BC.115+040'!AA516</f>
        <v>#REF!</v>
      </c>
      <c r="E517" s="132" t="e">
        <f>'BC.115+040'!AB516</f>
        <v>#REF!</v>
      </c>
      <c r="F517" s="131" t="e">
        <f>VLOOKUP($A517,'BC.115+040'!$B$13:$X$4809,8,0)/1000</f>
        <v>#REF!</v>
      </c>
      <c r="G517" s="131" t="e">
        <f>VLOOKUP($A517,'BC.115+040'!$B$13:$X$4809,9,0)/1000</f>
        <v>#REF!</v>
      </c>
      <c r="H517" s="131" t="e">
        <f>VLOOKUP($A517,'BC.115+040'!$B$13:$X$4809,14,0)/1000</f>
        <v>#REF!</v>
      </c>
      <c r="I517" s="131" t="e">
        <f>VLOOKUP($A517,'BC.115+040'!$B$13:$X$4089,15,0)/1000</f>
        <v>#REF!</v>
      </c>
      <c r="J517" s="131" t="e">
        <f>VLOOKUP($A517,'BC.115+040'!$B$13:$X$4089,20,0)/1000</f>
        <v>#REF!</v>
      </c>
      <c r="K517" s="131" t="e">
        <f>VLOOKUP($A517,'BC.115+040'!$B$13:$X$4089,21,0)/1000</f>
        <v>#REF!</v>
      </c>
      <c r="L517" s="129" t="e">
        <f t="shared" si="29"/>
        <v>#REF!</v>
      </c>
      <c r="M517" s="130" t="e">
        <f t="shared" si="30"/>
        <v>#REF!</v>
      </c>
      <c r="N517" s="129" t="e">
        <f t="shared" si="31"/>
        <v>#REF!</v>
      </c>
      <c r="O517" s="129"/>
    </row>
    <row r="518" spans="1:15">
      <c r="A518" s="67" t="e">
        <f>'BC.115+040'!B517</f>
        <v>#REF!</v>
      </c>
      <c r="B518" s="129">
        <f t="shared" si="28"/>
        <v>504</v>
      </c>
      <c r="C518" s="131" t="e">
        <f>'BC.115+040'!M517/1000</f>
        <v>#REF!</v>
      </c>
      <c r="D518" s="131" t="e">
        <f>'BC.115+040'!AA517</f>
        <v>#REF!</v>
      </c>
      <c r="E518" s="132" t="e">
        <f>'BC.115+040'!AB517</f>
        <v>#REF!</v>
      </c>
      <c r="F518" s="131" t="e">
        <f>VLOOKUP($A518,'BC.115+040'!$B$13:$X$4809,8,0)/1000</f>
        <v>#REF!</v>
      </c>
      <c r="G518" s="131" t="e">
        <f>VLOOKUP($A518,'BC.115+040'!$B$13:$X$4809,9,0)/1000</f>
        <v>#REF!</v>
      </c>
      <c r="H518" s="131" t="e">
        <f>VLOOKUP($A518,'BC.115+040'!$B$13:$X$4809,14,0)/1000</f>
        <v>#REF!</v>
      </c>
      <c r="I518" s="131" t="e">
        <f>VLOOKUP($A518,'BC.115+040'!$B$13:$X$4089,15,0)/1000</f>
        <v>#REF!</v>
      </c>
      <c r="J518" s="131" t="e">
        <f>VLOOKUP($A518,'BC.115+040'!$B$13:$X$4089,20,0)/1000</f>
        <v>#REF!</v>
      </c>
      <c r="K518" s="131" t="e">
        <f>VLOOKUP($A518,'BC.115+040'!$B$13:$X$4089,21,0)/1000</f>
        <v>#REF!</v>
      </c>
      <c r="L518" s="129" t="e">
        <f t="shared" si="29"/>
        <v>#REF!</v>
      </c>
      <c r="M518" s="130" t="e">
        <f t="shared" si="30"/>
        <v>#REF!</v>
      </c>
      <c r="N518" s="129" t="e">
        <f t="shared" si="31"/>
        <v>#REF!</v>
      </c>
      <c r="O518" s="129"/>
    </row>
    <row r="519" spans="1:15">
      <c r="A519" s="67" t="e">
        <f>'BC.115+040'!B518</f>
        <v>#REF!</v>
      </c>
      <c r="B519" s="129">
        <f t="shared" si="28"/>
        <v>505</v>
      </c>
      <c r="C519" s="131" t="e">
        <f>'BC.115+040'!M518/1000</f>
        <v>#REF!</v>
      </c>
      <c r="D519" s="131" t="e">
        <f>'BC.115+040'!AA518</f>
        <v>#REF!</v>
      </c>
      <c r="E519" s="132" t="e">
        <f>'BC.115+040'!AB518</f>
        <v>#REF!</v>
      </c>
      <c r="F519" s="131" t="e">
        <f>VLOOKUP($A519,'BC.115+040'!$B$13:$X$4809,8,0)/1000</f>
        <v>#REF!</v>
      </c>
      <c r="G519" s="131" t="e">
        <f>VLOOKUP($A519,'BC.115+040'!$B$13:$X$4809,9,0)/1000</f>
        <v>#REF!</v>
      </c>
      <c r="H519" s="131" t="e">
        <f>VLOOKUP($A519,'BC.115+040'!$B$13:$X$4809,14,0)/1000</f>
        <v>#REF!</v>
      </c>
      <c r="I519" s="131" t="e">
        <f>VLOOKUP($A519,'BC.115+040'!$B$13:$X$4089,15,0)/1000</f>
        <v>#REF!</v>
      </c>
      <c r="J519" s="131" t="e">
        <f>VLOOKUP($A519,'BC.115+040'!$B$13:$X$4089,20,0)/1000</f>
        <v>#REF!</v>
      </c>
      <c r="K519" s="131" t="e">
        <f>VLOOKUP($A519,'BC.115+040'!$B$13:$X$4089,21,0)/1000</f>
        <v>#REF!</v>
      </c>
      <c r="L519" s="129" t="e">
        <f t="shared" si="29"/>
        <v>#REF!</v>
      </c>
      <c r="M519" s="130" t="e">
        <f t="shared" si="30"/>
        <v>#REF!</v>
      </c>
      <c r="N519" s="129" t="e">
        <f t="shared" si="31"/>
        <v>#REF!</v>
      </c>
      <c r="O519" s="129"/>
    </row>
    <row r="520" spans="1:15">
      <c r="A520" s="67" t="e">
        <f>'BC.115+040'!B519</f>
        <v>#REF!</v>
      </c>
      <c r="B520" s="129">
        <f t="shared" si="28"/>
        <v>506</v>
      </c>
      <c r="C520" s="131" t="e">
        <f>'BC.115+040'!M519/1000</f>
        <v>#REF!</v>
      </c>
      <c r="D520" s="131" t="e">
        <f>'BC.115+040'!AA519</f>
        <v>#REF!</v>
      </c>
      <c r="E520" s="132" t="e">
        <f>'BC.115+040'!AB519</f>
        <v>#REF!</v>
      </c>
      <c r="F520" s="131" t="e">
        <f>VLOOKUP($A520,'BC.115+040'!$B$13:$X$4809,8,0)/1000</f>
        <v>#REF!</v>
      </c>
      <c r="G520" s="131" t="e">
        <f>VLOOKUP($A520,'BC.115+040'!$B$13:$X$4809,9,0)/1000</f>
        <v>#REF!</v>
      </c>
      <c r="H520" s="131" t="e">
        <f>VLOOKUP($A520,'BC.115+040'!$B$13:$X$4809,14,0)/1000</f>
        <v>#REF!</v>
      </c>
      <c r="I520" s="131" t="e">
        <f>VLOOKUP($A520,'BC.115+040'!$B$13:$X$4089,15,0)/1000</f>
        <v>#REF!</v>
      </c>
      <c r="J520" s="131" t="e">
        <f>VLOOKUP($A520,'BC.115+040'!$B$13:$X$4089,20,0)/1000</f>
        <v>#REF!</v>
      </c>
      <c r="K520" s="131" t="e">
        <f>VLOOKUP($A520,'BC.115+040'!$B$13:$X$4089,21,0)/1000</f>
        <v>#REF!</v>
      </c>
      <c r="L520" s="129" t="e">
        <f t="shared" si="29"/>
        <v>#REF!</v>
      </c>
      <c r="M520" s="130" t="e">
        <f t="shared" si="30"/>
        <v>#REF!</v>
      </c>
      <c r="N520" s="129" t="e">
        <f t="shared" si="31"/>
        <v>#REF!</v>
      </c>
      <c r="O520" s="129"/>
    </row>
    <row r="521" spans="1:15">
      <c r="A521" s="67" t="e">
        <f>'BC.115+040'!B520</f>
        <v>#REF!</v>
      </c>
      <c r="B521" s="129">
        <f t="shared" si="28"/>
        <v>507</v>
      </c>
      <c r="C521" s="131" t="e">
        <f>'BC.115+040'!M520/1000</f>
        <v>#REF!</v>
      </c>
      <c r="D521" s="131" t="e">
        <f>'BC.115+040'!AA520</f>
        <v>#REF!</v>
      </c>
      <c r="E521" s="132" t="e">
        <f>'BC.115+040'!AB520</f>
        <v>#REF!</v>
      </c>
      <c r="F521" s="131" t="e">
        <f>VLOOKUP($A521,'BC.115+040'!$B$13:$X$4809,8,0)/1000</f>
        <v>#REF!</v>
      </c>
      <c r="G521" s="131" t="e">
        <f>VLOOKUP($A521,'BC.115+040'!$B$13:$X$4809,9,0)/1000</f>
        <v>#REF!</v>
      </c>
      <c r="H521" s="131" t="e">
        <f>VLOOKUP($A521,'BC.115+040'!$B$13:$X$4809,14,0)/1000</f>
        <v>#REF!</v>
      </c>
      <c r="I521" s="131" t="e">
        <f>VLOOKUP($A521,'BC.115+040'!$B$13:$X$4089,15,0)/1000</f>
        <v>#REF!</v>
      </c>
      <c r="J521" s="131" t="e">
        <f>VLOOKUP($A521,'BC.115+040'!$B$13:$X$4089,20,0)/1000</f>
        <v>#REF!</v>
      </c>
      <c r="K521" s="131" t="e">
        <f>VLOOKUP($A521,'BC.115+040'!$B$13:$X$4089,21,0)/1000</f>
        <v>#REF!</v>
      </c>
      <c r="L521" s="129" t="e">
        <f t="shared" si="29"/>
        <v>#REF!</v>
      </c>
      <c r="M521" s="130" t="e">
        <f t="shared" si="30"/>
        <v>#REF!</v>
      </c>
      <c r="N521" s="129" t="e">
        <f t="shared" si="31"/>
        <v>#REF!</v>
      </c>
      <c r="O521" s="129"/>
    </row>
    <row r="522" spans="1:15">
      <c r="A522" s="67" t="e">
        <f>'BC.115+040'!B521</f>
        <v>#REF!</v>
      </c>
      <c r="B522" s="129">
        <f t="shared" si="28"/>
        <v>508</v>
      </c>
      <c r="C522" s="131" t="e">
        <f>'BC.115+040'!M521/1000</f>
        <v>#REF!</v>
      </c>
      <c r="D522" s="131" t="e">
        <f>'BC.115+040'!AA521</f>
        <v>#REF!</v>
      </c>
      <c r="E522" s="132" t="e">
        <f>'BC.115+040'!AB521</f>
        <v>#REF!</v>
      </c>
      <c r="F522" s="131" t="e">
        <f>VLOOKUP($A522,'BC.115+040'!$B$13:$X$4809,8,0)/1000</f>
        <v>#REF!</v>
      </c>
      <c r="G522" s="131" t="e">
        <f>VLOOKUP($A522,'BC.115+040'!$B$13:$X$4809,9,0)/1000</f>
        <v>#REF!</v>
      </c>
      <c r="H522" s="131" t="e">
        <f>VLOOKUP($A522,'BC.115+040'!$B$13:$X$4809,14,0)/1000</f>
        <v>#REF!</v>
      </c>
      <c r="I522" s="131" t="e">
        <f>VLOOKUP($A522,'BC.115+040'!$B$13:$X$4089,15,0)/1000</f>
        <v>#REF!</v>
      </c>
      <c r="J522" s="131" t="e">
        <f>VLOOKUP($A522,'BC.115+040'!$B$13:$X$4089,20,0)/1000</f>
        <v>#REF!</v>
      </c>
      <c r="K522" s="131" t="e">
        <f>VLOOKUP($A522,'BC.115+040'!$B$13:$X$4089,21,0)/1000</f>
        <v>#REF!</v>
      </c>
      <c r="L522" s="129" t="e">
        <f t="shared" si="29"/>
        <v>#REF!</v>
      </c>
      <c r="M522" s="130" t="e">
        <f t="shared" si="30"/>
        <v>#REF!</v>
      </c>
      <c r="N522" s="129" t="e">
        <f t="shared" si="31"/>
        <v>#REF!</v>
      </c>
      <c r="O522" s="129"/>
    </row>
    <row r="523" spans="1:15">
      <c r="A523" s="67" t="e">
        <f>'BC.115+040'!B522</f>
        <v>#REF!</v>
      </c>
      <c r="B523" s="129">
        <f t="shared" si="28"/>
        <v>509</v>
      </c>
      <c r="C523" s="131" t="e">
        <f>'BC.115+040'!M522/1000</f>
        <v>#REF!</v>
      </c>
      <c r="D523" s="131" t="e">
        <f>'BC.115+040'!AA522</f>
        <v>#REF!</v>
      </c>
      <c r="E523" s="132" t="e">
        <f>'BC.115+040'!AB522</f>
        <v>#REF!</v>
      </c>
      <c r="F523" s="131" t="e">
        <f>VLOOKUP($A523,'BC.115+040'!$B$13:$X$4809,8,0)/1000</f>
        <v>#REF!</v>
      </c>
      <c r="G523" s="131" t="e">
        <f>VLOOKUP($A523,'BC.115+040'!$B$13:$X$4809,9,0)/1000</f>
        <v>#REF!</v>
      </c>
      <c r="H523" s="131" t="e">
        <f>VLOOKUP($A523,'BC.115+040'!$B$13:$X$4809,14,0)/1000</f>
        <v>#REF!</v>
      </c>
      <c r="I523" s="131" t="e">
        <f>VLOOKUP($A523,'BC.115+040'!$B$13:$X$4089,15,0)/1000</f>
        <v>#REF!</v>
      </c>
      <c r="J523" s="131" t="e">
        <f>VLOOKUP($A523,'BC.115+040'!$B$13:$X$4089,20,0)/1000</f>
        <v>#REF!</v>
      </c>
      <c r="K523" s="131" t="e">
        <f>VLOOKUP($A523,'BC.115+040'!$B$13:$X$4089,21,0)/1000</f>
        <v>#REF!</v>
      </c>
      <c r="L523" s="129" t="e">
        <f t="shared" ref="L523" si="32">(G523-$G$14)*1000</f>
        <v>#REF!</v>
      </c>
      <c r="M523" s="130" t="e">
        <f t="shared" ref="M523" si="33">(I523-$I$14)*1000</f>
        <v>#REF!</v>
      </c>
      <c r="N523" s="129" t="e">
        <f t="shared" ref="N523" si="34">(K523-$K$14)*1000</f>
        <v>#REF!</v>
      </c>
      <c r="O523" s="129"/>
    </row>
    <row r="524" spans="1:15">
      <c r="A524" s="67" t="e">
        <f>'BC.115+040'!B523</f>
        <v>#REF!</v>
      </c>
      <c r="B524" s="129">
        <f t="shared" si="28"/>
        <v>510</v>
      </c>
      <c r="C524" s="131" t="e">
        <f>'BC.115+040'!M523/1000</f>
        <v>#REF!</v>
      </c>
      <c r="D524" s="131" t="e">
        <f>'BC.115+040'!AA523</f>
        <v>#REF!</v>
      </c>
      <c r="E524" s="132" t="e">
        <f>'BC.115+040'!AB523</f>
        <v>#REF!</v>
      </c>
      <c r="F524" s="131" t="e">
        <f>VLOOKUP($A524,'BC.115+040'!$B$13:$X$4809,8,0)/1000</f>
        <v>#REF!</v>
      </c>
      <c r="G524" s="131" t="e">
        <f>VLOOKUP($A524,'BC.115+040'!$B$13:$X$4809,9,0)/1000</f>
        <v>#REF!</v>
      </c>
      <c r="H524" s="131" t="e">
        <f>VLOOKUP($A524,'BC.115+040'!$B$13:$X$4809,14,0)/1000</f>
        <v>#REF!</v>
      </c>
      <c r="I524" s="131" t="e">
        <f>VLOOKUP($A524,'BC.115+040'!$B$13:$X$4089,15,0)/1000</f>
        <v>#REF!</v>
      </c>
      <c r="J524" s="131" t="e">
        <f>VLOOKUP($A524,'BC.115+040'!$B$13:$X$4089,20,0)/1000</f>
        <v>#REF!</v>
      </c>
      <c r="K524" s="131" t="e">
        <f>VLOOKUP($A524,'BC.115+040'!$B$13:$X$4089,21,0)/1000</f>
        <v>#REF!</v>
      </c>
      <c r="L524" s="129" t="e">
        <f t="shared" ref="L524" si="35">(G524-$G$14)*1000</f>
        <v>#REF!</v>
      </c>
      <c r="M524" s="130" t="e">
        <f t="shared" ref="M524" si="36">(I524-$I$14)*1000</f>
        <v>#REF!</v>
      </c>
      <c r="N524" s="129" t="e">
        <f t="shared" ref="N524" si="37">(K524-$K$14)*1000</f>
        <v>#REF!</v>
      </c>
      <c r="O524" s="129"/>
    </row>
    <row r="525" spans="1:15">
      <c r="A525" s="67" t="e">
        <f>'BC.115+040'!B524</f>
        <v>#REF!</v>
      </c>
      <c r="B525" s="129">
        <f t="shared" si="28"/>
        <v>511</v>
      </c>
      <c r="C525" s="131" t="e">
        <f>'BC.115+040'!M524/1000</f>
        <v>#REF!</v>
      </c>
      <c r="D525" s="131" t="e">
        <f>'BC.115+040'!AA524</f>
        <v>#REF!</v>
      </c>
      <c r="E525" s="132" t="e">
        <f>'BC.115+040'!AB524</f>
        <v>#REF!</v>
      </c>
      <c r="F525" s="131" t="e">
        <f>VLOOKUP($A525,'BC.115+040'!$B$13:$X$4809,8,0)/1000</f>
        <v>#REF!</v>
      </c>
      <c r="G525" s="131" t="e">
        <f>VLOOKUP($A525,'BC.115+040'!$B$13:$X$4809,9,0)/1000</f>
        <v>#REF!</v>
      </c>
      <c r="H525" s="131" t="e">
        <f>VLOOKUP($A525,'BC.115+040'!$B$13:$X$4809,14,0)/1000</f>
        <v>#REF!</v>
      </c>
      <c r="I525" s="131" t="e">
        <f>VLOOKUP($A525,'BC.115+040'!$B$13:$X$4089,15,0)/1000</f>
        <v>#REF!</v>
      </c>
      <c r="J525" s="131" t="e">
        <f>VLOOKUP($A525,'BC.115+040'!$B$13:$X$4089,20,0)/1000</f>
        <v>#REF!</v>
      </c>
      <c r="K525" s="131" t="e">
        <f>VLOOKUP($A525,'BC.115+040'!$B$13:$X$4089,21,0)/1000</f>
        <v>#REF!</v>
      </c>
      <c r="L525" s="129" t="e">
        <f t="shared" ref="L525" si="38">(G525-$G$14)*1000</f>
        <v>#REF!</v>
      </c>
      <c r="M525" s="130" t="e">
        <f t="shared" ref="M525" si="39">(I525-$I$14)*1000</f>
        <v>#REF!</v>
      </c>
      <c r="N525" s="129" t="e">
        <f t="shared" ref="N525" si="40">(K525-$K$14)*1000</f>
        <v>#REF!</v>
      </c>
      <c r="O525" s="129"/>
    </row>
    <row r="526" spans="1:15">
      <c r="A526" s="67" t="e">
        <f>'BC.115+040'!B525</f>
        <v>#REF!</v>
      </c>
      <c r="B526" s="129">
        <f t="shared" si="28"/>
        <v>512</v>
      </c>
      <c r="C526" s="131" t="e">
        <f>'BC.115+040'!M525/1000</f>
        <v>#REF!</v>
      </c>
      <c r="D526" s="131" t="e">
        <f>'BC.115+040'!AA525</f>
        <v>#REF!</v>
      </c>
      <c r="E526" s="132" t="e">
        <f>'BC.115+040'!AB525</f>
        <v>#REF!</v>
      </c>
      <c r="F526" s="131" t="e">
        <f>VLOOKUP($A526,'BC.115+040'!$B$13:$X$4809,8,0)/1000</f>
        <v>#REF!</v>
      </c>
      <c r="G526" s="131" t="e">
        <f>VLOOKUP($A526,'BC.115+040'!$B$13:$X$4809,9,0)/1000</f>
        <v>#REF!</v>
      </c>
      <c r="H526" s="131" t="e">
        <f>VLOOKUP($A526,'BC.115+040'!$B$13:$X$4809,14,0)/1000</f>
        <v>#REF!</v>
      </c>
      <c r="I526" s="131" t="e">
        <f>VLOOKUP($A526,'BC.115+040'!$B$13:$X$4089,15,0)/1000</f>
        <v>#REF!</v>
      </c>
      <c r="J526" s="131" t="e">
        <f>VLOOKUP($A526,'BC.115+040'!$B$13:$X$4089,20,0)/1000</f>
        <v>#REF!</v>
      </c>
      <c r="K526" s="131" t="e">
        <f>VLOOKUP($A526,'BC.115+040'!$B$13:$X$4089,21,0)/1000</f>
        <v>#REF!</v>
      </c>
      <c r="L526" s="129" t="e">
        <f t="shared" ref="L526" si="41">(G526-$G$14)*1000</f>
        <v>#REF!</v>
      </c>
      <c r="M526" s="130" t="e">
        <f t="shared" ref="M526" si="42">(I526-$I$14)*1000</f>
        <v>#REF!</v>
      </c>
      <c r="N526" s="129" t="e">
        <f t="shared" ref="N526" si="43">(K526-$K$14)*1000</f>
        <v>#REF!</v>
      </c>
      <c r="O526" s="129"/>
    </row>
    <row r="527" spans="1:15">
      <c r="A527" s="67" t="e">
        <f>'BC.115+040'!B526</f>
        <v>#REF!</v>
      </c>
      <c r="B527" s="129">
        <f t="shared" si="28"/>
        <v>513</v>
      </c>
      <c r="C527" s="131" t="e">
        <f>'BC.115+040'!M526/1000</f>
        <v>#REF!</v>
      </c>
      <c r="D527" s="131" t="e">
        <f>'BC.115+040'!AA526</f>
        <v>#REF!</v>
      </c>
      <c r="E527" s="132" t="e">
        <f>'BC.115+040'!AB526</f>
        <v>#REF!</v>
      </c>
      <c r="F527" s="131" t="e">
        <f>VLOOKUP($A527,'BC.115+040'!$B$13:$X$4809,8,0)/1000</f>
        <v>#REF!</v>
      </c>
      <c r="G527" s="131" t="e">
        <f>VLOOKUP($A527,'BC.115+040'!$B$13:$X$4809,9,0)/1000</f>
        <v>#REF!</v>
      </c>
      <c r="H527" s="131" t="e">
        <f>VLOOKUP($A527,'BC.115+040'!$B$13:$X$4809,14,0)/1000</f>
        <v>#REF!</v>
      </c>
      <c r="I527" s="131" t="e">
        <f>VLOOKUP($A527,'BC.115+040'!$B$13:$X$4089,15,0)/1000</f>
        <v>#REF!</v>
      </c>
      <c r="J527" s="131" t="e">
        <f>VLOOKUP($A527,'BC.115+040'!$B$13:$X$4089,20,0)/1000</f>
        <v>#REF!</v>
      </c>
      <c r="K527" s="131" t="e">
        <f>VLOOKUP($A527,'BC.115+040'!$B$13:$X$4089,21,0)/1000</f>
        <v>#REF!</v>
      </c>
      <c r="L527" s="129" t="e">
        <f t="shared" ref="L527" si="44">(G527-$G$14)*1000</f>
        <v>#REF!</v>
      </c>
      <c r="M527" s="130" t="e">
        <f t="shared" ref="M527" si="45">(I527-$I$14)*1000</f>
        <v>#REF!</v>
      </c>
      <c r="N527" s="129" t="e">
        <f t="shared" ref="N527" si="46">(K527-$K$14)*1000</f>
        <v>#REF!</v>
      </c>
      <c r="O527" s="129"/>
    </row>
    <row r="528" spans="1:15">
      <c r="A528" s="67"/>
      <c r="B528" s="129"/>
      <c r="C528" s="131"/>
      <c r="D528" s="131"/>
      <c r="E528" s="132"/>
      <c r="F528" s="131"/>
      <c r="G528" s="131"/>
      <c r="H528" s="131"/>
      <c r="I528" s="131"/>
      <c r="J528" s="131"/>
      <c r="K528" s="131"/>
      <c r="L528" s="129"/>
      <c r="M528" s="130"/>
      <c r="N528" s="129"/>
      <c r="O528" s="129"/>
    </row>
    <row r="529" spans="1:15">
      <c r="A529" s="67"/>
      <c r="B529" s="129"/>
      <c r="C529" s="131"/>
      <c r="D529" s="131"/>
      <c r="E529" s="132"/>
      <c r="F529" s="131"/>
      <c r="G529" s="131"/>
      <c r="H529" s="131"/>
      <c r="I529" s="131"/>
      <c r="J529" s="131"/>
      <c r="K529" s="131"/>
      <c r="L529" s="129"/>
      <c r="M529" s="130"/>
      <c r="N529" s="129"/>
      <c r="O529" s="129"/>
    </row>
    <row r="530" spans="1:15">
      <c r="A530" s="67"/>
      <c r="B530" s="129"/>
      <c r="C530" s="131"/>
      <c r="D530" s="131"/>
      <c r="E530" s="132"/>
      <c r="F530" s="131"/>
      <c r="G530" s="131"/>
      <c r="H530" s="131"/>
      <c r="I530" s="131"/>
      <c r="J530" s="131"/>
      <c r="K530" s="131"/>
      <c r="L530" s="129"/>
      <c r="M530" s="130"/>
      <c r="N530" s="129"/>
      <c r="O530" s="129"/>
    </row>
    <row r="531" spans="1:15">
      <c r="A531" s="67"/>
      <c r="B531" s="129"/>
      <c r="C531" s="131"/>
      <c r="D531" s="131"/>
      <c r="E531" s="132"/>
      <c r="F531" s="131"/>
      <c r="G531" s="131"/>
      <c r="H531" s="131"/>
      <c r="I531" s="131"/>
      <c r="J531" s="131"/>
      <c r="K531" s="131"/>
      <c r="L531" s="129"/>
      <c r="M531" s="130"/>
      <c r="N531" s="129"/>
      <c r="O531" s="129"/>
    </row>
    <row r="532" spans="1:15">
      <c r="A532" s="67"/>
      <c r="B532" s="129"/>
      <c r="C532" s="131"/>
      <c r="D532" s="131"/>
      <c r="E532" s="132"/>
      <c r="F532" s="131"/>
      <c r="G532" s="131"/>
      <c r="H532" s="131"/>
      <c r="I532" s="131"/>
      <c r="J532" s="131"/>
      <c r="K532" s="131"/>
      <c r="L532" s="129"/>
      <c r="M532" s="130"/>
      <c r="N532" s="129"/>
      <c r="O532" s="129"/>
    </row>
    <row r="533" spans="1:15">
      <c r="A533" s="67"/>
      <c r="B533" s="129"/>
      <c r="C533" s="131"/>
      <c r="D533" s="131"/>
      <c r="E533" s="132"/>
      <c r="F533" s="131"/>
      <c r="G533" s="131"/>
      <c r="H533" s="131"/>
      <c r="I533" s="131"/>
      <c r="J533" s="131"/>
      <c r="K533" s="131"/>
      <c r="L533" s="129"/>
      <c r="M533" s="130"/>
      <c r="N533" s="129"/>
      <c r="O533" s="129"/>
    </row>
    <row r="534" spans="1:15">
      <c r="A534" s="67"/>
      <c r="B534" s="129"/>
      <c r="C534" s="131"/>
      <c r="D534" s="131"/>
      <c r="E534" s="132"/>
      <c r="F534" s="131"/>
      <c r="G534" s="131"/>
      <c r="H534" s="131"/>
      <c r="I534" s="131"/>
      <c r="J534" s="131"/>
      <c r="K534" s="131"/>
      <c r="L534" s="129"/>
      <c r="M534" s="130"/>
      <c r="N534" s="129"/>
      <c r="O534" s="129"/>
    </row>
    <row r="535" spans="1:15">
      <c r="A535" s="67"/>
      <c r="B535" s="129"/>
      <c r="C535" s="131"/>
      <c r="D535" s="131"/>
      <c r="E535" s="132"/>
      <c r="F535" s="131"/>
      <c r="G535" s="131"/>
      <c r="H535" s="131"/>
      <c r="I535" s="131"/>
      <c r="J535" s="131"/>
      <c r="K535" s="131"/>
      <c r="L535" s="129"/>
      <c r="M535" s="130"/>
      <c r="N535" s="129"/>
      <c r="O535" s="129"/>
    </row>
    <row r="536" spans="1:15">
      <c r="A536" s="67"/>
      <c r="B536" s="129"/>
      <c r="C536" s="131"/>
      <c r="D536" s="131"/>
      <c r="E536" s="132"/>
      <c r="F536" s="131"/>
      <c r="G536" s="131"/>
      <c r="H536" s="131"/>
      <c r="I536" s="131"/>
      <c r="J536" s="131"/>
      <c r="K536" s="131"/>
      <c r="L536" s="129"/>
      <c r="M536" s="130"/>
      <c r="N536" s="129"/>
      <c r="O536" s="129"/>
    </row>
    <row r="537" spans="1:15">
      <c r="A537" s="67"/>
      <c r="B537" s="129"/>
      <c r="C537" s="131"/>
      <c r="D537" s="131"/>
      <c r="E537" s="132"/>
      <c r="F537" s="131"/>
      <c r="G537" s="131"/>
      <c r="H537" s="131"/>
      <c r="I537" s="131"/>
      <c r="J537" s="131"/>
      <c r="K537" s="131"/>
      <c r="L537" s="129"/>
      <c r="M537" s="130"/>
      <c r="N537" s="129"/>
      <c r="O537" s="129"/>
    </row>
    <row r="538" spans="1:15">
      <c r="A538" s="67"/>
      <c r="B538" s="129"/>
      <c r="C538" s="131"/>
      <c r="D538" s="131"/>
      <c r="E538" s="132"/>
      <c r="F538" s="131"/>
      <c r="G538" s="131"/>
      <c r="H538" s="131"/>
      <c r="I538" s="131"/>
      <c r="J538" s="131"/>
      <c r="K538" s="131"/>
      <c r="L538" s="129"/>
      <c r="M538" s="130"/>
      <c r="N538" s="129"/>
      <c r="O538" s="129"/>
    </row>
    <row r="539" spans="1:15">
      <c r="A539" s="67"/>
      <c r="B539" s="129"/>
      <c r="C539" s="131"/>
      <c r="D539" s="131"/>
      <c r="E539" s="132"/>
      <c r="F539" s="131"/>
      <c r="G539" s="131"/>
      <c r="H539" s="131"/>
      <c r="I539" s="131"/>
      <c r="J539" s="131"/>
      <c r="K539" s="131"/>
      <c r="L539" s="129"/>
      <c r="M539" s="130"/>
      <c r="N539" s="129"/>
      <c r="O539" s="129"/>
    </row>
    <row r="540" spans="1:15">
      <c r="A540" s="67"/>
      <c r="B540" s="129"/>
      <c r="C540" s="131"/>
      <c r="D540" s="131"/>
      <c r="E540" s="132"/>
      <c r="F540" s="131"/>
      <c r="G540" s="131"/>
      <c r="H540" s="131"/>
      <c r="I540" s="131"/>
      <c r="J540" s="131"/>
      <c r="K540" s="131"/>
      <c r="L540" s="129"/>
      <c r="M540" s="130"/>
      <c r="N540" s="129"/>
      <c r="O540" s="129"/>
    </row>
    <row r="541" spans="1:15">
      <c r="A541" s="67"/>
      <c r="B541" s="129"/>
      <c r="C541" s="131"/>
      <c r="D541" s="131"/>
      <c r="E541" s="132"/>
      <c r="F541" s="131"/>
      <c r="G541" s="131"/>
      <c r="H541" s="131"/>
      <c r="I541" s="131"/>
      <c r="J541" s="131"/>
      <c r="K541" s="131"/>
      <c r="L541" s="129"/>
      <c r="M541" s="130"/>
      <c r="N541" s="129"/>
      <c r="O541" s="129"/>
    </row>
    <row r="542" spans="1:15">
      <c r="A542" s="67"/>
      <c r="B542" s="129"/>
      <c r="C542" s="131"/>
      <c r="D542" s="131"/>
      <c r="E542" s="132"/>
      <c r="F542" s="131"/>
      <c r="G542" s="131"/>
      <c r="H542" s="131"/>
      <c r="I542" s="131"/>
      <c r="J542" s="131"/>
      <c r="K542" s="131"/>
      <c r="L542" s="129"/>
      <c r="M542" s="130"/>
      <c r="N542" s="129"/>
      <c r="O542" s="129"/>
    </row>
    <row r="543" spans="1:15">
      <c r="A543" s="67"/>
      <c r="B543" s="129"/>
      <c r="C543" s="131"/>
      <c r="D543" s="131"/>
      <c r="E543" s="132"/>
      <c r="F543" s="131"/>
      <c r="G543" s="131"/>
      <c r="H543" s="131"/>
      <c r="I543" s="131"/>
      <c r="J543" s="131"/>
      <c r="K543" s="131"/>
      <c r="L543" s="129"/>
      <c r="M543" s="130"/>
      <c r="N543" s="129"/>
      <c r="O543" s="129"/>
    </row>
    <row r="544" spans="1:15">
      <c r="A544" s="67"/>
      <c r="B544" s="129"/>
      <c r="C544" s="131"/>
      <c r="D544" s="131"/>
      <c r="E544" s="132"/>
      <c r="F544" s="131"/>
      <c r="G544" s="131"/>
      <c r="H544" s="131"/>
      <c r="I544" s="131"/>
      <c r="J544" s="131"/>
      <c r="K544" s="131"/>
      <c r="L544" s="129"/>
      <c r="M544" s="130"/>
      <c r="N544" s="129"/>
      <c r="O544" s="129"/>
    </row>
    <row r="545" spans="1:15">
      <c r="A545" s="67"/>
      <c r="B545" s="129"/>
      <c r="C545" s="131"/>
      <c r="D545" s="131"/>
      <c r="E545" s="132"/>
      <c r="F545" s="131"/>
      <c r="G545" s="131"/>
      <c r="H545" s="131"/>
      <c r="I545" s="131"/>
      <c r="J545" s="131"/>
      <c r="K545" s="131"/>
      <c r="L545" s="129"/>
      <c r="M545" s="130"/>
      <c r="N545" s="129"/>
      <c r="O545" s="129"/>
    </row>
    <row r="546" spans="1:15">
      <c r="A546" s="67"/>
      <c r="B546" s="129"/>
      <c r="C546" s="131"/>
      <c r="D546" s="131"/>
      <c r="E546" s="132"/>
      <c r="F546" s="131"/>
      <c r="G546" s="131"/>
      <c r="H546" s="131"/>
      <c r="I546" s="131"/>
      <c r="J546" s="131"/>
      <c r="K546" s="131"/>
      <c r="L546" s="129"/>
      <c r="M546" s="130"/>
      <c r="N546" s="129"/>
      <c r="O546" s="129"/>
    </row>
    <row r="547" spans="1:15">
      <c r="A547" s="67"/>
      <c r="B547" s="129"/>
      <c r="C547" s="131"/>
      <c r="D547" s="131"/>
      <c r="E547" s="132"/>
      <c r="F547" s="131"/>
      <c r="G547" s="131"/>
      <c r="H547" s="131"/>
      <c r="I547" s="131"/>
      <c r="J547" s="131"/>
      <c r="K547" s="131"/>
      <c r="L547" s="129"/>
      <c r="M547" s="130"/>
      <c r="N547" s="129"/>
      <c r="O547" s="129"/>
    </row>
    <row r="548" spans="1:15">
      <c r="A548" s="67"/>
      <c r="B548" s="129"/>
      <c r="C548" s="131"/>
      <c r="D548" s="131"/>
      <c r="E548" s="132"/>
      <c r="F548" s="131"/>
      <c r="G548" s="131"/>
      <c r="H548" s="131"/>
      <c r="I548" s="131"/>
      <c r="J548" s="131"/>
      <c r="K548" s="131"/>
      <c r="L548" s="129"/>
      <c r="M548" s="130"/>
      <c r="N548" s="129"/>
      <c r="O548" s="129"/>
    </row>
    <row r="549" spans="1:15">
      <c r="A549" s="67"/>
      <c r="B549" s="129"/>
      <c r="C549" s="131"/>
      <c r="D549" s="131"/>
      <c r="E549" s="132"/>
      <c r="F549" s="131"/>
      <c r="G549" s="131"/>
      <c r="H549" s="131"/>
      <c r="I549" s="131"/>
      <c r="J549" s="131"/>
      <c r="K549" s="131"/>
      <c r="L549" s="129"/>
      <c r="M549" s="130"/>
      <c r="N549" s="129"/>
      <c r="O549" s="129"/>
    </row>
    <row r="550" spans="1:15">
      <c r="A550" s="67"/>
      <c r="B550" s="129"/>
      <c r="C550" s="131"/>
      <c r="D550" s="131"/>
      <c r="E550" s="132"/>
      <c r="F550" s="131"/>
      <c r="G550" s="131"/>
      <c r="H550" s="131"/>
      <c r="I550" s="131"/>
      <c r="J550" s="131"/>
      <c r="K550" s="131"/>
      <c r="L550" s="129"/>
      <c r="M550" s="130"/>
      <c r="N550" s="129"/>
      <c r="O550" s="129"/>
    </row>
    <row r="551" spans="1:15">
      <c r="A551" s="67"/>
      <c r="B551" s="129"/>
      <c r="C551" s="131"/>
      <c r="D551" s="131"/>
      <c r="E551" s="132"/>
      <c r="F551" s="131"/>
      <c r="G551" s="131"/>
      <c r="H551" s="131"/>
      <c r="I551" s="131"/>
      <c r="J551" s="131"/>
      <c r="K551" s="131"/>
      <c r="L551" s="129"/>
      <c r="M551" s="130"/>
      <c r="N551" s="129"/>
      <c r="O551" s="129"/>
    </row>
    <row r="552" spans="1:15">
      <c r="A552" s="67"/>
      <c r="B552" s="129"/>
      <c r="C552" s="131"/>
      <c r="D552" s="131"/>
      <c r="E552" s="132"/>
      <c r="F552" s="131"/>
      <c r="G552" s="131"/>
      <c r="H552" s="131"/>
      <c r="I552" s="131"/>
      <c r="J552" s="131"/>
      <c r="K552" s="131"/>
      <c r="L552" s="129"/>
      <c r="M552" s="130"/>
      <c r="N552" s="129"/>
      <c r="O552" s="129"/>
    </row>
    <row r="553" spans="1:15">
      <c r="A553" s="67"/>
      <c r="B553" s="129"/>
      <c r="C553" s="131"/>
      <c r="D553" s="131"/>
      <c r="E553" s="132"/>
      <c r="F553" s="131"/>
      <c r="G553" s="131"/>
      <c r="H553" s="131"/>
      <c r="I553" s="131"/>
      <c r="J553" s="131"/>
      <c r="K553" s="131"/>
      <c r="L553" s="129"/>
      <c r="M553" s="130"/>
      <c r="N553" s="129"/>
      <c r="O553" s="129"/>
    </row>
    <row r="554" spans="1:15">
      <c r="A554" s="67"/>
      <c r="B554" s="129"/>
      <c r="C554" s="131"/>
      <c r="D554" s="131"/>
      <c r="E554" s="132"/>
      <c r="F554" s="131"/>
      <c r="G554" s="131"/>
      <c r="H554" s="131"/>
      <c r="I554" s="131"/>
      <c r="J554" s="131"/>
      <c r="K554" s="131"/>
      <c r="L554" s="129"/>
      <c r="M554" s="130"/>
      <c r="N554" s="129"/>
      <c r="O554" s="129"/>
    </row>
    <row r="555" spans="1:15">
      <c r="A555" s="67"/>
      <c r="B555" s="129"/>
      <c r="C555" s="131"/>
      <c r="D555" s="131"/>
      <c r="E555" s="132"/>
      <c r="F555" s="131"/>
      <c r="G555" s="131"/>
      <c r="H555" s="131"/>
      <c r="I555" s="131"/>
      <c r="J555" s="131"/>
      <c r="K555" s="131"/>
      <c r="L555" s="129"/>
      <c r="M555" s="130"/>
      <c r="N555" s="129"/>
      <c r="O555" s="129"/>
    </row>
    <row r="556" spans="1:15">
      <c r="A556" s="67"/>
      <c r="B556" s="129"/>
      <c r="C556" s="131"/>
      <c r="D556" s="131"/>
      <c r="E556" s="132"/>
      <c r="F556" s="131"/>
      <c r="G556" s="131"/>
      <c r="H556" s="131"/>
      <c r="I556" s="131"/>
      <c r="J556" s="131"/>
      <c r="K556" s="131"/>
      <c r="L556" s="129"/>
      <c r="M556" s="130"/>
      <c r="N556" s="129"/>
      <c r="O556" s="129"/>
    </row>
    <row r="557" spans="1:15">
      <c r="A557" s="67"/>
      <c r="B557" s="129"/>
      <c r="C557" s="131"/>
      <c r="D557" s="131"/>
      <c r="E557" s="132"/>
      <c r="F557" s="131"/>
      <c r="G557" s="131"/>
      <c r="H557" s="131"/>
      <c r="I557" s="131"/>
      <c r="J557" s="131"/>
      <c r="K557" s="131"/>
      <c r="L557" s="129"/>
      <c r="M557" s="130"/>
      <c r="N557" s="129"/>
      <c r="O557" s="129"/>
    </row>
    <row r="558" spans="1:15">
      <c r="A558" s="67"/>
      <c r="B558" s="129"/>
      <c r="C558" s="131"/>
      <c r="D558" s="131"/>
      <c r="E558" s="132"/>
      <c r="F558" s="131"/>
      <c r="G558" s="131"/>
      <c r="H558" s="131"/>
      <c r="I558" s="131"/>
      <c r="J558" s="131"/>
      <c r="K558" s="131"/>
      <c r="L558" s="129"/>
      <c r="M558" s="130"/>
      <c r="N558" s="129"/>
      <c r="O558" s="129"/>
    </row>
    <row r="559" spans="1:15">
      <c r="A559" s="67"/>
      <c r="B559" s="129"/>
      <c r="C559" s="131"/>
      <c r="D559" s="131"/>
      <c r="E559" s="132"/>
      <c r="F559" s="131"/>
      <c r="G559" s="131"/>
      <c r="H559" s="131"/>
      <c r="I559" s="131"/>
      <c r="J559" s="131"/>
      <c r="K559" s="131"/>
      <c r="L559" s="129"/>
      <c r="M559" s="130"/>
      <c r="N559" s="129"/>
      <c r="O559" s="129"/>
    </row>
    <row r="560" spans="1:15">
      <c r="A560" s="67"/>
      <c r="B560" s="129"/>
      <c r="C560" s="131"/>
      <c r="D560" s="131"/>
      <c r="E560" s="132"/>
      <c r="F560" s="131"/>
      <c r="G560" s="131"/>
      <c r="H560" s="131"/>
      <c r="I560" s="131"/>
      <c r="J560" s="131"/>
      <c r="K560" s="131"/>
      <c r="L560" s="129"/>
      <c r="M560" s="130"/>
      <c r="N560" s="129"/>
      <c r="O560" s="129"/>
    </row>
    <row r="561" spans="1:15">
      <c r="A561" s="67"/>
      <c r="B561" s="129"/>
      <c r="C561" s="131"/>
      <c r="D561" s="131"/>
      <c r="E561" s="132"/>
      <c r="F561" s="131"/>
      <c r="G561" s="131"/>
      <c r="H561" s="131"/>
      <c r="I561" s="131"/>
      <c r="J561" s="131"/>
      <c r="K561" s="131"/>
      <c r="L561" s="129"/>
      <c r="M561" s="130"/>
      <c r="N561" s="129"/>
      <c r="O561" s="129"/>
    </row>
    <row r="562" spans="1:15">
      <c r="A562" s="67"/>
      <c r="B562" s="129"/>
      <c r="C562" s="131"/>
      <c r="D562" s="131"/>
      <c r="E562" s="132"/>
      <c r="F562" s="131"/>
      <c r="G562" s="131"/>
      <c r="H562" s="131"/>
      <c r="I562" s="131"/>
      <c r="J562" s="131"/>
      <c r="K562" s="131"/>
      <c r="L562" s="129"/>
      <c r="M562" s="130"/>
      <c r="N562" s="129"/>
      <c r="O562" s="129"/>
    </row>
    <row r="563" spans="1:15">
      <c r="A563" s="67"/>
      <c r="B563" s="129"/>
      <c r="C563" s="131"/>
      <c r="D563" s="131"/>
      <c r="E563" s="132"/>
      <c r="F563" s="131"/>
      <c r="G563" s="131"/>
      <c r="H563" s="131"/>
      <c r="I563" s="131"/>
      <c r="J563" s="131"/>
      <c r="K563" s="131"/>
      <c r="L563" s="129"/>
      <c r="M563" s="130"/>
      <c r="N563" s="129"/>
      <c r="O563" s="129"/>
    </row>
    <row r="564" spans="1:15">
      <c r="A564" s="67"/>
      <c r="B564" s="129"/>
      <c r="C564" s="131"/>
      <c r="D564" s="131"/>
      <c r="E564" s="132"/>
      <c r="F564" s="131"/>
      <c r="G564" s="131"/>
      <c r="H564" s="131"/>
      <c r="I564" s="131"/>
      <c r="J564" s="131"/>
      <c r="K564" s="131"/>
      <c r="L564" s="129"/>
      <c r="M564" s="130"/>
      <c r="N564" s="129"/>
      <c r="O564" s="129"/>
    </row>
    <row r="565" spans="1:15">
      <c r="A565" s="67"/>
      <c r="B565" s="129"/>
      <c r="C565" s="131"/>
      <c r="D565" s="131"/>
      <c r="E565" s="132"/>
      <c r="F565" s="131"/>
      <c r="G565" s="131"/>
      <c r="H565" s="131"/>
      <c r="I565" s="131"/>
      <c r="J565" s="131"/>
      <c r="K565" s="131"/>
      <c r="L565" s="129"/>
      <c r="M565" s="130"/>
      <c r="N565" s="129"/>
      <c r="O565" s="129"/>
    </row>
    <row r="566" spans="1:15">
      <c r="A566" s="67"/>
      <c r="B566" s="129"/>
      <c r="C566" s="131"/>
      <c r="D566" s="131"/>
      <c r="E566" s="132"/>
      <c r="F566" s="131"/>
      <c r="G566" s="131"/>
      <c r="H566" s="131"/>
      <c r="I566" s="131"/>
      <c r="J566" s="131"/>
      <c r="K566" s="131"/>
      <c r="L566" s="129"/>
      <c r="M566" s="130"/>
      <c r="N566" s="129"/>
      <c r="O566" s="129"/>
    </row>
    <row r="567" spans="1:15">
      <c r="A567" s="67"/>
      <c r="B567" s="129"/>
      <c r="C567" s="131"/>
      <c r="D567" s="131"/>
      <c r="E567" s="132"/>
      <c r="F567" s="131"/>
      <c r="G567" s="131"/>
      <c r="H567" s="131"/>
      <c r="I567" s="131"/>
      <c r="J567" s="131"/>
      <c r="K567" s="131"/>
      <c r="L567" s="129"/>
      <c r="M567" s="130"/>
      <c r="N567" s="129"/>
      <c r="O567" s="129"/>
    </row>
    <row r="568" spans="1:15">
      <c r="A568" s="67"/>
      <c r="B568" s="129"/>
      <c r="C568" s="131"/>
      <c r="D568" s="131"/>
      <c r="E568" s="132"/>
      <c r="F568" s="131"/>
      <c r="G568" s="131"/>
      <c r="H568" s="131"/>
      <c r="I568" s="131"/>
      <c r="J568" s="131"/>
      <c r="K568" s="131"/>
      <c r="L568" s="129"/>
      <c r="M568" s="130"/>
      <c r="N568" s="129"/>
      <c r="O568" s="129"/>
    </row>
    <row r="569" spans="1:15">
      <c r="A569" s="67"/>
      <c r="B569" s="129"/>
      <c r="C569" s="131"/>
      <c r="D569" s="131"/>
      <c r="E569" s="132"/>
      <c r="F569" s="131"/>
      <c r="G569" s="131"/>
      <c r="H569" s="131"/>
      <c r="I569" s="131"/>
      <c r="J569" s="131"/>
      <c r="K569" s="131"/>
      <c r="L569" s="129"/>
      <c r="M569" s="130"/>
      <c r="N569" s="129"/>
      <c r="O569" s="129"/>
    </row>
    <row r="570" spans="1:15">
      <c r="A570" s="67"/>
      <c r="B570" s="129"/>
      <c r="C570" s="131"/>
      <c r="D570" s="131"/>
      <c r="E570" s="132"/>
      <c r="F570" s="131"/>
      <c r="G570" s="131"/>
      <c r="H570" s="131"/>
      <c r="I570" s="131"/>
      <c r="J570" s="131"/>
      <c r="K570" s="131"/>
      <c r="L570" s="129"/>
      <c r="M570" s="130"/>
      <c r="N570" s="129"/>
      <c r="O570" s="129"/>
    </row>
    <row r="571" spans="1:15">
      <c r="A571" s="67"/>
      <c r="B571" s="129"/>
      <c r="C571" s="131"/>
      <c r="D571" s="131"/>
      <c r="E571" s="132"/>
      <c r="F571" s="131"/>
      <c r="G571" s="131"/>
      <c r="H571" s="131"/>
      <c r="I571" s="131"/>
      <c r="J571" s="131"/>
      <c r="K571" s="131"/>
      <c r="L571" s="129"/>
      <c r="M571" s="130"/>
      <c r="N571" s="129"/>
      <c r="O571" s="129"/>
    </row>
    <row r="572" spans="1:15">
      <c r="A572" s="67"/>
      <c r="B572" s="129"/>
      <c r="C572" s="131"/>
      <c r="D572" s="131"/>
      <c r="E572" s="132"/>
      <c r="F572" s="131"/>
      <c r="G572" s="131"/>
      <c r="H572" s="131"/>
      <c r="I572" s="131"/>
      <c r="J572" s="131"/>
      <c r="K572" s="131"/>
      <c r="L572" s="129"/>
      <c r="M572" s="130"/>
      <c r="N572" s="129"/>
      <c r="O572" s="129"/>
    </row>
    <row r="573" spans="1:15">
      <c r="A573" s="67"/>
      <c r="B573" s="129"/>
      <c r="C573" s="131"/>
      <c r="D573" s="131"/>
      <c r="E573" s="132"/>
      <c r="F573" s="131"/>
      <c r="G573" s="131"/>
      <c r="H573" s="131"/>
      <c r="I573" s="131"/>
      <c r="J573" s="131"/>
      <c r="K573" s="131"/>
      <c r="L573" s="129"/>
      <c r="M573" s="130"/>
      <c r="N573" s="129"/>
      <c r="O573" s="129"/>
    </row>
    <row r="574" spans="1:15">
      <c r="A574" s="67"/>
      <c r="B574" s="129"/>
      <c r="C574" s="131"/>
      <c r="D574" s="131"/>
      <c r="E574" s="132"/>
      <c r="F574" s="131"/>
      <c r="G574" s="131"/>
      <c r="H574" s="131"/>
      <c r="I574" s="131"/>
      <c r="J574" s="131"/>
      <c r="K574" s="131"/>
      <c r="L574" s="129"/>
      <c r="M574" s="130"/>
      <c r="N574" s="129"/>
      <c r="O574" s="129"/>
    </row>
    <row r="575" spans="1:15">
      <c r="A575" s="67"/>
      <c r="B575" s="129"/>
      <c r="C575" s="131"/>
      <c r="D575" s="131"/>
      <c r="E575" s="132"/>
      <c r="F575" s="131"/>
      <c r="G575" s="131"/>
      <c r="H575" s="131"/>
      <c r="I575" s="131"/>
      <c r="J575" s="131"/>
      <c r="K575" s="131"/>
      <c r="L575" s="129"/>
      <c r="M575" s="130"/>
      <c r="N575" s="129"/>
      <c r="O575" s="129"/>
    </row>
    <row r="576" spans="1:15">
      <c r="A576" s="67"/>
      <c r="B576" s="129"/>
      <c r="C576" s="131"/>
      <c r="D576" s="131"/>
      <c r="E576" s="132"/>
      <c r="F576" s="131"/>
      <c r="G576" s="131"/>
      <c r="H576" s="131"/>
      <c r="I576" s="131"/>
      <c r="J576" s="131"/>
      <c r="K576" s="131"/>
      <c r="L576" s="129"/>
      <c r="M576" s="130"/>
      <c r="N576" s="129"/>
      <c r="O576" s="129"/>
    </row>
    <row r="577" spans="1:15">
      <c r="A577" s="67"/>
      <c r="B577" s="129"/>
      <c r="C577" s="131"/>
      <c r="D577" s="131"/>
      <c r="E577" s="132"/>
      <c r="F577" s="131"/>
      <c r="G577" s="131"/>
      <c r="H577" s="131"/>
      <c r="I577" s="131"/>
      <c r="J577" s="131"/>
      <c r="K577" s="131"/>
      <c r="L577" s="129"/>
      <c r="M577" s="130"/>
      <c r="N577" s="129"/>
      <c r="O577" s="129"/>
    </row>
    <row r="578" spans="1:15">
      <c r="A578" s="67"/>
      <c r="B578" s="129"/>
      <c r="C578" s="131"/>
      <c r="D578" s="131"/>
      <c r="E578" s="132"/>
      <c r="F578" s="131"/>
      <c r="G578" s="131"/>
      <c r="H578" s="131"/>
      <c r="I578" s="131"/>
      <c r="J578" s="131"/>
      <c r="K578" s="131"/>
      <c r="L578" s="129"/>
      <c r="M578" s="130"/>
      <c r="N578" s="129"/>
      <c r="O578" s="129"/>
    </row>
    <row r="579" spans="1:15">
      <c r="A579" s="67"/>
      <c r="B579" s="129"/>
      <c r="C579" s="131"/>
      <c r="D579" s="131"/>
      <c r="E579" s="132"/>
      <c r="F579" s="131"/>
      <c r="G579" s="131"/>
      <c r="H579" s="131"/>
      <c r="I579" s="131"/>
      <c r="J579" s="131"/>
      <c r="K579" s="131"/>
      <c r="L579" s="129"/>
      <c r="M579" s="130"/>
      <c r="N579" s="129"/>
      <c r="O579" s="129"/>
    </row>
    <row r="580" spans="1:15">
      <c r="A580" s="67"/>
      <c r="B580" s="129"/>
      <c r="C580" s="131"/>
      <c r="D580" s="131"/>
      <c r="E580" s="132"/>
      <c r="F580" s="131"/>
      <c r="G580" s="131"/>
      <c r="H580" s="131"/>
      <c r="I580" s="131"/>
      <c r="J580" s="131"/>
      <c r="K580" s="131"/>
      <c r="L580" s="129"/>
      <c r="M580" s="130"/>
      <c r="N580" s="129"/>
      <c r="O580" s="129"/>
    </row>
    <row r="581" spans="1:15">
      <c r="A581" s="67"/>
      <c r="B581" s="129"/>
      <c r="C581" s="131"/>
      <c r="D581" s="131"/>
      <c r="E581" s="132"/>
      <c r="F581" s="131"/>
      <c r="G581" s="131"/>
      <c r="H581" s="131"/>
      <c r="I581" s="131"/>
      <c r="J581" s="131"/>
      <c r="K581" s="131"/>
      <c r="L581" s="129"/>
      <c r="M581" s="130"/>
      <c r="N581" s="129"/>
      <c r="O581" s="129"/>
    </row>
    <row r="582" spans="1:15">
      <c r="A582" s="67"/>
      <c r="B582" s="129"/>
      <c r="C582" s="131"/>
      <c r="D582" s="131"/>
      <c r="E582" s="132"/>
      <c r="F582" s="131"/>
      <c r="G582" s="131"/>
      <c r="H582" s="131"/>
      <c r="I582" s="131"/>
      <c r="J582" s="131"/>
      <c r="K582" s="131"/>
      <c r="L582" s="129"/>
      <c r="M582" s="130"/>
      <c r="N582" s="129"/>
      <c r="O582" s="129"/>
    </row>
    <row r="583" spans="1:15">
      <c r="A583" s="67"/>
      <c r="B583" s="129"/>
      <c r="C583" s="131"/>
      <c r="D583" s="131"/>
      <c r="E583" s="132"/>
      <c r="F583" s="131"/>
      <c r="G583" s="131"/>
      <c r="H583" s="131"/>
      <c r="I583" s="131"/>
      <c r="J583" s="131"/>
      <c r="K583" s="131"/>
      <c r="L583" s="129"/>
      <c r="M583" s="130"/>
      <c r="N583" s="129"/>
      <c r="O583" s="129"/>
    </row>
    <row r="584" spans="1:15">
      <c r="A584" s="67"/>
      <c r="B584" s="129"/>
      <c r="C584" s="131"/>
      <c r="D584" s="131"/>
      <c r="E584" s="132"/>
      <c r="F584" s="131"/>
      <c r="G584" s="131"/>
      <c r="H584" s="131"/>
      <c r="I584" s="131"/>
      <c r="J584" s="131"/>
      <c r="K584" s="131"/>
      <c r="L584" s="129"/>
      <c r="M584" s="130"/>
      <c r="N584" s="129"/>
      <c r="O584" s="129"/>
    </row>
    <row r="585" spans="1:15">
      <c r="A585" s="67"/>
      <c r="B585" s="129"/>
      <c r="C585" s="131"/>
      <c r="D585" s="131"/>
      <c r="E585" s="132"/>
      <c r="F585" s="131"/>
      <c r="G585" s="131"/>
      <c r="H585" s="131"/>
      <c r="I585" s="131"/>
      <c r="J585" s="131"/>
      <c r="K585" s="131"/>
      <c r="L585" s="129"/>
      <c r="M585" s="130"/>
      <c r="N585" s="129"/>
      <c r="O585" s="129"/>
    </row>
    <row r="586" spans="1:15">
      <c r="A586" s="67"/>
      <c r="B586" s="129"/>
      <c r="C586" s="131"/>
      <c r="D586" s="131"/>
      <c r="E586" s="132"/>
      <c r="F586" s="131"/>
      <c r="G586" s="131"/>
      <c r="H586" s="131"/>
      <c r="I586" s="131"/>
      <c r="J586" s="131"/>
      <c r="K586" s="131"/>
      <c r="L586" s="129"/>
      <c r="M586" s="130"/>
      <c r="N586" s="129"/>
      <c r="O586" s="129"/>
    </row>
    <row r="587" spans="1:15">
      <c r="A587" s="67"/>
      <c r="B587" s="129"/>
      <c r="C587" s="131"/>
      <c r="D587" s="131"/>
      <c r="E587" s="132"/>
      <c r="F587" s="131"/>
      <c r="G587" s="131"/>
      <c r="H587" s="131"/>
      <c r="I587" s="131"/>
      <c r="J587" s="131"/>
      <c r="K587" s="131"/>
      <c r="L587" s="129"/>
      <c r="M587" s="130"/>
      <c r="N587" s="129"/>
      <c r="O587" s="129"/>
    </row>
    <row r="588" spans="1:15">
      <c r="A588" s="67"/>
      <c r="B588" s="129"/>
      <c r="C588" s="131"/>
      <c r="D588" s="131"/>
      <c r="E588" s="132"/>
      <c r="F588" s="131"/>
      <c r="G588" s="131"/>
      <c r="H588" s="131"/>
      <c r="I588" s="131"/>
      <c r="J588" s="131"/>
      <c r="K588" s="131"/>
      <c r="L588" s="129"/>
      <c r="M588" s="130"/>
      <c r="N588" s="129"/>
      <c r="O588" s="129"/>
    </row>
    <row r="589" spans="1:15">
      <c r="A589" s="67"/>
      <c r="B589" s="129"/>
      <c r="C589" s="131"/>
      <c r="D589" s="131"/>
      <c r="E589" s="132"/>
      <c r="F589" s="131"/>
      <c r="G589" s="131"/>
      <c r="H589" s="131"/>
      <c r="I589" s="131"/>
      <c r="J589" s="131"/>
      <c r="K589" s="131"/>
      <c r="L589" s="129"/>
      <c r="M589" s="130"/>
      <c r="N589" s="129"/>
      <c r="O589" s="129"/>
    </row>
    <row r="590" spans="1:15">
      <c r="A590" s="67"/>
      <c r="B590" s="129"/>
      <c r="C590" s="131"/>
      <c r="D590" s="131"/>
      <c r="E590" s="132"/>
      <c r="F590" s="131"/>
      <c r="G590" s="131"/>
      <c r="H590" s="131"/>
      <c r="I590" s="131"/>
      <c r="J590" s="131"/>
      <c r="K590" s="131"/>
      <c r="L590" s="129"/>
      <c r="M590" s="130"/>
      <c r="N590" s="129"/>
      <c r="O590" s="129"/>
    </row>
    <row r="591" spans="1:15">
      <c r="A591" s="67"/>
      <c r="B591" s="129"/>
      <c r="C591" s="131"/>
      <c r="D591" s="131"/>
      <c r="E591" s="132"/>
      <c r="F591" s="131"/>
      <c r="G591" s="131"/>
      <c r="H591" s="131"/>
      <c r="I591" s="131"/>
      <c r="J591" s="131"/>
      <c r="K591" s="131"/>
      <c r="L591" s="129"/>
      <c r="M591" s="130"/>
      <c r="N591" s="129"/>
      <c r="O591" s="129"/>
    </row>
    <row r="592" spans="1:15">
      <c r="A592" s="67"/>
      <c r="B592" s="129"/>
      <c r="C592" s="131"/>
      <c r="D592" s="131"/>
      <c r="E592" s="132"/>
      <c r="F592" s="131"/>
      <c r="G592" s="131"/>
      <c r="H592" s="131"/>
      <c r="I592" s="131"/>
      <c r="J592" s="131"/>
      <c r="K592" s="131"/>
      <c r="L592" s="129"/>
      <c r="M592" s="130"/>
      <c r="N592" s="129"/>
      <c r="O592" s="129"/>
    </row>
    <row r="593" spans="1:15">
      <c r="A593" s="67"/>
      <c r="B593" s="129"/>
      <c r="C593" s="131"/>
      <c r="D593" s="131"/>
      <c r="E593" s="132"/>
      <c r="F593" s="131"/>
      <c r="G593" s="131"/>
      <c r="H593" s="131"/>
      <c r="I593" s="131"/>
      <c r="J593" s="131"/>
      <c r="K593" s="131"/>
      <c r="L593" s="129"/>
      <c r="M593" s="130"/>
      <c r="N593" s="129"/>
      <c r="O593" s="129"/>
    </row>
    <row r="594" spans="1:15">
      <c r="A594" s="67"/>
      <c r="B594" s="129"/>
      <c r="C594" s="131"/>
      <c r="D594" s="131"/>
      <c r="E594" s="132"/>
      <c r="F594" s="131"/>
      <c r="G594" s="131"/>
      <c r="H594" s="131"/>
      <c r="I594" s="131"/>
      <c r="J594" s="131"/>
      <c r="K594" s="131"/>
      <c r="L594" s="129"/>
      <c r="M594" s="130"/>
      <c r="N594" s="129"/>
      <c r="O594" s="129"/>
    </row>
    <row r="595" spans="1:15">
      <c r="A595" s="67"/>
      <c r="B595" s="129"/>
      <c r="C595" s="131"/>
      <c r="D595" s="131"/>
      <c r="E595" s="132"/>
      <c r="F595" s="131"/>
      <c r="G595" s="131"/>
      <c r="H595" s="131"/>
      <c r="I595" s="131"/>
      <c r="J595" s="131"/>
      <c r="K595" s="131"/>
      <c r="L595" s="129"/>
      <c r="M595" s="130"/>
      <c r="N595" s="129"/>
      <c r="O595" s="129"/>
    </row>
    <row r="596" spans="1:15">
      <c r="A596" s="67"/>
      <c r="B596" s="129"/>
      <c r="C596" s="131"/>
      <c r="D596" s="131"/>
      <c r="E596" s="132"/>
      <c r="F596" s="131"/>
      <c r="G596" s="131"/>
      <c r="H596" s="131"/>
      <c r="I596" s="131"/>
      <c r="J596" s="131"/>
      <c r="K596" s="131"/>
      <c r="L596" s="129"/>
      <c r="M596" s="130"/>
      <c r="N596" s="129"/>
      <c r="O596" s="129"/>
    </row>
    <row r="597" spans="1:15">
      <c r="A597" s="67"/>
      <c r="B597" s="129"/>
      <c r="C597" s="131"/>
      <c r="D597" s="131"/>
      <c r="E597" s="132"/>
      <c r="F597" s="131"/>
      <c r="G597" s="131"/>
      <c r="H597" s="131"/>
      <c r="I597" s="131"/>
      <c r="J597" s="131"/>
      <c r="K597" s="131"/>
      <c r="L597" s="129"/>
      <c r="M597" s="130"/>
      <c r="N597" s="129"/>
      <c r="O597" s="129"/>
    </row>
    <row r="598" spans="1:15">
      <c r="A598" s="67"/>
      <c r="B598" s="129"/>
      <c r="C598" s="131"/>
      <c r="D598" s="131"/>
      <c r="E598" s="132"/>
      <c r="F598" s="131"/>
      <c r="G598" s="131"/>
      <c r="H598" s="131"/>
      <c r="I598" s="131"/>
      <c r="J598" s="131"/>
      <c r="K598" s="131"/>
      <c r="L598" s="129"/>
      <c r="M598" s="130"/>
      <c r="N598" s="129"/>
      <c r="O598" s="129"/>
    </row>
    <row r="599" spans="1:15">
      <c r="A599" s="67"/>
      <c r="B599" s="129"/>
      <c r="C599" s="131"/>
      <c r="D599" s="131"/>
      <c r="E599" s="132"/>
      <c r="F599" s="131"/>
      <c r="G599" s="131"/>
      <c r="H599" s="131"/>
      <c r="I599" s="131"/>
      <c r="J599" s="131"/>
      <c r="K599" s="131"/>
      <c r="L599" s="129"/>
      <c r="M599" s="130"/>
      <c r="N599" s="129"/>
      <c r="O599" s="129"/>
    </row>
    <row r="600" spans="1:15">
      <c r="A600" s="67"/>
      <c r="B600" s="129"/>
      <c r="C600" s="131"/>
      <c r="D600" s="131"/>
      <c r="E600" s="132"/>
      <c r="F600" s="131"/>
      <c r="G600" s="131"/>
      <c r="H600" s="131"/>
      <c r="I600" s="131"/>
      <c r="J600" s="131"/>
      <c r="K600" s="131"/>
      <c r="L600" s="129"/>
      <c r="M600" s="130"/>
      <c r="N600" s="129"/>
      <c r="O600" s="129"/>
    </row>
    <row r="601" spans="1:15">
      <c r="A601" s="67"/>
      <c r="B601" s="129"/>
      <c r="C601" s="131"/>
      <c r="D601" s="131"/>
      <c r="E601" s="132"/>
      <c r="F601" s="131"/>
      <c r="G601" s="131"/>
      <c r="H601" s="131"/>
      <c r="I601" s="131"/>
      <c r="J601" s="131"/>
      <c r="K601" s="131"/>
      <c r="L601" s="129"/>
      <c r="M601" s="130"/>
      <c r="N601" s="129"/>
      <c r="O601" s="129"/>
    </row>
    <row r="602" spans="1:15">
      <c r="A602" s="67"/>
      <c r="B602" s="129"/>
      <c r="C602" s="131"/>
      <c r="D602" s="131"/>
      <c r="E602" s="132"/>
      <c r="F602" s="131"/>
      <c r="G602" s="131"/>
      <c r="H602" s="131"/>
      <c r="I602" s="131"/>
      <c r="J602" s="131"/>
      <c r="K602" s="131"/>
      <c r="L602" s="129"/>
      <c r="M602" s="130"/>
      <c r="N602" s="129"/>
      <c r="O602" s="129"/>
    </row>
    <row r="603" spans="1:15">
      <c r="A603" s="67"/>
      <c r="B603" s="129"/>
      <c r="C603" s="131"/>
      <c r="D603" s="131"/>
      <c r="E603" s="132"/>
      <c r="F603" s="131"/>
      <c r="G603" s="131"/>
      <c r="H603" s="131"/>
      <c r="I603" s="131"/>
      <c r="J603" s="131"/>
      <c r="K603" s="131"/>
      <c r="L603" s="129"/>
      <c r="M603" s="130"/>
      <c r="N603" s="129"/>
      <c r="O603" s="129"/>
    </row>
    <row r="604" spans="1:15">
      <c r="A604" s="67"/>
      <c r="B604" s="129"/>
      <c r="C604" s="131"/>
      <c r="D604" s="131"/>
      <c r="E604" s="132"/>
      <c r="F604" s="131"/>
      <c r="G604" s="131"/>
      <c r="H604" s="131"/>
      <c r="I604" s="131"/>
      <c r="J604" s="131"/>
      <c r="K604" s="131"/>
      <c r="L604" s="129"/>
      <c r="M604" s="130"/>
      <c r="N604" s="129"/>
      <c r="O604" s="129"/>
    </row>
    <row r="605" spans="1:15">
      <c r="A605" s="67"/>
      <c r="B605" s="129"/>
      <c r="C605" s="131"/>
      <c r="D605" s="131"/>
      <c r="E605" s="132"/>
      <c r="F605" s="131"/>
      <c r="G605" s="131"/>
      <c r="H605" s="131"/>
      <c r="I605" s="131"/>
      <c r="J605" s="131"/>
      <c r="K605" s="131"/>
      <c r="L605" s="129"/>
      <c r="M605" s="130"/>
      <c r="N605" s="129"/>
      <c r="O605" s="129"/>
    </row>
    <row r="606" spans="1:15">
      <c r="A606" s="67"/>
      <c r="B606" s="129"/>
      <c r="C606" s="131"/>
      <c r="D606" s="131"/>
      <c r="E606" s="132"/>
      <c r="F606" s="131"/>
      <c r="G606" s="131"/>
      <c r="H606" s="131"/>
      <c r="I606" s="131"/>
      <c r="J606" s="131"/>
      <c r="K606" s="131"/>
      <c r="L606" s="129"/>
      <c r="M606" s="130"/>
      <c r="N606" s="129"/>
      <c r="O606" s="129"/>
    </row>
    <row r="607" spans="1:15">
      <c r="A607" s="67"/>
      <c r="B607" s="129"/>
      <c r="C607" s="131"/>
      <c r="D607" s="131"/>
      <c r="E607" s="132"/>
      <c r="F607" s="131"/>
      <c r="G607" s="131"/>
      <c r="H607" s="131"/>
      <c r="I607" s="131"/>
      <c r="J607" s="131"/>
      <c r="K607" s="131"/>
      <c r="L607" s="129"/>
      <c r="M607" s="130"/>
      <c r="N607" s="129"/>
      <c r="O607" s="129"/>
    </row>
    <row r="608" spans="1:15">
      <c r="A608" s="67"/>
      <c r="B608" s="129"/>
      <c r="C608" s="131"/>
      <c r="D608" s="131"/>
      <c r="E608" s="132"/>
      <c r="F608" s="131"/>
      <c r="G608" s="131"/>
      <c r="H608" s="131"/>
      <c r="I608" s="131"/>
      <c r="J608" s="131"/>
      <c r="K608" s="131"/>
      <c r="L608" s="129"/>
      <c r="M608" s="130"/>
      <c r="N608" s="129"/>
      <c r="O608" s="129"/>
    </row>
    <row r="609" spans="1:15">
      <c r="A609" s="67"/>
      <c r="B609" s="129"/>
      <c r="C609" s="131"/>
      <c r="D609" s="131"/>
      <c r="E609" s="132"/>
      <c r="F609" s="131"/>
      <c r="G609" s="131"/>
      <c r="H609" s="131"/>
      <c r="I609" s="131"/>
      <c r="J609" s="131"/>
      <c r="K609" s="131"/>
      <c r="L609" s="129"/>
      <c r="M609" s="130"/>
      <c r="N609" s="129"/>
      <c r="O609" s="129"/>
    </row>
    <row r="610" spans="1:15">
      <c r="A610" s="67"/>
      <c r="B610" s="129"/>
      <c r="C610" s="131"/>
      <c r="D610" s="131"/>
      <c r="E610" s="132"/>
      <c r="F610" s="131"/>
      <c r="G610" s="131"/>
      <c r="H610" s="131"/>
      <c r="I610" s="131"/>
      <c r="J610" s="131"/>
      <c r="K610" s="131"/>
      <c r="L610" s="129"/>
      <c r="M610" s="130"/>
      <c r="N610" s="129"/>
      <c r="O610" s="129"/>
    </row>
    <row r="611" spans="1:15">
      <c r="A611" s="67"/>
      <c r="B611" s="129"/>
      <c r="C611" s="131"/>
      <c r="D611" s="131"/>
      <c r="E611" s="132"/>
      <c r="F611" s="131"/>
      <c r="G611" s="131"/>
      <c r="H611" s="131"/>
      <c r="I611" s="131"/>
      <c r="J611" s="131"/>
      <c r="K611" s="131"/>
      <c r="L611" s="129"/>
      <c r="M611" s="130"/>
      <c r="N611" s="129"/>
      <c r="O611" s="129"/>
    </row>
    <row r="612" spans="1:15">
      <c r="A612" s="67"/>
      <c r="B612" s="129"/>
      <c r="C612" s="131"/>
      <c r="D612" s="131"/>
      <c r="E612" s="132"/>
      <c r="F612" s="131"/>
      <c r="G612" s="131"/>
      <c r="H612" s="131"/>
      <c r="I612" s="131"/>
      <c r="J612" s="131"/>
      <c r="K612" s="131"/>
      <c r="L612" s="129"/>
      <c r="M612" s="130"/>
      <c r="N612" s="129"/>
      <c r="O612" s="129"/>
    </row>
    <row r="613" spans="1:15">
      <c r="A613" s="67"/>
      <c r="B613" s="129"/>
      <c r="C613" s="131"/>
      <c r="D613" s="131"/>
      <c r="E613" s="132"/>
      <c r="F613" s="131"/>
      <c r="G613" s="131"/>
      <c r="H613" s="131"/>
      <c r="I613" s="131"/>
      <c r="J613" s="131"/>
      <c r="K613" s="131"/>
      <c r="L613" s="129"/>
      <c r="M613" s="130"/>
      <c r="N613" s="129"/>
      <c r="O613" s="129"/>
    </row>
    <row r="614" spans="1:15">
      <c r="A614" s="67"/>
      <c r="B614" s="129"/>
      <c r="C614" s="131"/>
      <c r="D614" s="131"/>
      <c r="E614" s="132"/>
      <c r="F614" s="131"/>
      <c r="G614" s="131"/>
      <c r="H614" s="131"/>
      <c r="I614" s="131"/>
      <c r="J614" s="131"/>
      <c r="K614" s="131"/>
      <c r="L614" s="129"/>
      <c r="M614" s="130"/>
      <c r="N614" s="129"/>
      <c r="O614" s="129"/>
    </row>
    <row r="615" spans="1:15">
      <c r="A615" s="67"/>
      <c r="B615" s="129"/>
      <c r="C615" s="131"/>
      <c r="D615" s="131"/>
      <c r="E615" s="132"/>
      <c r="F615" s="131"/>
      <c r="G615" s="131"/>
      <c r="H615" s="131"/>
      <c r="I615" s="131"/>
      <c r="J615" s="131"/>
      <c r="K615" s="131"/>
      <c r="L615" s="129"/>
      <c r="M615" s="130"/>
      <c r="N615" s="129"/>
      <c r="O615" s="129"/>
    </row>
    <row r="616" spans="1:15">
      <c r="A616" s="67"/>
      <c r="B616" s="129"/>
      <c r="C616" s="131"/>
      <c r="D616" s="131"/>
      <c r="E616" s="132"/>
      <c r="F616" s="131"/>
      <c r="G616" s="131"/>
      <c r="H616" s="131"/>
      <c r="I616" s="131"/>
      <c r="J616" s="131"/>
      <c r="K616" s="131"/>
      <c r="L616" s="129"/>
      <c r="M616" s="130"/>
      <c r="N616" s="129"/>
      <c r="O616" s="129"/>
    </row>
    <row r="617" spans="1:15">
      <c r="A617" s="67"/>
      <c r="B617" s="129"/>
      <c r="C617" s="131"/>
      <c r="D617" s="131"/>
      <c r="E617" s="132"/>
      <c r="F617" s="131"/>
      <c r="G617" s="131"/>
      <c r="H617" s="131"/>
      <c r="I617" s="131"/>
      <c r="J617" s="131"/>
      <c r="K617" s="131"/>
      <c r="L617" s="129"/>
      <c r="M617" s="130"/>
      <c r="N617" s="129"/>
      <c r="O617" s="129"/>
    </row>
    <row r="618" spans="1:15">
      <c r="A618" s="67"/>
      <c r="B618" s="129"/>
      <c r="C618" s="131"/>
      <c r="D618" s="131"/>
      <c r="E618" s="132"/>
      <c r="F618" s="131"/>
      <c r="G618" s="131"/>
      <c r="H618" s="131"/>
      <c r="I618" s="131"/>
      <c r="J618" s="131"/>
      <c r="K618" s="131"/>
      <c r="L618" s="129"/>
      <c r="M618" s="130"/>
      <c r="N618" s="129"/>
      <c r="O618" s="129"/>
    </row>
    <row r="619" spans="1:15">
      <c r="A619" s="67"/>
      <c r="B619" s="129"/>
      <c r="C619" s="131"/>
      <c r="D619" s="131"/>
      <c r="E619" s="132"/>
      <c r="F619" s="131"/>
      <c r="G619" s="131"/>
      <c r="H619" s="131"/>
      <c r="I619" s="131"/>
      <c r="J619" s="131"/>
      <c r="K619" s="131"/>
      <c r="L619" s="129"/>
      <c r="M619" s="130"/>
      <c r="N619" s="129"/>
      <c r="O619" s="129"/>
    </row>
    <row r="620" spans="1:15">
      <c r="A620" s="67"/>
      <c r="B620" s="129"/>
      <c r="C620" s="131"/>
      <c r="D620" s="131"/>
      <c r="E620" s="132"/>
      <c r="F620" s="131"/>
      <c r="G620" s="131"/>
      <c r="H620" s="131"/>
      <c r="I620" s="131"/>
      <c r="J620" s="131"/>
      <c r="K620" s="131"/>
      <c r="L620" s="129"/>
      <c r="M620" s="130"/>
      <c r="N620" s="129"/>
      <c r="O620" s="129"/>
    </row>
    <row r="621" spans="1:15">
      <c r="A621" s="67"/>
      <c r="B621" s="129"/>
      <c r="C621" s="131"/>
      <c r="D621" s="131"/>
      <c r="E621" s="132"/>
      <c r="F621" s="131"/>
      <c r="G621" s="131"/>
      <c r="H621" s="131"/>
      <c r="I621" s="131"/>
      <c r="J621" s="131"/>
      <c r="K621" s="131"/>
      <c r="L621" s="129"/>
      <c r="M621" s="130"/>
      <c r="N621" s="129"/>
      <c r="O621" s="129"/>
    </row>
    <row r="622" spans="1:15">
      <c r="A622" s="67"/>
      <c r="B622" s="129"/>
      <c r="C622" s="131"/>
      <c r="D622" s="131"/>
      <c r="E622" s="132"/>
      <c r="F622" s="131"/>
      <c r="G622" s="131"/>
      <c r="H622" s="131"/>
      <c r="I622" s="131"/>
      <c r="J622" s="131"/>
      <c r="K622" s="131"/>
      <c r="L622" s="129"/>
      <c r="M622" s="130"/>
      <c r="N622" s="129"/>
      <c r="O622" s="129"/>
    </row>
    <row r="623" spans="1:15">
      <c r="A623" s="67"/>
      <c r="B623" s="129"/>
      <c r="C623" s="131"/>
      <c r="D623" s="131"/>
      <c r="E623" s="132"/>
      <c r="F623" s="131"/>
      <c r="G623" s="131"/>
      <c r="H623" s="131"/>
      <c r="I623" s="131"/>
      <c r="J623" s="131"/>
      <c r="K623" s="131"/>
      <c r="L623" s="129"/>
      <c r="M623" s="130"/>
      <c r="N623" s="129"/>
      <c r="O623" s="129"/>
    </row>
    <row r="624" spans="1:15">
      <c r="A624" s="67"/>
      <c r="B624" s="129"/>
      <c r="C624" s="131"/>
      <c r="D624" s="131"/>
      <c r="E624" s="132"/>
      <c r="F624" s="131"/>
      <c r="G624" s="131"/>
      <c r="H624" s="131"/>
      <c r="I624" s="131"/>
      <c r="J624" s="131"/>
      <c r="K624" s="131"/>
      <c r="L624" s="129"/>
      <c r="M624" s="130"/>
      <c r="N624" s="129"/>
      <c r="O624" s="129"/>
    </row>
    <row r="625" spans="1:15">
      <c r="A625" s="67"/>
      <c r="B625" s="129"/>
      <c r="C625" s="131"/>
      <c r="D625" s="131"/>
      <c r="E625" s="132"/>
      <c r="F625" s="131"/>
      <c r="G625" s="131"/>
      <c r="H625" s="131"/>
      <c r="I625" s="131"/>
      <c r="J625" s="131"/>
      <c r="K625" s="131"/>
      <c r="L625" s="129"/>
      <c r="M625" s="130"/>
      <c r="N625" s="129"/>
      <c r="O625" s="129"/>
    </row>
    <row r="626" spans="1:15">
      <c r="A626" s="67"/>
      <c r="B626" s="129"/>
      <c r="C626" s="131"/>
      <c r="D626" s="131"/>
      <c r="E626" s="132"/>
      <c r="F626" s="131"/>
      <c r="G626" s="131"/>
      <c r="H626" s="131"/>
      <c r="I626" s="131"/>
      <c r="J626" s="131"/>
      <c r="K626" s="131"/>
      <c r="L626" s="129"/>
      <c r="M626" s="130"/>
      <c r="N626" s="129"/>
      <c r="O626" s="129"/>
    </row>
    <row r="627" spans="1:15">
      <c r="A627" s="67"/>
      <c r="B627" s="129"/>
      <c r="C627" s="131"/>
      <c r="D627" s="131"/>
      <c r="E627" s="132"/>
      <c r="F627" s="131"/>
      <c r="G627" s="131"/>
      <c r="H627" s="131"/>
      <c r="I627" s="131"/>
      <c r="J627" s="131"/>
      <c r="K627" s="131"/>
      <c r="L627" s="129"/>
      <c r="M627" s="130"/>
      <c r="N627" s="129"/>
      <c r="O627" s="129"/>
    </row>
    <row r="628" spans="1:15">
      <c r="A628" s="67"/>
      <c r="B628" s="129"/>
      <c r="C628" s="131"/>
      <c r="D628" s="131"/>
      <c r="E628" s="132"/>
      <c r="F628" s="131"/>
      <c r="G628" s="131"/>
      <c r="H628" s="131"/>
      <c r="I628" s="131"/>
      <c r="J628" s="131"/>
      <c r="K628" s="131"/>
      <c r="L628" s="129"/>
      <c r="M628" s="130"/>
      <c r="N628" s="129"/>
      <c r="O628" s="129"/>
    </row>
    <row r="629" spans="1:15">
      <c r="A629" s="67"/>
      <c r="B629" s="129"/>
      <c r="C629" s="131"/>
      <c r="D629" s="131"/>
      <c r="E629" s="132"/>
      <c r="F629" s="131"/>
      <c r="G629" s="131"/>
      <c r="H629" s="131"/>
      <c r="I629" s="131"/>
      <c r="J629" s="131"/>
      <c r="K629" s="131"/>
      <c r="L629" s="129"/>
      <c r="M629" s="130"/>
      <c r="N629" s="129"/>
      <c r="O629" s="129"/>
    </row>
    <row r="630" spans="1:15">
      <c r="A630" s="67"/>
      <c r="B630" s="129"/>
      <c r="C630" s="131"/>
      <c r="D630" s="131"/>
      <c r="E630" s="132"/>
      <c r="F630" s="131"/>
      <c r="G630" s="131"/>
      <c r="H630" s="131"/>
      <c r="I630" s="131"/>
      <c r="J630" s="131"/>
      <c r="K630" s="131"/>
      <c r="L630" s="129"/>
      <c r="M630" s="130"/>
      <c r="N630" s="129"/>
      <c r="O630" s="129"/>
    </row>
    <row r="631" spans="1:15">
      <c r="A631" s="67"/>
      <c r="B631" s="129"/>
      <c r="C631" s="131"/>
      <c r="D631" s="131"/>
      <c r="E631" s="132"/>
      <c r="F631" s="131"/>
      <c r="G631" s="131"/>
      <c r="H631" s="131"/>
      <c r="I631" s="131"/>
      <c r="J631" s="131"/>
      <c r="K631" s="131"/>
      <c r="L631" s="129"/>
      <c r="M631" s="130"/>
      <c r="N631" s="129"/>
      <c r="O631" s="129"/>
    </row>
    <row r="632" spans="1:15">
      <c r="A632" s="67"/>
      <c r="B632" s="129"/>
      <c r="C632" s="131"/>
      <c r="D632" s="131"/>
      <c r="E632" s="132"/>
      <c r="F632" s="131"/>
      <c r="G632" s="131"/>
      <c r="H632" s="131"/>
      <c r="I632" s="131"/>
      <c r="J632" s="131"/>
      <c r="K632" s="131"/>
      <c r="L632" s="129"/>
      <c r="M632" s="130"/>
      <c r="N632" s="129"/>
      <c r="O632" s="129"/>
    </row>
    <row r="633" spans="1:15">
      <c r="A633" s="67"/>
      <c r="B633" s="129"/>
      <c r="C633" s="131"/>
      <c r="D633" s="131"/>
      <c r="E633" s="132"/>
      <c r="F633" s="131"/>
      <c r="G633" s="131"/>
      <c r="H633" s="131"/>
      <c r="I633" s="131"/>
      <c r="J633" s="131"/>
      <c r="K633" s="131"/>
      <c r="L633" s="129"/>
      <c r="M633" s="130"/>
      <c r="N633" s="129"/>
      <c r="O633" s="129"/>
    </row>
    <row r="634" spans="1:15">
      <c r="A634" s="67"/>
      <c r="B634" s="129"/>
      <c r="C634" s="131"/>
      <c r="D634" s="131"/>
      <c r="E634" s="132"/>
      <c r="F634" s="131"/>
      <c r="G634" s="131"/>
      <c r="H634" s="131"/>
      <c r="I634" s="131"/>
      <c r="J634" s="131"/>
      <c r="K634" s="131"/>
      <c r="L634" s="129"/>
      <c r="M634" s="130"/>
      <c r="N634" s="129"/>
      <c r="O634" s="129"/>
    </row>
    <row r="635" spans="1:15">
      <c r="A635" s="67"/>
      <c r="B635" s="129"/>
      <c r="C635" s="131"/>
      <c r="D635" s="131"/>
      <c r="E635" s="132"/>
      <c r="F635" s="131"/>
      <c r="G635" s="131"/>
      <c r="H635" s="131"/>
      <c r="I635" s="131"/>
      <c r="J635" s="131"/>
      <c r="K635" s="131"/>
      <c r="L635" s="129"/>
      <c r="M635" s="130"/>
      <c r="N635" s="129"/>
      <c r="O635" s="129"/>
    </row>
    <row r="636" spans="1:15">
      <c r="A636" s="67"/>
      <c r="B636" s="129"/>
      <c r="C636" s="131"/>
      <c r="D636" s="131"/>
      <c r="E636" s="132"/>
      <c r="F636" s="131"/>
      <c r="G636" s="131"/>
      <c r="H636" s="131"/>
      <c r="I636" s="131"/>
      <c r="J636" s="131"/>
      <c r="K636" s="131"/>
      <c r="L636" s="129"/>
      <c r="M636" s="130"/>
      <c r="N636" s="129"/>
      <c r="O636" s="129"/>
    </row>
    <row r="637" spans="1:15">
      <c r="A637" s="67"/>
      <c r="B637" s="129"/>
      <c r="C637" s="131"/>
      <c r="D637" s="131"/>
      <c r="E637" s="132"/>
      <c r="F637" s="131"/>
      <c r="G637" s="131"/>
      <c r="H637" s="131"/>
      <c r="I637" s="131"/>
      <c r="J637" s="131"/>
      <c r="K637" s="131"/>
      <c r="L637" s="129"/>
      <c r="M637" s="130"/>
      <c r="N637" s="129"/>
      <c r="O637" s="129"/>
    </row>
    <row r="638" spans="1:15">
      <c r="A638" s="67"/>
      <c r="B638" s="129"/>
      <c r="C638" s="131"/>
      <c r="D638" s="131"/>
      <c r="E638" s="132"/>
      <c r="F638" s="131"/>
      <c r="G638" s="131"/>
      <c r="H638" s="131"/>
      <c r="I638" s="131"/>
      <c r="J638" s="131"/>
      <c r="K638" s="131"/>
      <c r="L638" s="129"/>
      <c r="M638" s="130"/>
      <c r="N638" s="129"/>
      <c r="O638" s="129"/>
    </row>
    <row r="639" spans="1:15">
      <c r="A639" s="67"/>
      <c r="B639" s="129"/>
      <c r="C639" s="131"/>
      <c r="D639" s="131"/>
      <c r="E639" s="132"/>
      <c r="F639" s="131"/>
      <c r="G639" s="131"/>
      <c r="H639" s="131"/>
      <c r="I639" s="131"/>
      <c r="J639" s="131"/>
      <c r="K639" s="131"/>
      <c r="L639" s="129"/>
      <c r="M639" s="130"/>
      <c r="N639" s="129"/>
      <c r="O639" s="129"/>
    </row>
    <row r="640" spans="1:15">
      <c r="A640" s="67"/>
      <c r="B640" s="129"/>
      <c r="C640" s="131"/>
      <c r="D640" s="131"/>
      <c r="E640" s="132"/>
      <c r="F640" s="131"/>
      <c r="G640" s="131"/>
      <c r="H640" s="131"/>
      <c r="I640" s="131"/>
      <c r="J640" s="131"/>
      <c r="K640" s="131"/>
      <c r="L640" s="129"/>
      <c r="M640" s="130"/>
      <c r="N640" s="129"/>
      <c r="O640" s="129"/>
    </row>
    <row r="641" spans="1:15">
      <c r="A641" s="67"/>
      <c r="B641" s="129"/>
      <c r="C641" s="131"/>
      <c r="D641" s="131"/>
      <c r="E641" s="132"/>
      <c r="F641" s="131"/>
      <c r="G641" s="131"/>
      <c r="H641" s="131"/>
      <c r="I641" s="131"/>
      <c r="J641" s="131"/>
      <c r="K641" s="131"/>
      <c r="L641" s="129"/>
      <c r="M641" s="130"/>
      <c r="N641" s="129"/>
      <c r="O641" s="129"/>
    </row>
    <row r="642" spans="1:15">
      <c r="A642" s="67"/>
      <c r="B642" s="129"/>
      <c r="C642" s="131"/>
      <c r="D642" s="131"/>
      <c r="E642" s="132"/>
      <c r="F642" s="131"/>
      <c r="G642" s="131"/>
      <c r="H642" s="131"/>
      <c r="I642" s="131"/>
      <c r="J642" s="131"/>
      <c r="K642" s="131"/>
      <c r="L642" s="129"/>
      <c r="M642" s="130"/>
      <c r="N642" s="129"/>
      <c r="O642" s="129"/>
    </row>
    <row r="643" spans="1:15">
      <c r="A643" s="67"/>
      <c r="B643" s="129"/>
      <c r="C643" s="131"/>
      <c r="D643" s="131"/>
      <c r="E643" s="132"/>
      <c r="F643" s="131"/>
      <c r="G643" s="131"/>
      <c r="H643" s="131"/>
      <c r="I643" s="131"/>
      <c r="J643" s="131"/>
      <c r="K643" s="131"/>
      <c r="L643" s="129"/>
      <c r="M643" s="130"/>
      <c r="N643" s="129"/>
      <c r="O643" s="129"/>
    </row>
    <row r="644" spans="1:15">
      <c r="A644" s="67"/>
      <c r="B644" s="129"/>
      <c r="C644" s="131"/>
      <c r="D644" s="131"/>
      <c r="E644" s="132"/>
      <c r="F644" s="131"/>
      <c r="G644" s="131"/>
      <c r="H644" s="131"/>
      <c r="I644" s="131"/>
      <c r="J644" s="131"/>
      <c r="K644" s="131"/>
      <c r="L644" s="129"/>
      <c r="M644" s="130"/>
      <c r="N644" s="129"/>
      <c r="O644" s="129"/>
    </row>
    <row r="645" spans="1:15">
      <c r="A645" s="67"/>
      <c r="B645" s="129"/>
      <c r="C645" s="131"/>
      <c r="D645" s="131"/>
      <c r="E645" s="132"/>
      <c r="F645" s="131"/>
      <c r="G645" s="131"/>
      <c r="H645" s="131"/>
      <c r="I645" s="131"/>
      <c r="J645" s="131"/>
      <c r="K645" s="131"/>
      <c r="L645" s="129"/>
      <c r="M645" s="130"/>
      <c r="N645" s="129"/>
      <c r="O645" s="129"/>
    </row>
    <row r="646" spans="1:15">
      <c r="A646" s="67"/>
      <c r="B646" s="129"/>
      <c r="C646" s="131"/>
      <c r="D646" s="131"/>
      <c r="E646" s="132"/>
      <c r="F646" s="131"/>
      <c r="G646" s="131"/>
      <c r="H646" s="131"/>
      <c r="I646" s="131"/>
      <c r="J646" s="131"/>
      <c r="K646" s="131"/>
      <c r="L646" s="129"/>
      <c r="M646" s="130"/>
      <c r="N646" s="129"/>
      <c r="O646" s="129"/>
    </row>
    <row r="647" spans="1:15">
      <c r="A647" s="67"/>
      <c r="B647" s="129"/>
      <c r="C647" s="131"/>
      <c r="D647" s="131"/>
      <c r="E647" s="132"/>
      <c r="F647" s="131"/>
      <c r="G647" s="131"/>
      <c r="H647" s="131"/>
      <c r="I647" s="131"/>
      <c r="J647" s="131"/>
      <c r="K647" s="131"/>
      <c r="L647" s="129"/>
      <c r="M647" s="130"/>
      <c r="N647" s="129"/>
      <c r="O647" s="129"/>
    </row>
    <row r="648" spans="1:15">
      <c r="A648" s="67"/>
      <c r="B648" s="129"/>
      <c r="C648" s="131"/>
      <c r="D648" s="131"/>
      <c r="E648" s="132"/>
      <c r="F648" s="131"/>
      <c r="G648" s="131"/>
      <c r="H648" s="131"/>
      <c r="I648" s="131"/>
      <c r="J648" s="131"/>
      <c r="K648" s="131"/>
      <c r="L648" s="129"/>
      <c r="M648" s="130"/>
      <c r="N648" s="129"/>
      <c r="O648" s="129"/>
    </row>
    <row r="649" spans="1:15">
      <c r="A649" s="67"/>
      <c r="B649" s="129"/>
      <c r="C649" s="131"/>
      <c r="D649" s="131"/>
      <c r="E649" s="132"/>
      <c r="F649" s="131"/>
      <c r="G649" s="131"/>
      <c r="H649" s="131"/>
      <c r="I649" s="131"/>
      <c r="J649" s="131"/>
      <c r="K649" s="131"/>
      <c r="L649" s="129"/>
      <c r="M649" s="130"/>
      <c r="N649" s="129"/>
      <c r="O649" s="129"/>
    </row>
    <row r="650" spans="1:15">
      <c r="A650" s="67"/>
      <c r="B650" s="129"/>
      <c r="C650" s="131"/>
      <c r="D650" s="131"/>
      <c r="E650" s="132"/>
      <c r="F650" s="131"/>
      <c r="G650" s="131"/>
      <c r="H650" s="131"/>
      <c r="I650" s="131"/>
      <c r="J650" s="131"/>
      <c r="K650" s="131"/>
      <c r="L650" s="129"/>
      <c r="M650" s="130"/>
      <c r="N650" s="129"/>
      <c r="O650" s="129"/>
    </row>
    <row r="651" spans="1:15">
      <c r="A651" s="67"/>
      <c r="B651" s="129"/>
      <c r="C651" s="131"/>
      <c r="D651" s="131"/>
      <c r="E651" s="132"/>
      <c r="F651" s="131"/>
      <c r="G651" s="131"/>
      <c r="H651" s="131"/>
      <c r="I651" s="131"/>
      <c r="J651" s="131"/>
      <c r="K651" s="131"/>
      <c r="L651" s="129"/>
      <c r="M651" s="130"/>
      <c r="N651" s="129"/>
      <c r="O651" s="129"/>
    </row>
    <row r="652" spans="1:15">
      <c r="A652" s="67"/>
      <c r="B652" s="129"/>
      <c r="C652" s="131"/>
      <c r="D652" s="131"/>
      <c r="E652" s="132"/>
      <c r="F652" s="131"/>
      <c r="G652" s="131"/>
      <c r="H652" s="131"/>
      <c r="I652" s="131"/>
      <c r="J652" s="131"/>
      <c r="K652" s="131"/>
      <c r="L652" s="129"/>
      <c r="M652" s="130"/>
      <c r="N652" s="129"/>
      <c r="O652" s="129"/>
    </row>
    <row r="653" spans="1:15">
      <c r="A653" s="67"/>
      <c r="B653" s="129"/>
      <c r="C653" s="131"/>
      <c r="D653" s="131"/>
      <c r="E653" s="132"/>
      <c r="F653" s="131"/>
      <c r="G653" s="131"/>
      <c r="H653" s="131"/>
      <c r="I653" s="131"/>
      <c r="J653" s="131"/>
      <c r="K653" s="131"/>
      <c r="L653" s="129"/>
      <c r="M653" s="130"/>
      <c r="N653" s="129"/>
      <c r="O653" s="129"/>
    </row>
    <row r="654" spans="1:15">
      <c r="A654" s="67"/>
      <c r="B654" s="129"/>
      <c r="C654" s="131"/>
      <c r="D654" s="131"/>
      <c r="E654" s="132"/>
      <c r="F654" s="131"/>
      <c r="G654" s="131"/>
      <c r="H654" s="131"/>
      <c r="I654" s="131"/>
      <c r="J654" s="131"/>
      <c r="K654" s="131"/>
      <c r="L654" s="129"/>
      <c r="M654" s="130"/>
      <c r="N654" s="129"/>
      <c r="O654" s="129"/>
    </row>
    <row r="655" spans="1:15">
      <c r="A655" s="67"/>
      <c r="B655" s="129"/>
      <c r="C655" s="131"/>
      <c r="D655" s="131"/>
      <c r="E655" s="132"/>
      <c r="F655" s="131"/>
      <c r="G655" s="131"/>
      <c r="H655" s="131"/>
      <c r="I655" s="131"/>
      <c r="J655" s="131"/>
      <c r="K655" s="131"/>
      <c r="L655" s="129"/>
      <c r="M655" s="130"/>
      <c r="N655" s="129"/>
      <c r="O655" s="129"/>
    </row>
    <row r="656" spans="1:15">
      <c r="A656" s="67"/>
      <c r="B656" s="129"/>
      <c r="C656" s="131"/>
      <c r="D656" s="131"/>
      <c r="E656" s="132"/>
      <c r="F656" s="131"/>
      <c r="G656" s="131"/>
      <c r="H656" s="131"/>
      <c r="I656" s="131"/>
      <c r="J656" s="131"/>
      <c r="K656" s="131"/>
      <c r="L656" s="129"/>
      <c r="M656" s="130"/>
      <c r="N656" s="129"/>
      <c r="O656" s="129"/>
    </row>
    <row r="657" spans="1:15">
      <c r="A657" s="67"/>
      <c r="B657" s="129"/>
      <c r="C657" s="131"/>
      <c r="D657" s="131"/>
      <c r="E657" s="132"/>
      <c r="F657" s="131"/>
      <c r="G657" s="131"/>
      <c r="H657" s="131"/>
      <c r="I657" s="131"/>
      <c r="J657" s="131"/>
      <c r="K657" s="131"/>
      <c r="L657" s="129"/>
      <c r="M657" s="130"/>
      <c r="N657" s="129"/>
      <c r="O657" s="129"/>
    </row>
    <row r="658" spans="1:15">
      <c r="A658" s="67"/>
      <c r="B658" s="129"/>
      <c r="C658" s="131"/>
      <c r="D658" s="131"/>
      <c r="E658" s="132"/>
      <c r="F658" s="131"/>
      <c r="G658" s="131"/>
      <c r="H658" s="131"/>
      <c r="I658" s="131"/>
      <c r="J658" s="131"/>
      <c r="K658" s="131"/>
      <c r="L658" s="129"/>
      <c r="M658" s="130"/>
      <c r="N658" s="129"/>
      <c r="O658" s="129"/>
    </row>
    <row r="659" spans="1:15">
      <c r="A659" s="67"/>
      <c r="B659" s="129"/>
      <c r="C659" s="131"/>
      <c r="D659" s="131"/>
      <c r="E659" s="132"/>
      <c r="F659" s="131"/>
      <c r="G659" s="131"/>
      <c r="H659" s="131"/>
      <c r="I659" s="131"/>
      <c r="J659" s="131"/>
      <c r="K659" s="131"/>
      <c r="L659" s="129"/>
      <c r="M659" s="130"/>
      <c r="N659" s="129"/>
      <c r="O659" s="129"/>
    </row>
    <row r="660" spans="1:15">
      <c r="A660" s="67"/>
      <c r="B660" s="129"/>
      <c r="C660" s="131"/>
      <c r="D660" s="131"/>
      <c r="E660" s="132"/>
      <c r="F660" s="131"/>
      <c r="G660" s="131"/>
      <c r="H660" s="131"/>
      <c r="I660" s="131"/>
      <c r="J660" s="131"/>
      <c r="K660" s="131"/>
      <c r="L660" s="129"/>
      <c r="M660" s="130"/>
      <c r="N660" s="129"/>
      <c r="O660" s="129"/>
    </row>
    <row r="661" spans="1:15">
      <c r="A661" s="67"/>
      <c r="B661" s="129"/>
      <c r="C661" s="131"/>
      <c r="D661" s="131"/>
      <c r="E661" s="132"/>
      <c r="F661" s="131"/>
      <c r="G661" s="131"/>
      <c r="H661" s="131"/>
      <c r="I661" s="131"/>
      <c r="J661" s="131"/>
      <c r="K661" s="131"/>
      <c r="L661" s="129"/>
      <c r="M661" s="130"/>
      <c r="N661" s="129"/>
      <c r="O661" s="129"/>
    </row>
    <row r="662" spans="1:15">
      <c r="A662" s="67"/>
      <c r="B662" s="129"/>
      <c r="C662" s="131"/>
      <c r="D662" s="131"/>
      <c r="E662" s="132"/>
      <c r="F662" s="131"/>
      <c r="G662" s="131"/>
      <c r="H662" s="131"/>
      <c r="I662" s="131"/>
      <c r="J662" s="131"/>
      <c r="K662" s="131"/>
      <c r="L662" s="129"/>
      <c r="M662" s="130"/>
      <c r="N662" s="129"/>
      <c r="O662" s="129"/>
    </row>
    <row r="663" spans="1:15">
      <c r="A663" s="67"/>
      <c r="B663" s="129"/>
      <c r="C663" s="131"/>
      <c r="D663" s="131"/>
      <c r="E663" s="132"/>
      <c r="F663" s="131"/>
      <c r="G663" s="131"/>
      <c r="H663" s="131"/>
      <c r="I663" s="131"/>
      <c r="J663" s="131"/>
      <c r="K663" s="131"/>
      <c r="L663" s="129"/>
      <c r="M663" s="130"/>
      <c r="N663" s="129"/>
      <c r="O663" s="129"/>
    </row>
    <row r="664" spans="1:15">
      <c r="A664" s="67"/>
      <c r="B664" s="129"/>
      <c r="C664" s="131"/>
      <c r="D664" s="131"/>
      <c r="E664" s="132"/>
      <c r="F664" s="131"/>
      <c r="G664" s="131"/>
      <c r="H664" s="131"/>
      <c r="I664" s="131"/>
      <c r="J664" s="131"/>
      <c r="K664" s="131"/>
      <c r="L664" s="129"/>
      <c r="M664" s="130"/>
      <c r="N664" s="129"/>
      <c r="O664" s="129"/>
    </row>
    <row r="665" spans="1:15">
      <c r="A665" s="67"/>
      <c r="B665" s="129"/>
      <c r="C665" s="131"/>
      <c r="D665" s="131"/>
      <c r="E665" s="132"/>
      <c r="F665" s="131"/>
      <c r="G665" s="131"/>
      <c r="H665" s="131"/>
      <c r="I665" s="131"/>
      <c r="J665" s="131"/>
      <c r="K665" s="131"/>
      <c r="L665" s="129"/>
      <c r="M665" s="130"/>
      <c r="N665" s="129"/>
      <c r="O665" s="129"/>
    </row>
    <row r="666" spans="1:15">
      <c r="A666" s="67"/>
      <c r="B666" s="129"/>
      <c r="C666" s="131"/>
      <c r="D666" s="131"/>
      <c r="E666" s="132"/>
      <c r="F666" s="131"/>
      <c r="G666" s="131"/>
      <c r="H666" s="131"/>
      <c r="I666" s="131"/>
      <c r="J666" s="131"/>
      <c r="K666" s="131"/>
      <c r="L666" s="129"/>
      <c r="M666" s="130"/>
      <c r="N666" s="129"/>
      <c r="O666" s="129"/>
    </row>
    <row r="667" spans="1:15">
      <c r="A667" s="67"/>
      <c r="B667" s="129"/>
      <c r="C667" s="131"/>
      <c r="D667" s="131"/>
      <c r="E667" s="132"/>
      <c r="F667" s="131"/>
      <c r="G667" s="131"/>
      <c r="H667" s="131"/>
      <c r="I667" s="131"/>
      <c r="J667" s="131"/>
      <c r="K667" s="131"/>
      <c r="L667" s="129"/>
      <c r="M667" s="130"/>
      <c r="N667" s="129"/>
      <c r="O667" s="129"/>
    </row>
    <row r="668" spans="1:15">
      <c r="A668" s="67"/>
      <c r="B668" s="129"/>
      <c r="C668" s="131"/>
      <c r="D668" s="131"/>
      <c r="E668" s="132"/>
      <c r="F668" s="131"/>
      <c r="G668" s="131"/>
      <c r="H668" s="131"/>
      <c r="I668" s="131"/>
      <c r="J668" s="131"/>
      <c r="K668" s="131"/>
      <c r="L668" s="129"/>
      <c r="M668" s="130"/>
      <c r="N668" s="129"/>
      <c r="O668" s="129"/>
    </row>
    <row r="669" spans="1:15">
      <c r="A669" s="67"/>
      <c r="B669" s="129"/>
      <c r="C669" s="131"/>
      <c r="D669" s="131"/>
      <c r="E669" s="132"/>
      <c r="F669" s="131"/>
      <c r="G669" s="131"/>
      <c r="H669" s="131"/>
      <c r="I669" s="131"/>
      <c r="J669" s="131"/>
      <c r="K669" s="131"/>
      <c r="L669" s="129"/>
      <c r="M669" s="130"/>
      <c r="N669" s="129"/>
      <c r="O669" s="129"/>
    </row>
    <row r="670" spans="1:15">
      <c r="A670" s="67"/>
      <c r="B670" s="129"/>
      <c r="C670" s="131"/>
      <c r="D670" s="131"/>
      <c r="E670" s="132"/>
      <c r="F670" s="131"/>
      <c r="G670" s="131"/>
      <c r="H670" s="131"/>
      <c r="I670" s="131"/>
      <c r="J670" s="131"/>
      <c r="K670" s="131"/>
      <c r="L670" s="129"/>
      <c r="M670" s="130"/>
      <c r="N670" s="129"/>
      <c r="O670" s="129"/>
    </row>
    <row r="671" spans="1:15">
      <c r="A671" s="67"/>
      <c r="B671" s="129"/>
      <c r="C671" s="131"/>
      <c r="D671" s="131"/>
      <c r="E671" s="132"/>
      <c r="F671" s="131"/>
      <c r="G671" s="131"/>
      <c r="H671" s="131"/>
      <c r="I671" s="131"/>
      <c r="J671" s="131"/>
      <c r="K671" s="131"/>
      <c r="L671" s="129"/>
      <c r="M671" s="130"/>
      <c r="N671" s="129"/>
      <c r="O671" s="129"/>
    </row>
    <row r="672" spans="1:15">
      <c r="A672" s="67"/>
      <c r="B672" s="129"/>
      <c r="C672" s="131"/>
      <c r="D672" s="131"/>
      <c r="E672" s="132"/>
      <c r="F672" s="131"/>
      <c r="G672" s="131"/>
      <c r="H672" s="131"/>
      <c r="I672" s="131"/>
      <c r="J672" s="131"/>
      <c r="K672" s="131"/>
      <c r="L672" s="129"/>
      <c r="M672" s="130"/>
      <c r="N672" s="129"/>
      <c r="O672" s="129"/>
    </row>
    <row r="673" spans="1:15">
      <c r="A673" s="67"/>
      <c r="B673" s="129"/>
      <c r="C673" s="131"/>
      <c r="D673" s="131"/>
      <c r="E673" s="132"/>
      <c r="F673" s="131"/>
      <c r="G673" s="131"/>
      <c r="H673" s="131"/>
      <c r="I673" s="131"/>
      <c r="J673" s="131"/>
      <c r="K673" s="131"/>
      <c r="L673" s="129"/>
      <c r="M673" s="130"/>
      <c r="N673" s="129"/>
      <c r="O673" s="129"/>
    </row>
    <row r="674" spans="1:15">
      <c r="A674" s="67"/>
      <c r="B674" s="129"/>
      <c r="C674" s="131"/>
      <c r="D674" s="131"/>
      <c r="E674" s="132"/>
      <c r="F674" s="131"/>
      <c r="G674" s="131"/>
      <c r="H674" s="131"/>
      <c r="I674" s="131"/>
      <c r="J674" s="131"/>
      <c r="K674" s="131"/>
      <c r="L674" s="129"/>
      <c r="M674" s="130"/>
      <c r="N674" s="129"/>
      <c r="O674" s="129"/>
    </row>
    <row r="675" spans="1:15">
      <c r="A675" s="67"/>
      <c r="B675" s="129"/>
      <c r="C675" s="131"/>
      <c r="D675" s="131"/>
      <c r="E675" s="132"/>
      <c r="F675" s="131"/>
      <c r="G675" s="131"/>
      <c r="H675" s="131"/>
      <c r="I675" s="131"/>
      <c r="J675" s="131"/>
      <c r="K675" s="131"/>
      <c r="L675" s="129"/>
      <c r="M675" s="130"/>
      <c r="N675" s="129"/>
      <c r="O675" s="129"/>
    </row>
    <row r="676" spans="1:15">
      <c r="A676" s="67"/>
      <c r="B676" s="129"/>
      <c r="C676" s="131"/>
      <c r="D676" s="131"/>
      <c r="E676" s="132"/>
      <c r="F676" s="131"/>
      <c r="G676" s="131"/>
      <c r="H676" s="131"/>
      <c r="I676" s="131"/>
      <c r="J676" s="131"/>
      <c r="K676" s="131"/>
      <c r="L676" s="129"/>
      <c r="M676" s="130"/>
      <c r="N676" s="129"/>
      <c r="O676" s="129"/>
    </row>
    <row r="677" spans="1:15">
      <c r="A677" s="67"/>
      <c r="B677" s="129"/>
      <c r="C677" s="131"/>
      <c r="D677" s="131"/>
      <c r="E677" s="132"/>
      <c r="F677" s="131"/>
      <c r="G677" s="131"/>
      <c r="H677" s="131"/>
      <c r="I677" s="131"/>
      <c r="J677" s="131"/>
      <c r="K677" s="131"/>
      <c r="L677" s="129"/>
      <c r="M677" s="130"/>
      <c r="N677" s="129"/>
      <c r="O677" s="129"/>
    </row>
    <row r="678" spans="1:15">
      <c r="A678" s="67"/>
      <c r="B678" s="129"/>
      <c r="C678" s="131"/>
      <c r="D678" s="131"/>
      <c r="E678" s="132"/>
      <c r="F678" s="131"/>
      <c r="G678" s="131"/>
      <c r="H678" s="131"/>
      <c r="I678" s="131"/>
      <c r="J678" s="131"/>
      <c r="K678" s="131"/>
      <c r="L678" s="129"/>
      <c r="M678" s="130"/>
      <c r="N678" s="129"/>
      <c r="O678" s="129"/>
    </row>
    <row r="679" spans="1:15">
      <c r="A679" s="67"/>
      <c r="B679" s="129"/>
      <c r="C679" s="131"/>
      <c r="D679" s="131"/>
      <c r="E679" s="132"/>
      <c r="F679" s="131"/>
      <c r="G679" s="131"/>
      <c r="H679" s="131"/>
      <c r="I679" s="131"/>
      <c r="J679" s="131"/>
      <c r="K679" s="131"/>
      <c r="L679" s="129"/>
      <c r="M679" s="130"/>
      <c r="N679" s="129"/>
      <c r="O679" s="129"/>
    </row>
    <row r="680" spans="1:15">
      <c r="A680" s="67"/>
      <c r="B680" s="129"/>
      <c r="C680" s="131"/>
      <c r="D680" s="131"/>
      <c r="E680" s="132"/>
      <c r="F680" s="131"/>
      <c r="G680" s="131"/>
      <c r="H680" s="131"/>
      <c r="I680" s="131"/>
      <c r="J680" s="131"/>
      <c r="K680" s="131"/>
      <c r="L680" s="129"/>
      <c r="M680" s="130"/>
      <c r="N680" s="129"/>
      <c r="O680" s="129"/>
    </row>
    <row r="681" spans="1:15">
      <c r="A681" s="67"/>
      <c r="B681" s="129"/>
      <c r="C681" s="131"/>
      <c r="D681" s="131"/>
      <c r="E681" s="132"/>
      <c r="F681" s="131"/>
      <c r="G681" s="131"/>
      <c r="H681" s="131"/>
      <c r="I681" s="131"/>
      <c r="J681" s="131"/>
      <c r="K681" s="131"/>
      <c r="L681" s="129"/>
      <c r="M681" s="130"/>
      <c r="N681" s="129"/>
      <c r="O681" s="129"/>
    </row>
    <row r="682" spans="1:15">
      <c r="A682" s="67"/>
      <c r="B682" s="129"/>
      <c r="C682" s="131"/>
      <c r="D682" s="131"/>
      <c r="E682" s="132"/>
      <c r="F682" s="131"/>
      <c r="G682" s="131"/>
      <c r="H682" s="131"/>
      <c r="I682" s="131"/>
      <c r="J682" s="131"/>
      <c r="K682" s="131"/>
      <c r="L682" s="129"/>
      <c r="M682" s="130"/>
      <c r="N682" s="129"/>
      <c r="O682" s="129"/>
    </row>
    <row r="683" spans="1:15">
      <c r="A683" s="67"/>
      <c r="B683" s="129"/>
      <c r="C683" s="131"/>
      <c r="D683" s="131"/>
      <c r="E683" s="132"/>
      <c r="F683" s="131"/>
      <c r="G683" s="131"/>
      <c r="H683" s="131"/>
      <c r="I683" s="131"/>
      <c r="J683" s="131"/>
      <c r="K683" s="131"/>
      <c r="L683" s="129"/>
      <c r="M683" s="130"/>
      <c r="N683" s="129"/>
      <c r="O683" s="129"/>
    </row>
    <row r="684" spans="1:15">
      <c r="A684" s="67"/>
      <c r="B684" s="129"/>
      <c r="C684" s="131"/>
      <c r="D684" s="131"/>
      <c r="E684" s="132"/>
      <c r="F684" s="131"/>
      <c r="G684" s="131"/>
      <c r="H684" s="131"/>
      <c r="I684" s="131"/>
      <c r="J684" s="131"/>
      <c r="K684" s="131"/>
      <c r="L684" s="129"/>
      <c r="M684" s="130"/>
      <c r="N684" s="129"/>
      <c r="O684" s="129"/>
    </row>
    <row r="685" spans="1:15">
      <c r="A685" s="67"/>
      <c r="B685" s="129"/>
      <c r="C685" s="131"/>
      <c r="D685" s="131"/>
      <c r="E685" s="132"/>
      <c r="F685" s="131"/>
      <c r="G685" s="131"/>
      <c r="H685" s="131"/>
      <c r="I685" s="131"/>
      <c r="J685" s="131"/>
      <c r="K685" s="131"/>
      <c r="L685" s="129"/>
      <c r="M685" s="130"/>
      <c r="N685" s="129"/>
      <c r="O685" s="129"/>
    </row>
    <row r="686" spans="1:15">
      <c r="A686" s="67"/>
      <c r="B686" s="129"/>
      <c r="C686" s="131"/>
      <c r="D686" s="131"/>
      <c r="E686" s="132"/>
      <c r="F686" s="131"/>
      <c r="G686" s="131"/>
      <c r="H686" s="131"/>
      <c r="I686" s="131"/>
      <c r="J686" s="131"/>
      <c r="K686" s="131"/>
      <c r="L686" s="129"/>
      <c r="M686" s="130"/>
      <c r="N686" s="129"/>
      <c r="O686" s="129"/>
    </row>
    <row r="687" spans="1:15">
      <c r="A687" s="67"/>
      <c r="B687" s="129"/>
      <c r="C687" s="131"/>
      <c r="D687" s="131"/>
      <c r="E687" s="132"/>
      <c r="F687" s="131"/>
      <c r="G687" s="131"/>
      <c r="H687" s="131"/>
      <c r="I687" s="131"/>
      <c r="J687" s="131"/>
      <c r="K687" s="131"/>
      <c r="L687" s="129"/>
      <c r="M687" s="130"/>
      <c r="N687" s="129"/>
      <c r="O687" s="129"/>
    </row>
    <row r="688" spans="1:15">
      <c r="A688" s="67"/>
      <c r="B688" s="129"/>
      <c r="C688" s="131"/>
      <c r="D688" s="131"/>
      <c r="E688" s="132"/>
      <c r="F688" s="131"/>
      <c r="G688" s="131"/>
      <c r="H688" s="131"/>
      <c r="I688" s="131"/>
      <c r="J688" s="131"/>
      <c r="K688" s="131"/>
      <c r="L688" s="129"/>
      <c r="M688" s="130"/>
      <c r="N688" s="129"/>
      <c r="O688" s="129"/>
    </row>
    <row r="689" spans="1:15">
      <c r="A689" s="67"/>
      <c r="B689" s="129"/>
      <c r="C689" s="131"/>
      <c r="D689" s="131"/>
      <c r="E689" s="132"/>
      <c r="F689" s="131"/>
      <c r="G689" s="131"/>
      <c r="H689" s="131"/>
      <c r="I689" s="131"/>
      <c r="J689" s="131"/>
      <c r="K689" s="131"/>
      <c r="L689" s="129"/>
      <c r="M689" s="130"/>
      <c r="N689" s="129"/>
      <c r="O689" s="129"/>
    </row>
    <row r="690" spans="1:15">
      <c r="A690" s="67"/>
      <c r="B690" s="129"/>
      <c r="C690" s="131"/>
      <c r="D690" s="131"/>
      <c r="E690" s="132"/>
      <c r="F690" s="131"/>
      <c r="G690" s="131"/>
      <c r="H690" s="131"/>
      <c r="I690" s="131"/>
      <c r="J690" s="131"/>
      <c r="K690" s="131"/>
      <c r="L690" s="129"/>
      <c r="M690" s="130"/>
      <c r="N690" s="129"/>
      <c r="O690" s="129"/>
    </row>
    <row r="691" spans="1:15">
      <c r="A691" s="67"/>
      <c r="B691" s="129"/>
      <c r="C691" s="131"/>
      <c r="D691" s="131"/>
      <c r="E691" s="132"/>
      <c r="F691" s="131"/>
      <c r="G691" s="131"/>
      <c r="H691" s="131"/>
      <c r="I691" s="131"/>
      <c r="J691" s="131"/>
      <c r="K691" s="131"/>
      <c r="L691" s="129"/>
      <c r="M691" s="130"/>
      <c r="N691" s="129"/>
      <c r="O691" s="129"/>
    </row>
    <row r="692" spans="1:15">
      <c r="A692" s="67"/>
      <c r="B692" s="129"/>
      <c r="C692" s="131"/>
      <c r="D692" s="131"/>
      <c r="E692" s="132"/>
      <c r="F692" s="131"/>
      <c r="G692" s="131"/>
      <c r="H692" s="131"/>
      <c r="I692" s="131"/>
      <c r="J692" s="131"/>
      <c r="K692" s="131"/>
      <c r="L692" s="129"/>
      <c r="M692" s="130"/>
      <c r="N692" s="129"/>
      <c r="O692" s="129"/>
    </row>
    <row r="693" spans="1:15">
      <c r="A693" s="67"/>
      <c r="B693" s="129"/>
      <c r="C693" s="131"/>
      <c r="D693" s="131"/>
      <c r="E693" s="132"/>
      <c r="F693" s="131"/>
      <c r="G693" s="131"/>
      <c r="H693" s="131"/>
      <c r="I693" s="131"/>
      <c r="J693" s="131"/>
      <c r="K693" s="131"/>
      <c r="L693" s="129"/>
      <c r="M693" s="130"/>
      <c r="N693" s="129"/>
      <c r="O693" s="129"/>
    </row>
    <row r="694" spans="1:15">
      <c r="A694" s="67"/>
      <c r="B694" s="129"/>
      <c r="C694" s="131"/>
      <c r="D694" s="131"/>
      <c r="E694" s="132"/>
      <c r="F694" s="131"/>
      <c r="G694" s="131"/>
      <c r="H694" s="131"/>
      <c r="I694" s="131"/>
      <c r="J694" s="131"/>
      <c r="K694" s="131"/>
      <c r="L694" s="129"/>
      <c r="M694" s="130"/>
      <c r="N694" s="129"/>
      <c r="O694" s="129"/>
    </row>
    <row r="695" spans="1:15">
      <c r="A695" s="67"/>
      <c r="B695" s="129"/>
      <c r="C695" s="131"/>
      <c r="D695" s="131"/>
      <c r="E695" s="132"/>
      <c r="F695" s="131"/>
      <c r="G695" s="131"/>
      <c r="H695" s="131"/>
      <c r="I695" s="131"/>
      <c r="J695" s="131"/>
      <c r="K695" s="131"/>
      <c r="L695" s="129"/>
      <c r="M695" s="130"/>
      <c r="N695" s="129"/>
      <c r="O695" s="129"/>
    </row>
    <row r="696" spans="1:15">
      <c r="A696" s="67"/>
      <c r="B696" s="129"/>
      <c r="C696" s="131"/>
      <c r="D696" s="131"/>
      <c r="E696" s="132"/>
      <c r="F696" s="131"/>
      <c r="G696" s="131"/>
      <c r="H696" s="131"/>
      <c r="I696" s="131"/>
      <c r="J696" s="131"/>
      <c r="K696" s="131"/>
      <c r="L696" s="129"/>
      <c r="M696" s="130"/>
      <c r="N696" s="129"/>
      <c r="O696" s="129"/>
    </row>
    <row r="697" spans="1:15">
      <c r="A697" s="67"/>
      <c r="B697" s="129"/>
      <c r="C697" s="131"/>
      <c r="D697" s="131"/>
      <c r="E697" s="132"/>
      <c r="F697" s="131"/>
      <c r="G697" s="131"/>
      <c r="H697" s="131"/>
      <c r="I697" s="131"/>
      <c r="J697" s="131"/>
      <c r="K697" s="131"/>
      <c r="L697" s="129"/>
      <c r="M697" s="130"/>
      <c r="N697" s="129"/>
      <c r="O697" s="129"/>
    </row>
    <row r="698" spans="1:15">
      <c r="A698" s="67"/>
      <c r="B698" s="129"/>
      <c r="C698" s="131"/>
      <c r="D698" s="131"/>
      <c r="E698" s="132"/>
      <c r="F698" s="131"/>
      <c r="G698" s="131"/>
      <c r="H698" s="131"/>
      <c r="I698" s="131"/>
      <c r="J698" s="131"/>
      <c r="K698" s="131"/>
      <c r="L698" s="129"/>
      <c r="M698" s="130"/>
      <c r="N698" s="129"/>
      <c r="O698" s="129"/>
    </row>
    <row r="699" spans="1:15">
      <c r="A699" s="67"/>
      <c r="B699" s="129"/>
      <c r="C699" s="131"/>
      <c r="D699" s="131"/>
      <c r="E699" s="132"/>
      <c r="F699" s="131"/>
      <c r="G699" s="131"/>
      <c r="H699" s="131"/>
      <c r="I699" s="131"/>
      <c r="J699" s="131"/>
      <c r="K699" s="131"/>
      <c r="L699" s="129"/>
      <c r="M699" s="130"/>
      <c r="N699" s="129"/>
      <c r="O699" s="129"/>
    </row>
    <row r="700" spans="1:15">
      <c r="A700" s="67"/>
      <c r="B700" s="129"/>
      <c r="C700" s="131"/>
      <c r="D700" s="131"/>
      <c r="E700" s="132"/>
      <c r="F700" s="131"/>
      <c r="G700" s="131"/>
      <c r="H700" s="131"/>
      <c r="I700" s="131"/>
      <c r="J700" s="131"/>
      <c r="K700" s="131"/>
      <c r="L700" s="129"/>
      <c r="M700" s="130"/>
      <c r="N700" s="129"/>
      <c r="O700" s="129"/>
    </row>
    <row r="701" spans="1:15">
      <c r="A701" s="67"/>
      <c r="B701" s="129"/>
      <c r="C701" s="131"/>
      <c r="D701" s="131"/>
      <c r="E701" s="132"/>
      <c r="F701" s="131"/>
      <c r="G701" s="131"/>
      <c r="H701" s="131"/>
      <c r="I701" s="131"/>
      <c r="J701" s="131"/>
      <c r="K701" s="131"/>
      <c r="L701" s="129"/>
      <c r="M701" s="130"/>
      <c r="N701" s="129"/>
      <c r="O701" s="129"/>
    </row>
    <row r="702" spans="1:15">
      <c r="A702" s="67"/>
      <c r="B702" s="129"/>
      <c r="C702" s="131"/>
      <c r="D702" s="131"/>
      <c r="E702" s="132"/>
      <c r="F702" s="131"/>
      <c r="G702" s="131"/>
      <c r="H702" s="131"/>
      <c r="I702" s="131"/>
      <c r="J702" s="131"/>
      <c r="K702" s="131"/>
      <c r="L702" s="129"/>
      <c r="M702" s="130"/>
      <c r="N702" s="129"/>
      <c r="O702" s="129"/>
    </row>
    <row r="703" spans="1:15">
      <c r="A703" s="67"/>
      <c r="B703" s="129"/>
      <c r="C703" s="131"/>
      <c r="D703" s="131"/>
      <c r="E703" s="132"/>
      <c r="F703" s="131"/>
      <c r="G703" s="131"/>
      <c r="H703" s="131"/>
      <c r="I703" s="131"/>
      <c r="J703" s="131"/>
      <c r="K703" s="131"/>
      <c r="L703" s="129"/>
      <c r="M703" s="130"/>
      <c r="N703" s="129"/>
      <c r="O703" s="129"/>
    </row>
    <row r="704" spans="1:15">
      <c r="A704" s="67"/>
      <c r="B704" s="129"/>
      <c r="C704" s="131"/>
      <c r="D704" s="131"/>
      <c r="E704" s="132"/>
      <c r="F704" s="131"/>
      <c r="G704" s="131"/>
      <c r="H704" s="131"/>
      <c r="I704" s="131"/>
      <c r="J704" s="131"/>
      <c r="K704" s="131"/>
      <c r="L704" s="129"/>
      <c r="M704" s="130"/>
      <c r="N704" s="129"/>
      <c r="O704" s="129"/>
    </row>
    <row r="705" spans="1:15">
      <c r="A705" s="67"/>
      <c r="B705" s="129"/>
      <c r="C705" s="131"/>
      <c r="D705" s="131"/>
      <c r="E705" s="132"/>
      <c r="F705" s="131"/>
      <c r="G705" s="131"/>
      <c r="H705" s="131"/>
      <c r="I705" s="131"/>
      <c r="J705" s="131"/>
      <c r="K705" s="131"/>
      <c r="L705" s="129"/>
      <c r="M705" s="130"/>
      <c r="N705" s="129"/>
      <c r="O705" s="129"/>
    </row>
    <row r="706" spans="1:15">
      <c r="A706" s="67"/>
      <c r="B706" s="129"/>
      <c r="C706" s="131"/>
      <c r="D706" s="131"/>
      <c r="E706" s="132"/>
      <c r="F706" s="131"/>
      <c r="G706" s="131"/>
      <c r="H706" s="131"/>
      <c r="I706" s="131"/>
      <c r="J706" s="131"/>
      <c r="K706" s="131"/>
      <c r="L706" s="129"/>
      <c r="M706" s="130"/>
      <c r="N706" s="129"/>
      <c r="O706" s="129"/>
    </row>
    <row r="707" spans="1:15">
      <c r="A707" s="67"/>
      <c r="B707" s="129"/>
      <c r="C707" s="131"/>
      <c r="D707" s="131"/>
      <c r="E707" s="132"/>
      <c r="F707" s="131"/>
      <c r="G707" s="131"/>
      <c r="H707" s="131"/>
      <c r="I707" s="131"/>
      <c r="J707" s="131"/>
      <c r="K707" s="131"/>
      <c r="L707" s="129"/>
      <c r="M707" s="130"/>
      <c r="N707" s="129"/>
      <c r="O707" s="129"/>
    </row>
    <row r="708" spans="1:15">
      <c r="A708" s="67"/>
      <c r="B708" s="129"/>
      <c r="C708" s="131"/>
      <c r="D708" s="131"/>
      <c r="E708" s="132"/>
      <c r="F708" s="131"/>
      <c r="G708" s="131"/>
      <c r="H708" s="131"/>
      <c r="I708" s="131"/>
      <c r="J708" s="131"/>
      <c r="K708" s="131"/>
      <c r="L708" s="129"/>
      <c r="M708" s="130"/>
      <c r="N708" s="129"/>
      <c r="O708" s="129"/>
    </row>
    <row r="709" spans="1:15">
      <c r="A709" s="67"/>
      <c r="B709" s="129"/>
      <c r="C709" s="131"/>
      <c r="D709" s="131"/>
      <c r="E709" s="132"/>
      <c r="F709" s="131"/>
      <c r="G709" s="131"/>
      <c r="H709" s="131"/>
      <c r="I709" s="131"/>
      <c r="J709" s="131"/>
      <c r="K709" s="131"/>
      <c r="L709" s="129"/>
      <c r="M709" s="130"/>
      <c r="N709" s="129"/>
      <c r="O709" s="129"/>
    </row>
    <row r="710" spans="1:15">
      <c r="A710" s="67"/>
      <c r="B710" s="129"/>
      <c r="C710" s="131"/>
      <c r="D710" s="131"/>
      <c r="E710" s="132"/>
      <c r="F710" s="131"/>
      <c r="G710" s="131"/>
      <c r="H710" s="131"/>
      <c r="I710" s="131"/>
      <c r="J710" s="131"/>
      <c r="K710" s="131"/>
      <c r="L710" s="129"/>
      <c r="M710" s="130"/>
      <c r="N710" s="129"/>
      <c r="O710" s="129"/>
    </row>
    <row r="711" spans="1:15">
      <c r="A711" s="67"/>
      <c r="B711" s="129"/>
      <c r="C711" s="131"/>
      <c r="D711" s="131"/>
      <c r="E711" s="132"/>
      <c r="F711" s="131"/>
      <c r="G711" s="131"/>
      <c r="H711" s="131"/>
      <c r="I711" s="131"/>
      <c r="J711" s="131"/>
      <c r="K711" s="131"/>
      <c r="L711" s="129"/>
      <c r="M711" s="130"/>
      <c r="N711" s="129"/>
      <c r="O711" s="129"/>
    </row>
    <row r="712" spans="1:15">
      <c r="A712" s="67"/>
      <c r="B712" s="129"/>
      <c r="C712" s="131"/>
      <c r="D712" s="131"/>
      <c r="E712" s="132"/>
      <c r="F712" s="131"/>
      <c r="G712" s="131"/>
      <c r="H712" s="131"/>
      <c r="I712" s="131"/>
      <c r="J712" s="131"/>
      <c r="K712" s="131"/>
      <c r="L712" s="129"/>
      <c r="M712" s="130"/>
      <c r="N712" s="129"/>
      <c r="O712" s="129"/>
    </row>
    <row r="713" spans="1:15">
      <c r="A713" s="67"/>
      <c r="B713" s="129"/>
      <c r="C713" s="131"/>
      <c r="D713" s="131"/>
      <c r="E713" s="132"/>
      <c r="F713" s="131"/>
      <c r="G713" s="131"/>
      <c r="H713" s="131"/>
      <c r="I713" s="131"/>
      <c r="J713" s="131"/>
      <c r="K713" s="131"/>
      <c r="L713" s="129"/>
      <c r="M713" s="130"/>
      <c r="N713" s="129"/>
      <c r="O713" s="129"/>
    </row>
    <row r="714" spans="1:15">
      <c r="A714" s="67"/>
      <c r="B714" s="129"/>
      <c r="C714" s="131"/>
      <c r="D714" s="131"/>
      <c r="E714" s="132"/>
      <c r="F714" s="131"/>
      <c r="G714" s="131"/>
      <c r="H714" s="131"/>
      <c r="I714" s="131"/>
      <c r="J714" s="131"/>
      <c r="K714" s="131"/>
      <c r="L714" s="129"/>
      <c r="M714" s="130"/>
      <c r="N714" s="129"/>
      <c r="O714" s="129"/>
    </row>
    <row r="715" spans="1:15">
      <c r="A715" s="67"/>
      <c r="B715" s="129"/>
      <c r="C715" s="131"/>
      <c r="D715" s="131"/>
      <c r="E715" s="132"/>
      <c r="F715" s="131"/>
      <c r="G715" s="131"/>
      <c r="H715" s="131"/>
      <c r="I715" s="131"/>
      <c r="J715" s="131"/>
      <c r="K715" s="131"/>
      <c r="L715" s="129"/>
      <c r="M715" s="130"/>
      <c r="N715" s="129"/>
      <c r="O715" s="129"/>
    </row>
    <row r="716" spans="1:15">
      <c r="A716" s="67"/>
      <c r="B716" s="129"/>
      <c r="C716" s="131"/>
      <c r="D716" s="131"/>
      <c r="E716" s="132"/>
      <c r="F716" s="131"/>
      <c r="G716" s="131"/>
      <c r="H716" s="131"/>
      <c r="I716" s="131"/>
      <c r="J716" s="131"/>
      <c r="K716" s="131"/>
      <c r="L716" s="129"/>
      <c r="M716" s="130"/>
      <c r="N716" s="129"/>
      <c r="O716" s="129"/>
    </row>
    <row r="717" spans="1:15">
      <c r="A717" s="67"/>
      <c r="B717" s="129"/>
      <c r="C717" s="131"/>
      <c r="D717" s="131"/>
      <c r="E717" s="132"/>
      <c r="F717" s="131"/>
      <c r="G717" s="131"/>
      <c r="H717" s="131"/>
      <c r="I717" s="131"/>
      <c r="J717" s="131"/>
      <c r="K717" s="131"/>
      <c r="L717" s="129"/>
      <c r="M717" s="130"/>
      <c r="N717" s="129"/>
      <c r="O717" s="129"/>
    </row>
    <row r="718" spans="1:15">
      <c r="A718" s="67"/>
      <c r="B718" s="129"/>
      <c r="C718" s="131"/>
      <c r="D718" s="131"/>
      <c r="E718" s="132"/>
      <c r="F718" s="131"/>
      <c r="G718" s="131"/>
      <c r="H718" s="131"/>
      <c r="I718" s="131"/>
      <c r="J718" s="131"/>
      <c r="K718" s="131"/>
      <c r="L718" s="129"/>
      <c r="M718" s="130"/>
      <c r="N718" s="129"/>
      <c r="O718" s="129"/>
    </row>
    <row r="719" spans="1:15">
      <c r="A719" s="67"/>
      <c r="B719" s="129"/>
      <c r="C719" s="131"/>
      <c r="D719" s="131"/>
      <c r="E719" s="132"/>
      <c r="F719" s="131"/>
      <c r="G719" s="131"/>
      <c r="H719" s="131"/>
      <c r="I719" s="131"/>
      <c r="J719" s="131"/>
      <c r="K719" s="131"/>
      <c r="L719" s="129"/>
      <c r="M719" s="130"/>
      <c r="N719" s="129"/>
      <c r="O719" s="129"/>
    </row>
    <row r="720" spans="1:15">
      <c r="A720" s="67"/>
      <c r="B720" s="129"/>
      <c r="C720" s="131"/>
      <c r="D720" s="131"/>
      <c r="E720" s="132"/>
      <c r="F720" s="131"/>
      <c r="G720" s="131"/>
      <c r="H720" s="131"/>
      <c r="I720" s="131"/>
      <c r="J720" s="131"/>
      <c r="K720" s="131"/>
      <c r="L720" s="129"/>
      <c r="M720" s="130"/>
      <c r="N720" s="129"/>
      <c r="O720" s="129"/>
    </row>
    <row r="721" spans="1:15">
      <c r="A721" s="67"/>
      <c r="B721" s="129"/>
      <c r="C721" s="131"/>
      <c r="D721" s="131"/>
      <c r="E721" s="132"/>
      <c r="F721" s="131"/>
      <c r="G721" s="131"/>
      <c r="H721" s="131"/>
      <c r="I721" s="131"/>
      <c r="J721" s="131"/>
      <c r="K721" s="131"/>
      <c r="L721" s="129"/>
      <c r="M721" s="130"/>
      <c r="N721" s="129"/>
      <c r="O721" s="129"/>
    </row>
    <row r="722" spans="1:15">
      <c r="A722" s="67"/>
      <c r="B722" s="129"/>
      <c r="C722" s="131"/>
      <c r="D722" s="131"/>
      <c r="E722" s="132"/>
      <c r="F722" s="131"/>
      <c r="G722" s="131"/>
      <c r="H722" s="131"/>
      <c r="I722" s="131"/>
      <c r="J722" s="131"/>
      <c r="K722" s="131"/>
      <c r="L722" s="129"/>
      <c r="M722" s="130"/>
      <c r="N722" s="129"/>
      <c r="O722" s="129"/>
    </row>
    <row r="723" spans="1:15">
      <c r="A723" s="67"/>
      <c r="B723" s="129"/>
      <c r="C723" s="131"/>
      <c r="D723" s="131"/>
      <c r="E723" s="132"/>
      <c r="F723" s="131"/>
      <c r="G723" s="131"/>
      <c r="H723" s="131"/>
      <c r="I723" s="131"/>
      <c r="J723" s="131"/>
      <c r="K723" s="131"/>
      <c r="L723" s="129"/>
      <c r="M723" s="130"/>
      <c r="N723" s="129"/>
      <c r="O723" s="129"/>
    </row>
    <row r="724" spans="1:15">
      <c r="A724" s="67"/>
      <c r="B724" s="129"/>
      <c r="C724" s="131"/>
      <c r="D724" s="131"/>
      <c r="E724" s="132"/>
      <c r="F724" s="131"/>
      <c r="G724" s="131"/>
      <c r="H724" s="131"/>
      <c r="I724" s="131"/>
      <c r="J724" s="131"/>
      <c r="K724" s="131"/>
      <c r="L724" s="129"/>
      <c r="M724" s="130"/>
      <c r="N724" s="129"/>
      <c r="O724" s="129"/>
    </row>
    <row r="725" spans="1:15">
      <c r="A725" s="67"/>
      <c r="B725" s="129"/>
      <c r="C725" s="131"/>
      <c r="D725" s="131"/>
      <c r="E725" s="132"/>
      <c r="F725" s="131"/>
      <c r="G725" s="131"/>
      <c r="H725" s="131"/>
      <c r="I725" s="131"/>
      <c r="J725" s="131"/>
      <c r="K725" s="131"/>
      <c r="L725" s="129"/>
      <c r="M725" s="130"/>
      <c r="N725" s="129"/>
      <c r="O725" s="129"/>
    </row>
    <row r="726" spans="1:15">
      <c r="A726" s="67"/>
      <c r="B726" s="129"/>
      <c r="C726" s="131"/>
      <c r="D726" s="131"/>
      <c r="E726" s="132"/>
      <c r="F726" s="131"/>
      <c r="G726" s="131"/>
      <c r="H726" s="131"/>
      <c r="I726" s="131"/>
      <c r="J726" s="131"/>
      <c r="K726" s="131"/>
      <c r="L726" s="129"/>
      <c r="M726" s="130"/>
      <c r="N726" s="129"/>
      <c r="O726" s="129"/>
    </row>
    <row r="727" spans="1:15">
      <c r="A727" s="67"/>
      <c r="B727" s="129"/>
      <c r="C727" s="131"/>
      <c r="D727" s="131"/>
      <c r="E727" s="132"/>
      <c r="F727" s="131"/>
      <c r="G727" s="131"/>
      <c r="H727" s="131"/>
      <c r="I727" s="131"/>
      <c r="J727" s="131"/>
      <c r="K727" s="131"/>
      <c r="L727" s="129"/>
      <c r="M727" s="130"/>
      <c r="N727" s="129"/>
      <c r="O727" s="129"/>
    </row>
    <row r="728" spans="1:15">
      <c r="A728" s="67"/>
      <c r="B728" s="129"/>
      <c r="C728" s="131"/>
      <c r="D728" s="131"/>
      <c r="E728" s="132"/>
      <c r="F728" s="131"/>
      <c r="G728" s="131"/>
      <c r="H728" s="131"/>
      <c r="I728" s="131"/>
      <c r="J728" s="131"/>
      <c r="K728" s="131"/>
      <c r="L728" s="129"/>
      <c r="M728" s="130"/>
      <c r="N728" s="129"/>
      <c r="O728" s="129"/>
    </row>
    <row r="729" spans="1:15">
      <c r="A729" s="67"/>
      <c r="B729" s="129"/>
      <c r="C729" s="131"/>
      <c r="D729" s="131"/>
      <c r="E729" s="132"/>
      <c r="F729" s="131"/>
      <c r="G729" s="131"/>
      <c r="H729" s="131"/>
      <c r="I729" s="131"/>
      <c r="J729" s="131"/>
      <c r="K729" s="131"/>
      <c r="L729" s="129"/>
      <c r="M729" s="130"/>
      <c r="N729" s="129"/>
      <c r="O729" s="129"/>
    </row>
    <row r="730" spans="1:15">
      <c r="A730" s="67"/>
      <c r="B730" s="129"/>
      <c r="C730" s="131"/>
      <c r="D730" s="131"/>
      <c r="E730" s="132"/>
      <c r="F730" s="131"/>
      <c r="G730" s="131"/>
      <c r="H730" s="131"/>
      <c r="I730" s="131"/>
      <c r="J730" s="131"/>
      <c r="K730" s="131"/>
      <c r="L730" s="129"/>
      <c r="M730" s="130"/>
      <c r="N730" s="129"/>
      <c r="O730" s="129"/>
    </row>
    <row r="731" spans="1:15">
      <c r="A731" s="67"/>
      <c r="B731" s="129"/>
      <c r="C731" s="131"/>
      <c r="D731" s="131"/>
      <c r="E731" s="132"/>
      <c r="F731" s="131"/>
      <c r="G731" s="131"/>
      <c r="H731" s="131"/>
      <c r="I731" s="131"/>
      <c r="J731" s="131"/>
      <c r="K731" s="131"/>
      <c r="L731" s="129"/>
      <c r="M731" s="130"/>
      <c r="N731" s="129"/>
      <c r="O731" s="129"/>
    </row>
    <row r="732" spans="1:15">
      <c r="A732" s="67"/>
      <c r="B732" s="129"/>
      <c r="C732" s="131"/>
      <c r="D732" s="131"/>
      <c r="E732" s="132"/>
      <c r="F732" s="131"/>
      <c r="G732" s="131"/>
      <c r="H732" s="131"/>
      <c r="I732" s="131"/>
      <c r="J732" s="131"/>
      <c r="K732" s="131"/>
      <c r="L732" s="129"/>
      <c r="M732" s="130"/>
      <c r="N732" s="129"/>
      <c r="O732" s="129"/>
    </row>
    <row r="733" spans="1:15">
      <c r="A733" s="67"/>
      <c r="B733" s="129"/>
      <c r="C733" s="131"/>
      <c r="D733" s="131"/>
      <c r="E733" s="132"/>
      <c r="F733" s="131"/>
      <c r="G733" s="131"/>
      <c r="H733" s="131"/>
      <c r="I733" s="131"/>
      <c r="J733" s="131"/>
      <c r="K733" s="131"/>
      <c r="L733" s="129"/>
      <c r="M733" s="130"/>
      <c r="N733" s="129"/>
      <c r="O733" s="129"/>
    </row>
    <row r="734" spans="1:15">
      <c r="A734" s="67"/>
      <c r="B734" s="129"/>
      <c r="C734" s="131"/>
      <c r="D734" s="131"/>
      <c r="E734" s="132"/>
      <c r="F734" s="131"/>
      <c r="G734" s="131"/>
      <c r="H734" s="131"/>
      <c r="I734" s="131"/>
      <c r="J734" s="131"/>
      <c r="K734" s="131"/>
      <c r="L734" s="129"/>
      <c r="M734" s="130"/>
      <c r="N734" s="129"/>
      <c r="O734" s="129"/>
    </row>
    <row r="735" spans="1:15">
      <c r="A735" s="67"/>
      <c r="B735" s="129"/>
      <c r="C735" s="131"/>
      <c r="D735" s="131"/>
      <c r="E735" s="132"/>
      <c r="F735" s="131"/>
      <c r="G735" s="131"/>
      <c r="H735" s="131"/>
      <c r="I735" s="131"/>
      <c r="J735" s="131"/>
      <c r="K735" s="131"/>
      <c r="L735" s="129"/>
      <c r="M735" s="130"/>
      <c r="N735" s="129"/>
      <c r="O735" s="129"/>
    </row>
    <row r="736" spans="1:15">
      <c r="A736" s="67"/>
      <c r="B736" s="129"/>
      <c r="C736" s="131"/>
      <c r="D736" s="131"/>
      <c r="E736" s="132"/>
      <c r="F736" s="131"/>
      <c r="G736" s="131"/>
      <c r="H736" s="131"/>
      <c r="I736" s="131"/>
      <c r="J736" s="131"/>
      <c r="K736" s="131"/>
      <c r="L736" s="129"/>
      <c r="M736" s="130"/>
      <c r="N736" s="129"/>
      <c r="O736" s="129"/>
    </row>
    <row r="737" spans="1:15">
      <c r="A737" s="67"/>
      <c r="B737" s="129"/>
      <c r="C737" s="131"/>
      <c r="D737" s="131"/>
      <c r="E737" s="132"/>
      <c r="F737" s="131"/>
      <c r="G737" s="131"/>
      <c r="H737" s="131"/>
      <c r="I737" s="131"/>
      <c r="J737" s="131"/>
      <c r="K737" s="131"/>
      <c r="L737" s="129"/>
      <c r="M737" s="130"/>
      <c r="N737" s="129"/>
      <c r="O737" s="129"/>
    </row>
    <row r="738" spans="1:15">
      <c r="A738" s="67"/>
      <c r="B738" s="129"/>
      <c r="C738" s="131"/>
      <c r="D738" s="131"/>
      <c r="E738" s="132"/>
      <c r="F738" s="131"/>
      <c r="G738" s="131"/>
      <c r="H738" s="131"/>
      <c r="I738" s="131"/>
      <c r="J738" s="131"/>
      <c r="K738" s="131"/>
      <c r="L738" s="129"/>
      <c r="M738" s="130"/>
      <c r="N738" s="129"/>
      <c r="O738" s="129"/>
    </row>
    <row r="739" spans="1:15">
      <c r="A739" s="67"/>
      <c r="B739" s="129"/>
      <c r="C739" s="131"/>
      <c r="D739" s="131"/>
      <c r="E739" s="132"/>
      <c r="F739" s="131"/>
      <c r="G739" s="131"/>
      <c r="H739" s="131"/>
      <c r="I739" s="131"/>
      <c r="J739" s="131"/>
      <c r="K739" s="131"/>
      <c r="L739" s="129"/>
      <c r="M739" s="130"/>
      <c r="N739" s="129"/>
      <c r="O739" s="129"/>
    </row>
    <row r="740" spans="1:15">
      <c r="A740" s="67"/>
      <c r="B740" s="129"/>
      <c r="C740" s="131"/>
      <c r="D740" s="131"/>
      <c r="E740" s="132"/>
      <c r="F740" s="131"/>
      <c r="G740" s="131"/>
      <c r="H740" s="131"/>
      <c r="I740" s="131"/>
      <c r="J740" s="131"/>
      <c r="K740" s="131"/>
      <c r="L740" s="129"/>
      <c r="M740" s="130"/>
      <c r="N740" s="129"/>
      <c r="O740" s="129"/>
    </row>
    <row r="741" spans="1:15">
      <c r="A741" s="67"/>
      <c r="B741" s="129"/>
      <c r="C741" s="131"/>
      <c r="D741" s="131"/>
      <c r="E741" s="132"/>
      <c r="F741" s="131"/>
      <c r="G741" s="131"/>
      <c r="H741" s="131"/>
      <c r="I741" s="131"/>
      <c r="J741" s="131"/>
      <c r="K741" s="131"/>
      <c r="L741" s="129"/>
      <c r="M741" s="130"/>
      <c r="N741" s="129"/>
      <c r="O741" s="129"/>
    </row>
    <row r="742" spans="1:15">
      <c r="A742" s="67"/>
      <c r="B742" s="129"/>
      <c r="C742" s="131"/>
      <c r="D742" s="131"/>
      <c r="E742" s="132"/>
      <c r="F742" s="131"/>
      <c r="G742" s="131"/>
      <c r="H742" s="131"/>
      <c r="I742" s="131"/>
      <c r="J742" s="131"/>
      <c r="K742" s="131"/>
      <c r="L742" s="129"/>
      <c r="M742" s="130"/>
      <c r="N742" s="129"/>
      <c r="O742" s="129"/>
    </row>
    <row r="743" spans="1:15">
      <c r="A743" s="67"/>
      <c r="B743" s="129"/>
      <c r="C743" s="131"/>
      <c r="D743" s="131"/>
      <c r="E743" s="132"/>
      <c r="F743" s="131"/>
      <c r="G743" s="131"/>
      <c r="H743" s="131"/>
      <c r="I743" s="131"/>
      <c r="J743" s="131"/>
      <c r="K743" s="131"/>
      <c r="L743" s="129"/>
      <c r="M743" s="130"/>
      <c r="N743" s="129"/>
      <c r="O743" s="129"/>
    </row>
    <row r="744" spans="1:15">
      <c r="A744" s="67"/>
      <c r="B744" s="129"/>
      <c r="C744" s="131"/>
      <c r="D744" s="131"/>
      <c r="E744" s="132"/>
      <c r="F744" s="131"/>
      <c r="G744" s="131"/>
      <c r="H744" s="131"/>
      <c r="I744" s="131"/>
      <c r="J744" s="131"/>
      <c r="K744" s="131"/>
      <c r="L744" s="129"/>
      <c r="M744" s="130"/>
      <c r="N744" s="129"/>
      <c r="O744" s="129"/>
    </row>
    <row r="745" spans="1:15">
      <c r="A745" s="67"/>
      <c r="B745" s="129"/>
      <c r="C745" s="131"/>
      <c r="D745" s="131"/>
      <c r="E745" s="132"/>
      <c r="F745" s="131"/>
      <c r="G745" s="131"/>
      <c r="H745" s="131"/>
      <c r="I745" s="131"/>
      <c r="J745" s="131"/>
      <c r="K745" s="131"/>
      <c r="L745" s="129"/>
      <c r="M745" s="130"/>
      <c r="N745" s="129"/>
      <c r="O745" s="129"/>
    </row>
    <row r="746" spans="1:15">
      <c r="A746" s="67"/>
      <c r="B746" s="129"/>
      <c r="C746" s="131"/>
      <c r="D746" s="131"/>
      <c r="E746" s="132"/>
      <c r="F746" s="131"/>
      <c r="G746" s="131"/>
      <c r="H746" s="131"/>
      <c r="I746" s="131"/>
      <c r="J746" s="131"/>
      <c r="K746" s="131"/>
      <c r="L746" s="129"/>
      <c r="M746" s="130"/>
      <c r="N746" s="129"/>
      <c r="O746" s="129"/>
    </row>
    <row r="747" spans="1:15">
      <c r="A747" s="67"/>
      <c r="B747" s="129"/>
      <c r="C747" s="131"/>
      <c r="D747" s="131"/>
      <c r="E747" s="132"/>
      <c r="F747" s="131"/>
      <c r="G747" s="131"/>
      <c r="H747" s="131"/>
      <c r="I747" s="131"/>
      <c r="J747" s="131"/>
      <c r="K747" s="131"/>
      <c r="L747" s="129"/>
      <c r="M747" s="130"/>
      <c r="N747" s="129"/>
      <c r="O747" s="129"/>
    </row>
    <row r="748" spans="1:15">
      <c r="A748" s="67"/>
      <c r="B748" s="129"/>
      <c r="C748" s="131"/>
      <c r="D748" s="131"/>
      <c r="E748" s="132"/>
      <c r="F748" s="131"/>
      <c r="G748" s="131"/>
      <c r="H748" s="131"/>
      <c r="I748" s="131"/>
      <c r="J748" s="131"/>
      <c r="K748" s="131"/>
      <c r="L748" s="129"/>
      <c r="M748" s="130"/>
      <c r="N748" s="129"/>
      <c r="O748" s="129"/>
    </row>
    <row r="749" spans="1:15">
      <c r="A749" s="67"/>
      <c r="B749" s="129"/>
      <c r="C749" s="131"/>
      <c r="D749" s="131"/>
      <c r="E749" s="132"/>
      <c r="F749" s="131"/>
      <c r="G749" s="131"/>
      <c r="H749" s="131"/>
      <c r="I749" s="131"/>
      <c r="J749" s="131"/>
      <c r="K749" s="131"/>
      <c r="L749" s="129"/>
      <c r="M749" s="130"/>
      <c r="N749" s="129"/>
      <c r="O749" s="129"/>
    </row>
    <row r="750" spans="1:15">
      <c r="A750" s="67"/>
      <c r="B750" s="129"/>
      <c r="C750" s="131"/>
      <c r="D750" s="131"/>
      <c r="E750" s="132"/>
      <c r="F750" s="131"/>
      <c r="G750" s="131"/>
      <c r="H750" s="131"/>
      <c r="I750" s="131"/>
      <c r="J750" s="131"/>
      <c r="K750" s="131"/>
      <c r="L750" s="129"/>
      <c r="M750" s="130"/>
      <c r="N750" s="129"/>
      <c r="O750" s="129"/>
    </row>
    <row r="751" spans="1:15">
      <c r="A751" s="67"/>
      <c r="B751" s="129"/>
      <c r="C751" s="131"/>
      <c r="D751" s="131"/>
      <c r="E751" s="132"/>
      <c r="F751" s="131"/>
      <c r="G751" s="131"/>
      <c r="H751" s="131"/>
      <c r="I751" s="131"/>
      <c r="J751" s="131"/>
      <c r="K751" s="131"/>
      <c r="L751" s="129"/>
      <c r="M751" s="130"/>
      <c r="N751" s="129"/>
      <c r="O751" s="129"/>
    </row>
    <row r="752" spans="1:15">
      <c r="A752" s="67"/>
      <c r="B752" s="129"/>
      <c r="C752" s="131"/>
      <c r="D752" s="131"/>
      <c r="E752" s="132"/>
      <c r="F752" s="131"/>
      <c r="G752" s="131"/>
      <c r="H752" s="131"/>
      <c r="I752" s="131"/>
      <c r="J752" s="131"/>
      <c r="K752" s="131"/>
      <c r="L752" s="129"/>
      <c r="M752" s="130"/>
      <c r="N752" s="129"/>
      <c r="O752" s="129"/>
    </row>
    <row r="753" spans="1:15">
      <c r="A753" s="67"/>
      <c r="B753" s="129"/>
      <c r="C753" s="131"/>
      <c r="D753" s="131"/>
      <c r="E753" s="132"/>
      <c r="F753" s="131"/>
      <c r="G753" s="131"/>
      <c r="H753" s="131"/>
      <c r="I753" s="131"/>
      <c r="J753" s="131"/>
      <c r="K753" s="131"/>
      <c r="L753" s="129"/>
      <c r="M753" s="130"/>
      <c r="N753" s="129"/>
      <c r="O753" s="129"/>
    </row>
    <row r="754" spans="1:15">
      <c r="A754" s="67"/>
      <c r="B754" s="129"/>
      <c r="C754" s="131"/>
      <c r="D754" s="131"/>
      <c r="E754" s="132"/>
      <c r="F754" s="131"/>
      <c r="G754" s="131"/>
      <c r="H754" s="131"/>
      <c r="I754" s="131"/>
      <c r="J754" s="131"/>
      <c r="K754" s="131"/>
      <c r="L754" s="129"/>
      <c r="M754" s="130"/>
      <c r="N754" s="129"/>
      <c r="O754" s="129"/>
    </row>
    <row r="755" spans="1:15">
      <c r="A755" s="67"/>
      <c r="B755" s="129"/>
      <c r="C755" s="131"/>
      <c r="D755" s="131"/>
      <c r="E755" s="132"/>
      <c r="F755" s="131"/>
      <c r="G755" s="131"/>
      <c r="H755" s="131"/>
      <c r="I755" s="131"/>
      <c r="J755" s="131"/>
      <c r="K755" s="131"/>
      <c r="L755" s="129"/>
      <c r="M755" s="130"/>
      <c r="N755" s="129"/>
      <c r="O755" s="129"/>
    </row>
    <row r="756" spans="1:15">
      <c r="A756" s="67"/>
      <c r="B756" s="129"/>
      <c r="C756" s="131"/>
      <c r="D756" s="131"/>
      <c r="E756" s="132"/>
      <c r="F756" s="131"/>
      <c r="G756" s="131"/>
      <c r="H756" s="131"/>
      <c r="I756" s="131"/>
      <c r="J756" s="131"/>
      <c r="K756" s="131"/>
      <c r="L756" s="129"/>
      <c r="M756" s="130"/>
      <c r="N756" s="129"/>
      <c r="O756" s="129"/>
    </row>
    <row r="757" spans="1:15">
      <c r="A757" s="67"/>
      <c r="B757" s="129"/>
      <c r="C757" s="131"/>
      <c r="D757" s="131"/>
      <c r="E757" s="132"/>
      <c r="F757" s="131"/>
      <c r="G757" s="131"/>
      <c r="H757" s="131"/>
      <c r="I757" s="131"/>
      <c r="J757" s="131"/>
      <c r="K757" s="131"/>
      <c r="L757" s="129"/>
      <c r="M757" s="130"/>
      <c r="N757" s="129"/>
      <c r="O757" s="129"/>
    </row>
    <row r="758" spans="1:15">
      <c r="A758" s="67"/>
      <c r="B758" s="129"/>
      <c r="C758" s="131"/>
      <c r="D758" s="131"/>
      <c r="E758" s="132"/>
      <c r="F758" s="131"/>
      <c r="G758" s="131"/>
      <c r="H758" s="131"/>
      <c r="I758" s="131"/>
      <c r="J758" s="131"/>
      <c r="K758" s="131"/>
      <c r="L758" s="129"/>
      <c r="M758" s="130"/>
      <c r="N758" s="129"/>
      <c r="O758" s="129"/>
    </row>
    <row r="759" spans="1:15">
      <c r="A759" s="67"/>
      <c r="B759" s="129"/>
      <c r="C759" s="131"/>
      <c r="D759" s="131"/>
      <c r="E759" s="132"/>
      <c r="F759" s="131"/>
      <c r="G759" s="131"/>
      <c r="H759" s="131"/>
      <c r="I759" s="131"/>
      <c r="J759" s="131"/>
      <c r="K759" s="131"/>
      <c r="L759" s="129"/>
      <c r="M759" s="130"/>
      <c r="N759" s="129"/>
      <c r="O759" s="129"/>
    </row>
    <row r="760" spans="1:15">
      <c r="A760" s="67"/>
      <c r="B760" s="129"/>
      <c r="C760" s="131"/>
      <c r="D760" s="131"/>
      <c r="E760" s="132"/>
      <c r="F760" s="131"/>
      <c r="G760" s="131"/>
      <c r="H760" s="131"/>
      <c r="I760" s="131"/>
      <c r="J760" s="131"/>
      <c r="K760" s="131"/>
      <c r="L760" s="129"/>
      <c r="M760" s="130"/>
      <c r="N760" s="129"/>
      <c r="O760" s="129"/>
    </row>
    <row r="761" spans="1:15">
      <c r="A761" s="67"/>
      <c r="B761" s="129"/>
      <c r="C761" s="131"/>
      <c r="D761" s="131"/>
      <c r="E761" s="132"/>
      <c r="F761" s="131"/>
      <c r="G761" s="131"/>
      <c r="H761" s="131"/>
      <c r="I761" s="131"/>
      <c r="J761" s="131"/>
      <c r="K761" s="131"/>
      <c r="L761" s="129"/>
      <c r="M761" s="130"/>
      <c r="N761" s="129"/>
      <c r="O761" s="129"/>
    </row>
    <row r="762" spans="1:15">
      <c r="A762" s="67"/>
      <c r="B762" s="129"/>
      <c r="C762" s="131"/>
      <c r="D762" s="131"/>
      <c r="E762" s="132"/>
      <c r="F762" s="131"/>
      <c r="G762" s="131"/>
      <c r="H762" s="131"/>
      <c r="I762" s="131"/>
      <c r="J762" s="131"/>
      <c r="K762" s="131"/>
      <c r="L762" s="129"/>
      <c r="M762" s="130"/>
      <c r="N762" s="129"/>
      <c r="O762" s="129"/>
    </row>
    <row r="763" spans="1:15">
      <c r="A763" s="67"/>
      <c r="B763" s="129"/>
      <c r="C763" s="131"/>
      <c r="D763" s="131"/>
      <c r="E763" s="132"/>
      <c r="F763" s="131"/>
      <c r="G763" s="131"/>
      <c r="H763" s="131"/>
      <c r="I763" s="131"/>
      <c r="J763" s="131"/>
      <c r="K763" s="131"/>
      <c r="L763" s="129"/>
      <c r="M763" s="130"/>
      <c r="N763" s="129"/>
      <c r="O763" s="129"/>
    </row>
    <row r="764" spans="1:15">
      <c r="A764" s="67"/>
      <c r="B764" s="129"/>
      <c r="C764" s="131"/>
      <c r="D764" s="131"/>
      <c r="E764" s="132"/>
      <c r="F764" s="131"/>
      <c r="G764" s="131"/>
      <c r="H764" s="131"/>
      <c r="I764" s="131"/>
      <c r="J764" s="131"/>
      <c r="K764" s="131"/>
      <c r="L764" s="129"/>
      <c r="M764" s="130"/>
      <c r="N764" s="129"/>
      <c r="O764" s="129"/>
    </row>
    <row r="765" spans="1:15">
      <c r="A765" s="67"/>
      <c r="B765" s="129"/>
      <c r="C765" s="131"/>
      <c r="D765" s="131"/>
      <c r="E765" s="132"/>
      <c r="F765" s="131"/>
      <c r="G765" s="131"/>
      <c r="H765" s="131"/>
      <c r="I765" s="131"/>
      <c r="J765" s="131"/>
      <c r="K765" s="131"/>
      <c r="L765" s="129"/>
      <c r="M765" s="130"/>
      <c r="N765" s="129"/>
      <c r="O765" s="129"/>
    </row>
    <row r="766" spans="1:15">
      <c r="A766" s="67"/>
      <c r="B766" s="129"/>
      <c r="C766" s="131"/>
      <c r="D766" s="131"/>
      <c r="E766" s="132"/>
      <c r="F766" s="131"/>
      <c r="G766" s="131"/>
      <c r="H766" s="131"/>
      <c r="I766" s="131"/>
      <c r="J766" s="131"/>
      <c r="K766" s="131"/>
      <c r="L766" s="129"/>
      <c r="M766" s="130"/>
      <c r="N766" s="129"/>
      <c r="O766" s="129"/>
    </row>
    <row r="767" spans="1:15">
      <c r="A767" s="67"/>
      <c r="B767" s="129"/>
      <c r="C767" s="131"/>
      <c r="D767" s="131"/>
      <c r="E767" s="132"/>
      <c r="F767" s="131"/>
      <c r="G767" s="131"/>
      <c r="H767" s="131"/>
      <c r="I767" s="131"/>
      <c r="J767" s="131"/>
      <c r="K767" s="131"/>
      <c r="L767" s="129"/>
      <c r="M767" s="130"/>
      <c r="N767" s="129"/>
      <c r="O767" s="129"/>
    </row>
    <row r="768" spans="1:15">
      <c r="A768" s="67"/>
      <c r="B768" s="129"/>
      <c r="C768" s="131"/>
      <c r="D768" s="131"/>
      <c r="E768" s="132"/>
      <c r="F768" s="131"/>
      <c r="G768" s="131"/>
      <c r="H768" s="131"/>
      <c r="I768" s="131"/>
      <c r="J768" s="131"/>
      <c r="K768" s="131"/>
      <c r="L768" s="129"/>
      <c r="M768" s="130"/>
      <c r="N768" s="129"/>
      <c r="O768" s="129"/>
    </row>
    <row r="769" spans="1:15">
      <c r="A769" s="67"/>
      <c r="B769" s="129"/>
      <c r="C769" s="131"/>
      <c r="D769" s="131"/>
      <c r="E769" s="132"/>
      <c r="F769" s="131"/>
      <c r="G769" s="131"/>
      <c r="H769" s="131"/>
      <c r="I769" s="131"/>
      <c r="J769" s="131"/>
      <c r="K769" s="131"/>
      <c r="L769" s="129"/>
      <c r="M769" s="130"/>
      <c r="N769" s="129"/>
      <c r="O769" s="129"/>
    </row>
    <row r="770" spans="1:15">
      <c r="A770" s="67"/>
      <c r="B770" s="129"/>
      <c r="C770" s="131"/>
      <c r="D770" s="131"/>
      <c r="E770" s="132"/>
      <c r="F770" s="131"/>
      <c r="G770" s="131"/>
      <c r="H770" s="131"/>
      <c r="I770" s="131"/>
      <c r="J770" s="131"/>
      <c r="K770" s="131"/>
      <c r="L770" s="129"/>
      <c r="M770" s="130"/>
      <c r="N770" s="129"/>
      <c r="O770" s="129"/>
    </row>
    <row r="771" spans="1:15">
      <c r="A771" s="67"/>
      <c r="B771" s="129"/>
      <c r="C771" s="131"/>
      <c r="D771" s="131"/>
      <c r="E771" s="132"/>
      <c r="F771" s="131"/>
      <c r="G771" s="131"/>
      <c r="H771" s="131"/>
      <c r="I771" s="131"/>
      <c r="J771" s="131"/>
      <c r="K771" s="131"/>
      <c r="L771" s="129"/>
      <c r="M771" s="130"/>
      <c r="N771" s="129"/>
      <c r="O771" s="129"/>
    </row>
    <row r="772" spans="1:15">
      <c r="A772" s="67"/>
      <c r="B772" s="129"/>
      <c r="C772" s="131"/>
      <c r="D772" s="131"/>
      <c r="E772" s="132"/>
      <c r="F772" s="131"/>
      <c r="G772" s="131"/>
      <c r="H772" s="131"/>
      <c r="I772" s="131"/>
      <c r="J772" s="131"/>
      <c r="K772" s="131"/>
      <c r="L772" s="129"/>
      <c r="M772" s="130"/>
      <c r="N772" s="129"/>
      <c r="O772" s="129"/>
    </row>
    <row r="773" spans="1:15">
      <c r="A773" s="67"/>
      <c r="B773" s="129"/>
      <c r="C773" s="131"/>
      <c r="D773" s="131"/>
      <c r="E773" s="132"/>
      <c r="F773" s="131"/>
      <c r="G773" s="131"/>
      <c r="H773" s="131"/>
      <c r="I773" s="131"/>
      <c r="J773" s="131"/>
      <c r="K773" s="131"/>
      <c r="L773" s="129"/>
      <c r="M773" s="130"/>
      <c r="N773" s="129"/>
      <c r="O773" s="129"/>
    </row>
    <row r="774" spans="1:15">
      <c r="A774" s="67"/>
      <c r="B774" s="129"/>
      <c r="C774" s="131"/>
      <c r="D774" s="131"/>
      <c r="E774" s="132"/>
      <c r="F774" s="131"/>
      <c r="G774" s="131"/>
      <c r="H774" s="131"/>
      <c r="I774" s="131"/>
      <c r="J774" s="131"/>
      <c r="K774" s="131"/>
      <c r="L774" s="129"/>
      <c r="M774" s="130"/>
      <c r="N774" s="129"/>
      <c r="O774" s="129"/>
    </row>
    <row r="775" spans="1:15">
      <c r="A775" s="67"/>
      <c r="B775" s="129"/>
      <c r="C775" s="131"/>
      <c r="D775" s="131"/>
      <c r="E775" s="132"/>
      <c r="F775" s="131"/>
      <c r="G775" s="131"/>
      <c r="H775" s="131"/>
      <c r="I775" s="131"/>
      <c r="J775" s="131"/>
      <c r="K775" s="131"/>
      <c r="L775" s="129"/>
      <c r="M775" s="130"/>
      <c r="N775" s="129"/>
      <c r="O775" s="129"/>
    </row>
    <row r="776" spans="1:15">
      <c r="A776" s="67"/>
      <c r="B776" s="129"/>
      <c r="C776" s="131"/>
      <c r="D776" s="131"/>
      <c r="E776" s="132"/>
      <c r="F776" s="131"/>
      <c r="G776" s="131"/>
      <c r="H776" s="131"/>
      <c r="I776" s="131"/>
      <c r="J776" s="131"/>
      <c r="K776" s="131"/>
      <c r="L776" s="129"/>
      <c r="M776" s="130"/>
      <c r="N776" s="129"/>
      <c r="O776" s="129"/>
    </row>
    <row r="777" spans="1:15">
      <c r="A777" s="67"/>
      <c r="B777" s="129"/>
      <c r="C777" s="131"/>
      <c r="D777" s="131"/>
      <c r="E777" s="132"/>
      <c r="F777" s="131"/>
      <c r="G777" s="131"/>
      <c r="H777" s="131"/>
      <c r="I777" s="131"/>
      <c r="J777" s="131"/>
      <c r="K777" s="131"/>
      <c r="L777" s="129"/>
      <c r="M777" s="130"/>
      <c r="N777" s="129"/>
      <c r="O777" s="129"/>
    </row>
    <row r="778" spans="1:15">
      <c r="A778" s="67"/>
      <c r="B778" s="129"/>
      <c r="C778" s="131"/>
      <c r="D778" s="131"/>
      <c r="E778" s="132"/>
      <c r="F778" s="131"/>
      <c r="G778" s="131"/>
      <c r="H778" s="131"/>
      <c r="I778" s="131"/>
      <c r="J778" s="131"/>
      <c r="K778" s="131"/>
      <c r="L778" s="129"/>
      <c r="M778" s="130"/>
      <c r="N778" s="129"/>
      <c r="O778" s="129"/>
    </row>
    <row r="779" spans="1:15">
      <c r="A779" s="67"/>
      <c r="B779" s="129"/>
      <c r="C779" s="131"/>
      <c r="D779" s="131"/>
      <c r="E779" s="132"/>
      <c r="F779" s="131"/>
      <c r="G779" s="131"/>
      <c r="H779" s="131"/>
      <c r="I779" s="131"/>
      <c r="J779" s="131"/>
      <c r="K779" s="131"/>
      <c r="L779" s="129"/>
      <c r="M779" s="130"/>
      <c r="N779" s="129"/>
      <c r="O779" s="129"/>
    </row>
    <row r="780" spans="1:15">
      <c r="A780" s="67"/>
      <c r="B780" s="129"/>
      <c r="C780" s="131"/>
      <c r="D780" s="131"/>
      <c r="E780" s="132"/>
      <c r="F780" s="131"/>
      <c r="G780" s="131"/>
      <c r="H780" s="131"/>
      <c r="I780" s="131"/>
      <c r="J780" s="131"/>
      <c r="K780" s="131"/>
      <c r="L780" s="129"/>
      <c r="M780" s="130"/>
      <c r="N780" s="129"/>
      <c r="O780" s="129"/>
    </row>
    <row r="781" spans="1:15">
      <c r="A781" s="67"/>
      <c r="B781" s="129"/>
      <c r="C781" s="131"/>
      <c r="D781" s="131"/>
      <c r="E781" s="132"/>
      <c r="F781" s="131"/>
      <c r="G781" s="131"/>
      <c r="H781" s="131"/>
      <c r="I781" s="131"/>
      <c r="J781" s="131"/>
      <c r="K781" s="131"/>
      <c r="L781" s="129"/>
      <c r="M781" s="130"/>
      <c r="N781" s="129"/>
      <c r="O781" s="129"/>
    </row>
    <row r="782" spans="1:15">
      <c r="A782" s="67"/>
      <c r="B782" s="129"/>
      <c r="C782" s="131"/>
      <c r="D782" s="131"/>
      <c r="E782" s="132"/>
      <c r="F782" s="131"/>
      <c r="G782" s="131"/>
      <c r="H782" s="131"/>
      <c r="I782" s="131"/>
      <c r="J782" s="131"/>
      <c r="K782" s="131"/>
      <c r="L782" s="129"/>
      <c r="M782" s="130"/>
      <c r="N782" s="129"/>
      <c r="O782" s="129"/>
    </row>
    <row r="783" spans="1:15">
      <c r="A783" s="67"/>
      <c r="B783" s="129"/>
      <c r="C783" s="131"/>
      <c r="D783" s="131"/>
      <c r="E783" s="132"/>
      <c r="F783" s="131"/>
      <c r="G783" s="131"/>
      <c r="H783" s="131"/>
      <c r="I783" s="131"/>
      <c r="J783" s="131"/>
      <c r="K783" s="131"/>
      <c r="L783" s="129"/>
      <c r="M783" s="130"/>
      <c r="N783" s="129"/>
      <c r="O783" s="129"/>
    </row>
    <row r="784" spans="1:15">
      <c r="A784" s="67"/>
      <c r="B784" s="129"/>
      <c r="C784" s="131"/>
      <c r="D784" s="131"/>
      <c r="E784" s="132"/>
      <c r="F784" s="131"/>
      <c r="G784" s="131"/>
      <c r="H784" s="131"/>
      <c r="I784" s="131"/>
      <c r="J784" s="131"/>
      <c r="K784" s="131"/>
      <c r="L784" s="129"/>
      <c r="M784" s="130"/>
      <c r="N784" s="129"/>
      <c r="O784" s="129"/>
    </row>
    <row r="785" spans="1:15">
      <c r="A785" s="67"/>
      <c r="B785" s="129"/>
      <c r="C785" s="131"/>
      <c r="D785" s="131"/>
      <c r="E785" s="132"/>
      <c r="F785" s="131"/>
      <c r="G785" s="131"/>
      <c r="H785" s="131"/>
      <c r="I785" s="131"/>
      <c r="J785" s="131"/>
      <c r="K785" s="131"/>
      <c r="L785" s="129"/>
      <c r="M785" s="130"/>
      <c r="N785" s="129"/>
      <c r="O785" s="129"/>
    </row>
    <row r="786" spans="1:15">
      <c r="A786" s="67"/>
      <c r="B786" s="129"/>
      <c r="C786" s="131"/>
      <c r="D786" s="131"/>
      <c r="E786" s="132"/>
      <c r="F786" s="131"/>
      <c r="G786" s="131"/>
      <c r="H786" s="131"/>
      <c r="I786" s="131"/>
      <c r="J786" s="131"/>
      <c r="K786" s="131"/>
      <c r="L786" s="129"/>
      <c r="M786" s="130"/>
      <c r="N786" s="129"/>
      <c r="O786" s="129"/>
    </row>
    <row r="787" spans="1:15">
      <c r="A787" s="67"/>
      <c r="B787" s="129"/>
      <c r="C787" s="131"/>
      <c r="D787" s="131"/>
      <c r="E787" s="132"/>
      <c r="F787" s="131"/>
      <c r="G787" s="131"/>
      <c r="H787" s="131"/>
      <c r="I787" s="131"/>
      <c r="J787" s="131"/>
      <c r="K787" s="131"/>
      <c r="L787" s="129"/>
      <c r="M787" s="130"/>
      <c r="N787" s="129"/>
      <c r="O787" s="129"/>
    </row>
    <row r="788" spans="1:15">
      <c r="A788" s="67"/>
      <c r="B788" s="129"/>
      <c r="C788" s="131"/>
      <c r="D788" s="131"/>
      <c r="E788" s="132"/>
      <c r="F788" s="131"/>
      <c r="G788" s="131"/>
      <c r="H788" s="131"/>
      <c r="I788" s="131"/>
      <c r="J788" s="131"/>
      <c r="K788" s="131"/>
      <c r="L788" s="129"/>
      <c r="M788" s="130"/>
      <c r="N788" s="129"/>
      <c r="O788" s="129"/>
    </row>
    <row r="789" spans="1:15">
      <c r="A789" s="67"/>
      <c r="B789" s="129"/>
      <c r="C789" s="131"/>
      <c r="D789" s="131"/>
      <c r="E789" s="132"/>
      <c r="F789" s="131"/>
      <c r="G789" s="131"/>
      <c r="H789" s="131"/>
      <c r="I789" s="131"/>
      <c r="J789" s="131"/>
      <c r="K789" s="131"/>
      <c r="L789" s="129"/>
      <c r="M789" s="130"/>
      <c r="N789" s="129"/>
      <c r="O789" s="129"/>
    </row>
    <row r="790" spans="1:15">
      <c r="A790" s="67"/>
      <c r="B790" s="129"/>
      <c r="C790" s="131"/>
      <c r="D790" s="131"/>
      <c r="E790" s="132"/>
      <c r="F790" s="131"/>
      <c r="G790" s="131"/>
      <c r="H790" s="131"/>
      <c r="I790" s="131"/>
      <c r="J790" s="131"/>
      <c r="K790" s="131"/>
      <c r="L790" s="129"/>
      <c r="M790" s="130"/>
      <c r="N790" s="129"/>
      <c r="O790" s="129"/>
    </row>
    <row r="791" spans="1:15">
      <c r="A791" s="67"/>
      <c r="B791" s="129"/>
      <c r="C791" s="131"/>
      <c r="D791" s="131"/>
      <c r="E791" s="132"/>
      <c r="F791" s="131"/>
      <c r="G791" s="131"/>
      <c r="H791" s="131"/>
      <c r="I791" s="131"/>
      <c r="J791" s="131"/>
      <c r="K791" s="131"/>
      <c r="L791" s="129"/>
      <c r="M791" s="130"/>
      <c r="N791" s="129"/>
      <c r="O791" s="129"/>
    </row>
    <row r="792" spans="1:15">
      <c r="A792" s="67"/>
      <c r="B792" s="129"/>
      <c r="C792" s="131"/>
      <c r="D792" s="131"/>
      <c r="E792" s="132"/>
      <c r="F792" s="131"/>
      <c r="G792" s="131"/>
      <c r="H792" s="131"/>
      <c r="I792" s="131"/>
      <c r="J792" s="131"/>
      <c r="K792" s="131"/>
      <c r="L792" s="129"/>
      <c r="M792" s="130"/>
      <c r="N792" s="129"/>
      <c r="O792" s="129"/>
    </row>
    <row r="793" spans="1:15">
      <c r="A793" s="67"/>
      <c r="B793" s="129"/>
      <c r="C793" s="131"/>
      <c r="D793" s="131"/>
      <c r="E793" s="132"/>
      <c r="F793" s="131"/>
      <c r="G793" s="131"/>
      <c r="H793" s="131"/>
      <c r="I793" s="131"/>
      <c r="J793" s="131"/>
      <c r="K793" s="131"/>
      <c r="L793" s="129"/>
      <c r="M793" s="130"/>
      <c r="N793" s="129"/>
      <c r="O793" s="129"/>
    </row>
    <row r="794" spans="1:15">
      <c r="A794" s="67"/>
      <c r="B794" s="129"/>
      <c r="C794" s="131"/>
      <c r="D794" s="131"/>
      <c r="E794" s="132"/>
      <c r="F794" s="131"/>
      <c r="G794" s="131"/>
      <c r="H794" s="131"/>
      <c r="I794" s="131"/>
      <c r="J794" s="131"/>
      <c r="K794" s="131"/>
      <c r="L794" s="129"/>
      <c r="M794" s="130"/>
      <c r="N794" s="129"/>
      <c r="O794" s="129"/>
    </row>
    <row r="795" spans="1:15">
      <c r="A795" s="67"/>
      <c r="B795" s="129"/>
      <c r="C795" s="131"/>
      <c r="D795" s="131"/>
      <c r="E795" s="132"/>
      <c r="F795" s="131"/>
      <c r="G795" s="131"/>
      <c r="H795" s="131"/>
      <c r="I795" s="131"/>
      <c r="J795" s="131"/>
      <c r="K795" s="131"/>
      <c r="L795" s="129"/>
      <c r="M795" s="130"/>
      <c r="N795" s="129"/>
      <c r="O795" s="129"/>
    </row>
    <row r="796" spans="1:15">
      <c r="A796" s="67"/>
      <c r="B796" s="129"/>
      <c r="C796" s="131"/>
      <c r="D796" s="131"/>
      <c r="E796" s="132"/>
      <c r="F796" s="131"/>
      <c r="G796" s="131"/>
      <c r="H796" s="131"/>
      <c r="I796" s="131"/>
      <c r="J796" s="131"/>
      <c r="K796" s="131"/>
      <c r="L796" s="129"/>
      <c r="M796" s="130"/>
      <c r="N796" s="129"/>
      <c r="O796" s="129"/>
    </row>
    <row r="797" spans="1:15">
      <c r="A797" s="67"/>
      <c r="B797" s="129"/>
      <c r="C797" s="131"/>
      <c r="D797" s="131"/>
      <c r="E797" s="132"/>
      <c r="F797" s="131"/>
      <c r="G797" s="131"/>
      <c r="H797" s="131"/>
      <c r="I797" s="131"/>
      <c r="J797" s="131"/>
      <c r="K797" s="131"/>
      <c r="L797" s="129"/>
      <c r="M797" s="130"/>
      <c r="N797" s="129"/>
      <c r="O797" s="129"/>
    </row>
    <row r="798" spans="1:15">
      <c r="A798" s="67"/>
      <c r="B798" s="129"/>
      <c r="C798" s="131"/>
      <c r="D798" s="131"/>
      <c r="E798" s="132"/>
      <c r="F798" s="131"/>
      <c r="G798" s="131"/>
      <c r="H798" s="131"/>
      <c r="I798" s="131"/>
      <c r="J798" s="131"/>
      <c r="K798" s="131"/>
      <c r="L798" s="129"/>
      <c r="M798" s="130"/>
      <c r="N798" s="129"/>
      <c r="O798" s="129"/>
    </row>
    <row r="799" spans="1:15">
      <c r="A799" s="67"/>
      <c r="B799" s="129"/>
      <c r="C799" s="131"/>
      <c r="D799" s="131"/>
      <c r="E799" s="132"/>
      <c r="F799" s="131"/>
      <c r="G799" s="131"/>
      <c r="H799" s="131"/>
      <c r="I799" s="131"/>
      <c r="J799" s="131"/>
      <c r="K799" s="131"/>
      <c r="L799" s="129"/>
      <c r="M799" s="130"/>
      <c r="N799" s="129"/>
      <c r="O799" s="129"/>
    </row>
    <row r="800" spans="1:15">
      <c r="A800" s="67"/>
      <c r="B800" s="129"/>
      <c r="C800" s="131"/>
      <c r="D800" s="131"/>
      <c r="E800" s="132"/>
      <c r="F800" s="131"/>
      <c r="G800" s="131"/>
      <c r="H800" s="131"/>
      <c r="I800" s="131"/>
      <c r="J800" s="131"/>
      <c r="K800" s="131"/>
      <c r="L800" s="129"/>
      <c r="M800" s="130"/>
      <c r="N800" s="129"/>
      <c r="O800" s="129"/>
    </row>
    <row r="801" spans="1:15">
      <c r="A801" s="67"/>
      <c r="B801" s="129"/>
      <c r="C801" s="131"/>
      <c r="D801" s="131"/>
      <c r="E801" s="132"/>
      <c r="F801" s="131"/>
      <c r="G801" s="131"/>
      <c r="H801" s="131"/>
      <c r="I801" s="131"/>
      <c r="J801" s="131"/>
      <c r="K801" s="131"/>
      <c r="L801" s="129"/>
      <c r="M801" s="130"/>
      <c r="N801" s="129"/>
      <c r="O801" s="129"/>
    </row>
    <row r="802" spans="1:15">
      <c r="A802" s="67"/>
      <c r="B802" s="129"/>
      <c r="C802" s="131"/>
      <c r="D802" s="131"/>
      <c r="E802" s="132"/>
      <c r="F802" s="131"/>
      <c r="G802" s="131"/>
      <c r="H802" s="131"/>
      <c r="I802" s="131"/>
      <c r="J802" s="131"/>
      <c r="K802" s="131"/>
      <c r="L802" s="129"/>
      <c r="M802" s="130"/>
      <c r="N802" s="129"/>
      <c r="O802" s="129"/>
    </row>
    <row r="803" spans="1:15">
      <c r="A803" s="67"/>
      <c r="B803" s="129"/>
      <c r="C803" s="131"/>
      <c r="D803" s="131"/>
      <c r="E803" s="132"/>
      <c r="F803" s="131"/>
      <c r="G803" s="131"/>
      <c r="H803" s="131"/>
      <c r="I803" s="131"/>
      <c r="J803" s="131"/>
      <c r="K803" s="131"/>
      <c r="L803" s="129"/>
      <c r="M803" s="130"/>
      <c r="N803" s="129"/>
      <c r="O803" s="129"/>
    </row>
    <row r="804" spans="1:15">
      <c r="A804" s="67"/>
      <c r="B804" s="129"/>
      <c r="C804" s="131"/>
      <c r="D804" s="131"/>
      <c r="E804" s="132"/>
      <c r="F804" s="131"/>
      <c r="G804" s="131"/>
      <c r="H804" s="131"/>
      <c r="I804" s="131"/>
      <c r="J804" s="131"/>
      <c r="K804" s="131"/>
      <c r="L804" s="129"/>
      <c r="M804" s="130"/>
      <c r="N804" s="129"/>
      <c r="O804" s="129"/>
    </row>
    <row r="805" spans="1:15">
      <c r="A805" s="67"/>
      <c r="B805" s="129"/>
      <c r="C805" s="131"/>
      <c r="D805" s="131"/>
      <c r="E805" s="132"/>
      <c r="F805" s="131"/>
      <c r="G805" s="131"/>
      <c r="H805" s="131"/>
      <c r="I805" s="131"/>
      <c r="J805" s="131"/>
      <c r="K805" s="131"/>
      <c r="L805" s="129"/>
      <c r="M805" s="130"/>
      <c r="N805" s="129"/>
      <c r="O805" s="129"/>
    </row>
    <row r="806" spans="1:15">
      <c r="A806" s="67"/>
      <c r="B806" s="129"/>
      <c r="C806" s="131"/>
      <c r="D806" s="131"/>
      <c r="E806" s="132"/>
      <c r="F806" s="131"/>
      <c r="G806" s="131"/>
      <c r="H806" s="131"/>
      <c r="I806" s="131"/>
      <c r="J806" s="131"/>
      <c r="K806" s="131"/>
      <c r="L806" s="129"/>
      <c r="M806" s="130"/>
      <c r="N806" s="129"/>
      <c r="O806" s="129"/>
    </row>
    <row r="807" spans="1:15">
      <c r="A807" s="67"/>
      <c r="B807" s="129"/>
      <c r="C807" s="131"/>
      <c r="D807" s="131"/>
      <c r="E807" s="132"/>
      <c r="F807" s="131"/>
      <c r="G807" s="131"/>
      <c r="H807" s="131"/>
      <c r="I807" s="131"/>
      <c r="J807" s="131"/>
      <c r="K807" s="131"/>
      <c r="L807" s="129"/>
      <c r="M807" s="130"/>
      <c r="N807" s="129"/>
      <c r="O807" s="129"/>
    </row>
    <row r="808" spans="1:15">
      <c r="A808" s="67"/>
      <c r="B808" s="129"/>
      <c r="C808" s="131"/>
      <c r="D808" s="131"/>
      <c r="E808" s="132"/>
      <c r="F808" s="131"/>
      <c r="G808" s="131"/>
      <c r="H808" s="131"/>
      <c r="I808" s="131"/>
      <c r="J808" s="131"/>
      <c r="K808" s="131"/>
      <c r="L808" s="129"/>
      <c r="M808" s="130"/>
      <c r="N808" s="129"/>
      <c r="O808" s="129"/>
    </row>
    <row r="809" spans="1:15">
      <c r="A809" s="67"/>
      <c r="B809" s="129"/>
      <c r="C809" s="131"/>
      <c r="D809" s="131"/>
      <c r="E809" s="132"/>
      <c r="F809" s="131"/>
      <c r="G809" s="131"/>
      <c r="H809" s="131"/>
      <c r="I809" s="131"/>
      <c r="J809" s="131"/>
      <c r="K809" s="131"/>
      <c r="L809" s="129"/>
      <c r="M809" s="130"/>
      <c r="N809" s="129"/>
      <c r="O809" s="129"/>
    </row>
    <row r="810" spans="1:15">
      <c r="A810" s="67"/>
      <c r="B810" s="129"/>
      <c r="C810" s="131"/>
      <c r="D810" s="131"/>
      <c r="E810" s="132"/>
      <c r="F810" s="131"/>
      <c r="G810" s="131"/>
      <c r="H810" s="131"/>
      <c r="I810" s="131"/>
      <c r="J810" s="131"/>
      <c r="K810" s="131"/>
      <c r="L810" s="129"/>
      <c r="M810" s="130"/>
      <c r="N810" s="129"/>
      <c r="O810" s="129"/>
    </row>
    <row r="811" spans="1:15">
      <c r="A811" s="67"/>
      <c r="B811" s="129"/>
      <c r="C811" s="131"/>
      <c r="D811" s="131"/>
      <c r="E811" s="132"/>
      <c r="F811" s="131"/>
      <c r="G811" s="131"/>
      <c r="H811" s="131"/>
      <c r="I811" s="131"/>
      <c r="J811" s="131"/>
      <c r="K811" s="131"/>
      <c r="L811" s="129"/>
      <c r="M811" s="130"/>
      <c r="N811" s="129"/>
      <c r="O811" s="129"/>
    </row>
    <row r="812" spans="1:15">
      <c r="A812" s="67"/>
      <c r="B812" s="129"/>
      <c r="C812" s="131"/>
      <c r="D812" s="131"/>
      <c r="E812" s="132"/>
      <c r="F812" s="131"/>
      <c r="G812" s="131"/>
      <c r="H812" s="131"/>
      <c r="I812" s="131"/>
      <c r="J812" s="131"/>
      <c r="K812" s="131"/>
      <c r="L812" s="129"/>
      <c r="M812" s="130"/>
      <c r="N812" s="129"/>
      <c r="O812" s="129"/>
    </row>
    <row r="813" spans="1:15">
      <c r="A813" s="67"/>
      <c r="B813" s="129"/>
      <c r="C813" s="131"/>
      <c r="D813" s="131"/>
      <c r="E813" s="132"/>
      <c r="F813" s="131"/>
      <c r="G813" s="131"/>
      <c r="H813" s="131"/>
      <c r="I813" s="131"/>
      <c r="J813" s="131"/>
      <c r="K813" s="131"/>
      <c r="L813" s="129"/>
      <c r="M813" s="130"/>
      <c r="N813" s="129"/>
      <c r="O813" s="129"/>
    </row>
    <row r="814" spans="1:15">
      <c r="A814" s="67"/>
      <c r="B814" s="129"/>
      <c r="C814" s="131"/>
      <c r="D814" s="131"/>
      <c r="E814" s="132"/>
      <c r="F814" s="131"/>
      <c r="G814" s="131"/>
      <c r="H814" s="131"/>
      <c r="I814" s="131"/>
      <c r="J814" s="131"/>
      <c r="K814" s="131"/>
      <c r="L814" s="129"/>
      <c r="M814" s="130"/>
      <c r="N814" s="129"/>
      <c r="O814" s="129"/>
    </row>
    <row r="815" spans="1:15">
      <c r="A815" s="67"/>
      <c r="B815" s="129"/>
      <c r="C815" s="131"/>
      <c r="D815" s="131"/>
      <c r="E815" s="132"/>
      <c r="F815" s="131"/>
      <c r="G815" s="131"/>
      <c r="H815" s="131"/>
      <c r="I815" s="131"/>
      <c r="J815" s="131"/>
      <c r="K815" s="131"/>
      <c r="L815" s="129"/>
      <c r="M815" s="130"/>
      <c r="N815" s="129"/>
      <c r="O815" s="129"/>
    </row>
    <row r="816" spans="1:15">
      <c r="A816" s="67"/>
      <c r="B816" s="129"/>
      <c r="C816" s="131"/>
      <c r="D816" s="131"/>
      <c r="E816" s="132"/>
      <c r="F816" s="131"/>
      <c r="G816" s="131"/>
      <c r="H816" s="131"/>
      <c r="I816" s="131"/>
      <c r="J816" s="131"/>
      <c r="K816" s="131"/>
      <c r="L816" s="129"/>
      <c r="M816" s="130"/>
      <c r="N816" s="129"/>
      <c r="O816" s="129"/>
    </row>
    <row r="817" spans="1:15">
      <c r="A817" s="67"/>
      <c r="B817" s="129"/>
      <c r="C817" s="131"/>
      <c r="D817" s="131"/>
      <c r="E817" s="132"/>
      <c r="F817" s="131"/>
      <c r="G817" s="131"/>
      <c r="H817" s="131"/>
      <c r="I817" s="131"/>
      <c r="J817" s="131"/>
      <c r="K817" s="131"/>
      <c r="L817" s="129"/>
      <c r="M817" s="130"/>
      <c r="N817" s="129"/>
      <c r="O817" s="129"/>
    </row>
    <row r="818" spans="1:15">
      <c r="A818" s="67"/>
      <c r="B818" s="129"/>
      <c r="C818" s="131"/>
      <c r="D818" s="131"/>
      <c r="E818" s="132"/>
      <c r="F818" s="131"/>
      <c r="G818" s="131"/>
      <c r="H818" s="131"/>
      <c r="I818" s="131"/>
      <c r="J818" s="131"/>
      <c r="K818" s="131"/>
      <c r="L818" s="129"/>
      <c r="M818" s="130"/>
      <c r="N818" s="129"/>
      <c r="O818" s="129"/>
    </row>
    <row r="819" spans="1:15">
      <c r="A819" s="67"/>
      <c r="B819" s="129"/>
      <c r="C819" s="131"/>
      <c r="D819" s="131"/>
      <c r="E819" s="132"/>
      <c r="F819" s="131"/>
      <c r="G819" s="131"/>
      <c r="H819" s="131"/>
      <c r="I819" s="131"/>
      <c r="J819" s="131"/>
      <c r="K819" s="131"/>
      <c r="L819" s="129"/>
      <c r="M819" s="130"/>
      <c r="N819" s="129"/>
      <c r="O819" s="129"/>
    </row>
    <row r="820" spans="1:15">
      <c r="A820" s="67"/>
      <c r="B820" s="129"/>
      <c r="C820" s="131"/>
      <c r="D820" s="131"/>
      <c r="E820" s="132"/>
      <c r="F820" s="131"/>
      <c r="G820" s="131"/>
      <c r="H820" s="131"/>
      <c r="I820" s="131"/>
      <c r="J820" s="131"/>
      <c r="K820" s="131"/>
      <c r="L820" s="129"/>
      <c r="M820" s="130"/>
      <c r="N820" s="129"/>
      <c r="O820" s="129"/>
    </row>
    <row r="821" spans="1:15">
      <c r="A821" s="67"/>
      <c r="B821" s="129"/>
      <c r="C821" s="131"/>
      <c r="D821" s="131"/>
      <c r="E821" s="132"/>
      <c r="F821" s="131"/>
      <c r="G821" s="131"/>
      <c r="H821" s="131"/>
      <c r="I821" s="131"/>
      <c r="J821" s="131"/>
      <c r="K821" s="131"/>
      <c r="L821" s="129"/>
      <c r="M821" s="130"/>
      <c r="N821" s="129"/>
      <c r="O821" s="129"/>
    </row>
    <row r="822" spans="1:15">
      <c r="A822" s="67"/>
      <c r="B822" s="129"/>
      <c r="C822" s="131"/>
      <c r="D822" s="131"/>
      <c r="E822" s="132"/>
      <c r="F822" s="131"/>
      <c r="G822" s="131"/>
      <c r="H822" s="131"/>
      <c r="I822" s="131"/>
      <c r="J822" s="131"/>
      <c r="K822" s="131"/>
      <c r="L822" s="129"/>
      <c r="M822" s="130"/>
      <c r="N822" s="129"/>
      <c r="O822" s="129"/>
    </row>
    <row r="823" spans="1:15">
      <c r="A823" s="67"/>
      <c r="B823" s="129"/>
      <c r="C823" s="131"/>
      <c r="D823" s="131"/>
      <c r="E823" s="132"/>
      <c r="F823" s="131"/>
      <c r="G823" s="131"/>
      <c r="H823" s="131"/>
      <c r="I823" s="131"/>
      <c r="J823" s="131"/>
      <c r="K823" s="131"/>
      <c r="L823" s="129"/>
      <c r="M823" s="130"/>
      <c r="N823" s="129"/>
      <c r="O823" s="129"/>
    </row>
    <row r="824" spans="1:15">
      <c r="A824" s="67"/>
      <c r="B824" s="129"/>
      <c r="C824" s="131"/>
      <c r="D824" s="131"/>
      <c r="E824" s="132"/>
      <c r="F824" s="131"/>
      <c r="G824" s="131"/>
      <c r="H824" s="131"/>
      <c r="I824" s="131"/>
      <c r="J824" s="131"/>
      <c r="K824" s="131"/>
      <c r="L824" s="129"/>
      <c r="M824" s="130"/>
      <c r="N824" s="129"/>
      <c r="O824" s="129"/>
    </row>
    <row r="825" spans="1:15">
      <c r="A825" s="67"/>
      <c r="B825" s="129"/>
      <c r="C825" s="131"/>
      <c r="D825" s="131"/>
      <c r="E825" s="132"/>
      <c r="F825" s="131"/>
      <c r="G825" s="131"/>
      <c r="H825" s="131"/>
      <c r="I825" s="131"/>
      <c r="J825" s="131"/>
      <c r="K825" s="131"/>
      <c r="L825" s="129"/>
      <c r="M825" s="130"/>
      <c r="N825" s="129"/>
      <c r="O825" s="129"/>
    </row>
    <row r="826" spans="1:15">
      <c r="A826" s="67"/>
      <c r="B826" s="129"/>
      <c r="C826" s="131"/>
      <c r="D826" s="131"/>
      <c r="E826" s="132"/>
      <c r="F826" s="131"/>
      <c r="G826" s="131"/>
      <c r="H826" s="131"/>
      <c r="I826" s="131"/>
      <c r="J826" s="131"/>
      <c r="K826" s="131"/>
      <c r="L826" s="129"/>
      <c r="M826" s="130"/>
      <c r="N826" s="129"/>
      <c r="O826" s="129"/>
    </row>
    <row r="827" spans="1:15">
      <c r="A827" s="67"/>
      <c r="B827" s="129"/>
      <c r="C827" s="131"/>
      <c r="D827" s="131"/>
      <c r="E827" s="132"/>
      <c r="F827" s="131"/>
      <c r="G827" s="131"/>
      <c r="H827" s="131"/>
      <c r="I827" s="131"/>
      <c r="J827" s="131"/>
      <c r="K827" s="131"/>
      <c r="L827" s="129"/>
      <c r="M827" s="130"/>
      <c r="N827" s="129"/>
      <c r="O827" s="129"/>
    </row>
    <row r="828" spans="1:15">
      <c r="A828" s="67"/>
      <c r="B828" s="129"/>
      <c r="C828" s="131"/>
      <c r="D828" s="131"/>
      <c r="E828" s="132"/>
      <c r="F828" s="131"/>
      <c r="G828" s="131"/>
      <c r="H828" s="131"/>
      <c r="I828" s="131"/>
      <c r="J828" s="131"/>
      <c r="K828" s="131"/>
      <c r="L828" s="129"/>
      <c r="M828" s="130"/>
      <c r="N828" s="129"/>
      <c r="O828" s="129"/>
    </row>
    <row r="829" spans="1:15">
      <c r="A829" s="67"/>
      <c r="B829" s="129"/>
      <c r="C829" s="131"/>
      <c r="D829" s="131"/>
      <c r="E829" s="132"/>
      <c r="F829" s="131"/>
      <c r="G829" s="131"/>
      <c r="H829" s="131"/>
      <c r="I829" s="131"/>
      <c r="J829" s="131"/>
      <c r="K829" s="131"/>
      <c r="L829" s="129"/>
      <c r="M829" s="130"/>
      <c r="N829" s="129"/>
      <c r="O829" s="129"/>
    </row>
    <row r="830" spans="1:15">
      <c r="A830" s="67"/>
      <c r="B830" s="129"/>
      <c r="C830" s="131"/>
      <c r="D830" s="131"/>
      <c r="E830" s="132"/>
      <c r="F830" s="131"/>
      <c r="G830" s="131"/>
      <c r="H830" s="131"/>
      <c r="I830" s="131"/>
      <c r="J830" s="131"/>
      <c r="K830" s="131"/>
      <c r="L830" s="129"/>
      <c r="M830" s="130"/>
      <c r="N830" s="129"/>
      <c r="O830" s="129"/>
    </row>
    <row r="831" spans="1:15">
      <c r="A831" s="67"/>
      <c r="B831" s="129"/>
      <c r="C831" s="131"/>
      <c r="D831" s="131"/>
      <c r="E831" s="132"/>
      <c r="F831" s="131"/>
      <c r="G831" s="131"/>
      <c r="H831" s="131"/>
      <c r="I831" s="131"/>
      <c r="J831" s="131"/>
      <c r="K831" s="131"/>
      <c r="L831" s="129"/>
      <c r="M831" s="130"/>
      <c r="N831" s="129"/>
      <c r="O831" s="129"/>
    </row>
    <row r="832" spans="1:15">
      <c r="A832" s="67"/>
      <c r="B832" s="129"/>
      <c r="C832" s="131"/>
      <c r="D832" s="131"/>
      <c r="E832" s="132"/>
      <c r="F832" s="131"/>
      <c r="G832" s="131"/>
      <c r="H832" s="131"/>
      <c r="I832" s="131"/>
      <c r="J832" s="131"/>
      <c r="K832" s="131"/>
      <c r="L832" s="129"/>
      <c r="M832" s="130"/>
      <c r="N832" s="129"/>
      <c r="O832" s="129"/>
    </row>
    <row r="833" spans="1:15">
      <c r="A833" s="67"/>
      <c r="B833" s="129"/>
      <c r="C833" s="131"/>
      <c r="D833" s="131"/>
      <c r="E833" s="132"/>
      <c r="F833" s="131"/>
      <c r="G833" s="131"/>
      <c r="H833" s="131"/>
      <c r="I833" s="131"/>
      <c r="J833" s="131"/>
      <c r="K833" s="131"/>
      <c r="L833" s="129"/>
      <c r="M833" s="130"/>
      <c r="N833" s="129"/>
      <c r="O833" s="129"/>
    </row>
    <row r="834" spans="1:15">
      <c r="A834" s="67"/>
      <c r="B834" s="129"/>
      <c r="C834" s="131"/>
      <c r="D834" s="131"/>
      <c r="E834" s="132"/>
      <c r="F834" s="131"/>
      <c r="G834" s="131"/>
      <c r="H834" s="131"/>
      <c r="I834" s="131"/>
      <c r="J834" s="131"/>
      <c r="K834" s="131"/>
      <c r="L834" s="129"/>
      <c r="M834" s="130"/>
      <c r="N834" s="129"/>
      <c r="O834" s="129"/>
    </row>
    <row r="835" spans="1:15">
      <c r="A835" s="67"/>
      <c r="B835" s="129"/>
      <c r="C835" s="131"/>
      <c r="D835" s="131"/>
      <c r="E835" s="132"/>
      <c r="F835" s="131"/>
      <c r="G835" s="131"/>
      <c r="H835" s="131"/>
      <c r="I835" s="131"/>
      <c r="J835" s="131"/>
      <c r="K835" s="131"/>
      <c r="L835" s="129"/>
      <c r="M835" s="130"/>
      <c r="N835" s="129"/>
      <c r="O835" s="129"/>
    </row>
    <row r="836" spans="1:15">
      <c r="A836" s="67"/>
      <c r="B836" s="129"/>
      <c r="C836" s="131"/>
      <c r="D836" s="131"/>
      <c r="E836" s="132"/>
      <c r="F836" s="131"/>
      <c r="G836" s="131"/>
      <c r="H836" s="131"/>
      <c r="I836" s="131"/>
      <c r="J836" s="131"/>
      <c r="K836" s="131"/>
      <c r="L836" s="129"/>
      <c r="M836" s="130"/>
      <c r="N836" s="129"/>
      <c r="O836" s="129"/>
    </row>
    <row r="837" spans="1:15">
      <c r="A837" s="67"/>
      <c r="B837" s="129"/>
      <c r="C837" s="131"/>
      <c r="D837" s="131"/>
      <c r="E837" s="132"/>
      <c r="F837" s="131"/>
      <c r="G837" s="131"/>
      <c r="H837" s="131"/>
      <c r="I837" s="131"/>
      <c r="J837" s="131"/>
      <c r="K837" s="131"/>
      <c r="L837" s="129"/>
      <c r="M837" s="130"/>
      <c r="N837" s="129"/>
      <c r="O837" s="129"/>
    </row>
    <row r="838" spans="1:15">
      <c r="A838" s="67"/>
      <c r="B838" s="129"/>
      <c r="C838" s="131"/>
      <c r="D838" s="131"/>
      <c r="E838" s="132"/>
      <c r="F838" s="131"/>
      <c r="G838" s="131"/>
      <c r="H838" s="131"/>
      <c r="I838" s="131"/>
      <c r="J838" s="131"/>
      <c r="K838" s="131"/>
      <c r="L838" s="129"/>
      <c r="M838" s="130"/>
      <c r="N838" s="129"/>
      <c r="O838" s="129"/>
    </row>
    <row r="839" spans="1:15">
      <c r="A839" s="67"/>
      <c r="B839" s="129"/>
      <c r="C839" s="131"/>
      <c r="D839" s="131"/>
      <c r="E839" s="132"/>
      <c r="F839" s="131"/>
      <c r="G839" s="131"/>
      <c r="H839" s="131"/>
      <c r="I839" s="131"/>
      <c r="J839" s="131"/>
      <c r="K839" s="131"/>
      <c r="L839" s="129"/>
      <c r="M839" s="130"/>
      <c r="N839" s="129"/>
      <c r="O839" s="129"/>
    </row>
    <row r="840" spans="1:15">
      <c r="A840" s="67"/>
      <c r="B840" s="129"/>
      <c r="C840" s="131"/>
      <c r="D840" s="131"/>
      <c r="E840" s="132"/>
      <c r="F840" s="131"/>
      <c r="G840" s="131"/>
      <c r="H840" s="131"/>
      <c r="I840" s="131"/>
      <c r="J840" s="131"/>
      <c r="K840" s="131"/>
      <c r="L840" s="129"/>
      <c r="M840" s="130"/>
      <c r="N840" s="129"/>
      <c r="O840" s="129"/>
    </row>
    <row r="841" spans="1:15">
      <c r="A841" s="67"/>
      <c r="B841" s="129"/>
      <c r="C841" s="131"/>
      <c r="D841" s="131"/>
      <c r="E841" s="132"/>
      <c r="F841" s="131"/>
      <c r="G841" s="131"/>
      <c r="H841" s="131"/>
      <c r="I841" s="131"/>
      <c r="J841" s="131"/>
      <c r="K841" s="131"/>
      <c r="L841" s="129"/>
      <c r="M841" s="130"/>
      <c r="N841" s="129"/>
      <c r="O841" s="129"/>
    </row>
    <row r="842" spans="1:15">
      <c r="A842" s="67"/>
      <c r="B842" s="129"/>
      <c r="C842" s="131"/>
      <c r="D842" s="131"/>
      <c r="E842" s="132"/>
      <c r="F842" s="131"/>
      <c r="G842" s="131"/>
      <c r="H842" s="131"/>
      <c r="I842" s="131"/>
      <c r="J842" s="131"/>
      <c r="K842" s="131"/>
      <c r="L842" s="129"/>
      <c r="M842" s="130"/>
      <c r="N842" s="129"/>
      <c r="O842" s="129"/>
    </row>
    <row r="843" spans="1:15">
      <c r="A843" s="67"/>
      <c r="B843" s="129"/>
      <c r="C843" s="131"/>
      <c r="D843" s="131"/>
      <c r="E843" s="132"/>
      <c r="F843" s="131"/>
      <c r="G843" s="131"/>
      <c r="H843" s="131"/>
      <c r="I843" s="131"/>
      <c r="J843" s="131"/>
      <c r="K843" s="131"/>
      <c r="L843" s="129"/>
      <c r="M843" s="130"/>
      <c r="N843" s="129"/>
      <c r="O843" s="129"/>
    </row>
    <row r="844" spans="1:15">
      <c r="A844" s="67"/>
      <c r="B844" s="129"/>
      <c r="C844" s="131"/>
      <c r="D844" s="131"/>
      <c r="E844" s="132"/>
      <c r="F844" s="131"/>
      <c r="G844" s="131"/>
      <c r="H844" s="131"/>
      <c r="I844" s="131"/>
      <c r="J844" s="131"/>
      <c r="K844" s="131"/>
      <c r="L844" s="129"/>
      <c r="M844" s="130"/>
      <c r="N844" s="129"/>
      <c r="O844" s="129"/>
    </row>
    <row r="845" spans="1:15">
      <c r="A845" s="67"/>
      <c r="B845" s="129"/>
      <c r="C845" s="131"/>
      <c r="D845" s="131"/>
      <c r="E845" s="132"/>
      <c r="F845" s="131"/>
      <c r="G845" s="131"/>
      <c r="H845" s="131"/>
      <c r="I845" s="131"/>
      <c r="J845" s="131"/>
      <c r="K845" s="131"/>
      <c r="L845" s="129"/>
      <c r="M845" s="130"/>
      <c r="N845" s="129"/>
      <c r="O845" s="129"/>
    </row>
    <row r="846" spans="1:15">
      <c r="A846" s="67"/>
      <c r="B846" s="129"/>
      <c r="C846" s="131"/>
      <c r="D846" s="131"/>
      <c r="E846" s="132"/>
      <c r="F846" s="131"/>
      <c r="G846" s="131"/>
      <c r="H846" s="131"/>
      <c r="I846" s="131"/>
      <c r="J846" s="131"/>
      <c r="K846" s="131"/>
      <c r="L846" s="129"/>
      <c r="M846" s="130"/>
      <c r="N846" s="129"/>
      <c r="O846" s="129"/>
    </row>
    <row r="847" spans="1:15">
      <c r="A847" s="67"/>
      <c r="B847" s="129"/>
      <c r="C847" s="131"/>
      <c r="D847" s="131"/>
      <c r="E847" s="132"/>
      <c r="F847" s="131"/>
      <c r="G847" s="131"/>
      <c r="H847" s="131"/>
      <c r="I847" s="131"/>
      <c r="J847" s="131"/>
      <c r="K847" s="131"/>
      <c r="L847" s="129"/>
      <c r="M847" s="130"/>
      <c r="N847" s="129"/>
      <c r="O847" s="129"/>
    </row>
    <row r="848" spans="1:15">
      <c r="A848" s="67"/>
      <c r="B848" s="129"/>
      <c r="C848" s="131"/>
      <c r="D848" s="131"/>
      <c r="E848" s="132"/>
      <c r="F848" s="131"/>
      <c r="G848" s="131"/>
      <c r="H848" s="131"/>
      <c r="I848" s="131"/>
      <c r="J848" s="131"/>
      <c r="K848" s="131"/>
      <c r="L848" s="129"/>
      <c r="M848" s="130"/>
      <c r="N848" s="129"/>
      <c r="O848" s="129"/>
    </row>
    <row r="849" spans="1:15">
      <c r="A849" s="67"/>
      <c r="B849" s="129"/>
      <c r="C849" s="131"/>
      <c r="D849" s="131"/>
      <c r="E849" s="132"/>
      <c r="F849" s="131"/>
      <c r="G849" s="131"/>
      <c r="H849" s="131"/>
      <c r="I849" s="131"/>
      <c r="J849" s="131"/>
      <c r="K849" s="131"/>
      <c r="L849" s="129"/>
      <c r="M849" s="130"/>
      <c r="N849" s="129"/>
      <c r="O849" s="129"/>
    </row>
    <row r="850" spans="1:15">
      <c r="A850" s="67"/>
      <c r="B850" s="129"/>
      <c r="C850" s="131"/>
      <c r="D850" s="131"/>
      <c r="E850" s="132"/>
      <c r="F850" s="131"/>
      <c r="G850" s="131"/>
      <c r="H850" s="131"/>
      <c r="I850" s="131"/>
      <c r="J850" s="131"/>
      <c r="K850" s="131"/>
      <c r="L850" s="129"/>
      <c r="M850" s="130"/>
      <c r="N850" s="129"/>
      <c r="O850" s="129"/>
    </row>
    <row r="851" spans="1:15">
      <c r="A851" s="67"/>
      <c r="B851" s="129"/>
      <c r="C851" s="131"/>
      <c r="D851" s="131"/>
      <c r="E851" s="132"/>
      <c r="F851" s="131"/>
      <c r="G851" s="131"/>
      <c r="H851" s="131"/>
      <c r="I851" s="131"/>
      <c r="J851" s="131"/>
      <c r="K851" s="131"/>
      <c r="L851" s="129"/>
      <c r="M851" s="130"/>
      <c r="N851" s="129"/>
      <c r="O851" s="129"/>
    </row>
    <row r="852" spans="1:15">
      <c r="A852" s="67"/>
      <c r="B852" s="129"/>
      <c r="C852" s="131"/>
      <c r="D852" s="131"/>
      <c r="E852" s="132"/>
      <c r="F852" s="131"/>
      <c r="G852" s="131"/>
      <c r="H852" s="131"/>
      <c r="I852" s="131"/>
      <c r="J852" s="131"/>
      <c r="K852" s="131"/>
      <c r="L852" s="129"/>
      <c r="M852" s="130"/>
      <c r="N852" s="129"/>
      <c r="O852" s="129"/>
    </row>
    <row r="853" spans="1:15">
      <c r="A853" s="67"/>
      <c r="B853" s="129"/>
      <c r="C853" s="131"/>
      <c r="D853" s="131"/>
      <c r="E853" s="132"/>
      <c r="F853" s="131"/>
      <c r="G853" s="131"/>
      <c r="H853" s="131"/>
      <c r="I853" s="131"/>
      <c r="J853" s="131"/>
      <c r="K853" s="131"/>
      <c r="L853" s="129"/>
      <c r="M853" s="130"/>
      <c r="N853" s="129"/>
      <c r="O853" s="129"/>
    </row>
    <row r="854" spans="1:15">
      <c r="A854" s="67"/>
      <c r="B854" s="129"/>
      <c r="C854" s="131"/>
      <c r="D854" s="131"/>
      <c r="E854" s="132"/>
      <c r="F854" s="131"/>
      <c r="G854" s="131"/>
      <c r="H854" s="131"/>
      <c r="I854" s="131"/>
      <c r="J854" s="131"/>
      <c r="K854" s="131"/>
      <c r="L854" s="129"/>
      <c r="M854" s="130"/>
      <c r="N854" s="129"/>
      <c r="O854" s="129"/>
    </row>
    <row r="855" spans="1:15">
      <c r="A855" s="67"/>
      <c r="B855" s="129"/>
      <c r="C855" s="131"/>
      <c r="D855" s="131"/>
      <c r="E855" s="132"/>
      <c r="F855" s="131"/>
      <c r="G855" s="131"/>
      <c r="H855" s="131"/>
      <c r="I855" s="131"/>
      <c r="J855" s="131"/>
      <c r="K855" s="131"/>
      <c r="L855" s="129"/>
      <c r="M855" s="130"/>
      <c r="N855" s="129"/>
      <c r="O855" s="129"/>
    </row>
    <row r="856" spans="1:15">
      <c r="A856" s="67"/>
      <c r="B856" s="129"/>
      <c r="C856" s="131"/>
      <c r="D856" s="131"/>
      <c r="E856" s="132"/>
      <c r="F856" s="131"/>
      <c r="G856" s="131"/>
      <c r="H856" s="131"/>
      <c r="I856" s="131"/>
      <c r="J856" s="131"/>
      <c r="K856" s="131"/>
      <c r="L856" s="129"/>
      <c r="M856" s="130"/>
      <c r="N856" s="129"/>
      <c r="O856" s="129"/>
    </row>
    <row r="857" spans="1:15">
      <c r="A857" s="67"/>
      <c r="B857" s="129"/>
      <c r="C857" s="131"/>
      <c r="D857" s="131"/>
      <c r="E857" s="132"/>
      <c r="F857" s="131"/>
      <c r="G857" s="131"/>
      <c r="H857" s="131"/>
      <c r="I857" s="131"/>
      <c r="J857" s="131"/>
      <c r="K857" s="131"/>
      <c r="L857" s="129"/>
      <c r="M857" s="130"/>
      <c r="N857" s="129"/>
      <c r="O857" s="129"/>
    </row>
    <row r="858" spans="1:15">
      <c r="A858" s="67"/>
      <c r="B858" s="129"/>
      <c r="C858" s="131"/>
      <c r="D858" s="131"/>
      <c r="E858" s="132"/>
      <c r="F858" s="131"/>
      <c r="G858" s="131"/>
      <c r="H858" s="131"/>
      <c r="I858" s="131"/>
      <c r="J858" s="131"/>
      <c r="K858" s="131"/>
      <c r="L858" s="129"/>
      <c r="M858" s="130"/>
      <c r="N858" s="129"/>
      <c r="O858" s="129"/>
    </row>
    <row r="859" spans="1:15">
      <c r="A859" s="67"/>
      <c r="B859" s="129"/>
      <c r="C859" s="131"/>
      <c r="D859" s="131"/>
      <c r="E859" s="132"/>
      <c r="F859" s="131"/>
      <c r="G859" s="131"/>
      <c r="H859" s="131"/>
      <c r="I859" s="131"/>
      <c r="J859" s="131"/>
      <c r="K859" s="131"/>
      <c r="L859" s="129"/>
      <c r="M859" s="130"/>
      <c r="N859" s="129"/>
      <c r="O859" s="129"/>
    </row>
    <row r="860" spans="1:15">
      <c r="A860" s="67"/>
      <c r="B860" s="129"/>
      <c r="C860" s="131"/>
      <c r="D860" s="131"/>
      <c r="E860" s="132"/>
      <c r="F860" s="131"/>
      <c r="G860" s="131"/>
      <c r="H860" s="131"/>
      <c r="I860" s="131"/>
      <c r="J860" s="131"/>
      <c r="K860" s="131"/>
      <c r="L860" s="129"/>
      <c r="M860" s="130"/>
      <c r="N860" s="129"/>
      <c r="O860" s="129"/>
    </row>
    <row r="861" spans="1:15">
      <c r="A861" s="67"/>
      <c r="B861" s="129"/>
      <c r="C861" s="131"/>
      <c r="D861" s="131"/>
      <c r="E861" s="132"/>
      <c r="F861" s="131"/>
      <c r="G861" s="131"/>
      <c r="H861" s="131"/>
      <c r="I861" s="131"/>
      <c r="J861" s="131"/>
      <c r="K861" s="131"/>
      <c r="L861" s="129"/>
      <c r="M861" s="130"/>
      <c r="N861" s="129"/>
      <c r="O861" s="129"/>
    </row>
    <row r="862" spans="1:15">
      <c r="A862" s="67"/>
      <c r="B862" s="129"/>
      <c r="C862" s="131"/>
      <c r="D862" s="131"/>
      <c r="E862" s="132"/>
      <c r="F862" s="131"/>
      <c r="G862" s="131"/>
      <c r="H862" s="131"/>
      <c r="I862" s="131"/>
      <c r="J862" s="131"/>
      <c r="K862" s="131"/>
      <c r="L862" s="129"/>
      <c r="M862" s="130"/>
      <c r="N862" s="129"/>
      <c r="O862" s="129"/>
    </row>
    <row r="863" spans="1:15">
      <c r="A863" s="67"/>
      <c r="B863" s="129"/>
      <c r="C863" s="131"/>
      <c r="D863" s="131"/>
      <c r="E863" s="132"/>
      <c r="F863" s="131"/>
      <c r="G863" s="131"/>
      <c r="H863" s="131"/>
      <c r="I863" s="131"/>
      <c r="J863" s="131"/>
      <c r="K863" s="131"/>
      <c r="L863" s="129"/>
      <c r="M863" s="130"/>
      <c r="N863" s="129"/>
      <c r="O863" s="129"/>
    </row>
    <row r="864" spans="1:15">
      <c r="A864" s="67"/>
      <c r="B864" s="129"/>
      <c r="C864" s="131"/>
      <c r="D864" s="131"/>
      <c r="E864" s="132"/>
      <c r="F864" s="131"/>
      <c r="G864" s="131"/>
      <c r="H864" s="131"/>
      <c r="I864" s="131"/>
      <c r="J864" s="131"/>
      <c r="K864" s="131"/>
      <c r="L864" s="129"/>
      <c r="M864" s="130"/>
      <c r="N864" s="129"/>
      <c r="O864" s="129"/>
    </row>
    <row r="865" spans="1:15">
      <c r="A865" s="67"/>
      <c r="B865" s="129"/>
      <c r="C865" s="131"/>
      <c r="D865" s="131"/>
      <c r="E865" s="132"/>
      <c r="F865" s="131"/>
      <c r="G865" s="131"/>
      <c r="H865" s="131"/>
      <c r="I865" s="131"/>
      <c r="J865" s="131"/>
      <c r="K865" s="131"/>
      <c r="L865" s="129"/>
      <c r="M865" s="130"/>
      <c r="N865" s="129"/>
      <c r="O865" s="129"/>
    </row>
    <row r="866" spans="1:15">
      <c r="A866" s="67"/>
      <c r="B866" s="129"/>
      <c r="C866" s="131"/>
      <c r="D866" s="131"/>
      <c r="E866" s="132"/>
      <c r="F866" s="131"/>
      <c r="G866" s="131"/>
      <c r="H866" s="131"/>
      <c r="I866" s="131"/>
      <c r="J866" s="131"/>
      <c r="K866" s="131"/>
      <c r="L866" s="129"/>
      <c r="M866" s="130"/>
      <c r="N866" s="129"/>
      <c r="O866" s="129"/>
    </row>
    <row r="867" spans="1:15">
      <c r="A867" s="67"/>
      <c r="B867" s="129"/>
      <c r="C867" s="131"/>
      <c r="D867" s="131"/>
      <c r="E867" s="132"/>
      <c r="F867" s="131"/>
      <c r="G867" s="131"/>
      <c r="H867" s="131"/>
      <c r="I867" s="131"/>
      <c r="J867" s="131"/>
      <c r="K867" s="131"/>
      <c r="L867" s="129"/>
      <c r="M867" s="130"/>
      <c r="N867" s="129"/>
      <c r="O867" s="129"/>
    </row>
    <row r="868" spans="1:15">
      <c r="A868" s="67"/>
      <c r="B868" s="129"/>
      <c r="C868" s="131"/>
      <c r="D868" s="131"/>
      <c r="E868" s="132"/>
      <c r="F868" s="131"/>
      <c r="G868" s="131"/>
      <c r="H868" s="131"/>
      <c r="I868" s="131"/>
      <c r="J868" s="131"/>
      <c r="K868" s="131"/>
      <c r="L868" s="129"/>
      <c r="M868" s="130"/>
      <c r="N868" s="129"/>
      <c r="O868" s="129"/>
    </row>
    <row r="869" spans="1:15">
      <c r="A869" s="67"/>
      <c r="B869" s="129"/>
      <c r="C869" s="131"/>
      <c r="D869" s="131"/>
      <c r="E869" s="132"/>
      <c r="F869" s="131"/>
      <c r="G869" s="131"/>
      <c r="H869" s="131"/>
      <c r="I869" s="131"/>
      <c r="J869" s="131"/>
      <c r="K869" s="131"/>
      <c r="L869" s="129"/>
      <c r="M869" s="130"/>
      <c r="N869" s="129"/>
      <c r="O869" s="129"/>
    </row>
    <row r="870" spans="1:15">
      <c r="A870" s="67"/>
      <c r="B870" s="129"/>
      <c r="C870" s="131"/>
      <c r="D870" s="131"/>
      <c r="E870" s="132"/>
      <c r="F870" s="131"/>
      <c r="G870" s="131"/>
      <c r="H870" s="131"/>
      <c r="I870" s="131"/>
      <c r="J870" s="131"/>
      <c r="K870" s="131"/>
      <c r="L870" s="129"/>
      <c r="M870" s="130"/>
      <c r="N870" s="129"/>
      <c r="O870" s="129"/>
    </row>
    <row r="871" spans="1:15">
      <c r="A871" s="67"/>
      <c r="B871" s="129"/>
      <c r="C871" s="131"/>
      <c r="D871" s="131"/>
      <c r="E871" s="132"/>
      <c r="F871" s="131"/>
      <c r="G871" s="131"/>
      <c r="H871" s="131"/>
      <c r="I871" s="131"/>
      <c r="J871" s="131"/>
      <c r="K871" s="131"/>
      <c r="L871" s="129"/>
      <c r="M871" s="130"/>
      <c r="N871" s="129"/>
      <c r="O871" s="129"/>
    </row>
    <row r="872" spans="1:15">
      <c r="A872" s="67"/>
      <c r="B872" s="129"/>
      <c r="C872" s="131"/>
      <c r="D872" s="131"/>
      <c r="E872" s="132"/>
      <c r="F872" s="131"/>
      <c r="G872" s="131"/>
      <c r="H872" s="131"/>
      <c r="I872" s="131"/>
      <c r="J872" s="131"/>
      <c r="K872" s="131"/>
      <c r="L872" s="129"/>
      <c r="M872" s="130"/>
      <c r="N872" s="129"/>
      <c r="O872" s="129"/>
    </row>
    <row r="873" spans="1:15">
      <c r="A873" s="67"/>
      <c r="B873" s="129"/>
      <c r="C873" s="131"/>
      <c r="D873" s="131"/>
      <c r="E873" s="132"/>
      <c r="F873" s="131"/>
      <c r="G873" s="131"/>
      <c r="H873" s="131"/>
      <c r="I873" s="131"/>
      <c r="J873" s="131"/>
      <c r="K873" s="131"/>
      <c r="L873" s="129"/>
      <c r="M873" s="130"/>
      <c r="N873" s="129"/>
      <c r="O873" s="129"/>
    </row>
    <row r="874" spans="1:15">
      <c r="A874" s="67"/>
      <c r="B874" s="129"/>
      <c r="C874" s="131"/>
      <c r="D874" s="131"/>
      <c r="E874" s="132"/>
      <c r="F874" s="131"/>
      <c r="G874" s="131"/>
      <c r="H874" s="131"/>
      <c r="I874" s="131"/>
      <c r="J874" s="131"/>
      <c r="K874" s="131"/>
      <c r="L874" s="129"/>
      <c r="M874" s="130"/>
      <c r="N874" s="129"/>
      <c r="O874" s="129"/>
    </row>
    <row r="875" spans="1:15">
      <c r="A875" s="67"/>
      <c r="B875" s="129"/>
      <c r="C875" s="131"/>
      <c r="D875" s="131"/>
      <c r="E875" s="132"/>
      <c r="F875" s="131"/>
      <c r="G875" s="131"/>
      <c r="H875" s="131"/>
      <c r="I875" s="131"/>
      <c r="J875" s="131"/>
      <c r="K875" s="131"/>
      <c r="L875" s="129"/>
      <c r="M875" s="130"/>
      <c r="N875" s="129"/>
      <c r="O875" s="129"/>
    </row>
    <row r="876" spans="1:15">
      <c r="A876" s="67"/>
      <c r="B876" s="129"/>
      <c r="C876" s="131"/>
      <c r="D876" s="131"/>
      <c r="E876" s="132"/>
      <c r="F876" s="131"/>
      <c r="G876" s="131"/>
      <c r="H876" s="131"/>
      <c r="I876" s="131"/>
      <c r="J876" s="131"/>
      <c r="K876" s="131"/>
      <c r="L876" s="129"/>
      <c r="M876" s="130"/>
      <c r="N876" s="129"/>
      <c r="O876" s="129"/>
    </row>
    <row r="877" spans="1:15">
      <c r="A877" s="67"/>
      <c r="B877" s="129"/>
      <c r="C877" s="131"/>
      <c r="D877" s="131"/>
      <c r="E877" s="132"/>
      <c r="F877" s="131"/>
      <c r="G877" s="131"/>
      <c r="H877" s="131"/>
      <c r="I877" s="131"/>
      <c r="J877" s="131"/>
      <c r="K877" s="131"/>
      <c r="L877" s="129"/>
      <c r="M877" s="130"/>
      <c r="N877" s="129"/>
      <c r="O877" s="129"/>
    </row>
    <row r="878" spans="1:15">
      <c r="A878" s="67"/>
      <c r="B878" s="129"/>
      <c r="C878" s="131"/>
      <c r="D878" s="131"/>
      <c r="E878" s="132"/>
      <c r="F878" s="131"/>
      <c r="G878" s="131"/>
      <c r="H878" s="131"/>
      <c r="I878" s="131"/>
      <c r="J878" s="131"/>
      <c r="K878" s="131"/>
      <c r="L878" s="129"/>
      <c r="M878" s="130"/>
      <c r="N878" s="129"/>
      <c r="O878" s="129"/>
    </row>
    <row r="879" spans="1:15">
      <c r="A879" s="67"/>
      <c r="B879" s="129"/>
      <c r="C879" s="131"/>
      <c r="D879" s="131"/>
      <c r="E879" s="132"/>
      <c r="F879" s="131"/>
      <c r="G879" s="131"/>
      <c r="H879" s="131"/>
      <c r="I879" s="131"/>
      <c r="J879" s="131"/>
      <c r="K879" s="131"/>
      <c r="L879" s="129"/>
      <c r="M879" s="130"/>
      <c r="N879" s="129"/>
      <c r="O879" s="129"/>
    </row>
    <row r="880" spans="1:15">
      <c r="A880" s="67"/>
      <c r="B880" s="129"/>
      <c r="C880" s="131"/>
      <c r="D880" s="131"/>
      <c r="E880" s="132"/>
      <c r="F880" s="131"/>
      <c r="G880" s="131"/>
      <c r="H880" s="131"/>
      <c r="I880" s="131"/>
      <c r="J880" s="131"/>
      <c r="K880" s="131"/>
      <c r="L880" s="129"/>
      <c r="M880" s="130"/>
      <c r="N880" s="129"/>
      <c r="O880" s="129"/>
    </row>
    <row r="881" spans="1:15">
      <c r="A881" s="67"/>
      <c r="B881" s="129"/>
      <c r="C881" s="131"/>
      <c r="D881" s="131"/>
      <c r="E881" s="132"/>
      <c r="F881" s="131"/>
      <c r="G881" s="131"/>
      <c r="H881" s="131"/>
      <c r="I881" s="131"/>
      <c r="J881" s="131"/>
      <c r="K881" s="131"/>
      <c r="L881" s="129"/>
      <c r="M881" s="130"/>
      <c r="N881" s="129"/>
      <c r="O881" s="129"/>
    </row>
    <row r="882" spans="1:15">
      <c r="A882" s="67"/>
      <c r="B882" s="129"/>
      <c r="C882" s="131"/>
      <c r="D882" s="131"/>
      <c r="E882" s="132"/>
      <c r="F882" s="131"/>
      <c r="G882" s="131"/>
      <c r="H882" s="131"/>
      <c r="I882" s="131"/>
      <c r="J882" s="131"/>
      <c r="K882" s="131"/>
      <c r="L882" s="129"/>
      <c r="M882" s="130"/>
      <c r="N882" s="129"/>
      <c r="O882" s="129"/>
    </row>
    <row r="883" spans="1:15">
      <c r="A883" s="67"/>
      <c r="B883" s="129"/>
      <c r="C883" s="131"/>
      <c r="D883" s="131"/>
      <c r="E883" s="132"/>
      <c r="F883" s="131"/>
      <c r="G883" s="131"/>
      <c r="H883" s="131"/>
      <c r="I883" s="131"/>
      <c r="J883" s="131"/>
      <c r="K883" s="131"/>
      <c r="L883" s="129"/>
      <c r="M883" s="130"/>
      <c r="N883" s="129"/>
      <c r="O883" s="129"/>
    </row>
    <row r="884" spans="1:15">
      <c r="A884" s="67"/>
      <c r="B884" s="129"/>
      <c r="C884" s="131"/>
      <c r="D884" s="131"/>
      <c r="E884" s="132"/>
      <c r="F884" s="131"/>
      <c r="G884" s="131"/>
      <c r="H884" s="131"/>
      <c r="I884" s="131"/>
      <c r="J884" s="131"/>
      <c r="K884" s="131"/>
      <c r="L884" s="129"/>
      <c r="M884" s="130"/>
      <c r="N884" s="129"/>
      <c r="O884" s="129"/>
    </row>
    <row r="885" spans="1:15">
      <c r="A885" s="67"/>
      <c r="B885" s="129"/>
      <c r="C885" s="131"/>
      <c r="D885" s="131"/>
      <c r="E885" s="132"/>
      <c r="F885" s="131"/>
      <c r="G885" s="131"/>
      <c r="H885" s="131"/>
      <c r="I885" s="131"/>
      <c r="J885" s="131"/>
      <c r="K885" s="131"/>
      <c r="L885" s="129"/>
      <c r="M885" s="130"/>
      <c r="N885" s="129"/>
      <c r="O885" s="129"/>
    </row>
    <row r="886" spans="1:15">
      <c r="A886" s="67"/>
      <c r="B886" s="129"/>
      <c r="C886" s="131"/>
      <c r="D886" s="131"/>
      <c r="E886" s="132"/>
      <c r="F886" s="131"/>
      <c r="G886" s="131"/>
      <c r="H886" s="131"/>
      <c r="I886" s="131"/>
      <c r="J886" s="131"/>
      <c r="K886" s="131"/>
      <c r="L886" s="129"/>
      <c r="M886" s="130"/>
      <c r="N886" s="129"/>
      <c r="O886" s="129"/>
    </row>
    <row r="887" spans="1:15">
      <c r="A887" s="67"/>
      <c r="B887" s="129"/>
      <c r="C887" s="131"/>
      <c r="D887" s="131"/>
      <c r="E887" s="132"/>
      <c r="F887" s="131"/>
      <c r="G887" s="131"/>
      <c r="H887" s="131"/>
      <c r="I887" s="131"/>
      <c r="J887" s="131"/>
      <c r="K887" s="131"/>
      <c r="L887" s="129"/>
      <c r="M887" s="130"/>
      <c r="N887" s="129"/>
      <c r="O887" s="129"/>
    </row>
    <row r="888" spans="1:15">
      <c r="A888" s="67"/>
      <c r="B888" s="129"/>
      <c r="C888" s="131"/>
      <c r="D888" s="131"/>
      <c r="E888" s="132"/>
      <c r="F888" s="131"/>
      <c r="G888" s="131"/>
      <c r="H888" s="131"/>
      <c r="I888" s="131"/>
      <c r="J888" s="131"/>
      <c r="K888" s="131"/>
      <c r="L888" s="129"/>
      <c r="M888" s="130"/>
      <c r="N888" s="129"/>
      <c r="O888" s="129"/>
    </row>
    <row r="889" spans="1:15">
      <c r="A889" s="67"/>
      <c r="B889" s="129"/>
      <c r="C889" s="131"/>
      <c r="D889" s="131"/>
      <c r="E889" s="132"/>
      <c r="F889" s="131"/>
      <c r="G889" s="131"/>
      <c r="H889" s="131"/>
      <c r="I889" s="131"/>
      <c r="J889" s="131"/>
      <c r="K889" s="131"/>
      <c r="L889" s="129"/>
      <c r="M889" s="130"/>
      <c r="N889" s="129"/>
      <c r="O889" s="129"/>
    </row>
    <row r="890" spans="1:15">
      <c r="A890" s="67"/>
      <c r="B890" s="129"/>
      <c r="C890" s="131"/>
      <c r="D890" s="131"/>
      <c r="E890" s="132"/>
      <c r="F890" s="131"/>
      <c r="G890" s="131"/>
      <c r="H890" s="131"/>
      <c r="I890" s="131"/>
      <c r="J890" s="131"/>
      <c r="K890" s="131"/>
      <c r="L890" s="129"/>
      <c r="M890" s="130"/>
      <c r="N890" s="129"/>
      <c r="O890" s="129"/>
    </row>
    <row r="891" spans="1:15">
      <c r="A891" s="67"/>
      <c r="B891" s="129"/>
      <c r="C891" s="131"/>
      <c r="D891" s="131"/>
      <c r="E891" s="132"/>
      <c r="F891" s="131"/>
      <c r="G891" s="131"/>
      <c r="H891" s="131"/>
      <c r="I891" s="131"/>
      <c r="J891" s="131"/>
      <c r="K891" s="131"/>
      <c r="L891" s="129"/>
      <c r="M891" s="130"/>
      <c r="N891" s="129"/>
      <c r="O891" s="129"/>
    </row>
    <row r="892" spans="1:15">
      <c r="A892" s="67"/>
      <c r="B892" s="129"/>
      <c r="C892" s="131"/>
      <c r="D892" s="131"/>
      <c r="E892" s="132"/>
      <c r="F892" s="131"/>
      <c r="G892" s="131"/>
      <c r="H892" s="131"/>
      <c r="I892" s="131"/>
      <c r="J892" s="131"/>
      <c r="K892" s="131"/>
      <c r="L892" s="129"/>
      <c r="M892" s="130"/>
      <c r="N892" s="129"/>
      <c r="O892" s="129"/>
    </row>
    <row r="893" spans="1:15">
      <c r="A893" s="67"/>
      <c r="B893" s="129"/>
      <c r="C893" s="131"/>
      <c r="D893" s="131"/>
      <c r="E893" s="132"/>
      <c r="F893" s="131"/>
      <c r="G893" s="131"/>
      <c r="H893" s="131"/>
      <c r="I893" s="131"/>
      <c r="J893" s="131"/>
      <c r="K893" s="131"/>
      <c r="L893" s="129"/>
      <c r="M893" s="130"/>
      <c r="N893" s="129"/>
      <c r="O893" s="129"/>
    </row>
    <row r="894" spans="1:15">
      <c r="A894" s="67"/>
      <c r="B894" s="129"/>
      <c r="C894" s="131"/>
      <c r="D894" s="131"/>
      <c r="E894" s="132"/>
      <c r="F894" s="131"/>
      <c r="G894" s="131"/>
      <c r="H894" s="131"/>
      <c r="I894" s="131"/>
      <c r="J894" s="131"/>
      <c r="K894" s="131"/>
      <c r="L894" s="129"/>
      <c r="M894" s="130"/>
      <c r="N894" s="129"/>
      <c r="O894" s="129"/>
    </row>
    <row r="895" spans="1:15">
      <c r="A895" s="67"/>
      <c r="B895" s="129"/>
      <c r="C895" s="131"/>
      <c r="D895" s="131"/>
      <c r="E895" s="132"/>
      <c r="F895" s="131"/>
      <c r="G895" s="131"/>
      <c r="H895" s="131"/>
      <c r="I895" s="131"/>
      <c r="J895" s="131"/>
      <c r="K895" s="131"/>
      <c r="L895" s="129"/>
      <c r="M895" s="130"/>
      <c r="N895" s="129"/>
      <c r="O895" s="129"/>
    </row>
    <row r="896" spans="1:15">
      <c r="A896" s="67"/>
      <c r="B896" s="129"/>
      <c r="C896" s="131"/>
      <c r="D896" s="131"/>
      <c r="E896" s="132"/>
      <c r="F896" s="131"/>
      <c r="G896" s="131"/>
      <c r="H896" s="131"/>
      <c r="I896" s="131"/>
      <c r="J896" s="131"/>
      <c r="K896" s="131"/>
      <c r="L896" s="129"/>
      <c r="M896" s="130"/>
      <c r="N896" s="129"/>
      <c r="O896" s="129"/>
    </row>
    <row r="897" spans="1:15">
      <c r="A897" s="67"/>
      <c r="B897" s="129"/>
      <c r="C897" s="131"/>
      <c r="D897" s="131"/>
      <c r="E897" s="132"/>
      <c r="F897" s="131"/>
      <c r="G897" s="131"/>
      <c r="H897" s="131"/>
      <c r="I897" s="131"/>
      <c r="J897" s="131"/>
      <c r="K897" s="131"/>
      <c r="L897" s="129"/>
      <c r="M897" s="130"/>
      <c r="N897" s="129"/>
      <c r="O897" s="129"/>
    </row>
    <row r="898" spans="1:15">
      <c r="A898" s="67"/>
      <c r="B898" s="129"/>
      <c r="C898" s="131"/>
      <c r="D898" s="131"/>
      <c r="E898" s="132"/>
      <c r="F898" s="131"/>
      <c r="G898" s="131"/>
      <c r="H898" s="131"/>
      <c r="I898" s="131"/>
      <c r="J898" s="131"/>
      <c r="K898" s="131"/>
      <c r="L898" s="129"/>
      <c r="M898" s="130"/>
      <c r="N898" s="129"/>
      <c r="O898" s="129"/>
    </row>
    <row r="899" spans="1:15">
      <c r="A899" s="67"/>
      <c r="B899" s="129"/>
      <c r="C899" s="131"/>
      <c r="D899" s="131"/>
      <c r="E899" s="132"/>
      <c r="F899" s="131"/>
      <c r="G899" s="131"/>
      <c r="H899" s="131"/>
      <c r="I899" s="131"/>
      <c r="J899" s="131"/>
      <c r="K899" s="131"/>
      <c r="L899" s="129"/>
      <c r="M899" s="130"/>
      <c r="N899" s="129"/>
      <c r="O899" s="129"/>
    </row>
    <row r="900" spans="1:15">
      <c r="A900" s="67"/>
      <c r="B900" s="129"/>
      <c r="C900" s="131"/>
      <c r="D900" s="131"/>
      <c r="E900" s="132"/>
      <c r="F900" s="131"/>
      <c r="G900" s="131"/>
      <c r="H900" s="131"/>
      <c r="I900" s="131"/>
      <c r="J900" s="131"/>
      <c r="K900" s="131"/>
      <c r="L900" s="129"/>
      <c r="M900" s="130"/>
      <c r="N900" s="129"/>
      <c r="O900" s="129"/>
    </row>
    <row r="901" spans="1:15">
      <c r="A901" s="67"/>
      <c r="B901" s="129"/>
      <c r="C901" s="131"/>
      <c r="D901" s="131"/>
      <c r="E901" s="132"/>
      <c r="F901" s="131"/>
      <c r="G901" s="131"/>
      <c r="H901" s="131"/>
      <c r="I901" s="131"/>
      <c r="J901" s="131"/>
      <c r="K901" s="131"/>
      <c r="L901" s="129"/>
      <c r="M901" s="130"/>
      <c r="N901" s="129"/>
      <c r="O901" s="129"/>
    </row>
    <row r="902" spans="1:15">
      <c r="A902" s="67"/>
      <c r="B902" s="129"/>
      <c r="C902" s="131"/>
      <c r="D902" s="131"/>
      <c r="E902" s="132"/>
      <c r="F902" s="131"/>
      <c r="G902" s="131"/>
      <c r="H902" s="131"/>
      <c r="I902" s="131"/>
      <c r="J902" s="131"/>
      <c r="K902" s="131"/>
      <c r="L902" s="129"/>
      <c r="M902" s="130"/>
      <c r="N902" s="129"/>
      <c r="O902" s="129"/>
    </row>
    <row r="903" spans="1:15">
      <c r="A903" s="67"/>
      <c r="B903" s="129"/>
      <c r="C903" s="131"/>
      <c r="D903" s="131"/>
      <c r="E903" s="132"/>
      <c r="F903" s="131"/>
      <c r="G903" s="131"/>
      <c r="H903" s="131"/>
      <c r="I903" s="131"/>
      <c r="J903" s="131"/>
      <c r="K903" s="131"/>
      <c r="L903" s="129"/>
      <c r="M903" s="130"/>
      <c r="N903" s="129"/>
      <c r="O903" s="129"/>
    </row>
    <row r="904" spans="1:15">
      <c r="A904" s="67"/>
      <c r="B904" s="129"/>
      <c r="C904" s="131"/>
      <c r="D904" s="131"/>
      <c r="E904" s="132"/>
      <c r="F904" s="131"/>
      <c r="G904" s="131"/>
      <c r="H904" s="131"/>
      <c r="I904" s="131"/>
      <c r="J904" s="131"/>
      <c r="K904" s="131"/>
      <c r="L904" s="129"/>
      <c r="M904" s="130"/>
      <c r="N904" s="129"/>
      <c r="O904" s="129"/>
    </row>
    <row r="905" spans="1:15">
      <c r="A905" s="67"/>
      <c r="B905" s="129"/>
      <c r="C905" s="131"/>
      <c r="D905" s="131"/>
      <c r="E905" s="132"/>
      <c r="F905" s="131"/>
      <c r="G905" s="131"/>
      <c r="H905" s="131"/>
      <c r="I905" s="131"/>
      <c r="J905" s="131"/>
      <c r="K905" s="131"/>
      <c r="L905" s="129"/>
      <c r="M905" s="130"/>
      <c r="N905" s="129"/>
      <c r="O905" s="129"/>
    </row>
    <row r="906" spans="1:15">
      <c r="A906" s="67"/>
      <c r="B906" s="129"/>
      <c r="C906" s="131"/>
      <c r="D906" s="131"/>
      <c r="E906" s="132"/>
      <c r="F906" s="131"/>
      <c r="G906" s="131"/>
      <c r="H906" s="131"/>
      <c r="I906" s="131"/>
      <c r="J906" s="131"/>
      <c r="K906" s="131"/>
      <c r="L906" s="129"/>
      <c r="M906" s="130"/>
      <c r="N906" s="129"/>
      <c r="O906" s="129"/>
    </row>
    <row r="907" spans="1:15">
      <c r="A907" s="67"/>
      <c r="B907" s="129"/>
      <c r="C907" s="131"/>
      <c r="D907" s="131"/>
      <c r="E907" s="132"/>
      <c r="F907" s="131"/>
      <c r="G907" s="131"/>
      <c r="H907" s="131"/>
      <c r="I907" s="131"/>
      <c r="J907" s="131"/>
      <c r="K907" s="131"/>
      <c r="L907" s="129"/>
      <c r="M907" s="130"/>
      <c r="N907" s="129"/>
      <c r="O907" s="129"/>
    </row>
    <row r="908" spans="1:15">
      <c r="A908" s="67"/>
      <c r="B908" s="129"/>
      <c r="C908" s="131"/>
      <c r="D908" s="131"/>
      <c r="E908" s="132"/>
      <c r="F908" s="131"/>
      <c r="G908" s="131"/>
      <c r="H908" s="131"/>
      <c r="I908" s="131"/>
      <c r="J908" s="131"/>
      <c r="K908" s="131"/>
      <c r="L908" s="129"/>
      <c r="M908" s="130"/>
      <c r="N908" s="129"/>
      <c r="O908" s="129"/>
    </row>
    <row r="909" spans="1:15">
      <c r="A909" s="67"/>
      <c r="B909" s="129"/>
      <c r="C909" s="131"/>
      <c r="D909" s="131"/>
      <c r="E909" s="132"/>
      <c r="F909" s="131"/>
      <c r="G909" s="131"/>
      <c r="H909" s="131"/>
      <c r="I909" s="131"/>
      <c r="J909" s="131"/>
      <c r="K909" s="131"/>
      <c r="L909" s="129"/>
      <c r="M909" s="130"/>
      <c r="N909" s="129"/>
      <c r="O909" s="129"/>
    </row>
    <row r="910" spans="1:15">
      <c r="A910" s="67"/>
      <c r="B910" s="129"/>
      <c r="C910" s="131"/>
      <c r="D910" s="131"/>
      <c r="E910" s="132"/>
      <c r="F910" s="131"/>
      <c r="G910" s="131"/>
      <c r="H910" s="131"/>
      <c r="I910" s="131"/>
      <c r="J910" s="131"/>
      <c r="K910" s="131"/>
      <c r="L910" s="129"/>
      <c r="M910" s="130"/>
      <c r="N910" s="129"/>
      <c r="O910" s="129"/>
    </row>
    <row r="911" spans="1:15">
      <c r="A911" s="67"/>
      <c r="B911" s="129"/>
      <c r="C911" s="131"/>
      <c r="D911" s="131"/>
      <c r="E911" s="132"/>
      <c r="F911" s="131"/>
      <c r="G911" s="131"/>
      <c r="H911" s="131"/>
      <c r="I911" s="131"/>
      <c r="J911" s="131"/>
      <c r="K911" s="131"/>
      <c r="L911" s="129"/>
      <c r="M911" s="130"/>
      <c r="N911" s="129"/>
      <c r="O911" s="129"/>
    </row>
    <row r="912" spans="1:15">
      <c r="A912" s="67"/>
      <c r="B912" s="129"/>
      <c r="C912" s="131"/>
      <c r="D912" s="131"/>
      <c r="E912" s="132"/>
      <c r="F912" s="131"/>
      <c r="G912" s="131"/>
      <c r="H912" s="131"/>
      <c r="I912" s="131"/>
      <c r="J912" s="131"/>
      <c r="K912" s="131"/>
      <c r="L912" s="129"/>
      <c r="M912" s="130"/>
      <c r="N912" s="129"/>
      <c r="O912" s="129"/>
    </row>
    <row r="913" spans="1:15">
      <c r="A913" s="67"/>
      <c r="B913" s="129"/>
      <c r="C913" s="131"/>
      <c r="D913" s="131"/>
      <c r="E913" s="132"/>
      <c r="F913" s="131"/>
      <c r="G913" s="131"/>
      <c r="H913" s="131"/>
      <c r="I913" s="131"/>
      <c r="J913" s="131"/>
      <c r="K913" s="131"/>
      <c r="L913" s="129"/>
      <c r="M913" s="130"/>
      <c r="N913" s="129"/>
      <c r="O913" s="129"/>
    </row>
    <row r="914" spans="1:15">
      <c r="A914" s="67"/>
      <c r="B914" s="129"/>
      <c r="C914" s="131"/>
      <c r="D914" s="131"/>
      <c r="E914" s="132"/>
      <c r="F914" s="131"/>
      <c r="G914" s="131"/>
      <c r="H914" s="131"/>
      <c r="I914" s="131"/>
      <c r="J914" s="131"/>
      <c r="K914" s="131"/>
      <c r="L914" s="129"/>
      <c r="M914" s="130"/>
      <c r="N914" s="129"/>
      <c r="O914" s="129"/>
    </row>
    <row r="915" spans="1:15">
      <c r="A915" s="67"/>
      <c r="B915" s="129"/>
      <c r="C915" s="131"/>
      <c r="D915" s="131"/>
      <c r="E915" s="132"/>
      <c r="F915" s="131"/>
      <c r="G915" s="131"/>
      <c r="H915" s="131"/>
      <c r="I915" s="131"/>
      <c r="J915" s="131"/>
      <c r="K915" s="131"/>
      <c r="L915" s="129"/>
      <c r="M915" s="130"/>
      <c r="N915" s="129"/>
      <c r="O915" s="129"/>
    </row>
    <row r="916" spans="1:15">
      <c r="A916" s="67"/>
      <c r="B916" s="129"/>
      <c r="C916" s="131"/>
      <c r="D916" s="131"/>
      <c r="E916" s="132"/>
      <c r="F916" s="131"/>
      <c r="G916" s="131"/>
      <c r="H916" s="131"/>
      <c r="I916" s="131"/>
      <c r="J916" s="131"/>
      <c r="K916" s="131"/>
      <c r="L916" s="129"/>
      <c r="M916" s="130"/>
      <c r="N916" s="129"/>
      <c r="O916" s="129"/>
    </row>
    <row r="917" spans="1:15">
      <c r="A917" s="67"/>
      <c r="B917" s="129"/>
      <c r="C917" s="131"/>
      <c r="D917" s="131"/>
      <c r="E917" s="132"/>
      <c r="F917" s="131"/>
      <c r="G917" s="131"/>
      <c r="H917" s="131"/>
      <c r="I917" s="131"/>
      <c r="J917" s="131"/>
      <c r="K917" s="131"/>
      <c r="L917" s="129"/>
      <c r="M917" s="130"/>
      <c r="N917" s="129"/>
      <c r="O917" s="129"/>
    </row>
    <row r="918" spans="1:15">
      <c r="A918" s="67"/>
      <c r="B918" s="129"/>
      <c r="C918" s="131"/>
      <c r="D918" s="131"/>
      <c r="E918" s="132"/>
      <c r="F918" s="131"/>
      <c r="G918" s="131"/>
      <c r="H918" s="131"/>
      <c r="I918" s="131"/>
      <c r="J918" s="131"/>
      <c r="K918" s="131"/>
      <c r="L918" s="129"/>
      <c r="M918" s="130"/>
      <c r="N918" s="129"/>
      <c r="O918" s="129"/>
    </row>
    <row r="919" spans="1:15">
      <c r="A919" s="67"/>
      <c r="B919" s="129"/>
      <c r="C919" s="131"/>
      <c r="D919" s="131"/>
      <c r="E919" s="132"/>
      <c r="F919" s="131"/>
      <c r="G919" s="131"/>
      <c r="H919" s="131"/>
      <c r="I919" s="131"/>
      <c r="J919" s="131"/>
      <c r="K919" s="131"/>
      <c r="L919" s="129"/>
      <c r="M919" s="130"/>
      <c r="N919" s="129"/>
      <c r="O919" s="129"/>
    </row>
    <row r="920" spans="1:15">
      <c r="A920" s="67"/>
      <c r="B920" s="129"/>
      <c r="C920" s="131"/>
      <c r="D920" s="131"/>
      <c r="E920" s="132"/>
      <c r="F920" s="131"/>
      <c r="G920" s="131"/>
      <c r="H920" s="131"/>
      <c r="I920" s="131"/>
      <c r="J920" s="131"/>
      <c r="K920" s="131"/>
      <c r="L920" s="129"/>
      <c r="M920" s="130"/>
      <c r="N920" s="129"/>
      <c r="O920" s="129"/>
    </row>
    <row r="921" spans="1:15">
      <c r="A921" s="67"/>
      <c r="B921" s="129"/>
      <c r="C921" s="131"/>
      <c r="D921" s="131"/>
      <c r="E921" s="132"/>
      <c r="F921" s="131"/>
      <c r="G921" s="131"/>
      <c r="H921" s="131"/>
      <c r="I921" s="131"/>
      <c r="J921" s="131"/>
      <c r="K921" s="131"/>
      <c r="L921" s="129"/>
      <c r="M921" s="130"/>
      <c r="N921" s="129"/>
      <c r="O921" s="129"/>
    </row>
    <row r="922" spans="1:15">
      <c r="A922" s="67"/>
      <c r="B922" s="129"/>
      <c r="C922" s="131"/>
      <c r="D922" s="131"/>
      <c r="E922" s="132"/>
      <c r="F922" s="131"/>
      <c r="G922" s="131"/>
      <c r="H922" s="131"/>
      <c r="I922" s="131"/>
      <c r="J922" s="131"/>
      <c r="K922" s="131"/>
      <c r="L922" s="129"/>
      <c r="M922" s="130"/>
      <c r="N922" s="129"/>
      <c r="O922" s="129"/>
    </row>
    <row r="923" spans="1:15">
      <c r="A923" s="67"/>
      <c r="B923" s="129"/>
      <c r="C923" s="131"/>
      <c r="D923" s="131"/>
      <c r="E923" s="132"/>
      <c r="F923" s="131"/>
      <c r="G923" s="131"/>
      <c r="H923" s="131"/>
      <c r="I923" s="131"/>
      <c r="J923" s="131"/>
      <c r="K923" s="131"/>
      <c r="L923" s="129"/>
      <c r="M923" s="130"/>
      <c r="N923" s="129"/>
      <c r="O923" s="129"/>
    </row>
    <row r="924" spans="1:15">
      <c r="A924" s="67"/>
      <c r="B924" s="129"/>
      <c r="C924" s="131"/>
      <c r="D924" s="131"/>
      <c r="E924" s="132"/>
      <c r="F924" s="131"/>
      <c r="G924" s="131"/>
      <c r="H924" s="131"/>
      <c r="I924" s="131"/>
      <c r="J924" s="131"/>
      <c r="K924" s="131"/>
      <c r="L924" s="129"/>
      <c r="M924" s="130"/>
      <c r="N924" s="129"/>
      <c r="O924" s="129"/>
    </row>
    <row r="925" spans="1:15">
      <c r="A925" s="67"/>
      <c r="B925" s="129"/>
      <c r="C925" s="131"/>
      <c r="D925" s="131"/>
      <c r="E925" s="132"/>
      <c r="F925" s="131"/>
      <c r="G925" s="131"/>
      <c r="H925" s="131"/>
      <c r="I925" s="131"/>
      <c r="J925" s="131"/>
      <c r="K925" s="131"/>
      <c r="L925" s="129"/>
      <c r="M925" s="130"/>
      <c r="N925" s="129"/>
      <c r="O925" s="129"/>
    </row>
    <row r="926" spans="1:15">
      <c r="A926" s="67"/>
      <c r="B926" s="129"/>
      <c r="C926" s="131"/>
      <c r="D926" s="131"/>
      <c r="E926" s="132"/>
      <c r="F926" s="131"/>
      <c r="G926" s="131"/>
      <c r="H926" s="131"/>
      <c r="I926" s="131"/>
      <c r="J926" s="131"/>
      <c r="K926" s="131"/>
      <c r="L926" s="129"/>
      <c r="M926" s="130"/>
      <c r="N926" s="129"/>
      <c r="O926" s="129"/>
    </row>
    <row r="927" spans="1:15">
      <c r="A927" s="67"/>
      <c r="B927" s="129"/>
      <c r="C927" s="131"/>
      <c r="D927" s="131"/>
      <c r="E927" s="132"/>
      <c r="F927" s="131"/>
      <c r="G927" s="131"/>
      <c r="H927" s="131"/>
      <c r="I927" s="131"/>
      <c r="J927" s="131"/>
      <c r="K927" s="131"/>
      <c r="L927" s="129"/>
      <c r="M927" s="130"/>
      <c r="N927" s="129"/>
      <c r="O927" s="129"/>
    </row>
    <row r="928" spans="1:15">
      <c r="A928" s="67"/>
      <c r="B928" s="129"/>
      <c r="C928" s="131"/>
      <c r="D928" s="131"/>
      <c r="E928" s="132"/>
      <c r="F928" s="131"/>
      <c r="G928" s="131"/>
      <c r="H928" s="131"/>
      <c r="I928" s="131"/>
      <c r="J928" s="131"/>
      <c r="K928" s="131"/>
      <c r="L928" s="129"/>
      <c r="M928" s="130"/>
      <c r="N928" s="129"/>
      <c r="O928" s="129"/>
    </row>
    <row r="929" spans="1:15">
      <c r="A929" s="67"/>
      <c r="B929" s="129"/>
      <c r="C929" s="131"/>
      <c r="D929" s="131"/>
      <c r="E929" s="132"/>
      <c r="F929" s="131"/>
      <c r="G929" s="131"/>
      <c r="H929" s="131"/>
      <c r="I929" s="131"/>
      <c r="J929" s="131"/>
      <c r="K929" s="131"/>
      <c r="L929" s="129"/>
      <c r="M929" s="130"/>
      <c r="N929" s="129"/>
      <c r="O929" s="129"/>
    </row>
    <row r="930" spans="1:15">
      <c r="A930" s="67"/>
      <c r="B930" s="129"/>
      <c r="C930" s="131"/>
      <c r="D930" s="131"/>
      <c r="E930" s="132"/>
      <c r="F930" s="131"/>
      <c r="G930" s="131"/>
      <c r="H930" s="131"/>
      <c r="I930" s="131"/>
      <c r="J930" s="131"/>
      <c r="K930" s="131"/>
      <c r="L930" s="129"/>
      <c r="M930" s="130"/>
      <c r="N930" s="129"/>
      <c r="O930" s="129"/>
    </row>
    <row r="931" spans="1:15">
      <c r="A931" s="67"/>
      <c r="B931" s="129"/>
      <c r="C931" s="131"/>
      <c r="D931" s="131"/>
      <c r="E931" s="132"/>
      <c r="F931" s="131"/>
      <c r="G931" s="131"/>
      <c r="H931" s="131"/>
      <c r="I931" s="131"/>
      <c r="J931" s="131"/>
      <c r="K931" s="131"/>
      <c r="L931" s="129"/>
      <c r="M931" s="130"/>
      <c r="N931" s="129"/>
      <c r="O931" s="129"/>
    </row>
    <row r="932" spans="1:15">
      <c r="A932" s="67"/>
      <c r="B932" s="129"/>
      <c r="C932" s="131"/>
      <c r="D932" s="131"/>
      <c r="E932" s="132"/>
      <c r="F932" s="131"/>
      <c r="G932" s="131"/>
      <c r="H932" s="131"/>
      <c r="I932" s="131"/>
      <c r="J932" s="131"/>
      <c r="K932" s="131"/>
      <c r="L932" s="129"/>
      <c r="M932" s="130"/>
      <c r="N932" s="129"/>
      <c r="O932" s="129"/>
    </row>
    <row r="933" spans="1:15">
      <c r="A933" s="67"/>
      <c r="B933" s="129"/>
      <c r="C933" s="131"/>
      <c r="D933" s="131"/>
      <c r="E933" s="132"/>
      <c r="F933" s="131"/>
      <c r="G933" s="131"/>
      <c r="H933" s="131"/>
      <c r="I933" s="131"/>
      <c r="J933" s="131"/>
      <c r="K933" s="131"/>
      <c r="L933" s="129"/>
      <c r="M933" s="130"/>
      <c r="N933" s="129"/>
      <c r="O933" s="129"/>
    </row>
    <row r="934" spans="1:15">
      <c r="A934" s="67"/>
      <c r="B934" s="129"/>
      <c r="C934" s="131"/>
      <c r="D934" s="131"/>
      <c r="E934" s="132"/>
      <c r="F934" s="131"/>
      <c r="G934" s="131"/>
      <c r="H934" s="131"/>
      <c r="I934" s="131"/>
      <c r="J934" s="131"/>
      <c r="K934" s="131"/>
      <c r="L934" s="129"/>
      <c r="M934" s="130"/>
      <c r="N934" s="129"/>
      <c r="O934" s="129"/>
    </row>
    <row r="935" spans="1:15">
      <c r="A935" s="67"/>
      <c r="B935" s="129"/>
      <c r="C935" s="131"/>
      <c r="D935" s="131"/>
      <c r="E935" s="132"/>
      <c r="F935" s="131"/>
      <c r="G935" s="131"/>
      <c r="H935" s="131"/>
      <c r="I935" s="131"/>
      <c r="J935" s="131"/>
      <c r="K935" s="131"/>
      <c r="L935" s="129"/>
      <c r="M935" s="130"/>
      <c r="N935" s="129"/>
      <c r="O935" s="129"/>
    </row>
    <row r="936" spans="1:15">
      <c r="A936" s="67"/>
      <c r="B936" s="129"/>
      <c r="C936" s="131"/>
      <c r="D936" s="131"/>
      <c r="E936" s="132"/>
      <c r="F936" s="131"/>
      <c r="G936" s="131"/>
      <c r="H936" s="131"/>
      <c r="I936" s="131"/>
      <c r="J936" s="131"/>
      <c r="K936" s="131"/>
      <c r="L936" s="129"/>
      <c r="M936" s="130"/>
      <c r="N936" s="129"/>
      <c r="O936" s="129"/>
    </row>
    <row r="937" spans="1:15">
      <c r="A937" s="67"/>
      <c r="B937" s="129"/>
      <c r="C937" s="131"/>
      <c r="D937" s="131"/>
      <c r="E937" s="132"/>
      <c r="F937" s="131"/>
      <c r="G937" s="131"/>
      <c r="H937" s="131"/>
      <c r="I937" s="131"/>
      <c r="J937" s="131"/>
      <c r="K937" s="131"/>
      <c r="L937" s="129"/>
      <c r="M937" s="130"/>
      <c r="N937" s="129"/>
      <c r="O937" s="129"/>
    </row>
    <row r="938" spans="1:15">
      <c r="A938" s="67"/>
      <c r="B938" s="129"/>
      <c r="C938" s="131"/>
      <c r="D938" s="131"/>
      <c r="E938" s="132"/>
      <c r="F938" s="131"/>
      <c r="G938" s="131"/>
      <c r="H938" s="131"/>
      <c r="I938" s="131"/>
      <c r="J938" s="131"/>
      <c r="K938" s="131"/>
      <c r="L938" s="129"/>
      <c r="M938" s="130"/>
      <c r="N938" s="129"/>
      <c r="O938" s="129"/>
    </row>
    <row r="939" spans="1:15">
      <c r="A939" s="67"/>
      <c r="B939" s="129"/>
      <c r="C939" s="131"/>
      <c r="D939" s="131"/>
      <c r="E939" s="132"/>
      <c r="F939" s="131"/>
      <c r="G939" s="131"/>
      <c r="H939" s="131"/>
      <c r="I939" s="131"/>
      <c r="J939" s="131"/>
      <c r="K939" s="131"/>
      <c r="L939" s="129"/>
      <c r="M939" s="130"/>
      <c r="N939" s="129"/>
      <c r="O939" s="129"/>
    </row>
  </sheetData>
  <mergeCells count="24">
    <mergeCell ref="H12:I12"/>
    <mergeCell ref="A11:O11"/>
    <mergeCell ref="A1:O1"/>
    <mergeCell ref="A2:O2"/>
    <mergeCell ref="A3:O3"/>
    <mergeCell ref="A4:E4"/>
    <mergeCell ref="F4:J4"/>
    <mergeCell ref="K4:O4"/>
    <mergeCell ref="A5:E5"/>
    <mergeCell ref="F5:J5"/>
    <mergeCell ref="K5:O5"/>
    <mergeCell ref="J12:K12"/>
    <mergeCell ref="L12:L13"/>
    <mergeCell ref="M12:M13"/>
    <mergeCell ref="N12:N13"/>
    <mergeCell ref="A6:O6"/>
    <mergeCell ref="M9:N9"/>
    <mergeCell ref="O12:O13"/>
    <mergeCell ref="A12:A13"/>
    <mergeCell ref="B12:B13"/>
    <mergeCell ref="C12:C13"/>
    <mergeCell ref="D12:D13"/>
    <mergeCell ref="E12:E13"/>
    <mergeCell ref="F12:G12"/>
  </mergeCells>
  <printOptions horizontalCentered="1"/>
  <pageMargins left="0.78740157480314965" right="0.39370078740157483" top="0.78740157480314965" bottom="0.39370078740157483" header="0.31496062992125984" footer="0.31496062992125984"/>
  <pageSetup paperSize="9" scale="95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839CD-CCAA-4914-A493-9A22EFD69171}">
  <sheetPr codeName="Sheet1"/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115+040</vt:lpstr>
      <vt:lpstr>BC.115+040</vt:lpstr>
      <vt:lpstr>SL.115+040</vt:lpstr>
      <vt:lpstr>Sheet1</vt:lpstr>
      <vt:lpstr>'115+040'!Print_Area</vt:lpstr>
      <vt:lpstr>'BC.115+040'!Print_Area</vt:lpstr>
      <vt:lpstr>'SL.115+040'!Print_Area</vt:lpstr>
      <vt:lpstr>'115+040'!Print_Titles</vt:lpstr>
      <vt:lpstr>'BC.115+040'!Print_Titles</vt:lpstr>
      <vt:lpstr>'SL.115+040'!Print_Titles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Đăng Huân Võ</cp:lastModifiedBy>
  <dcterms:created xsi:type="dcterms:W3CDTF">2025-07-22T03:05:46Z</dcterms:created>
  <dcterms:modified xsi:type="dcterms:W3CDTF">2025-08-28T07:25:01Z</dcterms:modified>
</cp:coreProperties>
</file>