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3d5ff336de74a8d/Desktop/"/>
    </mc:Choice>
  </mc:AlternateContent>
  <xr:revisionPtr revIDLastSave="13" documentId="13_ncr:1_{E8738C8B-54A0-48A3-A69D-07AA461DE8D1}" xr6:coauthVersionLast="47" xr6:coauthVersionMax="47" xr10:uidLastSave="{4A4D5901-751D-4E4B-84F9-BECF85AC6678}"/>
  <bookViews>
    <workbookView xWindow="-120" yWindow="-120" windowWidth="29040" windowHeight="15840" activeTab="1" xr2:uid="{00000000-000D-0000-FFFF-FFFF00000000}"/>
  </bookViews>
  <sheets>
    <sheet name="Matsuo-Kawamura KM91-TT " sheetId="18" r:id="rId1"/>
    <sheet name="Matsuo-Kawamura KM91-PT " sheetId="23" r:id="rId2"/>
    <sheet name="pp" sheetId="1" r:id="rId3"/>
    <sheet name="1(kurihara)" sheetId="27" r:id="rId4"/>
    <sheet name="data-1(kurihara)" sheetId="28" r:id="rId5"/>
    <sheet name="2(hashimoto)  " sheetId="29" r:id="rId6"/>
    <sheet name="data-2(hashimot) " sheetId="30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9" l="1"/>
  <c r="I6" i="29"/>
  <c r="J6" i="29" s="1"/>
  <c r="I7" i="29"/>
  <c r="I8" i="29"/>
  <c r="I9" i="29"/>
  <c r="I10" i="29"/>
  <c r="I11" i="29"/>
  <c r="J11" i="29" s="1"/>
  <c r="I12" i="29"/>
  <c r="I13" i="29"/>
  <c r="I14" i="29"/>
  <c r="I15" i="29"/>
  <c r="I16" i="29"/>
  <c r="J16" i="29" s="1"/>
  <c r="I17" i="29"/>
  <c r="I18" i="29"/>
  <c r="I19" i="29"/>
  <c r="I20" i="29"/>
  <c r="I21" i="29"/>
  <c r="I22" i="29"/>
  <c r="I23" i="29"/>
  <c r="J23" i="29" s="1"/>
  <c r="I24" i="29"/>
  <c r="I25" i="29"/>
  <c r="I26" i="29"/>
  <c r="I27" i="29"/>
  <c r="I28" i="29"/>
  <c r="J28" i="29" s="1"/>
  <c r="I29" i="29"/>
  <c r="I30" i="29"/>
  <c r="I31" i="29"/>
  <c r="I32" i="29"/>
  <c r="I33" i="29"/>
  <c r="I34" i="29"/>
  <c r="I35" i="29"/>
  <c r="J35" i="29" s="1"/>
  <c r="I36" i="29"/>
  <c r="I37" i="29"/>
  <c r="I38" i="29"/>
  <c r="I39" i="29"/>
  <c r="I40" i="29"/>
  <c r="J40" i="29" s="1"/>
  <c r="I41" i="29"/>
  <c r="I42" i="29"/>
  <c r="J42" i="29" s="1"/>
  <c r="I43" i="29"/>
  <c r="I44" i="29"/>
  <c r="I45" i="29"/>
  <c r="I46" i="29"/>
  <c r="I47" i="29"/>
  <c r="J47" i="29" s="1"/>
  <c r="I48" i="29"/>
  <c r="J48" i="29" s="1"/>
  <c r="I49" i="29"/>
  <c r="I50" i="29"/>
  <c r="I4" i="29"/>
  <c r="J4" i="29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H28" i="29" s="1"/>
  <c r="G29" i="29"/>
  <c r="G30" i="29"/>
  <c r="H30" i="29" s="1"/>
  <c r="G31" i="29"/>
  <c r="G32" i="29"/>
  <c r="G33" i="29"/>
  <c r="G34" i="29"/>
  <c r="G35" i="29"/>
  <c r="H35" i="29" s="1"/>
  <c r="G36" i="29"/>
  <c r="G37" i="29"/>
  <c r="G38" i="29"/>
  <c r="G39" i="29"/>
  <c r="G40" i="29"/>
  <c r="H40" i="29" s="1"/>
  <c r="G41" i="29"/>
  <c r="G42" i="29"/>
  <c r="H42" i="29" s="1"/>
  <c r="G43" i="29"/>
  <c r="G44" i="29"/>
  <c r="G45" i="29"/>
  <c r="G46" i="29"/>
  <c r="G47" i="29"/>
  <c r="H47" i="29" s="1"/>
  <c r="G48" i="29"/>
  <c r="G49" i="29"/>
  <c r="G50" i="29"/>
  <c r="G4" i="29"/>
  <c r="E5" i="29"/>
  <c r="E6" i="29"/>
  <c r="E7" i="29"/>
  <c r="F7" i="29" s="1"/>
  <c r="E8" i="29"/>
  <c r="E9" i="29"/>
  <c r="F9" i="29" s="1"/>
  <c r="E10" i="29"/>
  <c r="E11" i="29"/>
  <c r="E12" i="29"/>
  <c r="E13" i="29"/>
  <c r="F13" i="29" s="1"/>
  <c r="E14" i="29"/>
  <c r="E15" i="29"/>
  <c r="F15" i="29" s="1"/>
  <c r="E16" i="29"/>
  <c r="F16" i="29" s="1"/>
  <c r="E17" i="29"/>
  <c r="E18" i="29"/>
  <c r="E19" i="29"/>
  <c r="E20" i="29"/>
  <c r="E21" i="29"/>
  <c r="E22" i="29"/>
  <c r="E23" i="29"/>
  <c r="E24" i="29"/>
  <c r="E25" i="29"/>
  <c r="F25" i="29" s="1"/>
  <c r="E26" i="29"/>
  <c r="E27" i="29"/>
  <c r="F27" i="29" s="1"/>
  <c r="E28" i="29"/>
  <c r="F28" i="29" s="1"/>
  <c r="E29" i="29"/>
  <c r="E30" i="29"/>
  <c r="E31" i="29"/>
  <c r="E32" i="29"/>
  <c r="E33" i="29"/>
  <c r="F33" i="29" s="1"/>
  <c r="E34" i="29"/>
  <c r="E35" i="29"/>
  <c r="E36" i="29"/>
  <c r="E37" i="29"/>
  <c r="F37" i="29" s="1"/>
  <c r="E38" i="29"/>
  <c r="E39" i="29"/>
  <c r="F39" i="29" s="1"/>
  <c r="E40" i="29"/>
  <c r="F40" i="29" s="1"/>
  <c r="E41" i="29"/>
  <c r="F41" i="29" s="1"/>
  <c r="E42" i="29"/>
  <c r="E43" i="29"/>
  <c r="E44" i="29"/>
  <c r="E45" i="29"/>
  <c r="E46" i="29"/>
  <c r="E47" i="29"/>
  <c r="E48" i="29"/>
  <c r="E49" i="29"/>
  <c r="E50" i="29"/>
  <c r="E4" i="29"/>
  <c r="C5" i="29"/>
  <c r="C6" i="29"/>
  <c r="C7" i="29"/>
  <c r="C8" i="29"/>
  <c r="C9" i="29"/>
  <c r="C10" i="29"/>
  <c r="C11" i="29"/>
  <c r="C12" i="29"/>
  <c r="C13" i="29"/>
  <c r="D13" i="29" s="1"/>
  <c r="C14" i="29"/>
  <c r="C15" i="29"/>
  <c r="D15" i="29" s="1"/>
  <c r="C16" i="29"/>
  <c r="D16" i="29" s="1"/>
  <c r="C17" i="29"/>
  <c r="D17" i="29" s="1"/>
  <c r="C18" i="29"/>
  <c r="D18" i="29" s="1"/>
  <c r="C19" i="29"/>
  <c r="C20" i="29"/>
  <c r="C21" i="29"/>
  <c r="C22" i="29"/>
  <c r="C23" i="29"/>
  <c r="C24" i="29"/>
  <c r="C25" i="29"/>
  <c r="C26" i="29"/>
  <c r="C27" i="29"/>
  <c r="D27" i="29" s="1"/>
  <c r="C28" i="29"/>
  <c r="D28" i="29" s="1"/>
  <c r="C29" i="29"/>
  <c r="C30" i="29"/>
  <c r="C31" i="29"/>
  <c r="C32" i="29"/>
  <c r="C33" i="29"/>
  <c r="C34" i="29"/>
  <c r="C35" i="29"/>
  <c r="C36" i="29"/>
  <c r="C37" i="29"/>
  <c r="C38" i="29"/>
  <c r="C39" i="29"/>
  <c r="D39" i="29" s="1"/>
  <c r="C40" i="29"/>
  <c r="D40" i="29" s="1"/>
  <c r="C41" i="29"/>
  <c r="C42" i="29"/>
  <c r="D42" i="29" s="1"/>
  <c r="C43" i="29"/>
  <c r="C44" i="29"/>
  <c r="C45" i="29"/>
  <c r="C46" i="29"/>
  <c r="C47" i="29"/>
  <c r="C48" i="29"/>
  <c r="C49" i="29"/>
  <c r="D49" i="29" s="1"/>
  <c r="C50" i="29"/>
  <c r="C4" i="29"/>
  <c r="D4" i="29" s="1"/>
  <c r="H7" i="27"/>
  <c r="H8" i="27"/>
  <c r="H9" i="27"/>
  <c r="H10" i="27"/>
  <c r="H11" i="27"/>
  <c r="H12" i="27"/>
  <c r="H13" i="27"/>
  <c r="H14" i="27"/>
  <c r="H15" i="27"/>
  <c r="H16" i="27"/>
  <c r="H17" i="27"/>
  <c r="H18" i="27"/>
  <c r="I18" i="27" s="1"/>
  <c r="H19" i="27"/>
  <c r="H20" i="27"/>
  <c r="H21" i="27"/>
  <c r="H22" i="27"/>
  <c r="H23" i="27"/>
  <c r="H24" i="27"/>
  <c r="H25" i="27"/>
  <c r="H26" i="27"/>
  <c r="H27" i="27"/>
  <c r="H28" i="27"/>
  <c r="H29" i="27"/>
  <c r="H30" i="27"/>
  <c r="I30" i="27" s="1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6" i="27"/>
  <c r="I6" i="27" s="1"/>
  <c r="J6" i="27" s="1"/>
  <c r="H5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D29" i="27" s="1"/>
  <c r="C30" i="27"/>
  <c r="D30" i="27" s="1"/>
  <c r="C31" i="27"/>
  <c r="C32" i="27"/>
  <c r="C33" i="27"/>
  <c r="C34" i="27"/>
  <c r="C35" i="27"/>
  <c r="C36" i="27"/>
  <c r="C37" i="27"/>
  <c r="C38" i="27"/>
  <c r="C39" i="27"/>
  <c r="C40" i="27"/>
  <c r="C41" i="27"/>
  <c r="D41" i="27" s="1"/>
  <c r="E41" i="27" s="1"/>
  <c r="C42" i="27"/>
  <c r="D42" i="27" s="1"/>
  <c r="C43" i="27"/>
  <c r="C44" i="27"/>
  <c r="C45" i="27"/>
  <c r="C46" i="27"/>
  <c r="C47" i="27"/>
  <c r="C48" i="27"/>
  <c r="C49" i="27"/>
  <c r="C50" i="27"/>
  <c r="C51" i="27"/>
  <c r="C6" i="27"/>
  <c r="D6" i="27" s="1"/>
  <c r="C5" i="27"/>
  <c r="D5" i="27" s="1"/>
  <c r="D17" i="27"/>
  <c r="D50" i="27"/>
  <c r="D35" i="27"/>
  <c r="D36" i="27"/>
  <c r="D43" i="27"/>
  <c r="D44" i="27"/>
  <c r="D47" i="27"/>
  <c r="D48" i="27"/>
  <c r="J50" i="29"/>
  <c r="H50" i="29"/>
  <c r="F50" i="29"/>
  <c r="D50" i="29"/>
  <c r="B50" i="29"/>
  <c r="J49" i="29"/>
  <c r="H49" i="29"/>
  <c r="F49" i="29"/>
  <c r="B49" i="29"/>
  <c r="H48" i="29"/>
  <c r="F48" i="29"/>
  <c r="D48" i="29"/>
  <c r="B48" i="29"/>
  <c r="F47" i="29"/>
  <c r="D47" i="29"/>
  <c r="B47" i="29"/>
  <c r="J46" i="29"/>
  <c r="H46" i="29"/>
  <c r="F46" i="29"/>
  <c r="D46" i="29"/>
  <c r="B46" i="29"/>
  <c r="J45" i="29"/>
  <c r="H45" i="29"/>
  <c r="F45" i="29"/>
  <c r="D45" i="29"/>
  <c r="B45" i="29"/>
  <c r="J44" i="29"/>
  <c r="H44" i="29"/>
  <c r="F44" i="29"/>
  <c r="D44" i="29"/>
  <c r="B44" i="29"/>
  <c r="J43" i="29"/>
  <c r="H43" i="29"/>
  <c r="F43" i="29"/>
  <c r="D43" i="29"/>
  <c r="B43" i="29"/>
  <c r="F42" i="29"/>
  <c r="B42" i="29"/>
  <c r="J41" i="29"/>
  <c r="H41" i="29"/>
  <c r="D41" i="29"/>
  <c r="B41" i="29"/>
  <c r="B40" i="29"/>
  <c r="J39" i="29"/>
  <c r="H39" i="29"/>
  <c r="B39" i="29"/>
  <c r="J38" i="29"/>
  <c r="H38" i="29"/>
  <c r="F38" i="29"/>
  <c r="D38" i="29"/>
  <c r="B38" i="29"/>
  <c r="J37" i="29"/>
  <c r="H37" i="29"/>
  <c r="D37" i="29"/>
  <c r="B37" i="29"/>
  <c r="J36" i="29"/>
  <c r="H36" i="29"/>
  <c r="F36" i="29"/>
  <c r="D36" i="29"/>
  <c r="B36" i="29"/>
  <c r="F35" i="29"/>
  <c r="D35" i="29"/>
  <c r="B35" i="29"/>
  <c r="J34" i="29"/>
  <c r="H34" i="29"/>
  <c r="F34" i="29"/>
  <c r="D34" i="29"/>
  <c r="B34" i="29"/>
  <c r="J33" i="29"/>
  <c r="H33" i="29"/>
  <c r="D33" i="29"/>
  <c r="B33" i="29"/>
  <c r="J32" i="29"/>
  <c r="H32" i="29"/>
  <c r="F32" i="29"/>
  <c r="D32" i="29"/>
  <c r="B32" i="29"/>
  <c r="J31" i="29"/>
  <c r="H31" i="29"/>
  <c r="F31" i="29"/>
  <c r="D31" i="29"/>
  <c r="B31" i="29"/>
  <c r="J30" i="29"/>
  <c r="F30" i="29"/>
  <c r="D30" i="29"/>
  <c r="B30" i="29"/>
  <c r="J29" i="29"/>
  <c r="H29" i="29"/>
  <c r="F29" i="29"/>
  <c r="D29" i="29"/>
  <c r="B29" i="29"/>
  <c r="B28" i="29"/>
  <c r="J27" i="29"/>
  <c r="H27" i="29"/>
  <c r="B27" i="29"/>
  <c r="J26" i="29"/>
  <c r="H26" i="29"/>
  <c r="F26" i="29"/>
  <c r="D26" i="29"/>
  <c r="B26" i="29"/>
  <c r="J25" i="29"/>
  <c r="H25" i="29"/>
  <c r="D25" i="29"/>
  <c r="B25" i="29"/>
  <c r="J24" i="29"/>
  <c r="H24" i="29"/>
  <c r="F24" i="29"/>
  <c r="D24" i="29"/>
  <c r="B24" i="29"/>
  <c r="H23" i="29"/>
  <c r="F23" i="29"/>
  <c r="D23" i="29"/>
  <c r="B23" i="29"/>
  <c r="J22" i="29"/>
  <c r="H22" i="29"/>
  <c r="F22" i="29"/>
  <c r="D22" i="29"/>
  <c r="B22" i="29"/>
  <c r="J21" i="29"/>
  <c r="H21" i="29"/>
  <c r="F21" i="29"/>
  <c r="D21" i="29"/>
  <c r="B21" i="29"/>
  <c r="J20" i="29"/>
  <c r="H20" i="29"/>
  <c r="F20" i="29"/>
  <c r="D20" i="29"/>
  <c r="B20" i="29"/>
  <c r="J19" i="29"/>
  <c r="H19" i="29"/>
  <c r="F19" i="29"/>
  <c r="D19" i="29"/>
  <c r="B19" i="29"/>
  <c r="J18" i="29"/>
  <c r="H18" i="29"/>
  <c r="F18" i="29"/>
  <c r="B18" i="29"/>
  <c r="J17" i="29"/>
  <c r="H17" i="29"/>
  <c r="F17" i="29"/>
  <c r="B17" i="29"/>
  <c r="H16" i="29"/>
  <c r="B16" i="29"/>
  <c r="J15" i="29"/>
  <c r="H15" i="29"/>
  <c r="B15" i="29"/>
  <c r="C37" i="30" s="1"/>
  <c r="J14" i="29"/>
  <c r="H14" i="29"/>
  <c r="F14" i="29"/>
  <c r="D14" i="29"/>
  <c r="B14" i="29"/>
  <c r="C36" i="30" s="1"/>
  <c r="J13" i="29"/>
  <c r="H13" i="29"/>
  <c r="B13" i="29"/>
  <c r="C35" i="30" s="1"/>
  <c r="J12" i="29"/>
  <c r="H12" i="29"/>
  <c r="F12" i="29"/>
  <c r="D12" i="29"/>
  <c r="B12" i="29"/>
  <c r="C34" i="30" s="1"/>
  <c r="M11" i="29"/>
  <c r="L11" i="29"/>
  <c r="H11" i="29"/>
  <c r="F11" i="29"/>
  <c r="D11" i="29"/>
  <c r="B11" i="29"/>
  <c r="C33" i="30" s="1"/>
  <c r="M10" i="29"/>
  <c r="L10" i="29"/>
  <c r="J10" i="29"/>
  <c r="H10" i="29"/>
  <c r="F10" i="29"/>
  <c r="D10" i="29"/>
  <c r="B10" i="29"/>
  <c r="C32" i="30" s="1"/>
  <c r="M9" i="29"/>
  <c r="L9" i="29"/>
  <c r="J9" i="29"/>
  <c r="H9" i="29"/>
  <c r="D9" i="29"/>
  <c r="B9" i="29"/>
  <c r="C31" i="30" s="1"/>
  <c r="J8" i="29"/>
  <c r="H8" i="29"/>
  <c r="F8" i="29"/>
  <c r="D8" i="29"/>
  <c r="B8" i="29"/>
  <c r="C30" i="30" s="1"/>
  <c r="J7" i="29"/>
  <c r="H7" i="29"/>
  <c r="D7" i="29"/>
  <c r="B7" i="29"/>
  <c r="C29" i="30" s="1"/>
  <c r="H6" i="29"/>
  <c r="F6" i="29"/>
  <c r="D6" i="29"/>
  <c r="B6" i="29"/>
  <c r="C28" i="30" s="1"/>
  <c r="F26" i="30"/>
  <c r="J5" i="29"/>
  <c r="H5" i="29"/>
  <c r="F5" i="29"/>
  <c r="D5" i="29"/>
  <c r="B5" i="29"/>
  <c r="C27" i="30" s="1"/>
  <c r="H4" i="29"/>
  <c r="F4" i="29"/>
  <c r="B4" i="29"/>
  <c r="C26" i="30" s="1"/>
  <c r="I51" i="27"/>
  <c r="J51" i="27" s="1"/>
  <c r="D51" i="27"/>
  <c r="A51" i="27"/>
  <c r="I50" i="27"/>
  <c r="A50" i="27"/>
  <c r="I49" i="27"/>
  <c r="D49" i="27"/>
  <c r="A49" i="27"/>
  <c r="I48" i="27"/>
  <c r="A48" i="27"/>
  <c r="I47" i="27"/>
  <c r="A47" i="27"/>
  <c r="I46" i="27"/>
  <c r="D46" i="27"/>
  <c r="A46" i="27"/>
  <c r="I45" i="27"/>
  <c r="D45" i="27"/>
  <c r="A45" i="27"/>
  <c r="I44" i="27"/>
  <c r="A44" i="27"/>
  <c r="I43" i="27"/>
  <c r="A43" i="27"/>
  <c r="A166" i="27" s="1"/>
  <c r="I42" i="27"/>
  <c r="A42" i="27"/>
  <c r="I41" i="27"/>
  <c r="A41" i="27"/>
  <c r="I40" i="27"/>
  <c r="D40" i="27"/>
  <c r="A40" i="27"/>
  <c r="B40" i="27" s="1"/>
  <c r="G40" i="27" s="1"/>
  <c r="I39" i="27"/>
  <c r="D39" i="27"/>
  <c r="A39" i="27"/>
  <c r="A162" i="27" s="1"/>
  <c r="I38" i="27"/>
  <c r="D38" i="27"/>
  <c r="A38" i="27"/>
  <c r="I37" i="27"/>
  <c r="D37" i="27"/>
  <c r="A37" i="27"/>
  <c r="I36" i="27"/>
  <c r="A36" i="27"/>
  <c r="I35" i="27"/>
  <c r="A35" i="27"/>
  <c r="I34" i="27"/>
  <c r="D34" i="27"/>
  <c r="A34" i="27"/>
  <c r="I33" i="27"/>
  <c r="D33" i="27"/>
  <c r="A33" i="27"/>
  <c r="I32" i="27"/>
  <c r="D32" i="27"/>
  <c r="A32" i="27"/>
  <c r="I31" i="27"/>
  <c r="D31" i="27"/>
  <c r="A31" i="27"/>
  <c r="A154" i="27" s="1"/>
  <c r="A30" i="27"/>
  <c r="I29" i="27"/>
  <c r="A29" i="27"/>
  <c r="I28" i="27"/>
  <c r="D28" i="27"/>
  <c r="A28" i="27"/>
  <c r="B28" i="27" s="1"/>
  <c r="G28" i="27" s="1"/>
  <c r="I27" i="27"/>
  <c r="D27" i="27"/>
  <c r="A27" i="27"/>
  <c r="A150" i="27" s="1"/>
  <c r="I26" i="27"/>
  <c r="D26" i="27"/>
  <c r="A26" i="27"/>
  <c r="B26" i="27" s="1"/>
  <c r="G26" i="27" s="1"/>
  <c r="I25" i="27"/>
  <c r="D25" i="27"/>
  <c r="A25" i="27"/>
  <c r="I24" i="27"/>
  <c r="J24" i="27" s="1"/>
  <c r="D24" i="27"/>
  <c r="A24" i="27"/>
  <c r="I23" i="27"/>
  <c r="D23" i="27"/>
  <c r="A23" i="27"/>
  <c r="I22" i="27"/>
  <c r="D22" i="27"/>
  <c r="A22" i="27"/>
  <c r="I21" i="27"/>
  <c r="D21" i="27"/>
  <c r="A21" i="27"/>
  <c r="I20" i="27"/>
  <c r="J20" i="27" s="1"/>
  <c r="D20" i="27"/>
  <c r="A20" i="27"/>
  <c r="A143" i="27" s="1"/>
  <c r="I19" i="27"/>
  <c r="D19" i="27"/>
  <c r="A19" i="27"/>
  <c r="D18" i="27"/>
  <c r="A18" i="27"/>
  <c r="I17" i="27"/>
  <c r="J17" i="27" s="1"/>
  <c r="A17" i="27"/>
  <c r="B17" i="27" s="1"/>
  <c r="G17" i="27" s="1"/>
  <c r="I16" i="27"/>
  <c r="D16" i="27"/>
  <c r="A16" i="27"/>
  <c r="I15" i="27"/>
  <c r="D15" i="27"/>
  <c r="A15" i="27"/>
  <c r="I14" i="27"/>
  <c r="D14" i="27"/>
  <c r="A14" i="27"/>
  <c r="A137" i="27" s="1"/>
  <c r="I13" i="27"/>
  <c r="D13" i="27"/>
  <c r="A13" i="27"/>
  <c r="A136" i="27" s="1"/>
  <c r="I12" i="27"/>
  <c r="D12" i="27"/>
  <c r="A12" i="27"/>
  <c r="I11" i="27"/>
  <c r="D11" i="27"/>
  <c r="A11" i="27"/>
  <c r="A134" i="27" s="1"/>
  <c r="I10" i="27"/>
  <c r="D10" i="27"/>
  <c r="A10" i="27"/>
  <c r="I9" i="27"/>
  <c r="J9" i="27" s="1"/>
  <c r="D9" i="27"/>
  <c r="A9" i="27"/>
  <c r="I8" i="27"/>
  <c r="D8" i="27"/>
  <c r="A8" i="27"/>
  <c r="I7" i="27"/>
  <c r="D7" i="27"/>
  <c r="A7" i="27"/>
  <c r="A6" i="27"/>
  <c r="A5" i="27"/>
  <c r="E26" i="30" l="1"/>
  <c r="E31" i="30"/>
  <c r="E37" i="30"/>
  <c r="J8" i="27"/>
  <c r="J30" i="27"/>
  <c r="K30" i="27" s="1"/>
  <c r="J153" i="27" s="1"/>
  <c r="J48" i="27"/>
  <c r="J39" i="27"/>
  <c r="E19" i="27"/>
  <c r="E43" i="27"/>
  <c r="E35" i="27"/>
  <c r="E8" i="27"/>
  <c r="E47" i="27"/>
  <c r="E31" i="27"/>
  <c r="E32" i="27"/>
  <c r="F32" i="27" s="1"/>
  <c r="C155" i="27" s="1"/>
  <c r="E30" i="27"/>
  <c r="E7" i="27"/>
  <c r="E18" i="27"/>
  <c r="J11" i="27"/>
  <c r="J22" i="27"/>
  <c r="K22" i="27" s="1"/>
  <c r="J145" i="27" s="1"/>
  <c r="J32" i="27"/>
  <c r="K32" i="27" s="1"/>
  <c r="J155" i="27" s="1"/>
  <c r="E36" i="27"/>
  <c r="J19" i="27"/>
  <c r="E16" i="27"/>
  <c r="J27" i="27"/>
  <c r="B49" i="27"/>
  <c r="G49" i="27" s="1"/>
  <c r="J16" i="27"/>
  <c r="E20" i="27"/>
  <c r="J42" i="27"/>
  <c r="B6" i="27"/>
  <c r="G6" i="27" s="1"/>
  <c r="F27" i="30"/>
  <c r="D29" i="30"/>
  <c r="E42" i="27"/>
  <c r="F42" i="27" s="1"/>
  <c r="C165" i="27" s="1"/>
  <c r="E29" i="30"/>
  <c r="E10" i="27"/>
  <c r="B8" i="27"/>
  <c r="G8" i="27" s="1"/>
  <c r="J12" i="27"/>
  <c r="E27" i="27"/>
  <c r="F27" i="27" s="1"/>
  <c r="C150" i="27" s="1"/>
  <c r="J35" i="27"/>
  <c r="E39" i="27"/>
  <c r="G27" i="30"/>
  <c r="D32" i="30"/>
  <c r="E33" i="30"/>
  <c r="K17" i="27"/>
  <c r="J140" i="27" s="1"/>
  <c r="E15" i="27"/>
  <c r="J7" i="27"/>
  <c r="E11" i="27"/>
  <c r="B14" i="27"/>
  <c r="G14" i="27" s="1"/>
  <c r="E33" i="27"/>
  <c r="F33" i="27" s="1"/>
  <c r="C156" i="27" s="1"/>
  <c r="E38" i="27"/>
  <c r="E28" i="30"/>
  <c r="J15" i="27"/>
  <c r="E21" i="27"/>
  <c r="J33" i="27"/>
  <c r="E44" i="27"/>
  <c r="E25" i="27"/>
  <c r="E6" i="27"/>
  <c r="F6" i="27" s="1"/>
  <c r="C129" i="27" s="1"/>
  <c r="B20" i="27"/>
  <c r="G20" i="27" s="1"/>
  <c r="J44" i="27"/>
  <c r="J14" i="27"/>
  <c r="B143" i="27"/>
  <c r="I143" i="27" s="1"/>
  <c r="E35" i="30"/>
  <c r="D28" i="30"/>
  <c r="E28" i="27"/>
  <c r="F28" i="27" s="1"/>
  <c r="C151" i="27" s="1"/>
  <c r="J31" i="27"/>
  <c r="B132" i="27"/>
  <c r="I132" i="27" s="1"/>
  <c r="J10" i="27"/>
  <c r="J37" i="27"/>
  <c r="J43" i="27"/>
  <c r="E50" i="27"/>
  <c r="E14" i="27"/>
  <c r="E23" i="27"/>
  <c r="B27" i="27"/>
  <c r="G27" i="27" s="1"/>
  <c r="B39" i="27"/>
  <c r="G39" i="27" s="1"/>
  <c r="E30" i="30"/>
  <c r="D33" i="30"/>
  <c r="E34" i="30"/>
  <c r="K6" i="27"/>
  <c r="J129" i="27" s="1"/>
  <c r="F8" i="27"/>
  <c r="C131" i="27" s="1"/>
  <c r="E4" i="27"/>
  <c r="E5" i="27"/>
  <c r="F5" i="27" s="1"/>
  <c r="E9" i="27"/>
  <c r="E12" i="27"/>
  <c r="J34" i="27"/>
  <c r="A165" i="27"/>
  <c r="B165" i="27"/>
  <c r="I165" i="27" s="1"/>
  <c r="B43" i="27"/>
  <c r="B42" i="27"/>
  <c r="G42" i="27" s="1"/>
  <c r="J28" i="27"/>
  <c r="K28" i="27" s="1"/>
  <c r="J151" i="27" s="1"/>
  <c r="J29" i="27"/>
  <c r="B11" i="27"/>
  <c r="G11" i="27" s="1"/>
  <c r="E24" i="27"/>
  <c r="E26" i="27"/>
  <c r="F26" i="27" s="1"/>
  <c r="C149" i="27" s="1"/>
  <c r="E29" i="27"/>
  <c r="E37" i="27"/>
  <c r="E48" i="27"/>
  <c r="E49" i="27"/>
  <c r="F49" i="27" s="1"/>
  <c r="C172" i="27" s="1"/>
  <c r="E13" i="27"/>
  <c r="J23" i="27"/>
  <c r="J25" i="27"/>
  <c r="J36" i="27"/>
  <c r="J38" i="27"/>
  <c r="J49" i="27"/>
  <c r="J50" i="27"/>
  <c r="B129" i="27"/>
  <c r="I129" i="27" s="1"/>
  <c r="A129" i="27"/>
  <c r="J26" i="27"/>
  <c r="K26" i="27" s="1"/>
  <c r="J149" i="27" s="1"/>
  <c r="B167" i="27"/>
  <c r="I167" i="27" s="1"/>
  <c r="A167" i="27"/>
  <c r="B134" i="27"/>
  <c r="I134" i="27" s="1"/>
  <c r="J18" i="27"/>
  <c r="A132" i="27"/>
  <c r="B9" i="27"/>
  <c r="G9" i="27" s="1"/>
  <c r="J13" i="27"/>
  <c r="B138" i="27"/>
  <c r="I138" i="27" s="1"/>
  <c r="A138" i="27"/>
  <c r="B44" i="27"/>
  <c r="G44" i="27" s="1"/>
  <c r="B168" i="27"/>
  <c r="I168" i="27" s="1"/>
  <c r="A168" i="27"/>
  <c r="B45" i="27"/>
  <c r="G45" i="27" s="1"/>
  <c r="B135" i="27"/>
  <c r="I135" i="27" s="1"/>
  <c r="A135" i="27"/>
  <c r="B15" i="27"/>
  <c r="G15" i="27" s="1"/>
  <c r="E46" i="27"/>
  <c r="E45" i="27"/>
  <c r="B136" i="27"/>
  <c r="I136" i="27" s="1"/>
  <c r="A131" i="27"/>
  <c r="B131" i="27"/>
  <c r="I131" i="27" s="1"/>
  <c r="B130" i="27"/>
  <c r="I130" i="27" s="1"/>
  <c r="A130" i="27"/>
  <c r="B12" i="27"/>
  <c r="G12" i="27" s="1"/>
  <c r="B141" i="27"/>
  <c r="I141" i="27" s="1"/>
  <c r="A141" i="27"/>
  <c r="B155" i="27"/>
  <c r="I155" i="27" s="1"/>
  <c r="A155" i="27"/>
  <c r="B33" i="27"/>
  <c r="G33" i="27" s="1"/>
  <c r="B32" i="27"/>
  <c r="G32" i="27" s="1"/>
  <c r="J45" i="27"/>
  <c r="J47" i="27"/>
  <c r="J46" i="27"/>
  <c r="J40" i="27"/>
  <c r="K40" i="27" s="1"/>
  <c r="J163" i="27" s="1"/>
  <c r="J41" i="27"/>
  <c r="B7" i="27"/>
  <c r="G7" i="27" s="1"/>
  <c r="B16" i="27"/>
  <c r="G16" i="27" s="1"/>
  <c r="B18" i="27"/>
  <c r="G18" i="27" s="1"/>
  <c r="B157" i="27"/>
  <c r="I157" i="27" s="1"/>
  <c r="A157" i="27"/>
  <c r="B133" i="27"/>
  <c r="I133" i="27" s="1"/>
  <c r="A133" i="27"/>
  <c r="B145" i="27"/>
  <c r="I145" i="27" s="1"/>
  <c r="A145" i="27"/>
  <c r="B22" i="27"/>
  <c r="G22" i="27" s="1"/>
  <c r="B34" i="27"/>
  <c r="G34" i="27" s="1"/>
  <c r="A153" i="27"/>
  <c r="B153" i="27"/>
  <c r="I153" i="27" s="1"/>
  <c r="B31" i="27"/>
  <c r="G31" i="27" s="1"/>
  <c r="B30" i="27"/>
  <c r="G30" i="27" s="1"/>
  <c r="B10" i="27"/>
  <c r="G10" i="27" s="1"/>
  <c r="K10" i="27" s="1"/>
  <c r="J133" i="27" s="1"/>
  <c r="B13" i="27"/>
  <c r="G13" i="27" s="1"/>
  <c r="J21" i="27"/>
  <c r="E22" i="27"/>
  <c r="F22" i="27" s="1"/>
  <c r="C145" i="27" s="1"/>
  <c r="B146" i="27"/>
  <c r="I146" i="27" s="1"/>
  <c r="A146" i="27"/>
  <c r="E34" i="27"/>
  <c r="B166" i="27"/>
  <c r="I166" i="27" s="1"/>
  <c r="B154" i="27"/>
  <c r="I154" i="27" s="1"/>
  <c r="A128" i="27"/>
  <c r="E17" i="27"/>
  <c r="F17" i="27" s="1"/>
  <c r="C140" i="27" s="1"/>
  <c r="B23" i="27"/>
  <c r="G23" i="27" s="1"/>
  <c r="E40" i="27"/>
  <c r="F40" i="27" s="1"/>
  <c r="C163" i="27" s="1"/>
  <c r="B148" i="27"/>
  <c r="I148" i="27" s="1"/>
  <c r="A148" i="27"/>
  <c r="B160" i="27"/>
  <c r="I160" i="27" s="1"/>
  <c r="A160" i="27"/>
  <c r="B169" i="27"/>
  <c r="I169" i="27" s="1"/>
  <c r="A169" i="27"/>
  <c r="B170" i="27"/>
  <c r="I170" i="27" s="1"/>
  <c r="A170" i="27"/>
  <c r="B173" i="27"/>
  <c r="I173" i="27" s="1"/>
  <c r="A173" i="27"/>
  <c r="A174" i="27"/>
  <c r="B51" i="27"/>
  <c r="G51" i="27" s="1"/>
  <c r="B174" i="27"/>
  <c r="I174" i="27" s="1"/>
  <c r="B25" i="27"/>
  <c r="G25" i="27" s="1"/>
  <c r="B151" i="27"/>
  <c r="I151" i="27" s="1"/>
  <c r="B37" i="27"/>
  <c r="G37" i="27" s="1"/>
  <c r="B163" i="27"/>
  <c r="I163" i="27" s="1"/>
  <c r="A163" i="27"/>
  <c r="B46" i="27"/>
  <c r="G46" i="27" s="1"/>
  <c r="B47" i="27"/>
  <c r="G47" i="27" s="1"/>
  <c r="B50" i="27"/>
  <c r="G50" i="27" s="1"/>
  <c r="E51" i="27"/>
  <c r="B172" i="27"/>
  <c r="I172" i="27" s="1"/>
  <c r="A172" i="27"/>
  <c r="B150" i="27"/>
  <c r="I150" i="27" s="1"/>
  <c r="B158" i="27"/>
  <c r="I158" i="27" s="1"/>
  <c r="A158" i="27"/>
  <c r="A151" i="27"/>
  <c r="B162" i="27"/>
  <c r="I162" i="27" s="1"/>
  <c r="B140" i="27"/>
  <c r="I140" i="27" s="1"/>
  <c r="A140" i="27"/>
  <c r="A149" i="27"/>
  <c r="B149" i="27"/>
  <c r="I149" i="27" s="1"/>
  <c r="B156" i="27"/>
  <c r="I156" i="27" s="1"/>
  <c r="A156" i="27"/>
  <c r="B35" i="27"/>
  <c r="G35" i="27" s="1"/>
  <c r="B161" i="27"/>
  <c r="I161" i="27" s="1"/>
  <c r="A161" i="27"/>
  <c r="B147" i="27"/>
  <c r="I147" i="27" s="1"/>
  <c r="A147" i="27"/>
  <c r="B38" i="27"/>
  <c r="G38" i="27" s="1"/>
  <c r="B142" i="27"/>
  <c r="I142" i="27" s="1"/>
  <c r="A142" i="27"/>
  <c r="B24" i="27"/>
  <c r="G24" i="27" s="1"/>
  <c r="B152" i="27"/>
  <c r="I152" i="27" s="1"/>
  <c r="A152" i="27"/>
  <c r="B164" i="27"/>
  <c r="I164" i="27" s="1"/>
  <c r="A164" i="27"/>
  <c r="G29" i="30"/>
  <c r="G28" i="30"/>
  <c r="B137" i="27"/>
  <c r="I137" i="27" s="1"/>
  <c r="B19" i="27"/>
  <c r="G19" i="27" s="1"/>
  <c r="B29" i="27"/>
  <c r="G29" i="27" s="1"/>
  <c r="B41" i="27"/>
  <c r="G41" i="27" s="1"/>
  <c r="B144" i="27"/>
  <c r="I144" i="27" s="1"/>
  <c r="A144" i="27"/>
  <c r="B159" i="27"/>
  <c r="I159" i="27" s="1"/>
  <c r="A159" i="27"/>
  <c r="B36" i="27"/>
  <c r="G36" i="27" s="1"/>
  <c r="B139" i="27"/>
  <c r="I139" i="27" s="1"/>
  <c r="A139" i="27"/>
  <c r="B21" i="27"/>
  <c r="G21" i="27" s="1"/>
  <c r="D34" i="30"/>
  <c r="D27" i="30"/>
  <c r="F30" i="30"/>
  <c r="F29" i="30"/>
  <c r="G26" i="30"/>
  <c r="D31" i="30"/>
  <c r="E27" i="30"/>
  <c r="G30" i="30"/>
  <c r="B171" i="27"/>
  <c r="I171" i="27" s="1"/>
  <c r="A171" i="27"/>
  <c r="F28" i="30"/>
  <c r="B48" i="27"/>
  <c r="G48" i="27" s="1"/>
  <c r="D26" i="30"/>
  <c r="D30" i="30"/>
  <c r="E32" i="30"/>
  <c r="D35" i="30"/>
  <c r="D37" i="30"/>
  <c r="D36" i="30"/>
  <c r="E36" i="30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76" i="23"/>
  <c r="G76" i="23"/>
  <c r="F77" i="23"/>
  <c r="G77" i="23"/>
  <c r="F78" i="23"/>
  <c r="G78" i="23"/>
  <c r="F79" i="23"/>
  <c r="G79" i="23" s="1"/>
  <c r="F80" i="23"/>
  <c r="G80" i="23"/>
  <c r="F81" i="23"/>
  <c r="G81" i="23" s="1"/>
  <c r="F82" i="23"/>
  <c r="G82" i="23" s="1"/>
  <c r="F83" i="23"/>
  <c r="G83" i="23" s="1"/>
  <c r="F84" i="23"/>
  <c r="G84" i="23"/>
  <c r="F85" i="23"/>
  <c r="G85" i="23"/>
  <c r="F86" i="23"/>
  <c r="G86" i="23" s="1"/>
  <c r="F87" i="23"/>
  <c r="G87" i="23" s="1"/>
  <c r="F88" i="23"/>
  <c r="G88" i="23" s="1"/>
  <c r="F89" i="23"/>
  <c r="G89" i="23" s="1"/>
  <c r="F90" i="23"/>
  <c r="G90" i="23"/>
  <c r="F91" i="23"/>
  <c r="G91" i="23" s="1"/>
  <c r="F92" i="23"/>
  <c r="G92" i="23"/>
  <c r="F93" i="23"/>
  <c r="G93" i="23" s="1"/>
  <c r="F94" i="23"/>
  <c r="G94" i="23"/>
  <c r="F95" i="23"/>
  <c r="G95" i="23" s="1"/>
  <c r="F96" i="23"/>
  <c r="G96" i="23"/>
  <c r="F97" i="23"/>
  <c r="G97" i="23"/>
  <c r="F98" i="23"/>
  <c r="G98" i="23" s="1"/>
  <c r="F99" i="23"/>
  <c r="G99" i="23" s="1"/>
  <c r="F100" i="23"/>
  <c r="G100" i="23" s="1"/>
  <c r="K31" i="27" l="1"/>
  <c r="J154" i="27" s="1"/>
  <c r="K8" i="27"/>
  <c r="J131" i="27" s="1"/>
  <c r="K49" i="27"/>
  <c r="J172" i="27" s="1"/>
  <c r="F44" i="27"/>
  <c r="C167" i="27" s="1"/>
  <c r="K33" i="27"/>
  <c r="J156" i="27" s="1"/>
  <c r="F30" i="27"/>
  <c r="C153" i="27" s="1"/>
  <c r="K14" i="27"/>
  <c r="J137" i="27" s="1"/>
  <c r="K42" i="27"/>
  <c r="J165" i="27" s="1"/>
  <c r="K39" i="27"/>
  <c r="J162" i="27" s="1"/>
  <c r="K27" i="27"/>
  <c r="J150" i="27" s="1"/>
  <c r="F36" i="27"/>
  <c r="C159" i="27" s="1"/>
  <c r="K20" i="27"/>
  <c r="J143" i="27" s="1"/>
  <c r="K13" i="27"/>
  <c r="J136" i="27" s="1"/>
  <c r="F14" i="27"/>
  <c r="C137" i="27" s="1"/>
  <c r="F20" i="27"/>
  <c r="C143" i="27" s="1"/>
  <c r="F35" i="27"/>
  <c r="C158" i="27" s="1"/>
  <c r="F10" i="27"/>
  <c r="C133" i="27" s="1"/>
  <c r="F34" i="27"/>
  <c r="C157" i="27" s="1"/>
  <c r="F51" i="27"/>
  <c r="C174" i="27" s="1"/>
  <c r="K18" i="27"/>
  <c r="J141" i="27" s="1"/>
  <c r="F39" i="27"/>
  <c r="C162" i="27" s="1"/>
  <c r="F46" i="27"/>
  <c r="C169" i="27" s="1"/>
  <c r="F16" i="27"/>
  <c r="C139" i="27" s="1"/>
  <c r="K38" i="27"/>
  <c r="J161" i="27" s="1"/>
  <c r="F48" i="27"/>
  <c r="C171" i="27" s="1"/>
  <c r="F18" i="27"/>
  <c r="C141" i="27" s="1"/>
  <c r="K12" i="27"/>
  <c r="J135" i="27" s="1"/>
  <c r="F21" i="27"/>
  <c r="C144" i="27" s="1"/>
  <c r="F11" i="27"/>
  <c r="C134" i="27" s="1"/>
  <c r="K21" i="27"/>
  <c r="J144" i="27" s="1"/>
  <c r="F38" i="27"/>
  <c r="C161" i="27" s="1"/>
  <c r="K37" i="27"/>
  <c r="J160" i="27" s="1"/>
  <c r="F23" i="27"/>
  <c r="C146" i="27" s="1"/>
  <c r="K48" i="27"/>
  <c r="J171" i="27" s="1"/>
  <c r="F47" i="27"/>
  <c r="C170" i="27" s="1"/>
  <c r="K24" i="27"/>
  <c r="J147" i="27" s="1"/>
  <c r="K36" i="27"/>
  <c r="J159" i="27" s="1"/>
  <c r="F37" i="27"/>
  <c r="C160" i="27" s="1"/>
  <c r="K29" i="27"/>
  <c r="J152" i="27" s="1"/>
  <c r="K16" i="27"/>
  <c r="J139" i="27" s="1"/>
  <c r="K41" i="27"/>
  <c r="J164" i="27" s="1"/>
  <c r="F50" i="27"/>
  <c r="C173" i="27" s="1"/>
  <c r="F12" i="27"/>
  <c r="C135" i="27" s="1"/>
  <c r="K7" i="27"/>
  <c r="J130" i="27" s="1"/>
  <c r="F29" i="27"/>
  <c r="C152" i="27" s="1"/>
  <c r="F31" i="27"/>
  <c r="C154" i="27" s="1"/>
  <c r="K15" i="27"/>
  <c r="J138" i="27" s="1"/>
  <c r="F15" i="27"/>
  <c r="C138" i="27" s="1"/>
  <c r="K51" i="27"/>
  <c r="J174" i="27" s="1"/>
  <c r="K46" i="27"/>
  <c r="J169" i="27" s="1"/>
  <c r="G43" i="27"/>
  <c r="F43" i="27"/>
  <c r="C166" i="27" s="1"/>
  <c r="F9" i="27"/>
  <c r="C132" i="27" s="1"/>
  <c r="F19" i="27"/>
  <c r="C142" i="27" s="1"/>
  <c r="K11" i="27"/>
  <c r="J134" i="27" s="1"/>
  <c r="K47" i="27"/>
  <c r="J170" i="27" s="1"/>
  <c r="K50" i="27"/>
  <c r="J173" i="27" s="1"/>
  <c r="K25" i="27"/>
  <c r="J148" i="27" s="1"/>
  <c r="K19" i="27"/>
  <c r="J142" i="27" s="1"/>
  <c r="K45" i="27"/>
  <c r="J168" i="27" s="1"/>
  <c r="K23" i="27"/>
  <c r="J146" i="27" s="1"/>
  <c r="F25" i="27"/>
  <c r="C148" i="27" s="1"/>
  <c r="K35" i="27"/>
  <c r="J158" i="27" s="1"/>
  <c r="F7" i="27"/>
  <c r="C130" i="27" s="1"/>
  <c r="K9" i="27"/>
  <c r="J132" i="27" s="1"/>
  <c r="K44" i="27"/>
  <c r="J167" i="27" s="1"/>
  <c r="F45" i="27"/>
  <c r="C168" i="27" s="1"/>
  <c r="F13" i="27"/>
  <c r="C136" i="27" s="1"/>
  <c r="F24" i="27"/>
  <c r="C147" i="27" s="1"/>
  <c r="K34" i="27"/>
  <c r="J157" i="27" s="1"/>
  <c r="F41" i="27"/>
  <c r="C164" i="27" s="1"/>
  <c r="D74" i="18"/>
  <c r="G74" i="18" s="1"/>
  <c r="D75" i="18"/>
  <c r="G75" i="18" s="1"/>
  <c r="D76" i="18"/>
  <c r="G76" i="18" s="1"/>
  <c r="D77" i="18"/>
  <c r="G77" i="18" s="1"/>
  <c r="D78" i="18"/>
  <c r="G78" i="18" s="1"/>
  <c r="D79" i="18"/>
  <c r="G79" i="18" s="1"/>
  <c r="D80" i="18"/>
  <c r="G80" i="18" s="1"/>
  <c r="D81" i="18"/>
  <c r="G81" i="18" s="1"/>
  <c r="D82" i="18"/>
  <c r="G82" i="18" s="1"/>
  <c r="D83" i="18"/>
  <c r="G83" i="18" s="1"/>
  <c r="D84" i="18"/>
  <c r="G84" i="18" s="1"/>
  <c r="D85" i="18"/>
  <c r="G85" i="18" s="1"/>
  <c r="D86" i="18"/>
  <c r="G86" i="18" s="1"/>
  <c r="D87" i="18"/>
  <c r="G87" i="18" s="1"/>
  <c r="D88" i="18"/>
  <c r="G88" i="18" s="1"/>
  <c r="D89" i="18"/>
  <c r="G89" i="18" s="1"/>
  <c r="D90" i="18"/>
  <c r="G90" i="18" s="1"/>
  <c r="D91" i="18"/>
  <c r="G91" i="18" s="1"/>
  <c r="D92" i="18"/>
  <c r="G92" i="18" s="1"/>
  <c r="D93" i="18"/>
  <c r="G93" i="18" s="1"/>
  <c r="D94" i="18"/>
  <c r="G94" i="18" s="1"/>
  <c r="D95" i="18"/>
  <c r="G95" i="18" s="1"/>
  <c r="D96" i="18"/>
  <c r="G96" i="18" s="1"/>
  <c r="D97" i="18"/>
  <c r="G97" i="18" s="1"/>
  <c r="D98" i="18"/>
  <c r="G98" i="18" s="1"/>
  <c r="D99" i="18"/>
  <c r="G99" i="18" s="1"/>
  <c r="D100" i="18"/>
  <c r="G100" i="18" s="1"/>
  <c r="D73" i="18"/>
  <c r="G73" i="18" s="1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F75" i="23"/>
  <c r="G75" i="23" s="1"/>
  <c r="F74" i="23"/>
  <c r="G74" i="23" s="1"/>
  <c r="F73" i="23"/>
  <c r="G73" i="23" s="1"/>
  <c r="K43" i="27" l="1"/>
  <c r="J166" i="27" s="1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48" i="18" l="1"/>
  <c r="D48" i="18"/>
  <c r="G48" i="18" s="1"/>
  <c r="F48" i="18"/>
  <c r="C49" i="18"/>
  <c r="D49" i="18"/>
  <c r="F49" i="18"/>
  <c r="C50" i="18"/>
  <c r="D50" i="18"/>
  <c r="G50" i="18" s="1"/>
  <c r="F50" i="18"/>
  <c r="C51" i="18"/>
  <c r="D51" i="18"/>
  <c r="G51" i="18" s="1"/>
  <c r="F51" i="18"/>
  <c r="C52" i="18"/>
  <c r="D52" i="18"/>
  <c r="G52" i="18" s="1"/>
  <c r="F52" i="18"/>
  <c r="C53" i="18"/>
  <c r="D53" i="18"/>
  <c r="F53" i="18"/>
  <c r="C54" i="18"/>
  <c r="D54" i="18"/>
  <c r="G54" i="18" s="1"/>
  <c r="F54" i="18"/>
  <c r="C55" i="18"/>
  <c r="D55" i="18"/>
  <c r="G55" i="18" s="1"/>
  <c r="F55" i="18"/>
  <c r="C56" i="18"/>
  <c r="D56" i="18"/>
  <c r="F56" i="18"/>
  <c r="C57" i="18"/>
  <c r="D57" i="18"/>
  <c r="F57" i="18"/>
  <c r="G57" i="18"/>
  <c r="C58" i="18"/>
  <c r="D58" i="18"/>
  <c r="F58" i="18"/>
  <c r="C59" i="18"/>
  <c r="D59" i="18"/>
  <c r="F59" i="18"/>
  <c r="G59" i="18" s="1"/>
  <c r="C60" i="18"/>
  <c r="D60" i="18"/>
  <c r="F60" i="18"/>
  <c r="C61" i="18"/>
  <c r="D61" i="18"/>
  <c r="G61" i="18" s="1"/>
  <c r="F61" i="18"/>
  <c r="C62" i="18"/>
  <c r="D62" i="18"/>
  <c r="G62" i="18" s="1"/>
  <c r="F62" i="18"/>
  <c r="C63" i="18"/>
  <c r="D63" i="18"/>
  <c r="F63" i="18"/>
  <c r="G63" i="18"/>
  <c r="C64" i="18"/>
  <c r="D64" i="18"/>
  <c r="F64" i="18"/>
  <c r="C65" i="18"/>
  <c r="D65" i="18"/>
  <c r="F65" i="18"/>
  <c r="G65" i="18"/>
  <c r="C66" i="18"/>
  <c r="D66" i="18"/>
  <c r="G66" i="18" s="1"/>
  <c r="F66" i="18"/>
  <c r="C67" i="18"/>
  <c r="D67" i="18"/>
  <c r="F67" i="18"/>
  <c r="G67" i="18"/>
  <c r="C68" i="18"/>
  <c r="D68" i="18"/>
  <c r="G68" i="18" s="1"/>
  <c r="F68" i="18"/>
  <c r="C69" i="18"/>
  <c r="D69" i="18"/>
  <c r="F69" i="18"/>
  <c r="G69" i="18"/>
  <c r="C70" i="18"/>
  <c r="D70" i="18"/>
  <c r="F70" i="18"/>
  <c r="G70" i="18"/>
  <c r="C71" i="18"/>
  <c r="D71" i="18"/>
  <c r="G71" i="18" s="1"/>
  <c r="F71" i="18"/>
  <c r="C72" i="18"/>
  <c r="D72" i="18"/>
  <c r="G72" i="18" s="1"/>
  <c r="F72" i="18"/>
  <c r="D43" i="18"/>
  <c r="D44" i="18"/>
  <c r="D45" i="18"/>
  <c r="D46" i="18"/>
  <c r="D47" i="18"/>
  <c r="G49" i="18" l="1"/>
  <c r="G56" i="18"/>
  <c r="G53" i="18"/>
  <c r="G64" i="18"/>
  <c r="G60" i="18"/>
  <c r="G58" i="18"/>
  <c r="G43" i="18" l="1"/>
  <c r="G44" i="18"/>
  <c r="G45" i="18"/>
  <c r="F43" i="18"/>
  <c r="F44" i="18"/>
  <c r="F45" i="18"/>
  <c r="F46" i="18"/>
  <c r="G46" i="18" s="1"/>
  <c r="F47" i="18"/>
  <c r="G47" i="18" s="1"/>
  <c r="C43" i="18"/>
  <c r="C44" i="18"/>
  <c r="C45" i="18"/>
  <c r="C46" i="18"/>
  <c r="C47" i="18"/>
  <c r="F43" i="23"/>
  <c r="G43" i="23" s="1"/>
  <c r="F44" i="23"/>
  <c r="G44" i="23" s="1"/>
  <c r="F45" i="23"/>
  <c r="G45" i="23" s="1"/>
  <c r="F46" i="23"/>
  <c r="G46" i="23" s="1"/>
  <c r="F47" i="23"/>
  <c r="G47" i="23" s="1"/>
  <c r="F48" i="23"/>
  <c r="G48" i="23" s="1"/>
  <c r="F49" i="23"/>
  <c r="G49" i="23" s="1"/>
  <c r="F50" i="23"/>
  <c r="G50" i="23" s="1"/>
  <c r="F51" i="23"/>
  <c r="G51" i="23" s="1"/>
  <c r="F52" i="23"/>
  <c r="G52" i="23" s="1"/>
  <c r="F53" i="23"/>
  <c r="G53" i="23" s="1"/>
  <c r="F54" i="23"/>
  <c r="G54" i="23" s="1"/>
  <c r="F55" i="23"/>
  <c r="G55" i="23" s="1"/>
  <c r="F56" i="23"/>
  <c r="G56" i="23" s="1"/>
  <c r="F57" i="23"/>
  <c r="G57" i="23" s="1"/>
  <c r="F58" i="23"/>
  <c r="G58" i="23" s="1"/>
  <c r="F59" i="23"/>
  <c r="G59" i="23" s="1"/>
  <c r="F60" i="23"/>
  <c r="G60" i="23" s="1"/>
  <c r="F61" i="23"/>
  <c r="G61" i="23" s="1"/>
  <c r="F62" i="23"/>
  <c r="G62" i="23" s="1"/>
  <c r="F63" i="23"/>
  <c r="G63" i="23" s="1"/>
  <c r="F64" i="23"/>
  <c r="G64" i="23" s="1"/>
  <c r="F65" i="23"/>
  <c r="G65" i="23" s="1"/>
  <c r="F66" i="23"/>
  <c r="G66" i="23" s="1"/>
  <c r="F67" i="23"/>
  <c r="G67" i="23" s="1"/>
  <c r="F68" i="23"/>
  <c r="G68" i="23" s="1"/>
  <c r="F69" i="23"/>
  <c r="G69" i="23" s="1"/>
  <c r="F70" i="23"/>
  <c r="G70" i="23" s="1"/>
  <c r="F71" i="23"/>
  <c r="G71" i="23" s="1"/>
  <c r="F72" i="23"/>
  <c r="G72" i="23" s="1"/>
  <c r="C43" i="23" l="1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N5" i="18" l="1"/>
  <c r="A1" i="18" l="1"/>
  <c r="A139" i="23" l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 s="1"/>
  <c r="A172" i="23" s="1"/>
  <c r="A173" i="23" s="1"/>
  <c r="A174" i="23" s="1"/>
  <c r="A175" i="23" s="1"/>
  <c r="A176" i="23" s="1"/>
  <c r="A177" i="23" s="1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0" i="23" s="1"/>
  <c r="A211" i="23" s="1"/>
  <c r="A212" i="23" s="1"/>
  <c r="A213" i="23" s="1"/>
  <c r="A214" i="23" s="1"/>
  <c r="A215" i="23" s="1"/>
  <c r="A216" i="23" s="1"/>
  <c r="A217" i="23" s="1"/>
  <c r="A218" i="23" s="1"/>
  <c r="A219" i="23" s="1"/>
  <c r="A220" i="23" s="1"/>
  <c r="A221" i="23" s="1"/>
  <c r="A222" i="23" s="1"/>
  <c r="A223" i="23" s="1"/>
  <c r="A224" i="23" s="1"/>
  <c r="A225" i="23" s="1"/>
  <c r="A226" i="23" s="1"/>
  <c r="A227" i="23" s="1"/>
  <c r="A228" i="23" s="1"/>
  <c r="A229" i="23" s="1"/>
  <c r="A230" i="23" s="1"/>
  <c r="A231" i="23" s="1"/>
  <c r="A232" i="23" s="1"/>
  <c r="A233" i="23" s="1"/>
  <c r="A234" i="23" s="1"/>
  <c r="A235" i="23" s="1"/>
  <c r="A236" i="23" s="1"/>
  <c r="K6" i="18" l="1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5" i="18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69" i="23"/>
  <c r="L70" i="23"/>
  <c r="L71" i="23"/>
  <c r="L72" i="23"/>
  <c r="L73" i="23"/>
  <c r="L74" i="23"/>
  <c r="L75" i="23"/>
  <c r="L76" i="23"/>
  <c r="L77" i="23"/>
  <c r="L78" i="23"/>
  <c r="L79" i="23"/>
  <c r="L80" i="23"/>
  <c r="L81" i="23"/>
  <c r="L82" i="23"/>
  <c r="L83" i="23"/>
  <c r="L84" i="23"/>
  <c r="L85" i="23"/>
  <c r="L86" i="23"/>
  <c r="L87" i="23"/>
  <c r="L88" i="23"/>
  <c r="L89" i="23"/>
  <c r="L90" i="23"/>
  <c r="L91" i="23"/>
  <c r="L92" i="23"/>
  <c r="L93" i="23"/>
  <c r="L94" i="23"/>
  <c r="L95" i="23"/>
  <c r="L96" i="23"/>
  <c r="L97" i="23"/>
  <c r="L98" i="23"/>
  <c r="L99" i="23"/>
  <c r="L100" i="23"/>
  <c r="L101" i="23"/>
  <c r="L102" i="23"/>
  <c r="L103" i="23"/>
  <c r="L5" i="23"/>
  <c r="D41" i="18" l="1"/>
  <c r="D42" i="18"/>
  <c r="D5" i="18" l="1"/>
  <c r="D6" i="18"/>
  <c r="D7" i="18"/>
  <c r="D8" i="18"/>
  <c r="D9" i="18"/>
  <c r="D10" i="18"/>
  <c r="D11" i="18"/>
  <c r="D12" i="18"/>
  <c r="D13" i="18"/>
  <c r="D14" i="18"/>
  <c r="D15" i="18"/>
  <c r="D4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21" i="18"/>
  <c r="H42" i="23" l="1"/>
  <c r="F42" i="23"/>
  <c r="G42" i="23" s="1"/>
  <c r="C42" i="23"/>
  <c r="F42" i="18"/>
  <c r="G42" i="18" s="1"/>
  <c r="H42" i="18"/>
  <c r="C42" i="18"/>
  <c r="F41" i="23" l="1"/>
  <c r="C41" i="23"/>
  <c r="H41" i="23"/>
  <c r="F41" i="18"/>
  <c r="G41" i="18" s="1"/>
  <c r="H41" i="18"/>
  <c r="C41" i="18"/>
  <c r="G41" i="23" l="1"/>
  <c r="F39" i="23" l="1"/>
  <c r="G39" i="23" s="1"/>
  <c r="H39" i="23"/>
  <c r="F40" i="23"/>
  <c r="H40" i="23"/>
  <c r="C39" i="23"/>
  <c r="C40" i="23"/>
  <c r="H40" i="18"/>
  <c r="H39" i="18"/>
  <c r="F40" i="18"/>
  <c r="F39" i="18"/>
  <c r="C39" i="18"/>
  <c r="C40" i="18"/>
  <c r="G39" i="18" l="1"/>
  <c r="G40" i="18"/>
  <c r="G40" i="23"/>
  <c r="H36" i="18"/>
  <c r="H37" i="18"/>
  <c r="H38" i="18"/>
  <c r="C36" i="18"/>
  <c r="C37" i="18"/>
  <c r="C38" i="18"/>
  <c r="F38" i="18"/>
  <c r="F37" i="18"/>
  <c r="F36" i="18"/>
  <c r="G36" i="18" s="1"/>
  <c r="H36" i="23"/>
  <c r="H37" i="23"/>
  <c r="H38" i="23"/>
  <c r="C36" i="23"/>
  <c r="C37" i="23"/>
  <c r="C38" i="23"/>
  <c r="F38" i="23"/>
  <c r="F37" i="23"/>
  <c r="F36" i="23"/>
  <c r="G36" i="23" l="1"/>
  <c r="G37" i="23"/>
  <c r="G37" i="18"/>
  <c r="G38" i="23"/>
  <c r="G38" i="18"/>
  <c r="F16" i="23" l="1"/>
  <c r="G16" i="23" s="1"/>
  <c r="H16" i="23"/>
  <c r="F17" i="23"/>
  <c r="H17" i="23"/>
  <c r="F18" i="23"/>
  <c r="G18" i="23" s="1"/>
  <c r="H18" i="23"/>
  <c r="F19" i="23"/>
  <c r="G19" i="23" s="1"/>
  <c r="H19" i="23"/>
  <c r="F20" i="23"/>
  <c r="G20" i="23" s="1"/>
  <c r="H20" i="23"/>
  <c r="F21" i="23"/>
  <c r="G21" i="23" s="1"/>
  <c r="H21" i="23"/>
  <c r="F22" i="23"/>
  <c r="G22" i="23" s="1"/>
  <c r="H22" i="23"/>
  <c r="F23" i="23"/>
  <c r="G23" i="23" s="1"/>
  <c r="H23" i="23"/>
  <c r="F24" i="23"/>
  <c r="G24" i="23" s="1"/>
  <c r="H24" i="23"/>
  <c r="F25" i="23"/>
  <c r="H25" i="23"/>
  <c r="F26" i="23"/>
  <c r="G26" i="23" s="1"/>
  <c r="H26" i="23"/>
  <c r="F27" i="23"/>
  <c r="G27" i="23" s="1"/>
  <c r="H27" i="23"/>
  <c r="F28" i="23"/>
  <c r="G28" i="23" s="1"/>
  <c r="H28" i="23"/>
  <c r="F29" i="23"/>
  <c r="G29" i="23" s="1"/>
  <c r="H29" i="23"/>
  <c r="F30" i="23"/>
  <c r="G30" i="23" s="1"/>
  <c r="H30" i="23"/>
  <c r="F31" i="23"/>
  <c r="H31" i="23"/>
  <c r="F32" i="23"/>
  <c r="H32" i="23"/>
  <c r="F33" i="23"/>
  <c r="H33" i="23"/>
  <c r="F34" i="23"/>
  <c r="G34" i="23" s="1"/>
  <c r="H34" i="23"/>
  <c r="F35" i="23"/>
  <c r="G35" i="23" s="1"/>
  <c r="H35" i="23"/>
  <c r="H11" i="23"/>
  <c r="H12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F16" i="18"/>
  <c r="G16" i="18" s="1"/>
  <c r="F17" i="18"/>
  <c r="G17" i="18" s="1"/>
  <c r="F18" i="18"/>
  <c r="F19" i="18"/>
  <c r="G19" i="18" s="1"/>
  <c r="F20" i="18"/>
  <c r="G20" i="18" s="1"/>
  <c r="F21" i="18"/>
  <c r="G21" i="18" s="1"/>
  <c r="F22" i="18"/>
  <c r="F23" i="18"/>
  <c r="G23" i="18" s="1"/>
  <c r="F24" i="18"/>
  <c r="G24" i="18" s="1"/>
  <c r="F25" i="18"/>
  <c r="G25" i="18" s="1"/>
  <c r="F26" i="18"/>
  <c r="F27" i="18"/>
  <c r="G27" i="18" s="1"/>
  <c r="F28" i="18"/>
  <c r="G28" i="18" s="1"/>
  <c r="F29" i="18"/>
  <c r="G29" i="18" s="1"/>
  <c r="F30" i="18"/>
  <c r="F31" i="18"/>
  <c r="G31" i="18" s="1"/>
  <c r="F32" i="18"/>
  <c r="G32" i="18" s="1"/>
  <c r="F33" i="18"/>
  <c r="G33" i="18" s="1"/>
  <c r="F34" i="18"/>
  <c r="F35" i="18"/>
  <c r="G35" i="18" s="1"/>
  <c r="H30" i="18"/>
  <c r="H31" i="18"/>
  <c r="H32" i="18"/>
  <c r="H33" i="18"/>
  <c r="H34" i="18"/>
  <c r="H35" i="18"/>
  <c r="H29" i="18"/>
  <c r="H28" i="18"/>
  <c r="H27" i="18"/>
  <c r="H26" i="18"/>
  <c r="H25" i="18"/>
  <c r="H24" i="18"/>
  <c r="H23" i="18"/>
  <c r="H22" i="18"/>
  <c r="H21" i="18"/>
  <c r="H15" i="23"/>
  <c r="F15" i="23"/>
  <c r="G15" i="23" s="1"/>
  <c r="C15" i="23"/>
  <c r="H14" i="23"/>
  <c r="F14" i="23"/>
  <c r="G14" i="23" s="1"/>
  <c r="C14" i="23"/>
  <c r="H13" i="23"/>
  <c r="F13" i="23"/>
  <c r="C13" i="23"/>
  <c r="F12" i="23"/>
  <c r="C12" i="23"/>
  <c r="F11" i="23"/>
  <c r="C11" i="23"/>
  <c r="H10" i="23"/>
  <c r="F10" i="23"/>
  <c r="C10" i="23"/>
  <c r="H9" i="23"/>
  <c r="F9" i="23"/>
  <c r="C9" i="23"/>
  <c r="H8" i="23"/>
  <c r="F8" i="23"/>
  <c r="G8" i="23" s="1"/>
  <c r="C8" i="23"/>
  <c r="H7" i="23"/>
  <c r="F7" i="23"/>
  <c r="G7" i="23" s="1"/>
  <c r="C7" i="23"/>
  <c r="H6" i="23"/>
  <c r="F6" i="23"/>
  <c r="G6" i="23" s="1"/>
  <c r="C6" i="23"/>
  <c r="A6" i="23"/>
  <c r="A7" i="23" s="1"/>
  <c r="A8" i="23" s="1"/>
  <c r="A9" i="23" s="1"/>
  <c r="A10" i="23" s="1"/>
  <c r="A11" i="23" s="1"/>
  <c r="A12" i="23" s="1"/>
  <c r="A13" i="23" s="1"/>
  <c r="A14" i="23" s="1"/>
  <c r="A15" i="23" s="1"/>
  <c r="H5" i="23"/>
  <c r="F5" i="23"/>
  <c r="C5" i="23"/>
  <c r="G4" i="23"/>
  <c r="A16" i="23" l="1"/>
  <c r="A17" i="23" s="1"/>
  <c r="A18" i="23" s="1"/>
  <c r="A19" i="23" s="1"/>
  <c r="A20" i="23" s="1"/>
  <c r="A21" i="23"/>
  <c r="G30" i="18"/>
  <c r="G22" i="18"/>
  <c r="G34" i="18"/>
  <c r="G18" i="18"/>
  <c r="G26" i="18"/>
  <c r="G31" i="23"/>
  <c r="G32" i="23"/>
  <c r="G33" i="23"/>
  <c r="G25" i="23"/>
  <c r="G17" i="23"/>
  <c r="G11" i="23"/>
  <c r="G5" i="23"/>
  <c r="G12" i="23"/>
  <c r="G10" i="23"/>
  <c r="I4" i="23"/>
  <c r="G9" i="23"/>
  <c r="G13" i="23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22" i="23" l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I33" i="23"/>
  <c r="J33" i="23" s="1"/>
  <c r="A16" i="18"/>
  <c r="A17" i="18" s="1"/>
  <c r="A18" i="18" s="1"/>
  <c r="A19" i="18" s="1"/>
  <c r="A20" i="18" s="1"/>
  <c r="A21" i="18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I9" i="23"/>
  <c r="J9" i="23" s="1"/>
  <c r="I42" i="23"/>
  <c r="J42" i="23" s="1"/>
  <c r="I41" i="23"/>
  <c r="J41" i="23" s="1"/>
  <c r="I39" i="23"/>
  <c r="J39" i="23" s="1"/>
  <c r="I40" i="23"/>
  <c r="J40" i="23" s="1"/>
  <c r="I36" i="23"/>
  <c r="J36" i="23" s="1"/>
  <c r="I37" i="23"/>
  <c r="J37" i="23" s="1"/>
  <c r="I38" i="23"/>
  <c r="J38" i="23" s="1"/>
  <c r="I18" i="23"/>
  <c r="J18" i="23" s="1"/>
  <c r="I24" i="23"/>
  <c r="J24" i="23" s="1"/>
  <c r="I30" i="23"/>
  <c r="J30" i="23" s="1"/>
  <c r="I12" i="23"/>
  <c r="J12" i="23" s="1"/>
  <c r="I19" i="23"/>
  <c r="J19" i="23" s="1"/>
  <c r="I20" i="23"/>
  <c r="J20" i="23" s="1"/>
  <c r="I29" i="23"/>
  <c r="J29" i="23" s="1"/>
  <c r="I34" i="23"/>
  <c r="J34" i="23" s="1"/>
  <c r="I22" i="23"/>
  <c r="J22" i="23" s="1"/>
  <c r="I10" i="23"/>
  <c r="J10" i="23" s="1"/>
  <c r="I27" i="23"/>
  <c r="J27" i="23" s="1"/>
  <c r="I17" i="23"/>
  <c r="J17" i="23" s="1"/>
  <c r="I28" i="23"/>
  <c r="J28" i="23" s="1"/>
  <c r="I21" i="23"/>
  <c r="J21" i="23" s="1"/>
  <c r="I35" i="23"/>
  <c r="J35" i="23" s="1"/>
  <c r="I23" i="23"/>
  <c r="J23" i="23" s="1"/>
  <c r="I31" i="23"/>
  <c r="J31" i="23" s="1"/>
  <c r="I25" i="23"/>
  <c r="J25" i="23" s="1"/>
  <c r="I16" i="23"/>
  <c r="J16" i="23" s="1"/>
  <c r="I26" i="23"/>
  <c r="J26" i="23" s="1"/>
  <c r="I32" i="23"/>
  <c r="J32" i="23" s="1"/>
  <c r="I5" i="23"/>
  <c r="J5" i="23" s="1"/>
  <c r="I11" i="23"/>
  <c r="J11" i="23" s="1"/>
  <c r="I8" i="23"/>
  <c r="J8" i="23" s="1"/>
  <c r="J4" i="23"/>
  <c r="I14" i="23"/>
  <c r="J14" i="23" s="1"/>
  <c r="I6" i="23"/>
  <c r="J6" i="23" s="1"/>
  <c r="I7" i="23"/>
  <c r="J7" i="23" s="1"/>
  <c r="I15" i="23"/>
  <c r="J15" i="23" s="1"/>
  <c r="I13" i="23"/>
  <c r="J13" i="23" s="1"/>
  <c r="H11" i="18" l="1"/>
  <c r="H12" i="18"/>
  <c r="H13" i="18"/>
  <c r="H14" i="18"/>
  <c r="H15" i="18"/>
  <c r="H16" i="18"/>
  <c r="H17" i="18"/>
  <c r="H18" i="18"/>
  <c r="H19" i="18"/>
  <c r="H20" i="18"/>
  <c r="F11" i="18"/>
  <c r="F12" i="18"/>
  <c r="G12" i="18" s="1"/>
  <c r="F13" i="18"/>
  <c r="G13" i="18" s="1"/>
  <c r="F14" i="18"/>
  <c r="G14" i="18" s="1"/>
  <c r="F15" i="18"/>
  <c r="G15" i="18" s="1"/>
  <c r="C11" i="18"/>
  <c r="C12" i="18"/>
  <c r="C13" i="18"/>
  <c r="C14" i="18"/>
  <c r="C15" i="18"/>
  <c r="G11" i="18" l="1"/>
  <c r="H10" i="18"/>
  <c r="F10" i="18"/>
  <c r="C10" i="18"/>
  <c r="H9" i="18"/>
  <c r="F9" i="18"/>
  <c r="G9" i="18" s="1"/>
  <c r="C9" i="18"/>
  <c r="H8" i="18"/>
  <c r="F8" i="18"/>
  <c r="G8" i="18" s="1"/>
  <c r="C8" i="18"/>
  <c r="H7" i="18"/>
  <c r="F7" i="18"/>
  <c r="C7" i="18"/>
  <c r="H6" i="18"/>
  <c r="F6" i="18"/>
  <c r="C6" i="18"/>
  <c r="H5" i="18"/>
  <c r="F5" i="18"/>
  <c r="C5" i="18"/>
  <c r="G4" i="18"/>
  <c r="G5" i="18" l="1"/>
  <c r="I4" i="18"/>
  <c r="G10" i="18"/>
  <c r="G7" i="18"/>
  <c r="G6" i="18"/>
  <c r="I42" i="18" l="1"/>
  <c r="J42" i="18" s="1"/>
  <c r="I41" i="18"/>
  <c r="J41" i="18" s="1"/>
  <c r="I39" i="18"/>
  <c r="J39" i="18" s="1"/>
  <c r="I40" i="18"/>
  <c r="J40" i="18" s="1"/>
  <c r="I38" i="18"/>
  <c r="J38" i="18" s="1"/>
  <c r="I36" i="18"/>
  <c r="J36" i="18" s="1"/>
  <c r="I37" i="18"/>
  <c r="J37" i="18" s="1"/>
  <c r="I21" i="18"/>
  <c r="J21" i="18" s="1"/>
  <c r="I29" i="18"/>
  <c r="J29" i="18" s="1"/>
  <c r="I34" i="18"/>
  <c r="J34" i="18" s="1"/>
  <c r="I17" i="18"/>
  <c r="J17" i="18" s="1"/>
  <c r="I30" i="18"/>
  <c r="J30" i="18" s="1"/>
  <c r="I26" i="18"/>
  <c r="J26" i="18" s="1"/>
  <c r="I32" i="18"/>
  <c r="J32" i="18" s="1"/>
  <c r="I22" i="18"/>
  <c r="J22" i="18" s="1"/>
  <c r="I18" i="18"/>
  <c r="J18" i="18" s="1"/>
  <c r="I24" i="18"/>
  <c r="J24" i="18" s="1"/>
  <c r="I28" i="18"/>
  <c r="J28" i="18" s="1"/>
  <c r="I16" i="18"/>
  <c r="J16" i="18" s="1"/>
  <c r="I20" i="18"/>
  <c r="J20" i="18" s="1"/>
  <c r="I35" i="18"/>
  <c r="J35" i="18" s="1"/>
  <c r="I19" i="18"/>
  <c r="J19" i="18" s="1"/>
  <c r="I27" i="18"/>
  <c r="J27" i="18" s="1"/>
  <c r="I33" i="18"/>
  <c r="J33" i="18" s="1"/>
  <c r="I31" i="18"/>
  <c r="J31" i="18" s="1"/>
  <c r="I25" i="18"/>
  <c r="J25" i="18" s="1"/>
  <c r="I23" i="18"/>
  <c r="J23" i="18" s="1"/>
  <c r="I11" i="18" l="1"/>
  <c r="J11" i="18" s="1"/>
  <c r="I15" i="18"/>
  <c r="J15" i="18" s="1"/>
  <c r="I12" i="18"/>
  <c r="J12" i="18" s="1"/>
  <c r="I13" i="18"/>
  <c r="J13" i="18" s="1"/>
  <c r="I14" i="18"/>
  <c r="J14" i="18" s="1"/>
  <c r="I7" i="18"/>
  <c r="J7" i="18" s="1"/>
  <c r="I9" i="18"/>
  <c r="J9" i="18" s="1"/>
  <c r="I6" i="18"/>
  <c r="J6" i="18" s="1"/>
  <c r="I8" i="18"/>
  <c r="J8" i="18" s="1"/>
  <c r="I10" i="18"/>
  <c r="J10" i="18" s="1"/>
  <c r="I5" i="18"/>
  <c r="J5" i="18" s="1"/>
  <c r="J4" i="18"/>
  <c r="D12" i="1" l="1"/>
  <c r="B8" i="1"/>
  <c r="B6" i="1"/>
</calcChain>
</file>

<file path=xl/sharedStrings.xml><?xml version="1.0" encoding="utf-8"?>
<sst xmlns="http://schemas.openxmlformats.org/spreadsheetml/2006/main" count="62" uniqueCount="34">
  <si>
    <t>S</t>
  </si>
  <si>
    <t>H</t>
  </si>
  <si>
    <t>H/S</t>
  </si>
  <si>
    <t>FOS_actual</t>
  </si>
  <si>
    <t>FOS_actual_corrected</t>
  </si>
  <si>
    <t>FOS=1</t>
  </si>
  <si>
    <t>FOS=1.1</t>
  </si>
  <si>
    <t>FOS=1.3</t>
  </si>
  <si>
    <t>FOS=1.4</t>
  </si>
  <si>
    <t>FOS=1.7</t>
  </si>
  <si>
    <t>TT</t>
  </si>
  <si>
    <t>Ngày đo</t>
  </si>
  <si>
    <t xml:space="preserve">Lũy kế thời gian </t>
  </si>
  <si>
    <t>(ngày)</t>
  </si>
  <si>
    <t>S (m)</t>
  </si>
  <si>
    <t>H (m)</t>
  </si>
  <si>
    <t>H(mm)</t>
  </si>
  <si>
    <t>Biểu đồ tính ổn định tại Km91+620 PT</t>
  </si>
  <si>
    <t>Ngày</t>
  </si>
  <si>
    <t>KM91+920 TRÁI</t>
  </si>
  <si>
    <t>KM91+920 PHẢI</t>
  </si>
  <si>
    <t>Δt</t>
    <phoneticPr fontId="2" type="noConversion"/>
  </si>
  <si>
    <t>d</t>
    <phoneticPr fontId="2" type="noConversion"/>
  </si>
  <si>
    <t>Δd</t>
  </si>
  <si>
    <t xml:space="preserve">Δd/Δt
</t>
  </si>
  <si>
    <t>0</t>
  </si>
  <si>
    <t>KM12+580 LEFT</t>
  </si>
  <si>
    <t>KM12+500 LEFT</t>
  </si>
  <si>
    <t>DAY</t>
  </si>
  <si>
    <t>d(m)</t>
  </si>
  <si>
    <t>d(cm)</t>
  </si>
  <si>
    <t>s(m)</t>
    <phoneticPr fontId="2" type="noConversion"/>
  </si>
  <si>
    <t>s(cm)</t>
    <phoneticPr fontId="2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</si>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</sst>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0.0000"/>
    <numFmt numFmtId="165" formatCode="_(* #,##0_);_(* \(#,##0\);_(* &quot;-&quot;??_);_(@_)"/>
    <numFmt numFmtId="166" formatCode="_(* #,##0.0_);_(* \(#,##0.0\);_(* &quot;-&quot;?_);_(@_)"/>
    <numFmt numFmtId="167" formatCode="0.00000"/>
    <numFmt numFmtId="168" formatCode="0.000"/>
    <numFmt numFmtId="169" formatCode="dd\.mm\.yyyy;@"/>
    <numFmt numFmtId="170" formatCode="yyyy&quot;-&quot;m&quot;-&quot;d"/>
    <numFmt numFmtId="171" formatCode="0.000_ "/>
    <numFmt numFmtId="172" formatCode="0_ "/>
    <numFmt numFmtId="173" formatCode="mm&quot;/&quot;dd&quot;/&quot;yy"/>
    <numFmt numFmtId="174" formatCode="0.0_ "/>
    <numFmt numFmtId="175" formatCode="yy&quot;/&quot;m&quot;/&quot;d"/>
    <numFmt numFmtId="176" formatCode="yy&quot;-&quot;m&quot;-&quot;d"/>
  </numFmts>
  <fonts count="25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Calibri"/>
      <family val="3"/>
      <charset val="129"/>
      <scheme val="minor"/>
    </font>
    <font>
      <sz val="13"/>
      <color rgb="FFFF0000"/>
      <name val="Times New Roman"/>
      <family val="1"/>
    </font>
    <font>
      <sz val="12"/>
      <name val="宋体"/>
      <charset val="134"/>
    </font>
    <font>
      <sz val="11"/>
      <name val="굴림체"/>
      <family val="3"/>
      <charset val="129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10"/>
      <name val="Times New Roman"/>
      <family val="1"/>
    </font>
    <font>
      <sz val="9"/>
      <name val="Times New Roman"/>
      <family val="1"/>
    </font>
    <font>
      <sz val="9"/>
      <color indexed="17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8"/>
      <name val="Times New Roman"/>
      <family val="1"/>
    </font>
    <font>
      <sz val="10"/>
      <color indexed="17"/>
      <name val="Times New Roman"/>
      <family val="1"/>
    </font>
    <font>
      <b/>
      <sz val="11"/>
      <color rgb="FFFF0000"/>
      <name val="굴림체"/>
    </font>
    <font>
      <b/>
      <sz val="10"/>
      <color indexed="8"/>
      <name val="굴림체"/>
      <family val="3"/>
      <charset val="129"/>
    </font>
    <font>
      <b/>
      <sz val="10"/>
      <color rgb="FFFF0000"/>
      <name val="Times New Roman"/>
      <family val="1"/>
    </font>
    <font>
      <b/>
      <sz val="11"/>
      <name val="굴림체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7" fillId="0" borderId="0"/>
    <xf numFmtId="0" fontId="9" fillId="0" borderId="0"/>
    <xf numFmtId="0" fontId="10" fillId="0" borderId="0"/>
  </cellStyleXfs>
  <cellXfs count="1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1" fillId="0" borderId="0" xfId="5" applyFont="1" applyAlignment="1">
      <alignment horizontal="center"/>
    </xf>
    <xf numFmtId="0" fontId="11" fillId="0" borderId="9" xfId="5" applyFont="1" applyBorder="1" applyAlignment="1">
      <alignment horizontal="center" vertical="center"/>
    </xf>
    <xf numFmtId="0" fontId="13" fillId="0" borderId="9" xfId="5" applyFont="1" applyBorder="1" applyAlignment="1">
      <alignment horizontal="center" vertical="center"/>
    </xf>
    <xf numFmtId="170" fontId="14" fillId="0" borderId="8" xfId="5" applyNumberFormat="1" applyFont="1" applyBorder="1" applyAlignment="1">
      <alignment horizontal="center" vertical="center"/>
    </xf>
    <xf numFmtId="49" fontId="14" fillId="0" borderId="10" xfId="5" applyNumberFormat="1" applyFont="1" applyBorder="1" applyAlignment="1">
      <alignment horizontal="center" vertical="center"/>
    </xf>
    <xf numFmtId="0" fontId="14" fillId="0" borderId="11" xfId="5" applyFont="1" applyBorder="1" applyAlignment="1">
      <alignment horizontal="center" vertical="center"/>
    </xf>
    <xf numFmtId="168" fontId="14" fillId="0" borderId="11" xfId="5" applyNumberFormat="1" applyFont="1" applyBorder="1" applyAlignment="1">
      <alignment horizontal="center" vertical="center"/>
    </xf>
    <xf numFmtId="0" fontId="14" fillId="0" borderId="12" xfId="5" applyFont="1" applyBorder="1" applyAlignment="1">
      <alignment horizontal="center" vertical="center"/>
    </xf>
    <xf numFmtId="0" fontId="14" fillId="0" borderId="10" xfId="5" applyFont="1" applyBorder="1" applyAlignment="1">
      <alignment horizontal="center" vertical="center"/>
    </xf>
    <xf numFmtId="0" fontId="14" fillId="0" borderId="13" xfId="5" applyFont="1" applyBorder="1" applyAlignment="1">
      <alignment horizontal="center" vertical="center"/>
    </xf>
    <xf numFmtId="49" fontId="14" fillId="0" borderId="14" xfId="5" applyNumberFormat="1" applyFont="1" applyBorder="1" applyAlignment="1">
      <alignment horizontal="center" vertical="center"/>
    </xf>
    <xf numFmtId="164" fontId="14" fillId="0" borderId="15" xfId="5" applyNumberFormat="1" applyFont="1" applyBorder="1" applyAlignment="1">
      <alignment horizontal="center" vertical="center"/>
    </xf>
    <xf numFmtId="171" fontId="14" fillId="0" borderId="16" xfId="5" applyNumberFormat="1" applyFont="1" applyBorder="1" applyAlignment="1">
      <alignment horizontal="center" vertical="center"/>
    </xf>
    <xf numFmtId="0" fontId="14" fillId="0" borderId="15" xfId="5" applyFont="1" applyBorder="1" applyAlignment="1">
      <alignment horizontal="center" vertical="center"/>
    </xf>
    <xf numFmtId="171" fontId="14" fillId="0" borderId="17" xfId="5" applyNumberFormat="1" applyFont="1" applyBorder="1" applyAlignment="1">
      <alignment horizontal="center" vertical="center"/>
    </xf>
    <xf numFmtId="172" fontId="14" fillId="0" borderId="14" xfId="5" applyNumberFormat="1" applyFont="1" applyBorder="1" applyAlignment="1">
      <alignment horizontal="center" vertical="center"/>
    </xf>
    <xf numFmtId="171" fontId="15" fillId="0" borderId="16" xfId="5" applyNumberFormat="1" applyFont="1" applyBorder="1" applyAlignment="1">
      <alignment horizontal="center" vertical="center"/>
    </xf>
    <xf numFmtId="164" fontId="14" fillId="0" borderId="17" xfId="5" applyNumberFormat="1" applyFont="1" applyBorder="1" applyAlignment="1">
      <alignment horizontal="center" vertical="center"/>
    </xf>
    <xf numFmtId="164" fontId="14" fillId="0" borderId="16" xfId="5" applyNumberFormat="1" applyFont="1" applyBorder="1" applyAlignment="1">
      <alignment horizontal="center" vertical="center"/>
    </xf>
    <xf numFmtId="0" fontId="11" fillId="0" borderId="0" xfId="5" applyFont="1" applyAlignment="1">
      <alignment horizontal="center" shrinkToFit="1"/>
    </xf>
    <xf numFmtId="0" fontId="16" fillId="0" borderId="0" xfId="5" applyFont="1" applyAlignment="1">
      <alignment horizontal="center"/>
    </xf>
    <xf numFmtId="172" fontId="15" fillId="0" borderId="16" xfId="5" applyNumberFormat="1" applyFont="1" applyBorder="1" applyAlignment="1">
      <alignment horizontal="center" vertical="center"/>
    </xf>
    <xf numFmtId="172" fontId="14" fillId="0" borderId="0" xfId="5" applyNumberFormat="1" applyFont="1" applyAlignment="1">
      <alignment horizontal="center" vertical="center"/>
    </xf>
    <xf numFmtId="0" fontId="14" fillId="0" borderId="0" xfId="5" applyFont="1" applyAlignment="1">
      <alignment horizontal="center" vertical="center"/>
    </xf>
    <xf numFmtId="171" fontId="14" fillId="0" borderId="0" xfId="5" applyNumberFormat="1" applyFont="1" applyAlignment="1">
      <alignment horizontal="center" vertical="center"/>
    </xf>
    <xf numFmtId="170" fontId="14" fillId="0" borderId="18" xfId="5" applyNumberFormat="1" applyFont="1" applyBorder="1" applyAlignment="1">
      <alignment horizontal="center" vertical="center"/>
    </xf>
    <xf numFmtId="49" fontId="14" fillId="0" borderId="19" xfId="5" applyNumberFormat="1" applyFont="1" applyBorder="1" applyAlignment="1">
      <alignment horizontal="center" vertical="center"/>
    </xf>
    <xf numFmtId="0" fontId="14" fillId="0" borderId="20" xfId="5" applyFont="1" applyBorder="1" applyAlignment="1">
      <alignment horizontal="center" vertical="center"/>
    </xf>
    <xf numFmtId="172" fontId="15" fillId="0" borderId="21" xfId="5" applyNumberFormat="1" applyFont="1" applyBorder="1" applyAlignment="1">
      <alignment horizontal="center" vertical="center"/>
    </xf>
    <xf numFmtId="173" fontId="14" fillId="0" borderId="22" xfId="5" applyNumberFormat="1" applyFont="1" applyBorder="1" applyAlignment="1">
      <alignment horizontal="center" vertical="center"/>
    </xf>
    <xf numFmtId="174" fontId="14" fillId="0" borderId="23" xfId="5" applyNumberFormat="1" applyFont="1" applyBorder="1" applyAlignment="1">
      <alignment horizontal="center" vertical="center"/>
    </xf>
    <xf numFmtId="49" fontId="14" fillId="0" borderId="24" xfId="5" applyNumberFormat="1" applyFont="1" applyBorder="1" applyAlignment="1">
      <alignment horizontal="center" vertical="center"/>
    </xf>
    <xf numFmtId="0" fontId="14" fillId="0" borderId="2" xfId="5" applyFont="1" applyBorder="1" applyAlignment="1">
      <alignment horizontal="center" vertical="center"/>
    </xf>
    <xf numFmtId="174" fontId="19" fillId="0" borderId="1" xfId="5" applyNumberFormat="1" applyFont="1" applyBorder="1" applyAlignment="1">
      <alignment horizontal="center" vertical="center"/>
    </xf>
    <xf numFmtId="174" fontId="14" fillId="0" borderId="1" xfId="5" applyNumberFormat="1" applyFont="1" applyBorder="1" applyAlignment="1">
      <alignment horizontal="center" vertical="center"/>
    </xf>
    <xf numFmtId="174" fontId="14" fillId="0" borderId="25" xfId="5" applyNumberFormat="1" applyFont="1" applyBorder="1" applyAlignment="1">
      <alignment horizontal="center" vertical="center"/>
    </xf>
    <xf numFmtId="171" fontId="15" fillId="0" borderId="26" xfId="5" applyNumberFormat="1" applyFont="1" applyBorder="1" applyAlignment="1">
      <alignment horizontal="center" vertical="center"/>
    </xf>
    <xf numFmtId="0" fontId="14" fillId="0" borderId="0" xfId="5" applyFont="1" applyAlignment="1">
      <alignment horizontal="center"/>
    </xf>
    <xf numFmtId="174" fontId="14" fillId="0" borderId="27" xfId="5" applyNumberFormat="1" applyFont="1" applyBorder="1" applyAlignment="1">
      <alignment horizontal="center" vertical="center"/>
    </xf>
    <xf numFmtId="171" fontId="20" fillId="0" borderId="26" xfId="5" applyNumberFormat="1" applyFont="1" applyBorder="1" applyAlignment="1">
      <alignment horizontal="center" vertical="center"/>
    </xf>
    <xf numFmtId="49" fontId="14" fillId="0" borderId="2" xfId="5" applyNumberFormat="1" applyFont="1" applyBorder="1" applyAlignment="1">
      <alignment horizontal="center" vertical="center"/>
    </xf>
    <xf numFmtId="0" fontId="14" fillId="0" borderId="1" xfId="5" applyFont="1" applyBorder="1" applyAlignment="1">
      <alignment horizontal="center" vertical="center"/>
    </xf>
    <xf numFmtId="172" fontId="14" fillId="0" borderId="1" xfId="5" applyNumberFormat="1" applyFont="1" applyBorder="1" applyAlignment="1">
      <alignment horizontal="center" vertical="center"/>
    </xf>
    <xf numFmtId="174" fontId="14" fillId="0" borderId="28" xfId="5" applyNumberFormat="1" applyFont="1" applyBorder="1" applyAlignment="1">
      <alignment horizontal="center" vertical="center"/>
    </xf>
    <xf numFmtId="49" fontId="14" fillId="0" borderId="29" xfId="5" applyNumberFormat="1" applyFont="1" applyBorder="1" applyAlignment="1">
      <alignment horizontal="center" vertical="center"/>
    </xf>
    <xf numFmtId="174" fontId="19" fillId="0" borderId="30" xfId="5" applyNumberFormat="1" applyFont="1" applyBorder="1" applyAlignment="1">
      <alignment horizontal="center" vertical="center"/>
    </xf>
    <xf numFmtId="0" fontId="14" fillId="0" borderId="30" xfId="5" applyFont="1" applyBorder="1" applyAlignment="1">
      <alignment horizontal="center" vertical="center"/>
    </xf>
    <xf numFmtId="172" fontId="14" fillId="0" borderId="30" xfId="5" applyNumberFormat="1" applyFont="1" applyBorder="1" applyAlignment="1">
      <alignment horizontal="center" vertical="center"/>
    </xf>
    <xf numFmtId="49" fontId="14" fillId="0" borderId="0" xfId="5" applyNumberFormat="1" applyFont="1" applyAlignment="1">
      <alignment horizontal="center" vertical="center"/>
    </xf>
    <xf numFmtId="174" fontId="19" fillId="0" borderId="0" xfId="5" applyNumberFormat="1" applyFont="1" applyAlignment="1">
      <alignment horizontal="center" vertical="center"/>
    </xf>
    <xf numFmtId="175" fontId="14" fillId="0" borderId="0" xfId="5" applyNumberFormat="1" applyFont="1" applyAlignment="1">
      <alignment horizontal="center" vertical="center"/>
    </xf>
    <xf numFmtId="174" fontId="14" fillId="0" borderId="0" xfId="5" applyNumberFormat="1" applyFont="1" applyAlignment="1">
      <alignment horizontal="center" vertical="center"/>
    </xf>
    <xf numFmtId="0" fontId="10" fillId="0" borderId="0" xfId="5"/>
    <xf numFmtId="0" fontId="21" fillId="0" borderId="0" xfId="5" applyFont="1" applyAlignment="1">
      <alignment vertical="center"/>
    </xf>
    <xf numFmtId="0" fontId="22" fillId="0" borderId="0" xfId="5" applyFont="1" applyAlignment="1">
      <alignment horizontal="justify"/>
    </xf>
    <xf numFmtId="0" fontId="24" fillId="0" borderId="0" xfId="5" applyFont="1" applyAlignment="1">
      <alignment vertical="center"/>
    </xf>
    <xf numFmtId="176" fontId="10" fillId="0" borderId="0" xfId="5" applyNumberFormat="1"/>
    <xf numFmtId="0" fontId="12" fillId="0" borderId="5" xfId="5" applyFont="1" applyBorder="1" applyAlignment="1">
      <alignment horizontal="center" vertical="center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8" fillId="0" borderId="0" xfId="5" applyFont="1" applyAlignment="1">
      <alignment horizontal="center"/>
    </xf>
    <xf numFmtId="0" fontId="11" fillId="0" borderId="4" xfId="5" applyFont="1" applyBorder="1" applyAlignment="1">
      <alignment horizontal="center" vertical="center"/>
    </xf>
    <xf numFmtId="0" fontId="11" fillId="0" borderId="8" xfId="5" applyFont="1" applyBorder="1" applyAlignment="1">
      <alignment horizontal="center" vertical="center"/>
    </xf>
    <xf numFmtId="0" fontId="21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/>
    </xf>
    <xf numFmtId="0" fontId="16" fillId="0" borderId="0" xfId="5" applyFont="1" applyFill="1" applyAlignment="1">
      <alignment horizontal="center"/>
    </xf>
    <xf numFmtId="49" fontId="16" fillId="0" borderId="0" xfId="5" applyNumberFormat="1" applyFont="1" applyFill="1" applyAlignment="1">
      <alignment horizontal="center"/>
    </xf>
    <xf numFmtId="172" fontId="16" fillId="0" borderId="0" xfId="5" applyNumberFormat="1" applyFont="1" applyFill="1" applyAlignment="1">
      <alignment horizontal="center"/>
    </xf>
    <xf numFmtId="0" fontId="11" fillId="0" borderId="0" xfId="5" applyFont="1" applyFill="1" applyAlignment="1">
      <alignment horizontal="center"/>
    </xf>
    <xf numFmtId="0" fontId="16" fillId="0" borderId="0" xfId="5" applyFont="1" applyFill="1" applyAlignment="1">
      <alignment horizontal="center" vertical="center"/>
    </xf>
    <xf numFmtId="168" fontId="16" fillId="0" borderId="1" xfId="5" applyNumberFormat="1" applyFont="1" applyFill="1" applyBorder="1" applyAlignment="1">
      <alignment horizontal="center"/>
    </xf>
    <xf numFmtId="174" fontId="16" fillId="0" borderId="0" xfId="5" applyNumberFormat="1" applyFont="1" applyFill="1" applyAlignment="1">
      <alignment horizontal="center"/>
    </xf>
    <xf numFmtId="0" fontId="23" fillId="0" borderId="1" xfId="5" applyFont="1" applyFill="1" applyBorder="1" applyAlignment="1">
      <alignment horizontal="center" vertical="center"/>
    </xf>
    <xf numFmtId="49" fontId="23" fillId="0" borderId="1" xfId="5" applyNumberFormat="1" applyFont="1" applyFill="1" applyBorder="1" applyAlignment="1">
      <alignment horizontal="center" vertical="center"/>
    </xf>
    <xf numFmtId="0" fontId="16" fillId="0" borderId="1" xfId="5" applyFont="1" applyFill="1" applyBorder="1" applyAlignment="1">
      <alignment horizontal="center"/>
    </xf>
    <xf numFmtId="0" fontId="16" fillId="0" borderId="1" xfId="5" applyFont="1" applyFill="1" applyBorder="1" applyAlignment="1">
      <alignment horizontal="center" vertical="center"/>
    </xf>
    <xf numFmtId="175" fontId="16" fillId="0" borderId="1" xfId="5" applyNumberFormat="1" applyFont="1" applyFill="1" applyBorder="1" applyAlignment="1">
      <alignment horizontal="center"/>
    </xf>
    <xf numFmtId="164" fontId="16" fillId="0" borderId="1" xfId="5" applyNumberFormat="1" applyFont="1" applyFill="1" applyBorder="1" applyAlignment="1">
      <alignment horizontal="center"/>
    </xf>
    <xf numFmtId="168" fontId="14" fillId="0" borderId="1" xfId="5" applyNumberFormat="1" applyFont="1" applyFill="1" applyBorder="1" applyAlignment="1">
      <alignment horizontal="center"/>
    </xf>
    <xf numFmtId="171" fontId="16" fillId="0" borderId="1" xfId="5" applyNumberFormat="1" applyFont="1" applyFill="1" applyBorder="1" applyAlignment="1">
      <alignment horizontal="center"/>
    </xf>
    <xf numFmtId="167" fontId="16" fillId="0" borderId="1" xfId="5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/>
    <xf numFmtId="0" fontId="4" fillId="0" borderId="1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168" fontId="8" fillId="0" borderId="1" xfId="0" applyNumberFormat="1" applyFont="1" applyFill="1" applyBorder="1" applyAlignment="1">
      <alignment horizontal="center" vertical="center"/>
    </xf>
    <xf numFmtId="168" fontId="8" fillId="0" borderId="1" xfId="0" applyNumberFormat="1" applyFont="1" applyFill="1" applyBorder="1"/>
    <xf numFmtId="0" fontId="4" fillId="0" borderId="1" xfId="2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68" fontId="5" fillId="0" borderId="1" xfId="0" applyNumberFormat="1" applyFont="1" applyFill="1" applyBorder="1"/>
    <xf numFmtId="165" fontId="5" fillId="0" borderId="0" xfId="1" applyNumberFormat="1" applyFont="1" applyFill="1"/>
    <xf numFmtId="166" fontId="5" fillId="0" borderId="0" xfId="0" applyNumberFormat="1" applyFont="1" applyFill="1"/>
    <xf numFmtId="43" fontId="5" fillId="0" borderId="0" xfId="0" applyNumberFormat="1" applyFont="1" applyFill="1"/>
    <xf numFmtId="164" fontId="5" fillId="0" borderId="2" xfId="0" applyNumberFormat="1" applyFont="1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168" fontId="5" fillId="0" borderId="0" xfId="0" applyNumberFormat="1" applyFont="1" applyFill="1"/>
    <xf numFmtId="168" fontId="4" fillId="0" borderId="2" xfId="0" applyNumberFormat="1" applyFont="1" applyFill="1" applyBorder="1" applyAlignment="1">
      <alignment horizontal="center" vertical="center"/>
    </xf>
    <xf numFmtId="168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8" fontId="4" fillId="0" borderId="1" xfId="0" applyNumberFormat="1" applyFont="1" applyFill="1" applyBorder="1"/>
    <xf numFmtId="168" fontId="8" fillId="0" borderId="2" xfId="0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8" fontId="5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164" fontId="5" fillId="0" borderId="3" xfId="0" applyNumberFormat="1" applyFont="1" applyFill="1" applyBorder="1" applyAlignment="1">
      <alignment horizontal="center" vertical="center"/>
    </xf>
    <xf numFmtId="164" fontId="8" fillId="0" borderId="2" xfId="0" quotePrefix="1" applyNumberFormat="1" applyFont="1" applyFill="1" applyBorder="1" applyAlignment="1">
      <alignment horizontal="center" vertical="center"/>
    </xf>
    <xf numFmtId="164" fontId="8" fillId="0" borderId="1" xfId="0" quotePrefix="1" applyNumberFormat="1" applyFont="1" applyFill="1" applyBorder="1" applyAlignment="1">
      <alignment horizontal="center" vertical="center"/>
    </xf>
    <xf numFmtId="169" fontId="5" fillId="0" borderId="0" xfId="0" applyNumberFormat="1" applyFont="1" applyFill="1"/>
    <xf numFmtId="14" fontId="5" fillId="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3" xr:uid="{BF9EBC61-98B1-409E-B684-6216A5BEF816}"/>
    <cellStyle name="Normal 3" xfId="4" xr:uid="{A867A569-F193-44CC-A520-B1235E46E82C}"/>
    <cellStyle name="Normal 4" xfId="5" xr:uid="{CC537376-852E-43DF-8F84-E292C139FC17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vi-VN" sz="1500">
                <a:latin typeface="Times New Roman" panose="02020603050405020304" pitchFamily="18" charset="0"/>
                <a:cs typeface="Times New Roman" panose="02020603050405020304" pitchFamily="18" charset="0"/>
              </a:rPr>
              <a:t>Km9</a:t>
            </a:r>
            <a:r>
              <a:rPr lang="en-US" sz="1500">
                <a:latin typeface="Times New Roman" panose="02020603050405020304" pitchFamily="18" charset="0"/>
                <a:cs typeface="Times New Roman" panose="02020603050405020304" pitchFamily="18" charset="0"/>
              </a:rPr>
              <a:t>1+</a:t>
            </a:r>
            <a:r>
              <a:rPr lang="vi-VN" sz="1500">
                <a:latin typeface="Times New Roman" panose="02020603050405020304" pitchFamily="18" charset="0"/>
                <a:cs typeface="Times New Roman" panose="02020603050405020304" pitchFamily="18" charset="0"/>
              </a:rPr>
              <a:t>92</a:t>
            </a:r>
            <a:r>
              <a:rPr lang="en-US" sz="1500">
                <a:latin typeface="Times New Roman" panose="02020603050405020304" pitchFamily="18" charset="0"/>
                <a:cs typeface="Times New Roman" panose="02020603050405020304" pitchFamily="18" charset="0"/>
              </a:rPr>
              <a:t>0 TT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431244470620704"/>
          <c:y val="8.1835059977497321E-2"/>
          <c:w val="0.85789334742112056"/>
          <c:h val="0.826880245985226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pp!$B$1</c:f>
              <c:strCache>
                <c:ptCount val="1"/>
                <c:pt idx="0">
                  <c:v>FOS=1</c:v>
                </c:pt>
              </c:strCache>
            </c:strRef>
          </c:tx>
          <c:marker>
            <c:symbol val="none"/>
          </c:marker>
          <c:xVal>
            <c:numRef>
              <c:f>pp!$A$2:$A$31</c:f>
              <c:numCache>
                <c:formatCode>General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1.5</c:v>
                </c:pt>
              </c:numCache>
            </c:numRef>
          </c:xVal>
          <c:yVal>
            <c:numRef>
              <c:f>pp!$B$2:$B$31</c:f>
              <c:numCache>
                <c:formatCode>General</c:formatCode>
                <c:ptCount val="30"/>
                <c:pt idx="2">
                  <c:v>3.6</c:v>
                </c:pt>
                <c:pt idx="3">
                  <c:v>3.25</c:v>
                </c:pt>
                <c:pt idx="4">
                  <c:v>2.875</c:v>
                </c:pt>
                <c:pt idx="5">
                  <c:v>2.5499999999999998</c:v>
                </c:pt>
                <c:pt idx="6">
                  <c:v>2.2999999999999998</c:v>
                </c:pt>
                <c:pt idx="7">
                  <c:v>2.0499999999999998</c:v>
                </c:pt>
                <c:pt idx="8">
                  <c:v>1.875</c:v>
                </c:pt>
                <c:pt idx="9">
                  <c:v>1.73</c:v>
                </c:pt>
                <c:pt idx="10">
                  <c:v>1.6</c:v>
                </c:pt>
                <c:pt idx="11">
                  <c:v>1.45</c:v>
                </c:pt>
                <c:pt idx="12">
                  <c:v>1.33</c:v>
                </c:pt>
                <c:pt idx="13">
                  <c:v>1.2</c:v>
                </c:pt>
                <c:pt idx="14">
                  <c:v>1.1000000000000001</c:v>
                </c:pt>
                <c:pt idx="15">
                  <c:v>1.0149999999999999</c:v>
                </c:pt>
                <c:pt idx="16">
                  <c:v>0.95</c:v>
                </c:pt>
                <c:pt idx="17">
                  <c:v>0.87</c:v>
                </c:pt>
                <c:pt idx="18">
                  <c:v>0.81499999999999995</c:v>
                </c:pt>
                <c:pt idx="19">
                  <c:v>0.77500000000000002</c:v>
                </c:pt>
                <c:pt idx="20">
                  <c:v>0.745</c:v>
                </c:pt>
                <c:pt idx="21">
                  <c:v>0.72499999999999998</c:v>
                </c:pt>
                <c:pt idx="22">
                  <c:v>0.69499999999999995</c:v>
                </c:pt>
                <c:pt idx="23">
                  <c:v>0.66800000000000004</c:v>
                </c:pt>
                <c:pt idx="24">
                  <c:v>0.65</c:v>
                </c:pt>
                <c:pt idx="25">
                  <c:v>0.63</c:v>
                </c:pt>
                <c:pt idx="26">
                  <c:v>0.6</c:v>
                </c:pt>
                <c:pt idx="27">
                  <c:v>0.57999999999999996</c:v>
                </c:pt>
                <c:pt idx="28">
                  <c:v>0.55000000000000004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51-4353-AE66-87307D13A63F}"/>
            </c:ext>
          </c:extLst>
        </c:ser>
        <c:ser>
          <c:idx val="1"/>
          <c:order val="1"/>
          <c:tx>
            <c:v>FOS=1.11</c:v>
          </c:tx>
          <c:marker>
            <c:symbol val="square"/>
            <c:size val="5"/>
          </c:marker>
          <c:xVal>
            <c:numRef>
              <c:f>pp!$C$2:$C$31</c:f>
              <c:numCache>
                <c:formatCode>General</c:formatCode>
                <c:ptCount val="30"/>
                <c:pt idx="0">
                  <c:v>0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1.5</c:v>
                </c:pt>
              </c:numCache>
            </c:numRef>
          </c:xVal>
          <c:yVal>
            <c:numRef>
              <c:f>pp!$D$2:$D$31</c:f>
              <c:numCache>
                <c:formatCode>General</c:formatCode>
                <c:ptCount val="30"/>
                <c:pt idx="1">
                  <c:v>2.7</c:v>
                </c:pt>
                <c:pt idx="2">
                  <c:v>2.2999999999999998</c:v>
                </c:pt>
                <c:pt idx="3">
                  <c:v>1.77</c:v>
                </c:pt>
                <c:pt idx="4">
                  <c:v>1.45</c:v>
                </c:pt>
                <c:pt idx="5">
                  <c:v>1.31</c:v>
                </c:pt>
                <c:pt idx="6">
                  <c:v>1.2</c:v>
                </c:pt>
                <c:pt idx="7">
                  <c:v>1.115</c:v>
                </c:pt>
                <c:pt idx="8">
                  <c:v>1.03</c:v>
                </c:pt>
                <c:pt idx="9">
                  <c:v>0.96499999999999997</c:v>
                </c:pt>
                <c:pt idx="10">
                  <c:v>0.875</c:v>
                </c:pt>
                <c:pt idx="11">
                  <c:v>0.83</c:v>
                </c:pt>
                <c:pt idx="12">
                  <c:v>0.78</c:v>
                </c:pt>
                <c:pt idx="13">
                  <c:v>0.74</c:v>
                </c:pt>
                <c:pt idx="14">
                  <c:v>0.7</c:v>
                </c:pt>
                <c:pt idx="15">
                  <c:v>0.66500000000000004</c:v>
                </c:pt>
                <c:pt idx="16">
                  <c:v>0.64500000000000002</c:v>
                </c:pt>
                <c:pt idx="17">
                  <c:v>0.61499999999999999</c:v>
                </c:pt>
                <c:pt idx="18">
                  <c:v>0.57999999999999996</c:v>
                </c:pt>
                <c:pt idx="19">
                  <c:v>0.53500000000000003</c:v>
                </c:pt>
                <c:pt idx="20">
                  <c:v>0.52</c:v>
                </c:pt>
                <c:pt idx="21">
                  <c:v>0.496</c:v>
                </c:pt>
                <c:pt idx="22">
                  <c:v>0.47499999999999998</c:v>
                </c:pt>
                <c:pt idx="23">
                  <c:v>0.45500000000000002</c:v>
                </c:pt>
                <c:pt idx="24">
                  <c:v>0.42</c:v>
                </c:pt>
                <c:pt idx="25">
                  <c:v>0.4</c:v>
                </c:pt>
                <c:pt idx="26">
                  <c:v>0.38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51-4353-AE66-87307D13A63F}"/>
            </c:ext>
          </c:extLst>
        </c:ser>
        <c:ser>
          <c:idx val="2"/>
          <c:order val="2"/>
          <c:tx>
            <c:v>FOS=1.25</c:v>
          </c:tx>
          <c:marker>
            <c:symbol val="circle"/>
            <c:size val="5"/>
          </c:marker>
          <c:xVal>
            <c:numRef>
              <c:f>pp!$E$2:$E$31</c:f>
              <c:numCache>
                <c:formatCode>General</c:formatCode>
                <c:ptCount val="30"/>
                <c:pt idx="0">
                  <c:v>0</c:v>
                </c:pt>
                <c:pt idx="1">
                  <c:v>7.5999999999999998E-2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1.23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1.5</c:v>
                </c:pt>
              </c:numCache>
            </c:numRef>
          </c:xVal>
          <c:yVal>
            <c:numRef>
              <c:f>pp!$F$2:$F$31</c:f>
              <c:numCache>
                <c:formatCode>General</c:formatCode>
                <c:ptCount val="30"/>
                <c:pt idx="1">
                  <c:v>2.2999999999999998</c:v>
                </c:pt>
                <c:pt idx="2">
                  <c:v>1.4</c:v>
                </c:pt>
                <c:pt idx="3">
                  <c:v>1.01</c:v>
                </c:pt>
                <c:pt idx="4">
                  <c:v>0.8</c:v>
                </c:pt>
                <c:pt idx="5">
                  <c:v>0.7</c:v>
                </c:pt>
                <c:pt idx="6">
                  <c:v>0.62</c:v>
                </c:pt>
                <c:pt idx="7">
                  <c:v>0.56200000000000006</c:v>
                </c:pt>
                <c:pt idx="8">
                  <c:v>0.5</c:v>
                </c:pt>
                <c:pt idx="9">
                  <c:v>0.46</c:v>
                </c:pt>
                <c:pt idx="10">
                  <c:v>0.42499999999999999</c:v>
                </c:pt>
                <c:pt idx="11">
                  <c:v>0.39500000000000002</c:v>
                </c:pt>
                <c:pt idx="12">
                  <c:v>0.38</c:v>
                </c:pt>
                <c:pt idx="13">
                  <c:v>0.372</c:v>
                </c:pt>
                <c:pt idx="14">
                  <c:v>0.36</c:v>
                </c:pt>
                <c:pt idx="15">
                  <c:v>0.35099999999999998</c:v>
                </c:pt>
                <c:pt idx="16">
                  <c:v>0.33500000000000002</c:v>
                </c:pt>
                <c:pt idx="17">
                  <c:v>0.315</c:v>
                </c:pt>
                <c:pt idx="18">
                  <c:v>0.29499999999999998</c:v>
                </c:pt>
                <c:pt idx="19">
                  <c:v>0.28599999999999998</c:v>
                </c:pt>
                <c:pt idx="20">
                  <c:v>0.28199999999999997</c:v>
                </c:pt>
                <c:pt idx="21">
                  <c:v>0.27</c:v>
                </c:pt>
                <c:pt idx="22">
                  <c:v>0.27200000000000002</c:v>
                </c:pt>
                <c:pt idx="23">
                  <c:v>0.26800000000000002</c:v>
                </c:pt>
                <c:pt idx="24">
                  <c:v>0.252</c:v>
                </c:pt>
                <c:pt idx="25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51-4353-AE66-87307D13A63F}"/>
            </c:ext>
          </c:extLst>
        </c:ser>
        <c:ser>
          <c:idx val="3"/>
          <c:order val="3"/>
          <c:tx>
            <c:v>FOS=1.43</c:v>
          </c:tx>
          <c:marker>
            <c:symbol val="triangle"/>
            <c:size val="4"/>
          </c:marker>
          <c:xVal>
            <c:numRef>
              <c:f>pp!$G$2:$G$31</c:f>
              <c:numCache>
                <c:formatCode>General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1.5</c:v>
                </c:pt>
              </c:numCache>
            </c:numRef>
          </c:xVal>
          <c:yVal>
            <c:numRef>
              <c:f>pp!$H$2:$H$31</c:f>
              <c:numCache>
                <c:formatCode>General</c:formatCode>
                <c:ptCount val="30"/>
                <c:pt idx="1">
                  <c:v>1.4</c:v>
                </c:pt>
                <c:pt idx="2">
                  <c:v>0.75</c:v>
                </c:pt>
                <c:pt idx="3">
                  <c:v>0.56999999999999995</c:v>
                </c:pt>
                <c:pt idx="4">
                  <c:v>0.45</c:v>
                </c:pt>
                <c:pt idx="5">
                  <c:v>0.4</c:v>
                </c:pt>
                <c:pt idx="6">
                  <c:v>0.36499999999999999</c:v>
                </c:pt>
                <c:pt idx="7">
                  <c:v>0.33</c:v>
                </c:pt>
                <c:pt idx="8">
                  <c:v>0.3</c:v>
                </c:pt>
                <c:pt idx="9">
                  <c:v>0.26</c:v>
                </c:pt>
                <c:pt idx="10">
                  <c:v>0.24</c:v>
                </c:pt>
                <c:pt idx="11">
                  <c:v>0.23</c:v>
                </c:pt>
                <c:pt idx="12">
                  <c:v>0.222</c:v>
                </c:pt>
                <c:pt idx="13">
                  <c:v>0.21</c:v>
                </c:pt>
                <c:pt idx="14">
                  <c:v>0.20200000000000001</c:v>
                </c:pt>
                <c:pt idx="15">
                  <c:v>0.19500000000000001</c:v>
                </c:pt>
                <c:pt idx="16">
                  <c:v>0.191</c:v>
                </c:pt>
                <c:pt idx="17">
                  <c:v>0.189</c:v>
                </c:pt>
                <c:pt idx="18">
                  <c:v>0.185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651-4353-AE66-87307D13A63F}"/>
            </c:ext>
          </c:extLst>
        </c:ser>
        <c:ser>
          <c:idx val="9"/>
          <c:order val="4"/>
          <c:tx>
            <c:v>FOS=1.67</c:v>
          </c:tx>
          <c:spPr>
            <a:ln>
              <a:solidFill>
                <a:srgbClr val="002060"/>
              </a:solidFill>
            </a:ln>
          </c:spPr>
          <c:marker>
            <c:symbol val="diamond"/>
            <c:size val="5"/>
            <c:spPr>
              <a:ln>
                <a:solidFill>
                  <a:srgbClr val="002060"/>
                </a:solidFill>
              </a:ln>
            </c:spPr>
          </c:marker>
          <c:xVal>
            <c:numRef>
              <c:f>pp!$I$2:$I$31</c:f>
              <c:numCache>
                <c:formatCode>General</c:formatCode>
                <c:ptCount val="30"/>
                <c:pt idx="0">
                  <c:v>0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1.5</c:v>
                </c:pt>
              </c:numCache>
            </c:numRef>
          </c:xVal>
          <c:yVal>
            <c:numRef>
              <c:f>pp!$J$2:$J$31</c:f>
              <c:numCache>
                <c:formatCode>General</c:formatCode>
                <c:ptCount val="30"/>
                <c:pt idx="1">
                  <c:v>0.7</c:v>
                </c:pt>
                <c:pt idx="2">
                  <c:v>0.55000000000000004</c:v>
                </c:pt>
                <c:pt idx="3">
                  <c:v>0.35</c:v>
                </c:pt>
                <c:pt idx="4">
                  <c:v>0.25</c:v>
                </c:pt>
                <c:pt idx="5">
                  <c:v>0.20799999999999999</c:v>
                </c:pt>
                <c:pt idx="6">
                  <c:v>0.192</c:v>
                </c:pt>
                <c:pt idx="7">
                  <c:v>0.184</c:v>
                </c:pt>
                <c:pt idx="8">
                  <c:v>0.17499999999999999</c:v>
                </c:pt>
                <c:pt idx="9">
                  <c:v>0.16899999999999998</c:v>
                </c:pt>
                <c:pt idx="10">
                  <c:v>0.16300000000000001</c:v>
                </c:pt>
                <c:pt idx="11">
                  <c:v>0.155</c:v>
                </c:pt>
                <c:pt idx="12">
                  <c:v>0.14499999999999999</c:v>
                </c:pt>
                <c:pt idx="13">
                  <c:v>0.13500000000000001</c:v>
                </c:pt>
                <c:pt idx="14">
                  <c:v>0.125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651-4353-AE66-87307D13A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42880"/>
        <c:axId val="118853632"/>
      </c:scatterChart>
      <c:scatterChart>
        <c:scatterStyle val="lineMarker"/>
        <c:varyColors val="0"/>
        <c:ser>
          <c:idx val="4"/>
          <c:order val="5"/>
          <c:tx>
            <c:strRef>
              <c:f>'Matsuo-Kawamura KM91-TT '!$D$2:$G$2</c:f>
              <c:strCache>
                <c:ptCount val="1"/>
                <c:pt idx="0">
                  <c:v>FOS_actual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4"/>
          </c:marker>
          <c:xVal>
            <c:numRef>
              <c:f>'Matsuo-Kawamura KM91-TT '!$G$5:$G$138</c:f>
              <c:numCache>
                <c:formatCode>0.0000</c:formatCode>
                <c:ptCount val="129"/>
                <c:pt idx="0">
                  <c:v>1.9460702462501017E-3</c:v>
                </c:pt>
                <c:pt idx="1">
                  <c:v>2.2533043947745926E-3</c:v>
                </c:pt>
                <c:pt idx="2">
                  <c:v>2.5325634920643873E-3</c:v>
                </c:pt>
                <c:pt idx="3">
                  <c:v>2.808074145095259E-3</c:v>
                </c:pt>
                <c:pt idx="4">
                  <c:v>3.0799113227521959E-3</c:v>
                </c:pt>
                <c:pt idx="5">
                  <c:v>3.2144752412600207E-3</c:v>
                </c:pt>
                <c:pt idx="6">
                  <c:v>3.3481480079898358E-3</c:v>
                </c:pt>
                <c:pt idx="7">
                  <c:v>3.5892418300660198E-3</c:v>
                </c:pt>
                <c:pt idx="8">
                  <c:v>4.0461705376350025E-3</c:v>
                </c:pt>
                <c:pt idx="9">
                  <c:v>4.5055340764341735E-3</c:v>
                </c:pt>
                <c:pt idx="10">
                  <c:v>4.9944034591205347E-3</c:v>
                </c:pt>
                <c:pt idx="11">
                  <c:v>7.2814688235302355E-3</c:v>
                </c:pt>
                <c:pt idx="12">
                  <c:v>7.7540851311961182E-3</c:v>
                </c:pt>
                <c:pt idx="13">
                  <c:v>8.2185057803474005E-3</c:v>
                </c:pt>
                <c:pt idx="14">
                  <c:v>8.6749421203443818E-3</c:v>
                </c:pt>
                <c:pt idx="15">
                  <c:v>9.1235982954550494E-3</c:v>
                </c:pt>
                <c:pt idx="16">
                  <c:v>9.823758591549988E-3</c:v>
                </c:pt>
                <c:pt idx="17">
                  <c:v>1.0512184357542616E-2</c:v>
                </c:pt>
                <c:pt idx="18">
                  <c:v>1.0647835773645203E-2</c:v>
                </c:pt>
                <c:pt idx="19">
                  <c:v>1.0810951593861258E-2</c:v>
                </c:pt>
                <c:pt idx="20">
                  <c:v>1.0972279843444809E-2</c:v>
                </c:pt>
                <c:pt idx="21">
                  <c:v>1.1131849746983851E-2</c:v>
                </c:pt>
                <c:pt idx="22">
                  <c:v>1.1289689895471133E-2</c:v>
                </c:pt>
                <c:pt idx="23">
                  <c:v>1.144582826338158E-2</c:v>
                </c:pt>
                <c:pt idx="24">
                  <c:v>1.1676216839015036E-2</c:v>
                </c:pt>
                <c:pt idx="25">
                  <c:v>1.1894978349206818E-2</c:v>
                </c:pt>
                <c:pt idx="26">
                  <c:v>1.2140010385005831E-2</c:v>
                </c:pt>
                <c:pt idx="27">
                  <c:v>1.2383742516105193E-2</c:v>
                </c:pt>
                <c:pt idx="28">
                  <c:v>1.2626185059209469E-2</c:v>
                </c:pt>
                <c:pt idx="29">
                  <c:v>1.2730109404448391E-2</c:v>
                </c:pt>
                <c:pt idx="30">
                  <c:v>1.2833486779449364E-2</c:v>
                </c:pt>
                <c:pt idx="31">
                  <c:v>1.3072839895013708E-2</c:v>
                </c:pt>
                <c:pt idx="32">
                  <c:v>1.3038617801047703E-2</c:v>
                </c:pt>
                <c:pt idx="33">
                  <c:v>1.2970708333333913E-2</c:v>
                </c:pt>
                <c:pt idx="34">
                  <c:v>1.3030666753022533E-2</c:v>
                </c:pt>
                <c:pt idx="35">
                  <c:v>1.3090007044674296E-2</c:v>
                </c:pt>
                <c:pt idx="36">
                  <c:v>1.314873871794927E-2</c:v>
                </c:pt>
                <c:pt idx="37">
                  <c:v>1.3206871088436014E-2</c:v>
                </c:pt>
                <c:pt idx="38">
                  <c:v>1.3298164970314703E-2</c:v>
                </c:pt>
                <c:pt idx="39">
                  <c:v>1.3415787817259835E-2</c:v>
                </c:pt>
                <c:pt idx="40">
                  <c:v>1.3381823797469307E-2</c:v>
                </c:pt>
                <c:pt idx="41">
                  <c:v>1.3515899326599846E-2</c:v>
                </c:pt>
                <c:pt idx="42">
                  <c:v>1.3649299412258984E-2</c:v>
                </c:pt>
                <c:pt idx="43">
                  <c:v>1.3782029145729163E-2</c:v>
                </c:pt>
                <c:pt idx="44">
                  <c:v>1.3914093567251986E-2</c:v>
                </c:pt>
                <c:pt idx="45">
                  <c:v>1.4045497666667047E-2</c:v>
                </c:pt>
                <c:pt idx="46">
                  <c:v>1.4176246384040142E-2</c:v>
                </c:pt>
                <c:pt idx="47">
                  <c:v>1.4389025870647642E-2</c:v>
                </c:pt>
                <c:pt idx="48">
                  <c:v>1.4600749379652993E-2</c:v>
                </c:pt>
                <c:pt idx="49">
                  <c:v>1.5080439002829425E-2</c:v>
                </c:pt>
                <c:pt idx="50">
                  <c:v>1.555775978836027E-2</c:v>
                </c:pt>
                <c:pt idx="51">
                  <c:v>1.6032729239972374E-2</c:v>
                </c:pt>
                <c:pt idx="52">
                  <c:v>1.6505364689365122E-2</c:v>
                </c:pt>
                <c:pt idx="53">
                  <c:v>1.6975683298320082E-2</c:v>
                </c:pt>
                <c:pt idx="54">
                  <c:v>1.7443702060776077E-2</c:v>
                </c:pt>
                <c:pt idx="55">
                  <c:v>1.8056369802555657E-2</c:v>
                </c:pt>
                <c:pt idx="56">
                  <c:v>1.8598260379253381E-2</c:v>
                </c:pt>
                <c:pt idx="57">
                  <c:v>1.9136712783172045E-2</c:v>
                </c:pt>
                <c:pt idx="58">
                  <c:v>1.9748389563107548E-2</c:v>
                </c:pt>
                <c:pt idx="59">
                  <c:v>2.0360066343042642E-2</c:v>
                </c:pt>
                <c:pt idx="60">
                  <c:v>2.0665904733010811E-2</c:v>
                </c:pt>
                <c:pt idx="61">
                  <c:v>2.0971743122978014E-2</c:v>
                </c:pt>
                <c:pt idx="62">
                  <c:v>2.1583419902913244E-2</c:v>
                </c:pt>
                <c:pt idx="63">
                  <c:v>2.1172307142857755E-2</c:v>
                </c:pt>
                <c:pt idx="64">
                  <c:v>2.1352314625851031E-2</c:v>
                </c:pt>
                <c:pt idx="65">
                  <c:v>2.1532322108844443E-2</c:v>
                </c:pt>
                <c:pt idx="66">
                  <c:v>2.1712329591837179E-2</c:v>
                </c:pt>
                <c:pt idx="67">
                  <c:v>2.1892337074830452E-2</c:v>
                </c:pt>
                <c:pt idx="68">
                  <c:v>2.2072344557823188E-2</c:v>
                </c:pt>
                <c:pt idx="69">
                  <c:v>2.2252352040816464E-2</c:v>
                </c:pt>
                <c:pt idx="70">
                  <c:v>2.1938938631790878E-2</c:v>
                </c:pt>
                <c:pt idx="71">
                  <c:v>2.2116410798122814E-2</c:v>
                </c:pt>
                <c:pt idx="72">
                  <c:v>2.2293882964454077E-2</c:v>
                </c:pt>
                <c:pt idx="73">
                  <c:v>2.2471355130785207E-2</c:v>
                </c:pt>
                <c:pt idx="74">
                  <c:v>2.2648827297116744E-2</c:v>
                </c:pt>
                <c:pt idx="75">
                  <c:v>2.2826299463448007E-2</c:v>
                </c:pt>
                <c:pt idx="76">
                  <c:v>2.3003771629779408E-2</c:v>
                </c:pt>
                <c:pt idx="77">
                  <c:v>2.3053514950166821E-2</c:v>
                </c:pt>
                <c:pt idx="78">
                  <c:v>2.3317246843854382E-2</c:v>
                </c:pt>
                <c:pt idx="79">
                  <c:v>2.3505626767917228E-2</c:v>
                </c:pt>
                <c:pt idx="80">
                  <c:v>2.3694006691979803E-2</c:v>
                </c:pt>
                <c:pt idx="81">
                  <c:v>2.3882386616042386E-2</c:v>
                </c:pt>
                <c:pt idx="82">
                  <c:v>2.4070766540105096E-2</c:v>
                </c:pt>
                <c:pt idx="83">
                  <c:v>2.4259146464167811E-2</c:v>
                </c:pt>
                <c:pt idx="84">
                  <c:v>2.4334343395692418E-2</c:v>
                </c:pt>
                <c:pt idx="85">
                  <c:v>2.4576943596073084E-2</c:v>
                </c:pt>
                <c:pt idx="86">
                  <c:v>2.4792695782943391E-2</c:v>
                </c:pt>
                <c:pt idx="87">
                  <c:v>2.5001037777148519E-2</c:v>
                </c:pt>
                <c:pt idx="88">
                  <c:v>2.5209379771353648E-2</c:v>
                </c:pt>
                <c:pt idx="89">
                  <c:v>2.541772176555878E-2</c:v>
                </c:pt>
                <c:pt idx="90">
                  <c:v>2.5521892762661213E-2</c:v>
                </c:pt>
              </c:numCache>
            </c:numRef>
          </c:xVal>
          <c:yVal>
            <c:numRef>
              <c:f>'Matsuo-Kawamura KM91-TT '!$D$5:$D$138</c:f>
              <c:numCache>
                <c:formatCode>0.0000</c:formatCode>
                <c:ptCount val="129"/>
                <c:pt idx="0">
                  <c:v>0.29199999999999998</c:v>
                </c:pt>
                <c:pt idx="1">
                  <c:v>0.29399999999999998</c:v>
                </c:pt>
                <c:pt idx="2">
                  <c:v>0.29599999999999999</c:v>
                </c:pt>
                <c:pt idx="3">
                  <c:v>0.29799999999999999</c:v>
                </c:pt>
                <c:pt idx="4">
                  <c:v>0.3</c:v>
                </c:pt>
                <c:pt idx="5">
                  <c:v>0.30099999999999999</c:v>
                </c:pt>
                <c:pt idx="6">
                  <c:v>0.30199999999999999</c:v>
                </c:pt>
                <c:pt idx="7">
                  <c:v>0.30599999999999999</c:v>
                </c:pt>
                <c:pt idx="8">
                  <c:v>0.31</c:v>
                </c:pt>
                <c:pt idx="9">
                  <c:v>0.314</c:v>
                </c:pt>
                <c:pt idx="10">
                  <c:v>0.318</c:v>
                </c:pt>
                <c:pt idx="11">
                  <c:v>0.34</c:v>
                </c:pt>
                <c:pt idx="12">
                  <c:v>0.34300000000000003</c:v>
                </c:pt>
                <c:pt idx="13">
                  <c:v>0.34599999999999997</c:v>
                </c:pt>
                <c:pt idx="14">
                  <c:v>0.34899999999999998</c:v>
                </c:pt>
                <c:pt idx="15">
                  <c:v>0.35199999999999998</c:v>
                </c:pt>
                <c:pt idx="16">
                  <c:v>0.35499999999999998</c:v>
                </c:pt>
                <c:pt idx="17">
                  <c:v>0.35799999999999998</c:v>
                </c:pt>
                <c:pt idx="18">
                  <c:v>0.36099999999999999</c:v>
                </c:pt>
                <c:pt idx="19">
                  <c:v>0.36299999999999999</c:v>
                </c:pt>
                <c:pt idx="20">
                  <c:v>0.36499999999999999</c:v>
                </c:pt>
                <c:pt idx="21">
                  <c:v>0.36699999999999999</c:v>
                </c:pt>
                <c:pt idx="22">
                  <c:v>0.36899999999999999</c:v>
                </c:pt>
                <c:pt idx="23">
                  <c:v>0.371</c:v>
                </c:pt>
                <c:pt idx="24">
                  <c:v>0.373</c:v>
                </c:pt>
                <c:pt idx="25">
                  <c:v>0.375</c:v>
                </c:pt>
                <c:pt idx="26">
                  <c:v>0.376</c:v>
                </c:pt>
                <c:pt idx="27">
                  <c:v>0.377</c:v>
                </c:pt>
                <c:pt idx="28">
                  <c:v>0.378</c:v>
                </c:pt>
                <c:pt idx="29">
                  <c:v>0.379</c:v>
                </c:pt>
                <c:pt idx="30">
                  <c:v>0.38</c:v>
                </c:pt>
                <c:pt idx="31">
                  <c:v>0.38100000000000001</c:v>
                </c:pt>
                <c:pt idx="32">
                  <c:v>0.38200000000000001</c:v>
                </c:pt>
                <c:pt idx="33">
                  <c:v>0.38400000000000001</c:v>
                </c:pt>
                <c:pt idx="34">
                  <c:v>0.38600000000000001</c:v>
                </c:pt>
                <c:pt idx="35">
                  <c:v>0.38800000000000001</c:v>
                </c:pt>
                <c:pt idx="36">
                  <c:v>0.39</c:v>
                </c:pt>
                <c:pt idx="37">
                  <c:v>0.39200000000000002</c:v>
                </c:pt>
                <c:pt idx="38">
                  <c:v>0.3929999999999999</c:v>
                </c:pt>
                <c:pt idx="39">
                  <c:v>0.39400000000000002</c:v>
                </c:pt>
                <c:pt idx="40">
                  <c:v>0.39499999999999991</c:v>
                </c:pt>
                <c:pt idx="41">
                  <c:v>0.39600000000000002</c:v>
                </c:pt>
                <c:pt idx="42">
                  <c:v>0.39699999999999991</c:v>
                </c:pt>
                <c:pt idx="43">
                  <c:v>0.39800000000000002</c:v>
                </c:pt>
                <c:pt idx="44">
                  <c:v>0.39899999999999991</c:v>
                </c:pt>
                <c:pt idx="45">
                  <c:v>0.4</c:v>
                </c:pt>
                <c:pt idx="46">
                  <c:v>0.40099999999999991</c:v>
                </c:pt>
                <c:pt idx="47">
                  <c:v>0.40200000000000002</c:v>
                </c:pt>
                <c:pt idx="48">
                  <c:v>0.40299999999999991</c:v>
                </c:pt>
                <c:pt idx="49">
                  <c:v>0.40400000000000003</c:v>
                </c:pt>
                <c:pt idx="50">
                  <c:v>0.40499999999999992</c:v>
                </c:pt>
                <c:pt idx="51">
                  <c:v>0.40600000000000003</c:v>
                </c:pt>
                <c:pt idx="52">
                  <c:v>0.40699999999999992</c:v>
                </c:pt>
                <c:pt idx="53">
                  <c:v>0.40800000000000003</c:v>
                </c:pt>
                <c:pt idx="54">
                  <c:v>0.40899999999999992</c:v>
                </c:pt>
                <c:pt idx="55">
                  <c:v>0.41000000000000003</c:v>
                </c:pt>
                <c:pt idx="56">
                  <c:v>0.41099999999999992</c:v>
                </c:pt>
                <c:pt idx="57">
                  <c:v>0.41200000000000003</c:v>
                </c:pt>
                <c:pt idx="58">
                  <c:v>0.41200000000000003</c:v>
                </c:pt>
                <c:pt idx="59">
                  <c:v>0.41200000000000003</c:v>
                </c:pt>
                <c:pt idx="60">
                  <c:v>0.41200000000000003</c:v>
                </c:pt>
                <c:pt idx="61">
                  <c:v>0.41200000000000003</c:v>
                </c:pt>
                <c:pt idx="62">
                  <c:v>0.41200000000000003</c:v>
                </c:pt>
                <c:pt idx="63">
                  <c:v>0.42000000000000004</c:v>
                </c:pt>
                <c:pt idx="64">
                  <c:v>0.42000000000000004</c:v>
                </c:pt>
                <c:pt idx="65">
                  <c:v>0.42000000000000004</c:v>
                </c:pt>
                <c:pt idx="66">
                  <c:v>0.42000000000000004</c:v>
                </c:pt>
                <c:pt idx="67">
                  <c:v>0.42000000000000004</c:v>
                </c:pt>
                <c:pt idx="68">
                  <c:v>0.42000000000000004</c:v>
                </c:pt>
                <c:pt idx="69">
                  <c:v>0.42000000000000004</c:v>
                </c:pt>
                <c:pt idx="70">
                  <c:v>0.42600000000000005</c:v>
                </c:pt>
                <c:pt idx="71">
                  <c:v>0.42600000000000005</c:v>
                </c:pt>
                <c:pt idx="72">
                  <c:v>0.42600000000000005</c:v>
                </c:pt>
                <c:pt idx="73">
                  <c:v>0.42600000000000005</c:v>
                </c:pt>
                <c:pt idx="74">
                  <c:v>0.42600000000000005</c:v>
                </c:pt>
                <c:pt idx="75">
                  <c:v>0.42600000000000005</c:v>
                </c:pt>
                <c:pt idx="76">
                  <c:v>0.42600000000000005</c:v>
                </c:pt>
                <c:pt idx="77">
                  <c:v>0.43000000000000005</c:v>
                </c:pt>
                <c:pt idx="78">
                  <c:v>0.43000000000000005</c:v>
                </c:pt>
                <c:pt idx="79">
                  <c:v>0.43000000000000005</c:v>
                </c:pt>
                <c:pt idx="80">
                  <c:v>0.43000000000000005</c:v>
                </c:pt>
                <c:pt idx="81">
                  <c:v>0.43000000000000005</c:v>
                </c:pt>
                <c:pt idx="82">
                  <c:v>0.43000000000000005</c:v>
                </c:pt>
                <c:pt idx="83">
                  <c:v>0.43000000000000005</c:v>
                </c:pt>
                <c:pt idx="84">
                  <c:v>0.43200000000000005</c:v>
                </c:pt>
                <c:pt idx="85">
                  <c:v>0.43200000000000005</c:v>
                </c:pt>
                <c:pt idx="86">
                  <c:v>0.43200000000000005</c:v>
                </c:pt>
                <c:pt idx="87">
                  <c:v>0.43200000000000005</c:v>
                </c:pt>
                <c:pt idx="88">
                  <c:v>0.43200000000000005</c:v>
                </c:pt>
                <c:pt idx="89">
                  <c:v>0.43200000000000005</c:v>
                </c:pt>
                <c:pt idx="90">
                  <c:v>0.43200000000000005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51-4353-AE66-87307D13A63F}"/>
            </c:ext>
          </c:extLst>
        </c:ser>
        <c:ser>
          <c:idx val="5"/>
          <c:order val="6"/>
          <c:tx>
            <c:strRef>
              <c:f>'Matsuo-Kawamura KM91-TT '!$H$2:$J$2</c:f>
              <c:strCache>
                <c:ptCount val="1"/>
                <c:pt idx="0">
                  <c:v>FOS_actual_corrected</c:v>
                </c:pt>
              </c:strCache>
              <c:extLst xmlns:c15="http://schemas.microsoft.com/office/drawing/2012/chart"/>
            </c:strRef>
          </c:tx>
          <c:spPr>
            <a:ln w="19050">
              <a:noFill/>
            </a:ln>
          </c:spPr>
          <c:marker>
            <c:symbol val="circle"/>
            <c:size val="4"/>
            <c:spPr>
              <a:noFill/>
              <a:ln w="38100"/>
            </c:spPr>
          </c:marker>
          <c:xVal>
            <c:numRef>
              <c:f>'Matsuo-Kawamura KM91-TT '!$J$5:$J$41</c:f>
              <c:extLst xmlns:c15="http://schemas.microsoft.com/office/drawing/2012/chart"/>
            </c:numRef>
          </c:xVal>
          <c:yVal>
            <c:numRef>
              <c:f>'Matsuo-Kawamura KM91-TT '!$H$5:$H$41</c:f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651-4353-AE66-87307D13A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42880"/>
        <c:axId val="118853632"/>
        <c:extLst/>
      </c:scatterChart>
      <c:valAx>
        <c:axId val="118842880"/>
        <c:scaling>
          <c:orientation val="minMax"/>
          <c:max val="1.4"/>
          <c:min val="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32000"/>
                </a:schemeClr>
              </a:solidFill>
              <a:prstDash val="sysDash"/>
              <a:round/>
            </a:ln>
            <a:effectLst/>
          </c:spPr>
        </c:majorGridlines>
        <c:minorGridlines>
          <c:spPr>
            <a:ln w="12700" cmpd="sng">
              <a:prstDash val="sysDash"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cap="none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ysDash"/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53632"/>
        <c:crosses val="autoZero"/>
        <c:crossBetween val="midCat"/>
        <c:majorUnit val="0.2"/>
        <c:minorUnit val="0.1"/>
      </c:valAx>
      <c:valAx>
        <c:axId val="118853632"/>
        <c:scaling>
          <c:orientation val="minMax"/>
          <c:max val="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32000"/>
                </a:schemeClr>
              </a:solidFill>
              <a:prstDash val="sysDash"/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cap="none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ysDash"/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42880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310135675173744"/>
          <c:y val="0.11592154914657153"/>
          <c:w val="0.37889517035253656"/>
          <c:h val="0.36357270113452478"/>
        </c:manualLayout>
      </c:layout>
      <c:overlay val="0"/>
      <c:spPr>
        <a:solidFill>
          <a:schemeClr val="bg1"/>
        </a:solidFill>
        <a:ln>
          <a:solidFill>
            <a:schemeClr val="bg2">
              <a:lumMod val="25000"/>
            </a:schemeClr>
          </a:solidFill>
        </a:ln>
        <a:effectLst>
          <a:outerShdw blurRad="50800" dist="50800" dir="5400000" algn="ctr" rotWithShape="0">
            <a:schemeClr val="bg1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25240594925635"/>
          <c:y val="5.1400554097404488E-2"/>
          <c:w val="0.80271806649168853"/>
          <c:h val="0.740910250801983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'Matsuo-Kawamura KM91-TT '!$D$2:$G$2</c:f>
              <c:strCache>
                <c:ptCount val="1"/>
                <c:pt idx="0">
                  <c:v>FOS_actual</c:v>
                </c:pt>
              </c:strCache>
            </c:strRef>
          </c:tx>
          <c:xVal>
            <c:numRef>
              <c:f>'Matsuo-Kawamura KM91-TT '!$B$4:$B$90</c:f>
              <c:numCache>
                <c:formatCode>m/d/yyyy</c:formatCode>
                <c:ptCount val="82"/>
                <c:pt idx="0">
                  <c:v>45344</c:v>
                </c:pt>
                <c:pt idx="1">
                  <c:v>45345</c:v>
                </c:pt>
                <c:pt idx="2">
                  <c:v>45346</c:v>
                </c:pt>
                <c:pt idx="3">
                  <c:v>45347</c:v>
                </c:pt>
                <c:pt idx="4">
                  <c:v>45348</c:v>
                </c:pt>
                <c:pt idx="5">
                  <c:v>45349</c:v>
                </c:pt>
                <c:pt idx="6">
                  <c:v>45350</c:v>
                </c:pt>
                <c:pt idx="7">
                  <c:v>45351</c:v>
                </c:pt>
                <c:pt idx="8">
                  <c:v>45352</c:v>
                </c:pt>
                <c:pt idx="9">
                  <c:v>45353</c:v>
                </c:pt>
                <c:pt idx="10">
                  <c:v>45354</c:v>
                </c:pt>
                <c:pt idx="11">
                  <c:v>45355</c:v>
                </c:pt>
                <c:pt idx="12">
                  <c:v>45361</c:v>
                </c:pt>
                <c:pt idx="13">
                  <c:v>45362</c:v>
                </c:pt>
                <c:pt idx="14">
                  <c:v>45363</c:v>
                </c:pt>
                <c:pt idx="15">
                  <c:v>45364</c:v>
                </c:pt>
                <c:pt idx="16">
                  <c:v>45365</c:v>
                </c:pt>
                <c:pt idx="17">
                  <c:v>45366</c:v>
                </c:pt>
                <c:pt idx="18">
                  <c:v>45367</c:v>
                </c:pt>
                <c:pt idx="19">
                  <c:v>45368</c:v>
                </c:pt>
                <c:pt idx="20">
                  <c:v>45369</c:v>
                </c:pt>
                <c:pt idx="21">
                  <c:v>45370</c:v>
                </c:pt>
                <c:pt idx="22">
                  <c:v>45371</c:v>
                </c:pt>
                <c:pt idx="23">
                  <c:v>45372</c:v>
                </c:pt>
                <c:pt idx="24">
                  <c:v>45373</c:v>
                </c:pt>
                <c:pt idx="25">
                  <c:v>45374</c:v>
                </c:pt>
                <c:pt idx="26">
                  <c:v>45375</c:v>
                </c:pt>
                <c:pt idx="27">
                  <c:v>45376</c:v>
                </c:pt>
                <c:pt idx="28">
                  <c:v>45377</c:v>
                </c:pt>
                <c:pt idx="29">
                  <c:v>45378</c:v>
                </c:pt>
                <c:pt idx="30">
                  <c:v>45379</c:v>
                </c:pt>
                <c:pt idx="31">
                  <c:v>45380</c:v>
                </c:pt>
                <c:pt idx="32">
                  <c:v>45381</c:v>
                </c:pt>
                <c:pt idx="33">
                  <c:v>45382</c:v>
                </c:pt>
                <c:pt idx="34">
                  <c:v>45383</c:v>
                </c:pt>
                <c:pt idx="35">
                  <c:v>45384</c:v>
                </c:pt>
                <c:pt idx="36">
                  <c:v>45385</c:v>
                </c:pt>
                <c:pt idx="37">
                  <c:v>45386</c:v>
                </c:pt>
                <c:pt idx="38">
                  <c:v>45387</c:v>
                </c:pt>
                <c:pt idx="39">
                  <c:v>45388</c:v>
                </c:pt>
                <c:pt idx="40">
                  <c:v>45389</c:v>
                </c:pt>
                <c:pt idx="41">
                  <c:v>45390</c:v>
                </c:pt>
                <c:pt idx="42">
                  <c:v>45391</c:v>
                </c:pt>
                <c:pt idx="43">
                  <c:v>45392</c:v>
                </c:pt>
                <c:pt idx="44">
                  <c:v>45393</c:v>
                </c:pt>
                <c:pt idx="45">
                  <c:v>45394</c:v>
                </c:pt>
                <c:pt idx="46">
                  <c:v>45395</c:v>
                </c:pt>
                <c:pt idx="47">
                  <c:v>45396</c:v>
                </c:pt>
                <c:pt idx="48">
                  <c:v>45397</c:v>
                </c:pt>
                <c:pt idx="49">
                  <c:v>45398</c:v>
                </c:pt>
                <c:pt idx="50">
                  <c:v>45399</c:v>
                </c:pt>
                <c:pt idx="51">
                  <c:v>45400</c:v>
                </c:pt>
                <c:pt idx="52">
                  <c:v>45401</c:v>
                </c:pt>
                <c:pt idx="53">
                  <c:v>45402</c:v>
                </c:pt>
                <c:pt idx="54">
                  <c:v>45403</c:v>
                </c:pt>
                <c:pt idx="55">
                  <c:v>45404</c:v>
                </c:pt>
                <c:pt idx="56">
                  <c:v>45405</c:v>
                </c:pt>
                <c:pt idx="57">
                  <c:v>45406</c:v>
                </c:pt>
                <c:pt idx="58">
                  <c:v>45407</c:v>
                </c:pt>
                <c:pt idx="59">
                  <c:v>45408</c:v>
                </c:pt>
                <c:pt idx="60">
                  <c:v>45409</c:v>
                </c:pt>
                <c:pt idx="61">
                  <c:v>45410</c:v>
                </c:pt>
                <c:pt idx="62">
                  <c:v>45411</c:v>
                </c:pt>
                <c:pt idx="63">
                  <c:v>45412</c:v>
                </c:pt>
                <c:pt idx="64">
                  <c:v>45413</c:v>
                </c:pt>
                <c:pt idx="65">
                  <c:v>45414</c:v>
                </c:pt>
                <c:pt idx="66">
                  <c:v>45415</c:v>
                </c:pt>
                <c:pt idx="67">
                  <c:v>45416</c:v>
                </c:pt>
                <c:pt idx="68">
                  <c:v>45417</c:v>
                </c:pt>
                <c:pt idx="69">
                  <c:v>45418</c:v>
                </c:pt>
                <c:pt idx="70">
                  <c:v>45419</c:v>
                </c:pt>
                <c:pt idx="71">
                  <c:v>45420</c:v>
                </c:pt>
                <c:pt idx="72">
                  <c:v>45421</c:v>
                </c:pt>
                <c:pt idx="73">
                  <c:v>45422</c:v>
                </c:pt>
                <c:pt idx="74">
                  <c:v>45423</c:v>
                </c:pt>
                <c:pt idx="75">
                  <c:v>45424</c:v>
                </c:pt>
                <c:pt idx="76">
                  <c:v>45425</c:v>
                </c:pt>
                <c:pt idx="77">
                  <c:v>45426</c:v>
                </c:pt>
                <c:pt idx="78">
                  <c:v>45427</c:v>
                </c:pt>
                <c:pt idx="79">
                  <c:v>45428</c:v>
                </c:pt>
                <c:pt idx="80">
                  <c:v>45429</c:v>
                </c:pt>
                <c:pt idx="81">
                  <c:v>45430</c:v>
                </c:pt>
              </c:numCache>
            </c:numRef>
          </c:xVal>
          <c:yVal>
            <c:numRef>
              <c:f>'Matsuo-Kawamura KM91-TT '!$F$4:$F$90</c:f>
              <c:numCache>
                <c:formatCode>0.000</c:formatCode>
                <c:ptCount val="82"/>
                <c:pt idx="0">
                  <c:v>0</c:v>
                </c:pt>
                <c:pt idx="1">
                  <c:v>5.6825251190502964E-4</c:v>
                </c:pt>
                <c:pt idx="2">
                  <c:v>6.6247149206373024E-4</c:v>
                </c:pt>
                <c:pt idx="3">
                  <c:v>7.4963879365105867E-4</c:v>
                </c:pt>
                <c:pt idx="4">
                  <c:v>8.3680609523838711E-4</c:v>
                </c:pt>
                <c:pt idx="5">
                  <c:v>9.2397339682565873E-4</c:v>
                </c:pt>
                <c:pt idx="6">
                  <c:v>9.6755704761926613E-4</c:v>
                </c:pt>
                <c:pt idx="7">
                  <c:v>1.0111406984129304E-3</c:v>
                </c:pt>
                <c:pt idx="8">
                  <c:v>1.098308000000202E-3</c:v>
                </c:pt>
                <c:pt idx="9">
                  <c:v>1.2543128666668507E-3</c:v>
                </c:pt>
                <c:pt idx="10">
                  <c:v>1.4147377000003304E-3</c:v>
                </c:pt>
                <c:pt idx="11">
                  <c:v>1.5882203000003301E-3</c:v>
                </c:pt>
                <c:pt idx="12">
                  <c:v>2.4756994000002803E-3</c:v>
                </c:pt>
                <c:pt idx="13">
                  <c:v>2.6596512000002688E-3</c:v>
                </c:pt>
                <c:pt idx="14">
                  <c:v>2.8436030000002005E-3</c:v>
                </c:pt>
                <c:pt idx="15">
                  <c:v>3.0275548000001889E-3</c:v>
                </c:pt>
                <c:pt idx="16">
                  <c:v>3.2115066000001774E-3</c:v>
                </c:pt>
                <c:pt idx="17">
                  <c:v>3.4874343000002453E-3</c:v>
                </c:pt>
                <c:pt idx="18">
                  <c:v>3.7633620000002564E-3</c:v>
                </c:pt>
                <c:pt idx="19">
                  <c:v>3.843868714285918E-3</c:v>
                </c:pt>
                <c:pt idx="20">
                  <c:v>3.9243754285716364E-3</c:v>
                </c:pt>
                <c:pt idx="21">
                  <c:v>4.0048821428573548E-3</c:v>
                </c:pt>
                <c:pt idx="22">
                  <c:v>4.0853888571430732E-3</c:v>
                </c:pt>
                <c:pt idx="23">
                  <c:v>4.165895571428848E-3</c:v>
                </c:pt>
                <c:pt idx="24">
                  <c:v>4.2464022857145664E-3</c:v>
                </c:pt>
                <c:pt idx="25">
                  <c:v>4.3552288809526087E-3</c:v>
                </c:pt>
                <c:pt idx="26">
                  <c:v>4.4606168809525571E-3</c:v>
                </c:pt>
                <c:pt idx="27">
                  <c:v>4.5646439047621924E-3</c:v>
                </c:pt>
                <c:pt idx="28">
                  <c:v>4.6686709285716577E-3</c:v>
                </c:pt>
                <c:pt idx="29">
                  <c:v>4.7726979523811794E-3</c:v>
                </c:pt>
                <c:pt idx="30">
                  <c:v>4.8247114642859402E-3</c:v>
                </c:pt>
                <c:pt idx="31">
                  <c:v>4.8767249761907583E-3</c:v>
                </c:pt>
                <c:pt idx="32">
                  <c:v>4.9807520000002227E-3</c:v>
                </c:pt>
                <c:pt idx="33">
                  <c:v>4.9807520000002227E-3</c:v>
                </c:pt>
                <c:pt idx="34">
                  <c:v>4.9807520000002227E-3</c:v>
                </c:pt>
                <c:pt idx="35">
                  <c:v>5.0298373666666975E-3</c:v>
                </c:pt>
                <c:pt idx="36">
                  <c:v>5.0789227333336269E-3</c:v>
                </c:pt>
                <c:pt idx="37">
                  <c:v>5.1280081000002154E-3</c:v>
                </c:pt>
                <c:pt idx="38">
                  <c:v>5.1770934666669176E-3</c:v>
                </c:pt>
                <c:pt idx="39">
                  <c:v>5.226178833333677E-3</c:v>
                </c:pt>
                <c:pt idx="40">
                  <c:v>5.2858204000003749E-3</c:v>
                </c:pt>
                <c:pt idx="41">
                  <c:v>5.2858204000003749E-3</c:v>
                </c:pt>
                <c:pt idx="42">
                  <c:v>5.352296133333539E-3</c:v>
                </c:pt>
                <c:pt idx="43">
                  <c:v>5.4187718666668157E-3</c:v>
                </c:pt>
                <c:pt idx="44">
                  <c:v>5.485247600000207E-3</c:v>
                </c:pt>
                <c:pt idx="45">
                  <c:v>5.5517233333335411E-3</c:v>
                </c:pt>
                <c:pt idx="46">
                  <c:v>5.6181990666668187E-3</c:v>
                </c:pt>
                <c:pt idx="47">
                  <c:v>5.6846748000000955E-3</c:v>
                </c:pt>
                <c:pt idx="48">
                  <c:v>5.7843884000003528E-3</c:v>
                </c:pt>
                <c:pt idx="49">
                  <c:v>5.8841020000001548E-3</c:v>
                </c:pt>
                <c:pt idx="50">
                  <c:v>6.0924973571430882E-3</c:v>
                </c:pt>
                <c:pt idx="51">
                  <c:v>6.300892714285908E-3</c:v>
                </c:pt>
                <c:pt idx="52">
                  <c:v>6.5092880714287841E-3</c:v>
                </c:pt>
                <c:pt idx="53">
                  <c:v>6.7176834285716039E-3</c:v>
                </c:pt>
                <c:pt idx="54">
                  <c:v>6.9260787857145945E-3</c:v>
                </c:pt>
                <c:pt idx="55">
                  <c:v>7.1344741428574143E-3</c:v>
                </c:pt>
                <c:pt idx="56">
                  <c:v>7.4031116190478204E-3</c:v>
                </c:pt>
                <c:pt idx="57">
                  <c:v>7.6438850158731383E-3</c:v>
                </c:pt>
                <c:pt idx="58">
                  <c:v>7.8843256666668825E-3</c:v>
                </c:pt>
                <c:pt idx="59">
                  <c:v>8.1363365000003112E-3</c:v>
                </c:pt>
                <c:pt idx="60">
                  <c:v>8.3883473333335699E-3</c:v>
                </c:pt>
                <c:pt idx="61">
                  <c:v>8.5143527500004552E-3</c:v>
                </c:pt>
                <c:pt idx="62">
                  <c:v>8.6403581666669432E-3</c:v>
                </c:pt>
                <c:pt idx="63">
                  <c:v>8.8923690000002574E-3</c:v>
                </c:pt>
                <c:pt idx="64">
                  <c:v>8.8923690000002574E-3</c:v>
                </c:pt>
                <c:pt idx="65">
                  <c:v>8.9679721428574336E-3</c:v>
                </c:pt>
                <c:pt idx="66">
                  <c:v>9.0435752857146671E-3</c:v>
                </c:pt>
                <c:pt idx="67">
                  <c:v>9.119178428571616E-3</c:v>
                </c:pt>
                <c:pt idx="68">
                  <c:v>9.1947815714287905E-3</c:v>
                </c:pt>
                <c:pt idx="69">
                  <c:v>9.2703847142857395E-3</c:v>
                </c:pt>
                <c:pt idx="70">
                  <c:v>9.3459878571429157E-3</c:v>
                </c:pt>
                <c:pt idx="71">
                  <c:v>9.3459878571429157E-3</c:v>
                </c:pt>
                <c:pt idx="72">
                  <c:v>9.4215910000003192E-3</c:v>
                </c:pt>
                <c:pt idx="73">
                  <c:v>9.4971941428574382E-3</c:v>
                </c:pt>
                <c:pt idx="74">
                  <c:v>9.5727972857144999E-3</c:v>
                </c:pt>
                <c:pt idx="75">
                  <c:v>9.6484004285717333E-3</c:v>
                </c:pt>
                <c:pt idx="76">
                  <c:v>9.7240035714288523E-3</c:v>
                </c:pt>
                <c:pt idx="77">
                  <c:v>9.7996067142860285E-3</c:v>
                </c:pt>
                <c:pt idx="78">
                  <c:v>9.9130114285717347E-3</c:v>
                </c:pt>
                <c:pt idx="79">
                  <c:v>1.0026416142857385E-2</c:v>
                </c:pt>
                <c:pt idx="80">
                  <c:v>1.0107419510204409E-2</c:v>
                </c:pt>
                <c:pt idx="81">
                  <c:v>1.0188422877551317E-2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1E-4894-B630-7108616C0069}"/>
            </c:ext>
          </c:extLst>
        </c:ser>
        <c:ser>
          <c:idx val="1"/>
          <c:order val="1"/>
          <c:tx>
            <c:strRef>
              <c:f>'Matsuo-Kawamura KM91-TT '!$H$2:$J$2</c:f>
              <c:strCache>
                <c:ptCount val="1"/>
                <c:pt idx="0">
                  <c:v>FOS_actual_corrected</c:v>
                </c:pt>
              </c:strCache>
            </c:strRef>
          </c:tx>
          <c:xVal>
            <c:numRef>
              <c:f>'Matsuo-Kawamura KM91-TT '!$B$4:$B$90</c:f>
              <c:numCache>
                <c:formatCode>m/d/yyyy</c:formatCode>
                <c:ptCount val="82"/>
                <c:pt idx="0">
                  <c:v>45344</c:v>
                </c:pt>
                <c:pt idx="1">
                  <c:v>45345</c:v>
                </c:pt>
                <c:pt idx="2">
                  <c:v>45346</c:v>
                </c:pt>
                <c:pt idx="3">
                  <c:v>45347</c:v>
                </c:pt>
                <c:pt idx="4">
                  <c:v>45348</c:v>
                </c:pt>
                <c:pt idx="5">
                  <c:v>45349</c:v>
                </c:pt>
                <c:pt idx="6">
                  <c:v>45350</c:v>
                </c:pt>
                <c:pt idx="7">
                  <c:v>45351</c:v>
                </c:pt>
                <c:pt idx="8">
                  <c:v>45352</c:v>
                </c:pt>
                <c:pt idx="9">
                  <c:v>45353</c:v>
                </c:pt>
                <c:pt idx="10">
                  <c:v>45354</c:v>
                </c:pt>
                <c:pt idx="11">
                  <c:v>45355</c:v>
                </c:pt>
                <c:pt idx="12">
                  <c:v>45361</c:v>
                </c:pt>
                <c:pt idx="13">
                  <c:v>45362</c:v>
                </c:pt>
                <c:pt idx="14">
                  <c:v>45363</c:v>
                </c:pt>
                <c:pt idx="15">
                  <c:v>45364</c:v>
                </c:pt>
                <c:pt idx="16">
                  <c:v>45365</c:v>
                </c:pt>
                <c:pt idx="17">
                  <c:v>45366</c:v>
                </c:pt>
                <c:pt idx="18">
                  <c:v>45367</c:v>
                </c:pt>
                <c:pt idx="19">
                  <c:v>45368</c:v>
                </c:pt>
                <c:pt idx="20">
                  <c:v>45369</c:v>
                </c:pt>
                <c:pt idx="21">
                  <c:v>45370</c:v>
                </c:pt>
                <c:pt idx="22">
                  <c:v>45371</c:v>
                </c:pt>
                <c:pt idx="23">
                  <c:v>45372</c:v>
                </c:pt>
                <c:pt idx="24">
                  <c:v>45373</c:v>
                </c:pt>
                <c:pt idx="25">
                  <c:v>45374</c:v>
                </c:pt>
                <c:pt idx="26">
                  <c:v>45375</c:v>
                </c:pt>
                <c:pt idx="27">
                  <c:v>45376</c:v>
                </c:pt>
                <c:pt idx="28">
                  <c:v>45377</c:v>
                </c:pt>
                <c:pt idx="29">
                  <c:v>45378</c:v>
                </c:pt>
                <c:pt idx="30">
                  <c:v>45379</c:v>
                </c:pt>
                <c:pt idx="31">
                  <c:v>45380</c:v>
                </c:pt>
                <c:pt idx="32">
                  <c:v>45381</c:v>
                </c:pt>
                <c:pt idx="33">
                  <c:v>45382</c:v>
                </c:pt>
                <c:pt idx="34">
                  <c:v>45383</c:v>
                </c:pt>
                <c:pt idx="35">
                  <c:v>45384</c:v>
                </c:pt>
                <c:pt idx="36">
                  <c:v>45385</c:v>
                </c:pt>
                <c:pt idx="37">
                  <c:v>45386</c:v>
                </c:pt>
                <c:pt idx="38">
                  <c:v>45387</c:v>
                </c:pt>
                <c:pt idx="39">
                  <c:v>45388</c:v>
                </c:pt>
                <c:pt idx="40">
                  <c:v>45389</c:v>
                </c:pt>
                <c:pt idx="41">
                  <c:v>45390</c:v>
                </c:pt>
                <c:pt idx="42">
                  <c:v>45391</c:v>
                </c:pt>
                <c:pt idx="43">
                  <c:v>45392</c:v>
                </c:pt>
                <c:pt idx="44">
                  <c:v>45393</c:v>
                </c:pt>
                <c:pt idx="45">
                  <c:v>45394</c:v>
                </c:pt>
                <c:pt idx="46">
                  <c:v>45395</c:v>
                </c:pt>
                <c:pt idx="47">
                  <c:v>45396</c:v>
                </c:pt>
                <c:pt idx="48">
                  <c:v>45397</c:v>
                </c:pt>
                <c:pt idx="49">
                  <c:v>45398</c:v>
                </c:pt>
                <c:pt idx="50">
                  <c:v>45399</c:v>
                </c:pt>
                <c:pt idx="51">
                  <c:v>45400</c:v>
                </c:pt>
                <c:pt idx="52">
                  <c:v>45401</c:v>
                </c:pt>
                <c:pt idx="53">
                  <c:v>45402</c:v>
                </c:pt>
                <c:pt idx="54">
                  <c:v>45403</c:v>
                </c:pt>
                <c:pt idx="55">
                  <c:v>45404</c:v>
                </c:pt>
                <c:pt idx="56">
                  <c:v>45405</c:v>
                </c:pt>
                <c:pt idx="57">
                  <c:v>45406</c:v>
                </c:pt>
                <c:pt idx="58">
                  <c:v>45407</c:v>
                </c:pt>
                <c:pt idx="59">
                  <c:v>45408</c:v>
                </c:pt>
                <c:pt idx="60">
                  <c:v>45409</c:v>
                </c:pt>
                <c:pt idx="61">
                  <c:v>45410</c:v>
                </c:pt>
                <c:pt idx="62">
                  <c:v>45411</c:v>
                </c:pt>
                <c:pt idx="63">
                  <c:v>45412</c:v>
                </c:pt>
                <c:pt idx="64">
                  <c:v>45413</c:v>
                </c:pt>
                <c:pt idx="65">
                  <c:v>45414</c:v>
                </c:pt>
                <c:pt idx="66">
                  <c:v>45415</c:v>
                </c:pt>
                <c:pt idx="67">
                  <c:v>45416</c:v>
                </c:pt>
                <c:pt idx="68">
                  <c:v>45417</c:v>
                </c:pt>
                <c:pt idx="69">
                  <c:v>45418</c:v>
                </c:pt>
                <c:pt idx="70">
                  <c:v>45419</c:v>
                </c:pt>
                <c:pt idx="71">
                  <c:v>45420</c:v>
                </c:pt>
                <c:pt idx="72">
                  <c:v>45421</c:v>
                </c:pt>
                <c:pt idx="73">
                  <c:v>45422</c:v>
                </c:pt>
                <c:pt idx="74">
                  <c:v>45423</c:v>
                </c:pt>
                <c:pt idx="75">
                  <c:v>45424</c:v>
                </c:pt>
                <c:pt idx="76">
                  <c:v>45425</c:v>
                </c:pt>
                <c:pt idx="77">
                  <c:v>45426</c:v>
                </c:pt>
                <c:pt idx="78">
                  <c:v>45427</c:v>
                </c:pt>
                <c:pt idx="79">
                  <c:v>45428</c:v>
                </c:pt>
                <c:pt idx="80">
                  <c:v>45429</c:v>
                </c:pt>
                <c:pt idx="81">
                  <c:v>45430</c:v>
                </c:pt>
              </c:numCache>
            </c:numRef>
          </c:xVal>
          <c:yVal>
            <c:numRef>
              <c:f>'Matsuo-Kawamura KM91-TT '!$I$4:$I$90</c:f>
            </c:numRef>
          </c:yVal>
          <c:smooth val="1"/>
          <c:extLst>
            <c:ext xmlns:c16="http://schemas.microsoft.com/office/drawing/2014/chart" uri="{C3380CC4-5D6E-409C-BE32-E72D297353CC}">
              <c16:uniqueId val="{00000001-FA1E-4894-B630-7108616C0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38976"/>
        <c:axId val="121440512"/>
      </c:scatterChart>
      <c:valAx>
        <c:axId val="121438976"/>
        <c:scaling>
          <c:orientation val="minMax"/>
          <c:max val="44765"/>
          <c:min val="44718"/>
        </c:scaling>
        <c:delete val="0"/>
        <c:axPos val="b"/>
        <c:majorGridlines/>
        <c:numFmt formatCode="[$-1010000]d/m/yy;@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1440512"/>
        <c:crosses val="autoZero"/>
        <c:crossBetween val="midCat"/>
        <c:majorUnit val="10"/>
        <c:minorUnit val="2"/>
      </c:valAx>
      <c:valAx>
        <c:axId val="121440512"/>
        <c:scaling>
          <c:orientation val="minMax"/>
          <c:max val="0.2"/>
          <c:min val="0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21438976"/>
        <c:crosses val="autoZero"/>
        <c:crossBetween val="midCat"/>
        <c:majorUnit val="2.0000000000000004E-2"/>
        <c:minorUnit val="1.0000000000000002E-2"/>
      </c:valAx>
    </c:plotArea>
    <c:legend>
      <c:legendPos val="r"/>
      <c:layout>
        <c:manualLayout>
          <c:xMode val="edge"/>
          <c:yMode val="edge"/>
          <c:x val="0.592486043592377"/>
          <c:y val="0.16242283673118221"/>
          <c:w val="0.36809366655255055"/>
          <c:h val="0.1797657257593773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300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vi-VN" sz="1500">
                <a:latin typeface="Times New Roman" panose="02020603050405020304" pitchFamily="18" charset="0"/>
                <a:cs typeface="Times New Roman" panose="02020603050405020304" pitchFamily="18" charset="0"/>
              </a:rPr>
              <a:t>Km9</a:t>
            </a:r>
            <a:r>
              <a:rPr lang="en-US" sz="1500">
                <a:latin typeface="Times New Roman" panose="02020603050405020304" pitchFamily="18" charset="0"/>
                <a:cs typeface="Times New Roman" panose="02020603050405020304" pitchFamily="18" charset="0"/>
              </a:rPr>
              <a:t>1+</a:t>
            </a:r>
            <a:r>
              <a:rPr lang="vi-VN" sz="1500">
                <a:latin typeface="Times New Roman" panose="02020603050405020304" pitchFamily="18" charset="0"/>
                <a:cs typeface="Times New Roman" panose="02020603050405020304" pitchFamily="18" charset="0"/>
              </a:rPr>
              <a:t>92</a:t>
            </a:r>
            <a:r>
              <a:rPr lang="en-US" sz="1500">
                <a:latin typeface="Times New Roman" panose="02020603050405020304" pitchFamily="18" charset="0"/>
                <a:cs typeface="Times New Roman" panose="02020603050405020304" pitchFamily="18" charset="0"/>
              </a:rPr>
              <a:t>0 PT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9248942754343558E-2"/>
          <c:y val="9.672222522874363E-2"/>
          <c:w val="0.85789334742112056"/>
          <c:h val="0.826880245985226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pp!$B$1</c:f>
              <c:strCache>
                <c:ptCount val="1"/>
                <c:pt idx="0">
                  <c:v>FOS=1</c:v>
                </c:pt>
              </c:strCache>
            </c:strRef>
          </c:tx>
          <c:marker>
            <c:symbol val="none"/>
          </c:marker>
          <c:xVal>
            <c:numRef>
              <c:f>pp!$A$2:$A$31</c:f>
              <c:numCache>
                <c:formatCode>General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1.5</c:v>
                </c:pt>
              </c:numCache>
            </c:numRef>
          </c:xVal>
          <c:yVal>
            <c:numRef>
              <c:f>pp!$B$2:$B$31</c:f>
              <c:numCache>
                <c:formatCode>General</c:formatCode>
                <c:ptCount val="30"/>
                <c:pt idx="2">
                  <c:v>3.6</c:v>
                </c:pt>
                <c:pt idx="3">
                  <c:v>3.25</c:v>
                </c:pt>
                <c:pt idx="4">
                  <c:v>2.875</c:v>
                </c:pt>
                <c:pt idx="5">
                  <c:v>2.5499999999999998</c:v>
                </c:pt>
                <c:pt idx="6">
                  <c:v>2.2999999999999998</c:v>
                </c:pt>
                <c:pt idx="7">
                  <c:v>2.0499999999999998</c:v>
                </c:pt>
                <c:pt idx="8">
                  <c:v>1.875</c:v>
                </c:pt>
                <c:pt idx="9">
                  <c:v>1.73</c:v>
                </c:pt>
                <c:pt idx="10">
                  <c:v>1.6</c:v>
                </c:pt>
                <c:pt idx="11">
                  <c:v>1.45</c:v>
                </c:pt>
                <c:pt idx="12">
                  <c:v>1.33</c:v>
                </c:pt>
                <c:pt idx="13">
                  <c:v>1.2</c:v>
                </c:pt>
                <c:pt idx="14">
                  <c:v>1.1000000000000001</c:v>
                </c:pt>
                <c:pt idx="15">
                  <c:v>1.0149999999999999</c:v>
                </c:pt>
                <c:pt idx="16">
                  <c:v>0.95</c:v>
                </c:pt>
                <c:pt idx="17">
                  <c:v>0.87</c:v>
                </c:pt>
                <c:pt idx="18">
                  <c:v>0.81499999999999995</c:v>
                </c:pt>
                <c:pt idx="19">
                  <c:v>0.77500000000000002</c:v>
                </c:pt>
                <c:pt idx="20">
                  <c:v>0.745</c:v>
                </c:pt>
                <c:pt idx="21">
                  <c:v>0.72499999999999998</c:v>
                </c:pt>
                <c:pt idx="22">
                  <c:v>0.69499999999999995</c:v>
                </c:pt>
                <c:pt idx="23">
                  <c:v>0.66800000000000004</c:v>
                </c:pt>
                <c:pt idx="24">
                  <c:v>0.65</c:v>
                </c:pt>
                <c:pt idx="25">
                  <c:v>0.63</c:v>
                </c:pt>
                <c:pt idx="26">
                  <c:v>0.6</c:v>
                </c:pt>
                <c:pt idx="27">
                  <c:v>0.57999999999999996</c:v>
                </c:pt>
                <c:pt idx="28">
                  <c:v>0.55000000000000004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B2-4912-B8CF-59C04BC89F49}"/>
            </c:ext>
          </c:extLst>
        </c:ser>
        <c:ser>
          <c:idx val="1"/>
          <c:order val="1"/>
          <c:tx>
            <c:v>FOS=1.11</c:v>
          </c:tx>
          <c:marker>
            <c:symbol val="square"/>
            <c:size val="5"/>
          </c:marker>
          <c:xVal>
            <c:numRef>
              <c:f>pp!$C$2:$C$31</c:f>
              <c:numCache>
                <c:formatCode>General</c:formatCode>
                <c:ptCount val="30"/>
                <c:pt idx="0">
                  <c:v>0</c:v>
                </c:pt>
                <c:pt idx="1">
                  <c:v>7.4999999999999997E-2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1.5</c:v>
                </c:pt>
              </c:numCache>
            </c:numRef>
          </c:xVal>
          <c:yVal>
            <c:numRef>
              <c:f>pp!$D$2:$D$31</c:f>
              <c:numCache>
                <c:formatCode>General</c:formatCode>
                <c:ptCount val="30"/>
                <c:pt idx="1">
                  <c:v>2.7</c:v>
                </c:pt>
                <c:pt idx="2">
                  <c:v>2.2999999999999998</c:v>
                </c:pt>
                <c:pt idx="3">
                  <c:v>1.77</c:v>
                </c:pt>
                <c:pt idx="4">
                  <c:v>1.45</c:v>
                </c:pt>
                <c:pt idx="5">
                  <c:v>1.31</c:v>
                </c:pt>
                <c:pt idx="6">
                  <c:v>1.2</c:v>
                </c:pt>
                <c:pt idx="7">
                  <c:v>1.115</c:v>
                </c:pt>
                <c:pt idx="8">
                  <c:v>1.03</c:v>
                </c:pt>
                <c:pt idx="9">
                  <c:v>0.96499999999999997</c:v>
                </c:pt>
                <c:pt idx="10">
                  <c:v>0.875</c:v>
                </c:pt>
                <c:pt idx="11">
                  <c:v>0.83</c:v>
                </c:pt>
                <c:pt idx="12">
                  <c:v>0.78</c:v>
                </c:pt>
                <c:pt idx="13">
                  <c:v>0.74</c:v>
                </c:pt>
                <c:pt idx="14">
                  <c:v>0.7</c:v>
                </c:pt>
                <c:pt idx="15">
                  <c:v>0.66500000000000004</c:v>
                </c:pt>
                <c:pt idx="16">
                  <c:v>0.64500000000000002</c:v>
                </c:pt>
                <c:pt idx="17">
                  <c:v>0.61499999999999999</c:v>
                </c:pt>
                <c:pt idx="18">
                  <c:v>0.57999999999999996</c:v>
                </c:pt>
                <c:pt idx="19">
                  <c:v>0.53500000000000003</c:v>
                </c:pt>
                <c:pt idx="20">
                  <c:v>0.52</c:v>
                </c:pt>
                <c:pt idx="21">
                  <c:v>0.496</c:v>
                </c:pt>
                <c:pt idx="22">
                  <c:v>0.47499999999999998</c:v>
                </c:pt>
                <c:pt idx="23">
                  <c:v>0.45500000000000002</c:v>
                </c:pt>
                <c:pt idx="24">
                  <c:v>0.42</c:v>
                </c:pt>
                <c:pt idx="25">
                  <c:v>0.4</c:v>
                </c:pt>
                <c:pt idx="26">
                  <c:v>0.38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B2-4912-B8CF-59C04BC89F49}"/>
            </c:ext>
          </c:extLst>
        </c:ser>
        <c:ser>
          <c:idx val="2"/>
          <c:order val="2"/>
          <c:tx>
            <c:v>FOS=1.25</c:v>
          </c:tx>
          <c:marker>
            <c:symbol val="circle"/>
            <c:size val="5"/>
          </c:marker>
          <c:xVal>
            <c:numRef>
              <c:f>pp!$E$2:$E$31</c:f>
              <c:numCache>
                <c:formatCode>General</c:formatCode>
                <c:ptCount val="30"/>
                <c:pt idx="0">
                  <c:v>0</c:v>
                </c:pt>
                <c:pt idx="1">
                  <c:v>7.5999999999999998E-2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1.23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1.5</c:v>
                </c:pt>
              </c:numCache>
            </c:numRef>
          </c:xVal>
          <c:yVal>
            <c:numRef>
              <c:f>pp!$F$2:$F$31</c:f>
              <c:numCache>
                <c:formatCode>General</c:formatCode>
                <c:ptCount val="30"/>
                <c:pt idx="1">
                  <c:v>2.2999999999999998</c:v>
                </c:pt>
                <c:pt idx="2">
                  <c:v>1.4</c:v>
                </c:pt>
                <c:pt idx="3">
                  <c:v>1.01</c:v>
                </c:pt>
                <c:pt idx="4">
                  <c:v>0.8</c:v>
                </c:pt>
                <c:pt idx="5">
                  <c:v>0.7</c:v>
                </c:pt>
                <c:pt idx="6">
                  <c:v>0.62</c:v>
                </c:pt>
                <c:pt idx="7">
                  <c:v>0.56200000000000006</c:v>
                </c:pt>
                <c:pt idx="8">
                  <c:v>0.5</c:v>
                </c:pt>
                <c:pt idx="9">
                  <c:v>0.46</c:v>
                </c:pt>
                <c:pt idx="10">
                  <c:v>0.42499999999999999</c:v>
                </c:pt>
                <c:pt idx="11">
                  <c:v>0.39500000000000002</c:v>
                </c:pt>
                <c:pt idx="12">
                  <c:v>0.38</c:v>
                </c:pt>
                <c:pt idx="13">
                  <c:v>0.372</c:v>
                </c:pt>
                <c:pt idx="14">
                  <c:v>0.36</c:v>
                </c:pt>
                <c:pt idx="15">
                  <c:v>0.35099999999999998</c:v>
                </c:pt>
                <c:pt idx="16">
                  <c:v>0.33500000000000002</c:v>
                </c:pt>
                <c:pt idx="17">
                  <c:v>0.315</c:v>
                </c:pt>
                <c:pt idx="18">
                  <c:v>0.29499999999999998</c:v>
                </c:pt>
                <c:pt idx="19">
                  <c:v>0.28599999999999998</c:v>
                </c:pt>
                <c:pt idx="20">
                  <c:v>0.28199999999999997</c:v>
                </c:pt>
                <c:pt idx="21">
                  <c:v>0.27</c:v>
                </c:pt>
                <c:pt idx="22">
                  <c:v>0.27200000000000002</c:v>
                </c:pt>
                <c:pt idx="23">
                  <c:v>0.26800000000000002</c:v>
                </c:pt>
                <c:pt idx="24">
                  <c:v>0.252</c:v>
                </c:pt>
                <c:pt idx="25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B2-4912-B8CF-59C04BC89F49}"/>
            </c:ext>
          </c:extLst>
        </c:ser>
        <c:ser>
          <c:idx val="3"/>
          <c:order val="3"/>
          <c:tx>
            <c:v>FOS=1.43</c:v>
          </c:tx>
          <c:marker>
            <c:symbol val="triangle"/>
            <c:size val="4"/>
          </c:marker>
          <c:xVal>
            <c:numRef>
              <c:f>pp!$G$2:$G$31</c:f>
              <c:numCache>
                <c:formatCode>General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1.5</c:v>
                </c:pt>
              </c:numCache>
            </c:numRef>
          </c:xVal>
          <c:yVal>
            <c:numRef>
              <c:f>pp!$H$2:$H$31</c:f>
              <c:numCache>
                <c:formatCode>General</c:formatCode>
                <c:ptCount val="30"/>
                <c:pt idx="1">
                  <c:v>1.4</c:v>
                </c:pt>
                <c:pt idx="2">
                  <c:v>0.75</c:v>
                </c:pt>
                <c:pt idx="3">
                  <c:v>0.56999999999999995</c:v>
                </c:pt>
                <c:pt idx="4">
                  <c:v>0.45</c:v>
                </c:pt>
                <c:pt idx="5">
                  <c:v>0.4</c:v>
                </c:pt>
                <c:pt idx="6">
                  <c:v>0.36499999999999999</c:v>
                </c:pt>
                <c:pt idx="7">
                  <c:v>0.33</c:v>
                </c:pt>
                <c:pt idx="8">
                  <c:v>0.3</c:v>
                </c:pt>
                <c:pt idx="9">
                  <c:v>0.26</c:v>
                </c:pt>
                <c:pt idx="10">
                  <c:v>0.24</c:v>
                </c:pt>
                <c:pt idx="11">
                  <c:v>0.23</c:v>
                </c:pt>
                <c:pt idx="12">
                  <c:v>0.222</c:v>
                </c:pt>
                <c:pt idx="13">
                  <c:v>0.21</c:v>
                </c:pt>
                <c:pt idx="14">
                  <c:v>0.20200000000000001</c:v>
                </c:pt>
                <c:pt idx="15">
                  <c:v>0.19500000000000001</c:v>
                </c:pt>
                <c:pt idx="16">
                  <c:v>0.191</c:v>
                </c:pt>
                <c:pt idx="17">
                  <c:v>0.189</c:v>
                </c:pt>
                <c:pt idx="18">
                  <c:v>0.185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B2-4912-B8CF-59C04BC89F49}"/>
            </c:ext>
          </c:extLst>
        </c:ser>
        <c:ser>
          <c:idx val="9"/>
          <c:order val="4"/>
          <c:tx>
            <c:v>FOS=1.67</c:v>
          </c:tx>
          <c:spPr>
            <a:ln>
              <a:solidFill>
                <a:srgbClr val="002060"/>
              </a:solidFill>
            </a:ln>
          </c:spPr>
          <c:marker>
            <c:symbol val="diamond"/>
            <c:size val="5"/>
            <c:spPr>
              <a:ln>
                <a:solidFill>
                  <a:srgbClr val="002060"/>
                </a:solidFill>
              </a:ln>
            </c:spPr>
          </c:marker>
          <c:xVal>
            <c:numRef>
              <c:f>pp!$I$2:$I$31</c:f>
              <c:numCache>
                <c:formatCode>General</c:formatCode>
                <c:ptCount val="30"/>
                <c:pt idx="0">
                  <c:v>0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1.5</c:v>
                </c:pt>
              </c:numCache>
            </c:numRef>
          </c:xVal>
          <c:yVal>
            <c:numRef>
              <c:f>pp!$J$2:$J$31</c:f>
              <c:numCache>
                <c:formatCode>General</c:formatCode>
                <c:ptCount val="30"/>
                <c:pt idx="1">
                  <c:v>0.7</c:v>
                </c:pt>
                <c:pt idx="2">
                  <c:v>0.55000000000000004</c:v>
                </c:pt>
                <c:pt idx="3">
                  <c:v>0.35</c:v>
                </c:pt>
                <c:pt idx="4">
                  <c:v>0.25</c:v>
                </c:pt>
                <c:pt idx="5">
                  <c:v>0.20799999999999999</c:v>
                </c:pt>
                <c:pt idx="6">
                  <c:v>0.192</c:v>
                </c:pt>
                <c:pt idx="7">
                  <c:v>0.184</c:v>
                </c:pt>
                <c:pt idx="8">
                  <c:v>0.17499999999999999</c:v>
                </c:pt>
                <c:pt idx="9">
                  <c:v>0.16899999999999998</c:v>
                </c:pt>
                <c:pt idx="10">
                  <c:v>0.16300000000000001</c:v>
                </c:pt>
                <c:pt idx="11">
                  <c:v>0.155</c:v>
                </c:pt>
                <c:pt idx="12">
                  <c:v>0.14499999999999999</c:v>
                </c:pt>
                <c:pt idx="13">
                  <c:v>0.13500000000000001</c:v>
                </c:pt>
                <c:pt idx="14">
                  <c:v>0.125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B2-4912-B8CF-59C04BC8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42880"/>
        <c:axId val="118853632"/>
      </c:scatterChart>
      <c:scatterChart>
        <c:scatterStyle val="lineMarker"/>
        <c:varyColors val="0"/>
        <c:ser>
          <c:idx val="4"/>
          <c:order val="5"/>
          <c:tx>
            <c:strRef>
              <c:f>'Matsuo-Kawamura KM91-PT '!$D$2:$G$2</c:f>
              <c:strCache>
                <c:ptCount val="1"/>
                <c:pt idx="0">
                  <c:v>FOS_actual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4"/>
          </c:marker>
          <c:xVal>
            <c:numRef>
              <c:f>'Matsuo-Kawamura KM91-PT '!$G$5:$G$138</c:f>
              <c:numCache>
                <c:formatCode>0.0000</c:formatCode>
                <c:ptCount val="129"/>
                <c:pt idx="0">
                  <c:v>5.1219231082803645E-4</c:v>
                </c:pt>
                <c:pt idx="1">
                  <c:v>5.7016105172258869E-4</c:v>
                </c:pt>
                <c:pt idx="2">
                  <c:v>6.4082290326016825E-4</c:v>
                </c:pt>
                <c:pt idx="3">
                  <c:v>7.1053627356943696E-4</c:v>
                </c:pt>
                <c:pt idx="4">
                  <c:v>7.7932013227477155E-4</c:v>
                </c:pt>
                <c:pt idx="5">
                  <c:v>8.1336928492321044E-4</c:v>
                </c:pt>
                <c:pt idx="6">
                  <c:v>8.4719294649394277E-4</c:v>
                </c:pt>
                <c:pt idx="7">
                  <c:v>9.0819771241800644E-4</c:v>
                </c:pt>
                <c:pt idx="8">
                  <c:v>1.2665083870969384E-3</c:v>
                </c:pt>
                <c:pt idx="9">
                  <c:v>1.6156901273887843E-3</c:v>
                </c:pt>
                <c:pt idx="10">
                  <c:v>1.956087421383622E-3</c:v>
                </c:pt>
                <c:pt idx="11">
                  <c:v>3.5164155882353378E-3</c:v>
                </c:pt>
                <c:pt idx="12">
                  <c:v>3.8200886297375665E-3</c:v>
                </c:pt>
                <c:pt idx="13">
                  <c:v>4.1184956647399218E-3</c:v>
                </c:pt>
                <c:pt idx="14">
                  <c:v>4.4117724928364657E-3</c:v>
                </c:pt>
                <c:pt idx="15">
                  <c:v>4.7000502840911004E-3</c:v>
                </c:pt>
                <c:pt idx="16">
                  <c:v>5.1450178873237683E-3</c:v>
                </c:pt>
                <c:pt idx="17">
                  <c:v>5.5825279329609935E-3</c:v>
                </c:pt>
                <c:pt idx="18">
                  <c:v>5.8638161851997011E-3</c:v>
                </c:pt>
                <c:pt idx="19">
                  <c:v>6.1573837072021386E-3</c:v>
                </c:pt>
                <c:pt idx="20">
                  <c:v>6.4477340508803278E-3</c:v>
                </c:pt>
                <c:pt idx="21">
                  <c:v>6.7349198131569591E-3</c:v>
                </c:pt>
                <c:pt idx="22">
                  <c:v>7.0189924506387997E-3</c:v>
                </c:pt>
                <c:pt idx="23">
                  <c:v>7.3000023103581878E-3</c:v>
                </c:pt>
                <c:pt idx="24">
                  <c:v>7.6630484169539223E-3</c:v>
                </c:pt>
                <c:pt idx="25">
                  <c:v>7.99322840211668E-3</c:v>
                </c:pt>
                <c:pt idx="26">
                  <c:v>8.3215343633907691E-3</c:v>
                </c:pt>
                <c:pt idx="27">
                  <c:v>8.6480986484778789E-3</c:v>
                </c:pt>
                <c:pt idx="28">
                  <c:v>8.9729350802047383E-3</c:v>
                </c:pt>
                <c:pt idx="29">
                  <c:v>9.1226585626333397E-3</c:v>
                </c:pt>
                <c:pt idx="30">
                  <c:v>9.271594026733665E-3</c:v>
                </c:pt>
                <c:pt idx="31">
                  <c:v>9.5922362204723544E-3</c:v>
                </c:pt>
                <c:pt idx="32">
                  <c:v>9.5671256544501756E-3</c:v>
                </c:pt>
                <c:pt idx="33">
                  <c:v>9.5172968749999143E-3</c:v>
                </c:pt>
                <c:pt idx="34">
                  <c:v>9.6304455958546413E-3</c:v>
                </c:pt>
                <c:pt idx="35">
                  <c:v>9.742427835051512E-3</c:v>
                </c:pt>
                <c:pt idx="36">
                  <c:v>9.8532615384614563E-3</c:v>
                </c:pt>
                <c:pt idx="37">
                  <c:v>9.9629642857143007E-3</c:v>
                </c:pt>
                <c:pt idx="38">
                  <c:v>1.0097180661577436E-2</c:v>
                </c:pt>
                <c:pt idx="39">
                  <c:v>1.023071573604053E-2</c:v>
                </c:pt>
                <c:pt idx="40">
                  <c:v>1.0204815189873342E-2</c:v>
                </c:pt>
                <c:pt idx="41">
                  <c:v>1.0337404040404202E-2</c:v>
                </c:pt>
                <c:pt idx="42">
                  <c:v>1.0469324937027539E-2</c:v>
                </c:pt>
                <c:pt idx="43">
                  <c:v>1.0600582914573217E-2</c:v>
                </c:pt>
                <c:pt idx="44">
                  <c:v>1.0731182957393223E-2</c:v>
                </c:pt>
                <c:pt idx="45">
                  <c:v>1.0861129999999832E-2</c:v>
                </c:pt>
                <c:pt idx="46">
                  <c:v>1.0990428927680729E-2</c:v>
                </c:pt>
                <c:pt idx="47">
                  <c:v>1.1197082089552449E-2</c:v>
                </c:pt>
                <c:pt idx="48">
                  <c:v>1.1402709677419288E-2</c:v>
                </c:pt>
                <c:pt idx="49">
                  <c:v>1.1730854579207821E-2</c:v>
                </c:pt>
                <c:pt idx="50">
                  <c:v>1.2057379012345552E-2</c:v>
                </c:pt>
                <c:pt idx="51">
                  <c:v>1.2382294950738896E-2</c:v>
                </c:pt>
                <c:pt idx="52">
                  <c:v>1.2705614250613924E-2</c:v>
                </c:pt>
                <c:pt idx="53">
                  <c:v>1.3027348651960424E-2</c:v>
                </c:pt>
                <c:pt idx="54">
                  <c:v>1.3347509779951134E-2</c:v>
                </c:pt>
                <c:pt idx="55">
                  <c:v>1.3764436585365978E-2</c:v>
                </c:pt>
                <c:pt idx="56">
                  <c:v>1.4138846985671716E-2</c:v>
                </c:pt>
                <c:pt idx="57">
                  <c:v>1.4492806769147619E-2</c:v>
                </c:pt>
                <c:pt idx="58">
                  <c:v>1.492968556403102E-2</c:v>
                </c:pt>
                <c:pt idx="59">
                  <c:v>1.5370077188318558E-2</c:v>
                </c:pt>
                <c:pt idx="60">
                  <c:v>1.5590273000462326E-2</c:v>
                </c:pt>
                <c:pt idx="61">
                  <c:v>1.5810468812605956E-2</c:v>
                </c:pt>
                <c:pt idx="62">
                  <c:v>1.6250860436893361E-2</c:v>
                </c:pt>
                <c:pt idx="63" formatCode="General">
                  <c:v>1.5941320238095389E-2</c:v>
                </c:pt>
                <c:pt idx="64" formatCode="General">
                  <c:v>1.5941320238095389E-2</c:v>
                </c:pt>
                <c:pt idx="65" formatCode="General">
                  <c:v>1.6069907057822821E-2</c:v>
                </c:pt>
                <c:pt idx="66" formatCode="General">
                  <c:v>1.6198493877550929E-2</c:v>
                </c:pt>
                <c:pt idx="67" formatCode="General">
                  <c:v>1.6327080697279037E-2</c:v>
                </c:pt>
                <c:pt idx="68" formatCode="General">
                  <c:v>1.6455667517006878E-2</c:v>
                </c:pt>
                <c:pt idx="69" formatCode="General">
                  <c:v>1.6584254336734446E-2</c:v>
                </c:pt>
                <c:pt idx="70" formatCode="General">
                  <c:v>1.6477449027498425E-2</c:v>
                </c:pt>
                <c:pt idx="71" formatCode="General">
                  <c:v>1.6477449027498425E-2</c:v>
                </c:pt>
                <c:pt idx="72" formatCode="General">
                  <c:v>1.6604224765257997E-2</c:v>
                </c:pt>
                <c:pt idx="73" formatCode="General">
                  <c:v>1.673100050301797E-2</c:v>
                </c:pt>
                <c:pt idx="74" formatCode="General">
                  <c:v>1.6857776240777944E-2</c:v>
                </c:pt>
                <c:pt idx="75" formatCode="General">
                  <c:v>1.6984551978537783E-2</c:v>
                </c:pt>
                <c:pt idx="76" formatCode="General">
                  <c:v>1.7111327716297624E-2</c:v>
                </c:pt>
                <c:pt idx="77" formatCode="General">
                  <c:v>1.7077749003322179E-2</c:v>
                </c:pt>
                <c:pt idx="78" formatCode="General">
                  <c:v>1.7266143646179309E-2</c:v>
                </c:pt>
                <c:pt idx="79" formatCode="General">
                  <c:v>1.7454538289036439E-2</c:v>
                </c:pt>
                <c:pt idx="80" formatCode="General">
                  <c:v>1.7589105891077154E-2</c:v>
                </c:pt>
                <c:pt idx="81" formatCode="General">
                  <c:v>1.7723673493118264E-2</c:v>
                </c:pt>
                <c:pt idx="82" formatCode="General">
                  <c:v>1.7858241095158846E-2</c:v>
                </c:pt>
                <c:pt idx="83" formatCode="General">
                  <c:v>1.7992808697199821E-2</c:v>
                </c:pt>
                <c:pt idx="84" formatCode="General">
                  <c:v>1.8043453260818125E-2</c:v>
                </c:pt>
                <c:pt idx="85" formatCode="General">
                  <c:v>1.8177397864701506E-2</c:v>
                </c:pt>
                <c:pt idx="86" formatCode="General">
                  <c:v>1.8349644081474856E-2</c:v>
                </c:pt>
                <c:pt idx="87" formatCode="General">
                  <c:v>1.850481800752701E-2</c:v>
                </c:pt>
                <c:pt idx="88" formatCode="General">
                  <c:v>1.8653645345174972E-2</c:v>
                </c:pt>
                <c:pt idx="89" formatCode="General">
                  <c:v>1.8802472682822941E-2</c:v>
                </c:pt>
                <c:pt idx="90" formatCode="General">
                  <c:v>1.895130002047091E-2</c:v>
                </c:pt>
              </c:numCache>
            </c:numRef>
          </c:xVal>
          <c:yVal>
            <c:numRef>
              <c:f>'Matsuo-Kawamura KM91-PT '!$D$5:$D$138</c:f>
              <c:numCache>
                <c:formatCode>0.0000</c:formatCode>
                <c:ptCount val="129"/>
                <c:pt idx="0">
                  <c:v>0.29199999999999998</c:v>
                </c:pt>
                <c:pt idx="1">
                  <c:v>0.29399999999999998</c:v>
                </c:pt>
                <c:pt idx="2">
                  <c:v>0.29599999999999999</c:v>
                </c:pt>
                <c:pt idx="3">
                  <c:v>0.29799999999999999</c:v>
                </c:pt>
                <c:pt idx="4">
                  <c:v>0.3</c:v>
                </c:pt>
                <c:pt idx="5">
                  <c:v>0.30099999999999999</c:v>
                </c:pt>
                <c:pt idx="6">
                  <c:v>0.30199999999999999</c:v>
                </c:pt>
                <c:pt idx="7">
                  <c:v>0.30599999999999999</c:v>
                </c:pt>
                <c:pt idx="8">
                  <c:v>0.31</c:v>
                </c:pt>
                <c:pt idx="9">
                  <c:v>0.314</c:v>
                </c:pt>
                <c:pt idx="10">
                  <c:v>0.318</c:v>
                </c:pt>
                <c:pt idx="11">
                  <c:v>0.34</c:v>
                </c:pt>
                <c:pt idx="12">
                  <c:v>0.34300000000000003</c:v>
                </c:pt>
                <c:pt idx="13">
                  <c:v>0.34599999999999997</c:v>
                </c:pt>
                <c:pt idx="14">
                  <c:v>0.34899999999999998</c:v>
                </c:pt>
                <c:pt idx="15">
                  <c:v>0.35199999999999998</c:v>
                </c:pt>
                <c:pt idx="16">
                  <c:v>0.35499999999999998</c:v>
                </c:pt>
                <c:pt idx="17">
                  <c:v>0.35799999999999998</c:v>
                </c:pt>
                <c:pt idx="18">
                  <c:v>0.36099999999999999</c:v>
                </c:pt>
                <c:pt idx="19">
                  <c:v>0.36299999999999999</c:v>
                </c:pt>
                <c:pt idx="20">
                  <c:v>0.36499999999999999</c:v>
                </c:pt>
                <c:pt idx="21">
                  <c:v>0.36699999999999999</c:v>
                </c:pt>
                <c:pt idx="22">
                  <c:v>0.36899999999999999</c:v>
                </c:pt>
                <c:pt idx="23">
                  <c:v>0.371</c:v>
                </c:pt>
                <c:pt idx="24">
                  <c:v>0.373</c:v>
                </c:pt>
                <c:pt idx="25">
                  <c:v>0.375</c:v>
                </c:pt>
                <c:pt idx="26">
                  <c:v>0.376</c:v>
                </c:pt>
                <c:pt idx="27">
                  <c:v>0.377</c:v>
                </c:pt>
                <c:pt idx="28">
                  <c:v>0.378</c:v>
                </c:pt>
                <c:pt idx="29">
                  <c:v>0.379</c:v>
                </c:pt>
                <c:pt idx="30">
                  <c:v>0.38</c:v>
                </c:pt>
                <c:pt idx="31">
                  <c:v>0.38100000000000001</c:v>
                </c:pt>
                <c:pt idx="32">
                  <c:v>0.38200000000000001</c:v>
                </c:pt>
                <c:pt idx="33">
                  <c:v>0.38400000000000001</c:v>
                </c:pt>
                <c:pt idx="34">
                  <c:v>0.38600000000000001</c:v>
                </c:pt>
                <c:pt idx="35">
                  <c:v>0.38800000000000001</c:v>
                </c:pt>
                <c:pt idx="36">
                  <c:v>0.39</c:v>
                </c:pt>
                <c:pt idx="37">
                  <c:v>0.39200000000000002</c:v>
                </c:pt>
                <c:pt idx="38">
                  <c:v>0.3929999999999999</c:v>
                </c:pt>
                <c:pt idx="39">
                  <c:v>0.39400000000000002</c:v>
                </c:pt>
                <c:pt idx="40">
                  <c:v>0.39499999999999991</c:v>
                </c:pt>
                <c:pt idx="41">
                  <c:v>0.39600000000000002</c:v>
                </c:pt>
                <c:pt idx="42">
                  <c:v>0.39699999999999991</c:v>
                </c:pt>
                <c:pt idx="43">
                  <c:v>0.39800000000000002</c:v>
                </c:pt>
                <c:pt idx="44">
                  <c:v>0.39899999999999991</c:v>
                </c:pt>
                <c:pt idx="45">
                  <c:v>0.4</c:v>
                </c:pt>
                <c:pt idx="46">
                  <c:v>0.40099999999999991</c:v>
                </c:pt>
                <c:pt idx="47">
                  <c:v>0.40200000000000002</c:v>
                </c:pt>
                <c:pt idx="48">
                  <c:v>0.40299999999999991</c:v>
                </c:pt>
                <c:pt idx="49">
                  <c:v>0.40400000000000003</c:v>
                </c:pt>
                <c:pt idx="50">
                  <c:v>0.40499999999999992</c:v>
                </c:pt>
                <c:pt idx="51">
                  <c:v>0.40600000000000003</c:v>
                </c:pt>
                <c:pt idx="52">
                  <c:v>0.40699999999999992</c:v>
                </c:pt>
                <c:pt idx="53">
                  <c:v>0.40800000000000003</c:v>
                </c:pt>
                <c:pt idx="54">
                  <c:v>0.40899999999999992</c:v>
                </c:pt>
                <c:pt idx="55">
                  <c:v>0.41000000000000003</c:v>
                </c:pt>
                <c:pt idx="56">
                  <c:v>0.41099999999999992</c:v>
                </c:pt>
                <c:pt idx="57">
                  <c:v>0.41200000000000003</c:v>
                </c:pt>
                <c:pt idx="58">
                  <c:v>0.41200000000000003</c:v>
                </c:pt>
                <c:pt idx="59">
                  <c:v>0.41200000000000003</c:v>
                </c:pt>
                <c:pt idx="60">
                  <c:v>0.41200000000000003</c:v>
                </c:pt>
                <c:pt idx="61">
                  <c:v>0.41200000000000003</c:v>
                </c:pt>
                <c:pt idx="62">
                  <c:v>0.41200000000000003</c:v>
                </c:pt>
                <c:pt idx="63">
                  <c:v>0.42000000000000004</c:v>
                </c:pt>
                <c:pt idx="64">
                  <c:v>0.42000000000000004</c:v>
                </c:pt>
                <c:pt idx="65">
                  <c:v>0.42000000000000004</c:v>
                </c:pt>
                <c:pt idx="66">
                  <c:v>0.42000000000000004</c:v>
                </c:pt>
                <c:pt idx="67">
                  <c:v>0.42000000000000004</c:v>
                </c:pt>
                <c:pt idx="68">
                  <c:v>0.42000000000000004</c:v>
                </c:pt>
                <c:pt idx="69">
                  <c:v>0.42000000000000004</c:v>
                </c:pt>
                <c:pt idx="70">
                  <c:v>0.42600000000000005</c:v>
                </c:pt>
                <c:pt idx="71">
                  <c:v>0.42600000000000005</c:v>
                </c:pt>
                <c:pt idx="72">
                  <c:v>0.42600000000000005</c:v>
                </c:pt>
                <c:pt idx="73">
                  <c:v>0.42600000000000005</c:v>
                </c:pt>
                <c:pt idx="74">
                  <c:v>0.42600000000000005</c:v>
                </c:pt>
                <c:pt idx="75">
                  <c:v>0.42600000000000005</c:v>
                </c:pt>
                <c:pt idx="76">
                  <c:v>0.42600000000000005</c:v>
                </c:pt>
                <c:pt idx="77">
                  <c:v>0.43000000000000005</c:v>
                </c:pt>
                <c:pt idx="78">
                  <c:v>0.43000000000000005</c:v>
                </c:pt>
                <c:pt idx="79">
                  <c:v>0.43000000000000005</c:v>
                </c:pt>
                <c:pt idx="80">
                  <c:v>0.43000000000000005</c:v>
                </c:pt>
                <c:pt idx="81">
                  <c:v>0.43000000000000005</c:v>
                </c:pt>
                <c:pt idx="82">
                  <c:v>0.43000000000000005</c:v>
                </c:pt>
                <c:pt idx="83">
                  <c:v>0.43000000000000005</c:v>
                </c:pt>
                <c:pt idx="84">
                  <c:v>0.43200000000000005</c:v>
                </c:pt>
                <c:pt idx="85">
                  <c:v>0.43200000000000005</c:v>
                </c:pt>
                <c:pt idx="86">
                  <c:v>0.43200000000000005</c:v>
                </c:pt>
                <c:pt idx="87">
                  <c:v>0.43200000000000005</c:v>
                </c:pt>
                <c:pt idx="88">
                  <c:v>0.43200000000000005</c:v>
                </c:pt>
                <c:pt idx="89">
                  <c:v>0.43200000000000005</c:v>
                </c:pt>
                <c:pt idx="90">
                  <c:v>0.43200000000000005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B2-4912-B8CF-59C04BC89F49}"/>
            </c:ext>
          </c:extLst>
        </c:ser>
        <c:ser>
          <c:idx val="5"/>
          <c:order val="6"/>
          <c:tx>
            <c:strRef>
              <c:f>'Matsuo-Kawamura KM91-PT '!$H$2:$J$2</c:f>
              <c:strCache>
                <c:ptCount val="1"/>
                <c:pt idx="0">
                  <c:v>FOS_actual_corrected</c:v>
                </c:pt>
              </c:strCache>
              <c:extLst xmlns:c15="http://schemas.microsoft.com/office/drawing/2012/chart"/>
            </c:strRef>
          </c:tx>
          <c:spPr>
            <a:ln w="19050">
              <a:noFill/>
            </a:ln>
          </c:spPr>
          <c:marker>
            <c:symbol val="circle"/>
            <c:size val="4"/>
            <c:spPr>
              <a:noFill/>
              <a:ln w="38100"/>
            </c:spPr>
          </c:marker>
          <c:xVal>
            <c:numRef>
              <c:f>'Matsuo-Kawamura KM91-PT '!$J$5:$J$41</c:f>
              <c:extLst xmlns:c15="http://schemas.microsoft.com/office/drawing/2012/chart"/>
            </c:numRef>
          </c:xVal>
          <c:yVal>
            <c:numRef>
              <c:f>'Matsuo-Kawamura KM91-PT '!$H$5:$H$41</c:f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2B2-4912-B8CF-59C04BC8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42880"/>
        <c:axId val="118853632"/>
        <c:extLst/>
      </c:scatterChart>
      <c:valAx>
        <c:axId val="118842880"/>
        <c:scaling>
          <c:orientation val="minMax"/>
          <c:max val="1.4"/>
          <c:min val="0"/>
        </c:scaling>
        <c:delete val="0"/>
        <c:axPos val="b"/>
        <c:majorGridlines>
          <c:spPr>
            <a:ln w="12700" cap="flat" cmpd="sng" algn="ctr">
              <a:solidFill>
                <a:schemeClr val="tx1">
                  <a:alpha val="32000"/>
                </a:schemeClr>
              </a:solidFill>
              <a:prstDash val="sysDash"/>
              <a:round/>
            </a:ln>
            <a:effectLst/>
          </c:spPr>
        </c:majorGridlines>
        <c:minorGridlines>
          <c:spPr>
            <a:ln w="12700" cmpd="sng">
              <a:prstDash val="sysDash"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cap="none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ysDash"/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53632"/>
        <c:crosses val="autoZero"/>
        <c:crossBetween val="midCat"/>
        <c:majorUnit val="0.2"/>
        <c:minorUnit val="0.1"/>
      </c:valAx>
      <c:valAx>
        <c:axId val="118853632"/>
        <c:scaling>
          <c:orientation val="minMax"/>
          <c:max val="4"/>
        </c:scaling>
        <c:delete val="0"/>
        <c:axPos val="l"/>
        <c:majorGridlines>
          <c:spPr>
            <a:ln w="12700" cap="flat" cmpd="sng" algn="ctr">
              <a:solidFill>
                <a:schemeClr val="tx1">
                  <a:alpha val="32000"/>
                </a:schemeClr>
              </a:solidFill>
              <a:prstDash val="sysDash"/>
              <a:round/>
            </a:ln>
            <a:effectLst/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cap="none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ysDash"/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42880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310135675173744"/>
          <c:y val="0.11592154914657153"/>
          <c:w val="0.37889517035253656"/>
          <c:h val="0.36357270113452478"/>
        </c:manualLayout>
      </c:layout>
      <c:overlay val="0"/>
      <c:spPr>
        <a:solidFill>
          <a:schemeClr val="bg1"/>
        </a:solidFill>
        <a:ln>
          <a:solidFill>
            <a:schemeClr val="bg2">
              <a:lumMod val="25000"/>
            </a:schemeClr>
          </a:solidFill>
        </a:ln>
        <a:effectLst>
          <a:outerShdw blurRad="50800" dist="50800" dir="5400000" algn="ctr" rotWithShape="0">
            <a:schemeClr val="bg1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en-US"/>
              <a:t>Method of Kurihara Km91+920 Trái</a:t>
            </a:r>
          </a:p>
        </c:rich>
      </c:tx>
      <c:layout>
        <c:manualLayout>
          <c:xMode val="edge"/>
          <c:yMode val="edge"/>
          <c:x val="0.23435546971722873"/>
          <c:y val="1.57750501775513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66042534459183"/>
          <c:y val="0.10493852519642774"/>
          <c:w val="0.84475582164815177"/>
          <c:h val="0.77983695794141816"/>
        </c:manualLayout>
      </c:layout>
      <c:scatterChart>
        <c:scatterStyle val="smoothMarker"/>
        <c:varyColors val="0"/>
        <c:ser>
          <c:idx val="0"/>
          <c:order val="0"/>
          <c:tx>
            <c:v>A1 구간</c:v>
          </c:tx>
          <c:spPr>
            <a:ln w="28575">
              <a:solidFill>
                <a:schemeClr val="tx2"/>
              </a:solidFill>
              <a:prstDash val="solid"/>
            </a:ln>
          </c:spPr>
          <c:marker>
            <c:symbol val="diamond"/>
            <c:size val="3"/>
            <c:spPr>
              <a:solidFill>
                <a:schemeClr val="tx2"/>
              </a:solidFill>
              <a:ln w="28575">
                <a:solidFill>
                  <a:schemeClr val="tx2"/>
                </a:solidFill>
                <a:prstDash val="solid"/>
              </a:ln>
            </c:spPr>
          </c:marker>
          <c:xVal>
            <c:numRef>
              <c:f>'1(kurihara)'!$B$128:$B$209</c:f>
              <c:numCache>
                <c:formatCode>0.0_ </c:formatCode>
                <c:ptCount val="8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45</c:v>
                </c:pt>
                <c:pt idx="40">
                  <c:v>52</c:v>
                </c:pt>
                <c:pt idx="41">
                  <c:v>59</c:v>
                </c:pt>
                <c:pt idx="42">
                  <c:v>66</c:v>
                </c:pt>
                <c:pt idx="43">
                  <c:v>73</c:v>
                </c:pt>
                <c:pt idx="44">
                  <c:v>80</c:v>
                </c:pt>
                <c:pt idx="45">
                  <c:v>87</c:v>
                </c:pt>
                <c:pt idx="46">
                  <c:v>94</c:v>
                </c:pt>
              </c:numCache>
            </c:numRef>
          </c:xVal>
          <c:yVal>
            <c:numRef>
              <c:f>'1(kurihara)'!$C$128:$C$227</c:f>
              <c:numCache>
                <c:formatCode>0.000_ </c:formatCode>
                <c:ptCount val="100"/>
                <c:pt idx="0" formatCode="@">
                  <c:v>0</c:v>
                </c:pt>
                <c:pt idx="1">
                  <c:v>5.6825251190502968E-2</c:v>
                </c:pt>
                <c:pt idx="2">
                  <c:v>9.4218980158700533E-3</c:v>
                </c:pt>
                <c:pt idx="3">
                  <c:v>8.7167301587328522E-3</c:v>
                </c:pt>
                <c:pt idx="4">
                  <c:v>8.7167301587328383E-3</c:v>
                </c:pt>
                <c:pt idx="5">
                  <c:v>8.7167301587271623E-3</c:v>
                </c:pt>
                <c:pt idx="6">
                  <c:v>4.3583650793607431E-3</c:v>
                </c:pt>
                <c:pt idx="7">
                  <c:v>4.3583650793664191E-3</c:v>
                </c:pt>
                <c:pt idx="8">
                  <c:v>8.7167301587271623E-3</c:v>
                </c:pt>
                <c:pt idx="9">
                  <c:v>1.5600486666664873E-2</c:v>
                </c:pt>
                <c:pt idx="10">
                  <c:v>1.6042483333347957E-2</c:v>
                </c:pt>
                <c:pt idx="11">
                  <c:v>1.7348259999999976E-2</c:v>
                </c:pt>
                <c:pt idx="12">
                  <c:v>1.7348259999988624E-2</c:v>
                </c:pt>
                <c:pt idx="13">
                  <c:v>1.7348260000011356E-2</c:v>
                </c:pt>
                <c:pt idx="14">
                  <c:v>1.7348259999988597E-2</c:v>
                </c:pt>
                <c:pt idx="15">
                  <c:v>0</c:v>
                </c:pt>
                <c:pt idx="16">
                  <c:v>1.8307950000001932E-2</c:v>
                </c:pt>
                <c:pt idx="17">
                  <c:v>1.8395180000004507E-2</c:v>
                </c:pt>
                <c:pt idx="18">
                  <c:v>1.8395179999998845E-2</c:v>
                </c:pt>
                <c:pt idx="19">
                  <c:v>1.8395179999993183E-2</c:v>
                </c:pt>
                <c:pt idx="20">
                  <c:v>1.8395179999998845E-2</c:v>
                </c:pt>
                <c:pt idx="21">
                  <c:v>1.8395179999998845E-2</c:v>
                </c:pt>
                <c:pt idx="22">
                  <c:v>2.7592770000006817E-2</c:v>
                </c:pt>
                <c:pt idx="23">
                  <c:v>2.7592770000001099E-2</c:v>
                </c:pt>
                <c:pt idx="24">
                  <c:v>8.0506714285661363E-3</c:v>
                </c:pt>
                <c:pt idx="25">
                  <c:v>8.0506714285718539E-3</c:v>
                </c:pt>
                <c:pt idx="26">
                  <c:v>8.0506714285718539E-3</c:v>
                </c:pt>
                <c:pt idx="27">
                  <c:v>8.0506714285717984E-3</c:v>
                </c:pt>
                <c:pt idx="28">
                  <c:v>8.0506714285775161E-3</c:v>
                </c:pt>
                <c:pt idx="29">
                  <c:v>8.0506714285718539E-3</c:v>
                </c:pt>
                <c:pt idx="30">
                  <c:v>1.0882659523804183E-2</c:v>
                </c:pt>
                <c:pt idx="31">
                  <c:v>1.0538799999994852E-2</c:v>
                </c:pt>
                <c:pt idx="32">
                  <c:v>1.0402702380963524E-2</c:v>
                </c:pt>
                <c:pt idx="33">
                  <c:v>1.0402702380946538E-2</c:v>
                </c:pt>
                <c:pt idx="34">
                  <c:v>1.0402702380952145E-2</c:v>
                </c:pt>
                <c:pt idx="35">
                  <c:v>5.2013511904761001E-3</c:v>
                </c:pt>
                <c:pt idx="36">
                  <c:v>5.2013511904818177E-3</c:v>
                </c:pt>
                <c:pt idx="37">
                  <c:v>1.0402702380946427E-2</c:v>
                </c:pt>
                <c:pt idx="38">
                  <c:v>0</c:v>
                </c:pt>
                <c:pt idx="39">
                  <c:v>0</c:v>
                </c:pt>
                <c:pt idx="40">
                  <c:v>7.0121952380678267E-4</c:v>
                </c:pt>
                <c:pt idx="41">
                  <c:v>7.0121952381328539E-4</c:v>
                </c:pt>
                <c:pt idx="42">
                  <c:v>7.012195238084004E-4</c:v>
                </c:pt>
                <c:pt idx="43">
                  <c:v>7.0121952381003397E-4</c:v>
                </c:pt>
                <c:pt idx="44">
                  <c:v>7.012195238108429E-4</c:v>
                </c:pt>
                <c:pt idx="45">
                  <c:v>8.5202238095283267E-4</c:v>
                </c:pt>
                <c:pt idx="4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13-49C6-9C2E-2948849B7646}"/>
            </c:ext>
          </c:extLst>
        </c:ser>
        <c:ser>
          <c:idx val="4"/>
          <c:order val="1"/>
          <c:tx>
            <c:v>계열5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'1(kurihara)'!$E$128:$E$129</c:f>
              <c:numCache>
                <c:formatCode>0.0_ </c:formatCode>
                <c:ptCount val="2"/>
                <c:pt idx="0">
                  <c:v>0</c:v>
                </c:pt>
                <c:pt idx="1">
                  <c:v>280</c:v>
                </c:pt>
              </c:numCache>
            </c:numRef>
          </c:xVal>
          <c:yVal>
            <c:numRef>
              <c:f>'1(kurihara)'!$F$128:$F$129</c:f>
              <c:numCache>
                <c:formatCode>0.0_ 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13-49C6-9C2E-2948849B7646}"/>
            </c:ext>
          </c:extLst>
        </c:ser>
        <c:ser>
          <c:idx val="3"/>
          <c:order val="2"/>
          <c:tx>
            <c:v>관리기준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2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'1(kurihara)'!$E$128:$E$129</c:f>
              <c:numCache>
                <c:formatCode>0.0_ </c:formatCode>
                <c:ptCount val="2"/>
                <c:pt idx="0">
                  <c:v>0</c:v>
                </c:pt>
                <c:pt idx="1">
                  <c:v>280</c:v>
                </c:pt>
              </c:numCache>
            </c:numRef>
          </c:xVal>
          <c:yVal>
            <c:numRef>
              <c:f>'1(kurihara)'!$G$128:$G$420</c:f>
              <c:numCache>
                <c:formatCode>0.0_ </c:formatCode>
                <c:ptCount val="293"/>
                <c:pt idx="0">
                  <c:v>-0.5</c:v>
                </c:pt>
                <c:pt idx="1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13-49C6-9C2E-2948849B7646}"/>
            </c:ext>
          </c:extLst>
        </c:ser>
        <c:ser>
          <c:idx val="1"/>
          <c:order val="3"/>
          <c:tx>
            <c:strRef>
              <c:f>'1(kurihara)'!$F$125:$F$126</c:f>
              <c:strCache>
                <c:ptCount val="2"/>
                <c:pt idx="0">
                  <c:v>2 </c:v>
                </c:pt>
                <c:pt idx="1">
                  <c:v>2 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'1(kurihara)'!$E$128:$E$129</c:f>
              <c:numCache>
                <c:formatCode>0.0_ </c:formatCode>
                <c:ptCount val="2"/>
                <c:pt idx="0">
                  <c:v>0</c:v>
                </c:pt>
                <c:pt idx="1">
                  <c:v>280</c:v>
                </c:pt>
              </c:numCache>
            </c:numRef>
          </c:xVal>
          <c:yVal>
            <c:numRef>
              <c:f>'1(kurihara)'!$F$125:$F$126</c:f>
              <c:numCache>
                <c:formatCode>0_ 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13-49C6-9C2E-2948849B7646}"/>
            </c:ext>
          </c:extLst>
        </c:ser>
        <c:ser>
          <c:idx val="2"/>
          <c:order val="4"/>
          <c:tx>
            <c:strRef>
              <c:f>'1(kurihara)'!$G$125:$G$126</c:f>
              <c:strCache>
                <c:ptCount val="2"/>
                <c:pt idx="0">
                  <c:v>-2 </c:v>
                </c:pt>
                <c:pt idx="1">
                  <c:v>-2 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'1(kurihara)'!$E$128:$E$129</c:f>
              <c:numCache>
                <c:formatCode>0.0_ </c:formatCode>
                <c:ptCount val="2"/>
                <c:pt idx="0">
                  <c:v>0</c:v>
                </c:pt>
                <c:pt idx="1">
                  <c:v>280</c:v>
                </c:pt>
              </c:numCache>
            </c:numRef>
          </c:xVal>
          <c:yVal>
            <c:numRef>
              <c:f>'1(kurihara)'!$G$125:$G$126</c:f>
              <c:numCache>
                <c:formatCode>0_ </c:formatCode>
                <c:ptCount val="2"/>
                <c:pt idx="0">
                  <c:v>-2</c:v>
                </c:pt>
                <c:pt idx="1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13-49C6-9C2E-2948849B7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042784"/>
        <c:axId val="1"/>
      </c:scatterChart>
      <c:valAx>
        <c:axId val="722042784"/>
        <c:scaling>
          <c:orientation val="minMax"/>
          <c:max val="9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돋움"/>
                    <a:ea typeface="돋움"/>
                    <a:cs typeface="돋움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6990970468314103"/>
              <c:y val="0.94444641219155556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in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1"/>
        <c:crosses val="autoZero"/>
        <c:crossBetween val="midCat"/>
        <c:majorUnit val="5"/>
        <c:minorUnit val="1"/>
      </c:valAx>
      <c:valAx>
        <c:axId val="1"/>
        <c:scaling>
          <c:orientation val="minMax"/>
          <c:max val="3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돋움"/>
                    <a:ea typeface="돋움"/>
                    <a:cs typeface="돋움"/>
                  </a:defRPr>
                </a:pPr>
                <a:r>
                  <a:rPr lang="en-US"/>
                  <a:t>Horizontal Displacement / Day, (cm/day)</a:t>
                </a:r>
              </a:p>
            </c:rich>
          </c:tx>
          <c:layout>
            <c:manualLayout>
              <c:xMode val="edge"/>
              <c:yMode val="edge"/>
              <c:x val="6.9931824559665888E-3"/>
              <c:y val="0.2242802586527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722042784"/>
        <c:crosses val="autoZero"/>
        <c:crossBetween val="midCat"/>
        <c:majorUnit val="0.5"/>
        <c:minorUnit val="0.5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en-US"/>
              <a:t>Method of Kurihara Km91+920 Phải</a:t>
            </a:r>
          </a:p>
        </c:rich>
      </c:tx>
      <c:layout>
        <c:manualLayout>
          <c:xMode val="edge"/>
          <c:yMode val="edge"/>
          <c:x val="0.23016265062224811"/>
          <c:y val="1.30314052438946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20030043414384"/>
          <c:y val="0.10493848762731818"/>
          <c:w val="0.84475582164815177"/>
          <c:h val="0.77983695794141816"/>
        </c:manualLayout>
      </c:layout>
      <c:scatterChart>
        <c:scatterStyle val="smoothMarker"/>
        <c:varyColors val="0"/>
        <c:ser>
          <c:idx val="0"/>
          <c:order val="0"/>
          <c:tx>
            <c:v>A1 구간</c:v>
          </c:tx>
          <c:spPr>
            <a:ln w="285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 w="28575">
                <a:solidFill>
                  <a:srgbClr val="000080"/>
                </a:solidFill>
                <a:prstDash val="solid"/>
              </a:ln>
            </c:spPr>
          </c:marker>
          <c:xVal>
            <c:numRef>
              <c:f>'1(kurihara)'!$I$128:$I$203</c:f>
              <c:numCache>
                <c:formatCode>0.0_ </c:formatCode>
                <c:ptCount val="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45</c:v>
                </c:pt>
                <c:pt idx="40">
                  <c:v>52</c:v>
                </c:pt>
                <c:pt idx="41">
                  <c:v>59</c:v>
                </c:pt>
                <c:pt idx="42">
                  <c:v>66</c:v>
                </c:pt>
                <c:pt idx="43">
                  <c:v>73</c:v>
                </c:pt>
                <c:pt idx="44">
                  <c:v>80</c:v>
                </c:pt>
                <c:pt idx="45">
                  <c:v>87</c:v>
                </c:pt>
                <c:pt idx="46">
                  <c:v>94</c:v>
                </c:pt>
              </c:numCache>
            </c:numRef>
          </c:xVal>
          <c:yVal>
            <c:numRef>
              <c:f>'1(kurihara)'!$J$128:$J$205</c:f>
              <c:numCache>
                <c:formatCode>0.000_ </c:formatCode>
                <c:ptCount val="78"/>
                <c:pt idx="0">
                  <c:v>0</c:v>
                </c:pt>
                <c:pt idx="1">
                  <c:v>1.4956015476178664E-2</c:v>
                </c:pt>
                <c:pt idx="2">
                  <c:v>1.8067194444654436E-3</c:v>
                </c:pt>
                <c:pt idx="3">
                  <c:v>2.2056230158568717E-3</c:v>
                </c:pt>
                <c:pt idx="4">
                  <c:v>2.2056230158682411E-3</c:v>
                </c:pt>
                <c:pt idx="5">
                  <c:v>2.205623015873924E-3</c:v>
                </c:pt>
                <c:pt idx="6">
                  <c:v>1.1028115079454899E-3</c:v>
                </c:pt>
                <c:pt idx="7">
                  <c:v>1.1028115079284376E-3</c:v>
                </c:pt>
                <c:pt idx="8">
                  <c:v>2.205623015873924E-3</c:v>
                </c:pt>
                <c:pt idx="9">
                  <c:v>1.1470910000014097E-2</c:v>
                </c:pt>
                <c:pt idx="10">
                  <c:v>1.1470910000002735E-2</c:v>
                </c:pt>
                <c:pt idx="11">
                  <c:v>1.1470909999991362E-2</c:v>
                </c:pt>
                <c:pt idx="12">
                  <c:v>1.1470910000008425E-2</c:v>
                </c:pt>
                <c:pt idx="13">
                  <c:v>1.1470910000008411E-2</c:v>
                </c:pt>
                <c:pt idx="14">
                  <c:v>1.1470909999968623E-2</c:v>
                </c:pt>
                <c:pt idx="15">
                  <c:v>0</c:v>
                </c:pt>
                <c:pt idx="16">
                  <c:v>1.1470909999997045E-2</c:v>
                </c:pt>
                <c:pt idx="17">
                  <c:v>1.1470910000019791E-2</c:v>
                </c:pt>
                <c:pt idx="18">
                  <c:v>1.1470909999997059E-2</c:v>
                </c:pt>
                <c:pt idx="19">
                  <c:v>1.1470910000002721E-2</c:v>
                </c:pt>
                <c:pt idx="20">
                  <c:v>1.1470909999991369E-2</c:v>
                </c:pt>
                <c:pt idx="21">
                  <c:v>1.1470910000014101E-2</c:v>
                </c:pt>
                <c:pt idx="22">
                  <c:v>1.7206364999987039E-2</c:v>
                </c:pt>
                <c:pt idx="23">
                  <c:v>1.7206365000009771E-2</c:v>
                </c:pt>
                <c:pt idx="24">
                  <c:v>1.182926428570566E-2</c:v>
                </c:pt>
                <c:pt idx="25">
                  <c:v>1.1829264285728419E-2</c:v>
                </c:pt>
                <c:pt idx="26">
                  <c:v>1.1829264285694335E-2</c:v>
                </c:pt>
                <c:pt idx="27">
                  <c:v>1.1829264285728419E-2</c:v>
                </c:pt>
                <c:pt idx="28">
                  <c:v>1.1829264285711349E-2</c:v>
                </c:pt>
                <c:pt idx="29">
                  <c:v>1.1829264285717067E-2</c:v>
                </c:pt>
                <c:pt idx="30">
                  <c:v>1.5001620238092483E-2</c:v>
                </c:pt>
                <c:pt idx="31">
                  <c:v>1.3914359126994236E-2</c:v>
                </c:pt>
                <c:pt idx="32">
                  <c:v>1.3143626984117418E-2</c:v>
                </c:pt>
                <c:pt idx="33">
                  <c:v>1.314362698412308E-2</c:v>
                </c:pt>
                <c:pt idx="34">
                  <c:v>1.314362698412308E-2</c:v>
                </c:pt>
                <c:pt idx="35">
                  <c:v>6.5718134920644822E-3</c:v>
                </c:pt>
                <c:pt idx="36">
                  <c:v>6.5718134920757509E-3</c:v>
                </c:pt>
                <c:pt idx="37">
                  <c:v>1.3143626984117363E-2</c:v>
                </c:pt>
                <c:pt idx="38">
                  <c:v>0</c:v>
                </c:pt>
                <c:pt idx="39">
                  <c:v>0</c:v>
                </c:pt>
                <c:pt idx="40">
                  <c:v>8.9585714285606813E-4</c:v>
                </c:pt>
                <c:pt idx="41">
                  <c:v>8.9585714285850271E-4</c:v>
                </c:pt>
                <c:pt idx="42">
                  <c:v>8.9585714285687706E-4</c:v>
                </c:pt>
                <c:pt idx="43">
                  <c:v>8.9585714285768587E-4</c:v>
                </c:pt>
                <c:pt idx="44">
                  <c:v>8.9585714285606813E-4</c:v>
                </c:pt>
                <c:pt idx="45">
                  <c:v>8.9585714285768587E-4</c:v>
                </c:pt>
                <c:pt idx="4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A0-4F2D-98BF-D9F70D7E1976}"/>
            </c:ext>
          </c:extLst>
        </c:ser>
        <c:ser>
          <c:idx val="4"/>
          <c:order val="1"/>
          <c:tx>
            <c:v>계열5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'1(kurihara)'!$E$128:$E$129</c:f>
              <c:numCache>
                <c:formatCode>0.0_ </c:formatCode>
                <c:ptCount val="2"/>
                <c:pt idx="0">
                  <c:v>0</c:v>
                </c:pt>
                <c:pt idx="1">
                  <c:v>280</c:v>
                </c:pt>
              </c:numCache>
            </c:numRef>
          </c:xVal>
          <c:yVal>
            <c:numRef>
              <c:f>'1(kurihara)'!$F$128:$F$129</c:f>
              <c:numCache>
                <c:formatCode>0.0_ 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A0-4F2D-98BF-D9F70D7E1976}"/>
            </c:ext>
          </c:extLst>
        </c:ser>
        <c:ser>
          <c:idx val="3"/>
          <c:order val="2"/>
          <c:tx>
            <c:v>관리기준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2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'1(kurihara)'!$E$128:$E$129</c:f>
              <c:numCache>
                <c:formatCode>0.0_ </c:formatCode>
                <c:ptCount val="2"/>
                <c:pt idx="0">
                  <c:v>0</c:v>
                </c:pt>
                <c:pt idx="1">
                  <c:v>280</c:v>
                </c:pt>
              </c:numCache>
            </c:numRef>
          </c:xVal>
          <c:yVal>
            <c:numRef>
              <c:f>'1(kurihara)'!$G$128:$G$420</c:f>
              <c:numCache>
                <c:formatCode>0.0_ </c:formatCode>
                <c:ptCount val="293"/>
                <c:pt idx="0">
                  <c:v>-0.5</c:v>
                </c:pt>
                <c:pt idx="1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A0-4F2D-98BF-D9F70D7E1976}"/>
            </c:ext>
          </c:extLst>
        </c:ser>
        <c:ser>
          <c:idx val="1"/>
          <c:order val="3"/>
          <c:tx>
            <c:strRef>
              <c:f>'1(kurihara)'!$F$125:$F$126</c:f>
              <c:strCache>
                <c:ptCount val="2"/>
                <c:pt idx="0">
                  <c:v>2 </c:v>
                </c:pt>
                <c:pt idx="1">
                  <c:v>2 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'1(kurihara)'!$E$128:$E$129</c:f>
              <c:numCache>
                <c:formatCode>0.0_ </c:formatCode>
                <c:ptCount val="2"/>
                <c:pt idx="0">
                  <c:v>0</c:v>
                </c:pt>
                <c:pt idx="1">
                  <c:v>280</c:v>
                </c:pt>
              </c:numCache>
            </c:numRef>
          </c:xVal>
          <c:yVal>
            <c:numRef>
              <c:f>'1(kurihara)'!$F$125:$F$126</c:f>
              <c:numCache>
                <c:formatCode>0_ 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A0-4F2D-98BF-D9F70D7E1976}"/>
            </c:ext>
          </c:extLst>
        </c:ser>
        <c:ser>
          <c:idx val="2"/>
          <c:order val="4"/>
          <c:tx>
            <c:strRef>
              <c:f>'1(kurihara)'!$G$125:$G$126</c:f>
              <c:strCache>
                <c:ptCount val="2"/>
                <c:pt idx="0">
                  <c:v>-2 </c:v>
                </c:pt>
                <c:pt idx="1">
                  <c:v>-2 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'1(kurihara)'!$E$128:$E$129</c:f>
              <c:numCache>
                <c:formatCode>0.0_ </c:formatCode>
                <c:ptCount val="2"/>
                <c:pt idx="0">
                  <c:v>0</c:v>
                </c:pt>
                <c:pt idx="1">
                  <c:v>280</c:v>
                </c:pt>
              </c:numCache>
            </c:numRef>
          </c:xVal>
          <c:yVal>
            <c:numRef>
              <c:f>'1(kurihara)'!$G$125:$G$126</c:f>
              <c:numCache>
                <c:formatCode>0_ </c:formatCode>
                <c:ptCount val="2"/>
                <c:pt idx="0">
                  <c:v>-2</c:v>
                </c:pt>
                <c:pt idx="1">
                  <c:v>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A0-4F2D-98BF-D9F70D7E1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421696"/>
        <c:axId val="1"/>
      </c:scatterChart>
      <c:valAx>
        <c:axId val="790421696"/>
        <c:scaling>
          <c:orientation val="minMax"/>
          <c:max val="9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돋움"/>
                    <a:ea typeface="돋움"/>
                    <a:cs typeface="돋움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6571707551612507"/>
              <c:y val="0.94444641219155556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in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1"/>
        <c:crosses val="autoZero"/>
        <c:crossBetween val="midCat"/>
        <c:majorUnit val="5"/>
        <c:minorUnit val="1"/>
      </c:valAx>
      <c:valAx>
        <c:axId val="1"/>
        <c:scaling>
          <c:orientation val="minMax"/>
          <c:max val="3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돋움"/>
                    <a:ea typeface="돋움"/>
                    <a:cs typeface="돋움"/>
                  </a:defRPr>
                </a:pPr>
                <a:r>
                  <a:rPr lang="en-US"/>
                  <a:t>Horizontal Displacement / Day, (cm/day)</a:t>
                </a:r>
              </a:p>
            </c:rich>
          </c:tx>
          <c:layout>
            <c:manualLayout>
              <c:xMode val="edge"/>
              <c:yMode val="edge"/>
              <c:x val="6.9930875955436563E-3"/>
              <c:y val="0.2242802586527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790421696"/>
        <c:crosses val="autoZero"/>
        <c:crossBetween val="midCat"/>
        <c:majorUnit val="0.5"/>
        <c:minorUnit val="0.5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en-US"/>
              <a:t>Method of Tominaga-Hashimoto</a:t>
            </a:r>
          </a:p>
        </c:rich>
      </c:tx>
      <c:layout>
        <c:manualLayout>
          <c:xMode val="edge"/>
          <c:yMode val="edge"/>
          <c:x val="0.26580515154903883"/>
          <c:y val="4.84072632683366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671933552165648E-2"/>
          <c:y val="8.9455724164747605E-2"/>
          <c:w val="0.89140917476065984"/>
          <c:h val="0.85842069478771399"/>
        </c:manualLayout>
      </c:layout>
      <c:scatterChart>
        <c:scatterStyle val="smoothMarker"/>
        <c:varyColors val="0"/>
        <c:ser>
          <c:idx val="1"/>
          <c:order val="0"/>
          <c:tx>
            <c:v>0.3</c:v>
          </c:tx>
          <c:spPr>
            <a:ln w="25400">
              <a:solidFill>
                <a:srgbClr val="003300"/>
              </a:solidFill>
              <a:prstDash val="solid"/>
            </a:ln>
          </c:spPr>
          <c:marker>
            <c:symbol val="none"/>
          </c:marker>
          <c:xVal>
            <c:numRef>
              <c:f>'2(hashimoto)  '!$K$8:$K$27</c:f>
              <c:numCache>
                <c:formatCode>0.0_ </c:formatCode>
                <c:ptCount val="20"/>
                <c:pt idx="0">
                  <c:v>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</c:numCache>
            </c:numRef>
          </c:xVal>
          <c:yVal>
            <c:numRef>
              <c:f>'2(hashimoto)  '!$L$8:$L$27</c:f>
              <c:numCache>
                <c:formatCode>General</c:formatCode>
                <c:ptCount val="20"/>
                <c:pt idx="0">
                  <c:v>0</c:v>
                </c:pt>
                <c:pt idx="1">
                  <c:v>166.66666666666669</c:v>
                </c:pt>
                <c:pt idx="2">
                  <c:v>166.66666666666669</c:v>
                </c:pt>
                <c:pt idx="3">
                  <c:v>166.66666666666669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5-4724-B138-B4D6D58B6856}"/>
            </c:ext>
          </c:extLst>
        </c:ser>
        <c:ser>
          <c:idx val="2"/>
          <c:order val="1"/>
          <c:tx>
            <c:v>0.5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'2(hashimoto)  '!$K$8:$K$27</c:f>
              <c:numCache>
                <c:formatCode>0.0_ </c:formatCode>
                <c:ptCount val="20"/>
                <c:pt idx="0">
                  <c:v>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</c:numCache>
            </c:numRef>
          </c:xVal>
          <c:yVal>
            <c:numRef>
              <c:f>'2(hashimoto)  '!$M$8:$M$27</c:f>
              <c:numCache>
                <c:formatCode>General</c:formatCode>
                <c:ptCount val="20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5-4724-B138-B4D6D58B6856}"/>
            </c:ext>
          </c:extLst>
        </c:ser>
        <c:ser>
          <c:idx val="3"/>
          <c:order val="2"/>
          <c:tx>
            <c:strRef>
              <c:f>'2(hashimoto)  '!$C$2:$F$2</c:f>
              <c:strCache>
                <c:ptCount val="1"/>
                <c:pt idx="0">
                  <c:v>KM91+920 TRÁI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'2(hashimoto)  '!$D$4:$D$200</c:f>
              <c:numCache>
                <c:formatCode>0.000</c:formatCode>
                <c:ptCount val="197"/>
                <c:pt idx="0">
                  <c:v>0</c:v>
                </c:pt>
                <c:pt idx="1">
                  <c:v>5.6825251190502968E-2</c:v>
                </c:pt>
                <c:pt idx="2">
                  <c:v>6.6247149206373021E-2</c:v>
                </c:pt>
                <c:pt idx="3">
                  <c:v>7.4963879365105873E-2</c:v>
                </c:pt>
                <c:pt idx="4">
                  <c:v>8.3680609523838712E-2</c:v>
                </c:pt>
                <c:pt idx="5">
                  <c:v>9.2397339682565874E-2</c:v>
                </c:pt>
                <c:pt idx="6">
                  <c:v>9.6755704761926617E-2</c:v>
                </c:pt>
                <c:pt idx="7">
                  <c:v>0.10111406984129304</c:v>
                </c:pt>
                <c:pt idx="8">
                  <c:v>0.1098308000000202</c:v>
                </c:pt>
                <c:pt idx="9">
                  <c:v>0.12543128666668507</c:v>
                </c:pt>
                <c:pt idx="10">
                  <c:v>0.14147377000003303</c:v>
                </c:pt>
                <c:pt idx="11">
                  <c:v>0.158822030000033</c:v>
                </c:pt>
                <c:pt idx="12">
                  <c:v>0.17617029000002163</c:v>
                </c:pt>
                <c:pt idx="13">
                  <c:v>0.19351855000003299</c:v>
                </c:pt>
                <c:pt idx="14">
                  <c:v>0.21086681000002158</c:v>
                </c:pt>
                <c:pt idx="15">
                  <c:v>0.21086681000002158</c:v>
                </c:pt>
                <c:pt idx="16">
                  <c:v>0.22917476000002351</c:v>
                </c:pt>
                <c:pt idx="17">
                  <c:v>0.24756994000002802</c:v>
                </c:pt>
                <c:pt idx="18">
                  <c:v>0.26596512000002687</c:v>
                </c:pt>
                <c:pt idx="19">
                  <c:v>0.28436030000002005</c:v>
                </c:pt>
                <c:pt idx="20">
                  <c:v>0.3027554800000189</c:v>
                </c:pt>
                <c:pt idx="21">
                  <c:v>0.32115066000001774</c:v>
                </c:pt>
                <c:pt idx="22">
                  <c:v>0.34874343000002456</c:v>
                </c:pt>
                <c:pt idx="23">
                  <c:v>0.37633620000002566</c:v>
                </c:pt>
                <c:pt idx="24">
                  <c:v>0.38438687142859179</c:v>
                </c:pt>
                <c:pt idx="25">
                  <c:v>0.39243754285716365</c:v>
                </c:pt>
                <c:pt idx="26">
                  <c:v>0.4004882142857355</c:v>
                </c:pt>
                <c:pt idx="27">
                  <c:v>0.4085388857143073</c:v>
                </c:pt>
                <c:pt idx="28">
                  <c:v>0.41658955714288481</c:v>
                </c:pt>
                <c:pt idx="29">
                  <c:v>0.42464022857145667</c:v>
                </c:pt>
                <c:pt idx="30">
                  <c:v>0.43552288809526085</c:v>
                </c:pt>
                <c:pt idx="31">
                  <c:v>0.4460616880952557</c:v>
                </c:pt>
                <c:pt idx="32">
                  <c:v>0.45646439047621923</c:v>
                </c:pt>
                <c:pt idx="33">
                  <c:v>0.46686709285716577</c:v>
                </c:pt>
                <c:pt idx="34">
                  <c:v>0.47726979523811791</c:v>
                </c:pt>
                <c:pt idx="35">
                  <c:v>0.48247114642859401</c:v>
                </c:pt>
                <c:pt idx="36">
                  <c:v>0.48767249761907583</c:v>
                </c:pt>
                <c:pt idx="37">
                  <c:v>0.49807520000002226</c:v>
                </c:pt>
                <c:pt idx="38">
                  <c:v>0.49807520000002226</c:v>
                </c:pt>
                <c:pt idx="39">
                  <c:v>0.49807520000002226</c:v>
                </c:pt>
                <c:pt idx="40">
                  <c:v>0.50298373666666973</c:v>
                </c:pt>
                <c:pt idx="41">
                  <c:v>0.50789227333336273</c:v>
                </c:pt>
                <c:pt idx="42">
                  <c:v>0.51280081000002153</c:v>
                </c:pt>
                <c:pt idx="43">
                  <c:v>0.51770934666669177</c:v>
                </c:pt>
                <c:pt idx="44">
                  <c:v>0.52261788333336767</c:v>
                </c:pt>
                <c:pt idx="45">
                  <c:v>0.5285820400000375</c:v>
                </c:pt>
                <c:pt idx="46">
                  <c:v>0.5285820400000375</c:v>
                </c:pt>
              </c:numCache>
            </c:numRef>
          </c:xVal>
          <c:yVal>
            <c:numRef>
              <c:f>'2(hashimoto)  '!$F$4:$F$200</c:f>
              <c:numCache>
                <c:formatCode>0.000</c:formatCode>
                <c:ptCount val="197"/>
                <c:pt idx="0">
                  <c:v>28.999999999999996</c:v>
                </c:pt>
                <c:pt idx="1">
                  <c:v>29.2</c:v>
                </c:pt>
                <c:pt idx="2">
                  <c:v>29.4</c:v>
                </c:pt>
                <c:pt idx="3">
                  <c:v>29.599999999999998</c:v>
                </c:pt>
                <c:pt idx="4">
                  <c:v>29.799999999999997</c:v>
                </c:pt>
                <c:pt idx="5">
                  <c:v>30</c:v>
                </c:pt>
                <c:pt idx="6">
                  <c:v>30.099999999999998</c:v>
                </c:pt>
                <c:pt idx="7">
                  <c:v>30.2</c:v>
                </c:pt>
                <c:pt idx="8">
                  <c:v>30.599999999999998</c:v>
                </c:pt>
                <c:pt idx="9">
                  <c:v>31</c:v>
                </c:pt>
                <c:pt idx="10">
                  <c:v>31.4</c:v>
                </c:pt>
                <c:pt idx="11">
                  <c:v>31.8</c:v>
                </c:pt>
                <c:pt idx="12">
                  <c:v>13.700000000000001</c:v>
                </c:pt>
                <c:pt idx="13">
                  <c:v>14.499999999999998</c:v>
                </c:pt>
                <c:pt idx="14">
                  <c:v>15.6</c:v>
                </c:pt>
                <c:pt idx="15">
                  <c:v>16.8</c:v>
                </c:pt>
                <c:pt idx="16">
                  <c:v>18</c:v>
                </c:pt>
                <c:pt idx="17">
                  <c:v>34</c:v>
                </c:pt>
                <c:pt idx="18">
                  <c:v>34.300000000000004</c:v>
                </c:pt>
                <c:pt idx="19">
                  <c:v>34.599999999999994</c:v>
                </c:pt>
                <c:pt idx="20">
                  <c:v>34.9</c:v>
                </c:pt>
                <c:pt idx="21">
                  <c:v>35.199999999999996</c:v>
                </c:pt>
                <c:pt idx="22">
                  <c:v>35.5</c:v>
                </c:pt>
                <c:pt idx="23">
                  <c:v>35.799999999999997</c:v>
                </c:pt>
                <c:pt idx="24">
                  <c:v>36.1</c:v>
                </c:pt>
                <c:pt idx="25">
                  <c:v>36.299999999999997</c:v>
                </c:pt>
                <c:pt idx="26">
                  <c:v>36.5</c:v>
                </c:pt>
                <c:pt idx="27">
                  <c:v>36.700000000000003</c:v>
                </c:pt>
                <c:pt idx="28">
                  <c:v>36.9</c:v>
                </c:pt>
                <c:pt idx="29">
                  <c:v>37.1</c:v>
                </c:pt>
                <c:pt idx="30">
                  <c:v>37.299999999999997</c:v>
                </c:pt>
                <c:pt idx="31">
                  <c:v>37.5</c:v>
                </c:pt>
                <c:pt idx="32">
                  <c:v>37.6</c:v>
                </c:pt>
                <c:pt idx="33">
                  <c:v>37.700000000000003</c:v>
                </c:pt>
                <c:pt idx="34">
                  <c:v>37.799999999999997</c:v>
                </c:pt>
                <c:pt idx="35">
                  <c:v>37.9</c:v>
                </c:pt>
                <c:pt idx="36">
                  <c:v>38</c:v>
                </c:pt>
                <c:pt idx="37">
                  <c:v>38.1</c:v>
                </c:pt>
                <c:pt idx="38">
                  <c:v>38.200000000000003</c:v>
                </c:pt>
                <c:pt idx="39">
                  <c:v>38.4</c:v>
                </c:pt>
                <c:pt idx="40">
                  <c:v>38.6</c:v>
                </c:pt>
                <c:pt idx="41">
                  <c:v>38.800000000000004</c:v>
                </c:pt>
                <c:pt idx="42">
                  <c:v>39</c:v>
                </c:pt>
                <c:pt idx="43">
                  <c:v>39.200000000000003</c:v>
                </c:pt>
                <c:pt idx="44">
                  <c:v>39.29999999999999</c:v>
                </c:pt>
                <c:pt idx="45">
                  <c:v>39.4</c:v>
                </c:pt>
                <c:pt idx="46">
                  <c:v>39.499999999999993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E5-4724-B138-B4D6D58B6856}"/>
            </c:ext>
          </c:extLst>
        </c:ser>
        <c:ser>
          <c:idx val="0"/>
          <c:order val="3"/>
          <c:tx>
            <c:strRef>
              <c:f>'2(hashimoto)  '!$G$2:$J$2</c:f>
              <c:strCache>
                <c:ptCount val="1"/>
                <c:pt idx="0">
                  <c:v>KM91+920 PHẢI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'2(hashimoto)  '!$H$4:$H$200</c:f>
              <c:numCache>
                <c:formatCode>General</c:formatCode>
                <c:ptCount val="197"/>
                <c:pt idx="0">
                  <c:v>0</c:v>
                </c:pt>
                <c:pt idx="1">
                  <c:v>1.4956015476178664E-2</c:v>
                </c:pt>
                <c:pt idx="2">
                  <c:v>1.6762734920644107E-2</c:v>
                </c:pt>
                <c:pt idx="3">
                  <c:v>1.8968357936500979E-2</c:v>
                </c:pt>
                <c:pt idx="4">
                  <c:v>2.117398095236922E-2</c:v>
                </c:pt>
                <c:pt idx="5">
                  <c:v>2.3379603968243144E-2</c:v>
                </c:pt>
                <c:pt idx="6">
                  <c:v>2.4482415476188634E-2</c:v>
                </c:pt>
                <c:pt idx="7">
                  <c:v>2.5585226984117072E-2</c:v>
                </c:pt>
                <c:pt idx="8">
                  <c:v>2.7790849999990996E-2</c:v>
                </c:pt>
                <c:pt idx="9">
                  <c:v>3.9261760000005093E-2</c:v>
                </c:pt>
                <c:pt idx="10">
                  <c:v>5.0732670000007828E-2</c:v>
                </c:pt>
                <c:pt idx="11">
                  <c:v>6.220357999999919E-2</c:v>
                </c:pt>
                <c:pt idx="12">
                  <c:v>7.3674490000007614E-2</c:v>
                </c:pt>
                <c:pt idx="13">
                  <c:v>8.5145400000016025E-2</c:v>
                </c:pt>
                <c:pt idx="14">
                  <c:v>9.6616309999984648E-2</c:v>
                </c:pt>
                <c:pt idx="15">
                  <c:v>9.6616309999984648E-2</c:v>
                </c:pt>
                <c:pt idx="16">
                  <c:v>0.10808721999998169</c:v>
                </c:pt>
                <c:pt idx="17">
                  <c:v>0.11955813000000148</c:v>
                </c:pt>
                <c:pt idx="18">
                  <c:v>0.13102903999999854</c:v>
                </c:pt>
                <c:pt idx="19">
                  <c:v>0.14249995000000126</c:v>
                </c:pt>
                <c:pt idx="20">
                  <c:v>0.15397085999999263</c:v>
                </c:pt>
                <c:pt idx="21">
                  <c:v>0.16544177000000673</c:v>
                </c:pt>
                <c:pt idx="22">
                  <c:v>0.18264813499999377</c:v>
                </c:pt>
                <c:pt idx="23">
                  <c:v>0.19985450000000354</c:v>
                </c:pt>
                <c:pt idx="24">
                  <c:v>0.2116837642857092</c:v>
                </c:pt>
                <c:pt idx="25">
                  <c:v>0.22351302857143762</c:v>
                </c:pt>
                <c:pt idx="26">
                  <c:v>0.23534229285713196</c:v>
                </c:pt>
                <c:pt idx="27">
                  <c:v>0.24717155714286038</c:v>
                </c:pt>
                <c:pt idx="28">
                  <c:v>0.25900082142857173</c:v>
                </c:pt>
                <c:pt idx="29">
                  <c:v>0.27083008571428879</c:v>
                </c:pt>
                <c:pt idx="30">
                  <c:v>0.28583170595238128</c:v>
                </c:pt>
                <c:pt idx="31">
                  <c:v>0.29974606507937551</c:v>
                </c:pt>
                <c:pt idx="32">
                  <c:v>0.31288969206349293</c:v>
                </c:pt>
                <c:pt idx="33">
                  <c:v>0.32603331904761601</c:v>
                </c:pt>
                <c:pt idx="34">
                  <c:v>0.33917694603173909</c:v>
                </c:pt>
                <c:pt idx="35">
                  <c:v>0.34574875952380357</c:v>
                </c:pt>
                <c:pt idx="36">
                  <c:v>0.35232057301587932</c:v>
                </c:pt>
                <c:pt idx="37">
                  <c:v>0.36546419999999669</c:v>
                </c:pt>
                <c:pt idx="38">
                  <c:v>0.36546419999999669</c:v>
                </c:pt>
                <c:pt idx="39">
                  <c:v>0.36546419999999669</c:v>
                </c:pt>
                <c:pt idx="40">
                  <c:v>0.37173519999998916</c:v>
                </c:pt>
                <c:pt idx="41">
                  <c:v>0.37800619999999868</c:v>
                </c:pt>
                <c:pt idx="42">
                  <c:v>0.38427719999999682</c:v>
                </c:pt>
                <c:pt idx="43">
                  <c:v>0.39054820000000062</c:v>
                </c:pt>
                <c:pt idx="44">
                  <c:v>0.3968191999999931</c:v>
                </c:pt>
                <c:pt idx="45">
                  <c:v>0.4030901999999969</c:v>
                </c:pt>
                <c:pt idx="46">
                  <c:v>0.4030901999999969</c:v>
                </c:pt>
              </c:numCache>
            </c:numRef>
          </c:xVal>
          <c:yVal>
            <c:numRef>
              <c:f>'2(hashimoto)  '!$J$4:$J$200</c:f>
              <c:numCache>
                <c:formatCode>0.000_ </c:formatCode>
                <c:ptCount val="197"/>
                <c:pt idx="0">
                  <c:v>28.999999999999996</c:v>
                </c:pt>
                <c:pt idx="1">
                  <c:v>29.2</c:v>
                </c:pt>
                <c:pt idx="2">
                  <c:v>29.4</c:v>
                </c:pt>
                <c:pt idx="3">
                  <c:v>29.599999999999998</c:v>
                </c:pt>
                <c:pt idx="4">
                  <c:v>29.799999999999997</c:v>
                </c:pt>
                <c:pt idx="5">
                  <c:v>30</c:v>
                </c:pt>
                <c:pt idx="6">
                  <c:v>30.099999999999998</c:v>
                </c:pt>
                <c:pt idx="7">
                  <c:v>30.2</c:v>
                </c:pt>
                <c:pt idx="8">
                  <c:v>30.599999999999998</c:v>
                </c:pt>
                <c:pt idx="9">
                  <c:v>31</c:v>
                </c:pt>
                <c:pt idx="10">
                  <c:v>31.4</c:v>
                </c:pt>
                <c:pt idx="11">
                  <c:v>31.8</c:v>
                </c:pt>
                <c:pt idx="12">
                  <c:v>32.200000000000003</c:v>
                </c:pt>
                <c:pt idx="13">
                  <c:v>32.6</c:v>
                </c:pt>
                <c:pt idx="14">
                  <c:v>33</c:v>
                </c:pt>
                <c:pt idx="15">
                  <c:v>33.4</c:v>
                </c:pt>
                <c:pt idx="16">
                  <c:v>33.700000000000003</c:v>
                </c:pt>
                <c:pt idx="17">
                  <c:v>34</c:v>
                </c:pt>
                <c:pt idx="18">
                  <c:v>34.300000000000004</c:v>
                </c:pt>
                <c:pt idx="19">
                  <c:v>34.599999999999994</c:v>
                </c:pt>
                <c:pt idx="20">
                  <c:v>34.9</c:v>
                </c:pt>
                <c:pt idx="21">
                  <c:v>35.199999999999996</c:v>
                </c:pt>
                <c:pt idx="22">
                  <c:v>35.5</c:v>
                </c:pt>
                <c:pt idx="23">
                  <c:v>35.799999999999997</c:v>
                </c:pt>
                <c:pt idx="24">
                  <c:v>36.1</c:v>
                </c:pt>
                <c:pt idx="25">
                  <c:v>36.299999999999997</c:v>
                </c:pt>
                <c:pt idx="26">
                  <c:v>36.5</c:v>
                </c:pt>
                <c:pt idx="27">
                  <c:v>36.700000000000003</c:v>
                </c:pt>
                <c:pt idx="28">
                  <c:v>36.9</c:v>
                </c:pt>
                <c:pt idx="29">
                  <c:v>37.1</c:v>
                </c:pt>
                <c:pt idx="30">
                  <c:v>37.299999999999997</c:v>
                </c:pt>
                <c:pt idx="31">
                  <c:v>37.5</c:v>
                </c:pt>
                <c:pt idx="32">
                  <c:v>37.6</c:v>
                </c:pt>
                <c:pt idx="33">
                  <c:v>37.700000000000003</c:v>
                </c:pt>
                <c:pt idx="34">
                  <c:v>37.799999999999997</c:v>
                </c:pt>
                <c:pt idx="35">
                  <c:v>37.9</c:v>
                </c:pt>
                <c:pt idx="36">
                  <c:v>38</c:v>
                </c:pt>
                <c:pt idx="37">
                  <c:v>38.1</c:v>
                </c:pt>
                <c:pt idx="38">
                  <c:v>38.200000000000003</c:v>
                </c:pt>
                <c:pt idx="39">
                  <c:v>38.4</c:v>
                </c:pt>
                <c:pt idx="40">
                  <c:v>38.6</c:v>
                </c:pt>
                <c:pt idx="41">
                  <c:v>38.800000000000004</c:v>
                </c:pt>
                <c:pt idx="42">
                  <c:v>39</c:v>
                </c:pt>
                <c:pt idx="43">
                  <c:v>39.200000000000003</c:v>
                </c:pt>
                <c:pt idx="44">
                  <c:v>39.29999999999999</c:v>
                </c:pt>
                <c:pt idx="45">
                  <c:v>39.4</c:v>
                </c:pt>
                <c:pt idx="46">
                  <c:v>39.499999999999993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E5-4724-B138-B4D6D58B6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416296"/>
        <c:axId val="1"/>
      </c:scatterChart>
      <c:valAx>
        <c:axId val="790416296"/>
        <c:scaling>
          <c:orientation val="minMax"/>
          <c:max val="30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돋움"/>
                    <a:ea typeface="돋움"/>
                  </a:rPr>
                  <a:t>Horizontal Displacement, 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  <a:ea typeface="돋움"/>
                  </a:rPr>
                  <a:t>d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돋움"/>
                    <a:ea typeface="돋움"/>
                  </a:rPr>
                  <a:t>(cm)</a:t>
                </a:r>
              </a:p>
            </c:rich>
          </c:tx>
          <c:layout>
            <c:manualLayout>
              <c:xMode val="edge"/>
              <c:yMode val="edge"/>
              <c:x val="0.37302990634942557"/>
              <c:y val="0.95154547252474664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1"/>
        <c:crossesAt val="0"/>
        <c:crossBetween val="midCat"/>
        <c:majorUnit val="2"/>
        <c:minorUnit val="0.2"/>
      </c:valAx>
      <c:valAx>
        <c:axId val="1"/>
        <c:scaling>
          <c:orientation val="maxMin"/>
          <c:max val="23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돋움"/>
                    <a:ea typeface="돋움"/>
                    <a:cs typeface="돋움"/>
                  </a:defRPr>
                </a:pPr>
                <a:r>
                  <a:rPr lang="en-US"/>
                  <a:t>Settlement, S(cm)</a:t>
                </a:r>
              </a:p>
            </c:rich>
          </c:tx>
          <c:layout>
            <c:manualLayout>
              <c:xMode val="edge"/>
              <c:yMode val="edge"/>
              <c:x val="7.1942761540772313E-3"/>
              <c:y val="0.33402503326930877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790416296"/>
        <c:crosses val="autoZero"/>
        <c:crossBetween val="midCat"/>
        <c:majorUnit val="10"/>
        <c:minorUnit val="1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136328182401483"/>
          <c:y val="0.55365556286837003"/>
          <c:w val="0.36414643397067636"/>
          <c:h val="0.20787400414978038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34062</xdr:colOff>
      <xdr:row>25</xdr:row>
      <xdr:rowOff>153199</xdr:rowOff>
    </xdr:from>
    <xdr:to>
      <xdr:col>23</xdr:col>
      <xdr:colOff>166737</xdr:colOff>
      <xdr:row>50</xdr:row>
      <xdr:rowOff>120039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339F1-C223-4422-955C-C87E89652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364066</xdr:colOff>
      <xdr:row>3</xdr:row>
      <xdr:rowOff>16933</xdr:rowOff>
    </xdr:from>
    <xdr:to>
      <xdr:col>23</xdr:col>
      <xdr:colOff>964140</xdr:colOff>
      <xdr:row>25</xdr:row>
      <xdr:rowOff>69321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E67E07-49EE-4BC2-9E62-B2B7A142C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14257</xdr:colOff>
      <xdr:row>2</xdr:row>
      <xdr:rowOff>200523</xdr:rowOff>
    </xdr:from>
    <xdr:to>
      <xdr:col>23</xdr:col>
      <xdr:colOff>765300</xdr:colOff>
      <xdr:row>32</xdr:row>
      <xdr:rowOff>162825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4AC3D-1103-426E-8301-114B033E7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104775</xdr:rowOff>
    </xdr:from>
    <xdr:to>
      <xdr:col>10</xdr:col>
      <xdr:colOff>657225</xdr:colOff>
      <xdr:row>27</xdr:row>
      <xdr:rowOff>104775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9413A9B6-3E21-4084-936A-5215C8B03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135255</xdr:colOff>
      <xdr:row>0</xdr:row>
      <xdr:rowOff>40005</xdr:rowOff>
    </xdr:from>
    <xdr:to>
      <xdr:col>14</xdr:col>
      <xdr:colOff>335216</xdr:colOff>
      <xdr:row>1</xdr:row>
      <xdr:rowOff>38520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685F70DB-52A0-4EF7-8864-609969C59338}"/>
            </a:ext>
          </a:extLst>
        </xdr:cNvPr>
        <xdr:cNvSpPr txBox="1">
          <a:spLocks noChangeArrowheads="1"/>
        </xdr:cNvSpPr>
      </xdr:nvSpPr>
      <xdr:spPr bwMode="auto">
        <a:xfrm>
          <a:off x="8364855" y="40005"/>
          <a:ext cx="1571561" cy="169965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l-GR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Δδ/Δ</a:t>
          </a:r>
          <a:r>
            <a:rPr lang="en-US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t= 1.0cm/day</a:t>
          </a:r>
        </a:p>
      </xdr:txBody>
    </xdr:sp>
    <xdr:clientData/>
  </xdr:twoCellAnchor>
  <xdr:twoCellAnchor>
    <xdr:from>
      <xdr:col>0</xdr:col>
      <xdr:colOff>685800</xdr:colOff>
      <xdr:row>28</xdr:row>
      <xdr:rowOff>76200</xdr:rowOff>
    </xdr:from>
    <xdr:to>
      <xdr:col>10</xdr:col>
      <xdr:colOff>657225</xdr:colOff>
      <xdr:row>55</xdr:row>
      <xdr:rowOff>76200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D9797365-5272-469E-BB64-DE7993867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0.82509</cdr:x>
      <cdr:y>0.62223</cdr:y>
    </cdr:from>
    <cdr:to>
      <cdr:x>0.82532</cdr:x>
      <cdr:y>0.62734</cdr:y>
    </cdr:to>
    <cdr:sp macro="" textlink="">
      <cdr:nvSpPr>
        <cdr:cNvPr id="186382" name="Line 1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8300264" y="2882490"/>
          <a:ext cx="1067539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0.11259</cdr:x>
      <cdr:y>0.35983</cdr:y>
    </cdr:from>
    <cdr:to>
      <cdr:x>0.15992</cdr:x>
      <cdr:y>0.41762</cdr:y>
    </cdr:to>
    <cdr:sp macro="" textlink="">
      <cdr:nvSpPr>
        <cdr:cNvPr id="18638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1047149" y="2184723"/>
          <a:ext cx="302474" cy="3316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 type="triangle" w="sm" len="lg"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0.82509</cdr:x>
      <cdr:y>0.62223</cdr:y>
    </cdr:from>
    <cdr:to>
      <cdr:x>0.82532</cdr:x>
      <cdr:y>0.62734</cdr:y>
    </cdr:to>
    <cdr:sp macro="" textlink="">
      <cdr:nvSpPr>
        <cdr:cNvPr id="18638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8300264" y="2882490"/>
          <a:ext cx="1067539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0.82509</cdr:x>
      <cdr:y>0.62223</cdr:y>
    </cdr:from>
    <cdr:to>
      <cdr:x>0.82532</cdr:x>
      <cdr:y>0.62734</cdr:y>
    </cdr:to>
    <cdr:sp macro="" textlink="">
      <cdr:nvSpPr>
        <cdr:cNvPr id="18638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8300264" y="2882490"/>
          <a:ext cx="1067539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0.16135</cdr:x>
      <cdr:y>0.36021</cdr:y>
    </cdr:from>
    <cdr:to>
      <cdr:x>0.42708</cdr:x>
      <cdr:y>0.36021</cdr:y>
    </cdr:to>
    <cdr:sp macro="" textlink="">
      <cdr:nvSpPr>
        <cdr:cNvPr id="18638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359148" y="2194248"/>
          <a:ext cx="1685963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0.13516</cdr:x>
      <cdr:y>0.2598</cdr:y>
    </cdr:from>
    <cdr:to>
      <cdr:x>0.45388</cdr:x>
      <cdr:y>0.34737</cdr:y>
    </cdr:to>
    <cdr:sp macro="" textlink="">
      <cdr:nvSpPr>
        <cdr:cNvPr id="186388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96780" y="1639530"/>
          <a:ext cx="2025981" cy="49177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FFFFFF"/>
          </a:solidFill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lnSpc>
              <a:spcPts val="1000"/>
            </a:lnSpc>
            <a:defRPr sz="1000"/>
          </a:pPr>
          <a:r>
            <a:rPr lang="en-US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Management standards (</a:t>
          </a:r>
          <a:r>
            <a:rPr lang="el-GR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Δδ/Δ</a:t>
          </a:r>
          <a:r>
            <a:rPr lang="en-US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t= ​​​0.5cm/day)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0.83099</cdr:x>
      <cdr:y>0.61438</cdr:y>
    </cdr:from>
    <cdr:to>
      <cdr:x>0.83247</cdr:x>
      <cdr:y>0.61976</cdr:y>
    </cdr:to>
    <cdr:sp macro="" textlink="">
      <cdr:nvSpPr>
        <cdr:cNvPr id="186382" name="Line 1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8300264" y="2882490"/>
          <a:ext cx="1067539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0.83099</cdr:x>
      <cdr:y>0.61438</cdr:y>
    </cdr:from>
    <cdr:to>
      <cdr:x>0.83247</cdr:x>
      <cdr:y>0.61976</cdr:y>
    </cdr:to>
    <cdr:sp macro="" textlink="">
      <cdr:nvSpPr>
        <cdr:cNvPr id="18638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8300264" y="2882490"/>
          <a:ext cx="1067539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0.83099</cdr:x>
      <cdr:y>0.61438</cdr:y>
    </cdr:from>
    <cdr:to>
      <cdr:x>0.83247</cdr:x>
      <cdr:y>0.61976</cdr:y>
    </cdr:to>
    <cdr:sp macro="" textlink="">
      <cdr:nvSpPr>
        <cdr:cNvPr id="18638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8300264" y="2882490"/>
          <a:ext cx="1067539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0.11408</cdr:x>
      <cdr:y>0.35846</cdr:y>
    </cdr:from>
    <cdr:to>
      <cdr:x>0.16144</cdr:x>
      <cdr:y>0.41699</cdr:y>
    </cdr:to>
    <cdr:sp macro="" textlink="">
      <cdr:nvSpPr>
        <cdr:cNvPr id="3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65200" y="2205718"/>
          <a:ext cx="302474" cy="3316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 type="triangle" w="sm" len="lg"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0.13428</cdr:x>
      <cdr:y>0.27031</cdr:y>
    </cdr:from>
    <cdr:to>
      <cdr:x>0.44876</cdr:x>
      <cdr:y>0.35787</cdr:y>
    </cdr:to>
    <cdr:sp macro="" textlink="">
      <cdr:nvSpPr>
        <cdr:cNvPr id="4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95781" y="1717675"/>
          <a:ext cx="2025981" cy="49177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FFFFFF"/>
          </a:solidFill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18288" rIns="27432" bIns="18288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lnSpc>
              <a:spcPts val="1000"/>
            </a:lnSpc>
            <a:defRPr sz="1000"/>
          </a:pPr>
          <a:r>
            <a:rPr lang="en-US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Management standards (</a:t>
          </a:r>
          <a:r>
            <a:rPr lang="el-GR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Δδ/Δ</a:t>
          </a:r>
          <a:r>
            <a:rPr lang="en-US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t= ​​​0.5cm/day)</a:t>
          </a:r>
        </a:p>
      </cdr:txBody>
    </cdr:sp>
  </cdr:relSizeAnchor>
  <cdr:relSizeAnchor xmlns:cdr="http://schemas.openxmlformats.org/drawingml/2006/chartDrawing">
    <cdr:from>
      <cdr:x>0.16403</cdr:x>
      <cdr:y>0.36396</cdr:y>
    </cdr:from>
    <cdr:to>
      <cdr:x>0.42572</cdr:x>
      <cdr:y>0.36396</cdr:y>
    </cdr:to>
    <cdr:sp macro="" textlink="">
      <cdr:nvSpPr>
        <cdr:cNvPr id="5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276598" y="2216473"/>
          <a:ext cx="1685963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3</xdr:col>
      <xdr:colOff>0</xdr:colOff>
      <xdr:row>15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3570BE9-8300-4AD4-8CE3-498D245D3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2990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0</xdr:colOff>
      <xdr:row>15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D187C58-530D-4FA7-BF62-3551F772E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2990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AB8B7169-554D-4A54-87A5-D98B4AA5C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E9381B8B-DD16-4AA2-B181-904434D57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FF2D8279-5D99-4554-AF9E-DE0C3E633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5141A5CD-10CA-4BCD-9CB5-B5C343E6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2F41F423-F8FB-48C3-91CC-BD46535B3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0</xdr:colOff>
      <xdr:row>15</xdr:row>
      <xdr:rowOff>0</xdr:rowOff>
    </xdr:to>
    <xdr:pic>
      <xdr:nvPicPr>
        <xdr:cNvPr id="9" name="Picture 10">
          <a:extLst>
            <a:ext uri="{FF2B5EF4-FFF2-40B4-BE49-F238E27FC236}">
              <a16:creationId xmlns:a16="http://schemas.microsoft.com/office/drawing/2014/main" id="{4602CC7A-C3B9-4673-8E6C-3F57E4234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2990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0</xdr:colOff>
      <xdr:row>15</xdr:row>
      <xdr:rowOff>0</xdr:rowOff>
    </xdr:to>
    <xdr:pic>
      <xdr:nvPicPr>
        <xdr:cNvPr id="10" name="Picture 11">
          <a:extLst>
            <a:ext uri="{FF2B5EF4-FFF2-40B4-BE49-F238E27FC236}">
              <a16:creationId xmlns:a16="http://schemas.microsoft.com/office/drawing/2014/main" id="{6F14F522-5EE7-4E9A-8AE6-301497E99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3225" y="2990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0</xdr:colOff>
      <xdr:row>15</xdr:row>
      <xdr:rowOff>0</xdr:rowOff>
    </xdr:to>
    <xdr:pic>
      <xdr:nvPicPr>
        <xdr:cNvPr id="11" name="Picture 12">
          <a:extLst>
            <a:ext uri="{FF2B5EF4-FFF2-40B4-BE49-F238E27FC236}">
              <a16:creationId xmlns:a16="http://schemas.microsoft.com/office/drawing/2014/main" id="{90EAE7B0-2D23-4245-90E3-38BA790EA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3225" y="2990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0</xdr:colOff>
      <xdr:row>15</xdr:row>
      <xdr:rowOff>0</xdr:rowOff>
    </xdr:to>
    <xdr:pic>
      <xdr:nvPicPr>
        <xdr:cNvPr id="12" name="Picture 10">
          <a:extLst>
            <a:ext uri="{FF2B5EF4-FFF2-40B4-BE49-F238E27FC236}">
              <a16:creationId xmlns:a16="http://schemas.microsoft.com/office/drawing/2014/main" id="{A88244FC-19BD-43A1-A6DD-27C67AAEF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0" y="2990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0</xdr:row>
      <xdr:rowOff>0</xdr:rowOff>
    </xdr:from>
    <xdr:to>
      <xdr:col>5</xdr:col>
      <xdr:colOff>285750</xdr:colOff>
      <xdr:row>2</xdr:row>
      <xdr:rowOff>38100</xdr:rowOff>
    </xdr:to>
    <xdr:sp macro="" textlink="">
      <xdr:nvSpPr>
        <xdr:cNvPr id="2" name="Line 53">
          <a:extLst>
            <a:ext uri="{FF2B5EF4-FFF2-40B4-BE49-F238E27FC236}">
              <a16:creationId xmlns:a16="http://schemas.microsoft.com/office/drawing/2014/main" id="{9802FC3D-4E93-4FE8-B315-5C98FCCED358}"/>
            </a:ext>
          </a:extLst>
        </xdr:cNvPr>
        <xdr:cNvSpPr>
          <a:spLocks noChangeShapeType="1"/>
        </xdr:cNvSpPr>
      </xdr:nvSpPr>
      <xdr:spPr bwMode="auto">
        <a:xfrm>
          <a:off x="3714750" y="0"/>
          <a:ext cx="0" cy="381000"/>
        </a:xfrm>
        <a:prstGeom prst="line">
          <a:avLst/>
        </a:prstGeom>
        <a:noFill/>
        <a:ln w="9525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657225</xdr:colOff>
      <xdr:row>3</xdr:row>
      <xdr:rowOff>76200</xdr:rowOff>
    </xdr:from>
    <xdr:to>
      <xdr:col>7</xdr:col>
      <xdr:colOff>28575</xdr:colOff>
      <xdr:row>3</xdr:row>
      <xdr:rowOff>76200</xdr:rowOff>
    </xdr:to>
    <xdr:sp macro="" textlink="">
      <xdr:nvSpPr>
        <xdr:cNvPr id="3" name="Line 56">
          <a:extLst>
            <a:ext uri="{FF2B5EF4-FFF2-40B4-BE49-F238E27FC236}">
              <a16:creationId xmlns:a16="http://schemas.microsoft.com/office/drawing/2014/main" id="{D01D83A2-C514-4A9C-9164-8AE3E8EA4C2F}"/>
            </a:ext>
          </a:extLst>
        </xdr:cNvPr>
        <xdr:cNvSpPr>
          <a:spLocks noChangeShapeType="1"/>
        </xdr:cNvSpPr>
      </xdr:nvSpPr>
      <xdr:spPr bwMode="auto">
        <a:xfrm>
          <a:off x="2028825" y="590550"/>
          <a:ext cx="2800350" cy="0"/>
        </a:xfrm>
        <a:prstGeom prst="line">
          <a:avLst/>
        </a:prstGeom>
        <a:noFill/>
        <a:ln w="9525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647700</xdr:colOff>
      <xdr:row>3</xdr:row>
      <xdr:rowOff>66675</xdr:rowOff>
    </xdr:from>
    <xdr:to>
      <xdr:col>9</xdr:col>
      <xdr:colOff>542925</xdr:colOff>
      <xdr:row>3</xdr:row>
      <xdr:rowOff>66675</xdr:rowOff>
    </xdr:to>
    <xdr:sp macro="" textlink="">
      <xdr:nvSpPr>
        <xdr:cNvPr id="4" name="Line 57">
          <a:extLst>
            <a:ext uri="{FF2B5EF4-FFF2-40B4-BE49-F238E27FC236}">
              <a16:creationId xmlns:a16="http://schemas.microsoft.com/office/drawing/2014/main" id="{13647121-8D94-4E14-AC6A-4A858F0FBF53}"/>
            </a:ext>
          </a:extLst>
        </xdr:cNvPr>
        <xdr:cNvSpPr>
          <a:spLocks noChangeShapeType="1"/>
        </xdr:cNvSpPr>
      </xdr:nvSpPr>
      <xdr:spPr bwMode="auto">
        <a:xfrm>
          <a:off x="2019300" y="581025"/>
          <a:ext cx="4695825" cy="0"/>
        </a:xfrm>
        <a:prstGeom prst="line">
          <a:avLst/>
        </a:prstGeom>
        <a:noFill/>
        <a:ln w="9525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</xdr:colOff>
      <xdr:row>1</xdr:row>
      <xdr:rowOff>104775</xdr:rowOff>
    </xdr:from>
    <xdr:to>
      <xdr:col>16</xdr:col>
      <xdr:colOff>666750</xdr:colOff>
      <xdr:row>36</xdr:row>
      <xdr:rowOff>152400</xdr:rowOff>
    </xdr:to>
    <xdr:graphicFrame macro="">
      <xdr:nvGraphicFramePr>
        <xdr:cNvPr id="5" name="Chart 9">
          <a:extLst>
            <a:ext uri="{FF2B5EF4-FFF2-40B4-BE49-F238E27FC236}">
              <a16:creationId xmlns:a16="http://schemas.microsoft.com/office/drawing/2014/main" id="{EC7776BB-CBC9-473B-8995-267B3C0D7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0.45989</cdr:x>
      <cdr:y>0.32673</cdr:y>
    </cdr:from>
    <cdr:to>
      <cdr:x>0.69076</cdr:x>
      <cdr:y>0.45428</cdr:y>
    </cdr:to>
    <cdr:sp macro="" textlink="">
      <cdr:nvSpPr>
        <cdr:cNvPr id="112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96570" y="2135353"/>
          <a:ext cx="2076135" cy="821517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FFFFFF"/>
          </a:solidFill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18288" rIns="36576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Symbol"/>
            </a:rPr>
            <a:t>d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/S=0.3)</a:t>
          </a:r>
        </a:p>
      </cdr:txBody>
    </cdr:sp>
  </cdr:relSizeAnchor>
  <cdr:relSizeAnchor xmlns:cdr="http://schemas.openxmlformats.org/drawingml/2006/chartDrawing">
    <cdr:from>
      <cdr:x>0.53475</cdr:x>
      <cdr:y>0.21277</cdr:y>
    </cdr:from>
    <cdr:to>
      <cdr:x>0.75337</cdr:x>
      <cdr:y>0.29631</cdr:y>
    </cdr:to>
    <cdr:sp macro="" textlink="">
      <cdr:nvSpPr>
        <cdr:cNvPr id="1126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9361" y="1489387"/>
          <a:ext cx="1980113" cy="517987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FFFFFF"/>
          </a:solidFill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18288" rIns="36576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Symbol"/>
            </a:rPr>
            <a:t>d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/S=0.5)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3d5ff336de74a8d/Desktop/Kurihara%20-%20hashimoto.xls" TargetMode="External"/><Relationship Id="rId1" Type="http://schemas.openxmlformats.org/officeDocument/2006/relationships/externalLinkPath" Target="Kurihara%20-%20hashimot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kawam)"/>
      <sheetName val="data-kawam"/>
      <sheetName val="1(kurihara)"/>
      <sheetName val="data-1(kurihara)"/>
      <sheetName val="2(hashimoto)  "/>
      <sheetName val="data-2(hashimot) "/>
    </sheetNames>
    <sheetDataSet>
      <sheetData sheetId="0">
        <row r="5">
          <cell r="F5">
            <v>45344</v>
          </cell>
          <cell r="G5">
            <v>0</v>
          </cell>
        </row>
        <row r="6">
          <cell r="F6">
            <v>45345</v>
          </cell>
        </row>
        <row r="7">
          <cell r="F7">
            <v>45346</v>
          </cell>
        </row>
        <row r="8">
          <cell r="F8">
            <v>45347</v>
          </cell>
        </row>
        <row r="9">
          <cell r="F9">
            <v>45348</v>
          </cell>
        </row>
        <row r="10">
          <cell r="F10">
            <v>45349</v>
          </cell>
        </row>
        <row r="11">
          <cell r="F11">
            <v>45350</v>
          </cell>
        </row>
        <row r="12">
          <cell r="F12">
            <v>45351</v>
          </cell>
        </row>
        <row r="13">
          <cell r="F13">
            <v>45352</v>
          </cell>
        </row>
        <row r="14">
          <cell r="F14">
            <v>45353</v>
          </cell>
        </row>
        <row r="15">
          <cell r="F15">
            <v>45354</v>
          </cell>
        </row>
        <row r="16">
          <cell r="F16">
            <v>45355</v>
          </cell>
        </row>
        <row r="17">
          <cell r="F17">
            <v>45356</v>
          </cell>
        </row>
        <row r="18">
          <cell r="F18">
            <v>45357</v>
          </cell>
        </row>
        <row r="19">
          <cell r="F19">
            <v>45358</v>
          </cell>
        </row>
        <row r="20">
          <cell r="F20">
            <v>45359</v>
          </cell>
        </row>
        <row r="21">
          <cell r="F21">
            <v>45360</v>
          </cell>
        </row>
        <row r="22">
          <cell r="F22">
            <v>45361</v>
          </cell>
        </row>
        <row r="23">
          <cell r="F23">
            <v>45362</v>
          </cell>
        </row>
        <row r="24">
          <cell r="F24">
            <v>45363</v>
          </cell>
        </row>
        <row r="25">
          <cell r="F25">
            <v>45364</v>
          </cell>
        </row>
        <row r="26">
          <cell r="F26">
            <v>45365</v>
          </cell>
        </row>
        <row r="27">
          <cell r="F27">
            <v>45366</v>
          </cell>
        </row>
        <row r="28">
          <cell r="F28">
            <v>45367</v>
          </cell>
        </row>
        <row r="29">
          <cell r="F29">
            <v>45368</v>
          </cell>
        </row>
        <row r="30">
          <cell r="F30">
            <v>45369</v>
          </cell>
        </row>
        <row r="31">
          <cell r="F31">
            <v>45370</v>
          </cell>
        </row>
        <row r="32">
          <cell r="F32">
            <v>45371</v>
          </cell>
        </row>
        <row r="33">
          <cell r="F33">
            <v>45372</v>
          </cell>
        </row>
        <row r="34">
          <cell r="F34">
            <v>45373</v>
          </cell>
        </row>
        <row r="35">
          <cell r="F35">
            <v>45374</v>
          </cell>
        </row>
        <row r="36">
          <cell r="F36">
            <v>45375</v>
          </cell>
        </row>
        <row r="37">
          <cell r="F37">
            <v>45376</v>
          </cell>
        </row>
        <row r="38">
          <cell r="F38">
            <v>45377</v>
          </cell>
        </row>
        <row r="39">
          <cell r="F39">
            <v>45378</v>
          </cell>
        </row>
        <row r="40">
          <cell r="F40">
            <v>45379</v>
          </cell>
        </row>
        <row r="41">
          <cell r="F41">
            <v>45380</v>
          </cell>
        </row>
        <row r="42">
          <cell r="F42">
            <v>45381</v>
          </cell>
        </row>
        <row r="43">
          <cell r="F43">
            <v>45382</v>
          </cell>
        </row>
        <row r="44">
          <cell r="F44">
            <v>45389</v>
          </cell>
        </row>
        <row r="45">
          <cell r="F45">
            <v>45396</v>
          </cell>
        </row>
        <row r="46">
          <cell r="F46">
            <v>45403</v>
          </cell>
        </row>
        <row r="47">
          <cell r="F47">
            <v>45410</v>
          </cell>
        </row>
        <row r="48">
          <cell r="F48">
            <v>45417</v>
          </cell>
        </row>
        <row r="49">
          <cell r="F49">
            <v>45424</v>
          </cell>
        </row>
        <row r="50">
          <cell r="F50">
            <v>45431</v>
          </cell>
        </row>
        <row r="51">
          <cell r="F51">
            <v>45438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090E-4C3A-4B5A-92E0-B04910AE6D02}">
  <sheetPr codeName="Sheet1"/>
  <dimension ref="A1:Z250"/>
  <sheetViews>
    <sheetView zoomScale="90" zoomScaleNormal="90" workbookViewId="0">
      <pane ySplit="3" topLeftCell="A27" activePane="bottomLeft" state="frozen"/>
      <selection activeCell="AA34" sqref="AA34"/>
      <selection pane="bottomLeft" sqref="A1:XFD1048576"/>
    </sheetView>
  </sheetViews>
  <sheetFormatPr defaultColWidth="9.140625" defaultRowHeight="16.5"/>
  <cols>
    <col min="1" max="1" width="5" style="93" customWidth="1"/>
    <col min="2" max="2" width="12.85546875" style="93" customWidth="1"/>
    <col min="3" max="3" width="9.28515625" style="93" bestFit="1" customWidth="1"/>
    <col min="4" max="4" width="11.42578125" style="93" bestFit="1" customWidth="1"/>
    <col min="5" max="5" width="10.7109375" style="93" customWidth="1"/>
    <col min="6" max="6" width="10.28515625" style="93" bestFit="1" customWidth="1"/>
    <col min="7" max="7" width="9.140625" style="93" customWidth="1"/>
    <col min="8" max="9" width="9.28515625" style="93" hidden="1" customWidth="1"/>
    <col min="10" max="10" width="9.140625" style="93" hidden="1" customWidth="1"/>
    <col min="11" max="23" width="9.140625" style="93"/>
    <col min="24" max="24" width="15.85546875" style="93" bestFit="1" customWidth="1"/>
    <col min="25" max="25" width="17.85546875" style="93" bestFit="1" customWidth="1"/>
    <col min="26" max="16384" width="9.140625" style="93"/>
  </cols>
  <sheetData>
    <row r="1" spans="1:26">
      <c r="A1" s="92" t="str">
        <f>'Matsuo-Kawamura KM91-PT '!A1:J1</f>
        <v>Biểu đồ tính ổn định tại Km91+620 PT</v>
      </c>
      <c r="B1" s="92"/>
      <c r="C1" s="92"/>
      <c r="D1" s="92"/>
      <c r="E1" s="92"/>
      <c r="F1" s="92"/>
      <c r="G1" s="92"/>
      <c r="H1" s="92"/>
      <c r="I1" s="92"/>
      <c r="J1" s="92"/>
    </row>
    <row r="2" spans="1:26" ht="49.5">
      <c r="A2" s="94" t="s">
        <v>10</v>
      </c>
      <c r="B2" s="94" t="s">
        <v>11</v>
      </c>
      <c r="C2" s="95" t="s">
        <v>12</v>
      </c>
      <c r="D2" s="96" t="s">
        <v>3</v>
      </c>
      <c r="E2" s="96"/>
      <c r="F2" s="96"/>
      <c r="G2" s="96"/>
      <c r="H2" s="96" t="s">
        <v>4</v>
      </c>
      <c r="I2" s="96"/>
      <c r="J2" s="96"/>
    </row>
    <row r="3" spans="1:26">
      <c r="A3" s="94"/>
      <c r="B3" s="94"/>
      <c r="C3" s="95" t="s">
        <v>13</v>
      </c>
      <c r="D3" s="97" t="s">
        <v>14</v>
      </c>
      <c r="E3" s="97" t="s">
        <v>16</v>
      </c>
      <c r="F3" s="97" t="s">
        <v>15</v>
      </c>
      <c r="G3" s="97" t="s">
        <v>2</v>
      </c>
      <c r="H3" s="97" t="s">
        <v>0</v>
      </c>
      <c r="I3" s="97" t="s">
        <v>1</v>
      </c>
      <c r="J3" s="97" t="s">
        <v>2</v>
      </c>
    </row>
    <row r="4" spans="1:26">
      <c r="A4" s="98">
        <v>0</v>
      </c>
      <c r="B4" s="99">
        <v>45344</v>
      </c>
      <c r="C4" s="100"/>
      <c r="D4" s="101">
        <f>'Matsuo-Kawamura KM91-PT '!D4</f>
        <v>0.28999999999999998</v>
      </c>
      <c r="E4" s="101">
        <v>0</v>
      </c>
      <c r="F4" s="102">
        <v>0</v>
      </c>
      <c r="G4" s="101" t="str">
        <f>IF(AND(D4&gt;0,F4&gt;0),F4/D4,"")</f>
        <v/>
      </c>
      <c r="H4" s="101"/>
      <c r="I4" s="101">
        <f>F5</f>
        <v>5.6825251190502964E-4</v>
      </c>
      <c r="J4" s="101" t="str">
        <f>IF(AND(H4&gt;0,I4&gt;0),I4/H4,"")</f>
        <v/>
      </c>
    </row>
    <row r="5" spans="1:26">
      <c r="A5" s="98">
        <v>1</v>
      </c>
      <c r="B5" s="99">
        <v>45345</v>
      </c>
      <c r="C5" s="100">
        <f>B5-$B$4</f>
        <v>1</v>
      </c>
      <c r="D5" s="101">
        <f>'Matsuo-Kawamura KM91-PT '!D5</f>
        <v>0.29199999999999998</v>
      </c>
      <c r="E5" s="101">
        <v>0.56825251190502968</v>
      </c>
      <c r="F5" s="103">
        <f>E5/1000</f>
        <v>5.6825251190502964E-4</v>
      </c>
      <c r="G5" s="101">
        <f t="shared" ref="G5:G35" si="0">IF(AND(D5&gt;0,F5&gt;0),F5/D5,"")</f>
        <v>1.9460702462501017E-3</v>
      </c>
      <c r="H5" s="101">
        <f>D5</f>
        <v>0.29199999999999998</v>
      </c>
      <c r="I5" s="101">
        <f>F5+$I$4</f>
        <v>1.1365050238100593E-3</v>
      </c>
      <c r="J5" s="101">
        <f t="shared" ref="J5:J35" si="1">IF(AND(H5&gt;0,I5&gt;0),I5/H5,"")</f>
        <v>3.8921404925002035E-3</v>
      </c>
      <c r="K5" s="93">
        <f>E5/1000</f>
        <v>5.6825251190502964E-4</v>
      </c>
      <c r="N5" s="93">
        <f>E5/1000</f>
        <v>5.6825251190502964E-4</v>
      </c>
    </row>
    <row r="6" spans="1:26">
      <c r="A6" s="98">
        <f>A5+1</f>
        <v>2</v>
      </c>
      <c r="B6" s="99">
        <v>45346</v>
      </c>
      <c r="C6" s="100">
        <f t="shared" ref="C6:C35" si="2">B6-$B$4</f>
        <v>2</v>
      </c>
      <c r="D6" s="101">
        <f>'Matsuo-Kawamura KM91-PT '!D6</f>
        <v>0.29399999999999998</v>
      </c>
      <c r="E6" s="101">
        <v>0.66247149206373024</v>
      </c>
      <c r="F6" s="103">
        <f t="shared" ref="F6:F35" si="3">E6/1000</f>
        <v>6.6247149206373024E-4</v>
      </c>
      <c r="G6" s="101">
        <f t="shared" si="0"/>
        <v>2.2533043947745926E-3</v>
      </c>
      <c r="H6" s="101">
        <f t="shared" ref="H6:H35" si="4">D6</f>
        <v>0.29399999999999998</v>
      </c>
      <c r="I6" s="101">
        <f t="shared" ref="I6:I35" si="5">F6+$I$4</f>
        <v>1.2307240039687599E-3</v>
      </c>
      <c r="J6" s="101">
        <f t="shared" si="1"/>
        <v>4.1861360679209519E-3</v>
      </c>
      <c r="K6" s="93">
        <f t="shared" ref="K6:K69" si="6">E6/1000</f>
        <v>6.6247149206373024E-4</v>
      </c>
    </row>
    <row r="7" spans="1:26">
      <c r="A7" s="98">
        <f t="shared" ref="A7:A70" si="7">A6+1</f>
        <v>3</v>
      </c>
      <c r="B7" s="99">
        <v>45347</v>
      </c>
      <c r="C7" s="100">
        <f t="shared" si="2"/>
        <v>3</v>
      </c>
      <c r="D7" s="101">
        <f>'Matsuo-Kawamura KM91-PT '!D7</f>
        <v>0.29599999999999999</v>
      </c>
      <c r="E7" s="101">
        <v>0.74963879365105868</v>
      </c>
      <c r="F7" s="103">
        <f t="shared" si="3"/>
        <v>7.4963879365105867E-4</v>
      </c>
      <c r="G7" s="101">
        <f t="shared" si="0"/>
        <v>2.5325634920643873E-3</v>
      </c>
      <c r="H7" s="101">
        <f t="shared" si="4"/>
        <v>0.29599999999999999</v>
      </c>
      <c r="I7" s="101">
        <f t="shared" si="5"/>
        <v>1.3178913055560883E-3</v>
      </c>
      <c r="J7" s="101">
        <f t="shared" si="1"/>
        <v>4.4523354917435417E-3</v>
      </c>
      <c r="K7" s="93">
        <f t="shared" si="6"/>
        <v>7.4963879365105867E-4</v>
      </c>
    </row>
    <row r="8" spans="1:26">
      <c r="A8" s="98">
        <f t="shared" si="7"/>
        <v>4</v>
      </c>
      <c r="B8" s="99">
        <v>45348</v>
      </c>
      <c r="C8" s="100">
        <f t="shared" si="2"/>
        <v>4</v>
      </c>
      <c r="D8" s="101">
        <f>'Matsuo-Kawamura KM91-PT '!D8</f>
        <v>0.29799999999999999</v>
      </c>
      <c r="E8" s="101">
        <v>0.83680609523838712</v>
      </c>
      <c r="F8" s="103">
        <f t="shared" si="3"/>
        <v>8.3680609523838711E-4</v>
      </c>
      <c r="G8" s="101">
        <f t="shared" si="0"/>
        <v>2.808074145095259E-3</v>
      </c>
      <c r="H8" s="101">
        <f t="shared" si="4"/>
        <v>0.29799999999999999</v>
      </c>
      <c r="I8" s="101">
        <f t="shared" si="5"/>
        <v>1.4050586071434168E-3</v>
      </c>
      <c r="J8" s="101">
        <f t="shared" si="1"/>
        <v>4.7149617689376403E-3</v>
      </c>
      <c r="K8" s="93">
        <f t="shared" si="6"/>
        <v>8.3680609523838711E-4</v>
      </c>
    </row>
    <row r="9" spans="1:26">
      <c r="A9" s="98">
        <f t="shared" si="7"/>
        <v>5</v>
      </c>
      <c r="B9" s="99">
        <v>45349</v>
      </c>
      <c r="C9" s="100">
        <f t="shared" si="2"/>
        <v>5</v>
      </c>
      <c r="D9" s="101">
        <f>'Matsuo-Kawamura KM91-PT '!D9</f>
        <v>0.3</v>
      </c>
      <c r="E9" s="101">
        <v>0.92397339682565871</v>
      </c>
      <c r="F9" s="103">
        <f t="shared" si="3"/>
        <v>9.2397339682565873E-4</v>
      </c>
      <c r="G9" s="101">
        <f t="shared" si="0"/>
        <v>3.0799113227521959E-3</v>
      </c>
      <c r="H9" s="101">
        <f t="shared" si="4"/>
        <v>0.3</v>
      </c>
      <c r="I9" s="101">
        <f t="shared" si="5"/>
        <v>1.4922259087306884E-3</v>
      </c>
      <c r="J9" s="101">
        <f t="shared" si="1"/>
        <v>4.9740863624356283E-3</v>
      </c>
      <c r="K9" s="93">
        <f t="shared" si="6"/>
        <v>9.2397339682565873E-4</v>
      </c>
    </row>
    <row r="10" spans="1:26">
      <c r="A10" s="98">
        <f t="shared" si="7"/>
        <v>6</v>
      </c>
      <c r="B10" s="99">
        <v>45350</v>
      </c>
      <c r="C10" s="100">
        <f t="shared" si="2"/>
        <v>6</v>
      </c>
      <c r="D10" s="101">
        <f>'Matsuo-Kawamura KM91-PT '!D10</f>
        <v>0.30099999999999999</v>
      </c>
      <c r="E10" s="101">
        <v>0.96755704761926609</v>
      </c>
      <c r="F10" s="103">
        <f t="shared" si="3"/>
        <v>9.6755704761926613E-4</v>
      </c>
      <c r="G10" s="101">
        <f t="shared" si="0"/>
        <v>3.2144752412600207E-3</v>
      </c>
      <c r="H10" s="101">
        <f t="shared" si="4"/>
        <v>0.30099999999999999</v>
      </c>
      <c r="I10" s="101">
        <f t="shared" si="5"/>
        <v>1.5358095595242958E-3</v>
      </c>
      <c r="J10" s="101">
        <f t="shared" si="1"/>
        <v>5.1023573406122789E-3</v>
      </c>
      <c r="K10" s="93">
        <f t="shared" si="6"/>
        <v>9.6755704761926613E-4</v>
      </c>
    </row>
    <row r="11" spans="1:26">
      <c r="A11" s="98">
        <f t="shared" si="7"/>
        <v>7</v>
      </c>
      <c r="B11" s="99">
        <v>45351</v>
      </c>
      <c r="C11" s="100">
        <f t="shared" si="2"/>
        <v>7</v>
      </c>
      <c r="D11" s="101">
        <f>'Matsuo-Kawamura KM91-PT '!D11</f>
        <v>0.30199999999999999</v>
      </c>
      <c r="E11" s="101">
        <v>1.0111406984129303</v>
      </c>
      <c r="F11" s="103">
        <f t="shared" si="3"/>
        <v>1.0111406984129304E-3</v>
      </c>
      <c r="G11" s="101">
        <f t="shared" si="0"/>
        <v>3.3481480079898358E-3</v>
      </c>
      <c r="H11" s="101">
        <f t="shared" si="4"/>
        <v>0.30199999999999999</v>
      </c>
      <c r="I11" s="101">
        <f t="shared" si="5"/>
        <v>1.57939321031796E-3</v>
      </c>
      <c r="J11" s="101">
        <f t="shared" si="1"/>
        <v>5.2297788421124501E-3</v>
      </c>
      <c r="K11" s="93">
        <f t="shared" si="6"/>
        <v>1.0111406984129304E-3</v>
      </c>
    </row>
    <row r="12" spans="1:26">
      <c r="A12" s="98">
        <f t="shared" si="7"/>
        <v>8</v>
      </c>
      <c r="B12" s="99">
        <v>45352</v>
      </c>
      <c r="C12" s="100">
        <f t="shared" si="2"/>
        <v>8</v>
      </c>
      <c r="D12" s="101">
        <f>'Matsuo-Kawamura KM91-PT '!D12</f>
        <v>0.30599999999999999</v>
      </c>
      <c r="E12" s="101">
        <v>1.0983080000002019</v>
      </c>
      <c r="F12" s="103">
        <f t="shared" si="3"/>
        <v>1.098308000000202E-3</v>
      </c>
      <c r="G12" s="101">
        <f t="shared" si="0"/>
        <v>3.5892418300660198E-3</v>
      </c>
      <c r="H12" s="101">
        <f t="shared" si="4"/>
        <v>0.30599999999999999</v>
      </c>
      <c r="I12" s="101">
        <f t="shared" si="5"/>
        <v>1.6665605119052316E-3</v>
      </c>
      <c r="J12" s="101">
        <f t="shared" si="1"/>
        <v>5.4462761826968359E-3</v>
      </c>
      <c r="K12" s="93">
        <f t="shared" si="6"/>
        <v>1.098308000000202E-3</v>
      </c>
    </row>
    <row r="13" spans="1:26">
      <c r="A13" s="98">
        <f t="shared" si="7"/>
        <v>9</v>
      </c>
      <c r="B13" s="99">
        <v>45353</v>
      </c>
      <c r="C13" s="100">
        <f t="shared" si="2"/>
        <v>9</v>
      </c>
      <c r="D13" s="101">
        <f>'Matsuo-Kawamura KM91-PT '!D13</f>
        <v>0.31</v>
      </c>
      <c r="E13" s="101">
        <v>1.2543128666668508</v>
      </c>
      <c r="F13" s="103">
        <f t="shared" si="3"/>
        <v>1.2543128666668507E-3</v>
      </c>
      <c r="G13" s="101">
        <f t="shared" si="0"/>
        <v>4.0461705376350025E-3</v>
      </c>
      <c r="H13" s="101">
        <f t="shared" si="4"/>
        <v>0.31</v>
      </c>
      <c r="I13" s="101">
        <f t="shared" si="5"/>
        <v>1.8225653785718804E-3</v>
      </c>
      <c r="J13" s="101">
        <f t="shared" si="1"/>
        <v>5.8792431566834849E-3</v>
      </c>
      <c r="K13" s="93">
        <f t="shared" si="6"/>
        <v>1.2543128666668507E-3</v>
      </c>
    </row>
    <row r="14" spans="1:26">
      <c r="A14" s="98">
        <f t="shared" si="7"/>
        <v>10</v>
      </c>
      <c r="B14" s="99">
        <v>45354</v>
      </c>
      <c r="C14" s="100">
        <f t="shared" si="2"/>
        <v>10</v>
      </c>
      <c r="D14" s="101">
        <f>'Matsuo-Kawamura KM91-PT '!D14</f>
        <v>0.314</v>
      </c>
      <c r="E14" s="101">
        <v>1.4147377000003303</v>
      </c>
      <c r="F14" s="103">
        <f t="shared" si="3"/>
        <v>1.4147377000003304E-3</v>
      </c>
      <c r="G14" s="101">
        <f t="shared" si="0"/>
        <v>4.5055340764341735E-3</v>
      </c>
      <c r="H14" s="101">
        <f t="shared" si="4"/>
        <v>0.314</v>
      </c>
      <c r="I14" s="101">
        <f t="shared" si="5"/>
        <v>1.98299021190536E-3</v>
      </c>
      <c r="J14" s="101">
        <f t="shared" si="1"/>
        <v>6.3152554519278984E-3</v>
      </c>
      <c r="K14" s="93">
        <f t="shared" si="6"/>
        <v>1.4147377000003304E-3</v>
      </c>
    </row>
    <row r="15" spans="1:26">
      <c r="A15" s="98">
        <f t="shared" si="7"/>
        <v>11</v>
      </c>
      <c r="B15" s="99">
        <v>45355</v>
      </c>
      <c r="C15" s="100">
        <f t="shared" si="2"/>
        <v>11</v>
      </c>
      <c r="D15" s="101">
        <f>'Matsuo-Kawamura KM91-PT '!D15</f>
        <v>0.318</v>
      </c>
      <c r="E15" s="101">
        <v>1.5882203000003301</v>
      </c>
      <c r="F15" s="103">
        <f t="shared" si="3"/>
        <v>1.5882203000003301E-3</v>
      </c>
      <c r="G15" s="101">
        <f t="shared" si="0"/>
        <v>4.9944034591205347E-3</v>
      </c>
      <c r="H15" s="101">
        <f t="shared" si="4"/>
        <v>0.318</v>
      </c>
      <c r="I15" s="101">
        <f t="shared" si="5"/>
        <v>2.1564728119053598E-3</v>
      </c>
      <c r="J15" s="101">
        <f t="shared" si="1"/>
        <v>6.7813610437275464E-3</v>
      </c>
      <c r="K15" s="93">
        <f t="shared" si="6"/>
        <v>1.5882203000003301E-3</v>
      </c>
    </row>
    <row r="16" spans="1:26" hidden="1">
      <c r="A16" s="104">
        <f t="shared" si="7"/>
        <v>12</v>
      </c>
      <c r="B16" s="99">
        <v>45356</v>
      </c>
      <c r="C16" s="105">
        <f t="shared" si="2"/>
        <v>12</v>
      </c>
      <c r="D16" s="97">
        <v>0.13700000000000001</v>
      </c>
      <c r="E16" s="97">
        <v>1.7617029000002162</v>
      </c>
      <c r="F16" s="106">
        <f t="shared" si="3"/>
        <v>1.7617029000002163E-3</v>
      </c>
      <c r="G16" s="97">
        <f t="shared" si="0"/>
        <v>1.285914525547603E-2</v>
      </c>
      <c r="H16" s="97">
        <f t="shared" si="4"/>
        <v>0.13700000000000001</v>
      </c>
      <c r="I16" s="97">
        <f t="shared" si="5"/>
        <v>2.3299554119052459E-3</v>
      </c>
      <c r="J16" s="97">
        <f t="shared" si="1"/>
        <v>1.7006973809527343E-2</v>
      </c>
      <c r="K16" s="93">
        <f t="shared" si="6"/>
        <v>1.7617029000002163E-3</v>
      </c>
      <c r="X16" s="107"/>
      <c r="Y16" s="108"/>
      <c r="Z16" s="109"/>
    </row>
    <row r="17" spans="1:25" hidden="1">
      <c r="A17" s="104">
        <f t="shared" si="7"/>
        <v>13</v>
      </c>
      <c r="B17" s="99">
        <v>45357</v>
      </c>
      <c r="C17" s="105">
        <f t="shared" si="2"/>
        <v>13</v>
      </c>
      <c r="D17" s="97">
        <v>0.14499999999999999</v>
      </c>
      <c r="E17" s="97">
        <v>1.9351855000003297</v>
      </c>
      <c r="F17" s="106">
        <f t="shared" si="3"/>
        <v>1.9351855000003298E-3</v>
      </c>
      <c r="G17" s="97">
        <f t="shared" si="0"/>
        <v>1.3346106896553999E-2</v>
      </c>
      <c r="H17" s="97">
        <f t="shared" si="4"/>
        <v>0.14499999999999999</v>
      </c>
      <c r="I17" s="97">
        <f t="shared" si="5"/>
        <v>2.5034380119053597E-3</v>
      </c>
      <c r="J17" s="97">
        <f t="shared" si="1"/>
        <v>1.7265089737278343E-2</v>
      </c>
      <c r="K17" s="93">
        <f t="shared" si="6"/>
        <v>1.9351855000003298E-3</v>
      </c>
    </row>
    <row r="18" spans="1:25" hidden="1">
      <c r="A18" s="104">
        <f t="shared" si="7"/>
        <v>14</v>
      </c>
      <c r="B18" s="99">
        <v>45358</v>
      </c>
      <c r="C18" s="105">
        <f t="shared" si="2"/>
        <v>14</v>
      </c>
      <c r="D18" s="97">
        <v>0.156</v>
      </c>
      <c r="E18" s="97">
        <v>2.1086681000002159</v>
      </c>
      <c r="F18" s="106">
        <f t="shared" si="3"/>
        <v>2.1086681000002157E-3</v>
      </c>
      <c r="G18" s="97">
        <f t="shared" si="0"/>
        <v>1.3517103205129588E-2</v>
      </c>
      <c r="H18" s="97">
        <f t="shared" si="4"/>
        <v>0.156</v>
      </c>
      <c r="I18" s="97">
        <f t="shared" si="5"/>
        <v>2.6769206119052454E-3</v>
      </c>
      <c r="J18" s="97">
        <f t="shared" si="1"/>
        <v>1.7159747512213112E-2</v>
      </c>
      <c r="K18" s="93">
        <f t="shared" si="6"/>
        <v>2.1086681000002157E-3</v>
      </c>
    </row>
    <row r="19" spans="1:25" hidden="1">
      <c r="A19" s="104">
        <f t="shared" si="7"/>
        <v>15</v>
      </c>
      <c r="B19" s="99">
        <v>45359</v>
      </c>
      <c r="C19" s="105">
        <f t="shared" si="2"/>
        <v>15</v>
      </c>
      <c r="D19" s="97">
        <v>0.16800000000000001</v>
      </c>
      <c r="E19" s="97">
        <v>2.1086681000002159</v>
      </c>
      <c r="F19" s="106">
        <f t="shared" si="3"/>
        <v>2.1086681000002157E-3</v>
      </c>
      <c r="G19" s="97">
        <f t="shared" si="0"/>
        <v>1.2551595833334617E-2</v>
      </c>
      <c r="H19" s="97">
        <f t="shared" si="4"/>
        <v>0.16800000000000001</v>
      </c>
      <c r="I19" s="97">
        <f t="shared" si="5"/>
        <v>2.6769206119052454E-3</v>
      </c>
      <c r="J19" s="97">
        <f t="shared" si="1"/>
        <v>1.5934051261340745E-2</v>
      </c>
      <c r="K19" s="93">
        <f t="shared" si="6"/>
        <v>2.1086681000002157E-3</v>
      </c>
      <c r="Y19" s="108"/>
    </row>
    <row r="20" spans="1:25" hidden="1">
      <c r="A20" s="104">
        <f t="shared" si="7"/>
        <v>16</v>
      </c>
      <c r="B20" s="99">
        <v>45360</v>
      </c>
      <c r="C20" s="105">
        <f t="shared" si="2"/>
        <v>16</v>
      </c>
      <c r="D20" s="97">
        <v>0.18</v>
      </c>
      <c r="E20" s="97">
        <v>2.2917476000002353</v>
      </c>
      <c r="F20" s="106">
        <f t="shared" si="3"/>
        <v>2.2917476000002351E-3</v>
      </c>
      <c r="G20" s="97">
        <f t="shared" si="0"/>
        <v>1.2731931111112418E-2</v>
      </c>
      <c r="H20" s="97">
        <f t="shared" si="4"/>
        <v>0.18</v>
      </c>
      <c r="I20" s="97">
        <f t="shared" si="5"/>
        <v>2.8600001119052647E-3</v>
      </c>
      <c r="J20" s="97">
        <f t="shared" si="1"/>
        <v>1.5888889510584803E-2</v>
      </c>
      <c r="K20" s="93">
        <f t="shared" si="6"/>
        <v>2.2917476000002351E-3</v>
      </c>
    </row>
    <row r="21" spans="1:25">
      <c r="A21" s="104">
        <f>A15+1</f>
        <v>12</v>
      </c>
      <c r="B21" s="99">
        <v>45361</v>
      </c>
      <c r="C21" s="105">
        <f t="shared" si="2"/>
        <v>17</v>
      </c>
      <c r="D21" s="97">
        <f>'Matsuo-Kawamura KM91-PT '!D21</f>
        <v>0.34</v>
      </c>
      <c r="E21" s="97">
        <v>2.4756994000002805</v>
      </c>
      <c r="F21" s="106">
        <f t="shared" si="3"/>
        <v>2.4756994000002803E-3</v>
      </c>
      <c r="G21" s="97">
        <f t="shared" si="0"/>
        <v>7.2814688235302355E-3</v>
      </c>
      <c r="H21" s="97">
        <f t="shared" si="4"/>
        <v>0.34</v>
      </c>
      <c r="I21" s="97">
        <f t="shared" si="5"/>
        <v>3.04395191190531E-3</v>
      </c>
      <c r="J21" s="97">
        <f t="shared" si="1"/>
        <v>8.9527997408979706E-3</v>
      </c>
      <c r="K21" s="93">
        <f t="shared" si="6"/>
        <v>2.4756994000002803E-3</v>
      </c>
    </row>
    <row r="22" spans="1:25">
      <c r="A22" s="104">
        <f t="shared" si="7"/>
        <v>13</v>
      </c>
      <c r="B22" s="99">
        <v>45362</v>
      </c>
      <c r="C22" s="105">
        <f t="shared" si="2"/>
        <v>18</v>
      </c>
      <c r="D22" s="97">
        <f>'Matsuo-Kawamura KM91-PT '!D22</f>
        <v>0.34300000000000003</v>
      </c>
      <c r="E22" s="97">
        <v>2.659651200000269</v>
      </c>
      <c r="F22" s="106">
        <f t="shared" si="3"/>
        <v>2.6596512000002688E-3</v>
      </c>
      <c r="G22" s="97">
        <f t="shared" si="0"/>
        <v>7.7540851311961182E-3</v>
      </c>
      <c r="H22" s="97">
        <f t="shared" si="4"/>
        <v>0.34300000000000003</v>
      </c>
      <c r="I22" s="97">
        <f t="shared" si="5"/>
        <v>3.2279037119052984E-3</v>
      </c>
      <c r="J22" s="97">
        <f t="shared" si="1"/>
        <v>9.4107979938929977E-3</v>
      </c>
      <c r="K22" s="93">
        <f t="shared" si="6"/>
        <v>2.6596512000002688E-3</v>
      </c>
    </row>
    <row r="23" spans="1:25">
      <c r="A23" s="104">
        <f t="shared" si="7"/>
        <v>14</v>
      </c>
      <c r="B23" s="99">
        <v>45363</v>
      </c>
      <c r="C23" s="105">
        <f t="shared" si="2"/>
        <v>19</v>
      </c>
      <c r="D23" s="97">
        <f>'Matsuo-Kawamura KM91-PT '!D23</f>
        <v>0.34599999999999997</v>
      </c>
      <c r="E23" s="97">
        <v>2.8436030000002006</v>
      </c>
      <c r="F23" s="106">
        <f t="shared" si="3"/>
        <v>2.8436030000002005E-3</v>
      </c>
      <c r="G23" s="97">
        <f t="shared" si="0"/>
        <v>8.2185057803474005E-3</v>
      </c>
      <c r="H23" s="97">
        <f t="shared" si="4"/>
        <v>0.34599999999999997</v>
      </c>
      <c r="I23" s="97">
        <f t="shared" si="5"/>
        <v>3.4118555119052301E-3</v>
      </c>
      <c r="J23" s="97">
        <f t="shared" si="1"/>
        <v>9.8608540806509552E-3</v>
      </c>
      <c r="K23" s="93">
        <f t="shared" si="6"/>
        <v>2.8436030000002005E-3</v>
      </c>
    </row>
    <row r="24" spans="1:25">
      <c r="A24" s="104">
        <f t="shared" si="7"/>
        <v>15</v>
      </c>
      <c r="B24" s="99">
        <v>45364</v>
      </c>
      <c r="C24" s="105">
        <f t="shared" si="2"/>
        <v>20</v>
      </c>
      <c r="D24" s="97">
        <f>'Matsuo-Kawamura KM91-PT '!D24</f>
        <v>0.34899999999999998</v>
      </c>
      <c r="E24" s="97">
        <v>3.0275548000001891</v>
      </c>
      <c r="F24" s="106">
        <f t="shared" si="3"/>
        <v>3.0275548000001889E-3</v>
      </c>
      <c r="G24" s="97">
        <f t="shared" si="0"/>
        <v>8.6749421203443818E-3</v>
      </c>
      <c r="H24" s="97">
        <f t="shared" si="4"/>
        <v>0.34899999999999998</v>
      </c>
      <c r="I24" s="97">
        <f t="shared" si="5"/>
        <v>3.5958073119052186E-3</v>
      </c>
      <c r="J24" s="97">
        <f t="shared" si="1"/>
        <v>1.0303172813482002E-2</v>
      </c>
      <c r="K24" s="93">
        <f t="shared" si="6"/>
        <v>3.0275548000001889E-3</v>
      </c>
    </row>
    <row r="25" spans="1:25">
      <c r="A25" s="104">
        <f t="shared" si="7"/>
        <v>16</v>
      </c>
      <c r="B25" s="99">
        <v>45365</v>
      </c>
      <c r="C25" s="105">
        <f t="shared" si="2"/>
        <v>21</v>
      </c>
      <c r="D25" s="97">
        <f>'Matsuo-Kawamura KM91-PT '!D25</f>
        <v>0.35199999999999998</v>
      </c>
      <c r="E25" s="97">
        <v>3.2115066000001775</v>
      </c>
      <c r="F25" s="106">
        <f t="shared" si="3"/>
        <v>3.2115066000001774E-3</v>
      </c>
      <c r="G25" s="97">
        <f t="shared" si="0"/>
        <v>9.1235982954550494E-3</v>
      </c>
      <c r="H25" s="97">
        <f t="shared" si="4"/>
        <v>0.35199999999999998</v>
      </c>
      <c r="I25" s="97">
        <f t="shared" si="5"/>
        <v>3.779759111905207E-3</v>
      </c>
      <c r="J25" s="97">
        <f t="shared" si="1"/>
        <v>1.0737952022457975E-2</v>
      </c>
      <c r="K25" s="93">
        <f t="shared" si="6"/>
        <v>3.2115066000001774E-3</v>
      </c>
    </row>
    <row r="26" spans="1:25">
      <c r="A26" s="104">
        <f t="shared" si="7"/>
        <v>17</v>
      </c>
      <c r="B26" s="99">
        <v>45366</v>
      </c>
      <c r="C26" s="105">
        <f t="shared" si="2"/>
        <v>22</v>
      </c>
      <c r="D26" s="97">
        <f>'Matsuo-Kawamura KM91-PT '!D26</f>
        <v>0.35499999999999998</v>
      </c>
      <c r="E26" s="97">
        <v>3.4874343000002455</v>
      </c>
      <c r="F26" s="106">
        <f t="shared" si="3"/>
        <v>3.4874343000002453E-3</v>
      </c>
      <c r="G26" s="97">
        <f t="shared" si="0"/>
        <v>9.823758591549988E-3</v>
      </c>
      <c r="H26" s="97">
        <f t="shared" si="4"/>
        <v>0.35499999999999998</v>
      </c>
      <c r="I26" s="97">
        <f t="shared" si="5"/>
        <v>4.055686811905275E-3</v>
      </c>
      <c r="J26" s="97">
        <f t="shared" si="1"/>
        <v>1.1424469892690916E-2</v>
      </c>
      <c r="K26" s="93">
        <f t="shared" si="6"/>
        <v>3.4874343000002453E-3</v>
      </c>
    </row>
    <row r="27" spans="1:25">
      <c r="A27" s="104">
        <f t="shared" si="7"/>
        <v>18</v>
      </c>
      <c r="B27" s="99">
        <v>45367</v>
      </c>
      <c r="C27" s="105">
        <f t="shared" si="2"/>
        <v>23</v>
      </c>
      <c r="D27" s="97">
        <f>'Matsuo-Kawamura KM91-PT '!D27</f>
        <v>0.35799999999999998</v>
      </c>
      <c r="E27" s="97">
        <v>3.7633620000002566</v>
      </c>
      <c r="F27" s="106">
        <f t="shared" si="3"/>
        <v>3.7633620000002564E-3</v>
      </c>
      <c r="G27" s="97">
        <f t="shared" si="0"/>
        <v>1.0512184357542616E-2</v>
      </c>
      <c r="H27" s="97">
        <f t="shared" si="4"/>
        <v>0.35799999999999998</v>
      </c>
      <c r="I27" s="97">
        <f t="shared" si="5"/>
        <v>4.3316145119052865E-3</v>
      </c>
      <c r="J27" s="97">
        <f t="shared" si="1"/>
        <v>1.2099481876830409E-2</v>
      </c>
      <c r="K27" s="93">
        <f t="shared" si="6"/>
        <v>3.7633620000002564E-3</v>
      </c>
    </row>
    <row r="28" spans="1:25">
      <c r="A28" s="104">
        <f t="shared" si="7"/>
        <v>19</v>
      </c>
      <c r="B28" s="99">
        <v>45368</v>
      </c>
      <c r="C28" s="105">
        <f t="shared" si="2"/>
        <v>24</v>
      </c>
      <c r="D28" s="97">
        <f>'Matsuo-Kawamura KM91-PT '!D28</f>
        <v>0.36099999999999999</v>
      </c>
      <c r="E28" s="97">
        <v>3.843868714285918</v>
      </c>
      <c r="F28" s="106">
        <f t="shared" si="3"/>
        <v>3.843868714285918E-3</v>
      </c>
      <c r="G28" s="97">
        <f t="shared" si="0"/>
        <v>1.0647835773645203E-2</v>
      </c>
      <c r="H28" s="97">
        <f t="shared" si="4"/>
        <v>0.36099999999999999</v>
      </c>
      <c r="I28" s="97">
        <f t="shared" si="5"/>
        <v>4.4121212261909477E-3</v>
      </c>
      <c r="J28" s="97">
        <f t="shared" si="1"/>
        <v>1.222194245482257E-2</v>
      </c>
      <c r="K28" s="93">
        <f t="shared" si="6"/>
        <v>3.843868714285918E-3</v>
      </c>
    </row>
    <row r="29" spans="1:25">
      <c r="A29" s="104">
        <f t="shared" si="7"/>
        <v>20</v>
      </c>
      <c r="B29" s="99">
        <v>45369</v>
      </c>
      <c r="C29" s="105">
        <f t="shared" si="2"/>
        <v>25</v>
      </c>
      <c r="D29" s="97">
        <f>'Matsuo-Kawamura KM91-PT '!D29</f>
        <v>0.36299999999999999</v>
      </c>
      <c r="E29" s="97">
        <v>3.9243754285716363</v>
      </c>
      <c r="F29" s="106">
        <f t="shared" si="3"/>
        <v>3.9243754285716364E-3</v>
      </c>
      <c r="G29" s="97">
        <f t="shared" si="0"/>
        <v>1.0810951593861258E-2</v>
      </c>
      <c r="H29" s="97">
        <f t="shared" si="4"/>
        <v>0.36299999999999999</v>
      </c>
      <c r="I29" s="97">
        <f t="shared" si="5"/>
        <v>4.4926279404766661E-3</v>
      </c>
      <c r="J29" s="97">
        <f t="shared" si="1"/>
        <v>1.2376385510955004E-2</v>
      </c>
      <c r="K29" s="93">
        <f t="shared" si="6"/>
        <v>3.9243754285716364E-3</v>
      </c>
    </row>
    <row r="30" spans="1:25">
      <c r="A30" s="104">
        <f t="shared" si="7"/>
        <v>21</v>
      </c>
      <c r="B30" s="99">
        <v>45370</v>
      </c>
      <c r="C30" s="105">
        <f t="shared" si="2"/>
        <v>26</v>
      </c>
      <c r="D30" s="97">
        <f>'Matsuo-Kawamura KM91-PT '!D30</f>
        <v>0.36499999999999999</v>
      </c>
      <c r="E30" s="97">
        <v>4.0048821428573547</v>
      </c>
      <c r="F30" s="106">
        <f t="shared" si="3"/>
        <v>4.0048821428573548E-3</v>
      </c>
      <c r="G30" s="97">
        <f t="shared" si="0"/>
        <v>1.0972279843444809E-2</v>
      </c>
      <c r="H30" s="97">
        <f t="shared" si="4"/>
        <v>0.36499999999999999</v>
      </c>
      <c r="I30" s="97">
        <f t="shared" si="5"/>
        <v>4.5731346547623845E-3</v>
      </c>
      <c r="J30" s="97">
        <f t="shared" si="1"/>
        <v>1.2529136040444889E-2</v>
      </c>
      <c r="K30" s="93">
        <f t="shared" si="6"/>
        <v>4.0048821428573548E-3</v>
      </c>
    </row>
    <row r="31" spans="1:25">
      <c r="A31" s="104">
        <f t="shared" si="7"/>
        <v>22</v>
      </c>
      <c r="B31" s="99">
        <v>45371</v>
      </c>
      <c r="C31" s="105">
        <f t="shared" si="2"/>
        <v>27</v>
      </c>
      <c r="D31" s="97">
        <f>'Matsuo-Kawamura KM91-PT '!D31</f>
        <v>0.36699999999999999</v>
      </c>
      <c r="E31" s="97">
        <v>4.085388857143073</v>
      </c>
      <c r="F31" s="106">
        <f t="shared" si="3"/>
        <v>4.0853888571430732E-3</v>
      </c>
      <c r="G31" s="97">
        <f t="shared" si="0"/>
        <v>1.1131849746983851E-2</v>
      </c>
      <c r="H31" s="97">
        <f t="shared" si="4"/>
        <v>0.36699999999999999</v>
      </c>
      <c r="I31" s="97">
        <f t="shared" si="5"/>
        <v>4.6536413690481029E-3</v>
      </c>
      <c r="J31" s="97">
        <f t="shared" si="1"/>
        <v>1.2680221714027528E-2</v>
      </c>
      <c r="K31" s="93">
        <f t="shared" si="6"/>
        <v>4.0853888571430732E-3</v>
      </c>
    </row>
    <row r="32" spans="1:25">
      <c r="A32" s="104">
        <f t="shared" si="7"/>
        <v>23</v>
      </c>
      <c r="B32" s="99">
        <v>45372</v>
      </c>
      <c r="C32" s="105">
        <f t="shared" si="2"/>
        <v>28</v>
      </c>
      <c r="D32" s="97">
        <f>'Matsuo-Kawamura KM91-PT '!D32</f>
        <v>0.36899999999999999</v>
      </c>
      <c r="E32" s="97">
        <v>4.1658955714288481</v>
      </c>
      <c r="F32" s="106">
        <f t="shared" si="3"/>
        <v>4.165895571428848E-3</v>
      </c>
      <c r="G32" s="97">
        <f t="shared" si="0"/>
        <v>1.1289689895471133E-2</v>
      </c>
      <c r="H32" s="97">
        <f t="shared" si="4"/>
        <v>0.36899999999999999</v>
      </c>
      <c r="I32" s="97">
        <f t="shared" si="5"/>
        <v>4.7341480833338776E-3</v>
      </c>
      <c r="J32" s="97">
        <f t="shared" si="1"/>
        <v>1.2829669602530834E-2</v>
      </c>
      <c r="K32" s="93">
        <f t="shared" si="6"/>
        <v>4.165895571428848E-3</v>
      </c>
    </row>
    <row r="33" spans="1:11">
      <c r="A33" s="104">
        <f t="shared" si="7"/>
        <v>24</v>
      </c>
      <c r="B33" s="99">
        <v>45373</v>
      </c>
      <c r="C33" s="105">
        <f t="shared" si="2"/>
        <v>29</v>
      </c>
      <c r="D33" s="97">
        <f>'Matsuo-Kawamura KM91-PT '!D33</f>
        <v>0.371</v>
      </c>
      <c r="E33" s="97">
        <v>4.2464022857145665</v>
      </c>
      <c r="F33" s="106">
        <f t="shared" si="3"/>
        <v>4.2464022857145664E-3</v>
      </c>
      <c r="G33" s="97">
        <f t="shared" si="0"/>
        <v>1.144582826338158E-2</v>
      </c>
      <c r="H33" s="97">
        <f t="shared" si="4"/>
        <v>0.371</v>
      </c>
      <c r="I33" s="97">
        <f t="shared" si="5"/>
        <v>4.814654797619596E-3</v>
      </c>
      <c r="J33" s="97">
        <f t="shared" si="1"/>
        <v>1.2977506193044733E-2</v>
      </c>
      <c r="K33" s="93">
        <f t="shared" si="6"/>
        <v>4.2464022857145664E-3</v>
      </c>
    </row>
    <row r="34" spans="1:11">
      <c r="A34" s="104">
        <f t="shared" si="7"/>
        <v>25</v>
      </c>
      <c r="B34" s="99">
        <v>45374</v>
      </c>
      <c r="C34" s="105">
        <f t="shared" si="2"/>
        <v>30</v>
      </c>
      <c r="D34" s="97">
        <f>'Matsuo-Kawamura KM91-PT '!D34</f>
        <v>0.373</v>
      </c>
      <c r="E34" s="97">
        <v>4.355228880952609</v>
      </c>
      <c r="F34" s="106">
        <f t="shared" si="3"/>
        <v>4.3552288809526087E-3</v>
      </c>
      <c r="G34" s="97">
        <f t="shared" si="0"/>
        <v>1.1676216839015036E-2</v>
      </c>
      <c r="H34" s="97">
        <f t="shared" si="4"/>
        <v>0.373</v>
      </c>
      <c r="I34" s="97">
        <f t="shared" si="5"/>
        <v>4.9234813928576383E-3</v>
      </c>
      <c r="J34" s="97">
        <f t="shared" si="1"/>
        <v>1.3199682018385089E-2</v>
      </c>
      <c r="K34" s="93">
        <f t="shared" si="6"/>
        <v>4.3552288809526087E-3</v>
      </c>
    </row>
    <row r="35" spans="1:11">
      <c r="A35" s="104">
        <f t="shared" si="7"/>
        <v>26</v>
      </c>
      <c r="B35" s="99">
        <v>45375</v>
      </c>
      <c r="C35" s="105">
        <f t="shared" si="2"/>
        <v>31</v>
      </c>
      <c r="D35" s="97">
        <f>'Matsuo-Kawamura KM91-PT '!D35</f>
        <v>0.375</v>
      </c>
      <c r="E35" s="97">
        <v>4.460616880952557</v>
      </c>
      <c r="F35" s="106">
        <f t="shared" si="3"/>
        <v>4.4606168809525571E-3</v>
      </c>
      <c r="G35" s="97">
        <f t="shared" si="0"/>
        <v>1.1894978349206818E-2</v>
      </c>
      <c r="H35" s="97">
        <f t="shared" si="4"/>
        <v>0.375</v>
      </c>
      <c r="I35" s="97">
        <f t="shared" si="5"/>
        <v>5.0288693928575868E-3</v>
      </c>
      <c r="J35" s="97">
        <f t="shared" si="1"/>
        <v>1.3410318380953565E-2</v>
      </c>
      <c r="K35" s="93">
        <f t="shared" si="6"/>
        <v>4.4606168809525571E-3</v>
      </c>
    </row>
    <row r="36" spans="1:11">
      <c r="A36" s="104">
        <f t="shared" si="7"/>
        <v>27</v>
      </c>
      <c r="B36" s="99">
        <v>45376</v>
      </c>
      <c r="C36" s="105">
        <f t="shared" ref="C36:C41" si="8">B36-$B$4</f>
        <v>32</v>
      </c>
      <c r="D36" s="97">
        <f>'Matsuo-Kawamura KM91-PT '!D36</f>
        <v>0.376</v>
      </c>
      <c r="E36" s="97">
        <v>4.5646439047621925</v>
      </c>
      <c r="F36" s="106">
        <f t="shared" ref="F36:F38" si="9">E36/1000</f>
        <v>4.5646439047621924E-3</v>
      </c>
      <c r="G36" s="97">
        <f t="shared" ref="G36:G38" si="10">IF(AND(D36&gt;0,F36&gt;0),F36/D36,"")</f>
        <v>1.2140010385005831E-2</v>
      </c>
      <c r="H36" s="97">
        <f t="shared" ref="H36:H40" si="11">D36</f>
        <v>0.376</v>
      </c>
      <c r="I36" s="97">
        <f t="shared" ref="I36:I38" si="12">F36+$I$4</f>
        <v>5.1328964166672221E-3</v>
      </c>
      <c r="J36" s="97">
        <f t="shared" ref="J36:J38" si="13">IF(AND(H36&gt;0,I36&gt;0),I36/H36,"")</f>
        <v>1.3651320257093676E-2</v>
      </c>
      <c r="K36" s="93">
        <f t="shared" si="6"/>
        <v>4.5646439047621924E-3</v>
      </c>
    </row>
    <row r="37" spans="1:11">
      <c r="A37" s="104">
        <f t="shared" si="7"/>
        <v>28</v>
      </c>
      <c r="B37" s="99">
        <v>45377</v>
      </c>
      <c r="C37" s="105">
        <f t="shared" si="8"/>
        <v>33</v>
      </c>
      <c r="D37" s="97">
        <f>'Matsuo-Kawamura KM91-PT '!D37</f>
        <v>0.377</v>
      </c>
      <c r="E37" s="97">
        <v>4.6686709285716574</v>
      </c>
      <c r="F37" s="106">
        <f t="shared" si="9"/>
        <v>4.6686709285716577E-3</v>
      </c>
      <c r="G37" s="97">
        <f t="shared" si="10"/>
        <v>1.2383742516105193E-2</v>
      </c>
      <c r="H37" s="97">
        <f t="shared" si="11"/>
        <v>0.377</v>
      </c>
      <c r="I37" s="97">
        <f t="shared" si="12"/>
        <v>5.2369234404766873E-3</v>
      </c>
      <c r="J37" s="97">
        <f t="shared" si="13"/>
        <v>1.3891043608691478E-2</v>
      </c>
      <c r="K37" s="93">
        <f t="shared" si="6"/>
        <v>4.6686709285716577E-3</v>
      </c>
    </row>
    <row r="38" spans="1:11">
      <c r="A38" s="104">
        <f t="shared" si="7"/>
        <v>29</v>
      </c>
      <c r="B38" s="99">
        <v>45378</v>
      </c>
      <c r="C38" s="105">
        <f t="shared" si="8"/>
        <v>34</v>
      </c>
      <c r="D38" s="97">
        <f>'Matsuo-Kawamura KM91-PT '!D38</f>
        <v>0.378</v>
      </c>
      <c r="E38" s="97">
        <v>4.7726979523811792</v>
      </c>
      <c r="F38" s="106">
        <f t="shared" si="9"/>
        <v>4.7726979523811794E-3</v>
      </c>
      <c r="G38" s="97">
        <f t="shared" si="10"/>
        <v>1.2626185059209469E-2</v>
      </c>
      <c r="H38" s="97">
        <f t="shared" si="11"/>
        <v>0.378</v>
      </c>
      <c r="I38" s="97">
        <f t="shared" si="12"/>
        <v>5.340950464286209E-3</v>
      </c>
      <c r="J38" s="97">
        <f t="shared" si="13"/>
        <v>1.4129498582767748E-2</v>
      </c>
      <c r="K38" s="93">
        <f t="shared" si="6"/>
        <v>4.7726979523811794E-3</v>
      </c>
    </row>
    <row r="39" spans="1:11">
      <c r="A39" s="104">
        <f t="shared" si="7"/>
        <v>30</v>
      </c>
      <c r="B39" s="99">
        <v>45379</v>
      </c>
      <c r="C39" s="105">
        <f t="shared" si="8"/>
        <v>35</v>
      </c>
      <c r="D39" s="97">
        <f>'Matsuo-Kawamura KM91-PT '!D39</f>
        <v>0.379</v>
      </c>
      <c r="E39" s="97">
        <v>4.8247114642859401</v>
      </c>
      <c r="F39" s="106">
        <f t="shared" ref="F39:F40" si="14">E39/1000</f>
        <v>4.8247114642859402E-3</v>
      </c>
      <c r="G39" s="97">
        <f t="shared" ref="G39:G40" si="15">IF(AND(D39&gt;0,F39&gt;0),F39/D39,"")</f>
        <v>1.2730109404448391E-2</v>
      </c>
      <c r="H39" s="97">
        <f t="shared" si="11"/>
        <v>0.379</v>
      </c>
      <c r="I39" s="97">
        <f t="shared" ref="I39:I40" si="16">F39+$I$4</f>
        <v>5.3929639761909698E-3</v>
      </c>
      <c r="J39" s="97">
        <f t="shared" ref="J39:J40" si="17">IF(AND(H39&gt;0,I39&gt;0),I39/H39,"")</f>
        <v>1.4229456401559287E-2</v>
      </c>
      <c r="K39" s="93">
        <f t="shared" si="6"/>
        <v>4.8247114642859402E-3</v>
      </c>
    </row>
    <row r="40" spans="1:11">
      <c r="A40" s="104">
        <f t="shared" si="7"/>
        <v>31</v>
      </c>
      <c r="B40" s="99">
        <v>45380</v>
      </c>
      <c r="C40" s="105">
        <f t="shared" si="8"/>
        <v>36</v>
      </c>
      <c r="D40" s="97">
        <f>'Matsuo-Kawamura KM91-PT '!D40</f>
        <v>0.38</v>
      </c>
      <c r="E40" s="97">
        <v>4.8767249761907578</v>
      </c>
      <c r="F40" s="106">
        <f t="shared" si="14"/>
        <v>4.8767249761907583E-3</v>
      </c>
      <c r="G40" s="97">
        <f t="shared" si="15"/>
        <v>1.2833486779449364E-2</v>
      </c>
      <c r="H40" s="97">
        <f t="shared" si="11"/>
        <v>0.38</v>
      </c>
      <c r="I40" s="97">
        <f t="shared" si="16"/>
        <v>5.4449774880957879E-3</v>
      </c>
      <c r="J40" s="97">
        <f t="shared" si="17"/>
        <v>1.4328888126567864E-2</v>
      </c>
      <c r="K40" s="93">
        <f t="shared" si="6"/>
        <v>4.8767249761907583E-3</v>
      </c>
    </row>
    <row r="41" spans="1:11">
      <c r="A41" s="104">
        <f t="shared" si="7"/>
        <v>32</v>
      </c>
      <c r="B41" s="99">
        <v>45381</v>
      </c>
      <c r="C41" s="105">
        <f t="shared" si="8"/>
        <v>37</v>
      </c>
      <c r="D41" s="97">
        <f>'Matsuo-Kawamura KM91-PT '!D41</f>
        <v>0.38100000000000001</v>
      </c>
      <c r="E41" s="110">
        <v>4.9807520000002228</v>
      </c>
      <c r="F41" s="106">
        <f t="shared" ref="F41" si="18">E41/1000</f>
        <v>4.9807520000002227E-3</v>
      </c>
      <c r="G41" s="97">
        <f t="shared" ref="G41" si="19">IF(AND(D41&gt;0,F41&gt;0),F41/D41,"")</f>
        <v>1.3072839895013708E-2</v>
      </c>
      <c r="H41" s="97">
        <f t="shared" ref="H41" si="20">D41</f>
        <v>0.38100000000000001</v>
      </c>
      <c r="I41" s="97">
        <f t="shared" ref="I41" si="21">F41+$I$4</f>
        <v>5.5490045119052523E-3</v>
      </c>
      <c r="J41" s="97">
        <f t="shared" ref="J41" si="22">IF(AND(H41&gt;0,I41&gt;0),I41/H41,"")</f>
        <v>1.4564316304213261E-2</v>
      </c>
      <c r="K41" s="93">
        <f t="shared" si="6"/>
        <v>4.9807520000002227E-3</v>
      </c>
    </row>
    <row r="42" spans="1:11">
      <c r="A42" s="104">
        <f t="shared" si="7"/>
        <v>33</v>
      </c>
      <c r="B42" s="99">
        <v>45382</v>
      </c>
      <c r="C42" s="105">
        <f t="shared" ref="C42:C100" si="23">B42-$B$4</f>
        <v>38</v>
      </c>
      <c r="D42" s="97">
        <f>'Matsuo-Kawamura KM91-PT '!D42</f>
        <v>0.38200000000000001</v>
      </c>
      <c r="E42" s="110">
        <v>4.9807520000002228</v>
      </c>
      <c r="F42" s="106">
        <f t="shared" ref="F42:F100" si="24">E42/1000</f>
        <v>4.9807520000002227E-3</v>
      </c>
      <c r="G42" s="97">
        <f t="shared" ref="G42:G100" si="25">IF(AND(D42&gt;0,F42&gt;0),F42/D42,"")</f>
        <v>1.3038617801047703E-2</v>
      </c>
      <c r="H42" s="97">
        <f t="shared" ref="H42" si="26">D42</f>
        <v>0.38200000000000001</v>
      </c>
      <c r="I42" s="97">
        <f t="shared" ref="I42" si="27">F42+$I$4</f>
        <v>5.5490045119052523E-3</v>
      </c>
      <c r="J42" s="97">
        <f t="shared" ref="J42" si="28">IF(AND(H42&gt;0,I42&gt;0),I42/H42,"")</f>
        <v>1.4526189821741498E-2</v>
      </c>
      <c r="K42" s="93">
        <f t="shared" si="6"/>
        <v>4.9807520000002227E-3</v>
      </c>
    </row>
    <row r="43" spans="1:11">
      <c r="A43" s="104">
        <f t="shared" si="7"/>
        <v>34</v>
      </c>
      <c r="B43" s="99">
        <v>45383</v>
      </c>
      <c r="C43" s="105">
        <f t="shared" si="23"/>
        <v>39</v>
      </c>
      <c r="D43" s="97">
        <f>'Matsuo-Kawamura KM91-PT '!D43</f>
        <v>0.38400000000000001</v>
      </c>
      <c r="E43" s="110">
        <v>4.9807520000002228</v>
      </c>
      <c r="F43" s="106">
        <f t="shared" si="24"/>
        <v>4.9807520000002227E-3</v>
      </c>
      <c r="G43" s="97">
        <f t="shared" si="25"/>
        <v>1.2970708333333913E-2</v>
      </c>
      <c r="H43" s="97"/>
      <c r="I43" s="97"/>
      <c r="J43" s="97"/>
      <c r="K43" s="93">
        <f t="shared" si="6"/>
        <v>4.9807520000002227E-3</v>
      </c>
    </row>
    <row r="44" spans="1:11">
      <c r="A44" s="104">
        <f t="shared" si="7"/>
        <v>35</v>
      </c>
      <c r="B44" s="99">
        <v>45384</v>
      </c>
      <c r="C44" s="105">
        <f t="shared" si="23"/>
        <v>40</v>
      </c>
      <c r="D44" s="97">
        <f>'Matsuo-Kawamura KM91-PT '!D44</f>
        <v>0.38600000000000001</v>
      </c>
      <c r="E44" s="110">
        <v>5.0298373666666976</v>
      </c>
      <c r="F44" s="106">
        <f t="shared" si="24"/>
        <v>5.0298373666666975E-3</v>
      </c>
      <c r="G44" s="97">
        <f t="shared" si="25"/>
        <v>1.3030666753022533E-2</v>
      </c>
      <c r="H44" s="97"/>
      <c r="I44" s="97"/>
      <c r="J44" s="97"/>
      <c r="K44" s="93">
        <f t="shared" si="6"/>
        <v>5.0298373666666975E-3</v>
      </c>
    </row>
    <row r="45" spans="1:11">
      <c r="A45" s="104">
        <f t="shared" si="7"/>
        <v>36</v>
      </c>
      <c r="B45" s="99">
        <v>45385</v>
      </c>
      <c r="C45" s="105">
        <f t="shared" si="23"/>
        <v>41</v>
      </c>
      <c r="D45" s="97">
        <f>'Matsuo-Kawamura KM91-PT '!D45</f>
        <v>0.38800000000000001</v>
      </c>
      <c r="E45" s="110">
        <v>5.0789227333336271</v>
      </c>
      <c r="F45" s="106">
        <f t="shared" si="24"/>
        <v>5.0789227333336269E-3</v>
      </c>
      <c r="G45" s="97">
        <f t="shared" si="25"/>
        <v>1.3090007044674296E-2</v>
      </c>
      <c r="H45" s="97"/>
      <c r="I45" s="97"/>
      <c r="J45" s="97"/>
      <c r="K45" s="93">
        <f t="shared" si="6"/>
        <v>5.0789227333336269E-3</v>
      </c>
    </row>
    <row r="46" spans="1:11">
      <c r="A46" s="104">
        <f t="shared" si="7"/>
        <v>37</v>
      </c>
      <c r="B46" s="99">
        <v>45386</v>
      </c>
      <c r="C46" s="105">
        <f t="shared" si="23"/>
        <v>42</v>
      </c>
      <c r="D46" s="97">
        <f>'Matsuo-Kawamura KM91-PT '!D46</f>
        <v>0.39</v>
      </c>
      <c r="E46" s="110">
        <v>5.1280081000002156</v>
      </c>
      <c r="F46" s="106">
        <f t="shared" si="24"/>
        <v>5.1280081000002154E-3</v>
      </c>
      <c r="G46" s="97">
        <f t="shared" si="25"/>
        <v>1.314873871794927E-2</v>
      </c>
      <c r="H46" s="97"/>
      <c r="I46" s="97"/>
      <c r="J46" s="97"/>
      <c r="K46" s="93">
        <f t="shared" si="6"/>
        <v>5.1280081000002154E-3</v>
      </c>
    </row>
    <row r="47" spans="1:11">
      <c r="A47" s="104">
        <f t="shared" si="7"/>
        <v>38</v>
      </c>
      <c r="B47" s="99">
        <v>45387</v>
      </c>
      <c r="C47" s="105">
        <f t="shared" si="23"/>
        <v>43</v>
      </c>
      <c r="D47" s="97">
        <f>'Matsuo-Kawamura KM91-PT '!D47</f>
        <v>0.39200000000000002</v>
      </c>
      <c r="E47" s="110">
        <v>5.1770934666669177</v>
      </c>
      <c r="F47" s="106">
        <f t="shared" si="24"/>
        <v>5.1770934666669176E-3</v>
      </c>
      <c r="G47" s="97">
        <f t="shared" si="25"/>
        <v>1.3206871088436014E-2</v>
      </c>
      <c r="H47" s="97"/>
      <c r="I47" s="97"/>
      <c r="J47" s="97"/>
      <c r="K47" s="93">
        <f t="shared" si="6"/>
        <v>5.1770934666669176E-3</v>
      </c>
    </row>
    <row r="48" spans="1:11">
      <c r="A48" s="104">
        <f t="shared" si="7"/>
        <v>39</v>
      </c>
      <c r="B48" s="99">
        <v>45388</v>
      </c>
      <c r="C48" s="105">
        <f t="shared" si="23"/>
        <v>44</v>
      </c>
      <c r="D48" s="97">
        <f>'Matsuo-Kawamura KM91-PT '!D48</f>
        <v>0.3929999999999999</v>
      </c>
      <c r="E48" s="110">
        <v>5.2261788333336767</v>
      </c>
      <c r="F48" s="106">
        <f t="shared" si="24"/>
        <v>5.226178833333677E-3</v>
      </c>
      <c r="G48" s="97">
        <f t="shared" si="25"/>
        <v>1.3298164970314703E-2</v>
      </c>
      <c r="H48" s="97"/>
      <c r="I48" s="97"/>
      <c r="J48" s="97"/>
      <c r="K48" s="93">
        <f t="shared" si="6"/>
        <v>5.226178833333677E-3</v>
      </c>
    </row>
    <row r="49" spans="1:11">
      <c r="A49" s="104">
        <f t="shared" si="7"/>
        <v>40</v>
      </c>
      <c r="B49" s="99">
        <v>45389</v>
      </c>
      <c r="C49" s="105">
        <f t="shared" si="23"/>
        <v>45</v>
      </c>
      <c r="D49" s="97">
        <f>'Matsuo-Kawamura KM91-PT '!D49</f>
        <v>0.39400000000000002</v>
      </c>
      <c r="E49" s="110">
        <v>5.2858204000003752</v>
      </c>
      <c r="F49" s="106">
        <f t="shared" si="24"/>
        <v>5.2858204000003749E-3</v>
      </c>
      <c r="G49" s="97">
        <f t="shared" si="25"/>
        <v>1.3415787817259835E-2</v>
      </c>
      <c r="H49" s="97"/>
      <c r="I49" s="97"/>
      <c r="J49" s="97"/>
      <c r="K49" s="93">
        <f t="shared" si="6"/>
        <v>5.2858204000003749E-3</v>
      </c>
    </row>
    <row r="50" spans="1:11">
      <c r="A50" s="104">
        <f t="shared" si="7"/>
        <v>41</v>
      </c>
      <c r="B50" s="99">
        <v>45390</v>
      </c>
      <c r="C50" s="105">
        <f t="shared" si="23"/>
        <v>46</v>
      </c>
      <c r="D50" s="97">
        <f>'Matsuo-Kawamura KM91-PT '!D50</f>
        <v>0.39499999999999991</v>
      </c>
      <c r="E50" s="110">
        <v>5.2858204000003752</v>
      </c>
      <c r="F50" s="106">
        <f t="shared" si="24"/>
        <v>5.2858204000003749E-3</v>
      </c>
      <c r="G50" s="97">
        <f t="shared" si="25"/>
        <v>1.3381823797469307E-2</v>
      </c>
      <c r="H50" s="97"/>
      <c r="I50" s="97"/>
      <c r="J50" s="97"/>
      <c r="K50" s="93">
        <f t="shared" si="6"/>
        <v>5.2858204000003749E-3</v>
      </c>
    </row>
    <row r="51" spans="1:11">
      <c r="A51" s="104">
        <f t="shared" si="7"/>
        <v>42</v>
      </c>
      <c r="B51" s="99">
        <v>45391</v>
      </c>
      <c r="C51" s="105">
        <f t="shared" si="23"/>
        <v>47</v>
      </c>
      <c r="D51" s="97">
        <f>'Matsuo-Kawamura KM91-PT '!D51</f>
        <v>0.39600000000000002</v>
      </c>
      <c r="E51" s="110">
        <v>5.3522961333335388</v>
      </c>
      <c r="F51" s="106">
        <f t="shared" si="24"/>
        <v>5.352296133333539E-3</v>
      </c>
      <c r="G51" s="97">
        <f t="shared" si="25"/>
        <v>1.3515899326599846E-2</v>
      </c>
      <c r="H51" s="97"/>
      <c r="I51" s="97"/>
      <c r="J51" s="97"/>
      <c r="K51" s="93">
        <f t="shared" si="6"/>
        <v>5.352296133333539E-3</v>
      </c>
    </row>
    <row r="52" spans="1:11">
      <c r="A52" s="104">
        <f t="shared" si="7"/>
        <v>43</v>
      </c>
      <c r="B52" s="99">
        <v>45392</v>
      </c>
      <c r="C52" s="105">
        <f t="shared" si="23"/>
        <v>48</v>
      </c>
      <c r="D52" s="97">
        <f>'Matsuo-Kawamura KM91-PT '!D52</f>
        <v>0.39699999999999991</v>
      </c>
      <c r="E52" s="111">
        <v>5.4187718666668161</v>
      </c>
      <c r="F52" s="106">
        <f t="shared" si="24"/>
        <v>5.4187718666668157E-3</v>
      </c>
      <c r="G52" s="97">
        <f t="shared" si="25"/>
        <v>1.3649299412258984E-2</v>
      </c>
      <c r="H52" s="101"/>
      <c r="I52" s="101"/>
      <c r="J52" s="101"/>
      <c r="K52" s="93">
        <f t="shared" si="6"/>
        <v>5.4187718666668157E-3</v>
      </c>
    </row>
    <row r="53" spans="1:11">
      <c r="A53" s="104">
        <f t="shared" si="7"/>
        <v>44</v>
      </c>
      <c r="B53" s="99">
        <v>45393</v>
      </c>
      <c r="C53" s="105">
        <f t="shared" si="23"/>
        <v>49</v>
      </c>
      <c r="D53" s="97">
        <f>'Matsuo-Kawamura KM91-PT '!D53</f>
        <v>0.39800000000000002</v>
      </c>
      <c r="E53" s="111">
        <v>5.4852476000002071</v>
      </c>
      <c r="F53" s="106">
        <f t="shared" si="24"/>
        <v>5.485247600000207E-3</v>
      </c>
      <c r="G53" s="97">
        <f t="shared" si="25"/>
        <v>1.3782029145729163E-2</v>
      </c>
      <c r="H53" s="101"/>
      <c r="I53" s="101"/>
      <c r="J53" s="101"/>
      <c r="K53" s="93">
        <f t="shared" si="6"/>
        <v>5.485247600000207E-3</v>
      </c>
    </row>
    <row r="54" spans="1:11">
      <c r="A54" s="104">
        <f t="shared" si="7"/>
        <v>45</v>
      </c>
      <c r="B54" s="99">
        <v>45394</v>
      </c>
      <c r="C54" s="105">
        <f t="shared" si="23"/>
        <v>50</v>
      </c>
      <c r="D54" s="97">
        <f>'Matsuo-Kawamura KM91-PT '!D54</f>
        <v>0.39899999999999991</v>
      </c>
      <c r="E54" s="111">
        <v>5.5517233333335412</v>
      </c>
      <c r="F54" s="106">
        <f t="shared" si="24"/>
        <v>5.5517233333335411E-3</v>
      </c>
      <c r="G54" s="97">
        <f t="shared" si="25"/>
        <v>1.3914093567251986E-2</v>
      </c>
      <c r="H54" s="101"/>
      <c r="I54" s="101"/>
      <c r="J54" s="101"/>
      <c r="K54" s="93">
        <f t="shared" si="6"/>
        <v>5.5517233333335411E-3</v>
      </c>
    </row>
    <row r="55" spans="1:11">
      <c r="A55" s="104">
        <f t="shared" si="7"/>
        <v>46</v>
      </c>
      <c r="B55" s="99">
        <v>45395</v>
      </c>
      <c r="C55" s="105">
        <f t="shared" si="23"/>
        <v>51</v>
      </c>
      <c r="D55" s="97">
        <f>'Matsuo-Kawamura KM91-PT '!D55</f>
        <v>0.4</v>
      </c>
      <c r="E55" s="111">
        <v>5.6181990666668185</v>
      </c>
      <c r="F55" s="106">
        <f t="shared" si="24"/>
        <v>5.6181990666668187E-3</v>
      </c>
      <c r="G55" s="97">
        <f t="shared" si="25"/>
        <v>1.4045497666667047E-2</v>
      </c>
      <c r="H55" s="101"/>
      <c r="I55" s="101"/>
      <c r="J55" s="101"/>
      <c r="K55" s="93">
        <f t="shared" si="6"/>
        <v>5.6181990666668187E-3</v>
      </c>
    </row>
    <row r="56" spans="1:11">
      <c r="A56" s="104">
        <f t="shared" si="7"/>
        <v>47</v>
      </c>
      <c r="B56" s="99">
        <v>45396</v>
      </c>
      <c r="C56" s="105">
        <f t="shared" si="23"/>
        <v>52</v>
      </c>
      <c r="D56" s="97">
        <f>'Matsuo-Kawamura KM91-PT '!D56</f>
        <v>0.40099999999999991</v>
      </c>
      <c r="E56" s="111">
        <v>5.6846748000000957</v>
      </c>
      <c r="F56" s="106">
        <f t="shared" si="24"/>
        <v>5.6846748000000955E-3</v>
      </c>
      <c r="G56" s="97">
        <f t="shared" si="25"/>
        <v>1.4176246384040142E-2</v>
      </c>
      <c r="H56" s="101"/>
      <c r="I56" s="101"/>
      <c r="J56" s="101"/>
      <c r="K56" s="93">
        <f t="shared" si="6"/>
        <v>5.6846748000000955E-3</v>
      </c>
    </row>
    <row r="57" spans="1:11">
      <c r="A57" s="104">
        <f t="shared" si="7"/>
        <v>48</v>
      </c>
      <c r="B57" s="99">
        <v>45397</v>
      </c>
      <c r="C57" s="105">
        <f t="shared" si="23"/>
        <v>53</v>
      </c>
      <c r="D57" s="97">
        <f>'Matsuo-Kawamura KM91-PT '!D57</f>
        <v>0.40200000000000002</v>
      </c>
      <c r="E57" s="111">
        <v>5.7843884000003527</v>
      </c>
      <c r="F57" s="106">
        <f t="shared" si="24"/>
        <v>5.7843884000003528E-3</v>
      </c>
      <c r="G57" s="97">
        <f t="shared" si="25"/>
        <v>1.4389025870647642E-2</v>
      </c>
      <c r="H57" s="101"/>
      <c r="I57" s="101"/>
      <c r="J57" s="101"/>
      <c r="K57" s="93">
        <f t="shared" si="6"/>
        <v>5.7843884000003528E-3</v>
      </c>
    </row>
    <row r="58" spans="1:11">
      <c r="A58" s="104">
        <f t="shared" si="7"/>
        <v>49</v>
      </c>
      <c r="B58" s="99">
        <v>45398</v>
      </c>
      <c r="C58" s="105">
        <f t="shared" si="23"/>
        <v>54</v>
      </c>
      <c r="D58" s="97">
        <f>'Matsuo-Kawamura KM91-PT '!D58</f>
        <v>0.40299999999999991</v>
      </c>
      <c r="E58" s="111">
        <v>5.8841020000001549</v>
      </c>
      <c r="F58" s="106">
        <f t="shared" si="24"/>
        <v>5.8841020000001548E-3</v>
      </c>
      <c r="G58" s="97">
        <f t="shared" si="25"/>
        <v>1.4600749379652993E-2</v>
      </c>
      <c r="H58" s="101"/>
      <c r="I58" s="101"/>
      <c r="J58" s="101"/>
      <c r="K58" s="93">
        <f t="shared" si="6"/>
        <v>5.8841020000001548E-3</v>
      </c>
    </row>
    <row r="59" spans="1:11">
      <c r="A59" s="104">
        <f t="shared" si="7"/>
        <v>50</v>
      </c>
      <c r="B59" s="99">
        <v>45399</v>
      </c>
      <c r="C59" s="105">
        <f t="shared" si="23"/>
        <v>55</v>
      </c>
      <c r="D59" s="97">
        <f>'Matsuo-Kawamura KM91-PT '!D59</f>
        <v>0.40400000000000003</v>
      </c>
      <c r="E59" s="111">
        <v>6.0924973571430883</v>
      </c>
      <c r="F59" s="106">
        <f t="shared" si="24"/>
        <v>6.0924973571430882E-3</v>
      </c>
      <c r="G59" s="97">
        <f t="shared" si="25"/>
        <v>1.5080439002829425E-2</v>
      </c>
      <c r="H59" s="101"/>
      <c r="I59" s="101"/>
      <c r="J59" s="101"/>
      <c r="K59" s="93">
        <f t="shared" si="6"/>
        <v>6.0924973571430882E-3</v>
      </c>
    </row>
    <row r="60" spans="1:11">
      <c r="A60" s="104">
        <f t="shared" si="7"/>
        <v>51</v>
      </c>
      <c r="B60" s="99">
        <v>45400</v>
      </c>
      <c r="C60" s="105">
        <f t="shared" si="23"/>
        <v>56</v>
      </c>
      <c r="D60" s="97">
        <f>'Matsuo-Kawamura KM91-PT '!D60</f>
        <v>0.40499999999999992</v>
      </c>
      <c r="E60" s="111">
        <v>6.3008927142859079</v>
      </c>
      <c r="F60" s="106">
        <f t="shared" si="24"/>
        <v>6.300892714285908E-3</v>
      </c>
      <c r="G60" s="97">
        <f t="shared" si="25"/>
        <v>1.555775978836027E-2</v>
      </c>
      <c r="H60" s="101"/>
      <c r="I60" s="101"/>
      <c r="J60" s="101"/>
      <c r="K60" s="93">
        <f t="shared" si="6"/>
        <v>6.300892714285908E-3</v>
      </c>
    </row>
    <row r="61" spans="1:11">
      <c r="A61" s="104">
        <f t="shared" si="7"/>
        <v>52</v>
      </c>
      <c r="B61" s="99">
        <v>45401</v>
      </c>
      <c r="C61" s="105">
        <f t="shared" si="23"/>
        <v>57</v>
      </c>
      <c r="D61" s="97">
        <f>'Matsuo-Kawamura KM91-PT '!D61</f>
        <v>0.40600000000000003</v>
      </c>
      <c r="E61" s="111">
        <v>6.5092880714287844</v>
      </c>
      <c r="F61" s="106">
        <f t="shared" si="24"/>
        <v>6.5092880714287841E-3</v>
      </c>
      <c r="G61" s="97">
        <f t="shared" si="25"/>
        <v>1.6032729239972374E-2</v>
      </c>
      <c r="H61" s="101"/>
      <c r="I61" s="101"/>
      <c r="J61" s="101"/>
      <c r="K61" s="93">
        <f t="shared" si="6"/>
        <v>6.5092880714287841E-3</v>
      </c>
    </row>
    <row r="62" spans="1:11">
      <c r="A62" s="104">
        <f t="shared" si="7"/>
        <v>53</v>
      </c>
      <c r="B62" s="99">
        <v>45402</v>
      </c>
      <c r="C62" s="105">
        <f t="shared" si="23"/>
        <v>58</v>
      </c>
      <c r="D62" s="97">
        <f>'Matsuo-Kawamura KM91-PT '!D62</f>
        <v>0.40699999999999992</v>
      </c>
      <c r="E62" s="111">
        <v>6.7176834285716041</v>
      </c>
      <c r="F62" s="106">
        <f t="shared" si="24"/>
        <v>6.7176834285716039E-3</v>
      </c>
      <c r="G62" s="97">
        <f t="shared" si="25"/>
        <v>1.6505364689365122E-2</v>
      </c>
      <c r="H62" s="101"/>
      <c r="I62" s="101"/>
      <c r="J62" s="101"/>
      <c r="K62" s="93">
        <f t="shared" si="6"/>
        <v>6.7176834285716039E-3</v>
      </c>
    </row>
    <row r="63" spans="1:11">
      <c r="A63" s="104">
        <f t="shared" si="7"/>
        <v>54</v>
      </c>
      <c r="B63" s="99">
        <v>45403</v>
      </c>
      <c r="C63" s="105">
        <f t="shared" si="23"/>
        <v>59</v>
      </c>
      <c r="D63" s="97">
        <f>'Matsuo-Kawamura KM91-PT '!D63</f>
        <v>0.40800000000000003</v>
      </c>
      <c r="E63" s="111">
        <v>6.9260787857145942</v>
      </c>
      <c r="F63" s="106">
        <f t="shared" si="24"/>
        <v>6.9260787857145945E-3</v>
      </c>
      <c r="G63" s="97">
        <f t="shared" si="25"/>
        <v>1.6975683298320082E-2</v>
      </c>
      <c r="H63" s="101"/>
      <c r="I63" s="101"/>
      <c r="J63" s="101"/>
      <c r="K63" s="93">
        <f t="shared" si="6"/>
        <v>6.9260787857145945E-3</v>
      </c>
    </row>
    <row r="64" spans="1:11">
      <c r="A64" s="104">
        <f t="shared" si="7"/>
        <v>55</v>
      </c>
      <c r="B64" s="99">
        <v>45404</v>
      </c>
      <c r="C64" s="105">
        <f t="shared" si="23"/>
        <v>60</v>
      </c>
      <c r="D64" s="97">
        <f>'Matsuo-Kawamura KM91-PT '!D64</f>
        <v>0.40899999999999992</v>
      </c>
      <c r="E64" s="111">
        <v>7.1344741428574139</v>
      </c>
      <c r="F64" s="106">
        <f t="shared" si="24"/>
        <v>7.1344741428574143E-3</v>
      </c>
      <c r="G64" s="97">
        <f t="shared" si="25"/>
        <v>1.7443702060776077E-2</v>
      </c>
      <c r="H64" s="101"/>
      <c r="I64" s="101"/>
      <c r="J64" s="101"/>
      <c r="K64" s="93">
        <f t="shared" si="6"/>
        <v>7.1344741428574143E-3</v>
      </c>
    </row>
    <row r="65" spans="1:14">
      <c r="A65" s="104">
        <f t="shared" si="7"/>
        <v>56</v>
      </c>
      <c r="B65" s="99">
        <v>45405</v>
      </c>
      <c r="C65" s="105">
        <f t="shared" si="23"/>
        <v>61</v>
      </c>
      <c r="D65" s="97">
        <f>'Matsuo-Kawamura KM91-PT '!D65</f>
        <v>0.41000000000000003</v>
      </c>
      <c r="E65" s="111">
        <v>7.4031116190478201</v>
      </c>
      <c r="F65" s="106">
        <f t="shared" si="24"/>
        <v>7.4031116190478204E-3</v>
      </c>
      <c r="G65" s="97">
        <f t="shared" si="25"/>
        <v>1.8056369802555657E-2</v>
      </c>
      <c r="H65" s="101"/>
      <c r="I65" s="101"/>
      <c r="J65" s="101"/>
      <c r="K65" s="93">
        <f t="shared" si="6"/>
        <v>7.4031116190478204E-3</v>
      </c>
    </row>
    <row r="66" spans="1:14">
      <c r="A66" s="104">
        <f t="shared" si="7"/>
        <v>57</v>
      </c>
      <c r="B66" s="99">
        <v>45406</v>
      </c>
      <c r="C66" s="105">
        <f t="shared" si="23"/>
        <v>62</v>
      </c>
      <c r="D66" s="97">
        <f>'Matsuo-Kawamura KM91-PT '!D66</f>
        <v>0.41099999999999992</v>
      </c>
      <c r="E66" s="111">
        <v>7.6438850158731384</v>
      </c>
      <c r="F66" s="106">
        <f t="shared" si="24"/>
        <v>7.6438850158731383E-3</v>
      </c>
      <c r="G66" s="97">
        <f t="shared" si="25"/>
        <v>1.8598260379253381E-2</v>
      </c>
      <c r="H66" s="101"/>
      <c r="I66" s="101"/>
      <c r="J66" s="101"/>
      <c r="K66" s="93">
        <f t="shared" si="6"/>
        <v>7.6438850158731383E-3</v>
      </c>
    </row>
    <row r="67" spans="1:14">
      <c r="A67" s="104">
        <f t="shared" si="7"/>
        <v>58</v>
      </c>
      <c r="B67" s="99">
        <v>45407</v>
      </c>
      <c r="C67" s="105">
        <f t="shared" si="23"/>
        <v>63</v>
      </c>
      <c r="D67" s="97">
        <f>'Matsuo-Kawamura KM91-PT '!D67</f>
        <v>0.41200000000000003</v>
      </c>
      <c r="E67" s="111">
        <v>7.8843256666668822</v>
      </c>
      <c r="F67" s="106">
        <f t="shared" si="24"/>
        <v>7.8843256666668825E-3</v>
      </c>
      <c r="G67" s="97">
        <f t="shared" si="25"/>
        <v>1.9136712783172045E-2</v>
      </c>
      <c r="H67" s="101"/>
      <c r="I67" s="101"/>
      <c r="J67" s="101"/>
      <c r="K67" s="93">
        <f t="shared" si="6"/>
        <v>7.8843256666668825E-3</v>
      </c>
    </row>
    <row r="68" spans="1:14">
      <c r="A68" s="104">
        <f t="shared" si="7"/>
        <v>59</v>
      </c>
      <c r="B68" s="99">
        <v>45408</v>
      </c>
      <c r="C68" s="105">
        <f t="shared" si="23"/>
        <v>64</v>
      </c>
      <c r="D68" s="97">
        <f>'Matsuo-Kawamura KM91-PT '!D68</f>
        <v>0.41200000000000003</v>
      </c>
      <c r="E68" s="111">
        <v>8.1363365000003114</v>
      </c>
      <c r="F68" s="106">
        <f t="shared" si="24"/>
        <v>8.1363365000003112E-3</v>
      </c>
      <c r="G68" s="97">
        <f t="shared" si="25"/>
        <v>1.9748389563107548E-2</v>
      </c>
      <c r="H68" s="101"/>
      <c r="I68" s="101"/>
      <c r="J68" s="101"/>
      <c r="K68" s="93">
        <f t="shared" si="6"/>
        <v>8.1363365000003112E-3</v>
      </c>
    </row>
    <row r="69" spans="1:14">
      <c r="A69" s="104">
        <f t="shared" si="7"/>
        <v>60</v>
      </c>
      <c r="B69" s="99">
        <v>45409</v>
      </c>
      <c r="C69" s="105">
        <f t="shared" si="23"/>
        <v>65</v>
      </c>
      <c r="D69" s="97">
        <f>'Matsuo-Kawamura KM91-PT '!D69</f>
        <v>0.41200000000000003</v>
      </c>
      <c r="E69" s="111">
        <v>8.3883473333335701</v>
      </c>
      <c r="F69" s="106">
        <f t="shared" si="24"/>
        <v>8.3883473333335699E-3</v>
      </c>
      <c r="G69" s="97">
        <f t="shared" si="25"/>
        <v>2.0360066343042642E-2</v>
      </c>
      <c r="H69" s="101"/>
      <c r="I69" s="101"/>
      <c r="J69" s="101"/>
      <c r="K69" s="93">
        <f t="shared" si="6"/>
        <v>8.3883473333335699E-3</v>
      </c>
    </row>
    <row r="70" spans="1:14">
      <c r="A70" s="104">
        <f t="shared" si="7"/>
        <v>61</v>
      </c>
      <c r="B70" s="99">
        <v>45410</v>
      </c>
      <c r="C70" s="105">
        <f t="shared" si="23"/>
        <v>66</v>
      </c>
      <c r="D70" s="97">
        <f>'Matsuo-Kawamura KM91-PT '!D70</f>
        <v>0.41200000000000003</v>
      </c>
      <c r="E70" s="111">
        <v>8.5143527500004552</v>
      </c>
      <c r="F70" s="106">
        <f t="shared" si="24"/>
        <v>8.5143527500004552E-3</v>
      </c>
      <c r="G70" s="97">
        <f t="shared" si="25"/>
        <v>2.0665904733010811E-2</v>
      </c>
      <c r="H70" s="101"/>
      <c r="I70" s="101"/>
      <c r="J70" s="101"/>
      <c r="K70" s="93">
        <f t="shared" ref="K70:K103" si="29">E70/1000</f>
        <v>8.5143527500004552E-3</v>
      </c>
    </row>
    <row r="71" spans="1:14">
      <c r="A71" s="104">
        <f t="shared" ref="A71:A100" si="30">A70+1</f>
        <v>62</v>
      </c>
      <c r="B71" s="99">
        <v>45411</v>
      </c>
      <c r="C71" s="105">
        <f t="shared" si="23"/>
        <v>67</v>
      </c>
      <c r="D71" s="97">
        <f>'Matsuo-Kawamura KM91-PT '!D71</f>
        <v>0.41200000000000003</v>
      </c>
      <c r="E71" s="111">
        <v>8.6403581666669425</v>
      </c>
      <c r="F71" s="106">
        <f t="shared" si="24"/>
        <v>8.6403581666669432E-3</v>
      </c>
      <c r="G71" s="97">
        <f t="shared" si="25"/>
        <v>2.0971743122978014E-2</v>
      </c>
      <c r="H71" s="101"/>
      <c r="I71" s="101"/>
      <c r="J71" s="101"/>
      <c r="K71" s="93">
        <f t="shared" si="29"/>
        <v>8.6403581666669432E-3</v>
      </c>
    </row>
    <row r="72" spans="1:14">
      <c r="A72" s="104">
        <f t="shared" si="30"/>
        <v>63</v>
      </c>
      <c r="B72" s="99">
        <v>45412</v>
      </c>
      <c r="C72" s="105">
        <f t="shared" si="23"/>
        <v>68</v>
      </c>
      <c r="D72" s="97">
        <f>'Matsuo-Kawamura KM91-PT '!D72</f>
        <v>0.41200000000000003</v>
      </c>
      <c r="E72" s="111">
        <v>8.892369000000258</v>
      </c>
      <c r="F72" s="106">
        <f t="shared" si="24"/>
        <v>8.8923690000002574E-3</v>
      </c>
      <c r="G72" s="97">
        <f t="shared" si="25"/>
        <v>2.1583419902913244E-2</v>
      </c>
      <c r="H72" s="101"/>
      <c r="I72" s="101"/>
      <c r="J72" s="101"/>
      <c r="K72" s="93">
        <f t="shared" si="29"/>
        <v>8.8923690000002574E-3</v>
      </c>
    </row>
    <row r="73" spans="1:14">
      <c r="A73" s="104">
        <f t="shared" si="30"/>
        <v>64</v>
      </c>
      <c r="B73" s="99">
        <v>45413</v>
      </c>
      <c r="C73" s="105">
        <f t="shared" si="23"/>
        <v>69</v>
      </c>
      <c r="D73" s="97">
        <f>'Matsuo-Kawamura KM91-PT '!D73</f>
        <v>0.42000000000000004</v>
      </c>
      <c r="E73" s="111">
        <v>8.892369000000258</v>
      </c>
      <c r="F73" s="106">
        <f t="shared" si="24"/>
        <v>8.8923690000002574E-3</v>
      </c>
      <c r="G73" s="97">
        <f t="shared" si="25"/>
        <v>2.1172307142857755E-2</v>
      </c>
      <c r="H73" s="101"/>
      <c r="I73" s="101"/>
      <c r="J73" s="101"/>
      <c r="K73" s="93">
        <f t="shared" si="29"/>
        <v>8.8923690000002574E-3</v>
      </c>
    </row>
    <row r="74" spans="1:14">
      <c r="A74" s="104">
        <f t="shared" si="30"/>
        <v>65</v>
      </c>
      <c r="B74" s="99">
        <v>45414</v>
      </c>
      <c r="C74" s="105">
        <f t="shared" si="23"/>
        <v>70</v>
      </c>
      <c r="D74" s="97">
        <f>'Matsuo-Kawamura KM91-PT '!D74</f>
        <v>0.42000000000000004</v>
      </c>
      <c r="E74" s="111">
        <v>8.9679721428574339</v>
      </c>
      <c r="F74" s="106">
        <f t="shared" si="24"/>
        <v>8.9679721428574336E-3</v>
      </c>
      <c r="G74" s="97">
        <f t="shared" si="25"/>
        <v>2.1352314625851031E-2</v>
      </c>
      <c r="H74" s="101"/>
      <c r="I74" s="101"/>
      <c r="J74" s="101"/>
      <c r="K74" s="93">
        <f t="shared" si="29"/>
        <v>8.9679721428574336E-3</v>
      </c>
    </row>
    <row r="75" spans="1:14">
      <c r="A75" s="104">
        <f t="shared" si="30"/>
        <v>66</v>
      </c>
      <c r="B75" s="99">
        <v>45415</v>
      </c>
      <c r="C75" s="105">
        <f t="shared" si="23"/>
        <v>71</v>
      </c>
      <c r="D75" s="97">
        <f>'Matsuo-Kawamura KM91-PT '!D75</f>
        <v>0.42000000000000004</v>
      </c>
      <c r="E75" s="111">
        <v>9.0435752857146667</v>
      </c>
      <c r="F75" s="106">
        <f t="shared" si="24"/>
        <v>9.0435752857146671E-3</v>
      </c>
      <c r="G75" s="97">
        <f t="shared" si="25"/>
        <v>2.1532322108844443E-2</v>
      </c>
      <c r="H75" s="101"/>
      <c r="I75" s="101"/>
      <c r="J75" s="101"/>
      <c r="K75" s="93">
        <f t="shared" si="29"/>
        <v>9.0435752857146671E-3</v>
      </c>
    </row>
    <row r="76" spans="1:14">
      <c r="A76" s="104">
        <f t="shared" si="30"/>
        <v>67</v>
      </c>
      <c r="B76" s="99">
        <v>45416</v>
      </c>
      <c r="C76" s="105">
        <f t="shared" si="23"/>
        <v>72</v>
      </c>
      <c r="D76" s="97">
        <f>'Matsuo-Kawamura KM91-PT '!D76</f>
        <v>0.42000000000000004</v>
      </c>
      <c r="E76" s="111">
        <v>9.1191784285716153</v>
      </c>
      <c r="F76" s="106">
        <f t="shared" si="24"/>
        <v>9.119178428571616E-3</v>
      </c>
      <c r="G76" s="97">
        <f t="shared" si="25"/>
        <v>2.1712329591837179E-2</v>
      </c>
      <c r="H76" s="101"/>
      <c r="I76" s="101"/>
      <c r="J76" s="101"/>
      <c r="K76" s="93">
        <f t="shared" si="29"/>
        <v>9.119178428571616E-3</v>
      </c>
    </row>
    <row r="77" spans="1:14">
      <c r="A77" s="104">
        <f t="shared" si="30"/>
        <v>68</v>
      </c>
      <c r="B77" s="99">
        <v>45417</v>
      </c>
      <c r="C77" s="105">
        <f t="shared" si="23"/>
        <v>73</v>
      </c>
      <c r="D77" s="97">
        <f>'Matsuo-Kawamura KM91-PT '!D77</f>
        <v>0.42000000000000004</v>
      </c>
      <c r="E77" s="111">
        <v>9.1947815714287913</v>
      </c>
      <c r="F77" s="106">
        <f t="shared" si="24"/>
        <v>9.1947815714287905E-3</v>
      </c>
      <c r="G77" s="97">
        <f t="shared" si="25"/>
        <v>2.1892337074830452E-2</v>
      </c>
      <c r="H77" s="101"/>
      <c r="I77" s="101"/>
      <c r="J77" s="101"/>
      <c r="K77" s="93">
        <f t="shared" si="29"/>
        <v>9.1947815714287905E-3</v>
      </c>
      <c r="N77" s="112"/>
    </row>
    <row r="78" spans="1:14">
      <c r="A78" s="104">
        <f t="shared" si="30"/>
        <v>69</v>
      </c>
      <c r="B78" s="99">
        <v>45418</v>
      </c>
      <c r="C78" s="105">
        <f t="shared" si="23"/>
        <v>74</v>
      </c>
      <c r="D78" s="97">
        <f>'Matsuo-Kawamura KM91-PT '!D78</f>
        <v>0.42000000000000004</v>
      </c>
      <c r="E78" s="111">
        <v>9.2703847142857398</v>
      </c>
      <c r="F78" s="106">
        <f t="shared" si="24"/>
        <v>9.2703847142857395E-3</v>
      </c>
      <c r="G78" s="97">
        <f t="shared" si="25"/>
        <v>2.2072344557823188E-2</v>
      </c>
      <c r="H78" s="101"/>
      <c r="I78" s="101"/>
      <c r="J78" s="101"/>
      <c r="K78" s="93">
        <f t="shared" si="29"/>
        <v>9.2703847142857395E-3</v>
      </c>
    </row>
    <row r="79" spans="1:14">
      <c r="A79" s="104">
        <f t="shared" si="30"/>
        <v>70</v>
      </c>
      <c r="B79" s="99">
        <v>45419</v>
      </c>
      <c r="C79" s="105">
        <f t="shared" si="23"/>
        <v>75</v>
      </c>
      <c r="D79" s="97">
        <f>'Matsuo-Kawamura KM91-PT '!D79</f>
        <v>0.42000000000000004</v>
      </c>
      <c r="E79" s="111">
        <v>9.3459878571429158</v>
      </c>
      <c r="F79" s="106">
        <f t="shared" si="24"/>
        <v>9.3459878571429157E-3</v>
      </c>
      <c r="G79" s="97">
        <f t="shared" si="25"/>
        <v>2.2252352040816464E-2</v>
      </c>
      <c r="H79" s="101"/>
      <c r="I79" s="101"/>
      <c r="J79" s="101"/>
      <c r="K79" s="93">
        <f t="shared" si="29"/>
        <v>9.3459878571429157E-3</v>
      </c>
    </row>
    <row r="80" spans="1:14">
      <c r="A80" s="104">
        <f t="shared" si="30"/>
        <v>71</v>
      </c>
      <c r="B80" s="99">
        <v>45420</v>
      </c>
      <c r="C80" s="105">
        <f t="shared" si="23"/>
        <v>76</v>
      </c>
      <c r="D80" s="97">
        <f>'Matsuo-Kawamura KM91-PT '!D80</f>
        <v>0.42600000000000005</v>
      </c>
      <c r="E80" s="111">
        <v>9.3459878571429158</v>
      </c>
      <c r="F80" s="106">
        <f t="shared" si="24"/>
        <v>9.3459878571429157E-3</v>
      </c>
      <c r="G80" s="97">
        <f t="shared" si="25"/>
        <v>2.1938938631790878E-2</v>
      </c>
      <c r="H80" s="101"/>
      <c r="I80" s="101"/>
      <c r="J80" s="101"/>
      <c r="K80" s="93">
        <f t="shared" si="29"/>
        <v>9.3459878571429157E-3</v>
      </c>
    </row>
    <row r="81" spans="1:14">
      <c r="A81" s="104">
        <f t="shared" si="30"/>
        <v>72</v>
      </c>
      <c r="B81" s="99">
        <v>45421</v>
      </c>
      <c r="C81" s="105">
        <f t="shared" si="23"/>
        <v>77</v>
      </c>
      <c r="D81" s="97">
        <f>'Matsuo-Kawamura KM91-PT '!D81</f>
        <v>0.42600000000000005</v>
      </c>
      <c r="E81" s="111">
        <v>9.4215910000003191</v>
      </c>
      <c r="F81" s="106">
        <f t="shared" si="24"/>
        <v>9.4215910000003192E-3</v>
      </c>
      <c r="G81" s="97">
        <f t="shared" si="25"/>
        <v>2.2116410798122814E-2</v>
      </c>
      <c r="H81" s="101"/>
      <c r="I81" s="101"/>
      <c r="J81" s="101"/>
      <c r="K81" s="93">
        <f t="shared" si="29"/>
        <v>9.4215910000003192E-3</v>
      </c>
    </row>
    <row r="82" spans="1:14">
      <c r="A82" s="104">
        <f t="shared" si="30"/>
        <v>73</v>
      </c>
      <c r="B82" s="99">
        <v>45422</v>
      </c>
      <c r="C82" s="105">
        <f t="shared" si="23"/>
        <v>78</v>
      </c>
      <c r="D82" s="97">
        <f>'Matsuo-Kawamura KM91-PT '!D82</f>
        <v>0.42600000000000005</v>
      </c>
      <c r="E82" s="111">
        <v>9.4971941428574382</v>
      </c>
      <c r="F82" s="106">
        <f t="shared" si="24"/>
        <v>9.4971941428574382E-3</v>
      </c>
      <c r="G82" s="97">
        <f t="shared" si="25"/>
        <v>2.2293882964454077E-2</v>
      </c>
      <c r="H82" s="101"/>
      <c r="I82" s="101"/>
      <c r="J82" s="101"/>
      <c r="K82" s="93">
        <f t="shared" si="29"/>
        <v>9.4971941428574382E-3</v>
      </c>
    </row>
    <row r="83" spans="1:14">
      <c r="A83" s="104">
        <f t="shared" si="30"/>
        <v>74</v>
      </c>
      <c r="B83" s="99">
        <v>45423</v>
      </c>
      <c r="C83" s="105">
        <f t="shared" si="23"/>
        <v>79</v>
      </c>
      <c r="D83" s="97">
        <f>'Matsuo-Kawamura KM91-PT '!D83</f>
        <v>0.42600000000000005</v>
      </c>
      <c r="E83" s="113">
        <v>9.5727972857145005</v>
      </c>
      <c r="F83" s="106">
        <f t="shared" si="24"/>
        <v>9.5727972857144999E-3</v>
      </c>
      <c r="G83" s="97">
        <f t="shared" si="25"/>
        <v>2.2471355130785207E-2</v>
      </c>
      <c r="H83" s="114"/>
      <c r="I83" s="114"/>
      <c r="J83" s="114"/>
      <c r="K83" s="93">
        <f t="shared" si="29"/>
        <v>9.5727972857144999E-3</v>
      </c>
    </row>
    <row r="84" spans="1:14">
      <c r="A84" s="104">
        <f t="shared" si="30"/>
        <v>75</v>
      </c>
      <c r="B84" s="99">
        <v>45424</v>
      </c>
      <c r="C84" s="105">
        <f t="shared" si="23"/>
        <v>80</v>
      </c>
      <c r="D84" s="97">
        <f>'Matsuo-Kawamura KM91-PT '!D84</f>
        <v>0.42600000000000005</v>
      </c>
      <c r="E84" s="113">
        <v>9.6484004285717333</v>
      </c>
      <c r="F84" s="106">
        <f t="shared" si="24"/>
        <v>9.6484004285717333E-3</v>
      </c>
      <c r="G84" s="97">
        <f t="shared" si="25"/>
        <v>2.2648827297116744E-2</v>
      </c>
      <c r="H84" s="114"/>
      <c r="I84" s="114"/>
      <c r="J84" s="114"/>
      <c r="K84" s="93">
        <f t="shared" si="29"/>
        <v>9.6484004285717333E-3</v>
      </c>
      <c r="N84" s="112"/>
    </row>
    <row r="85" spans="1:14">
      <c r="A85" s="104">
        <f t="shared" si="30"/>
        <v>76</v>
      </c>
      <c r="B85" s="99">
        <v>45425</v>
      </c>
      <c r="C85" s="105">
        <f t="shared" si="23"/>
        <v>81</v>
      </c>
      <c r="D85" s="97">
        <f>'Matsuo-Kawamura KM91-PT '!D85</f>
        <v>0.42600000000000005</v>
      </c>
      <c r="E85" s="113">
        <v>9.7240035714288524</v>
      </c>
      <c r="F85" s="106">
        <f t="shared" si="24"/>
        <v>9.7240035714288523E-3</v>
      </c>
      <c r="G85" s="97">
        <f t="shared" si="25"/>
        <v>2.2826299463448007E-2</v>
      </c>
      <c r="H85" s="114"/>
      <c r="I85" s="114"/>
      <c r="J85" s="114"/>
      <c r="K85" s="93">
        <f t="shared" si="29"/>
        <v>9.7240035714288523E-3</v>
      </c>
    </row>
    <row r="86" spans="1:14">
      <c r="A86" s="104">
        <f t="shared" si="30"/>
        <v>77</v>
      </c>
      <c r="B86" s="99">
        <v>45426</v>
      </c>
      <c r="C86" s="105">
        <f t="shared" si="23"/>
        <v>82</v>
      </c>
      <c r="D86" s="97">
        <f>'Matsuo-Kawamura KM91-PT '!D86</f>
        <v>0.42600000000000005</v>
      </c>
      <c r="E86" s="113">
        <v>9.7996067142860284</v>
      </c>
      <c r="F86" s="106">
        <f t="shared" si="24"/>
        <v>9.7996067142860285E-3</v>
      </c>
      <c r="G86" s="97">
        <f t="shared" si="25"/>
        <v>2.3003771629779408E-2</v>
      </c>
      <c r="H86" s="114"/>
      <c r="I86" s="114"/>
      <c r="J86" s="114"/>
      <c r="K86" s="93">
        <f t="shared" si="29"/>
        <v>9.7996067142860285E-3</v>
      </c>
    </row>
    <row r="87" spans="1:14">
      <c r="A87" s="104">
        <f t="shared" si="30"/>
        <v>78</v>
      </c>
      <c r="B87" s="99">
        <v>45427</v>
      </c>
      <c r="C87" s="105">
        <f t="shared" si="23"/>
        <v>83</v>
      </c>
      <c r="D87" s="97">
        <f>'Matsuo-Kawamura KM91-PT '!D87</f>
        <v>0.43000000000000005</v>
      </c>
      <c r="E87" s="113">
        <v>9.9130114285717355</v>
      </c>
      <c r="F87" s="106">
        <f t="shared" si="24"/>
        <v>9.9130114285717347E-3</v>
      </c>
      <c r="G87" s="97">
        <f t="shared" si="25"/>
        <v>2.3053514950166821E-2</v>
      </c>
      <c r="H87" s="114"/>
      <c r="I87" s="114"/>
      <c r="J87" s="114"/>
      <c r="K87" s="93">
        <f t="shared" si="29"/>
        <v>9.9130114285717347E-3</v>
      </c>
    </row>
    <row r="88" spans="1:14">
      <c r="A88" s="104">
        <f t="shared" si="30"/>
        <v>79</v>
      </c>
      <c r="B88" s="99">
        <v>45428</v>
      </c>
      <c r="C88" s="105">
        <f t="shared" si="23"/>
        <v>84</v>
      </c>
      <c r="D88" s="97">
        <f>'Matsuo-Kawamura KM91-PT '!D88</f>
        <v>0.43000000000000005</v>
      </c>
      <c r="E88" s="113">
        <v>10.026416142857386</v>
      </c>
      <c r="F88" s="106">
        <f t="shared" si="24"/>
        <v>1.0026416142857385E-2</v>
      </c>
      <c r="G88" s="97">
        <f t="shared" si="25"/>
        <v>2.3317246843854382E-2</v>
      </c>
      <c r="H88" s="114"/>
      <c r="I88" s="114"/>
      <c r="J88" s="114"/>
      <c r="K88" s="93">
        <f t="shared" si="29"/>
        <v>1.0026416142857385E-2</v>
      </c>
    </row>
    <row r="89" spans="1:14">
      <c r="A89" s="104">
        <f t="shared" si="30"/>
        <v>80</v>
      </c>
      <c r="B89" s="99">
        <v>45429</v>
      </c>
      <c r="C89" s="105">
        <f t="shared" si="23"/>
        <v>85</v>
      </c>
      <c r="D89" s="97">
        <f>'Matsuo-Kawamura KM91-PT '!D89</f>
        <v>0.43000000000000005</v>
      </c>
      <c r="E89" s="113">
        <v>10.107419510204409</v>
      </c>
      <c r="F89" s="106">
        <f t="shared" si="24"/>
        <v>1.0107419510204409E-2</v>
      </c>
      <c r="G89" s="97">
        <f t="shared" si="25"/>
        <v>2.3505626767917228E-2</v>
      </c>
      <c r="H89" s="114"/>
      <c r="I89" s="114"/>
      <c r="J89" s="114"/>
      <c r="K89" s="93">
        <f t="shared" si="29"/>
        <v>1.0107419510204409E-2</v>
      </c>
    </row>
    <row r="90" spans="1:14">
      <c r="A90" s="104">
        <f t="shared" si="30"/>
        <v>81</v>
      </c>
      <c r="B90" s="99">
        <v>45430</v>
      </c>
      <c r="C90" s="105">
        <f t="shared" si="23"/>
        <v>86</v>
      </c>
      <c r="D90" s="97">
        <f>'Matsuo-Kawamura KM91-PT '!D90</f>
        <v>0.43000000000000005</v>
      </c>
      <c r="E90" s="113">
        <v>10.188422877551318</v>
      </c>
      <c r="F90" s="106">
        <f t="shared" si="24"/>
        <v>1.0188422877551317E-2</v>
      </c>
      <c r="G90" s="97">
        <f t="shared" si="25"/>
        <v>2.3694006691979803E-2</v>
      </c>
      <c r="H90" s="114"/>
      <c r="I90" s="114"/>
      <c r="J90" s="114"/>
      <c r="K90" s="93">
        <f t="shared" si="29"/>
        <v>1.0188422877551317E-2</v>
      </c>
    </row>
    <row r="91" spans="1:14">
      <c r="A91" s="104">
        <f t="shared" si="30"/>
        <v>82</v>
      </c>
      <c r="B91" s="99">
        <v>45431</v>
      </c>
      <c r="C91" s="105">
        <f t="shared" si="23"/>
        <v>87</v>
      </c>
      <c r="D91" s="97">
        <f>'Matsuo-Kawamura KM91-PT '!D91</f>
        <v>0.43000000000000005</v>
      </c>
      <c r="E91" s="113">
        <v>10.269426244898227</v>
      </c>
      <c r="F91" s="106">
        <f t="shared" si="24"/>
        <v>1.0269426244898227E-2</v>
      </c>
      <c r="G91" s="97">
        <f t="shared" si="25"/>
        <v>2.3882386616042386E-2</v>
      </c>
      <c r="H91" s="114"/>
      <c r="I91" s="114"/>
      <c r="J91" s="114"/>
      <c r="K91" s="93">
        <f t="shared" si="29"/>
        <v>1.0269426244898227E-2</v>
      </c>
      <c r="N91" s="112"/>
    </row>
    <row r="92" spans="1:14">
      <c r="A92" s="104">
        <f t="shared" si="30"/>
        <v>83</v>
      </c>
      <c r="B92" s="99">
        <v>45432</v>
      </c>
      <c r="C92" s="105">
        <f t="shared" si="23"/>
        <v>88</v>
      </c>
      <c r="D92" s="97">
        <f>'Matsuo-Kawamura KM91-PT '!D92</f>
        <v>0.43000000000000005</v>
      </c>
      <c r="E92" s="113">
        <v>10.350429612245193</v>
      </c>
      <c r="F92" s="106">
        <f t="shared" si="24"/>
        <v>1.0350429612245193E-2</v>
      </c>
      <c r="G92" s="97">
        <f t="shared" si="25"/>
        <v>2.4070766540105096E-2</v>
      </c>
      <c r="H92" s="114"/>
      <c r="I92" s="114"/>
      <c r="J92" s="114"/>
      <c r="K92" s="93">
        <f t="shared" si="29"/>
        <v>1.0350429612245193E-2</v>
      </c>
    </row>
    <row r="93" spans="1:14">
      <c r="A93" s="104">
        <f t="shared" si="30"/>
        <v>84</v>
      </c>
      <c r="B93" s="99">
        <v>45433</v>
      </c>
      <c r="C93" s="105">
        <f t="shared" si="23"/>
        <v>89</v>
      </c>
      <c r="D93" s="97">
        <f>'Matsuo-Kawamura KM91-PT '!D93</f>
        <v>0.43000000000000005</v>
      </c>
      <c r="E93" s="113">
        <v>10.431432979592159</v>
      </c>
      <c r="F93" s="106">
        <f t="shared" si="24"/>
        <v>1.043143297959216E-2</v>
      </c>
      <c r="G93" s="97">
        <f t="shared" si="25"/>
        <v>2.4259146464167811E-2</v>
      </c>
      <c r="H93" s="114"/>
      <c r="I93" s="114"/>
      <c r="J93" s="114"/>
      <c r="K93" s="93">
        <f t="shared" si="29"/>
        <v>1.043143297959216E-2</v>
      </c>
    </row>
    <row r="94" spans="1:14">
      <c r="A94" s="104">
        <f t="shared" si="30"/>
        <v>85</v>
      </c>
      <c r="B94" s="99">
        <v>45434</v>
      </c>
      <c r="C94" s="105">
        <f t="shared" si="23"/>
        <v>90</v>
      </c>
      <c r="D94" s="97">
        <f>'Matsuo-Kawamura KM91-PT '!D94</f>
        <v>0.43200000000000005</v>
      </c>
      <c r="E94" s="113">
        <v>10.512436346939126</v>
      </c>
      <c r="F94" s="106">
        <f t="shared" si="24"/>
        <v>1.0512436346939125E-2</v>
      </c>
      <c r="G94" s="97">
        <f t="shared" si="25"/>
        <v>2.4334343395692418E-2</v>
      </c>
      <c r="H94" s="114"/>
      <c r="I94" s="114"/>
      <c r="J94" s="114"/>
      <c r="K94" s="93">
        <f t="shared" si="29"/>
        <v>1.0512436346939125E-2</v>
      </c>
    </row>
    <row r="95" spans="1:14">
      <c r="A95" s="104">
        <f t="shared" si="30"/>
        <v>86</v>
      </c>
      <c r="B95" s="99">
        <v>45435</v>
      </c>
      <c r="C95" s="105">
        <f t="shared" si="23"/>
        <v>91</v>
      </c>
      <c r="D95" s="97">
        <f>'Matsuo-Kawamura KM91-PT '!D95</f>
        <v>0.43200000000000005</v>
      </c>
      <c r="E95" s="113">
        <v>10.617239633503573</v>
      </c>
      <c r="F95" s="106">
        <f t="shared" si="24"/>
        <v>1.0617239633503573E-2</v>
      </c>
      <c r="G95" s="97">
        <f t="shared" si="25"/>
        <v>2.4576943596073084E-2</v>
      </c>
      <c r="H95" s="114"/>
      <c r="I95" s="114"/>
      <c r="J95" s="114"/>
      <c r="K95" s="93">
        <f t="shared" si="29"/>
        <v>1.0617239633503573E-2</v>
      </c>
    </row>
    <row r="96" spans="1:14">
      <c r="A96" s="104">
        <f t="shared" si="30"/>
        <v>87</v>
      </c>
      <c r="B96" s="99">
        <v>45436</v>
      </c>
      <c r="C96" s="105">
        <f t="shared" si="23"/>
        <v>92</v>
      </c>
      <c r="D96" s="97">
        <f>'Matsuo-Kawamura KM91-PT '!D96</f>
        <v>0.43200000000000005</v>
      </c>
      <c r="E96" s="113">
        <v>10.710444578231545</v>
      </c>
      <c r="F96" s="106">
        <f t="shared" si="24"/>
        <v>1.0710444578231545E-2</v>
      </c>
      <c r="G96" s="97">
        <f t="shared" si="25"/>
        <v>2.4792695782943391E-2</v>
      </c>
      <c r="H96" s="114"/>
      <c r="I96" s="114"/>
      <c r="J96" s="114"/>
      <c r="K96" s="93">
        <f t="shared" si="29"/>
        <v>1.0710444578231545E-2</v>
      </c>
    </row>
    <row r="97" spans="1:14">
      <c r="A97" s="104">
        <f t="shared" si="30"/>
        <v>88</v>
      </c>
      <c r="B97" s="99">
        <v>45437</v>
      </c>
      <c r="C97" s="105">
        <f t="shared" si="23"/>
        <v>93</v>
      </c>
      <c r="D97" s="97">
        <f>'Matsuo-Kawamura KM91-PT '!D97</f>
        <v>0.43200000000000005</v>
      </c>
      <c r="E97" s="113">
        <v>10.800448319728162</v>
      </c>
      <c r="F97" s="106">
        <f t="shared" si="24"/>
        <v>1.0800448319728161E-2</v>
      </c>
      <c r="G97" s="97">
        <f t="shared" si="25"/>
        <v>2.5001037777148519E-2</v>
      </c>
      <c r="H97" s="114"/>
      <c r="I97" s="114"/>
      <c r="J97" s="114"/>
      <c r="K97" s="93">
        <f t="shared" si="29"/>
        <v>1.0800448319728161E-2</v>
      </c>
    </row>
    <row r="98" spans="1:14">
      <c r="A98" s="104">
        <f t="shared" si="30"/>
        <v>89</v>
      </c>
      <c r="B98" s="99">
        <v>45438</v>
      </c>
      <c r="C98" s="105">
        <f t="shared" si="23"/>
        <v>94</v>
      </c>
      <c r="D98" s="97">
        <f>'Matsuo-Kawamura KM91-PT '!D98</f>
        <v>0.43200000000000005</v>
      </c>
      <c r="E98" s="113">
        <v>10.890452061224778</v>
      </c>
      <c r="F98" s="106">
        <f t="shared" si="24"/>
        <v>1.0890452061224777E-2</v>
      </c>
      <c r="G98" s="97">
        <f t="shared" si="25"/>
        <v>2.5209379771353648E-2</v>
      </c>
      <c r="H98" s="114"/>
      <c r="I98" s="114"/>
      <c r="J98" s="114"/>
      <c r="K98" s="93">
        <f t="shared" si="29"/>
        <v>1.0890452061224777E-2</v>
      </c>
      <c r="N98" s="112"/>
    </row>
    <row r="99" spans="1:14">
      <c r="A99" s="104">
        <f t="shared" si="30"/>
        <v>90</v>
      </c>
      <c r="B99" s="99">
        <v>45439</v>
      </c>
      <c r="C99" s="105">
        <f t="shared" si="23"/>
        <v>95</v>
      </c>
      <c r="D99" s="97">
        <f>'Matsuo-Kawamura KM91-PT '!D99</f>
        <v>0.43200000000000005</v>
      </c>
      <c r="E99" s="113">
        <v>10.980455802721394</v>
      </c>
      <c r="F99" s="106">
        <f t="shared" si="24"/>
        <v>1.0980455802721395E-2</v>
      </c>
      <c r="G99" s="97">
        <f t="shared" si="25"/>
        <v>2.541772176555878E-2</v>
      </c>
      <c r="H99" s="114"/>
      <c r="I99" s="114"/>
      <c r="J99" s="114"/>
      <c r="K99" s="93">
        <f t="shared" si="29"/>
        <v>1.0980455802721395E-2</v>
      </c>
    </row>
    <row r="100" spans="1:14">
      <c r="A100" s="104">
        <f t="shared" si="30"/>
        <v>91</v>
      </c>
      <c r="B100" s="99">
        <v>45440</v>
      </c>
      <c r="C100" s="105">
        <f t="shared" si="23"/>
        <v>96</v>
      </c>
      <c r="D100" s="97">
        <f>'Matsuo-Kawamura KM91-PT '!D100</f>
        <v>0.43200000000000005</v>
      </c>
      <c r="E100" s="113">
        <v>11.025457673469646</v>
      </c>
      <c r="F100" s="106">
        <f t="shared" si="24"/>
        <v>1.1025457673469645E-2</v>
      </c>
      <c r="G100" s="97">
        <f t="shared" si="25"/>
        <v>2.5521892762661213E-2</v>
      </c>
      <c r="H100" s="114"/>
      <c r="I100" s="114"/>
      <c r="J100" s="114"/>
      <c r="K100" s="93">
        <f t="shared" si="29"/>
        <v>1.1025457673469645E-2</v>
      </c>
    </row>
    <row r="101" spans="1:14">
      <c r="A101" s="104"/>
      <c r="B101" s="115"/>
      <c r="C101" s="105"/>
      <c r="D101" s="97"/>
      <c r="E101" s="113"/>
      <c r="F101" s="106"/>
      <c r="G101" s="114"/>
      <c r="H101" s="114"/>
      <c r="I101" s="114"/>
      <c r="J101" s="114"/>
      <c r="K101" s="93">
        <f t="shared" si="29"/>
        <v>0</v>
      </c>
    </row>
    <row r="102" spans="1:14">
      <c r="A102" s="104"/>
      <c r="B102" s="115"/>
      <c r="C102" s="105"/>
      <c r="D102" s="97"/>
      <c r="E102" s="113"/>
      <c r="F102" s="106"/>
      <c r="G102" s="114"/>
      <c r="H102" s="114"/>
      <c r="I102" s="114"/>
      <c r="J102" s="114"/>
      <c r="K102" s="93">
        <f t="shared" si="29"/>
        <v>0</v>
      </c>
    </row>
    <row r="103" spans="1:14">
      <c r="A103" s="104"/>
      <c r="B103" s="115"/>
      <c r="C103" s="105"/>
      <c r="D103" s="97"/>
      <c r="E103" s="113"/>
      <c r="F103" s="106"/>
      <c r="G103" s="114"/>
      <c r="H103" s="114"/>
      <c r="I103" s="114"/>
      <c r="J103" s="114"/>
      <c r="K103" s="93">
        <f t="shared" si="29"/>
        <v>0</v>
      </c>
    </row>
    <row r="104" spans="1:14">
      <c r="A104" s="104"/>
      <c r="B104" s="115"/>
      <c r="C104" s="116"/>
      <c r="D104" s="114"/>
      <c r="E104" s="113"/>
      <c r="F104" s="117"/>
      <c r="G104" s="114"/>
      <c r="H104" s="114"/>
      <c r="I104" s="114"/>
      <c r="J104" s="114"/>
    </row>
    <row r="105" spans="1:14">
      <c r="A105" s="104"/>
      <c r="B105" s="115"/>
      <c r="C105" s="116"/>
      <c r="D105" s="114"/>
      <c r="E105" s="113"/>
      <c r="F105" s="117"/>
      <c r="G105" s="114"/>
      <c r="H105" s="114"/>
      <c r="I105" s="114"/>
      <c r="J105" s="114"/>
    </row>
    <row r="106" spans="1:14">
      <c r="A106" s="104"/>
      <c r="B106" s="115"/>
      <c r="C106" s="116"/>
      <c r="D106" s="114"/>
      <c r="E106" s="113"/>
      <c r="F106" s="117"/>
      <c r="G106" s="114"/>
      <c r="H106" s="114"/>
      <c r="I106" s="114"/>
      <c r="J106" s="114"/>
    </row>
    <row r="107" spans="1:14">
      <c r="A107" s="104"/>
      <c r="B107" s="115"/>
      <c r="C107" s="116"/>
      <c r="D107" s="114"/>
      <c r="E107" s="113"/>
      <c r="F107" s="117"/>
      <c r="G107" s="114"/>
      <c r="H107" s="114"/>
      <c r="I107" s="114"/>
      <c r="J107" s="114"/>
    </row>
    <row r="108" spans="1:14">
      <c r="A108" s="104"/>
      <c r="B108" s="115"/>
      <c r="C108" s="116"/>
      <c r="D108" s="114"/>
      <c r="E108" s="113"/>
      <c r="F108" s="117"/>
      <c r="G108" s="114"/>
      <c r="H108" s="114"/>
      <c r="I108" s="114"/>
      <c r="J108" s="114"/>
    </row>
    <row r="109" spans="1:14">
      <c r="A109" s="104"/>
      <c r="B109" s="115"/>
      <c r="C109" s="116"/>
      <c r="D109" s="114"/>
      <c r="E109" s="113"/>
      <c r="F109" s="117"/>
      <c r="G109" s="114"/>
      <c r="H109" s="114"/>
      <c r="I109" s="114"/>
      <c r="J109" s="114"/>
    </row>
    <row r="110" spans="1:14">
      <c r="A110" s="104"/>
      <c r="B110" s="115"/>
      <c r="C110" s="116"/>
      <c r="D110" s="114"/>
      <c r="E110" s="113"/>
      <c r="F110" s="117"/>
      <c r="G110" s="114"/>
      <c r="H110" s="114"/>
      <c r="I110" s="114"/>
      <c r="J110" s="114"/>
    </row>
    <row r="111" spans="1:14">
      <c r="A111" s="104"/>
      <c r="B111" s="115"/>
      <c r="C111" s="116"/>
      <c r="D111" s="114"/>
      <c r="E111" s="113"/>
      <c r="F111" s="117"/>
      <c r="G111" s="114"/>
      <c r="H111" s="114"/>
      <c r="I111" s="114"/>
      <c r="J111" s="114"/>
    </row>
    <row r="112" spans="1:14">
      <c r="A112" s="104"/>
      <c r="B112" s="115"/>
      <c r="C112" s="116"/>
      <c r="D112" s="114"/>
      <c r="E112" s="113"/>
      <c r="F112" s="117"/>
      <c r="G112" s="114"/>
      <c r="H112" s="114"/>
      <c r="I112" s="114"/>
      <c r="J112" s="114"/>
    </row>
    <row r="113" spans="1:10">
      <c r="A113" s="98"/>
      <c r="B113" s="99"/>
      <c r="C113" s="100"/>
      <c r="D113" s="102"/>
      <c r="E113" s="118"/>
      <c r="F113" s="103"/>
      <c r="G113" s="102"/>
      <c r="H113" s="102"/>
      <c r="I113" s="102"/>
      <c r="J113" s="102"/>
    </row>
    <row r="114" spans="1:10">
      <c r="A114" s="98"/>
      <c r="B114" s="99"/>
      <c r="C114" s="100"/>
      <c r="D114" s="102"/>
      <c r="E114" s="118"/>
      <c r="F114" s="103"/>
      <c r="G114" s="102"/>
      <c r="H114" s="102"/>
      <c r="I114" s="102"/>
      <c r="J114" s="102"/>
    </row>
    <row r="115" spans="1:10">
      <c r="A115" s="98"/>
      <c r="B115" s="99"/>
      <c r="C115" s="100"/>
      <c r="D115" s="102"/>
      <c r="E115" s="118"/>
      <c r="F115" s="103"/>
      <c r="G115" s="102"/>
      <c r="H115" s="102"/>
      <c r="I115" s="102"/>
      <c r="J115" s="102"/>
    </row>
    <row r="116" spans="1:10">
      <c r="A116" s="98"/>
      <c r="B116" s="99"/>
      <c r="C116" s="100"/>
      <c r="D116" s="102"/>
      <c r="E116" s="118"/>
      <c r="F116" s="103"/>
      <c r="G116" s="102"/>
      <c r="H116" s="102"/>
      <c r="I116" s="102"/>
      <c r="J116" s="102"/>
    </row>
    <row r="117" spans="1:10">
      <c r="A117" s="98"/>
      <c r="B117" s="99"/>
      <c r="C117" s="100"/>
      <c r="D117" s="102"/>
      <c r="E117" s="118"/>
      <c r="F117" s="103"/>
      <c r="G117" s="102"/>
      <c r="H117" s="102"/>
      <c r="I117" s="102"/>
      <c r="J117" s="102"/>
    </row>
    <row r="118" spans="1:10">
      <c r="A118" s="98"/>
      <c r="B118" s="99"/>
      <c r="C118" s="100"/>
      <c r="D118" s="102"/>
      <c r="E118" s="118"/>
      <c r="F118" s="103"/>
      <c r="G118" s="102"/>
      <c r="H118" s="102"/>
      <c r="I118" s="102"/>
      <c r="J118" s="102"/>
    </row>
    <row r="119" spans="1:10">
      <c r="A119" s="98"/>
      <c r="B119" s="99"/>
      <c r="C119" s="100"/>
      <c r="D119" s="102"/>
      <c r="E119" s="118"/>
      <c r="F119" s="103"/>
      <c r="G119" s="102"/>
      <c r="H119" s="102"/>
      <c r="I119" s="102"/>
      <c r="J119" s="102"/>
    </row>
    <row r="120" spans="1:10">
      <c r="A120" s="98"/>
      <c r="B120" s="99"/>
      <c r="C120" s="100"/>
      <c r="D120" s="102"/>
      <c r="E120" s="118"/>
      <c r="F120" s="103"/>
      <c r="G120" s="102"/>
      <c r="H120" s="102"/>
      <c r="I120" s="102"/>
      <c r="J120" s="102"/>
    </row>
    <row r="121" spans="1:10">
      <c r="A121" s="98"/>
      <c r="B121" s="99"/>
      <c r="C121" s="100"/>
      <c r="D121" s="102"/>
      <c r="E121" s="118"/>
      <c r="F121" s="103"/>
      <c r="G121" s="102"/>
      <c r="H121" s="102"/>
      <c r="I121" s="102"/>
      <c r="J121" s="102"/>
    </row>
    <row r="122" spans="1:10">
      <c r="A122" s="98"/>
      <c r="B122" s="99"/>
      <c r="C122" s="100"/>
      <c r="D122" s="102"/>
      <c r="E122" s="118"/>
      <c r="F122" s="103"/>
      <c r="G122" s="102"/>
      <c r="H122" s="102"/>
      <c r="I122" s="102"/>
      <c r="J122" s="102"/>
    </row>
    <row r="123" spans="1:10">
      <c r="A123" s="98"/>
      <c r="B123" s="99"/>
      <c r="C123" s="100"/>
      <c r="D123" s="102"/>
      <c r="E123" s="118"/>
      <c r="F123" s="103"/>
      <c r="G123" s="102"/>
      <c r="H123" s="102"/>
      <c r="I123" s="102"/>
      <c r="J123" s="102"/>
    </row>
    <row r="124" spans="1:10">
      <c r="A124" s="98"/>
      <c r="B124" s="99"/>
      <c r="C124" s="100"/>
      <c r="D124" s="102"/>
      <c r="E124" s="118"/>
      <c r="F124" s="103"/>
      <c r="G124" s="102"/>
      <c r="H124" s="102"/>
      <c r="I124" s="102"/>
      <c r="J124" s="102"/>
    </row>
    <row r="125" spans="1:10">
      <c r="A125" s="98"/>
      <c r="B125" s="99"/>
      <c r="C125" s="100"/>
      <c r="D125" s="102"/>
      <c r="E125" s="118"/>
      <c r="F125" s="103"/>
      <c r="G125" s="102"/>
      <c r="H125" s="102"/>
      <c r="I125" s="102"/>
      <c r="J125" s="102"/>
    </row>
    <row r="126" spans="1:10">
      <c r="A126" s="98"/>
      <c r="B126" s="99"/>
      <c r="C126" s="100"/>
      <c r="D126" s="102"/>
      <c r="E126" s="118"/>
      <c r="F126" s="103"/>
      <c r="G126" s="102"/>
      <c r="H126" s="102"/>
      <c r="I126" s="102"/>
      <c r="J126" s="102"/>
    </row>
    <row r="127" spans="1:10">
      <c r="A127" s="98"/>
      <c r="B127" s="99"/>
      <c r="C127" s="100"/>
      <c r="D127" s="102"/>
      <c r="E127" s="118"/>
      <c r="F127" s="103"/>
      <c r="G127" s="102"/>
      <c r="H127" s="102"/>
      <c r="I127" s="102"/>
      <c r="J127" s="102"/>
    </row>
    <row r="128" spans="1:10">
      <c r="A128" s="98"/>
      <c r="B128" s="99"/>
      <c r="C128" s="100"/>
      <c r="D128" s="102"/>
      <c r="E128" s="118"/>
      <c r="F128" s="103"/>
      <c r="G128" s="102"/>
      <c r="H128" s="102"/>
      <c r="I128" s="102"/>
      <c r="J128" s="102"/>
    </row>
    <row r="129" spans="1:10">
      <c r="A129" s="98"/>
      <c r="B129" s="99"/>
      <c r="C129" s="100"/>
      <c r="D129" s="102"/>
      <c r="E129" s="118"/>
      <c r="F129" s="103"/>
      <c r="G129" s="102"/>
      <c r="H129" s="102"/>
      <c r="I129" s="102"/>
      <c r="J129" s="102"/>
    </row>
    <row r="130" spans="1:10">
      <c r="A130" s="98"/>
      <c r="B130" s="99"/>
      <c r="C130" s="100"/>
      <c r="D130" s="102"/>
      <c r="E130" s="118"/>
      <c r="F130" s="103"/>
      <c r="G130" s="102"/>
      <c r="H130" s="102"/>
      <c r="I130" s="102"/>
      <c r="J130" s="102"/>
    </row>
    <row r="131" spans="1:10">
      <c r="A131" s="98"/>
      <c r="B131" s="99"/>
      <c r="C131" s="100"/>
      <c r="D131" s="102"/>
      <c r="E131" s="118"/>
      <c r="F131" s="103"/>
      <c r="G131" s="102"/>
      <c r="H131" s="102"/>
      <c r="I131" s="102"/>
      <c r="J131" s="102"/>
    </row>
    <row r="132" spans="1:10">
      <c r="A132" s="98"/>
      <c r="B132" s="99"/>
      <c r="C132" s="100"/>
      <c r="D132" s="102"/>
      <c r="E132" s="118"/>
      <c r="F132" s="103"/>
      <c r="G132" s="102"/>
      <c r="H132" s="102"/>
      <c r="I132" s="102"/>
      <c r="J132" s="102"/>
    </row>
    <row r="133" spans="1:10">
      <c r="A133" s="98"/>
      <c r="B133" s="99"/>
      <c r="C133" s="100"/>
      <c r="D133" s="102"/>
      <c r="E133" s="118"/>
      <c r="F133" s="103"/>
      <c r="G133" s="102"/>
      <c r="H133" s="102"/>
      <c r="I133" s="102"/>
      <c r="J133" s="102"/>
    </row>
    <row r="134" spans="1:10">
      <c r="A134" s="98"/>
      <c r="B134" s="99"/>
      <c r="C134" s="100"/>
      <c r="D134" s="102"/>
      <c r="E134" s="118"/>
      <c r="F134" s="103"/>
      <c r="G134" s="102"/>
      <c r="H134" s="102"/>
      <c r="I134" s="102"/>
      <c r="J134" s="102"/>
    </row>
    <row r="135" spans="1:10">
      <c r="A135" s="98"/>
      <c r="B135" s="99"/>
      <c r="C135" s="100"/>
      <c r="D135" s="102"/>
      <c r="E135" s="118"/>
      <c r="F135" s="103"/>
      <c r="G135" s="102"/>
      <c r="H135" s="102"/>
      <c r="I135" s="102"/>
      <c r="J135" s="102"/>
    </row>
    <row r="136" spans="1:10">
      <c r="A136" s="98"/>
      <c r="B136" s="99"/>
      <c r="C136" s="100"/>
      <c r="D136" s="102"/>
      <c r="E136" s="118"/>
      <c r="F136" s="103"/>
      <c r="G136" s="102"/>
      <c r="H136" s="102"/>
      <c r="I136" s="102"/>
      <c r="J136" s="102"/>
    </row>
    <row r="137" spans="1:10">
      <c r="A137" s="98"/>
      <c r="B137" s="99"/>
      <c r="C137" s="100"/>
      <c r="D137" s="102"/>
      <c r="E137" s="118"/>
      <c r="F137" s="103"/>
      <c r="G137" s="102"/>
      <c r="H137" s="102"/>
      <c r="I137" s="102"/>
      <c r="J137" s="102"/>
    </row>
    <row r="138" spans="1:10">
      <c r="A138" s="98"/>
      <c r="B138" s="99"/>
      <c r="C138" s="100"/>
      <c r="D138" s="102"/>
      <c r="E138" s="118"/>
      <c r="F138" s="103"/>
      <c r="G138" s="102"/>
      <c r="H138" s="102"/>
      <c r="I138" s="102"/>
      <c r="J138" s="102"/>
    </row>
    <row r="139" spans="1:10">
      <c r="A139" s="98"/>
      <c r="B139" s="99"/>
    </row>
    <row r="140" spans="1:10">
      <c r="A140" s="98"/>
      <c r="B140" s="99"/>
    </row>
    <row r="141" spans="1:10">
      <c r="A141" s="98"/>
      <c r="B141" s="99"/>
    </row>
    <row r="142" spans="1:10">
      <c r="B142" s="119"/>
    </row>
    <row r="143" spans="1:10">
      <c r="B143" s="119"/>
    </row>
    <row r="144" spans="1:10">
      <c r="B144" s="119"/>
    </row>
    <row r="145" spans="2:21">
      <c r="B145" s="119"/>
    </row>
    <row r="146" spans="2:21">
      <c r="B146" s="119"/>
      <c r="L146" s="98"/>
      <c r="M146" s="99"/>
      <c r="N146" s="100"/>
      <c r="O146" s="102"/>
      <c r="P146" s="118"/>
      <c r="Q146" s="103"/>
      <c r="R146" s="102"/>
      <c r="S146" s="102"/>
      <c r="T146" s="102"/>
      <c r="U146" s="102"/>
    </row>
    <row r="147" spans="2:21">
      <c r="B147" s="119"/>
      <c r="L147" s="98"/>
      <c r="M147" s="99"/>
      <c r="N147" s="100"/>
      <c r="O147" s="102"/>
      <c r="P147" s="118"/>
      <c r="Q147" s="103"/>
      <c r="R147" s="102"/>
      <c r="S147" s="102"/>
      <c r="T147" s="102"/>
      <c r="U147" s="102"/>
    </row>
    <row r="148" spans="2:21">
      <c r="B148" s="119"/>
    </row>
    <row r="149" spans="2:21">
      <c r="B149" s="119"/>
    </row>
    <row r="150" spans="2:21">
      <c r="B150" s="119"/>
    </row>
    <row r="151" spans="2:21">
      <c r="B151" s="119"/>
    </row>
    <row r="152" spans="2:21">
      <c r="B152" s="119"/>
    </row>
    <row r="153" spans="2:21">
      <c r="B153" s="119"/>
    </row>
    <row r="154" spans="2:21">
      <c r="B154" s="119"/>
    </row>
    <row r="155" spans="2:21">
      <c r="B155" s="119"/>
    </row>
    <row r="156" spans="2:21">
      <c r="B156" s="119"/>
    </row>
    <row r="157" spans="2:21">
      <c r="B157" s="119"/>
    </row>
    <row r="158" spans="2:21">
      <c r="B158" s="119"/>
    </row>
    <row r="159" spans="2:21">
      <c r="B159" s="119"/>
    </row>
    <row r="160" spans="2:21">
      <c r="B160" s="119"/>
    </row>
    <row r="161" spans="2:2">
      <c r="B161" s="119"/>
    </row>
    <row r="162" spans="2:2">
      <c r="B162" s="119"/>
    </row>
    <row r="163" spans="2:2">
      <c r="B163" s="119"/>
    </row>
    <row r="164" spans="2:2">
      <c r="B164" s="119"/>
    </row>
    <row r="165" spans="2:2">
      <c r="B165" s="119"/>
    </row>
    <row r="166" spans="2:2">
      <c r="B166" s="119"/>
    </row>
    <row r="167" spans="2:2">
      <c r="B167" s="119"/>
    </row>
    <row r="168" spans="2:2">
      <c r="B168" s="119"/>
    </row>
    <row r="169" spans="2:2">
      <c r="B169" s="119"/>
    </row>
    <row r="170" spans="2:2">
      <c r="B170" s="119"/>
    </row>
    <row r="171" spans="2:2">
      <c r="B171" s="119"/>
    </row>
    <row r="172" spans="2:2">
      <c r="B172" s="119"/>
    </row>
    <row r="173" spans="2:2">
      <c r="B173" s="119"/>
    </row>
    <row r="174" spans="2:2">
      <c r="B174" s="119"/>
    </row>
    <row r="175" spans="2:2">
      <c r="B175" s="119"/>
    </row>
    <row r="176" spans="2:2">
      <c r="B176" s="119"/>
    </row>
    <row r="177" spans="2:2">
      <c r="B177" s="119"/>
    </row>
    <row r="178" spans="2:2">
      <c r="B178" s="119"/>
    </row>
    <row r="179" spans="2:2">
      <c r="B179" s="119"/>
    </row>
    <row r="180" spans="2:2">
      <c r="B180" s="119"/>
    </row>
    <row r="181" spans="2:2">
      <c r="B181" s="119"/>
    </row>
    <row r="182" spans="2:2">
      <c r="B182" s="119"/>
    </row>
    <row r="183" spans="2:2">
      <c r="B183" s="119"/>
    </row>
    <row r="184" spans="2:2">
      <c r="B184" s="119"/>
    </row>
    <row r="185" spans="2:2">
      <c r="B185" s="119"/>
    </row>
    <row r="186" spans="2:2">
      <c r="B186" s="119"/>
    </row>
    <row r="187" spans="2:2">
      <c r="B187" s="119"/>
    </row>
    <row r="188" spans="2:2">
      <c r="B188" s="119"/>
    </row>
    <row r="189" spans="2:2">
      <c r="B189" s="119"/>
    </row>
    <row r="190" spans="2:2">
      <c r="B190" s="119"/>
    </row>
    <row r="191" spans="2:2">
      <c r="B191" s="119"/>
    </row>
    <row r="192" spans="2:2">
      <c r="B192" s="119"/>
    </row>
    <row r="193" spans="2:2">
      <c r="B193" s="119"/>
    </row>
    <row r="194" spans="2:2">
      <c r="B194" s="119"/>
    </row>
    <row r="195" spans="2:2">
      <c r="B195" s="119"/>
    </row>
    <row r="196" spans="2:2">
      <c r="B196" s="119"/>
    </row>
    <row r="197" spans="2:2">
      <c r="B197" s="119"/>
    </row>
    <row r="198" spans="2:2">
      <c r="B198" s="119"/>
    </row>
    <row r="199" spans="2:2">
      <c r="B199" s="119"/>
    </row>
    <row r="200" spans="2:2">
      <c r="B200" s="119"/>
    </row>
    <row r="201" spans="2:2">
      <c r="B201" s="119"/>
    </row>
    <row r="202" spans="2:2">
      <c r="B202" s="119"/>
    </row>
    <row r="203" spans="2:2">
      <c r="B203" s="119"/>
    </row>
    <row r="204" spans="2:2">
      <c r="B204" s="119"/>
    </row>
    <row r="205" spans="2:2">
      <c r="B205" s="119"/>
    </row>
    <row r="206" spans="2:2">
      <c r="B206" s="119"/>
    </row>
    <row r="207" spans="2:2">
      <c r="B207" s="119"/>
    </row>
    <row r="208" spans="2:2">
      <c r="B208" s="119"/>
    </row>
    <row r="209" spans="2:2">
      <c r="B209" s="119"/>
    </row>
    <row r="210" spans="2:2">
      <c r="B210" s="119"/>
    </row>
    <row r="211" spans="2:2">
      <c r="B211" s="119"/>
    </row>
    <row r="212" spans="2:2">
      <c r="B212" s="119"/>
    </row>
    <row r="213" spans="2:2">
      <c r="B213" s="119"/>
    </row>
    <row r="214" spans="2:2">
      <c r="B214" s="119"/>
    </row>
    <row r="215" spans="2:2">
      <c r="B215" s="119"/>
    </row>
    <row r="216" spans="2:2">
      <c r="B216" s="119"/>
    </row>
    <row r="217" spans="2:2">
      <c r="B217" s="119"/>
    </row>
    <row r="218" spans="2:2">
      <c r="B218" s="119"/>
    </row>
    <row r="219" spans="2:2">
      <c r="B219" s="119"/>
    </row>
    <row r="220" spans="2:2">
      <c r="B220" s="119"/>
    </row>
    <row r="221" spans="2:2">
      <c r="B221" s="119"/>
    </row>
    <row r="222" spans="2:2">
      <c r="B222" s="119"/>
    </row>
    <row r="223" spans="2:2">
      <c r="B223" s="119"/>
    </row>
    <row r="224" spans="2:2">
      <c r="B224" s="119"/>
    </row>
    <row r="225" spans="2:2">
      <c r="B225" s="119"/>
    </row>
    <row r="226" spans="2:2">
      <c r="B226" s="119"/>
    </row>
    <row r="227" spans="2:2">
      <c r="B227" s="119"/>
    </row>
    <row r="228" spans="2:2">
      <c r="B228" s="119"/>
    </row>
    <row r="229" spans="2:2">
      <c r="B229" s="119"/>
    </row>
    <row r="230" spans="2:2">
      <c r="B230" s="119"/>
    </row>
    <row r="231" spans="2:2">
      <c r="B231" s="119"/>
    </row>
    <row r="232" spans="2:2">
      <c r="B232" s="119"/>
    </row>
    <row r="233" spans="2:2">
      <c r="B233" s="119"/>
    </row>
    <row r="234" spans="2:2">
      <c r="B234" s="119"/>
    </row>
    <row r="235" spans="2:2">
      <c r="B235" s="119"/>
    </row>
    <row r="236" spans="2:2">
      <c r="B236" s="119"/>
    </row>
    <row r="237" spans="2:2">
      <c r="B237" s="119"/>
    </row>
    <row r="238" spans="2:2">
      <c r="B238" s="119"/>
    </row>
    <row r="239" spans="2:2">
      <c r="B239" s="119"/>
    </row>
    <row r="240" spans="2:2">
      <c r="B240" s="119"/>
    </row>
    <row r="241" spans="2:2">
      <c r="B241" s="119"/>
    </row>
    <row r="242" spans="2:2">
      <c r="B242" s="119"/>
    </row>
    <row r="243" spans="2:2">
      <c r="B243" s="119"/>
    </row>
    <row r="244" spans="2:2">
      <c r="B244" s="119"/>
    </row>
    <row r="245" spans="2:2">
      <c r="B245" s="119"/>
    </row>
    <row r="246" spans="2:2">
      <c r="B246" s="119"/>
    </row>
    <row r="247" spans="2:2">
      <c r="B247" s="119"/>
    </row>
    <row r="248" spans="2:2">
      <c r="B248" s="119"/>
    </row>
    <row r="249" spans="2:2">
      <c r="B249" s="119"/>
    </row>
    <row r="250" spans="2:2">
      <c r="B250" s="119"/>
    </row>
  </sheetData>
  <mergeCells count="5">
    <mergeCell ref="A1:J1"/>
    <mergeCell ref="A2:A3"/>
    <mergeCell ref="B2:B3"/>
    <mergeCell ref="D2:G2"/>
    <mergeCell ref="H2:J2"/>
  </mergeCells>
  <pageMargins left="0.7" right="0.7" top="0.75" bottom="0.75" header="0.3" footer="0.3"/>
  <pageSetup scale="95"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08FD-F691-42F8-94AA-EEEB7AF0E8CA}">
  <sheetPr codeName="Sheet7"/>
  <dimension ref="A1:Z250"/>
  <sheetViews>
    <sheetView tabSelected="1" zoomScale="90" zoomScaleNormal="90" workbookViewId="0">
      <pane ySplit="3" topLeftCell="A24" activePane="bottomLeft" state="frozen"/>
      <selection activeCell="Z48" sqref="Z48"/>
      <selection pane="bottomLeft" activeCell="AA41" sqref="AA41"/>
    </sheetView>
  </sheetViews>
  <sheetFormatPr defaultColWidth="9.140625" defaultRowHeight="16.5"/>
  <cols>
    <col min="1" max="1" width="5.140625" style="93" customWidth="1"/>
    <col min="2" max="2" width="12.85546875" style="93" customWidth="1"/>
    <col min="3" max="3" width="9.28515625" style="93" bestFit="1" customWidth="1"/>
    <col min="4" max="4" width="11.42578125" style="93" bestFit="1" customWidth="1"/>
    <col min="5" max="5" width="10.5703125" style="93" customWidth="1"/>
    <col min="6" max="6" width="9.7109375" style="112" bestFit="1" customWidth="1"/>
    <col min="7" max="7" width="9.140625" style="93" customWidth="1"/>
    <col min="8" max="9" width="9.28515625" style="93" hidden="1" customWidth="1"/>
    <col min="10" max="10" width="9.140625" style="93" hidden="1" customWidth="1"/>
    <col min="11" max="14" width="9.140625" style="93"/>
    <col min="15" max="15" width="12.28515625" style="93" bestFit="1" customWidth="1"/>
    <col min="16" max="23" width="9.140625" style="93"/>
    <col min="24" max="24" width="15.85546875" style="93" bestFit="1" customWidth="1"/>
    <col min="25" max="25" width="17.85546875" style="93" bestFit="1" customWidth="1"/>
    <col min="26" max="16384" width="9.140625" style="93"/>
  </cols>
  <sheetData>
    <row r="1" spans="1:26">
      <c r="A1" s="92" t="s">
        <v>17</v>
      </c>
      <c r="B1" s="92"/>
      <c r="C1" s="92"/>
      <c r="D1" s="92"/>
      <c r="E1" s="92"/>
      <c r="F1" s="92"/>
      <c r="G1" s="92"/>
      <c r="H1" s="92"/>
      <c r="I1" s="92"/>
      <c r="J1" s="92"/>
    </row>
    <row r="2" spans="1:26" ht="49.5">
      <c r="A2" s="94" t="s">
        <v>10</v>
      </c>
      <c r="B2" s="94" t="s">
        <v>11</v>
      </c>
      <c r="C2" s="95" t="s">
        <v>12</v>
      </c>
      <c r="D2" s="96" t="s">
        <v>3</v>
      </c>
      <c r="E2" s="96"/>
      <c r="F2" s="96"/>
      <c r="G2" s="96"/>
      <c r="H2" s="96" t="s">
        <v>4</v>
      </c>
      <c r="I2" s="96"/>
      <c r="J2" s="96"/>
    </row>
    <row r="3" spans="1:26">
      <c r="A3" s="94"/>
      <c r="B3" s="94"/>
      <c r="C3" s="95" t="s">
        <v>13</v>
      </c>
      <c r="D3" s="97" t="s">
        <v>14</v>
      </c>
      <c r="E3" s="97" t="s">
        <v>16</v>
      </c>
      <c r="F3" s="120" t="s">
        <v>15</v>
      </c>
      <c r="G3" s="97" t="s">
        <v>2</v>
      </c>
      <c r="H3" s="97" t="s">
        <v>0</v>
      </c>
      <c r="I3" s="97" t="s">
        <v>1</v>
      </c>
      <c r="J3" s="97" t="s">
        <v>2</v>
      </c>
    </row>
    <row r="4" spans="1:26">
      <c r="A4" s="98">
        <v>0</v>
      </c>
      <c r="B4" s="99">
        <v>45344</v>
      </c>
      <c r="C4" s="100"/>
      <c r="D4" s="101">
        <v>0.28999999999999998</v>
      </c>
      <c r="E4" s="101">
        <v>0</v>
      </c>
      <c r="F4" s="102">
        <v>0</v>
      </c>
      <c r="G4" s="101" t="str">
        <f>IF(AND(D4&gt;0,F4&gt;0),F4/D4,"")</f>
        <v/>
      </c>
      <c r="H4" s="101"/>
      <c r="I4" s="101">
        <f>F5</f>
        <v>1.4956015476178664E-4</v>
      </c>
      <c r="J4" s="101" t="str">
        <f>IF(AND(H4&gt;0,I4&gt;0),I4/H4,"")</f>
        <v/>
      </c>
    </row>
    <row r="5" spans="1:26">
      <c r="A5" s="98">
        <v>1</v>
      </c>
      <c r="B5" s="99">
        <v>45345</v>
      </c>
      <c r="C5" s="100">
        <f>B5-$B$4</f>
        <v>1</v>
      </c>
      <c r="D5" s="101">
        <v>0.29199999999999998</v>
      </c>
      <c r="E5" s="101">
        <v>0.14956015476178663</v>
      </c>
      <c r="F5" s="103">
        <f>E5/1000</f>
        <v>1.4956015476178664E-4</v>
      </c>
      <c r="G5" s="101">
        <f t="shared" ref="G5:G15" si="0">IF(AND(D5&gt;0,F5&gt;0),F5/D5,"")</f>
        <v>5.1219231082803645E-4</v>
      </c>
      <c r="H5" s="101">
        <f>D5</f>
        <v>0.29199999999999998</v>
      </c>
      <c r="I5" s="101">
        <f>F5+$I$4</f>
        <v>2.9912030952357327E-4</v>
      </c>
      <c r="J5" s="101">
        <f t="shared" ref="J5:J15" si="1">IF(AND(H5&gt;0,I5&gt;0),I5/H5,"")</f>
        <v>1.0243846216560729E-3</v>
      </c>
      <c r="L5" s="93">
        <f>E5/1000</f>
        <v>1.4956015476178664E-4</v>
      </c>
      <c r="V5" s="121"/>
    </row>
    <row r="6" spans="1:26">
      <c r="A6" s="98">
        <f>A5+1</f>
        <v>2</v>
      </c>
      <c r="B6" s="99">
        <v>45346</v>
      </c>
      <c r="C6" s="100">
        <f t="shared" ref="C6:C35" si="2">B6-$B$4</f>
        <v>2</v>
      </c>
      <c r="D6" s="101">
        <v>0.29399999999999998</v>
      </c>
      <c r="E6" s="101">
        <v>0.16762734920644107</v>
      </c>
      <c r="F6" s="103">
        <f t="shared" ref="F6:F15" si="3">E6/1000</f>
        <v>1.6762734920644108E-4</v>
      </c>
      <c r="G6" s="101">
        <f t="shared" si="0"/>
        <v>5.7016105172258869E-4</v>
      </c>
      <c r="H6" s="101">
        <f t="shared" ref="H6:H15" si="4">D6</f>
        <v>0.29399999999999998</v>
      </c>
      <c r="I6" s="101">
        <f t="shared" ref="I6:I15" si="5">F6+$I$4</f>
        <v>3.1718750396822774E-4</v>
      </c>
      <c r="J6" s="101">
        <f t="shared" si="1"/>
        <v>1.078869061116421E-3</v>
      </c>
      <c r="L6" s="93">
        <f t="shared" ref="L6:L69" si="6">E6/1000</f>
        <v>1.6762734920644108E-4</v>
      </c>
      <c r="V6" s="121"/>
    </row>
    <row r="7" spans="1:26">
      <c r="A7" s="98">
        <f t="shared" ref="A7:A70" si="7">A6+1</f>
        <v>3</v>
      </c>
      <c r="B7" s="99">
        <v>45347</v>
      </c>
      <c r="C7" s="100">
        <f t="shared" si="2"/>
        <v>3</v>
      </c>
      <c r="D7" s="101">
        <v>0.29599999999999999</v>
      </c>
      <c r="E7" s="101">
        <v>0.18968357936500979</v>
      </c>
      <c r="F7" s="103">
        <f t="shared" si="3"/>
        <v>1.896835793650098E-4</v>
      </c>
      <c r="G7" s="101">
        <f t="shared" si="0"/>
        <v>6.4082290326016825E-4</v>
      </c>
      <c r="H7" s="101">
        <f t="shared" si="4"/>
        <v>0.29599999999999999</v>
      </c>
      <c r="I7" s="101">
        <f t="shared" si="5"/>
        <v>3.3924373412679644E-4</v>
      </c>
      <c r="J7" s="101">
        <f t="shared" si="1"/>
        <v>1.1460936963743123E-3</v>
      </c>
      <c r="L7" s="93">
        <f t="shared" si="6"/>
        <v>1.896835793650098E-4</v>
      </c>
      <c r="V7" s="121"/>
    </row>
    <row r="8" spans="1:26">
      <c r="A8" s="98">
        <f t="shared" si="7"/>
        <v>4</v>
      </c>
      <c r="B8" s="99">
        <v>45348</v>
      </c>
      <c r="C8" s="100">
        <f t="shared" si="2"/>
        <v>4</v>
      </c>
      <c r="D8" s="101">
        <v>0.29799999999999999</v>
      </c>
      <c r="E8" s="101">
        <v>0.2117398095236922</v>
      </c>
      <c r="F8" s="103">
        <f t="shared" si="3"/>
        <v>2.1173980952369221E-4</v>
      </c>
      <c r="G8" s="101">
        <f t="shared" si="0"/>
        <v>7.1053627356943696E-4</v>
      </c>
      <c r="H8" s="101">
        <f t="shared" si="4"/>
        <v>0.29799999999999999</v>
      </c>
      <c r="I8" s="101">
        <f t="shared" si="5"/>
        <v>3.6129996428547887E-4</v>
      </c>
      <c r="J8" s="101">
        <f t="shared" si="1"/>
        <v>1.212415987535164E-3</v>
      </c>
      <c r="L8" s="93">
        <f t="shared" si="6"/>
        <v>2.1173980952369221E-4</v>
      </c>
      <c r="V8" s="121"/>
    </row>
    <row r="9" spans="1:26">
      <c r="A9" s="98">
        <f t="shared" si="7"/>
        <v>5</v>
      </c>
      <c r="B9" s="99">
        <v>45349</v>
      </c>
      <c r="C9" s="100">
        <f t="shared" si="2"/>
        <v>5</v>
      </c>
      <c r="D9" s="101">
        <v>0.3</v>
      </c>
      <c r="E9" s="101">
        <v>0.23379603968243146</v>
      </c>
      <c r="F9" s="103">
        <f t="shared" si="3"/>
        <v>2.3379603968243145E-4</v>
      </c>
      <c r="G9" s="101">
        <f t="shared" si="0"/>
        <v>7.7932013227477155E-4</v>
      </c>
      <c r="H9" s="101">
        <f t="shared" si="4"/>
        <v>0.3</v>
      </c>
      <c r="I9" s="101">
        <f t="shared" si="5"/>
        <v>3.8335619444421806E-4</v>
      </c>
      <c r="J9" s="101">
        <f t="shared" si="1"/>
        <v>1.277853981480727E-3</v>
      </c>
      <c r="L9" s="93">
        <f t="shared" si="6"/>
        <v>2.3379603968243145E-4</v>
      </c>
      <c r="V9" s="121"/>
    </row>
    <row r="10" spans="1:26">
      <c r="A10" s="98">
        <f t="shared" si="7"/>
        <v>6</v>
      </c>
      <c r="B10" s="99">
        <v>45350</v>
      </c>
      <c r="C10" s="100">
        <f t="shared" si="2"/>
        <v>6</v>
      </c>
      <c r="D10" s="101">
        <v>0.30099999999999999</v>
      </c>
      <c r="E10" s="101">
        <v>0.24482415476188635</v>
      </c>
      <c r="F10" s="103">
        <f t="shared" si="3"/>
        <v>2.4482415476188634E-4</v>
      </c>
      <c r="G10" s="101">
        <f t="shared" si="0"/>
        <v>8.1336928492321044E-4</v>
      </c>
      <c r="H10" s="101">
        <f t="shared" si="4"/>
        <v>0.30099999999999999</v>
      </c>
      <c r="I10" s="101">
        <f t="shared" si="5"/>
        <v>3.9438430952367298E-4</v>
      </c>
      <c r="J10" s="101">
        <f t="shared" si="1"/>
        <v>1.3102468754939301E-3</v>
      </c>
      <c r="L10" s="93">
        <f t="shared" si="6"/>
        <v>2.4482415476188634E-4</v>
      </c>
      <c r="V10" s="121"/>
    </row>
    <row r="11" spans="1:26">
      <c r="A11" s="98">
        <f t="shared" si="7"/>
        <v>7</v>
      </c>
      <c r="B11" s="99">
        <v>45351</v>
      </c>
      <c r="C11" s="100">
        <f t="shared" si="2"/>
        <v>7</v>
      </c>
      <c r="D11" s="101">
        <v>0.30199999999999999</v>
      </c>
      <c r="E11" s="101">
        <v>0.25585226984117071</v>
      </c>
      <c r="F11" s="103">
        <f t="shared" si="3"/>
        <v>2.5585226984117072E-4</v>
      </c>
      <c r="G11" s="101">
        <f t="shared" si="0"/>
        <v>8.4719294649394277E-4</v>
      </c>
      <c r="H11" s="101">
        <f t="shared" si="4"/>
        <v>0.30199999999999999</v>
      </c>
      <c r="I11" s="101">
        <f t="shared" si="5"/>
        <v>4.0541242460295735E-4</v>
      </c>
      <c r="J11" s="101">
        <f t="shared" si="1"/>
        <v>1.3424252470296601E-3</v>
      </c>
      <c r="L11" s="93">
        <f t="shared" si="6"/>
        <v>2.5585226984117072E-4</v>
      </c>
      <c r="V11" s="121"/>
    </row>
    <row r="12" spans="1:26">
      <c r="A12" s="98">
        <f t="shared" si="7"/>
        <v>8</v>
      </c>
      <c r="B12" s="99">
        <v>45352</v>
      </c>
      <c r="C12" s="100">
        <f t="shared" si="2"/>
        <v>8</v>
      </c>
      <c r="D12" s="101">
        <v>0.30599999999999999</v>
      </c>
      <c r="E12" s="101">
        <v>0.27790849999990996</v>
      </c>
      <c r="F12" s="103">
        <f t="shared" si="3"/>
        <v>2.7790849999990996E-4</v>
      </c>
      <c r="G12" s="101">
        <f t="shared" si="0"/>
        <v>9.0819771241800644E-4</v>
      </c>
      <c r="H12" s="101">
        <f t="shared" si="4"/>
        <v>0.30599999999999999</v>
      </c>
      <c r="I12" s="101">
        <f t="shared" si="5"/>
        <v>4.274686547616966E-4</v>
      </c>
      <c r="J12" s="101">
        <f t="shared" si="1"/>
        <v>1.3969563881101195E-3</v>
      </c>
      <c r="L12" s="93">
        <f t="shared" si="6"/>
        <v>2.7790849999990996E-4</v>
      </c>
    </row>
    <row r="13" spans="1:26">
      <c r="A13" s="98">
        <f t="shared" si="7"/>
        <v>9</v>
      </c>
      <c r="B13" s="99">
        <v>45353</v>
      </c>
      <c r="C13" s="100">
        <f t="shared" si="2"/>
        <v>9</v>
      </c>
      <c r="D13" s="101">
        <v>0.31</v>
      </c>
      <c r="E13" s="101">
        <v>0.39261760000005097</v>
      </c>
      <c r="F13" s="103">
        <f t="shared" si="3"/>
        <v>3.9261760000005094E-4</v>
      </c>
      <c r="G13" s="101">
        <f t="shared" si="0"/>
        <v>1.2665083870969384E-3</v>
      </c>
      <c r="H13" s="101">
        <f t="shared" si="4"/>
        <v>0.31</v>
      </c>
      <c r="I13" s="101">
        <f t="shared" si="5"/>
        <v>5.4217775476183758E-4</v>
      </c>
      <c r="J13" s="101">
        <f t="shared" si="1"/>
        <v>1.7489604992317342E-3</v>
      </c>
      <c r="L13" s="93">
        <f t="shared" si="6"/>
        <v>3.9261760000005094E-4</v>
      </c>
    </row>
    <row r="14" spans="1:26">
      <c r="A14" s="98">
        <f t="shared" si="7"/>
        <v>10</v>
      </c>
      <c r="B14" s="99">
        <v>45354</v>
      </c>
      <c r="C14" s="100">
        <f t="shared" si="2"/>
        <v>10</v>
      </c>
      <c r="D14" s="101">
        <v>0.314</v>
      </c>
      <c r="E14" s="101">
        <v>0.50732670000007829</v>
      </c>
      <c r="F14" s="103">
        <f t="shared" si="3"/>
        <v>5.073267000000783E-4</v>
      </c>
      <c r="G14" s="101">
        <f t="shared" si="0"/>
        <v>1.6156901273887843E-3</v>
      </c>
      <c r="H14" s="101">
        <f t="shared" si="4"/>
        <v>0.314</v>
      </c>
      <c r="I14" s="101">
        <f t="shared" si="5"/>
        <v>6.5688685476186499E-4</v>
      </c>
      <c r="J14" s="101">
        <f t="shared" si="1"/>
        <v>2.0919963527447931E-3</v>
      </c>
      <c r="L14" s="93">
        <f t="shared" si="6"/>
        <v>5.073267000000783E-4</v>
      </c>
    </row>
    <row r="15" spans="1:26">
      <c r="A15" s="98">
        <f t="shared" si="7"/>
        <v>11</v>
      </c>
      <c r="B15" s="99">
        <v>45355</v>
      </c>
      <c r="C15" s="100">
        <f t="shared" si="2"/>
        <v>11</v>
      </c>
      <c r="D15" s="101">
        <v>0.318</v>
      </c>
      <c r="E15" s="101">
        <v>0.62203579999999192</v>
      </c>
      <c r="F15" s="103">
        <f t="shared" si="3"/>
        <v>6.2203579999999187E-4</v>
      </c>
      <c r="G15" s="101">
        <f t="shared" si="0"/>
        <v>1.956087421383622E-3</v>
      </c>
      <c r="H15" s="101">
        <f t="shared" si="4"/>
        <v>0.318</v>
      </c>
      <c r="I15" s="101">
        <f t="shared" si="5"/>
        <v>7.7159595476177846E-4</v>
      </c>
      <c r="J15" s="101">
        <f t="shared" si="1"/>
        <v>2.4264023734647121E-3</v>
      </c>
      <c r="L15" s="93">
        <f t="shared" si="6"/>
        <v>6.2203579999999187E-4</v>
      </c>
    </row>
    <row r="16" spans="1:26" hidden="1">
      <c r="A16" s="104">
        <f t="shared" si="7"/>
        <v>12</v>
      </c>
      <c r="B16" s="99">
        <v>45356</v>
      </c>
      <c r="C16" s="105">
        <f t="shared" si="2"/>
        <v>12</v>
      </c>
      <c r="D16" s="97">
        <v>0.32200000000000001</v>
      </c>
      <c r="E16" s="97">
        <v>0.73674490000007609</v>
      </c>
      <c r="F16" s="106">
        <f t="shared" ref="F16:F35" si="8">E16/1000</f>
        <v>7.367449000000761E-4</v>
      </c>
      <c r="G16" s="97">
        <f t="shared" ref="G16:G35" si="9">IF(AND(D16&gt;0,F16&gt;0),F16/D16,"")</f>
        <v>2.2880276397517891E-3</v>
      </c>
      <c r="H16" s="97">
        <f t="shared" ref="H16:H35" si="10">D16</f>
        <v>0.32200000000000001</v>
      </c>
      <c r="I16" s="97">
        <f t="shared" ref="I16:I35" si="11">F16+$I$4</f>
        <v>8.8630505476186279E-4</v>
      </c>
      <c r="J16" s="97">
        <f t="shared" ref="J16:J35" si="12">IF(AND(H16&gt;0,I16&gt;0),I16/H16,"")</f>
        <v>2.7525001700678966E-3</v>
      </c>
      <c r="L16" s="93">
        <f t="shared" si="6"/>
        <v>7.367449000000761E-4</v>
      </c>
      <c r="X16" s="107"/>
      <c r="Y16" s="108"/>
      <c r="Z16" s="109"/>
    </row>
    <row r="17" spans="1:25" hidden="1">
      <c r="A17" s="104">
        <f t="shared" si="7"/>
        <v>13</v>
      </c>
      <c r="B17" s="99">
        <v>45357</v>
      </c>
      <c r="C17" s="105">
        <f t="shared" si="2"/>
        <v>13</v>
      </c>
      <c r="D17" s="97">
        <v>0.32600000000000001</v>
      </c>
      <c r="E17" s="97">
        <v>0.85145400000016025</v>
      </c>
      <c r="F17" s="106">
        <f t="shared" si="8"/>
        <v>8.5145400000016021E-4</v>
      </c>
      <c r="G17" s="97">
        <f t="shared" si="9"/>
        <v>2.6118220858900617E-3</v>
      </c>
      <c r="H17" s="97">
        <f t="shared" si="10"/>
        <v>0.32600000000000001</v>
      </c>
      <c r="I17" s="97">
        <f t="shared" si="11"/>
        <v>1.0010141547619469E-3</v>
      </c>
      <c r="J17" s="97">
        <f t="shared" si="12"/>
        <v>3.0705955667544383E-3</v>
      </c>
      <c r="L17" s="93">
        <f t="shared" si="6"/>
        <v>8.5145400000016021E-4</v>
      </c>
    </row>
    <row r="18" spans="1:25" hidden="1">
      <c r="A18" s="104">
        <f t="shared" si="7"/>
        <v>14</v>
      </c>
      <c r="B18" s="99">
        <v>45358</v>
      </c>
      <c r="C18" s="105">
        <f t="shared" si="2"/>
        <v>14</v>
      </c>
      <c r="D18" s="97">
        <v>0.33</v>
      </c>
      <c r="E18" s="97">
        <v>0.96616309999984651</v>
      </c>
      <c r="F18" s="106">
        <f t="shared" si="8"/>
        <v>9.6616309999984654E-4</v>
      </c>
      <c r="G18" s="97">
        <f t="shared" si="9"/>
        <v>2.9277669696965046E-3</v>
      </c>
      <c r="H18" s="97">
        <f t="shared" si="10"/>
        <v>0.33</v>
      </c>
      <c r="I18" s="97">
        <f t="shared" si="11"/>
        <v>1.1157232547616331E-3</v>
      </c>
      <c r="J18" s="97">
        <f t="shared" si="12"/>
        <v>3.3809795598837367E-3</v>
      </c>
      <c r="L18" s="93">
        <f t="shared" si="6"/>
        <v>9.6616309999984654E-4</v>
      </c>
    </row>
    <row r="19" spans="1:25" hidden="1">
      <c r="A19" s="104">
        <f t="shared" si="7"/>
        <v>15</v>
      </c>
      <c r="B19" s="99">
        <v>45359</v>
      </c>
      <c r="C19" s="105">
        <f t="shared" si="2"/>
        <v>15</v>
      </c>
      <c r="D19" s="97">
        <v>0.33400000000000002</v>
      </c>
      <c r="E19" s="97">
        <v>0.96616309999984651</v>
      </c>
      <c r="F19" s="106">
        <f t="shared" si="8"/>
        <v>9.6616309999984654E-4</v>
      </c>
      <c r="G19" s="97">
        <f t="shared" si="9"/>
        <v>2.892703892215109E-3</v>
      </c>
      <c r="H19" s="97">
        <f t="shared" si="10"/>
        <v>0.33400000000000002</v>
      </c>
      <c r="I19" s="97">
        <f t="shared" si="11"/>
        <v>1.1157232547616331E-3</v>
      </c>
      <c r="J19" s="97">
        <f t="shared" si="12"/>
        <v>3.3404887867114763E-3</v>
      </c>
      <c r="L19" s="93">
        <f t="shared" si="6"/>
        <v>9.6616309999984654E-4</v>
      </c>
      <c r="Y19" s="108"/>
    </row>
    <row r="20" spans="1:25" hidden="1">
      <c r="A20" s="104">
        <f t="shared" si="7"/>
        <v>16</v>
      </c>
      <c r="B20" s="99">
        <v>45360</v>
      </c>
      <c r="C20" s="105">
        <f t="shared" si="2"/>
        <v>16</v>
      </c>
      <c r="D20" s="97">
        <v>0.33700000000000002</v>
      </c>
      <c r="E20" s="97">
        <v>1.080872199999817</v>
      </c>
      <c r="F20" s="106">
        <f t="shared" si="8"/>
        <v>1.0808721999998169E-3</v>
      </c>
      <c r="G20" s="97">
        <f t="shared" si="9"/>
        <v>3.2073359050439668E-3</v>
      </c>
      <c r="H20" s="97">
        <f t="shared" si="10"/>
        <v>0.33700000000000002</v>
      </c>
      <c r="I20" s="97">
        <f t="shared" si="11"/>
        <v>1.2304323547616036E-3</v>
      </c>
      <c r="J20" s="97">
        <f t="shared" si="12"/>
        <v>3.6511345838623251E-3</v>
      </c>
      <c r="L20" s="93">
        <f t="shared" si="6"/>
        <v>1.0808721999998169E-3</v>
      </c>
    </row>
    <row r="21" spans="1:25">
      <c r="A21" s="104">
        <f>A15+1</f>
        <v>12</v>
      </c>
      <c r="B21" s="99">
        <v>45361</v>
      </c>
      <c r="C21" s="105">
        <f t="shared" si="2"/>
        <v>17</v>
      </c>
      <c r="D21" s="97">
        <v>0.34</v>
      </c>
      <c r="E21" s="97">
        <v>1.1955813000000148</v>
      </c>
      <c r="F21" s="106">
        <f t="shared" si="8"/>
        <v>1.1955813000000149E-3</v>
      </c>
      <c r="G21" s="97">
        <f t="shared" si="9"/>
        <v>3.5164155882353378E-3</v>
      </c>
      <c r="H21" s="97">
        <f t="shared" si="10"/>
        <v>0.34</v>
      </c>
      <c r="I21" s="97">
        <f t="shared" si="11"/>
        <v>1.3451414547618016E-3</v>
      </c>
      <c r="J21" s="97">
        <f t="shared" si="12"/>
        <v>3.9562983963582392E-3</v>
      </c>
      <c r="L21" s="93">
        <f t="shared" si="6"/>
        <v>1.1955813000000149E-3</v>
      </c>
    </row>
    <row r="22" spans="1:25">
      <c r="A22" s="104">
        <f t="shared" si="7"/>
        <v>13</v>
      </c>
      <c r="B22" s="99">
        <v>45362</v>
      </c>
      <c r="C22" s="105">
        <f t="shared" si="2"/>
        <v>18</v>
      </c>
      <c r="D22" s="97">
        <v>0.34300000000000003</v>
      </c>
      <c r="E22" s="97">
        <v>1.3102903999999853</v>
      </c>
      <c r="F22" s="106">
        <f t="shared" si="8"/>
        <v>1.3102903999999854E-3</v>
      </c>
      <c r="G22" s="97">
        <f t="shared" si="9"/>
        <v>3.8200886297375665E-3</v>
      </c>
      <c r="H22" s="97">
        <f t="shared" si="10"/>
        <v>0.34300000000000003</v>
      </c>
      <c r="I22" s="97">
        <f t="shared" si="11"/>
        <v>1.4598505547617721E-3</v>
      </c>
      <c r="J22" s="97">
        <f t="shared" si="12"/>
        <v>4.2561240663608509E-3</v>
      </c>
      <c r="L22" s="93">
        <f t="shared" si="6"/>
        <v>1.3102903999999854E-3</v>
      </c>
    </row>
    <row r="23" spans="1:25">
      <c r="A23" s="104">
        <f t="shared" si="7"/>
        <v>14</v>
      </c>
      <c r="B23" s="99">
        <v>45363</v>
      </c>
      <c r="C23" s="105">
        <f t="shared" si="2"/>
        <v>19</v>
      </c>
      <c r="D23" s="97">
        <v>0.34599999999999997</v>
      </c>
      <c r="E23" s="97">
        <v>1.4249995000000126</v>
      </c>
      <c r="F23" s="106">
        <f t="shared" si="8"/>
        <v>1.4249995000000127E-3</v>
      </c>
      <c r="G23" s="97">
        <f t="shared" si="9"/>
        <v>4.1184956647399218E-3</v>
      </c>
      <c r="H23" s="97">
        <f t="shared" si="10"/>
        <v>0.34599999999999997</v>
      </c>
      <c r="I23" s="97">
        <f t="shared" si="11"/>
        <v>1.5745596547617994E-3</v>
      </c>
      <c r="J23" s="97">
        <f t="shared" si="12"/>
        <v>4.5507504472884382E-3</v>
      </c>
      <c r="L23" s="93">
        <f t="shared" si="6"/>
        <v>1.4249995000000127E-3</v>
      </c>
    </row>
    <row r="24" spans="1:25">
      <c r="A24" s="104">
        <f t="shared" si="7"/>
        <v>15</v>
      </c>
      <c r="B24" s="99">
        <v>45364</v>
      </c>
      <c r="C24" s="105">
        <f t="shared" si="2"/>
        <v>20</v>
      </c>
      <c r="D24" s="97">
        <v>0.34899999999999998</v>
      </c>
      <c r="E24" s="97">
        <v>1.5397085999999263</v>
      </c>
      <c r="F24" s="106">
        <f t="shared" si="8"/>
        <v>1.5397085999999264E-3</v>
      </c>
      <c r="G24" s="97">
        <f t="shared" si="9"/>
        <v>4.4117724928364657E-3</v>
      </c>
      <c r="H24" s="97">
        <f t="shared" si="10"/>
        <v>0.34899999999999998</v>
      </c>
      <c r="I24" s="97">
        <f t="shared" si="11"/>
        <v>1.689268754761713E-3</v>
      </c>
      <c r="J24" s="97">
        <f t="shared" si="12"/>
        <v>4.8403116182284042E-3</v>
      </c>
      <c r="L24" s="93">
        <f t="shared" si="6"/>
        <v>1.5397085999999264E-3</v>
      </c>
    </row>
    <row r="25" spans="1:25">
      <c r="A25" s="104">
        <f t="shared" si="7"/>
        <v>16</v>
      </c>
      <c r="B25" s="99">
        <v>45365</v>
      </c>
      <c r="C25" s="105">
        <f t="shared" si="2"/>
        <v>21</v>
      </c>
      <c r="D25" s="97">
        <v>0.35199999999999998</v>
      </c>
      <c r="E25" s="97">
        <v>1.6544177000000673</v>
      </c>
      <c r="F25" s="106">
        <f t="shared" si="8"/>
        <v>1.6544177000000673E-3</v>
      </c>
      <c r="G25" s="97">
        <f t="shared" si="9"/>
        <v>4.7000502840911004E-3</v>
      </c>
      <c r="H25" s="97">
        <f t="shared" si="10"/>
        <v>0.35199999999999998</v>
      </c>
      <c r="I25" s="97">
        <f t="shared" si="11"/>
        <v>1.803977854761854E-3</v>
      </c>
      <c r="J25" s="97">
        <f t="shared" si="12"/>
        <v>5.1249370873916308E-3</v>
      </c>
      <c r="L25" s="93">
        <f t="shared" si="6"/>
        <v>1.6544177000000673E-3</v>
      </c>
    </row>
    <row r="26" spans="1:25">
      <c r="A26" s="104">
        <f t="shared" si="7"/>
        <v>17</v>
      </c>
      <c r="B26" s="99">
        <v>45366</v>
      </c>
      <c r="C26" s="105">
        <f t="shared" si="2"/>
        <v>22</v>
      </c>
      <c r="D26" s="97">
        <v>0.35499999999999998</v>
      </c>
      <c r="E26" s="97">
        <v>1.8264813499999377</v>
      </c>
      <c r="F26" s="106">
        <f t="shared" si="8"/>
        <v>1.8264813499999377E-3</v>
      </c>
      <c r="G26" s="97">
        <f t="shared" si="9"/>
        <v>5.1450178873237683E-3</v>
      </c>
      <c r="H26" s="97">
        <f t="shared" si="10"/>
        <v>0.35499999999999998</v>
      </c>
      <c r="I26" s="97">
        <f t="shared" si="11"/>
        <v>1.9760415047617242E-3</v>
      </c>
      <c r="J26" s="97">
        <f t="shared" si="12"/>
        <v>5.5663140979203499E-3</v>
      </c>
      <c r="L26" s="93">
        <f t="shared" si="6"/>
        <v>1.8264813499999377E-3</v>
      </c>
    </row>
    <row r="27" spans="1:25">
      <c r="A27" s="104">
        <f t="shared" si="7"/>
        <v>18</v>
      </c>
      <c r="B27" s="99">
        <v>45367</v>
      </c>
      <c r="C27" s="105">
        <f t="shared" si="2"/>
        <v>23</v>
      </c>
      <c r="D27" s="97">
        <v>0.35799999999999998</v>
      </c>
      <c r="E27" s="97">
        <v>1.9985450000000355</v>
      </c>
      <c r="F27" s="106">
        <f t="shared" si="8"/>
        <v>1.9985450000000356E-3</v>
      </c>
      <c r="G27" s="97">
        <f t="shared" si="9"/>
        <v>5.5825279329609935E-3</v>
      </c>
      <c r="H27" s="97">
        <f t="shared" si="10"/>
        <v>0.35799999999999998</v>
      </c>
      <c r="I27" s="97">
        <f t="shared" si="11"/>
        <v>2.1481051547618223E-3</v>
      </c>
      <c r="J27" s="97">
        <f t="shared" si="12"/>
        <v>6.0002937283849785E-3</v>
      </c>
      <c r="L27" s="93">
        <f t="shared" si="6"/>
        <v>1.9985450000000356E-3</v>
      </c>
    </row>
    <row r="28" spans="1:25">
      <c r="A28" s="104">
        <f t="shared" si="7"/>
        <v>19</v>
      </c>
      <c r="B28" s="99">
        <v>45368</v>
      </c>
      <c r="C28" s="105">
        <f t="shared" si="2"/>
        <v>24</v>
      </c>
      <c r="D28" s="97">
        <v>0.36099999999999999</v>
      </c>
      <c r="E28" s="97">
        <v>2.1168376428570923</v>
      </c>
      <c r="F28" s="106">
        <f t="shared" si="8"/>
        <v>2.1168376428570921E-3</v>
      </c>
      <c r="G28" s="97">
        <f t="shared" si="9"/>
        <v>5.8638161851997011E-3</v>
      </c>
      <c r="H28" s="97">
        <f t="shared" si="10"/>
        <v>0.36099999999999999</v>
      </c>
      <c r="I28" s="97">
        <f t="shared" si="11"/>
        <v>2.2663977976188788E-3</v>
      </c>
      <c r="J28" s="97">
        <f t="shared" si="12"/>
        <v>6.2781102427115756E-3</v>
      </c>
      <c r="L28" s="93">
        <f t="shared" si="6"/>
        <v>2.1168376428570921E-3</v>
      </c>
    </row>
    <row r="29" spans="1:25">
      <c r="A29" s="104">
        <f t="shared" si="7"/>
        <v>20</v>
      </c>
      <c r="B29" s="99">
        <v>45369</v>
      </c>
      <c r="C29" s="105">
        <f t="shared" si="2"/>
        <v>25</v>
      </c>
      <c r="D29" s="97">
        <v>0.36299999999999999</v>
      </c>
      <c r="E29" s="97">
        <v>2.2351302857143764</v>
      </c>
      <c r="F29" s="106">
        <f t="shared" si="8"/>
        <v>2.2351302857143763E-3</v>
      </c>
      <c r="G29" s="97">
        <f t="shared" si="9"/>
        <v>6.1573837072021386E-3</v>
      </c>
      <c r="H29" s="97">
        <f t="shared" si="10"/>
        <v>0.36299999999999999</v>
      </c>
      <c r="I29" s="97">
        <f t="shared" si="11"/>
        <v>2.384690440476163E-3</v>
      </c>
      <c r="J29" s="97">
        <f t="shared" si="12"/>
        <v>6.5693951528268957E-3</v>
      </c>
      <c r="L29" s="93">
        <f t="shared" si="6"/>
        <v>2.2351302857143763E-3</v>
      </c>
    </row>
    <row r="30" spans="1:25">
      <c r="A30" s="104">
        <f t="shared" si="7"/>
        <v>21</v>
      </c>
      <c r="B30" s="99">
        <v>45370</v>
      </c>
      <c r="C30" s="105">
        <f t="shared" si="2"/>
        <v>26</v>
      </c>
      <c r="D30" s="97">
        <v>0.36499999999999999</v>
      </c>
      <c r="E30" s="97">
        <v>2.3534229285713195</v>
      </c>
      <c r="F30" s="106">
        <f t="shared" si="8"/>
        <v>2.3534229285713196E-3</v>
      </c>
      <c r="G30" s="97">
        <f t="shared" si="9"/>
        <v>6.4477340508803278E-3</v>
      </c>
      <c r="H30" s="97">
        <f t="shared" si="10"/>
        <v>0.36499999999999999</v>
      </c>
      <c r="I30" s="97">
        <f t="shared" si="11"/>
        <v>2.5029830833331063E-3</v>
      </c>
      <c r="J30" s="97">
        <f t="shared" si="12"/>
        <v>6.8574878995427569E-3</v>
      </c>
      <c r="L30" s="93">
        <f t="shared" si="6"/>
        <v>2.3534229285713196E-3</v>
      </c>
    </row>
    <row r="31" spans="1:25">
      <c r="A31" s="104">
        <f t="shared" si="7"/>
        <v>22</v>
      </c>
      <c r="B31" s="99">
        <v>45371</v>
      </c>
      <c r="C31" s="105">
        <f t="shared" si="2"/>
        <v>27</v>
      </c>
      <c r="D31" s="97">
        <v>0.36699999999999999</v>
      </c>
      <c r="E31" s="97">
        <v>2.4717155714286037</v>
      </c>
      <c r="F31" s="106">
        <f t="shared" si="8"/>
        <v>2.4717155714286039E-3</v>
      </c>
      <c r="G31" s="97">
        <f t="shared" si="9"/>
        <v>6.7349198131569591E-3</v>
      </c>
      <c r="H31" s="97">
        <f t="shared" si="10"/>
        <v>0.36699999999999999</v>
      </c>
      <c r="I31" s="97">
        <f t="shared" si="11"/>
        <v>2.6212757261903905E-3</v>
      </c>
      <c r="J31" s="97">
        <f t="shared" si="12"/>
        <v>7.1424406708185031E-3</v>
      </c>
      <c r="L31" s="93">
        <f t="shared" si="6"/>
        <v>2.4717155714286039E-3</v>
      </c>
    </row>
    <row r="32" spans="1:25">
      <c r="A32" s="104">
        <f t="shared" si="7"/>
        <v>23</v>
      </c>
      <c r="B32" s="99">
        <v>45372</v>
      </c>
      <c r="C32" s="105">
        <f t="shared" si="2"/>
        <v>28</v>
      </c>
      <c r="D32" s="97">
        <v>0.36899999999999999</v>
      </c>
      <c r="E32" s="97">
        <v>2.5900082142857173</v>
      </c>
      <c r="F32" s="106">
        <f t="shared" si="8"/>
        <v>2.5900082142857172E-3</v>
      </c>
      <c r="G32" s="97">
        <f t="shared" si="9"/>
        <v>7.0189924506387997E-3</v>
      </c>
      <c r="H32" s="97">
        <f t="shared" si="10"/>
        <v>0.36899999999999999</v>
      </c>
      <c r="I32" s="97">
        <f t="shared" si="11"/>
        <v>2.7395683690475039E-3</v>
      </c>
      <c r="J32" s="97">
        <f t="shared" si="12"/>
        <v>7.4243045231639675E-3</v>
      </c>
      <c r="L32" s="93">
        <f t="shared" si="6"/>
        <v>2.5900082142857172E-3</v>
      </c>
    </row>
    <row r="33" spans="1:12">
      <c r="A33" s="104">
        <f t="shared" si="7"/>
        <v>24</v>
      </c>
      <c r="B33" s="99">
        <v>45373</v>
      </c>
      <c r="C33" s="105">
        <f t="shared" si="2"/>
        <v>29</v>
      </c>
      <c r="D33" s="97">
        <v>0.371</v>
      </c>
      <c r="E33" s="97">
        <v>2.7083008571428877</v>
      </c>
      <c r="F33" s="106">
        <f t="shared" si="8"/>
        <v>2.7083008571428878E-3</v>
      </c>
      <c r="G33" s="97">
        <f t="shared" si="9"/>
        <v>7.3000023103581878E-3</v>
      </c>
      <c r="H33" s="97">
        <f t="shared" si="10"/>
        <v>0.371</v>
      </c>
      <c r="I33" s="97">
        <f t="shared" si="11"/>
        <v>2.8578610119046745E-3</v>
      </c>
      <c r="J33" s="97">
        <f t="shared" si="12"/>
        <v>7.7031294121419798E-3</v>
      </c>
      <c r="L33" s="93">
        <f t="shared" si="6"/>
        <v>2.7083008571428878E-3</v>
      </c>
    </row>
    <row r="34" spans="1:12">
      <c r="A34" s="104">
        <f t="shared" si="7"/>
        <v>25</v>
      </c>
      <c r="B34" s="99">
        <v>45374</v>
      </c>
      <c r="C34" s="105">
        <f t="shared" si="2"/>
        <v>30</v>
      </c>
      <c r="D34" s="97">
        <v>0.373</v>
      </c>
      <c r="E34" s="97">
        <v>2.858317059523813</v>
      </c>
      <c r="F34" s="106">
        <f t="shared" si="8"/>
        <v>2.8583170595238129E-3</v>
      </c>
      <c r="G34" s="97">
        <f t="shared" si="9"/>
        <v>7.6630484169539223E-3</v>
      </c>
      <c r="H34" s="97">
        <f t="shared" si="10"/>
        <v>0.373</v>
      </c>
      <c r="I34" s="97">
        <f t="shared" si="11"/>
        <v>3.0078772142855996E-3</v>
      </c>
      <c r="J34" s="97">
        <f t="shared" si="12"/>
        <v>8.0640139793179619E-3</v>
      </c>
      <c r="L34" s="93">
        <f t="shared" si="6"/>
        <v>2.8583170595238129E-3</v>
      </c>
    </row>
    <row r="35" spans="1:12">
      <c r="A35" s="104">
        <f t="shared" si="7"/>
        <v>26</v>
      </c>
      <c r="B35" s="99">
        <v>45375</v>
      </c>
      <c r="C35" s="105">
        <f t="shared" si="2"/>
        <v>31</v>
      </c>
      <c r="D35" s="97">
        <v>0.375</v>
      </c>
      <c r="E35" s="97">
        <v>2.9974606507937551</v>
      </c>
      <c r="F35" s="106">
        <f t="shared" si="8"/>
        <v>2.9974606507937552E-3</v>
      </c>
      <c r="G35" s="97">
        <f t="shared" si="9"/>
        <v>7.99322840211668E-3</v>
      </c>
      <c r="H35" s="97">
        <f t="shared" si="10"/>
        <v>0.375</v>
      </c>
      <c r="I35" s="97">
        <f t="shared" si="11"/>
        <v>3.1470208055555419E-3</v>
      </c>
      <c r="J35" s="97">
        <f t="shared" si="12"/>
        <v>8.3920554814814457E-3</v>
      </c>
      <c r="L35" s="93">
        <f t="shared" si="6"/>
        <v>2.9974606507937552E-3</v>
      </c>
    </row>
    <row r="36" spans="1:12">
      <c r="A36" s="104">
        <f t="shared" si="7"/>
        <v>27</v>
      </c>
      <c r="B36" s="99">
        <v>45376</v>
      </c>
      <c r="C36" s="105">
        <f t="shared" ref="C36:C38" si="13">B36-$B$4</f>
        <v>32</v>
      </c>
      <c r="D36" s="97">
        <v>0.376</v>
      </c>
      <c r="E36" s="97">
        <v>3.1288969206349293</v>
      </c>
      <c r="F36" s="106">
        <f t="shared" ref="F36:F38" si="14">E36/1000</f>
        <v>3.1288969206349293E-3</v>
      </c>
      <c r="G36" s="97">
        <f t="shared" ref="G36:G38" si="15">IF(AND(D36&gt;0,F36&gt;0),F36/D36,"")</f>
        <v>8.3215343633907691E-3</v>
      </c>
      <c r="H36" s="97">
        <f t="shared" ref="H36:H38" si="16">D36</f>
        <v>0.376</v>
      </c>
      <c r="I36" s="97">
        <f t="shared" ref="I36:I38" si="17">F36+$I$4</f>
        <v>3.278457075396716E-3</v>
      </c>
      <c r="J36" s="97">
        <f t="shared" ref="J36:J38" si="18">IF(AND(H36&gt;0,I36&gt;0),I36/H36,"")</f>
        <v>8.7193007324380747E-3</v>
      </c>
      <c r="L36" s="93">
        <f t="shared" si="6"/>
        <v>3.1288969206349293E-3</v>
      </c>
    </row>
    <row r="37" spans="1:12">
      <c r="A37" s="104">
        <f t="shared" si="7"/>
        <v>28</v>
      </c>
      <c r="B37" s="99">
        <v>45377</v>
      </c>
      <c r="C37" s="105">
        <f t="shared" si="13"/>
        <v>33</v>
      </c>
      <c r="D37" s="97">
        <v>0.377</v>
      </c>
      <c r="E37" s="97">
        <v>3.2603331904761603</v>
      </c>
      <c r="F37" s="106">
        <f t="shared" si="14"/>
        <v>3.2603331904761603E-3</v>
      </c>
      <c r="G37" s="97">
        <f t="shared" si="15"/>
        <v>8.6480986484778789E-3</v>
      </c>
      <c r="H37" s="97">
        <f t="shared" si="16"/>
        <v>0.377</v>
      </c>
      <c r="I37" s="97">
        <f t="shared" si="17"/>
        <v>3.4098933452379469E-3</v>
      </c>
      <c r="J37" s="97">
        <f t="shared" si="18"/>
        <v>9.0448099343181619E-3</v>
      </c>
      <c r="L37" s="93">
        <f t="shared" si="6"/>
        <v>3.2603331904761603E-3</v>
      </c>
    </row>
    <row r="38" spans="1:12">
      <c r="A38" s="104">
        <f t="shared" si="7"/>
        <v>29</v>
      </c>
      <c r="B38" s="99">
        <v>45378</v>
      </c>
      <c r="C38" s="105">
        <f t="shared" si="13"/>
        <v>34</v>
      </c>
      <c r="D38" s="97">
        <v>0.378</v>
      </c>
      <c r="E38" s="97">
        <v>3.3917694603173913</v>
      </c>
      <c r="F38" s="106">
        <f t="shared" si="14"/>
        <v>3.3917694603173912E-3</v>
      </c>
      <c r="G38" s="97">
        <f t="shared" si="15"/>
        <v>8.9729350802047383E-3</v>
      </c>
      <c r="H38" s="97">
        <f t="shared" si="16"/>
        <v>0.378</v>
      </c>
      <c r="I38" s="97">
        <f t="shared" si="17"/>
        <v>3.5413296150791779E-3</v>
      </c>
      <c r="J38" s="97">
        <f t="shared" si="18"/>
        <v>9.36859686528883E-3</v>
      </c>
      <c r="L38" s="93">
        <f t="shared" si="6"/>
        <v>3.3917694603173912E-3</v>
      </c>
    </row>
    <row r="39" spans="1:12">
      <c r="A39" s="104">
        <f t="shared" si="7"/>
        <v>30</v>
      </c>
      <c r="B39" s="99">
        <v>45379</v>
      </c>
      <c r="C39" s="105">
        <f t="shared" ref="C39:C40" si="19">B39-$B$4</f>
        <v>35</v>
      </c>
      <c r="D39" s="97">
        <v>0.379</v>
      </c>
      <c r="E39" s="122">
        <v>3.4574875952380353</v>
      </c>
      <c r="F39" s="106">
        <f t="shared" ref="F39:F75" si="20">E39/1000</f>
        <v>3.4574875952380355E-3</v>
      </c>
      <c r="G39" s="97">
        <f t="shared" ref="G39:G41" si="21">IF(AND(D39&gt;0,F39&gt;0),F39/D39,"")</f>
        <v>9.1226585626333397E-3</v>
      </c>
      <c r="H39" s="97">
        <f t="shared" ref="H39:H40" si="22">D39</f>
        <v>0.379</v>
      </c>
      <c r="I39" s="97">
        <f t="shared" ref="I39:I40" si="23">F39+$I$4</f>
        <v>3.6070477499998222E-3</v>
      </c>
      <c r="J39" s="97">
        <f t="shared" ref="J39:J40" si="24">IF(AND(H39&gt;0,I39&gt;0),I39/H39,"")</f>
        <v>9.5172763852238058E-3</v>
      </c>
      <c r="L39" s="93">
        <f t="shared" si="6"/>
        <v>3.4574875952380355E-3</v>
      </c>
    </row>
    <row r="40" spans="1:12">
      <c r="A40" s="104">
        <f t="shared" si="7"/>
        <v>31</v>
      </c>
      <c r="B40" s="99">
        <v>45380</v>
      </c>
      <c r="C40" s="105">
        <f t="shared" si="19"/>
        <v>36</v>
      </c>
      <c r="D40" s="97">
        <v>0.38</v>
      </c>
      <c r="E40" s="110">
        <v>3.5232057301587929</v>
      </c>
      <c r="F40" s="106">
        <f t="shared" si="20"/>
        <v>3.523205730158793E-3</v>
      </c>
      <c r="G40" s="97">
        <f t="shared" si="21"/>
        <v>9.271594026733665E-3</v>
      </c>
      <c r="H40" s="97">
        <f t="shared" si="22"/>
        <v>0.38</v>
      </c>
      <c r="I40" s="97">
        <f t="shared" si="23"/>
        <v>3.6727658849205797E-3</v>
      </c>
      <c r="J40" s="97">
        <f t="shared" si="24"/>
        <v>9.6651733813699469E-3</v>
      </c>
      <c r="L40" s="93">
        <f t="shared" si="6"/>
        <v>3.523205730158793E-3</v>
      </c>
    </row>
    <row r="41" spans="1:12">
      <c r="A41" s="104">
        <f t="shared" si="7"/>
        <v>32</v>
      </c>
      <c r="B41" s="99">
        <v>45381</v>
      </c>
      <c r="C41" s="105">
        <f t="shared" ref="C41" si="25">B41-$B$4</f>
        <v>37</v>
      </c>
      <c r="D41" s="97">
        <v>0.38100000000000001</v>
      </c>
      <c r="E41" s="110">
        <v>3.6546419999999671</v>
      </c>
      <c r="F41" s="106">
        <f t="shared" si="20"/>
        <v>3.6546419999999671E-3</v>
      </c>
      <c r="G41" s="97">
        <f t="shared" si="21"/>
        <v>9.5922362204723544E-3</v>
      </c>
      <c r="H41" s="97">
        <f t="shared" ref="H41" si="26">D41</f>
        <v>0.38100000000000001</v>
      </c>
      <c r="I41" s="97">
        <f t="shared" ref="I41" si="27">F41+$I$4</f>
        <v>3.8042021547617538E-3</v>
      </c>
      <c r="J41" s="97">
        <f t="shared" ref="J41" si="28">IF(AND(H41&gt;0,I41&gt;0),I41/H41,"")</f>
        <v>9.9847825584298E-3</v>
      </c>
      <c r="L41" s="93">
        <f t="shared" si="6"/>
        <v>3.6546419999999671E-3</v>
      </c>
    </row>
    <row r="42" spans="1:12">
      <c r="A42" s="104">
        <f t="shared" si="7"/>
        <v>33</v>
      </c>
      <c r="B42" s="99">
        <v>45382</v>
      </c>
      <c r="C42" s="105">
        <f t="shared" ref="C42:C100" si="29">B42-$B$4</f>
        <v>38</v>
      </c>
      <c r="D42" s="97">
        <v>0.38200000000000001</v>
      </c>
      <c r="E42" s="110">
        <v>3.6546419999999671</v>
      </c>
      <c r="F42" s="106">
        <f t="shared" si="20"/>
        <v>3.6546419999999671E-3</v>
      </c>
      <c r="G42" s="97">
        <f t="shared" ref="G42:G75" si="30">IF(AND(D42&gt;0,F42&gt;0),F42/D42,"")</f>
        <v>9.5671256544501756E-3</v>
      </c>
      <c r="H42" s="97">
        <f t="shared" ref="H42" si="31">D42</f>
        <v>0.38200000000000001</v>
      </c>
      <c r="I42" s="97">
        <f t="shared" ref="I42" si="32">F42+$I$4</f>
        <v>3.8042021547617538E-3</v>
      </c>
      <c r="J42" s="97">
        <f t="shared" ref="J42" si="33">IF(AND(H42&gt;0,I42&gt;0),I42/H42,"")</f>
        <v>9.9586443841930723E-3</v>
      </c>
      <c r="L42" s="93">
        <f t="shared" si="6"/>
        <v>3.6546419999999671E-3</v>
      </c>
    </row>
    <row r="43" spans="1:12">
      <c r="A43" s="104">
        <f t="shared" si="7"/>
        <v>34</v>
      </c>
      <c r="B43" s="99">
        <v>45383</v>
      </c>
      <c r="C43" s="105">
        <f t="shared" si="29"/>
        <v>39</v>
      </c>
      <c r="D43" s="97">
        <v>0.38400000000000001</v>
      </c>
      <c r="E43" s="110">
        <v>3.6546419999999671</v>
      </c>
      <c r="F43" s="106">
        <f t="shared" si="20"/>
        <v>3.6546419999999671E-3</v>
      </c>
      <c r="G43" s="97">
        <f t="shared" si="30"/>
        <v>9.5172968749999143E-3</v>
      </c>
      <c r="H43" s="97"/>
      <c r="I43" s="97"/>
      <c r="J43" s="97"/>
      <c r="L43" s="93">
        <f t="shared" si="6"/>
        <v>3.6546419999999671E-3</v>
      </c>
    </row>
    <row r="44" spans="1:12">
      <c r="A44" s="104">
        <f t="shared" si="7"/>
        <v>35</v>
      </c>
      <c r="B44" s="99">
        <v>45384</v>
      </c>
      <c r="C44" s="105">
        <f t="shared" si="29"/>
        <v>40</v>
      </c>
      <c r="D44" s="97">
        <v>0.38600000000000001</v>
      </c>
      <c r="E44" s="110">
        <v>3.7173519999998916</v>
      </c>
      <c r="F44" s="106">
        <f t="shared" si="20"/>
        <v>3.7173519999998917E-3</v>
      </c>
      <c r="G44" s="97">
        <f t="shared" si="30"/>
        <v>9.6304455958546413E-3</v>
      </c>
      <c r="H44" s="97"/>
      <c r="I44" s="97"/>
      <c r="J44" s="97"/>
      <c r="L44" s="93">
        <f t="shared" si="6"/>
        <v>3.7173519999998917E-3</v>
      </c>
    </row>
    <row r="45" spans="1:12">
      <c r="A45" s="104">
        <f t="shared" si="7"/>
        <v>36</v>
      </c>
      <c r="B45" s="99">
        <v>45385</v>
      </c>
      <c r="C45" s="105">
        <f t="shared" si="29"/>
        <v>41</v>
      </c>
      <c r="D45" s="97">
        <v>0.38800000000000001</v>
      </c>
      <c r="E45" s="110">
        <v>3.7800619999999867</v>
      </c>
      <c r="F45" s="106">
        <f t="shared" si="20"/>
        <v>3.7800619999999868E-3</v>
      </c>
      <c r="G45" s="97">
        <f t="shared" si="30"/>
        <v>9.742427835051512E-3</v>
      </c>
      <c r="H45" s="97"/>
      <c r="I45" s="97"/>
      <c r="J45" s="97"/>
      <c r="L45" s="93">
        <f t="shared" si="6"/>
        <v>3.7800619999999868E-3</v>
      </c>
    </row>
    <row r="46" spans="1:12">
      <c r="A46" s="104">
        <f t="shared" si="7"/>
        <v>37</v>
      </c>
      <c r="B46" s="99">
        <v>45386</v>
      </c>
      <c r="C46" s="105">
        <f t="shared" si="29"/>
        <v>42</v>
      </c>
      <c r="D46" s="97">
        <v>0.39</v>
      </c>
      <c r="E46" s="110">
        <v>3.8427719999999681</v>
      </c>
      <c r="F46" s="106">
        <f t="shared" si="20"/>
        <v>3.8427719999999683E-3</v>
      </c>
      <c r="G46" s="97">
        <f t="shared" si="30"/>
        <v>9.8532615384614563E-3</v>
      </c>
      <c r="H46" s="97"/>
      <c r="I46" s="97"/>
      <c r="J46" s="97"/>
      <c r="L46" s="93">
        <f t="shared" si="6"/>
        <v>3.8427719999999683E-3</v>
      </c>
    </row>
    <row r="47" spans="1:12">
      <c r="A47" s="104">
        <f t="shared" si="7"/>
        <v>38</v>
      </c>
      <c r="B47" s="99">
        <v>45387</v>
      </c>
      <c r="C47" s="105">
        <f t="shared" si="29"/>
        <v>43</v>
      </c>
      <c r="D47" s="97">
        <v>0.39200000000000002</v>
      </c>
      <c r="E47" s="110">
        <v>3.9054820000000063</v>
      </c>
      <c r="F47" s="106">
        <f t="shared" si="20"/>
        <v>3.9054820000000061E-3</v>
      </c>
      <c r="G47" s="97">
        <f t="shared" si="30"/>
        <v>9.9629642857143007E-3</v>
      </c>
      <c r="H47" s="97"/>
      <c r="I47" s="97"/>
      <c r="J47" s="97"/>
      <c r="L47" s="93">
        <f t="shared" si="6"/>
        <v>3.9054820000000061E-3</v>
      </c>
    </row>
    <row r="48" spans="1:12">
      <c r="A48" s="104">
        <f t="shared" si="7"/>
        <v>39</v>
      </c>
      <c r="B48" s="99">
        <v>45388</v>
      </c>
      <c r="C48" s="105">
        <f t="shared" si="29"/>
        <v>44</v>
      </c>
      <c r="D48" s="97">
        <v>0.3929999999999999</v>
      </c>
      <c r="E48" s="110">
        <v>3.9681919999999309</v>
      </c>
      <c r="F48" s="106">
        <f t="shared" si="20"/>
        <v>3.9681919999999312E-3</v>
      </c>
      <c r="G48" s="97">
        <f t="shared" si="30"/>
        <v>1.0097180661577436E-2</v>
      </c>
      <c r="H48" s="97"/>
      <c r="I48" s="97"/>
      <c r="J48" s="97"/>
      <c r="L48" s="93">
        <f t="shared" si="6"/>
        <v>3.9681919999999312E-3</v>
      </c>
    </row>
    <row r="49" spans="1:12">
      <c r="A49" s="104">
        <f t="shared" si="7"/>
        <v>40</v>
      </c>
      <c r="B49" s="99">
        <v>45389</v>
      </c>
      <c r="C49" s="105">
        <f t="shared" si="29"/>
        <v>45</v>
      </c>
      <c r="D49" s="97">
        <v>0.39400000000000002</v>
      </c>
      <c r="E49" s="110">
        <v>4.0309019999999691</v>
      </c>
      <c r="F49" s="106">
        <f t="shared" si="20"/>
        <v>4.030901999999969E-3</v>
      </c>
      <c r="G49" s="97">
        <f t="shared" si="30"/>
        <v>1.023071573604053E-2</v>
      </c>
      <c r="H49" s="97"/>
      <c r="I49" s="97"/>
      <c r="J49" s="97"/>
      <c r="L49" s="93">
        <f t="shared" si="6"/>
        <v>4.030901999999969E-3</v>
      </c>
    </row>
    <row r="50" spans="1:12">
      <c r="A50" s="104">
        <f t="shared" si="7"/>
        <v>41</v>
      </c>
      <c r="B50" s="99">
        <v>45390</v>
      </c>
      <c r="C50" s="105">
        <f t="shared" si="29"/>
        <v>46</v>
      </c>
      <c r="D50" s="97">
        <v>0.39499999999999991</v>
      </c>
      <c r="E50" s="110">
        <v>4.0309019999999691</v>
      </c>
      <c r="F50" s="106">
        <f t="shared" si="20"/>
        <v>4.030901999999969E-3</v>
      </c>
      <c r="G50" s="97">
        <f t="shared" si="30"/>
        <v>1.0204815189873342E-2</v>
      </c>
      <c r="H50" s="97"/>
      <c r="I50" s="97"/>
      <c r="J50" s="97"/>
      <c r="L50" s="93">
        <f t="shared" si="6"/>
        <v>4.030901999999969E-3</v>
      </c>
    </row>
    <row r="51" spans="1:12">
      <c r="A51" s="104">
        <f t="shared" si="7"/>
        <v>42</v>
      </c>
      <c r="B51" s="99">
        <v>45391</v>
      </c>
      <c r="C51" s="105">
        <f t="shared" si="29"/>
        <v>47</v>
      </c>
      <c r="D51" s="97">
        <v>0.39600000000000002</v>
      </c>
      <c r="E51" s="110">
        <v>4.0936120000000642</v>
      </c>
      <c r="F51" s="106">
        <f t="shared" si="20"/>
        <v>4.0936120000000641E-3</v>
      </c>
      <c r="G51" s="97">
        <f t="shared" si="30"/>
        <v>1.0337404040404202E-2</v>
      </c>
      <c r="H51" s="97"/>
      <c r="I51" s="97"/>
      <c r="J51" s="97"/>
      <c r="L51" s="93">
        <f t="shared" si="6"/>
        <v>4.0936120000000641E-3</v>
      </c>
    </row>
    <row r="52" spans="1:12">
      <c r="A52" s="104">
        <f t="shared" si="7"/>
        <v>43</v>
      </c>
      <c r="B52" s="99">
        <v>45392</v>
      </c>
      <c r="C52" s="105">
        <f t="shared" si="29"/>
        <v>48</v>
      </c>
      <c r="D52" s="97">
        <v>0.39699999999999991</v>
      </c>
      <c r="E52" s="111">
        <v>4.1563219999999319</v>
      </c>
      <c r="F52" s="106">
        <f t="shared" si="20"/>
        <v>4.156321999999932E-3</v>
      </c>
      <c r="G52" s="97">
        <f t="shared" si="30"/>
        <v>1.0469324937027539E-2</v>
      </c>
      <c r="H52" s="101"/>
      <c r="I52" s="101"/>
      <c r="J52" s="101"/>
      <c r="L52" s="93">
        <f t="shared" si="6"/>
        <v>4.156321999999932E-3</v>
      </c>
    </row>
    <row r="53" spans="1:12">
      <c r="A53" s="104">
        <f t="shared" si="7"/>
        <v>44</v>
      </c>
      <c r="B53" s="99">
        <v>45393</v>
      </c>
      <c r="C53" s="105">
        <f t="shared" si="29"/>
        <v>49</v>
      </c>
      <c r="D53" s="97">
        <v>0.39800000000000002</v>
      </c>
      <c r="E53" s="111">
        <v>4.2190320000001407</v>
      </c>
      <c r="F53" s="106">
        <f t="shared" si="20"/>
        <v>4.2190320000001407E-3</v>
      </c>
      <c r="G53" s="97">
        <f t="shared" si="30"/>
        <v>1.0600582914573217E-2</v>
      </c>
      <c r="H53" s="101"/>
      <c r="I53" s="101"/>
      <c r="J53" s="101"/>
      <c r="L53" s="93">
        <f t="shared" si="6"/>
        <v>4.2190320000001407E-3</v>
      </c>
    </row>
    <row r="54" spans="1:12">
      <c r="A54" s="104">
        <f t="shared" si="7"/>
        <v>45</v>
      </c>
      <c r="B54" s="99">
        <v>45394</v>
      </c>
      <c r="C54" s="105">
        <f t="shared" si="29"/>
        <v>50</v>
      </c>
      <c r="D54" s="97">
        <v>0.39899999999999991</v>
      </c>
      <c r="E54" s="123">
        <v>4.2817419999998947</v>
      </c>
      <c r="F54" s="106">
        <f t="shared" si="20"/>
        <v>4.2817419999998949E-3</v>
      </c>
      <c r="G54" s="97">
        <f t="shared" si="30"/>
        <v>1.0731182957393223E-2</v>
      </c>
      <c r="H54" s="101"/>
      <c r="I54" s="124"/>
      <c r="J54" s="100"/>
      <c r="L54" s="93">
        <f t="shared" si="6"/>
        <v>4.2817419999998949E-3</v>
      </c>
    </row>
    <row r="55" spans="1:12">
      <c r="A55" s="104">
        <f t="shared" si="7"/>
        <v>46</v>
      </c>
      <c r="B55" s="99">
        <v>45395</v>
      </c>
      <c r="C55" s="105">
        <f t="shared" si="29"/>
        <v>51</v>
      </c>
      <c r="D55" s="97">
        <v>0.4</v>
      </c>
      <c r="E55" s="101">
        <v>4.3444519999999329</v>
      </c>
      <c r="F55" s="106">
        <f t="shared" si="20"/>
        <v>4.3444519999999327E-3</v>
      </c>
      <c r="G55" s="97">
        <f t="shared" si="30"/>
        <v>1.0861129999999832E-2</v>
      </c>
      <c r="H55" s="100"/>
      <c r="I55" s="100"/>
      <c r="J55" s="100"/>
      <c r="L55" s="93">
        <f t="shared" si="6"/>
        <v>4.3444519999999327E-3</v>
      </c>
    </row>
    <row r="56" spans="1:12">
      <c r="A56" s="104">
        <f t="shared" si="7"/>
        <v>47</v>
      </c>
      <c r="B56" s="99">
        <v>45396</v>
      </c>
      <c r="C56" s="105">
        <f t="shared" si="29"/>
        <v>52</v>
      </c>
      <c r="D56" s="97">
        <v>0.40099999999999991</v>
      </c>
      <c r="E56" s="101">
        <v>4.4071619999999712</v>
      </c>
      <c r="F56" s="106">
        <f t="shared" si="20"/>
        <v>4.4071619999999714E-3</v>
      </c>
      <c r="G56" s="97">
        <f t="shared" si="30"/>
        <v>1.0990428927680729E-2</v>
      </c>
      <c r="H56" s="100"/>
      <c r="I56" s="100"/>
      <c r="J56" s="100"/>
      <c r="L56" s="93">
        <f t="shared" si="6"/>
        <v>4.4071619999999714E-3</v>
      </c>
    </row>
    <row r="57" spans="1:12">
      <c r="A57" s="104">
        <f t="shared" si="7"/>
        <v>48</v>
      </c>
      <c r="B57" s="99">
        <v>45397</v>
      </c>
      <c r="C57" s="105">
        <f t="shared" si="29"/>
        <v>53</v>
      </c>
      <c r="D57" s="97">
        <v>0.40200000000000002</v>
      </c>
      <c r="E57" s="101">
        <v>4.5012270000000854</v>
      </c>
      <c r="F57" s="106">
        <f t="shared" si="20"/>
        <v>4.501227000000085E-3</v>
      </c>
      <c r="G57" s="97">
        <f t="shared" si="30"/>
        <v>1.1197082089552449E-2</v>
      </c>
      <c r="H57" s="100"/>
      <c r="I57" s="100"/>
      <c r="J57" s="100"/>
      <c r="L57" s="93">
        <f t="shared" si="6"/>
        <v>4.501227000000085E-3</v>
      </c>
    </row>
    <row r="58" spans="1:12">
      <c r="A58" s="104">
        <f t="shared" si="7"/>
        <v>49</v>
      </c>
      <c r="B58" s="99">
        <v>45398</v>
      </c>
      <c r="C58" s="105">
        <f t="shared" si="29"/>
        <v>54</v>
      </c>
      <c r="D58" s="97">
        <v>0.40299999999999991</v>
      </c>
      <c r="E58" s="101">
        <v>4.5952919999999722</v>
      </c>
      <c r="F58" s="106">
        <f t="shared" si="20"/>
        <v>4.5952919999999722E-3</v>
      </c>
      <c r="G58" s="97">
        <f t="shared" si="30"/>
        <v>1.1402709677419288E-2</v>
      </c>
      <c r="H58" s="100"/>
      <c r="I58" s="100"/>
      <c r="J58" s="100"/>
      <c r="L58" s="93">
        <f t="shared" si="6"/>
        <v>4.5952919999999722E-3</v>
      </c>
    </row>
    <row r="59" spans="1:12">
      <c r="A59" s="104">
        <f t="shared" si="7"/>
        <v>50</v>
      </c>
      <c r="B59" s="99">
        <v>45399</v>
      </c>
      <c r="C59" s="105">
        <f t="shared" si="29"/>
        <v>55</v>
      </c>
      <c r="D59" s="97">
        <v>0.40400000000000003</v>
      </c>
      <c r="E59" s="101">
        <v>4.7392652499999599</v>
      </c>
      <c r="F59" s="106">
        <f t="shared" si="20"/>
        <v>4.7392652499999603E-3</v>
      </c>
      <c r="G59" s="97">
        <f t="shared" si="30"/>
        <v>1.1730854579207821E-2</v>
      </c>
      <c r="H59" s="100"/>
      <c r="I59" s="100"/>
      <c r="J59" s="100"/>
      <c r="L59" s="93">
        <f t="shared" si="6"/>
        <v>4.7392652499999603E-3</v>
      </c>
    </row>
    <row r="60" spans="1:12">
      <c r="A60" s="104">
        <f t="shared" si="7"/>
        <v>51</v>
      </c>
      <c r="B60" s="99">
        <v>45400</v>
      </c>
      <c r="C60" s="105">
        <f t="shared" si="29"/>
        <v>56</v>
      </c>
      <c r="D60" s="97">
        <v>0.40499999999999992</v>
      </c>
      <c r="E60" s="101">
        <v>4.8832384999999476</v>
      </c>
      <c r="F60" s="106">
        <f t="shared" si="20"/>
        <v>4.8832384999999475E-3</v>
      </c>
      <c r="G60" s="97">
        <f t="shared" si="30"/>
        <v>1.2057379012345552E-2</v>
      </c>
      <c r="H60" s="100"/>
      <c r="I60" s="100"/>
      <c r="J60" s="100"/>
      <c r="L60" s="93">
        <f t="shared" si="6"/>
        <v>4.8832384999999475E-3</v>
      </c>
    </row>
    <row r="61" spans="1:12">
      <c r="A61" s="104">
        <f t="shared" si="7"/>
        <v>52</v>
      </c>
      <c r="B61" s="99">
        <v>45401</v>
      </c>
      <c r="C61" s="105">
        <f t="shared" si="29"/>
        <v>57</v>
      </c>
      <c r="D61" s="97">
        <v>0.40600000000000003</v>
      </c>
      <c r="E61" s="101">
        <v>5.0272117499999922</v>
      </c>
      <c r="F61" s="106">
        <f t="shared" si="20"/>
        <v>5.027211749999992E-3</v>
      </c>
      <c r="G61" s="97">
        <f t="shared" si="30"/>
        <v>1.2382294950738896E-2</v>
      </c>
      <c r="H61" s="100"/>
      <c r="I61" s="100"/>
      <c r="J61" s="100"/>
      <c r="L61" s="93">
        <f t="shared" si="6"/>
        <v>5.027211749999992E-3</v>
      </c>
    </row>
    <row r="62" spans="1:12">
      <c r="A62" s="104">
        <f t="shared" si="7"/>
        <v>53</v>
      </c>
      <c r="B62" s="99">
        <v>45402</v>
      </c>
      <c r="C62" s="105">
        <f t="shared" si="29"/>
        <v>58</v>
      </c>
      <c r="D62" s="97">
        <v>0.40699999999999992</v>
      </c>
      <c r="E62" s="101">
        <v>5.1711849999998662</v>
      </c>
      <c r="F62" s="106">
        <f t="shared" si="20"/>
        <v>5.1711849999998664E-3</v>
      </c>
      <c r="G62" s="97">
        <f t="shared" si="30"/>
        <v>1.2705614250613924E-2</v>
      </c>
      <c r="H62" s="100"/>
      <c r="I62" s="100"/>
      <c r="J62" s="100"/>
      <c r="L62" s="93">
        <f t="shared" si="6"/>
        <v>5.1711849999998664E-3</v>
      </c>
    </row>
    <row r="63" spans="1:12">
      <c r="A63" s="104">
        <f t="shared" si="7"/>
        <v>54</v>
      </c>
      <c r="B63" s="99">
        <v>45403</v>
      </c>
      <c r="C63" s="105">
        <f t="shared" si="29"/>
        <v>59</v>
      </c>
      <c r="D63" s="97">
        <v>0.40800000000000003</v>
      </c>
      <c r="E63" s="101">
        <v>5.315158249999854</v>
      </c>
      <c r="F63" s="106">
        <f t="shared" si="20"/>
        <v>5.3151582499998537E-3</v>
      </c>
      <c r="G63" s="97">
        <f t="shared" si="30"/>
        <v>1.3027348651960424E-2</v>
      </c>
      <c r="H63" s="100"/>
      <c r="I63" s="100"/>
      <c r="J63" s="100"/>
      <c r="L63" s="93">
        <f t="shared" si="6"/>
        <v>5.3151582499998537E-3</v>
      </c>
    </row>
    <row r="64" spans="1:12">
      <c r="A64" s="104">
        <f t="shared" si="7"/>
        <v>55</v>
      </c>
      <c r="B64" s="99">
        <v>45404</v>
      </c>
      <c r="C64" s="105">
        <f t="shared" si="29"/>
        <v>60</v>
      </c>
      <c r="D64" s="97">
        <v>0.40899999999999992</v>
      </c>
      <c r="E64" s="101">
        <v>5.4591315000000122</v>
      </c>
      <c r="F64" s="106">
        <f t="shared" si="20"/>
        <v>5.4591315000000126E-3</v>
      </c>
      <c r="G64" s="97">
        <f t="shared" si="30"/>
        <v>1.3347509779951134E-2</v>
      </c>
      <c r="H64" s="100"/>
      <c r="I64" s="100"/>
      <c r="J64" s="100"/>
      <c r="L64" s="93">
        <f t="shared" si="6"/>
        <v>5.4591315000000126E-3</v>
      </c>
    </row>
    <row r="65" spans="1:15">
      <c r="A65" s="104">
        <f t="shared" si="7"/>
        <v>56</v>
      </c>
      <c r="B65" s="99">
        <v>45405</v>
      </c>
      <c r="C65" s="105">
        <f t="shared" si="29"/>
        <v>61</v>
      </c>
      <c r="D65" s="97">
        <v>0.41000000000000003</v>
      </c>
      <c r="E65" s="101">
        <v>5.6434190000000513</v>
      </c>
      <c r="F65" s="106">
        <f t="shared" si="20"/>
        <v>5.6434190000000514E-3</v>
      </c>
      <c r="G65" s="97">
        <f t="shared" si="30"/>
        <v>1.3764436585365978E-2</v>
      </c>
      <c r="H65" s="100"/>
      <c r="I65" s="100"/>
      <c r="J65" s="100"/>
      <c r="L65" s="93">
        <f t="shared" si="6"/>
        <v>5.6434190000000514E-3</v>
      </c>
    </row>
    <row r="66" spans="1:15">
      <c r="A66" s="104">
        <f t="shared" si="7"/>
        <v>57</v>
      </c>
      <c r="B66" s="99">
        <v>45406</v>
      </c>
      <c r="C66" s="105">
        <f t="shared" si="29"/>
        <v>62</v>
      </c>
      <c r="D66" s="97">
        <v>0.41099999999999992</v>
      </c>
      <c r="E66" s="101">
        <v>5.8110661111110744</v>
      </c>
      <c r="F66" s="106">
        <f t="shared" si="20"/>
        <v>5.8110661111110745E-3</v>
      </c>
      <c r="G66" s="97">
        <f t="shared" si="30"/>
        <v>1.4138846985671716E-2</v>
      </c>
      <c r="H66" s="100"/>
      <c r="I66" s="100"/>
      <c r="J66" s="100"/>
      <c r="L66" s="93">
        <f t="shared" si="6"/>
        <v>5.8110661111110745E-3</v>
      </c>
    </row>
    <row r="67" spans="1:15">
      <c r="A67" s="104">
        <f t="shared" si="7"/>
        <v>58</v>
      </c>
      <c r="B67" s="99">
        <v>45407</v>
      </c>
      <c r="C67" s="105">
        <f t="shared" si="29"/>
        <v>63</v>
      </c>
      <c r="D67" s="97">
        <v>0.41200000000000003</v>
      </c>
      <c r="E67" s="101">
        <v>5.9710363888888196</v>
      </c>
      <c r="F67" s="106">
        <f t="shared" si="20"/>
        <v>5.9710363888888195E-3</v>
      </c>
      <c r="G67" s="97">
        <f t="shared" si="30"/>
        <v>1.4492806769147619E-2</v>
      </c>
      <c r="H67" s="100"/>
      <c r="I67" s="100"/>
      <c r="J67" s="100"/>
      <c r="L67" s="93">
        <f t="shared" si="6"/>
        <v>5.9710363888888195E-3</v>
      </c>
    </row>
    <row r="68" spans="1:15">
      <c r="A68" s="104">
        <f t="shared" si="7"/>
        <v>59</v>
      </c>
      <c r="B68" s="99">
        <v>45408</v>
      </c>
      <c r="C68" s="105">
        <f t="shared" si="29"/>
        <v>64</v>
      </c>
      <c r="D68" s="97">
        <v>0.41200000000000003</v>
      </c>
      <c r="E68" s="101">
        <v>6.1510304523807804</v>
      </c>
      <c r="F68" s="106">
        <f t="shared" si="20"/>
        <v>6.1510304523807804E-3</v>
      </c>
      <c r="G68" s="97">
        <f t="shared" si="30"/>
        <v>1.492968556403102E-2</v>
      </c>
      <c r="H68" s="100"/>
      <c r="I68" s="100"/>
      <c r="J68" s="100"/>
      <c r="L68" s="93">
        <f t="shared" si="6"/>
        <v>6.1510304523807804E-3</v>
      </c>
    </row>
    <row r="69" spans="1:15">
      <c r="A69" s="104">
        <f t="shared" si="7"/>
        <v>60</v>
      </c>
      <c r="B69" s="99">
        <v>45409</v>
      </c>
      <c r="C69" s="105">
        <f t="shared" si="29"/>
        <v>65</v>
      </c>
      <c r="D69" s="97">
        <v>0.41200000000000003</v>
      </c>
      <c r="E69" s="101">
        <v>6.3324718015872463</v>
      </c>
      <c r="F69" s="106">
        <f t="shared" si="20"/>
        <v>6.3324718015872463E-3</v>
      </c>
      <c r="G69" s="97">
        <f t="shared" si="30"/>
        <v>1.5370077188318558E-2</v>
      </c>
      <c r="H69" s="100"/>
      <c r="I69" s="100"/>
      <c r="J69" s="100"/>
      <c r="L69" s="93">
        <f t="shared" si="6"/>
        <v>6.3324718015872463E-3</v>
      </c>
    </row>
    <row r="70" spans="1:15">
      <c r="A70" s="104">
        <f t="shared" si="7"/>
        <v>61</v>
      </c>
      <c r="B70" s="99">
        <v>45410</v>
      </c>
      <c r="C70" s="105">
        <f t="shared" si="29"/>
        <v>66</v>
      </c>
      <c r="D70" s="97">
        <v>0.41200000000000003</v>
      </c>
      <c r="E70" s="101">
        <v>6.4231924761904793</v>
      </c>
      <c r="F70" s="106">
        <f t="shared" si="20"/>
        <v>6.4231924761904789E-3</v>
      </c>
      <c r="G70" s="97">
        <f t="shared" si="30"/>
        <v>1.5590273000462326E-2</v>
      </c>
      <c r="H70" s="100"/>
      <c r="I70" s="100"/>
      <c r="J70" s="100"/>
      <c r="L70" s="93">
        <f t="shared" ref="L70:L103" si="34">E70/1000</f>
        <v>6.4231924761904789E-3</v>
      </c>
    </row>
    <row r="71" spans="1:15">
      <c r="A71" s="104">
        <f t="shared" ref="A71:A100" si="35">A70+1</f>
        <v>62</v>
      </c>
      <c r="B71" s="99">
        <v>45411</v>
      </c>
      <c r="C71" s="105">
        <f t="shared" si="29"/>
        <v>67</v>
      </c>
      <c r="D71" s="97">
        <v>0.41200000000000003</v>
      </c>
      <c r="E71" s="101">
        <v>6.5139131507936554</v>
      </c>
      <c r="F71" s="106">
        <f t="shared" si="20"/>
        <v>6.513913150793655E-3</v>
      </c>
      <c r="G71" s="97">
        <f t="shared" si="30"/>
        <v>1.5810468812605956E-2</v>
      </c>
      <c r="H71" s="100"/>
      <c r="I71" s="100"/>
      <c r="J71" s="100"/>
      <c r="L71" s="93">
        <f t="shared" si="34"/>
        <v>6.513913150793655E-3</v>
      </c>
    </row>
    <row r="72" spans="1:15">
      <c r="A72" s="104">
        <f t="shared" si="35"/>
        <v>63</v>
      </c>
      <c r="B72" s="99">
        <v>45412</v>
      </c>
      <c r="C72" s="105">
        <f t="shared" si="29"/>
        <v>68</v>
      </c>
      <c r="D72" s="97">
        <v>0.41200000000000003</v>
      </c>
      <c r="E72" s="101">
        <v>6.6953545000000645</v>
      </c>
      <c r="F72" s="106">
        <f t="shared" si="20"/>
        <v>6.6953545000000645E-3</v>
      </c>
      <c r="G72" s="97">
        <f t="shared" si="30"/>
        <v>1.6250860436893361E-2</v>
      </c>
      <c r="H72" s="100"/>
      <c r="I72" s="100"/>
      <c r="J72" s="100"/>
      <c r="L72" s="93">
        <f t="shared" si="34"/>
        <v>6.6953545000000645E-3</v>
      </c>
    </row>
    <row r="73" spans="1:15">
      <c r="A73" s="104">
        <f t="shared" si="35"/>
        <v>64</v>
      </c>
      <c r="B73" s="99">
        <v>45413</v>
      </c>
      <c r="C73" s="105">
        <f t="shared" si="29"/>
        <v>69</v>
      </c>
      <c r="D73" s="101">
        <v>0.42000000000000004</v>
      </c>
      <c r="E73" s="101">
        <v>6.6953545000000645</v>
      </c>
      <c r="F73" s="102">
        <f t="shared" si="20"/>
        <v>6.6953545000000645E-3</v>
      </c>
      <c r="G73" s="100">
        <f t="shared" si="30"/>
        <v>1.5941320238095389E-2</v>
      </c>
      <c r="H73" s="100"/>
      <c r="I73" s="100"/>
      <c r="J73" s="100"/>
      <c r="L73" s="93">
        <f t="shared" si="34"/>
        <v>6.6953545000000645E-3</v>
      </c>
    </row>
    <row r="74" spans="1:15">
      <c r="A74" s="104">
        <f t="shared" si="35"/>
        <v>65</v>
      </c>
      <c r="B74" s="99">
        <v>45414</v>
      </c>
      <c r="C74" s="105">
        <f t="shared" si="29"/>
        <v>70</v>
      </c>
      <c r="D74" s="101">
        <v>0.42000000000000004</v>
      </c>
      <c r="E74" s="101">
        <v>6.6953545000000645</v>
      </c>
      <c r="F74" s="102">
        <f t="shared" si="20"/>
        <v>6.6953545000000645E-3</v>
      </c>
      <c r="G74" s="100">
        <f t="shared" si="30"/>
        <v>1.5941320238095389E-2</v>
      </c>
      <c r="H74" s="100"/>
      <c r="I74" s="100"/>
      <c r="J74" s="100"/>
      <c r="L74" s="93">
        <f t="shared" si="34"/>
        <v>6.6953545000000645E-3</v>
      </c>
    </row>
    <row r="75" spans="1:15">
      <c r="A75" s="104">
        <f t="shared" si="35"/>
        <v>66</v>
      </c>
      <c r="B75" s="99">
        <v>45415</v>
      </c>
      <c r="C75" s="105">
        <f t="shared" si="29"/>
        <v>71</v>
      </c>
      <c r="D75" s="101">
        <v>0.42000000000000004</v>
      </c>
      <c r="E75" s="101">
        <v>6.7493609642855859</v>
      </c>
      <c r="F75" s="102">
        <f t="shared" si="20"/>
        <v>6.7493609642855857E-3</v>
      </c>
      <c r="G75" s="100">
        <f t="shared" si="30"/>
        <v>1.6069907057822821E-2</v>
      </c>
      <c r="H75" s="100"/>
      <c r="I75" s="100"/>
      <c r="J75" s="100"/>
      <c r="L75" s="93">
        <f t="shared" si="34"/>
        <v>6.7493609642855857E-3</v>
      </c>
    </row>
    <row r="76" spans="1:15">
      <c r="A76" s="104">
        <f t="shared" si="35"/>
        <v>67</v>
      </c>
      <c r="B76" s="99">
        <v>45416</v>
      </c>
      <c r="C76" s="105">
        <f t="shared" si="29"/>
        <v>72</v>
      </c>
      <c r="D76" s="101">
        <v>0.42000000000000004</v>
      </c>
      <c r="E76" s="101">
        <v>6.8033674285713914</v>
      </c>
      <c r="F76" s="102">
        <f t="shared" ref="F76:F100" si="36">E76/1000</f>
        <v>6.8033674285713913E-3</v>
      </c>
      <c r="G76" s="100">
        <f t="shared" ref="G76:G100" si="37">IF(AND(D76&gt;0,F76&gt;0),F76/D76,"")</f>
        <v>1.6198493877550929E-2</v>
      </c>
      <c r="H76" s="100"/>
      <c r="I76" s="100"/>
      <c r="J76" s="100"/>
      <c r="L76" s="93">
        <f t="shared" si="34"/>
        <v>6.8033674285713913E-3</v>
      </c>
      <c r="O76" s="125"/>
    </row>
    <row r="77" spans="1:15">
      <c r="A77" s="104">
        <f t="shared" si="35"/>
        <v>68</v>
      </c>
      <c r="B77" s="99">
        <v>45417</v>
      </c>
      <c r="C77" s="105">
        <f t="shared" si="29"/>
        <v>73</v>
      </c>
      <c r="D77" s="101">
        <v>0.42000000000000004</v>
      </c>
      <c r="E77" s="101">
        <v>6.857373892857197</v>
      </c>
      <c r="F77" s="102">
        <f t="shared" si="36"/>
        <v>6.857373892857197E-3</v>
      </c>
      <c r="G77" s="100">
        <f t="shared" si="37"/>
        <v>1.6327080697279037E-2</v>
      </c>
      <c r="H77" s="100"/>
      <c r="I77" s="100"/>
      <c r="J77" s="100"/>
      <c r="L77" s="93">
        <f t="shared" si="34"/>
        <v>6.857373892857197E-3</v>
      </c>
      <c r="O77" s="125"/>
    </row>
    <row r="78" spans="1:15">
      <c r="A78" s="104">
        <f t="shared" si="35"/>
        <v>69</v>
      </c>
      <c r="B78" s="99">
        <v>45418</v>
      </c>
      <c r="C78" s="105">
        <f t="shared" si="29"/>
        <v>74</v>
      </c>
      <c r="D78" s="101">
        <v>0.42000000000000004</v>
      </c>
      <c r="E78" s="101">
        <v>6.9113803571428889</v>
      </c>
      <c r="F78" s="102">
        <f t="shared" si="36"/>
        <v>6.911380357142889E-3</v>
      </c>
      <c r="G78" s="100">
        <f t="shared" si="37"/>
        <v>1.6455667517006878E-2</v>
      </c>
      <c r="H78" s="100"/>
      <c r="I78" s="100"/>
      <c r="J78" s="100"/>
      <c r="L78" s="93">
        <f t="shared" si="34"/>
        <v>6.911380357142889E-3</v>
      </c>
      <c r="O78" s="125"/>
    </row>
    <row r="79" spans="1:15">
      <c r="A79" s="104">
        <f t="shared" si="35"/>
        <v>70</v>
      </c>
      <c r="B79" s="99">
        <v>45419</v>
      </c>
      <c r="C79" s="105">
        <f t="shared" si="29"/>
        <v>75</v>
      </c>
      <c r="D79" s="101">
        <v>0.42000000000000004</v>
      </c>
      <c r="E79" s="101">
        <v>6.9653868214284671</v>
      </c>
      <c r="F79" s="102">
        <f t="shared" si="36"/>
        <v>6.9653868214284674E-3</v>
      </c>
      <c r="G79" s="100">
        <f t="shared" si="37"/>
        <v>1.6584254336734446E-2</v>
      </c>
      <c r="H79" s="100"/>
      <c r="I79" s="100"/>
      <c r="J79" s="100"/>
      <c r="L79" s="93">
        <f t="shared" si="34"/>
        <v>6.9653868214284674E-3</v>
      </c>
      <c r="O79" s="125"/>
    </row>
    <row r="80" spans="1:15">
      <c r="A80" s="104">
        <f t="shared" si="35"/>
        <v>71</v>
      </c>
      <c r="B80" s="99">
        <v>45420</v>
      </c>
      <c r="C80" s="105">
        <f t="shared" si="29"/>
        <v>76</v>
      </c>
      <c r="D80" s="101">
        <v>0.42600000000000005</v>
      </c>
      <c r="E80" s="101">
        <v>7.0193932857143295</v>
      </c>
      <c r="F80" s="102">
        <f t="shared" si="36"/>
        <v>7.0193932857143294E-3</v>
      </c>
      <c r="G80" s="100">
        <f t="shared" si="37"/>
        <v>1.6477449027498425E-2</v>
      </c>
      <c r="H80" s="100"/>
      <c r="I80" s="100"/>
      <c r="J80" s="100"/>
      <c r="L80" s="93">
        <f t="shared" si="34"/>
        <v>7.0193932857143294E-3</v>
      </c>
    </row>
    <row r="81" spans="1:12">
      <c r="A81" s="104">
        <f t="shared" si="35"/>
        <v>72</v>
      </c>
      <c r="B81" s="99">
        <v>45421</v>
      </c>
      <c r="C81" s="105">
        <f t="shared" si="29"/>
        <v>77</v>
      </c>
      <c r="D81" s="101">
        <v>0.42600000000000005</v>
      </c>
      <c r="E81" s="101">
        <v>7.0193932857143295</v>
      </c>
      <c r="F81" s="102">
        <f t="shared" si="36"/>
        <v>7.0193932857143294E-3</v>
      </c>
      <c r="G81" s="100">
        <f t="shared" si="37"/>
        <v>1.6477449027498425E-2</v>
      </c>
      <c r="H81" s="100"/>
      <c r="I81" s="100"/>
      <c r="J81" s="100"/>
      <c r="L81" s="93">
        <f t="shared" si="34"/>
        <v>7.0193932857143294E-3</v>
      </c>
    </row>
    <row r="82" spans="1:12">
      <c r="A82" s="104">
        <f t="shared" si="35"/>
        <v>73</v>
      </c>
      <c r="B82" s="99">
        <v>45422</v>
      </c>
      <c r="C82" s="105">
        <f t="shared" si="29"/>
        <v>78</v>
      </c>
      <c r="D82" s="101">
        <v>0.42600000000000005</v>
      </c>
      <c r="E82" s="101">
        <v>7.0733997499999077</v>
      </c>
      <c r="F82" s="102">
        <f t="shared" si="36"/>
        <v>7.0733997499999078E-3</v>
      </c>
      <c r="G82" s="100">
        <f t="shared" si="37"/>
        <v>1.6604224765257997E-2</v>
      </c>
      <c r="H82" s="100"/>
      <c r="I82" s="100"/>
      <c r="J82" s="100"/>
      <c r="L82" s="93">
        <f t="shared" si="34"/>
        <v>7.0733997499999078E-3</v>
      </c>
    </row>
    <row r="83" spans="1:12">
      <c r="A83" s="104">
        <f t="shared" si="35"/>
        <v>74</v>
      </c>
      <c r="B83" s="99">
        <v>45423</v>
      </c>
      <c r="C83" s="105">
        <f t="shared" si="29"/>
        <v>79</v>
      </c>
      <c r="D83" s="101">
        <v>0.42600000000000005</v>
      </c>
      <c r="E83" s="97">
        <v>7.1274062142856565</v>
      </c>
      <c r="F83" s="102">
        <f t="shared" si="36"/>
        <v>7.1274062142856563E-3</v>
      </c>
      <c r="G83" s="100">
        <f t="shared" si="37"/>
        <v>1.673100050301797E-2</v>
      </c>
      <c r="H83" s="120"/>
      <c r="I83" s="120"/>
      <c r="J83" s="120"/>
      <c r="L83" s="93">
        <f t="shared" si="34"/>
        <v>7.1274062142856563E-3</v>
      </c>
    </row>
    <row r="84" spans="1:12">
      <c r="A84" s="104">
        <f t="shared" si="35"/>
        <v>75</v>
      </c>
      <c r="B84" s="99">
        <v>45424</v>
      </c>
      <c r="C84" s="105">
        <f t="shared" si="29"/>
        <v>80</v>
      </c>
      <c r="D84" s="101">
        <v>0.42600000000000005</v>
      </c>
      <c r="E84" s="97">
        <v>7.1814126785714052</v>
      </c>
      <c r="F84" s="102">
        <f t="shared" si="36"/>
        <v>7.1814126785714055E-3</v>
      </c>
      <c r="G84" s="100">
        <f t="shared" si="37"/>
        <v>1.6857776240777944E-2</v>
      </c>
      <c r="H84" s="120"/>
      <c r="I84" s="120"/>
      <c r="J84" s="120"/>
      <c r="L84" s="93">
        <f t="shared" si="34"/>
        <v>7.1814126785714055E-3</v>
      </c>
    </row>
    <row r="85" spans="1:12">
      <c r="A85" s="104">
        <f t="shared" si="35"/>
        <v>76</v>
      </c>
      <c r="B85" s="99">
        <v>45425</v>
      </c>
      <c r="C85" s="105">
        <f t="shared" si="29"/>
        <v>81</v>
      </c>
      <c r="D85" s="101">
        <v>0.42600000000000005</v>
      </c>
      <c r="E85" s="97">
        <v>7.2354191428570971</v>
      </c>
      <c r="F85" s="102">
        <f t="shared" si="36"/>
        <v>7.2354191428570967E-3</v>
      </c>
      <c r="G85" s="100">
        <f t="shared" si="37"/>
        <v>1.6984551978537783E-2</v>
      </c>
      <c r="H85" s="120"/>
      <c r="I85" s="120"/>
      <c r="J85" s="120"/>
      <c r="L85" s="93">
        <f t="shared" si="34"/>
        <v>7.2354191428570967E-3</v>
      </c>
    </row>
    <row r="86" spans="1:12">
      <c r="A86" s="104">
        <f t="shared" si="35"/>
        <v>77</v>
      </c>
      <c r="B86" s="99">
        <v>45426</v>
      </c>
      <c r="C86" s="105">
        <f t="shared" si="29"/>
        <v>82</v>
      </c>
      <c r="D86" s="101">
        <v>0.42600000000000005</v>
      </c>
      <c r="E86" s="97">
        <v>7.289425607142789</v>
      </c>
      <c r="F86" s="102">
        <f t="shared" si="36"/>
        <v>7.2894256071427887E-3</v>
      </c>
      <c r="G86" s="100">
        <f t="shared" si="37"/>
        <v>1.7111327716297624E-2</v>
      </c>
      <c r="H86" s="120"/>
      <c r="I86" s="120"/>
      <c r="J86" s="120"/>
      <c r="L86" s="93">
        <f t="shared" si="34"/>
        <v>7.2894256071427887E-3</v>
      </c>
    </row>
    <row r="87" spans="1:12">
      <c r="A87" s="104">
        <f t="shared" si="35"/>
        <v>78</v>
      </c>
      <c r="B87" s="99">
        <v>45427</v>
      </c>
      <c r="C87" s="105">
        <f t="shared" si="29"/>
        <v>83</v>
      </c>
      <c r="D87" s="97">
        <v>0.43000000000000005</v>
      </c>
      <c r="E87" s="97">
        <v>7.3434320714285377</v>
      </c>
      <c r="F87" s="102">
        <f t="shared" si="36"/>
        <v>7.343432071428538E-3</v>
      </c>
      <c r="G87" s="100">
        <f t="shared" si="37"/>
        <v>1.7077749003322179E-2</v>
      </c>
      <c r="H87" s="120"/>
      <c r="I87" s="120"/>
      <c r="J87" s="120"/>
      <c r="L87" s="93">
        <f t="shared" si="34"/>
        <v>7.343432071428538E-3</v>
      </c>
    </row>
    <row r="88" spans="1:12">
      <c r="A88" s="104">
        <f t="shared" si="35"/>
        <v>79</v>
      </c>
      <c r="B88" s="99">
        <v>45428</v>
      </c>
      <c r="C88" s="105">
        <f t="shared" si="29"/>
        <v>84</v>
      </c>
      <c r="D88" s="97">
        <v>0.43000000000000005</v>
      </c>
      <c r="E88" s="97">
        <v>7.424441767857104</v>
      </c>
      <c r="F88" s="102">
        <f t="shared" si="36"/>
        <v>7.4244417678571038E-3</v>
      </c>
      <c r="G88" s="100">
        <f t="shared" si="37"/>
        <v>1.7266143646179309E-2</v>
      </c>
      <c r="H88" s="120"/>
      <c r="I88" s="120"/>
      <c r="J88" s="120"/>
      <c r="L88" s="93">
        <f t="shared" si="34"/>
        <v>7.4244417678571038E-3</v>
      </c>
    </row>
    <row r="89" spans="1:12">
      <c r="A89" s="104">
        <f t="shared" si="35"/>
        <v>80</v>
      </c>
      <c r="B89" s="99">
        <v>45429</v>
      </c>
      <c r="C89" s="105">
        <f t="shared" si="29"/>
        <v>85</v>
      </c>
      <c r="D89" s="97">
        <v>0.43000000000000005</v>
      </c>
      <c r="E89" s="97">
        <v>7.5054514642856702</v>
      </c>
      <c r="F89" s="102">
        <f t="shared" si="36"/>
        <v>7.5054514642856705E-3</v>
      </c>
      <c r="G89" s="100">
        <f t="shared" si="37"/>
        <v>1.7454538289036439E-2</v>
      </c>
      <c r="H89" s="120"/>
      <c r="I89" s="120"/>
      <c r="J89" s="120"/>
      <c r="L89" s="93">
        <f t="shared" si="34"/>
        <v>7.5054514642856705E-3</v>
      </c>
    </row>
    <row r="90" spans="1:12">
      <c r="A90" s="104">
        <f t="shared" si="35"/>
        <v>81</v>
      </c>
      <c r="B90" s="99">
        <v>45430</v>
      </c>
      <c r="C90" s="105">
        <f t="shared" si="29"/>
        <v>86</v>
      </c>
      <c r="D90" s="97">
        <v>0.43000000000000005</v>
      </c>
      <c r="E90" s="97">
        <v>7.563315533163177</v>
      </c>
      <c r="F90" s="102">
        <f t="shared" si="36"/>
        <v>7.5633155331631769E-3</v>
      </c>
      <c r="G90" s="100">
        <f t="shared" si="37"/>
        <v>1.7589105891077154E-2</v>
      </c>
      <c r="H90" s="120"/>
      <c r="I90" s="120"/>
      <c r="J90" s="120"/>
      <c r="L90" s="93">
        <f t="shared" si="34"/>
        <v>7.5633155331631769E-3</v>
      </c>
    </row>
    <row r="91" spans="1:12">
      <c r="A91" s="104">
        <f t="shared" si="35"/>
        <v>82</v>
      </c>
      <c r="B91" s="99">
        <v>45431</v>
      </c>
      <c r="C91" s="105">
        <f t="shared" si="29"/>
        <v>87</v>
      </c>
      <c r="D91" s="97">
        <v>0.43000000000000005</v>
      </c>
      <c r="E91" s="97">
        <v>7.6211796020408542</v>
      </c>
      <c r="F91" s="102">
        <f t="shared" si="36"/>
        <v>7.6211796020408543E-3</v>
      </c>
      <c r="G91" s="100">
        <f t="shared" si="37"/>
        <v>1.7723673493118264E-2</v>
      </c>
      <c r="H91" s="120"/>
      <c r="I91" s="120"/>
      <c r="J91" s="120"/>
      <c r="L91" s="93">
        <f t="shared" si="34"/>
        <v>7.6211796020408543E-3</v>
      </c>
    </row>
    <row r="92" spans="1:12">
      <c r="A92" s="104">
        <f t="shared" si="35"/>
        <v>83</v>
      </c>
      <c r="B92" s="99">
        <v>45432</v>
      </c>
      <c r="C92" s="105">
        <f t="shared" si="29"/>
        <v>88</v>
      </c>
      <c r="D92" s="97">
        <v>0.43000000000000005</v>
      </c>
      <c r="E92" s="97">
        <v>7.6790436709183041</v>
      </c>
      <c r="F92" s="102">
        <f t="shared" si="36"/>
        <v>7.6790436709183044E-3</v>
      </c>
      <c r="G92" s="100">
        <f t="shared" si="37"/>
        <v>1.7858241095158846E-2</v>
      </c>
      <c r="H92" s="120"/>
      <c r="I92" s="120"/>
      <c r="J92" s="120"/>
      <c r="L92" s="93">
        <f t="shared" si="34"/>
        <v>7.6790436709183044E-3</v>
      </c>
    </row>
    <row r="93" spans="1:12">
      <c r="A93" s="104">
        <f t="shared" si="35"/>
        <v>84</v>
      </c>
      <c r="B93" s="99">
        <v>45433</v>
      </c>
      <c r="C93" s="105">
        <f t="shared" si="29"/>
        <v>89</v>
      </c>
      <c r="D93" s="97">
        <v>0.43000000000000005</v>
      </c>
      <c r="E93" s="97">
        <v>7.7369077397959245</v>
      </c>
      <c r="F93" s="102">
        <f t="shared" si="36"/>
        <v>7.7369077397959245E-3</v>
      </c>
      <c r="G93" s="100">
        <f t="shared" si="37"/>
        <v>1.7992808697199821E-2</v>
      </c>
      <c r="H93" s="120"/>
      <c r="I93" s="120"/>
      <c r="J93" s="120"/>
      <c r="L93" s="93">
        <f t="shared" si="34"/>
        <v>7.7369077397959245E-3</v>
      </c>
    </row>
    <row r="94" spans="1:12">
      <c r="A94" s="104">
        <f t="shared" si="35"/>
        <v>85</v>
      </c>
      <c r="B94" s="99">
        <v>45434</v>
      </c>
      <c r="C94" s="105">
        <f t="shared" si="29"/>
        <v>90</v>
      </c>
      <c r="D94" s="97">
        <v>0.43200000000000005</v>
      </c>
      <c r="E94" s="97">
        <v>7.7947718086734312</v>
      </c>
      <c r="F94" s="102">
        <f t="shared" si="36"/>
        <v>7.794771808673431E-3</v>
      </c>
      <c r="G94" s="100">
        <f t="shared" si="37"/>
        <v>1.8043453260818125E-2</v>
      </c>
      <c r="H94" s="120"/>
      <c r="I94" s="120"/>
      <c r="J94" s="120"/>
      <c r="L94" s="93">
        <f t="shared" si="34"/>
        <v>7.794771808673431E-3</v>
      </c>
    </row>
    <row r="95" spans="1:12">
      <c r="A95" s="104">
        <f t="shared" si="35"/>
        <v>86</v>
      </c>
      <c r="B95" s="99">
        <v>45435</v>
      </c>
      <c r="C95" s="105">
        <f t="shared" si="29"/>
        <v>91</v>
      </c>
      <c r="D95" s="97">
        <v>0.43200000000000005</v>
      </c>
      <c r="E95" s="97">
        <v>7.8526358775510516</v>
      </c>
      <c r="F95" s="102">
        <f t="shared" si="36"/>
        <v>7.8526358775510511E-3</v>
      </c>
      <c r="G95" s="100">
        <f t="shared" si="37"/>
        <v>1.8177397864701506E-2</v>
      </c>
      <c r="H95" s="120"/>
      <c r="I95" s="120"/>
      <c r="J95" s="120"/>
      <c r="L95" s="93">
        <f t="shared" si="34"/>
        <v>7.8526358775510511E-3</v>
      </c>
    </row>
    <row r="96" spans="1:12">
      <c r="A96" s="104">
        <f t="shared" si="35"/>
        <v>87</v>
      </c>
      <c r="B96" s="99">
        <v>45436</v>
      </c>
      <c r="C96" s="105">
        <f t="shared" si="29"/>
        <v>92</v>
      </c>
      <c r="D96" s="97">
        <v>0.43200000000000005</v>
      </c>
      <c r="E96" s="97">
        <v>7.9270462431971396</v>
      </c>
      <c r="F96" s="102">
        <f t="shared" si="36"/>
        <v>7.9270462431971396E-3</v>
      </c>
      <c r="G96" s="100">
        <f t="shared" si="37"/>
        <v>1.8349644081474856E-2</v>
      </c>
      <c r="H96" s="120"/>
      <c r="I96" s="120"/>
      <c r="J96" s="120"/>
      <c r="L96" s="93">
        <f t="shared" si="34"/>
        <v>7.9270462431971396E-3</v>
      </c>
    </row>
    <row r="97" spans="1:12">
      <c r="A97" s="104">
        <f t="shared" si="35"/>
        <v>88</v>
      </c>
      <c r="B97" s="99">
        <v>45437</v>
      </c>
      <c r="C97" s="105">
        <f t="shared" si="29"/>
        <v>93</v>
      </c>
      <c r="D97" s="97">
        <v>0.43200000000000005</v>
      </c>
      <c r="E97" s="97">
        <v>7.9940813792516678</v>
      </c>
      <c r="F97" s="102">
        <f t="shared" si="36"/>
        <v>7.9940813792516684E-3</v>
      </c>
      <c r="G97" s="100">
        <f t="shared" si="37"/>
        <v>1.850481800752701E-2</v>
      </c>
      <c r="H97" s="120"/>
      <c r="I97" s="120"/>
      <c r="J97" s="120"/>
      <c r="L97" s="93">
        <f t="shared" si="34"/>
        <v>7.9940813792516684E-3</v>
      </c>
    </row>
    <row r="98" spans="1:12">
      <c r="A98" s="104">
        <f t="shared" si="35"/>
        <v>89</v>
      </c>
      <c r="B98" s="99">
        <v>45438</v>
      </c>
      <c r="C98" s="105">
        <f t="shared" si="29"/>
        <v>94</v>
      </c>
      <c r="D98" s="97">
        <v>0.43200000000000005</v>
      </c>
      <c r="E98" s="97">
        <v>8.0583747891155895</v>
      </c>
      <c r="F98" s="102">
        <f t="shared" si="36"/>
        <v>8.0583747891155889E-3</v>
      </c>
      <c r="G98" s="100">
        <f t="shared" si="37"/>
        <v>1.8653645345174972E-2</v>
      </c>
      <c r="H98" s="120"/>
      <c r="I98" s="120"/>
      <c r="J98" s="120"/>
      <c r="L98" s="93">
        <f t="shared" si="34"/>
        <v>8.0583747891155889E-3</v>
      </c>
    </row>
    <row r="99" spans="1:12">
      <c r="A99" s="104">
        <f t="shared" si="35"/>
        <v>90</v>
      </c>
      <c r="B99" s="99">
        <v>45439</v>
      </c>
      <c r="C99" s="105">
        <f t="shared" si="29"/>
        <v>95</v>
      </c>
      <c r="D99" s="97">
        <v>0.43200000000000005</v>
      </c>
      <c r="E99" s="97">
        <v>8.1226681989795111</v>
      </c>
      <c r="F99" s="102">
        <f t="shared" si="36"/>
        <v>8.1226681989795112E-3</v>
      </c>
      <c r="G99" s="100">
        <f t="shared" si="37"/>
        <v>1.8802472682822941E-2</v>
      </c>
      <c r="H99" s="120"/>
      <c r="I99" s="120"/>
      <c r="J99" s="120"/>
      <c r="L99" s="93">
        <f t="shared" si="34"/>
        <v>8.1226681989795112E-3</v>
      </c>
    </row>
    <row r="100" spans="1:12">
      <c r="A100" s="104">
        <f t="shared" si="35"/>
        <v>91</v>
      </c>
      <c r="B100" s="99">
        <v>45440</v>
      </c>
      <c r="C100" s="105">
        <f t="shared" si="29"/>
        <v>96</v>
      </c>
      <c r="D100" s="97">
        <v>0.43200000000000005</v>
      </c>
      <c r="E100" s="97">
        <v>8.1869616088434327</v>
      </c>
      <c r="F100" s="102">
        <f t="shared" si="36"/>
        <v>8.1869616088434335E-3</v>
      </c>
      <c r="G100" s="100">
        <f t="shared" si="37"/>
        <v>1.895130002047091E-2</v>
      </c>
      <c r="H100" s="120"/>
      <c r="I100" s="120"/>
      <c r="J100" s="120"/>
      <c r="L100" s="93">
        <f t="shared" si="34"/>
        <v>8.1869616088434335E-3</v>
      </c>
    </row>
    <row r="101" spans="1:12">
      <c r="A101" s="104"/>
      <c r="B101" s="99"/>
      <c r="C101" s="105"/>
      <c r="D101" s="120"/>
      <c r="E101" s="120"/>
      <c r="F101" s="120"/>
      <c r="G101" s="120"/>
      <c r="H101" s="120"/>
      <c r="I101" s="120"/>
      <c r="J101" s="120"/>
      <c r="L101" s="93">
        <f t="shared" si="34"/>
        <v>0</v>
      </c>
    </row>
    <row r="102" spans="1:12">
      <c r="A102" s="104"/>
      <c r="B102" s="99"/>
      <c r="C102" s="105"/>
      <c r="D102" s="120"/>
      <c r="E102" s="120"/>
      <c r="F102" s="120"/>
      <c r="G102" s="120"/>
      <c r="H102" s="120"/>
      <c r="I102" s="120"/>
      <c r="J102" s="120"/>
      <c r="L102" s="93">
        <f t="shared" si="34"/>
        <v>0</v>
      </c>
    </row>
    <row r="103" spans="1:12">
      <c r="A103" s="104"/>
      <c r="B103" s="99"/>
      <c r="C103" s="105"/>
      <c r="D103" s="120"/>
      <c r="E103" s="120"/>
      <c r="F103" s="120"/>
      <c r="G103" s="120"/>
      <c r="H103" s="120"/>
      <c r="I103" s="120"/>
      <c r="J103" s="120"/>
      <c r="L103" s="93">
        <f t="shared" si="34"/>
        <v>0</v>
      </c>
    </row>
    <row r="104" spans="1:12">
      <c r="A104" s="104"/>
      <c r="B104" s="126"/>
      <c r="C104" s="105"/>
      <c r="D104" s="114"/>
      <c r="E104" s="120"/>
      <c r="F104" s="120"/>
      <c r="G104" s="120"/>
      <c r="H104" s="120"/>
      <c r="I104" s="120"/>
      <c r="J104" s="120"/>
    </row>
    <row r="105" spans="1:12">
      <c r="A105" s="104"/>
      <c r="B105" s="126"/>
      <c r="C105" s="105"/>
      <c r="D105" s="114"/>
      <c r="E105" s="120"/>
      <c r="F105" s="120"/>
      <c r="G105" s="120"/>
      <c r="H105" s="120"/>
      <c r="I105" s="120"/>
      <c r="J105" s="120"/>
    </row>
    <row r="106" spans="1:12">
      <c r="A106" s="104"/>
      <c r="B106" s="126"/>
      <c r="C106" s="105"/>
      <c r="D106" s="114"/>
      <c r="E106" s="120"/>
      <c r="F106" s="120"/>
      <c r="G106" s="120"/>
      <c r="H106" s="120"/>
      <c r="I106" s="120"/>
      <c r="J106" s="120"/>
    </row>
    <row r="107" spans="1:12">
      <c r="A107" s="104"/>
      <c r="B107" s="126"/>
      <c r="C107" s="105"/>
      <c r="D107" s="114"/>
      <c r="E107" s="120"/>
      <c r="F107" s="120"/>
      <c r="G107" s="120"/>
      <c r="H107" s="120"/>
      <c r="I107" s="120"/>
      <c r="J107" s="120"/>
    </row>
    <row r="108" spans="1:12">
      <c r="A108" s="104"/>
      <c r="B108" s="126"/>
      <c r="C108" s="105"/>
      <c r="D108" s="127"/>
      <c r="E108" s="120"/>
      <c r="F108" s="120"/>
      <c r="G108" s="105"/>
      <c r="H108" s="105"/>
      <c r="I108" s="105"/>
      <c r="J108" s="105"/>
    </row>
    <row r="109" spans="1:12">
      <c r="A109" s="104"/>
      <c r="B109" s="126"/>
      <c r="C109" s="105"/>
      <c r="D109" s="127"/>
      <c r="E109" s="120"/>
      <c r="F109" s="120"/>
      <c r="G109" s="105"/>
      <c r="H109" s="105"/>
      <c r="I109" s="105"/>
      <c r="J109" s="105"/>
    </row>
    <row r="110" spans="1:12">
      <c r="A110" s="104"/>
      <c r="B110" s="126"/>
      <c r="C110" s="105"/>
      <c r="D110" s="127"/>
      <c r="E110" s="120"/>
      <c r="F110" s="120"/>
      <c r="G110" s="105"/>
      <c r="H110" s="105"/>
      <c r="I110" s="105"/>
      <c r="J110" s="105"/>
    </row>
    <row r="111" spans="1:12">
      <c r="A111" s="104"/>
      <c r="B111" s="126"/>
      <c r="C111" s="105"/>
      <c r="D111" s="127"/>
      <c r="E111" s="120"/>
      <c r="F111" s="120"/>
      <c r="G111" s="105"/>
      <c r="H111" s="105"/>
      <c r="I111" s="105"/>
      <c r="J111" s="105"/>
    </row>
    <row r="112" spans="1:12">
      <c r="A112" s="104"/>
      <c r="B112" s="126"/>
      <c r="C112" s="105"/>
      <c r="D112" s="127"/>
      <c r="E112" s="120"/>
      <c r="F112" s="120"/>
      <c r="G112" s="105"/>
      <c r="H112" s="105"/>
      <c r="I112" s="105"/>
      <c r="J112" s="105"/>
    </row>
    <row r="113" spans="1:10">
      <c r="A113" s="98"/>
      <c r="B113" s="99"/>
      <c r="C113" s="100"/>
      <c r="D113" s="101"/>
      <c r="E113" s="102"/>
      <c r="F113" s="102"/>
      <c r="G113" s="100"/>
      <c r="H113" s="100"/>
      <c r="I113" s="100"/>
      <c r="J113" s="100"/>
    </row>
    <row r="114" spans="1:10">
      <c r="A114" s="98"/>
      <c r="B114" s="99"/>
      <c r="C114" s="100"/>
      <c r="D114" s="101"/>
      <c r="E114" s="102"/>
      <c r="F114" s="102"/>
      <c r="G114" s="100"/>
      <c r="H114" s="100"/>
      <c r="I114" s="100"/>
      <c r="J114" s="100"/>
    </row>
    <row r="115" spans="1:10">
      <c r="A115" s="98"/>
      <c r="B115" s="99"/>
      <c r="C115" s="100"/>
      <c r="D115" s="101"/>
      <c r="E115" s="102"/>
      <c r="F115" s="102"/>
      <c r="G115" s="100"/>
      <c r="H115" s="100"/>
      <c r="I115" s="100"/>
      <c r="J115" s="100"/>
    </row>
    <row r="116" spans="1:10">
      <c r="A116" s="98"/>
      <c r="B116" s="99"/>
      <c r="C116" s="100"/>
      <c r="D116" s="101"/>
      <c r="E116" s="102"/>
      <c r="F116" s="102"/>
      <c r="G116" s="100"/>
      <c r="H116" s="100"/>
      <c r="I116" s="100"/>
      <c r="J116" s="100"/>
    </row>
    <row r="117" spans="1:10">
      <c r="A117" s="98"/>
      <c r="B117" s="99"/>
      <c r="C117" s="100"/>
      <c r="D117" s="101"/>
      <c r="E117" s="102"/>
      <c r="F117" s="102"/>
      <c r="G117" s="100"/>
      <c r="H117" s="100"/>
      <c r="I117" s="100"/>
      <c r="J117" s="100"/>
    </row>
    <row r="118" spans="1:10">
      <c r="A118" s="98"/>
      <c r="B118" s="99"/>
      <c r="C118" s="100"/>
      <c r="D118" s="101"/>
      <c r="E118" s="102"/>
      <c r="F118" s="102"/>
      <c r="G118" s="100"/>
      <c r="H118" s="100"/>
      <c r="I118" s="100"/>
      <c r="J118" s="100"/>
    </row>
    <row r="119" spans="1:10">
      <c r="A119" s="98"/>
      <c r="B119" s="99"/>
      <c r="C119" s="100"/>
      <c r="D119" s="101"/>
      <c r="E119" s="102"/>
      <c r="F119" s="102"/>
      <c r="G119" s="100"/>
      <c r="H119" s="100"/>
      <c r="I119" s="100"/>
      <c r="J119" s="100"/>
    </row>
    <row r="120" spans="1:10">
      <c r="A120" s="104"/>
      <c r="B120" s="99"/>
      <c r="C120" s="100"/>
      <c r="D120" s="101"/>
      <c r="E120" s="102"/>
      <c r="F120" s="102"/>
      <c r="G120" s="100"/>
      <c r="H120" s="100"/>
      <c r="I120" s="100"/>
      <c r="J120" s="100"/>
    </row>
    <row r="121" spans="1:10">
      <c r="A121" s="104"/>
      <c r="B121" s="99"/>
      <c r="C121" s="100"/>
      <c r="D121" s="101"/>
      <c r="E121" s="102"/>
      <c r="F121" s="102"/>
      <c r="G121" s="100"/>
      <c r="H121" s="100"/>
      <c r="I121" s="100"/>
      <c r="J121" s="100"/>
    </row>
    <row r="122" spans="1:10">
      <c r="A122" s="104"/>
      <c r="B122" s="99"/>
      <c r="C122" s="100"/>
      <c r="D122" s="101"/>
      <c r="E122" s="102"/>
      <c r="F122" s="102"/>
      <c r="G122" s="100"/>
      <c r="H122" s="100"/>
      <c r="I122" s="100"/>
      <c r="J122" s="100"/>
    </row>
    <row r="123" spans="1:10">
      <c r="A123" s="104"/>
      <c r="B123" s="99"/>
      <c r="C123" s="100"/>
      <c r="D123" s="101"/>
      <c r="E123" s="102"/>
      <c r="F123" s="102"/>
      <c r="G123" s="100"/>
      <c r="H123" s="100"/>
      <c r="I123" s="100"/>
      <c r="J123" s="100"/>
    </row>
    <row r="124" spans="1:10">
      <c r="A124" s="104"/>
      <c r="B124" s="99"/>
      <c r="C124" s="100"/>
      <c r="D124" s="102"/>
      <c r="E124" s="102"/>
      <c r="F124" s="102"/>
      <c r="G124" s="102"/>
      <c r="H124" s="102"/>
      <c r="I124" s="102"/>
      <c r="J124" s="102"/>
    </row>
    <row r="125" spans="1:10">
      <c r="A125" s="104"/>
      <c r="B125" s="99"/>
      <c r="C125" s="100"/>
      <c r="D125" s="102"/>
      <c r="E125" s="102"/>
      <c r="F125" s="102"/>
      <c r="G125" s="102"/>
      <c r="H125" s="102"/>
      <c r="I125" s="102"/>
      <c r="J125" s="102"/>
    </row>
    <row r="126" spans="1:10">
      <c r="A126" s="104"/>
      <c r="B126" s="99"/>
      <c r="C126" s="100"/>
      <c r="D126" s="102"/>
      <c r="E126" s="102"/>
      <c r="F126" s="102"/>
      <c r="G126" s="102"/>
      <c r="H126" s="102"/>
      <c r="I126" s="102"/>
      <c r="J126" s="102"/>
    </row>
    <row r="127" spans="1:10">
      <c r="A127" s="104"/>
      <c r="B127" s="99"/>
      <c r="C127" s="100"/>
      <c r="D127" s="102"/>
      <c r="E127" s="102"/>
      <c r="F127" s="102"/>
      <c r="G127" s="102"/>
      <c r="H127" s="102"/>
      <c r="I127" s="102"/>
      <c r="J127" s="102"/>
    </row>
    <row r="128" spans="1:10">
      <c r="A128" s="104"/>
      <c r="B128" s="99"/>
      <c r="C128" s="100"/>
      <c r="D128" s="101"/>
      <c r="E128" s="102"/>
      <c r="F128" s="102"/>
      <c r="G128" s="100"/>
      <c r="H128" s="100"/>
      <c r="I128" s="100"/>
      <c r="J128" s="100"/>
    </row>
    <row r="129" spans="1:10">
      <c r="A129" s="104"/>
      <c r="B129" s="99"/>
      <c r="C129" s="100"/>
      <c r="D129" s="101"/>
      <c r="E129" s="102"/>
      <c r="F129" s="102"/>
      <c r="G129" s="100"/>
      <c r="H129" s="100"/>
      <c r="I129" s="100"/>
      <c r="J129" s="100"/>
    </row>
    <row r="130" spans="1:10">
      <c r="A130" s="104"/>
      <c r="B130" s="99"/>
      <c r="C130" s="100"/>
      <c r="D130" s="101"/>
      <c r="E130" s="102"/>
      <c r="F130" s="102"/>
      <c r="G130" s="100"/>
      <c r="H130" s="100"/>
      <c r="I130" s="100"/>
      <c r="J130" s="100"/>
    </row>
    <row r="131" spans="1:10">
      <c r="A131" s="104"/>
      <c r="B131" s="99"/>
      <c r="C131" s="100"/>
      <c r="D131" s="101"/>
      <c r="E131" s="102"/>
      <c r="F131" s="102"/>
      <c r="G131" s="100"/>
      <c r="H131" s="100"/>
      <c r="I131" s="100"/>
      <c r="J131" s="100"/>
    </row>
    <row r="132" spans="1:10">
      <c r="A132" s="104"/>
      <c r="B132" s="99"/>
      <c r="C132" s="100"/>
      <c r="D132" s="101"/>
      <c r="E132" s="102"/>
      <c r="F132" s="102"/>
      <c r="G132" s="100"/>
      <c r="H132" s="100"/>
      <c r="I132" s="100"/>
      <c r="J132" s="100"/>
    </row>
    <row r="133" spans="1:10">
      <c r="A133" s="104"/>
      <c r="B133" s="99"/>
      <c r="C133" s="100"/>
      <c r="D133" s="101"/>
      <c r="E133" s="102"/>
      <c r="F133" s="102"/>
      <c r="G133" s="100"/>
      <c r="H133" s="100"/>
      <c r="I133" s="100"/>
      <c r="J133" s="100"/>
    </row>
    <row r="134" spans="1:10">
      <c r="A134" s="104"/>
      <c r="B134" s="99"/>
      <c r="C134" s="100"/>
      <c r="D134" s="101"/>
      <c r="E134" s="102"/>
      <c r="F134" s="102"/>
      <c r="G134" s="100"/>
      <c r="H134" s="100"/>
      <c r="I134" s="100"/>
      <c r="J134" s="100"/>
    </row>
    <row r="135" spans="1:10">
      <c r="A135" s="104"/>
      <c r="B135" s="99"/>
      <c r="C135" s="100"/>
      <c r="D135" s="101"/>
      <c r="E135" s="102"/>
      <c r="F135" s="102"/>
      <c r="G135" s="100"/>
      <c r="H135" s="100"/>
      <c r="I135" s="100"/>
      <c r="J135" s="100"/>
    </row>
    <row r="136" spans="1:10">
      <c r="A136" s="104"/>
      <c r="B136" s="99"/>
      <c r="C136" s="100"/>
      <c r="D136" s="101"/>
      <c r="E136" s="102"/>
      <c r="F136" s="102"/>
      <c r="G136" s="100"/>
      <c r="H136" s="100"/>
      <c r="I136" s="100"/>
      <c r="J136" s="100"/>
    </row>
    <row r="137" spans="1:10">
      <c r="A137" s="104"/>
      <c r="B137" s="99"/>
      <c r="C137" s="100"/>
      <c r="D137" s="101"/>
      <c r="E137" s="102"/>
      <c r="F137" s="102"/>
      <c r="G137" s="100"/>
      <c r="H137" s="100"/>
      <c r="I137" s="100"/>
      <c r="J137" s="100"/>
    </row>
    <row r="138" spans="1:10">
      <c r="A138" s="104"/>
      <c r="B138" s="99"/>
      <c r="C138" s="100"/>
      <c r="D138" s="101"/>
      <c r="E138" s="102"/>
      <c r="F138" s="102"/>
      <c r="G138" s="100"/>
      <c r="H138" s="100"/>
      <c r="I138" s="100"/>
      <c r="J138" s="100"/>
    </row>
    <row r="139" spans="1:10">
      <c r="A139" s="104">
        <f t="shared" ref="A139:A199" si="38">A138+1</f>
        <v>1</v>
      </c>
      <c r="B139" s="99"/>
    </row>
    <row r="140" spans="1:10">
      <c r="A140" s="104">
        <f t="shared" si="38"/>
        <v>2</v>
      </c>
      <c r="B140" s="119"/>
    </row>
    <row r="141" spans="1:10">
      <c r="A141" s="104">
        <f t="shared" si="38"/>
        <v>3</v>
      </c>
      <c r="B141" s="119"/>
    </row>
    <row r="142" spans="1:10">
      <c r="A142" s="104">
        <f t="shared" si="38"/>
        <v>4</v>
      </c>
      <c r="B142" s="119"/>
    </row>
    <row r="143" spans="1:10">
      <c r="A143" s="104">
        <f t="shared" si="38"/>
        <v>5</v>
      </c>
      <c r="B143" s="119"/>
    </row>
    <row r="144" spans="1:10">
      <c r="A144" s="104">
        <f t="shared" si="38"/>
        <v>6</v>
      </c>
      <c r="B144" s="119"/>
    </row>
    <row r="145" spans="1:23">
      <c r="A145" s="104">
        <f t="shared" si="38"/>
        <v>7</v>
      </c>
      <c r="B145" s="119"/>
      <c r="O145" s="99"/>
      <c r="P145" s="100"/>
      <c r="Q145" s="101"/>
      <c r="R145" s="102"/>
      <c r="S145" s="100"/>
      <c r="T145" s="100"/>
      <c r="U145" s="100"/>
      <c r="V145" s="100"/>
      <c r="W145" s="100"/>
    </row>
    <row r="146" spans="1:23">
      <c r="A146" s="104">
        <f t="shared" si="38"/>
        <v>8</v>
      </c>
      <c r="B146" s="119"/>
      <c r="O146" s="99"/>
      <c r="P146" s="100"/>
      <c r="Q146" s="101"/>
      <c r="R146" s="102"/>
      <c r="S146" s="100"/>
      <c r="T146" s="100"/>
      <c r="U146" s="100"/>
      <c r="V146" s="100"/>
      <c r="W146" s="100"/>
    </row>
    <row r="147" spans="1:23">
      <c r="A147" s="104">
        <f t="shared" si="38"/>
        <v>9</v>
      </c>
      <c r="B147" s="119"/>
      <c r="O147" s="99"/>
      <c r="P147" s="100"/>
      <c r="Q147" s="101"/>
      <c r="R147" s="102"/>
      <c r="S147" s="100"/>
      <c r="T147" s="100"/>
      <c r="U147" s="100"/>
      <c r="V147" s="100"/>
      <c r="W147" s="100"/>
    </row>
    <row r="148" spans="1:23">
      <c r="A148" s="104">
        <f t="shared" si="38"/>
        <v>10</v>
      </c>
      <c r="B148" s="119"/>
      <c r="O148" s="99"/>
      <c r="P148" s="100"/>
      <c r="Q148" s="101"/>
      <c r="R148" s="102"/>
      <c r="S148" s="100"/>
      <c r="T148" s="100"/>
      <c r="U148" s="100"/>
      <c r="V148" s="100"/>
      <c r="W148" s="100"/>
    </row>
    <row r="149" spans="1:23">
      <c r="A149" s="104">
        <f t="shared" si="38"/>
        <v>11</v>
      </c>
      <c r="B149" s="119"/>
    </row>
    <row r="150" spans="1:23">
      <c r="A150" s="104">
        <f t="shared" si="38"/>
        <v>12</v>
      </c>
      <c r="B150" s="119"/>
    </row>
    <row r="151" spans="1:23">
      <c r="A151" s="104">
        <f t="shared" si="38"/>
        <v>13</v>
      </c>
      <c r="B151" s="119"/>
    </row>
    <row r="152" spans="1:23">
      <c r="A152" s="104">
        <f t="shared" si="38"/>
        <v>14</v>
      </c>
      <c r="B152" s="119"/>
    </row>
    <row r="153" spans="1:23">
      <c r="A153" s="104">
        <f t="shared" si="38"/>
        <v>15</v>
      </c>
      <c r="B153" s="119"/>
    </row>
    <row r="154" spans="1:23">
      <c r="A154" s="104">
        <f t="shared" si="38"/>
        <v>16</v>
      </c>
      <c r="B154" s="119"/>
    </row>
    <row r="155" spans="1:23">
      <c r="A155" s="104">
        <f t="shared" si="38"/>
        <v>17</v>
      </c>
      <c r="B155" s="119"/>
    </row>
    <row r="156" spans="1:23">
      <c r="A156" s="104">
        <f t="shared" si="38"/>
        <v>18</v>
      </c>
      <c r="B156" s="119"/>
    </row>
    <row r="157" spans="1:23">
      <c r="A157" s="104">
        <f t="shared" si="38"/>
        <v>19</v>
      </c>
      <c r="B157" s="119"/>
    </row>
    <row r="158" spans="1:23">
      <c r="A158" s="104">
        <f t="shared" si="38"/>
        <v>20</v>
      </c>
      <c r="B158" s="119"/>
    </row>
    <row r="159" spans="1:23">
      <c r="A159" s="104">
        <f t="shared" si="38"/>
        <v>21</v>
      </c>
      <c r="B159" s="119"/>
    </row>
    <row r="160" spans="1:23">
      <c r="A160" s="104">
        <f t="shared" si="38"/>
        <v>22</v>
      </c>
      <c r="B160" s="119"/>
    </row>
    <row r="161" spans="1:2">
      <c r="A161" s="104">
        <f t="shared" si="38"/>
        <v>23</v>
      </c>
      <c r="B161" s="119"/>
    </row>
    <row r="162" spans="1:2">
      <c r="A162" s="104">
        <f t="shared" si="38"/>
        <v>24</v>
      </c>
      <c r="B162" s="119"/>
    </row>
    <row r="163" spans="1:2">
      <c r="A163" s="104">
        <f t="shared" si="38"/>
        <v>25</v>
      </c>
      <c r="B163" s="119"/>
    </row>
    <row r="164" spans="1:2">
      <c r="A164" s="104">
        <f t="shared" si="38"/>
        <v>26</v>
      </c>
      <c r="B164" s="119"/>
    </row>
    <row r="165" spans="1:2">
      <c r="A165" s="104">
        <f t="shared" si="38"/>
        <v>27</v>
      </c>
      <c r="B165" s="119"/>
    </row>
    <row r="166" spans="1:2">
      <c r="A166" s="104">
        <f t="shared" si="38"/>
        <v>28</v>
      </c>
      <c r="B166" s="119"/>
    </row>
    <row r="167" spans="1:2">
      <c r="A167" s="104">
        <f t="shared" si="38"/>
        <v>29</v>
      </c>
      <c r="B167" s="119"/>
    </row>
    <row r="168" spans="1:2">
      <c r="A168" s="104">
        <f t="shared" si="38"/>
        <v>30</v>
      </c>
      <c r="B168" s="119"/>
    </row>
    <row r="169" spans="1:2">
      <c r="A169" s="104">
        <f t="shared" si="38"/>
        <v>31</v>
      </c>
      <c r="B169" s="119"/>
    </row>
    <row r="170" spans="1:2">
      <c r="A170" s="104">
        <f t="shared" si="38"/>
        <v>32</v>
      </c>
      <c r="B170" s="119"/>
    </row>
    <row r="171" spans="1:2">
      <c r="A171" s="104">
        <f t="shared" si="38"/>
        <v>33</v>
      </c>
      <c r="B171" s="119"/>
    </row>
    <row r="172" spans="1:2">
      <c r="A172" s="104">
        <f t="shared" si="38"/>
        <v>34</v>
      </c>
      <c r="B172" s="119"/>
    </row>
    <row r="173" spans="1:2">
      <c r="A173" s="104">
        <f t="shared" si="38"/>
        <v>35</v>
      </c>
      <c r="B173" s="119"/>
    </row>
    <row r="174" spans="1:2">
      <c r="A174" s="104">
        <f t="shared" si="38"/>
        <v>36</v>
      </c>
      <c r="B174" s="119"/>
    </row>
    <row r="175" spans="1:2">
      <c r="A175" s="104">
        <f t="shared" si="38"/>
        <v>37</v>
      </c>
      <c r="B175" s="119"/>
    </row>
    <row r="176" spans="1:2">
      <c r="A176" s="104">
        <f t="shared" si="38"/>
        <v>38</v>
      </c>
      <c r="B176" s="119"/>
    </row>
    <row r="177" spans="1:2">
      <c r="A177" s="104">
        <f t="shared" si="38"/>
        <v>39</v>
      </c>
      <c r="B177" s="119"/>
    </row>
    <row r="178" spans="1:2">
      <c r="A178" s="104">
        <f t="shared" si="38"/>
        <v>40</v>
      </c>
      <c r="B178" s="119"/>
    </row>
    <row r="179" spans="1:2">
      <c r="A179" s="104">
        <f t="shared" si="38"/>
        <v>41</v>
      </c>
      <c r="B179" s="119"/>
    </row>
    <row r="180" spans="1:2">
      <c r="A180" s="104">
        <f t="shared" si="38"/>
        <v>42</v>
      </c>
      <c r="B180" s="119"/>
    </row>
    <row r="181" spans="1:2">
      <c r="A181" s="104">
        <f t="shared" si="38"/>
        <v>43</v>
      </c>
      <c r="B181" s="119"/>
    </row>
    <row r="182" spans="1:2">
      <c r="A182" s="104">
        <f t="shared" si="38"/>
        <v>44</v>
      </c>
      <c r="B182" s="119"/>
    </row>
    <row r="183" spans="1:2">
      <c r="A183" s="104">
        <f t="shared" si="38"/>
        <v>45</v>
      </c>
      <c r="B183" s="119"/>
    </row>
    <row r="184" spans="1:2">
      <c r="A184" s="104">
        <f t="shared" si="38"/>
        <v>46</v>
      </c>
      <c r="B184" s="119"/>
    </row>
    <row r="185" spans="1:2">
      <c r="A185" s="104">
        <f t="shared" si="38"/>
        <v>47</v>
      </c>
      <c r="B185" s="119"/>
    </row>
    <row r="186" spans="1:2">
      <c r="A186" s="104">
        <f t="shared" si="38"/>
        <v>48</v>
      </c>
      <c r="B186" s="119"/>
    </row>
    <row r="187" spans="1:2">
      <c r="A187" s="104">
        <f t="shared" si="38"/>
        <v>49</v>
      </c>
      <c r="B187" s="119"/>
    </row>
    <row r="188" spans="1:2">
      <c r="A188" s="104">
        <f t="shared" si="38"/>
        <v>50</v>
      </c>
      <c r="B188" s="119"/>
    </row>
    <row r="189" spans="1:2">
      <c r="A189" s="104">
        <f t="shared" si="38"/>
        <v>51</v>
      </c>
      <c r="B189" s="119"/>
    </row>
    <row r="190" spans="1:2">
      <c r="A190" s="104">
        <f t="shared" si="38"/>
        <v>52</v>
      </c>
      <c r="B190" s="119"/>
    </row>
    <row r="191" spans="1:2">
      <c r="A191" s="104">
        <f t="shared" si="38"/>
        <v>53</v>
      </c>
      <c r="B191" s="119"/>
    </row>
    <row r="192" spans="1:2">
      <c r="A192" s="104">
        <f t="shared" si="38"/>
        <v>54</v>
      </c>
      <c r="B192" s="119"/>
    </row>
    <row r="193" spans="1:2">
      <c r="A193" s="104">
        <f t="shared" si="38"/>
        <v>55</v>
      </c>
      <c r="B193" s="119"/>
    </row>
    <row r="194" spans="1:2">
      <c r="A194" s="104">
        <f t="shared" si="38"/>
        <v>56</v>
      </c>
      <c r="B194" s="119"/>
    </row>
    <row r="195" spans="1:2">
      <c r="A195" s="104">
        <f t="shared" si="38"/>
        <v>57</v>
      </c>
      <c r="B195" s="119"/>
    </row>
    <row r="196" spans="1:2">
      <c r="A196" s="104">
        <f t="shared" si="38"/>
        <v>58</v>
      </c>
      <c r="B196" s="119"/>
    </row>
    <row r="197" spans="1:2">
      <c r="A197" s="104">
        <f t="shared" si="38"/>
        <v>59</v>
      </c>
      <c r="B197" s="119"/>
    </row>
    <row r="198" spans="1:2">
      <c r="A198" s="104">
        <f t="shared" si="38"/>
        <v>60</v>
      </c>
      <c r="B198" s="119"/>
    </row>
    <row r="199" spans="1:2">
      <c r="A199" s="104">
        <f t="shared" si="38"/>
        <v>61</v>
      </c>
      <c r="B199" s="119"/>
    </row>
    <row r="200" spans="1:2">
      <c r="A200" s="104">
        <f t="shared" ref="A200:A236" si="39">A199+1</f>
        <v>62</v>
      </c>
      <c r="B200" s="119"/>
    </row>
    <row r="201" spans="1:2">
      <c r="A201" s="104">
        <f t="shared" si="39"/>
        <v>63</v>
      </c>
      <c r="B201" s="119"/>
    </row>
    <row r="202" spans="1:2">
      <c r="A202" s="104">
        <f t="shared" si="39"/>
        <v>64</v>
      </c>
      <c r="B202" s="119"/>
    </row>
    <row r="203" spans="1:2">
      <c r="A203" s="104">
        <f t="shared" si="39"/>
        <v>65</v>
      </c>
      <c r="B203" s="119"/>
    </row>
    <row r="204" spans="1:2">
      <c r="A204" s="104">
        <f t="shared" si="39"/>
        <v>66</v>
      </c>
      <c r="B204" s="119"/>
    </row>
    <row r="205" spans="1:2">
      <c r="A205" s="104">
        <f t="shared" si="39"/>
        <v>67</v>
      </c>
      <c r="B205" s="119"/>
    </row>
    <row r="206" spans="1:2">
      <c r="A206" s="104">
        <f t="shared" si="39"/>
        <v>68</v>
      </c>
      <c r="B206" s="119"/>
    </row>
    <row r="207" spans="1:2">
      <c r="A207" s="104">
        <f t="shared" si="39"/>
        <v>69</v>
      </c>
      <c r="B207" s="119"/>
    </row>
    <row r="208" spans="1:2">
      <c r="A208" s="104">
        <f t="shared" si="39"/>
        <v>70</v>
      </c>
      <c r="B208" s="119"/>
    </row>
    <row r="209" spans="1:2">
      <c r="A209" s="104">
        <f t="shared" si="39"/>
        <v>71</v>
      </c>
      <c r="B209" s="119"/>
    </row>
    <row r="210" spans="1:2">
      <c r="A210" s="104">
        <f t="shared" si="39"/>
        <v>72</v>
      </c>
      <c r="B210" s="119"/>
    </row>
    <row r="211" spans="1:2">
      <c r="A211" s="104">
        <f t="shared" si="39"/>
        <v>73</v>
      </c>
      <c r="B211" s="119"/>
    </row>
    <row r="212" spans="1:2">
      <c r="A212" s="104">
        <f t="shared" si="39"/>
        <v>74</v>
      </c>
      <c r="B212" s="119"/>
    </row>
    <row r="213" spans="1:2">
      <c r="A213" s="104">
        <f t="shared" si="39"/>
        <v>75</v>
      </c>
      <c r="B213" s="119"/>
    </row>
    <row r="214" spans="1:2">
      <c r="A214" s="104">
        <f t="shared" si="39"/>
        <v>76</v>
      </c>
      <c r="B214" s="119"/>
    </row>
    <row r="215" spans="1:2">
      <c r="A215" s="104">
        <f t="shared" si="39"/>
        <v>77</v>
      </c>
      <c r="B215" s="119"/>
    </row>
    <row r="216" spans="1:2">
      <c r="A216" s="104">
        <f t="shared" si="39"/>
        <v>78</v>
      </c>
      <c r="B216" s="119"/>
    </row>
    <row r="217" spans="1:2">
      <c r="A217" s="104">
        <f t="shared" si="39"/>
        <v>79</v>
      </c>
      <c r="B217" s="119"/>
    </row>
    <row r="218" spans="1:2">
      <c r="A218" s="104">
        <f t="shared" si="39"/>
        <v>80</v>
      </c>
      <c r="B218" s="119"/>
    </row>
    <row r="219" spans="1:2">
      <c r="A219" s="104">
        <f t="shared" si="39"/>
        <v>81</v>
      </c>
      <c r="B219" s="119"/>
    </row>
    <row r="220" spans="1:2">
      <c r="A220" s="104">
        <f t="shared" si="39"/>
        <v>82</v>
      </c>
      <c r="B220" s="119"/>
    </row>
    <row r="221" spans="1:2">
      <c r="A221" s="104">
        <f t="shared" si="39"/>
        <v>83</v>
      </c>
      <c r="B221" s="119"/>
    </row>
    <row r="222" spans="1:2">
      <c r="A222" s="104">
        <f t="shared" si="39"/>
        <v>84</v>
      </c>
      <c r="B222" s="119"/>
    </row>
    <row r="223" spans="1:2">
      <c r="A223" s="104">
        <f t="shared" si="39"/>
        <v>85</v>
      </c>
      <c r="B223" s="119"/>
    </row>
    <row r="224" spans="1:2">
      <c r="A224" s="104">
        <f t="shared" si="39"/>
        <v>86</v>
      </c>
      <c r="B224" s="119"/>
    </row>
    <row r="225" spans="1:2">
      <c r="A225" s="104">
        <f t="shared" si="39"/>
        <v>87</v>
      </c>
      <c r="B225" s="119"/>
    </row>
    <row r="226" spans="1:2">
      <c r="A226" s="104">
        <f t="shared" si="39"/>
        <v>88</v>
      </c>
      <c r="B226" s="119"/>
    </row>
    <row r="227" spans="1:2">
      <c r="A227" s="104">
        <f t="shared" si="39"/>
        <v>89</v>
      </c>
      <c r="B227" s="119"/>
    </row>
    <row r="228" spans="1:2">
      <c r="A228" s="104">
        <f t="shared" si="39"/>
        <v>90</v>
      </c>
      <c r="B228" s="119"/>
    </row>
    <row r="229" spans="1:2">
      <c r="A229" s="104">
        <f t="shared" si="39"/>
        <v>91</v>
      </c>
      <c r="B229" s="119"/>
    </row>
    <row r="230" spans="1:2">
      <c r="A230" s="104">
        <f t="shared" si="39"/>
        <v>92</v>
      </c>
      <c r="B230" s="119"/>
    </row>
    <row r="231" spans="1:2">
      <c r="A231" s="104">
        <f t="shared" si="39"/>
        <v>93</v>
      </c>
      <c r="B231" s="119"/>
    </row>
    <row r="232" spans="1:2">
      <c r="A232" s="104">
        <f t="shared" si="39"/>
        <v>94</v>
      </c>
      <c r="B232" s="119"/>
    </row>
    <row r="233" spans="1:2">
      <c r="A233" s="104">
        <f t="shared" si="39"/>
        <v>95</v>
      </c>
      <c r="B233" s="119"/>
    </row>
    <row r="234" spans="1:2">
      <c r="A234" s="104">
        <f t="shared" si="39"/>
        <v>96</v>
      </c>
      <c r="B234" s="119"/>
    </row>
    <row r="235" spans="1:2">
      <c r="A235" s="104">
        <f t="shared" si="39"/>
        <v>97</v>
      </c>
      <c r="B235" s="119"/>
    </row>
    <row r="236" spans="1:2">
      <c r="A236" s="104">
        <f t="shared" si="39"/>
        <v>98</v>
      </c>
      <c r="B236" s="119"/>
    </row>
    <row r="237" spans="1:2">
      <c r="B237" s="119"/>
    </row>
    <row r="238" spans="1:2">
      <c r="B238" s="119"/>
    </row>
    <row r="239" spans="1:2">
      <c r="B239" s="119"/>
    </row>
    <row r="240" spans="1:2">
      <c r="B240" s="119"/>
    </row>
    <row r="241" spans="2:2">
      <c r="B241" s="119"/>
    </row>
    <row r="242" spans="2:2">
      <c r="B242" s="119"/>
    </row>
    <row r="243" spans="2:2">
      <c r="B243" s="119"/>
    </row>
    <row r="244" spans="2:2">
      <c r="B244" s="119"/>
    </row>
    <row r="245" spans="2:2">
      <c r="B245" s="119"/>
    </row>
    <row r="246" spans="2:2">
      <c r="B246" s="119"/>
    </row>
    <row r="247" spans="2:2">
      <c r="B247" s="119"/>
    </row>
    <row r="248" spans="2:2">
      <c r="B248" s="119"/>
    </row>
    <row r="249" spans="2:2">
      <c r="B249" s="119"/>
    </row>
    <row r="250" spans="2:2">
      <c r="B250" s="119"/>
    </row>
  </sheetData>
  <mergeCells count="5">
    <mergeCell ref="A1:J1"/>
    <mergeCell ref="A2:A3"/>
    <mergeCell ref="B2:B3"/>
    <mergeCell ref="D2:G2"/>
    <mergeCell ref="H2:J2"/>
  </mergeCells>
  <pageMargins left="0.7" right="0.7" top="0.75" bottom="0.75" header="0.3" footer="0.3"/>
  <pageSetup scale="95" orientation="portrait" horizont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J31"/>
  <sheetViews>
    <sheetView zoomScaleNormal="100" workbookViewId="0">
      <selection activeCell="O27" sqref="O27"/>
    </sheetView>
  </sheetViews>
  <sheetFormatPr defaultRowHeight="15"/>
  <sheetData>
    <row r="1" spans="1:10">
      <c r="A1" s="1"/>
      <c r="B1" s="2" t="s">
        <v>5</v>
      </c>
      <c r="C1" s="1"/>
      <c r="D1" s="3" t="s">
        <v>6</v>
      </c>
      <c r="E1" s="1"/>
      <c r="F1" s="4" t="s">
        <v>7</v>
      </c>
      <c r="G1" s="1"/>
      <c r="H1" s="5" t="s">
        <v>8</v>
      </c>
      <c r="I1" s="1"/>
      <c r="J1" s="6" t="s">
        <v>9</v>
      </c>
    </row>
    <row r="2" spans="1:10">
      <c r="A2" s="7">
        <v>0</v>
      </c>
      <c r="B2" s="1"/>
      <c r="C2" s="7">
        <v>0</v>
      </c>
      <c r="D2" s="8"/>
      <c r="E2" s="7">
        <v>0</v>
      </c>
      <c r="F2" s="8"/>
      <c r="G2" s="7">
        <v>0</v>
      </c>
      <c r="H2" s="8"/>
      <c r="I2" s="7">
        <v>0</v>
      </c>
      <c r="J2" s="1"/>
    </row>
    <row r="3" spans="1:10">
      <c r="A3" s="7">
        <v>0.05</v>
      </c>
      <c r="B3" s="1"/>
      <c r="C3" s="7">
        <v>7.4999999999999997E-2</v>
      </c>
      <c r="D3" s="8">
        <v>2.7</v>
      </c>
      <c r="E3" s="7">
        <v>7.5999999999999998E-2</v>
      </c>
      <c r="F3" s="8">
        <v>2.2999999999999998</v>
      </c>
      <c r="G3" s="7">
        <v>0.05</v>
      </c>
      <c r="H3" s="8">
        <v>1.4</v>
      </c>
      <c r="I3" s="7">
        <v>7.0000000000000007E-2</v>
      </c>
      <c r="J3" s="1">
        <v>0.7</v>
      </c>
    </row>
    <row r="4" spans="1:10">
      <c r="A4" s="7">
        <v>0.1</v>
      </c>
      <c r="B4" s="1">
        <v>3.6</v>
      </c>
      <c r="C4" s="7">
        <v>0.1</v>
      </c>
      <c r="D4" s="8">
        <v>2.2999999999999998</v>
      </c>
      <c r="E4" s="7">
        <v>0.1</v>
      </c>
      <c r="F4" s="8">
        <v>1.4</v>
      </c>
      <c r="G4" s="7">
        <v>0.1</v>
      </c>
      <c r="H4" s="8">
        <v>0.75</v>
      </c>
      <c r="I4" s="7">
        <v>0.1</v>
      </c>
      <c r="J4" s="1">
        <v>0.55000000000000004</v>
      </c>
    </row>
    <row r="5" spans="1:10">
      <c r="A5" s="7">
        <v>0.15</v>
      </c>
      <c r="B5" s="1">
        <v>3.25</v>
      </c>
      <c r="C5" s="7">
        <v>0.15</v>
      </c>
      <c r="D5" s="8">
        <v>1.77</v>
      </c>
      <c r="E5" s="7">
        <v>0.15</v>
      </c>
      <c r="F5" s="8">
        <v>1.01</v>
      </c>
      <c r="G5" s="7">
        <v>0.15</v>
      </c>
      <c r="H5" s="8">
        <v>0.56999999999999995</v>
      </c>
      <c r="I5" s="7">
        <v>0.15</v>
      </c>
      <c r="J5" s="1">
        <v>0.35</v>
      </c>
    </row>
    <row r="6" spans="1:10">
      <c r="A6" s="7">
        <v>0.2</v>
      </c>
      <c r="B6" s="1">
        <f>2.75+0.125</f>
        <v>2.875</v>
      </c>
      <c r="C6" s="7">
        <v>0.2</v>
      </c>
      <c r="D6" s="8">
        <v>1.45</v>
      </c>
      <c r="E6" s="7">
        <v>0.2</v>
      </c>
      <c r="F6" s="8">
        <v>0.8</v>
      </c>
      <c r="G6" s="7">
        <v>0.2</v>
      </c>
      <c r="H6" s="8">
        <v>0.45</v>
      </c>
      <c r="I6" s="7">
        <v>0.2</v>
      </c>
      <c r="J6" s="1">
        <v>0.25</v>
      </c>
    </row>
    <row r="7" spans="1:10">
      <c r="A7" s="7">
        <v>0.25</v>
      </c>
      <c r="B7" s="1">
        <v>2.5499999999999998</v>
      </c>
      <c r="C7" s="7">
        <v>0.25</v>
      </c>
      <c r="D7" s="8">
        <v>1.31</v>
      </c>
      <c r="E7" s="7">
        <v>0.25</v>
      </c>
      <c r="F7" s="8">
        <v>0.7</v>
      </c>
      <c r="G7" s="7">
        <v>0.25</v>
      </c>
      <c r="H7" s="8">
        <v>0.4</v>
      </c>
      <c r="I7" s="7">
        <v>0.25</v>
      </c>
      <c r="J7" s="1">
        <v>0.20799999999999999</v>
      </c>
    </row>
    <row r="8" spans="1:10">
      <c r="A8" s="7">
        <v>0.3</v>
      </c>
      <c r="B8" s="1">
        <f>2+0.3</f>
        <v>2.2999999999999998</v>
      </c>
      <c r="C8" s="7">
        <v>0.3</v>
      </c>
      <c r="D8" s="8">
        <v>1.2</v>
      </c>
      <c r="E8" s="7">
        <v>0.3</v>
      </c>
      <c r="F8" s="8">
        <v>0.62</v>
      </c>
      <c r="G8" s="7">
        <v>0.3</v>
      </c>
      <c r="H8" s="8">
        <v>0.36499999999999999</v>
      </c>
      <c r="I8" s="7">
        <v>0.3</v>
      </c>
      <c r="J8" s="1">
        <v>0.192</v>
      </c>
    </row>
    <row r="9" spans="1:10">
      <c r="A9" s="7">
        <v>0.35</v>
      </c>
      <c r="B9" s="1">
        <v>2.0499999999999998</v>
      </c>
      <c r="C9" s="7">
        <v>0.35</v>
      </c>
      <c r="D9" s="8">
        <v>1.115</v>
      </c>
      <c r="E9" s="7">
        <v>0.35</v>
      </c>
      <c r="F9" s="8">
        <v>0.56200000000000006</v>
      </c>
      <c r="G9" s="7">
        <v>0.35</v>
      </c>
      <c r="H9" s="8">
        <v>0.33</v>
      </c>
      <c r="I9" s="7">
        <v>0.35</v>
      </c>
      <c r="J9" s="1">
        <v>0.184</v>
      </c>
    </row>
    <row r="10" spans="1:10">
      <c r="A10" s="7">
        <v>0.4</v>
      </c>
      <c r="B10" s="1">
        <v>1.875</v>
      </c>
      <c r="C10" s="7">
        <v>0.4</v>
      </c>
      <c r="D10" s="8">
        <v>1.03</v>
      </c>
      <c r="E10" s="7">
        <v>0.4</v>
      </c>
      <c r="F10" s="8">
        <v>0.5</v>
      </c>
      <c r="G10" s="7">
        <v>0.4</v>
      </c>
      <c r="H10" s="8">
        <v>0.3</v>
      </c>
      <c r="I10" s="7">
        <v>0.4</v>
      </c>
      <c r="J10" s="1">
        <v>0.17499999999999999</v>
      </c>
    </row>
    <row r="11" spans="1:10">
      <c r="A11" s="7">
        <v>0.45</v>
      </c>
      <c r="B11" s="1">
        <v>1.73</v>
      </c>
      <c r="C11" s="7">
        <v>0.45</v>
      </c>
      <c r="D11" s="8">
        <v>0.96499999999999997</v>
      </c>
      <c r="E11" s="7">
        <v>0.45</v>
      </c>
      <c r="F11" s="8">
        <v>0.46</v>
      </c>
      <c r="G11" s="7">
        <v>0.45</v>
      </c>
      <c r="H11" s="8">
        <v>0.26</v>
      </c>
      <c r="I11" s="7">
        <v>0.45</v>
      </c>
      <c r="J11" s="1">
        <v>0.16899999999999998</v>
      </c>
    </row>
    <row r="12" spans="1:10">
      <c r="A12" s="7">
        <v>0.5</v>
      </c>
      <c r="B12" s="1">
        <v>1.6</v>
      </c>
      <c r="C12" s="7">
        <v>0.5</v>
      </c>
      <c r="D12" s="8">
        <f>0.5+0.25+0.25/2</f>
        <v>0.875</v>
      </c>
      <c r="E12" s="7">
        <v>0.5</v>
      </c>
      <c r="F12" s="8">
        <v>0.42499999999999999</v>
      </c>
      <c r="G12" s="7">
        <v>0.5</v>
      </c>
      <c r="H12" s="8">
        <v>0.24</v>
      </c>
      <c r="I12" s="7">
        <v>0.5</v>
      </c>
      <c r="J12" s="1">
        <v>0.16300000000000001</v>
      </c>
    </row>
    <row r="13" spans="1:10">
      <c r="A13" s="7">
        <v>0.55000000000000004</v>
      </c>
      <c r="B13" s="1">
        <v>1.45</v>
      </c>
      <c r="C13" s="7">
        <v>0.55000000000000004</v>
      </c>
      <c r="D13" s="8">
        <v>0.83</v>
      </c>
      <c r="E13" s="7">
        <v>0.55000000000000004</v>
      </c>
      <c r="F13" s="8">
        <v>0.39500000000000002</v>
      </c>
      <c r="G13" s="7">
        <v>0.55000000000000004</v>
      </c>
      <c r="H13" s="8">
        <v>0.23</v>
      </c>
      <c r="I13" s="7">
        <v>0.55000000000000004</v>
      </c>
      <c r="J13" s="1">
        <v>0.155</v>
      </c>
    </row>
    <row r="14" spans="1:10">
      <c r="A14" s="7">
        <v>0.6</v>
      </c>
      <c r="B14" s="1">
        <v>1.33</v>
      </c>
      <c r="C14" s="7">
        <v>0.6</v>
      </c>
      <c r="D14" s="8">
        <v>0.78</v>
      </c>
      <c r="E14" s="7">
        <v>0.6</v>
      </c>
      <c r="F14" s="8">
        <v>0.38</v>
      </c>
      <c r="G14" s="7">
        <v>0.6</v>
      </c>
      <c r="H14" s="8">
        <v>0.222</v>
      </c>
      <c r="I14" s="7">
        <v>0.6</v>
      </c>
      <c r="J14" s="1">
        <v>0.14499999999999999</v>
      </c>
    </row>
    <row r="15" spans="1:10">
      <c r="A15" s="7">
        <v>0.65</v>
      </c>
      <c r="B15" s="1">
        <v>1.2</v>
      </c>
      <c r="C15" s="7">
        <v>0.65</v>
      </c>
      <c r="D15" s="8">
        <v>0.74</v>
      </c>
      <c r="E15" s="7">
        <v>0.65</v>
      </c>
      <c r="F15" s="8">
        <v>0.372</v>
      </c>
      <c r="G15" s="7">
        <v>0.65</v>
      </c>
      <c r="H15" s="8">
        <v>0.21</v>
      </c>
      <c r="I15" s="7">
        <v>0.65</v>
      </c>
      <c r="J15" s="1">
        <v>0.13500000000000001</v>
      </c>
    </row>
    <row r="16" spans="1:10">
      <c r="A16" s="7">
        <v>0.7</v>
      </c>
      <c r="B16" s="1">
        <v>1.1000000000000001</v>
      </c>
      <c r="C16" s="7">
        <v>0.7</v>
      </c>
      <c r="D16" s="8">
        <v>0.7</v>
      </c>
      <c r="E16" s="7">
        <v>0.7</v>
      </c>
      <c r="F16" s="8">
        <v>0.36</v>
      </c>
      <c r="G16" s="7">
        <v>0.7</v>
      </c>
      <c r="H16" s="8">
        <v>0.20200000000000001</v>
      </c>
      <c r="I16" s="7">
        <v>0.7</v>
      </c>
      <c r="J16" s="1">
        <v>0.125</v>
      </c>
    </row>
    <row r="17" spans="1:10">
      <c r="A17" s="7">
        <v>0.75</v>
      </c>
      <c r="B17" s="1">
        <v>1.0149999999999999</v>
      </c>
      <c r="C17" s="7">
        <v>0.75</v>
      </c>
      <c r="D17" s="8">
        <v>0.66500000000000004</v>
      </c>
      <c r="E17" s="7">
        <v>0.75</v>
      </c>
      <c r="F17" s="8">
        <v>0.35099999999999998</v>
      </c>
      <c r="G17" s="7">
        <v>0.75</v>
      </c>
      <c r="H17" s="8">
        <v>0.19500000000000001</v>
      </c>
      <c r="I17" s="7">
        <v>0.75</v>
      </c>
      <c r="J17" s="1"/>
    </row>
    <row r="18" spans="1:10">
      <c r="A18" s="7">
        <v>0.8</v>
      </c>
      <c r="B18" s="1">
        <v>0.95</v>
      </c>
      <c r="C18" s="7">
        <v>0.8</v>
      </c>
      <c r="D18" s="8">
        <v>0.64500000000000002</v>
      </c>
      <c r="E18" s="7">
        <v>0.8</v>
      </c>
      <c r="F18" s="8">
        <v>0.33500000000000002</v>
      </c>
      <c r="G18" s="7">
        <v>0.8</v>
      </c>
      <c r="H18" s="8">
        <v>0.191</v>
      </c>
      <c r="I18" s="7">
        <v>0.8</v>
      </c>
      <c r="J18" s="1"/>
    </row>
    <row r="19" spans="1:10">
      <c r="A19" s="7">
        <v>0.85</v>
      </c>
      <c r="B19" s="1">
        <v>0.87</v>
      </c>
      <c r="C19" s="7">
        <v>0.85</v>
      </c>
      <c r="D19" s="8">
        <v>0.61499999999999999</v>
      </c>
      <c r="E19" s="7">
        <v>0.85</v>
      </c>
      <c r="F19" s="8">
        <v>0.315</v>
      </c>
      <c r="G19" s="7">
        <v>0.85</v>
      </c>
      <c r="H19" s="8">
        <v>0.189</v>
      </c>
      <c r="I19" s="7">
        <v>0.85</v>
      </c>
      <c r="J19" s="1"/>
    </row>
    <row r="20" spans="1:10">
      <c r="A20" s="7">
        <v>0.9</v>
      </c>
      <c r="B20" s="1">
        <v>0.81499999999999995</v>
      </c>
      <c r="C20" s="7">
        <v>0.9</v>
      </c>
      <c r="D20" s="8">
        <v>0.57999999999999996</v>
      </c>
      <c r="E20" s="7">
        <v>0.9</v>
      </c>
      <c r="F20" s="8">
        <v>0.29499999999999998</v>
      </c>
      <c r="G20" s="7">
        <v>0.9</v>
      </c>
      <c r="H20" s="8">
        <v>0.185</v>
      </c>
      <c r="I20" s="7">
        <v>0.9</v>
      </c>
      <c r="J20" s="1"/>
    </row>
    <row r="21" spans="1:10">
      <c r="A21" s="7">
        <v>0.95</v>
      </c>
      <c r="B21" s="1">
        <v>0.77500000000000002</v>
      </c>
      <c r="C21" s="7">
        <v>0.95</v>
      </c>
      <c r="D21" s="8">
        <v>0.53500000000000003</v>
      </c>
      <c r="E21" s="7">
        <v>0.95</v>
      </c>
      <c r="F21" s="8">
        <v>0.28599999999999998</v>
      </c>
      <c r="G21" s="7">
        <v>0.95</v>
      </c>
      <c r="H21" s="8"/>
      <c r="I21" s="7">
        <v>0.95</v>
      </c>
      <c r="J21" s="1"/>
    </row>
    <row r="22" spans="1:10">
      <c r="A22" s="7">
        <v>1</v>
      </c>
      <c r="B22" s="1">
        <v>0.745</v>
      </c>
      <c r="C22" s="7">
        <v>1</v>
      </c>
      <c r="D22" s="8">
        <v>0.52</v>
      </c>
      <c r="E22" s="7">
        <v>1</v>
      </c>
      <c r="F22" s="8">
        <v>0.28199999999999997</v>
      </c>
      <c r="G22" s="7">
        <v>1</v>
      </c>
      <c r="H22" s="8"/>
      <c r="I22" s="7">
        <v>1</v>
      </c>
      <c r="J22" s="1"/>
    </row>
    <row r="23" spans="1:10">
      <c r="A23" s="7">
        <v>1.05</v>
      </c>
      <c r="B23" s="1">
        <v>0.72499999999999998</v>
      </c>
      <c r="C23" s="7">
        <v>1.05</v>
      </c>
      <c r="D23" s="8">
        <v>0.496</v>
      </c>
      <c r="E23" s="7">
        <v>1.05</v>
      </c>
      <c r="F23" s="8">
        <v>0.27</v>
      </c>
      <c r="G23" s="7">
        <v>1.05</v>
      </c>
      <c r="H23" s="8"/>
      <c r="I23" s="7">
        <v>1.05</v>
      </c>
      <c r="J23" s="1"/>
    </row>
    <row r="24" spans="1:10">
      <c r="A24" s="7">
        <v>1.1000000000000001</v>
      </c>
      <c r="B24" s="1">
        <v>0.69499999999999995</v>
      </c>
      <c r="C24" s="7">
        <v>1.1000000000000001</v>
      </c>
      <c r="D24" s="8">
        <v>0.47499999999999998</v>
      </c>
      <c r="E24" s="7">
        <v>1.1000000000000001</v>
      </c>
      <c r="F24" s="8">
        <v>0.27200000000000002</v>
      </c>
      <c r="G24" s="7">
        <v>1.1000000000000001</v>
      </c>
      <c r="H24" s="8"/>
      <c r="I24" s="7">
        <v>1.1000000000000001</v>
      </c>
      <c r="J24" s="1"/>
    </row>
    <row r="25" spans="1:10">
      <c r="A25" s="7">
        <v>1.1499999999999999</v>
      </c>
      <c r="B25" s="1">
        <v>0.66800000000000004</v>
      </c>
      <c r="C25" s="7">
        <v>1.1499999999999999</v>
      </c>
      <c r="D25" s="8">
        <v>0.45500000000000002</v>
      </c>
      <c r="E25" s="7">
        <v>1.1499999999999999</v>
      </c>
      <c r="F25" s="8">
        <v>0.26800000000000002</v>
      </c>
      <c r="G25" s="7">
        <v>1.1499999999999999</v>
      </c>
      <c r="H25" s="8"/>
      <c r="I25" s="7">
        <v>1.1499999999999999</v>
      </c>
      <c r="J25" s="1"/>
    </row>
    <row r="26" spans="1:10">
      <c r="A26" s="7">
        <v>1.2</v>
      </c>
      <c r="B26" s="1">
        <v>0.65</v>
      </c>
      <c r="C26" s="7">
        <v>1.2</v>
      </c>
      <c r="D26" s="8">
        <v>0.42</v>
      </c>
      <c r="E26" s="7">
        <v>1.2</v>
      </c>
      <c r="F26" s="8">
        <v>0.252</v>
      </c>
      <c r="G26" s="7">
        <v>1.2</v>
      </c>
      <c r="H26" s="8"/>
      <c r="I26" s="7">
        <v>1.2</v>
      </c>
      <c r="J26" s="1"/>
    </row>
    <row r="27" spans="1:10">
      <c r="A27" s="7">
        <v>1.25</v>
      </c>
      <c r="B27" s="1">
        <v>0.63</v>
      </c>
      <c r="C27" s="7">
        <v>1.25</v>
      </c>
      <c r="D27" s="8">
        <v>0.4</v>
      </c>
      <c r="E27" s="7">
        <v>1.23</v>
      </c>
      <c r="F27" s="8">
        <v>0.25</v>
      </c>
      <c r="G27" s="7">
        <v>1.25</v>
      </c>
      <c r="H27" s="8"/>
      <c r="I27" s="7">
        <v>1.25</v>
      </c>
      <c r="J27" s="1"/>
    </row>
    <row r="28" spans="1:10">
      <c r="A28" s="7">
        <v>1.3</v>
      </c>
      <c r="B28" s="1">
        <v>0.6</v>
      </c>
      <c r="C28" s="7">
        <v>1.3</v>
      </c>
      <c r="D28" s="8">
        <v>0.38</v>
      </c>
      <c r="E28" s="7">
        <v>1.3</v>
      </c>
      <c r="F28" s="8"/>
      <c r="G28" s="7">
        <v>1.3</v>
      </c>
      <c r="H28" s="8"/>
      <c r="I28" s="7">
        <v>1.3</v>
      </c>
      <c r="J28" s="1"/>
    </row>
    <row r="29" spans="1:10">
      <c r="A29" s="7">
        <v>1.35</v>
      </c>
      <c r="B29" s="1">
        <v>0.57999999999999996</v>
      </c>
      <c r="C29" s="7">
        <v>1.35</v>
      </c>
      <c r="D29" s="8"/>
      <c r="E29" s="7">
        <v>1.35</v>
      </c>
      <c r="F29" s="8"/>
      <c r="G29" s="7">
        <v>1.35</v>
      </c>
      <c r="H29" s="8"/>
      <c r="I29" s="7">
        <v>1.35</v>
      </c>
      <c r="J29" s="1"/>
    </row>
    <row r="30" spans="1:10">
      <c r="A30" s="7">
        <v>1.4</v>
      </c>
      <c r="B30" s="1">
        <v>0.55000000000000004</v>
      </c>
      <c r="C30" s="7">
        <v>1.4</v>
      </c>
      <c r="D30" s="8"/>
      <c r="E30" s="7">
        <v>1.4</v>
      </c>
      <c r="F30" s="8"/>
      <c r="G30" s="7">
        <v>1.4</v>
      </c>
      <c r="H30" s="8"/>
      <c r="I30" s="7">
        <v>1.4</v>
      </c>
      <c r="J30" s="1"/>
    </row>
    <row r="31" spans="1:10">
      <c r="A31" s="7">
        <v>1.5</v>
      </c>
      <c r="C31" s="7">
        <v>1.5</v>
      </c>
      <c r="D31" s="9"/>
      <c r="E31" s="7">
        <v>1.5</v>
      </c>
      <c r="F31" s="9"/>
      <c r="G31" s="7">
        <v>1.5</v>
      </c>
      <c r="H31" s="9"/>
      <c r="I31" s="7"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217C-E2EC-4BA7-8E93-5D22F1BDFEDC}">
  <sheetPr codeName="Sheet1"/>
  <dimension ref="A1:K247"/>
  <sheetViews>
    <sheetView workbookViewId="0">
      <selection activeCell="I12" sqref="I12"/>
    </sheetView>
  </sheetViews>
  <sheetFormatPr defaultRowHeight="15"/>
  <cols>
    <col min="1" max="1" width="13.85546875" style="10" customWidth="1"/>
    <col min="2" max="2" width="8.5703125" style="10" customWidth="1"/>
    <col min="3" max="3" width="9.7109375" style="10" customWidth="1"/>
    <col min="4" max="4" width="7.7109375" style="10" customWidth="1"/>
    <col min="5" max="5" width="9.42578125" style="10" customWidth="1"/>
    <col min="6" max="6" width="10.42578125" style="10" customWidth="1"/>
    <col min="7" max="7" width="7.140625" style="10" customWidth="1"/>
    <col min="8" max="8" width="8.42578125" style="10" customWidth="1"/>
    <col min="9" max="9" width="9.85546875" style="10" customWidth="1"/>
    <col min="10" max="10" width="9.28515625" style="10" customWidth="1"/>
    <col min="11" max="11" width="11" style="10" customWidth="1"/>
    <col min="12" max="236" width="9.140625" style="10"/>
    <col min="237" max="237" width="13.85546875" style="10" customWidth="1"/>
    <col min="238" max="238" width="8.5703125" style="10" customWidth="1"/>
    <col min="239" max="239" width="9.7109375" style="10" customWidth="1"/>
    <col min="240" max="240" width="7.7109375" style="10" customWidth="1"/>
    <col min="241" max="241" width="9.42578125" style="10" customWidth="1"/>
    <col min="242" max="242" width="10.42578125" style="10" customWidth="1"/>
    <col min="243" max="243" width="7.140625" style="10" customWidth="1"/>
    <col min="244" max="244" width="8.42578125" style="10" customWidth="1"/>
    <col min="245" max="245" width="9.85546875" style="10" customWidth="1"/>
    <col min="246" max="246" width="9.28515625" style="10" customWidth="1"/>
    <col min="247" max="247" width="11" style="10" customWidth="1"/>
    <col min="248" max="248" width="5.85546875" style="10" customWidth="1"/>
    <col min="249" max="249" width="7.42578125" style="10" customWidth="1"/>
    <col min="250" max="250" width="10.140625" style="10" customWidth="1"/>
    <col min="251" max="251" width="9.42578125" style="10" customWidth="1"/>
    <col min="252" max="252" width="9.7109375" style="10" customWidth="1"/>
    <col min="253" max="253" width="6.42578125" style="10" customWidth="1"/>
    <col min="254" max="254" width="7.5703125" style="10" customWidth="1"/>
    <col min="255" max="255" width="10" style="10" customWidth="1"/>
    <col min="256" max="256" width="9.7109375" style="10" customWidth="1"/>
    <col min="257" max="257" width="8.85546875" style="10" customWidth="1"/>
    <col min="258" max="492" width="9.140625" style="10"/>
    <col min="493" max="493" width="13.85546875" style="10" customWidth="1"/>
    <col min="494" max="494" width="8.5703125" style="10" customWidth="1"/>
    <col min="495" max="495" width="9.7109375" style="10" customWidth="1"/>
    <col min="496" max="496" width="7.7109375" style="10" customWidth="1"/>
    <col min="497" max="497" width="9.42578125" style="10" customWidth="1"/>
    <col min="498" max="498" width="10.42578125" style="10" customWidth="1"/>
    <col min="499" max="499" width="7.140625" style="10" customWidth="1"/>
    <col min="500" max="500" width="8.42578125" style="10" customWidth="1"/>
    <col min="501" max="501" width="9.85546875" style="10" customWidth="1"/>
    <col min="502" max="502" width="9.28515625" style="10" customWidth="1"/>
    <col min="503" max="503" width="11" style="10" customWidth="1"/>
    <col min="504" max="504" width="5.85546875" style="10" customWidth="1"/>
    <col min="505" max="505" width="7.42578125" style="10" customWidth="1"/>
    <col min="506" max="506" width="10.140625" style="10" customWidth="1"/>
    <col min="507" max="507" width="9.42578125" style="10" customWidth="1"/>
    <col min="508" max="508" width="9.7109375" style="10" customWidth="1"/>
    <col min="509" max="509" width="6.42578125" style="10" customWidth="1"/>
    <col min="510" max="510" width="7.5703125" style="10" customWidth="1"/>
    <col min="511" max="511" width="10" style="10" customWidth="1"/>
    <col min="512" max="512" width="9.7109375" style="10" customWidth="1"/>
    <col min="513" max="513" width="8.85546875" style="10" customWidth="1"/>
    <col min="514" max="748" width="9.140625" style="10"/>
    <col min="749" max="749" width="13.85546875" style="10" customWidth="1"/>
    <col min="750" max="750" width="8.5703125" style="10" customWidth="1"/>
    <col min="751" max="751" width="9.7109375" style="10" customWidth="1"/>
    <col min="752" max="752" width="7.7109375" style="10" customWidth="1"/>
    <col min="753" max="753" width="9.42578125" style="10" customWidth="1"/>
    <col min="754" max="754" width="10.42578125" style="10" customWidth="1"/>
    <col min="755" max="755" width="7.140625" style="10" customWidth="1"/>
    <col min="756" max="756" width="8.42578125" style="10" customWidth="1"/>
    <col min="757" max="757" width="9.85546875" style="10" customWidth="1"/>
    <col min="758" max="758" width="9.28515625" style="10" customWidth="1"/>
    <col min="759" max="759" width="11" style="10" customWidth="1"/>
    <col min="760" max="760" width="5.85546875" style="10" customWidth="1"/>
    <col min="761" max="761" width="7.42578125" style="10" customWidth="1"/>
    <col min="762" max="762" width="10.140625" style="10" customWidth="1"/>
    <col min="763" max="763" width="9.42578125" style="10" customWidth="1"/>
    <col min="764" max="764" width="9.7109375" style="10" customWidth="1"/>
    <col min="765" max="765" width="6.42578125" style="10" customWidth="1"/>
    <col min="766" max="766" width="7.5703125" style="10" customWidth="1"/>
    <col min="767" max="767" width="10" style="10" customWidth="1"/>
    <col min="768" max="768" width="9.7109375" style="10" customWidth="1"/>
    <col min="769" max="769" width="8.85546875" style="10" customWidth="1"/>
    <col min="770" max="1004" width="9.140625" style="10"/>
    <col min="1005" max="1005" width="13.85546875" style="10" customWidth="1"/>
    <col min="1006" max="1006" width="8.5703125" style="10" customWidth="1"/>
    <col min="1007" max="1007" width="9.7109375" style="10" customWidth="1"/>
    <col min="1008" max="1008" width="7.7109375" style="10" customWidth="1"/>
    <col min="1009" max="1009" width="9.42578125" style="10" customWidth="1"/>
    <col min="1010" max="1010" width="10.42578125" style="10" customWidth="1"/>
    <col min="1011" max="1011" width="7.140625" style="10" customWidth="1"/>
    <col min="1012" max="1012" width="8.42578125" style="10" customWidth="1"/>
    <col min="1013" max="1013" width="9.85546875" style="10" customWidth="1"/>
    <col min="1014" max="1014" width="9.28515625" style="10" customWidth="1"/>
    <col min="1015" max="1015" width="11" style="10" customWidth="1"/>
    <col min="1016" max="1016" width="5.85546875" style="10" customWidth="1"/>
    <col min="1017" max="1017" width="7.42578125" style="10" customWidth="1"/>
    <col min="1018" max="1018" width="10.140625" style="10" customWidth="1"/>
    <col min="1019" max="1019" width="9.42578125" style="10" customWidth="1"/>
    <col min="1020" max="1020" width="9.7109375" style="10" customWidth="1"/>
    <col min="1021" max="1021" width="6.42578125" style="10" customWidth="1"/>
    <col min="1022" max="1022" width="7.5703125" style="10" customWidth="1"/>
    <col min="1023" max="1023" width="10" style="10" customWidth="1"/>
    <col min="1024" max="1024" width="9.7109375" style="10" customWidth="1"/>
    <col min="1025" max="1025" width="8.85546875" style="10" customWidth="1"/>
    <col min="1026" max="1260" width="9.140625" style="10"/>
    <col min="1261" max="1261" width="13.85546875" style="10" customWidth="1"/>
    <col min="1262" max="1262" width="8.5703125" style="10" customWidth="1"/>
    <col min="1263" max="1263" width="9.7109375" style="10" customWidth="1"/>
    <col min="1264" max="1264" width="7.7109375" style="10" customWidth="1"/>
    <col min="1265" max="1265" width="9.42578125" style="10" customWidth="1"/>
    <col min="1266" max="1266" width="10.42578125" style="10" customWidth="1"/>
    <col min="1267" max="1267" width="7.140625" style="10" customWidth="1"/>
    <col min="1268" max="1268" width="8.42578125" style="10" customWidth="1"/>
    <col min="1269" max="1269" width="9.85546875" style="10" customWidth="1"/>
    <col min="1270" max="1270" width="9.28515625" style="10" customWidth="1"/>
    <col min="1271" max="1271" width="11" style="10" customWidth="1"/>
    <col min="1272" max="1272" width="5.85546875" style="10" customWidth="1"/>
    <col min="1273" max="1273" width="7.42578125" style="10" customWidth="1"/>
    <col min="1274" max="1274" width="10.140625" style="10" customWidth="1"/>
    <col min="1275" max="1275" width="9.42578125" style="10" customWidth="1"/>
    <col min="1276" max="1276" width="9.7109375" style="10" customWidth="1"/>
    <col min="1277" max="1277" width="6.42578125" style="10" customWidth="1"/>
    <col min="1278" max="1278" width="7.5703125" style="10" customWidth="1"/>
    <col min="1279" max="1279" width="10" style="10" customWidth="1"/>
    <col min="1280" max="1280" width="9.7109375" style="10" customWidth="1"/>
    <col min="1281" max="1281" width="8.85546875" style="10" customWidth="1"/>
    <col min="1282" max="1516" width="9.140625" style="10"/>
    <col min="1517" max="1517" width="13.85546875" style="10" customWidth="1"/>
    <col min="1518" max="1518" width="8.5703125" style="10" customWidth="1"/>
    <col min="1519" max="1519" width="9.7109375" style="10" customWidth="1"/>
    <col min="1520" max="1520" width="7.7109375" style="10" customWidth="1"/>
    <col min="1521" max="1521" width="9.42578125" style="10" customWidth="1"/>
    <col min="1522" max="1522" width="10.42578125" style="10" customWidth="1"/>
    <col min="1523" max="1523" width="7.140625" style="10" customWidth="1"/>
    <col min="1524" max="1524" width="8.42578125" style="10" customWidth="1"/>
    <col min="1525" max="1525" width="9.85546875" style="10" customWidth="1"/>
    <col min="1526" max="1526" width="9.28515625" style="10" customWidth="1"/>
    <col min="1527" max="1527" width="11" style="10" customWidth="1"/>
    <col min="1528" max="1528" width="5.85546875" style="10" customWidth="1"/>
    <col min="1529" max="1529" width="7.42578125" style="10" customWidth="1"/>
    <col min="1530" max="1530" width="10.140625" style="10" customWidth="1"/>
    <col min="1531" max="1531" width="9.42578125" style="10" customWidth="1"/>
    <col min="1532" max="1532" width="9.7109375" style="10" customWidth="1"/>
    <col min="1533" max="1533" width="6.42578125" style="10" customWidth="1"/>
    <col min="1534" max="1534" width="7.5703125" style="10" customWidth="1"/>
    <col min="1535" max="1535" width="10" style="10" customWidth="1"/>
    <col min="1536" max="1536" width="9.7109375" style="10" customWidth="1"/>
    <col min="1537" max="1537" width="8.85546875" style="10" customWidth="1"/>
    <col min="1538" max="1772" width="9.140625" style="10"/>
    <col min="1773" max="1773" width="13.85546875" style="10" customWidth="1"/>
    <col min="1774" max="1774" width="8.5703125" style="10" customWidth="1"/>
    <col min="1775" max="1775" width="9.7109375" style="10" customWidth="1"/>
    <col min="1776" max="1776" width="7.7109375" style="10" customWidth="1"/>
    <col min="1777" max="1777" width="9.42578125" style="10" customWidth="1"/>
    <col min="1778" max="1778" width="10.42578125" style="10" customWidth="1"/>
    <col min="1779" max="1779" width="7.140625" style="10" customWidth="1"/>
    <col min="1780" max="1780" width="8.42578125" style="10" customWidth="1"/>
    <col min="1781" max="1781" width="9.85546875" style="10" customWidth="1"/>
    <col min="1782" max="1782" width="9.28515625" style="10" customWidth="1"/>
    <col min="1783" max="1783" width="11" style="10" customWidth="1"/>
    <col min="1784" max="1784" width="5.85546875" style="10" customWidth="1"/>
    <col min="1785" max="1785" width="7.42578125" style="10" customWidth="1"/>
    <col min="1786" max="1786" width="10.140625" style="10" customWidth="1"/>
    <col min="1787" max="1787" width="9.42578125" style="10" customWidth="1"/>
    <col min="1788" max="1788" width="9.7109375" style="10" customWidth="1"/>
    <col min="1789" max="1789" width="6.42578125" style="10" customWidth="1"/>
    <col min="1790" max="1790" width="7.5703125" style="10" customWidth="1"/>
    <col min="1791" max="1791" width="10" style="10" customWidth="1"/>
    <col min="1792" max="1792" width="9.7109375" style="10" customWidth="1"/>
    <col min="1793" max="1793" width="8.85546875" style="10" customWidth="1"/>
    <col min="1794" max="2028" width="9.140625" style="10"/>
    <col min="2029" max="2029" width="13.85546875" style="10" customWidth="1"/>
    <col min="2030" max="2030" width="8.5703125" style="10" customWidth="1"/>
    <col min="2031" max="2031" width="9.7109375" style="10" customWidth="1"/>
    <col min="2032" max="2032" width="7.7109375" style="10" customWidth="1"/>
    <col min="2033" max="2033" width="9.42578125" style="10" customWidth="1"/>
    <col min="2034" max="2034" width="10.42578125" style="10" customWidth="1"/>
    <col min="2035" max="2035" width="7.140625" style="10" customWidth="1"/>
    <col min="2036" max="2036" width="8.42578125" style="10" customWidth="1"/>
    <col min="2037" max="2037" width="9.85546875" style="10" customWidth="1"/>
    <col min="2038" max="2038" width="9.28515625" style="10" customWidth="1"/>
    <col min="2039" max="2039" width="11" style="10" customWidth="1"/>
    <col min="2040" max="2040" width="5.85546875" style="10" customWidth="1"/>
    <col min="2041" max="2041" width="7.42578125" style="10" customWidth="1"/>
    <col min="2042" max="2042" width="10.140625" style="10" customWidth="1"/>
    <col min="2043" max="2043" width="9.42578125" style="10" customWidth="1"/>
    <col min="2044" max="2044" width="9.7109375" style="10" customWidth="1"/>
    <col min="2045" max="2045" width="6.42578125" style="10" customWidth="1"/>
    <col min="2046" max="2046" width="7.5703125" style="10" customWidth="1"/>
    <col min="2047" max="2047" width="10" style="10" customWidth="1"/>
    <col min="2048" max="2048" width="9.7109375" style="10" customWidth="1"/>
    <col min="2049" max="2049" width="8.85546875" style="10" customWidth="1"/>
    <col min="2050" max="2284" width="9.140625" style="10"/>
    <col min="2285" max="2285" width="13.85546875" style="10" customWidth="1"/>
    <col min="2286" max="2286" width="8.5703125" style="10" customWidth="1"/>
    <col min="2287" max="2287" width="9.7109375" style="10" customWidth="1"/>
    <col min="2288" max="2288" width="7.7109375" style="10" customWidth="1"/>
    <col min="2289" max="2289" width="9.42578125" style="10" customWidth="1"/>
    <col min="2290" max="2290" width="10.42578125" style="10" customWidth="1"/>
    <col min="2291" max="2291" width="7.140625" style="10" customWidth="1"/>
    <col min="2292" max="2292" width="8.42578125" style="10" customWidth="1"/>
    <col min="2293" max="2293" width="9.85546875" style="10" customWidth="1"/>
    <col min="2294" max="2294" width="9.28515625" style="10" customWidth="1"/>
    <col min="2295" max="2295" width="11" style="10" customWidth="1"/>
    <col min="2296" max="2296" width="5.85546875" style="10" customWidth="1"/>
    <col min="2297" max="2297" width="7.42578125" style="10" customWidth="1"/>
    <col min="2298" max="2298" width="10.140625" style="10" customWidth="1"/>
    <col min="2299" max="2299" width="9.42578125" style="10" customWidth="1"/>
    <col min="2300" max="2300" width="9.7109375" style="10" customWidth="1"/>
    <col min="2301" max="2301" width="6.42578125" style="10" customWidth="1"/>
    <col min="2302" max="2302" width="7.5703125" style="10" customWidth="1"/>
    <col min="2303" max="2303" width="10" style="10" customWidth="1"/>
    <col min="2304" max="2304" width="9.7109375" style="10" customWidth="1"/>
    <col min="2305" max="2305" width="8.85546875" style="10" customWidth="1"/>
    <col min="2306" max="2540" width="9.140625" style="10"/>
    <col min="2541" max="2541" width="13.85546875" style="10" customWidth="1"/>
    <col min="2542" max="2542" width="8.5703125" style="10" customWidth="1"/>
    <col min="2543" max="2543" width="9.7109375" style="10" customWidth="1"/>
    <col min="2544" max="2544" width="7.7109375" style="10" customWidth="1"/>
    <col min="2545" max="2545" width="9.42578125" style="10" customWidth="1"/>
    <col min="2546" max="2546" width="10.42578125" style="10" customWidth="1"/>
    <col min="2547" max="2547" width="7.140625" style="10" customWidth="1"/>
    <col min="2548" max="2548" width="8.42578125" style="10" customWidth="1"/>
    <col min="2549" max="2549" width="9.85546875" style="10" customWidth="1"/>
    <col min="2550" max="2550" width="9.28515625" style="10" customWidth="1"/>
    <col min="2551" max="2551" width="11" style="10" customWidth="1"/>
    <col min="2552" max="2552" width="5.85546875" style="10" customWidth="1"/>
    <col min="2553" max="2553" width="7.42578125" style="10" customWidth="1"/>
    <col min="2554" max="2554" width="10.140625" style="10" customWidth="1"/>
    <col min="2555" max="2555" width="9.42578125" style="10" customWidth="1"/>
    <col min="2556" max="2556" width="9.7109375" style="10" customWidth="1"/>
    <col min="2557" max="2557" width="6.42578125" style="10" customWidth="1"/>
    <col min="2558" max="2558" width="7.5703125" style="10" customWidth="1"/>
    <col min="2559" max="2559" width="10" style="10" customWidth="1"/>
    <col min="2560" max="2560" width="9.7109375" style="10" customWidth="1"/>
    <col min="2561" max="2561" width="8.85546875" style="10" customWidth="1"/>
    <col min="2562" max="2796" width="9.140625" style="10"/>
    <col min="2797" max="2797" width="13.85546875" style="10" customWidth="1"/>
    <col min="2798" max="2798" width="8.5703125" style="10" customWidth="1"/>
    <col min="2799" max="2799" width="9.7109375" style="10" customWidth="1"/>
    <col min="2800" max="2800" width="7.7109375" style="10" customWidth="1"/>
    <col min="2801" max="2801" width="9.42578125" style="10" customWidth="1"/>
    <col min="2802" max="2802" width="10.42578125" style="10" customWidth="1"/>
    <col min="2803" max="2803" width="7.140625" style="10" customWidth="1"/>
    <col min="2804" max="2804" width="8.42578125" style="10" customWidth="1"/>
    <col min="2805" max="2805" width="9.85546875" style="10" customWidth="1"/>
    <col min="2806" max="2806" width="9.28515625" style="10" customWidth="1"/>
    <col min="2807" max="2807" width="11" style="10" customWidth="1"/>
    <col min="2808" max="2808" width="5.85546875" style="10" customWidth="1"/>
    <col min="2809" max="2809" width="7.42578125" style="10" customWidth="1"/>
    <col min="2810" max="2810" width="10.140625" style="10" customWidth="1"/>
    <col min="2811" max="2811" width="9.42578125" style="10" customWidth="1"/>
    <col min="2812" max="2812" width="9.7109375" style="10" customWidth="1"/>
    <col min="2813" max="2813" width="6.42578125" style="10" customWidth="1"/>
    <col min="2814" max="2814" width="7.5703125" style="10" customWidth="1"/>
    <col min="2815" max="2815" width="10" style="10" customWidth="1"/>
    <col min="2816" max="2816" width="9.7109375" style="10" customWidth="1"/>
    <col min="2817" max="2817" width="8.85546875" style="10" customWidth="1"/>
    <col min="2818" max="3052" width="9.140625" style="10"/>
    <col min="3053" max="3053" width="13.85546875" style="10" customWidth="1"/>
    <col min="3054" max="3054" width="8.5703125" style="10" customWidth="1"/>
    <col min="3055" max="3055" width="9.7109375" style="10" customWidth="1"/>
    <col min="3056" max="3056" width="7.7109375" style="10" customWidth="1"/>
    <col min="3057" max="3057" width="9.42578125" style="10" customWidth="1"/>
    <col min="3058" max="3058" width="10.42578125" style="10" customWidth="1"/>
    <col min="3059" max="3059" width="7.140625" style="10" customWidth="1"/>
    <col min="3060" max="3060" width="8.42578125" style="10" customWidth="1"/>
    <col min="3061" max="3061" width="9.85546875" style="10" customWidth="1"/>
    <col min="3062" max="3062" width="9.28515625" style="10" customWidth="1"/>
    <col min="3063" max="3063" width="11" style="10" customWidth="1"/>
    <col min="3064" max="3064" width="5.85546875" style="10" customWidth="1"/>
    <col min="3065" max="3065" width="7.42578125" style="10" customWidth="1"/>
    <col min="3066" max="3066" width="10.140625" style="10" customWidth="1"/>
    <col min="3067" max="3067" width="9.42578125" style="10" customWidth="1"/>
    <col min="3068" max="3068" width="9.7109375" style="10" customWidth="1"/>
    <col min="3069" max="3069" width="6.42578125" style="10" customWidth="1"/>
    <col min="3070" max="3070" width="7.5703125" style="10" customWidth="1"/>
    <col min="3071" max="3071" width="10" style="10" customWidth="1"/>
    <col min="3072" max="3072" width="9.7109375" style="10" customWidth="1"/>
    <col min="3073" max="3073" width="8.85546875" style="10" customWidth="1"/>
    <col min="3074" max="3308" width="9.140625" style="10"/>
    <col min="3309" max="3309" width="13.85546875" style="10" customWidth="1"/>
    <col min="3310" max="3310" width="8.5703125" style="10" customWidth="1"/>
    <col min="3311" max="3311" width="9.7109375" style="10" customWidth="1"/>
    <col min="3312" max="3312" width="7.7109375" style="10" customWidth="1"/>
    <col min="3313" max="3313" width="9.42578125" style="10" customWidth="1"/>
    <col min="3314" max="3314" width="10.42578125" style="10" customWidth="1"/>
    <col min="3315" max="3315" width="7.140625" style="10" customWidth="1"/>
    <col min="3316" max="3316" width="8.42578125" style="10" customWidth="1"/>
    <col min="3317" max="3317" width="9.85546875" style="10" customWidth="1"/>
    <col min="3318" max="3318" width="9.28515625" style="10" customWidth="1"/>
    <col min="3319" max="3319" width="11" style="10" customWidth="1"/>
    <col min="3320" max="3320" width="5.85546875" style="10" customWidth="1"/>
    <col min="3321" max="3321" width="7.42578125" style="10" customWidth="1"/>
    <col min="3322" max="3322" width="10.140625" style="10" customWidth="1"/>
    <col min="3323" max="3323" width="9.42578125" style="10" customWidth="1"/>
    <col min="3324" max="3324" width="9.7109375" style="10" customWidth="1"/>
    <col min="3325" max="3325" width="6.42578125" style="10" customWidth="1"/>
    <col min="3326" max="3326" width="7.5703125" style="10" customWidth="1"/>
    <col min="3327" max="3327" width="10" style="10" customWidth="1"/>
    <col min="3328" max="3328" width="9.7109375" style="10" customWidth="1"/>
    <col min="3329" max="3329" width="8.85546875" style="10" customWidth="1"/>
    <col min="3330" max="3564" width="9.140625" style="10"/>
    <col min="3565" max="3565" width="13.85546875" style="10" customWidth="1"/>
    <col min="3566" max="3566" width="8.5703125" style="10" customWidth="1"/>
    <col min="3567" max="3567" width="9.7109375" style="10" customWidth="1"/>
    <col min="3568" max="3568" width="7.7109375" style="10" customWidth="1"/>
    <col min="3569" max="3569" width="9.42578125" style="10" customWidth="1"/>
    <col min="3570" max="3570" width="10.42578125" style="10" customWidth="1"/>
    <col min="3571" max="3571" width="7.140625" style="10" customWidth="1"/>
    <col min="3572" max="3572" width="8.42578125" style="10" customWidth="1"/>
    <col min="3573" max="3573" width="9.85546875" style="10" customWidth="1"/>
    <col min="3574" max="3574" width="9.28515625" style="10" customWidth="1"/>
    <col min="3575" max="3575" width="11" style="10" customWidth="1"/>
    <col min="3576" max="3576" width="5.85546875" style="10" customWidth="1"/>
    <col min="3577" max="3577" width="7.42578125" style="10" customWidth="1"/>
    <col min="3578" max="3578" width="10.140625" style="10" customWidth="1"/>
    <col min="3579" max="3579" width="9.42578125" style="10" customWidth="1"/>
    <col min="3580" max="3580" width="9.7109375" style="10" customWidth="1"/>
    <col min="3581" max="3581" width="6.42578125" style="10" customWidth="1"/>
    <col min="3582" max="3582" width="7.5703125" style="10" customWidth="1"/>
    <col min="3583" max="3583" width="10" style="10" customWidth="1"/>
    <col min="3584" max="3584" width="9.7109375" style="10" customWidth="1"/>
    <col min="3585" max="3585" width="8.85546875" style="10" customWidth="1"/>
    <col min="3586" max="3820" width="9.140625" style="10"/>
    <col min="3821" max="3821" width="13.85546875" style="10" customWidth="1"/>
    <col min="3822" max="3822" width="8.5703125" style="10" customWidth="1"/>
    <col min="3823" max="3823" width="9.7109375" style="10" customWidth="1"/>
    <col min="3824" max="3824" width="7.7109375" style="10" customWidth="1"/>
    <col min="3825" max="3825" width="9.42578125" style="10" customWidth="1"/>
    <col min="3826" max="3826" width="10.42578125" style="10" customWidth="1"/>
    <col min="3827" max="3827" width="7.140625" style="10" customWidth="1"/>
    <col min="3828" max="3828" width="8.42578125" style="10" customWidth="1"/>
    <col min="3829" max="3829" width="9.85546875" style="10" customWidth="1"/>
    <col min="3830" max="3830" width="9.28515625" style="10" customWidth="1"/>
    <col min="3831" max="3831" width="11" style="10" customWidth="1"/>
    <col min="3832" max="3832" width="5.85546875" style="10" customWidth="1"/>
    <col min="3833" max="3833" width="7.42578125" style="10" customWidth="1"/>
    <col min="3834" max="3834" width="10.140625" style="10" customWidth="1"/>
    <col min="3835" max="3835" width="9.42578125" style="10" customWidth="1"/>
    <col min="3836" max="3836" width="9.7109375" style="10" customWidth="1"/>
    <col min="3837" max="3837" width="6.42578125" style="10" customWidth="1"/>
    <col min="3838" max="3838" width="7.5703125" style="10" customWidth="1"/>
    <col min="3839" max="3839" width="10" style="10" customWidth="1"/>
    <col min="3840" max="3840" width="9.7109375" style="10" customWidth="1"/>
    <col min="3841" max="3841" width="8.85546875" style="10" customWidth="1"/>
    <col min="3842" max="4076" width="9.140625" style="10"/>
    <col min="4077" max="4077" width="13.85546875" style="10" customWidth="1"/>
    <col min="4078" max="4078" width="8.5703125" style="10" customWidth="1"/>
    <col min="4079" max="4079" width="9.7109375" style="10" customWidth="1"/>
    <col min="4080" max="4080" width="7.7109375" style="10" customWidth="1"/>
    <col min="4081" max="4081" width="9.42578125" style="10" customWidth="1"/>
    <col min="4082" max="4082" width="10.42578125" style="10" customWidth="1"/>
    <col min="4083" max="4083" width="7.140625" style="10" customWidth="1"/>
    <col min="4084" max="4084" width="8.42578125" style="10" customWidth="1"/>
    <col min="4085" max="4085" width="9.85546875" style="10" customWidth="1"/>
    <col min="4086" max="4086" width="9.28515625" style="10" customWidth="1"/>
    <col min="4087" max="4087" width="11" style="10" customWidth="1"/>
    <col min="4088" max="4088" width="5.85546875" style="10" customWidth="1"/>
    <col min="4089" max="4089" width="7.42578125" style="10" customWidth="1"/>
    <col min="4090" max="4090" width="10.140625" style="10" customWidth="1"/>
    <col min="4091" max="4091" width="9.42578125" style="10" customWidth="1"/>
    <col min="4092" max="4092" width="9.7109375" style="10" customWidth="1"/>
    <col min="4093" max="4093" width="6.42578125" style="10" customWidth="1"/>
    <col min="4094" max="4094" width="7.5703125" style="10" customWidth="1"/>
    <col min="4095" max="4095" width="10" style="10" customWidth="1"/>
    <col min="4096" max="4096" width="9.7109375" style="10" customWidth="1"/>
    <col min="4097" max="4097" width="8.85546875" style="10" customWidth="1"/>
    <col min="4098" max="4332" width="9.140625" style="10"/>
    <col min="4333" max="4333" width="13.85546875" style="10" customWidth="1"/>
    <col min="4334" max="4334" width="8.5703125" style="10" customWidth="1"/>
    <col min="4335" max="4335" width="9.7109375" style="10" customWidth="1"/>
    <col min="4336" max="4336" width="7.7109375" style="10" customWidth="1"/>
    <col min="4337" max="4337" width="9.42578125" style="10" customWidth="1"/>
    <col min="4338" max="4338" width="10.42578125" style="10" customWidth="1"/>
    <col min="4339" max="4339" width="7.140625" style="10" customWidth="1"/>
    <col min="4340" max="4340" width="8.42578125" style="10" customWidth="1"/>
    <col min="4341" max="4341" width="9.85546875" style="10" customWidth="1"/>
    <col min="4342" max="4342" width="9.28515625" style="10" customWidth="1"/>
    <col min="4343" max="4343" width="11" style="10" customWidth="1"/>
    <col min="4344" max="4344" width="5.85546875" style="10" customWidth="1"/>
    <col min="4345" max="4345" width="7.42578125" style="10" customWidth="1"/>
    <col min="4346" max="4346" width="10.140625" style="10" customWidth="1"/>
    <col min="4347" max="4347" width="9.42578125" style="10" customWidth="1"/>
    <col min="4348" max="4348" width="9.7109375" style="10" customWidth="1"/>
    <col min="4349" max="4349" width="6.42578125" style="10" customWidth="1"/>
    <col min="4350" max="4350" width="7.5703125" style="10" customWidth="1"/>
    <col min="4351" max="4351" width="10" style="10" customWidth="1"/>
    <col min="4352" max="4352" width="9.7109375" style="10" customWidth="1"/>
    <col min="4353" max="4353" width="8.85546875" style="10" customWidth="1"/>
    <col min="4354" max="4588" width="9.140625" style="10"/>
    <col min="4589" max="4589" width="13.85546875" style="10" customWidth="1"/>
    <col min="4590" max="4590" width="8.5703125" style="10" customWidth="1"/>
    <col min="4591" max="4591" width="9.7109375" style="10" customWidth="1"/>
    <col min="4592" max="4592" width="7.7109375" style="10" customWidth="1"/>
    <col min="4593" max="4593" width="9.42578125" style="10" customWidth="1"/>
    <col min="4594" max="4594" width="10.42578125" style="10" customWidth="1"/>
    <col min="4595" max="4595" width="7.140625" style="10" customWidth="1"/>
    <col min="4596" max="4596" width="8.42578125" style="10" customWidth="1"/>
    <col min="4597" max="4597" width="9.85546875" style="10" customWidth="1"/>
    <col min="4598" max="4598" width="9.28515625" style="10" customWidth="1"/>
    <col min="4599" max="4599" width="11" style="10" customWidth="1"/>
    <col min="4600" max="4600" width="5.85546875" style="10" customWidth="1"/>
    <col min="4601" max="4601" width="7.42578125" style="10" customWidth="1"/>
    <col min="4602" max="4602" width="10.140625" style="10" customWidth="1"/>
    <col min="4603" max="4603" width="9.42578125" style="10" customWidth="1"/>
    <col min="4604" max="4604" width="9.7109375" style="10" customWidth="1"/>
    <col min="4605" max="4605" width="6.42578125" style="10" customWidth="1"/>
    <col min="4606" max="4606" width="7.5703125" style="10" customWidth="1"/>
    <col min="4607" max="4607" width="10" style="10" customWidth="1"/>
    <col min="4608" max="4608" width="9.7109375" style="10" customWidth="1"/>
    <col min="4609" max="4609" width="8.85546875" style="10" customWidth="1"/>
    <col min="4610" max="4844" width="9.140625" style="10"/>
    <col min="4845" max="4845" width="13.85546875" style="10" customWidth="1"/>
    <col min="4846" max="4846" width="8.5703125" style="10" customWidth="1"/>
    <col min="4847" max="4847" width="9.7109375" style="10" customWidth="1"/>
    <col min="4848" max="4848" width="7.7109375" style="10" customWidth="1"/>
    <col min="4849" max="4849" width="9.42578125" style="10" customWidth="1"/>
    <col min="4850" max="4850" width="10.42578125" style="10" customWidth="1"/>
    <col min="4851" max="4851" width="7.140625" style="10" customWidth="1"/>
    <col min="4852" max="4852" width="8.42578125" style="10" customWidth="1"/>
    <col min="4853" max="4853" width="9.85546875" style="10" customWidth="1"/>
    <col min="4854" max="4854" width="9.28515625" style="10" customWidth="1"/>
    <col min="4855" max="4855" width="11" style="10" customWidth="1"/>
    <col min="4856" max="4856" width="5.85546875" style="10" customWidth="1"/>
    <col min="4857" max="4857" width="7.42578125" style="10" customWidth="1"/>
    <col min="4858" max="4858" width="10.140625" style="10" customWidth="1"/>
    <col min="4859" max="4859" width="9.42578125" style="10" customWidth="1"/>
    <col min="4860" max="4860" width="9.7109375" style="10" customWidth="1"/>
    <col min="4861" max="4861" width="6.42578125" style="10" customWidth="1"/>
    <col min="4862" max="4862" width="7.5703125" style="10" customWidth="1"/>
    <col min="4863" max="4863" width="10" style="10" customWidth="1"/>
    <col min="4864" max="4864" width="9.7109375" style="10" customWidth="1"/>
    <col min="4865" max="4865" width="8.85546875" style="10" customWidth="1"/>
    <col min="4866" max="5100" width="9.140625" style="10"/>
    <col min="5101" max="5101" width="13.85546875" style="10" customWidth="1"/>
    <col min="5102" max="5102" width="8.5703125" style="10" customWidth="1"/>
    <col min="5103" max="5103" width="9.7109375" style="10" customWidth="1"/>
    <col min="5104" max="5104" width="7.7109375" style="10" customWidth="1"/>
    <col min="5105" max="5105" width="9.42578125" style="10" customWidth="1"/>
    <col min="5106" max="5106" width="10.42578125" style="10" customWidth="1"/>
    <col min="5107" max="5107" width="7.140625" style="10" customWidth="1"/>
    <col min="5108" max="5108" width="8.42578125" style="10" customWidth="1"/>
    <col min="5109" max="5109" width="9.85546875" style="10" customWidth="1"/>
    <col min="5110" max="5110" width="9.28515625" style="10" customWidth="1"/>
    <col min="5111" max="5111" width="11" style="10" customWidth="1"/>
    <col min="5112" max="5112" width="5.85546875" style="10" customWidth="1"/>
    <col min="5113" max="5113" width="7.42578125" style="10" customWidth="1"/>
    <col min="5114" max="5114" width="10.140625" style="10" customWidth="1"/>
    <col min="5115" max="5115" width="9.42578125" style="10" customWidth="1"/>
    <col min="5116" max="5116" width="9.7109375" style="10" customWidth="1"/>
    <col min="5117" max="5117" width="6.42578125" style="10" customWidth="1"/>
    <col min="5118" max="5118" width="7.5703125" style="10" customWidth="1"/>
    <col min="5119" max="5119" width="10" style="10" customWidth="1"/>
    <col min="5120" max="5120" width="9.7109375" style="10" customWidth="1"/>
    <col min="5121" max="5121" width="8.85546875" style="10" customWidth="1"/>
    <col min="5122" max="5356" width="9.140625" style="10"/>
    <col min="5357" max="5357" width="13.85546875" style="10" customWidth="1"/>
    <col min="5358" max="5358" width="8.5703125" style="10" customWidth="1"/>
    <col min="5359" max="5359" width="9.7109375" style="10" customWidth="1"/>
    <col min="5360" max="5360" width="7.7109375" style="10" customWidth="1"/>
    <col min="5361" max="5361" width="9.42578125" style="10" customWidth="1"/>
    <col min="5362" max="5362" width="10.42578125" style="10" customWidth="1"/>
    <col min="5363" max="5363" width="7.140625" style="10" customWidth="1"/>
    <col min="5364" max="5364" width="8.42578125" style="10" customWidth="1"/>
    <col min="5365" max="5365" width="9.85546875" style="10" customWidth="1"/>
    <col min="5366" max="5366" width="9.28515625" style="10" customWidth="1"/>
    <col min="5367" max="5367" width="11" style="10" customWidth="1"/>
    <col min="5368" max="5368" width="5.85546875" style="10" customWidth="1"/>
    <col min="5369" max="5369" width="7.42578125" style="10" customWidth="1"/>
    <col min="5370" max="5370" width="10.140625" style="10" customWidth="1"/>
    <col min="5371" max="5371" width="9.42578125" style="10" customWidth="1"/>
    <col min="5372" max="5372" width="9.7109375" style="10" customWidth="1"/>
    <col min="5373" max="5373" width="6.42578125" style="10" customWidth="1"/>
    <col min="5374" max="5374" width="7.5703125" style="10" customWidth="1"/>
    <col min="5375" max="5375" width="10" style="10" customWidth="1"/>
    <col min="5376" max="5376" width="9.7109375" style="10" customWidth="1"/>
    <col min="5377" max="5377" width="8.85546875" style="10" customWidth="1"/>
    <col min="5378" max="5612" width="9.140625" style="10"/>
    <col min="5613" max="5613" width="13.85546875" style="10" customWidth="1"/>
    <col min="5614" max="5614" width="8.5703125" style="10" customWidth="1"/>
    <col min="5615" max="5615" width="9.7109375" style="10" customWidth="1"/>
    <col min="5616" max="5616" width="7.7109375" style="10" customWidth="1"/>
    <col min="5617" max="5617" width="9.42578125" style="10" customWidth="1"/>
    <col min="5618" max="5618" width="10.42578125" style="10" customWidth="1"/>
    <col min="5619" max="5619" width="7.140625" style="10" customWidth="1"/>
    <col min="5620" max="5620" width="8.42578125" style="10" customWidth="1"/>
    <col min="5621" max="5621" width="9.85546875" style="10" customWidth="1"/>
    <col min="5622" max="5622" width="9.28515625" style="10" customWidth="1"/>
    <col min="5623" max="5623" width="11" style="10" customWidth="1"/>
    <col min="5624" max="5624" width="5.85546875" style="10" customWidth="1"/>
    <col min="5625" max="5625" width="7.42578125" style="10" customWidth="1"/>
    <col min="5626" max="5626" width="10.140625" style="10" customWidth="1"/>
    <col min="5627" max="5627" width="9.42578125" style="10" customWidth="1"/>
    <col min="5628" max="5628" width="9.7109375" style="10" customWidth="1"/>
    <col min="5629" max="5629" width="6.42578125" style="10" customWidth="1"/>
    <col min="5630" max="5630" width="7.5703125" style="10" customWidth="1"/>
    <col min="5631" max="5631" width="10" style="10" customWidth="1"/>
    <col min="5632" max="5632" width="9.7109375" style="10" customWidth="1"/>
    <col min="5633" max="5633" width="8.85546875" style="10" customWidth="1"/>
    <col min="5634" max="5868" width="9.140625" style="10"/>
    <col min="5869" max="5869" width="13.85546875" style="10" customWidth="1"/>
    <col min="5870" max="5870" width="8.5703125" style="10" customWidth="1"/>
    <col min="5871" max="5871" width="9.7109375" style="10" customWidth="1"/>
    <col min="5872" max="5872" width="7.7109375" style="10" customWidth="1"/>
    <col min="5873" max="5873" width="9.42578125" style="10" customWidth="1"/>
    <col min="5874" max="5874" width="10.42578125" style="10" customWidth="1"/>
    <col min="5875" max="5875" width="7.140625" style="10" customWidth="1"/>
    <col min="5876" max="5876" width="8.42578125" style="10" customWidth="1"/>
    <col min="5877" max="5877" width="9.85546875" style="10" customWidth="1"/>
    <col min="5878" max="5878" width="9.28515625" style="10" customWidth="1"/>
    <col min="5879" max="5879" width="11" style="10" customWidth="1"/>
    <col min="5880" max="5880" width="5.85546875" style="10" customWidth="1"/>
    <col min="5881" max="5881" width="7.42578125" style="10" customWidth="1"/>
    <col min="5882" max="5882" width="10.140625" style="10" customWidth="1"/>
    <col min="5883" max="5883" width="9.42578125" style="10" customWidth="1"/>
    <col min="5884" max="5884" width="9.7109375" style="10" customWidth="1"/>
    <col min="5885" max="5885" width="6.42578125" style="10" customWidth="1"/>
    <col min="5886" max="5886" width="7.5703125" style="10" customWidth="1"/>
    <col min="5887" max="5887" width="10" style="10" customWidth="1"/>
    <col min="5888" max="5888" width="9.7109375" style="10" customWidth="1"/>
    <col min="5889" max="5889" width="8.85546875" style="10" customWidth="1"/>
    <col min="5890" max="6124" width="9.140625" style="10"/>
    <col min="6125" max="6125" width="13.85546875" style="10" customWidth="1"/>
    <col min="6126" max="6126" width="8.5703125" style="10" customWidth="1"/>
    <col min="6127" max="6127" width="9.7109375" style="10" customWidth="1"/>
    <col min="6128" max="6128" width="7.7109375" style="10" customWidth="1"/>
    <col min="6129" max="6129" width="9.42578125" style="10" customWidth="1"/>
    <col min="6130" max="6130" width="10.42578125" style="10" customWidth="1"/>
    <col min="6131" max="6131" width="7.140625" style="10" customWidth="1"/>
    <col min="6132" max="6132" width="8.42578125" style="10" customWidth="1"/>
    <col min="6133" max="6133" width="9.85546875" style="10" customWidth="1"/>
    <col min="6134" max="6134" width="9.28515625" style="10" customWidth="1"/>
    <col min="6135" max="6135" width="11" style="10" customWidth="1"/>
    <col min="6136" max="6136" width="5.85546875" style="10" customWidth="1"/>
    <col min="6137" max="6137" width="7.42578125" style="10" customWidth="1"/>
    <col min="6138" max="6138" width="10.140625" style="10" customWidth="1"/>
    <col min="6139" max="6139" width="9.42578125" style="10" customWidth="1"/>
    <col min="6140" max="6140" width="9.7109375" style="10" customWidth="1"/>
    <col min="6141" max="6141" width="6.42578125" style="10" customWidth="1"/>
    <col min="6142" max="6142" width="7.5703125" style="10" customWidth="1"/>
    <col min="6143" max="6143" width="10" style="10" customWidth="1"/>
    <col min="6144" max="6144" width="9.7109375" style="10" customWidth="1"/>
    <col min="6145" max="6145" width="8.85546875" style="10" customWidth="1"/>
    <col min="6146" max="6380" width="9.140625" style="10"/>
    <col min="6381" max="6381" width="13.85546875" style="10" customWidth="1"/>
    <col min="6382" max="6382" width="8.5703125" style="10" customWidth="1"/>
    <col min="6383" max="6383" width="9.7109375" style="10" customWidth="1"/>
    <col min="6384" max="6384" width="7.7109375" style="10" customWidth="1"/>
    <col min="6385" max="6385" width="9.42578125" style="10" customWidth="1"/>
    <col min="6386" max="6386" width="10.42578125" style="10" customWidth="1"/>
    <col min="6387" max="6387" width="7.140625" style="10" customWidth="1"/>
    <col min="6388" max="6388" width="8.42578125" style="10" customWidth="1"/>
    <col min="6389" max="6389" width="9.85546875" style="10" customWidth="1"/>
    <col min="6390" max="6390" width="9.28515625" style="10" customWidth="1"/>
    <col min="6391" max="6391" width="11" style="10" customWidth="1"/>
    <col min="6392" max="6392" width="5.85546875" style="10" customWidth="1"/>
    <col min="6393" max="6393" width="7.42578125" style="10" customWidth="1"/>
    <col min="6394" max="6394" width="10.140625" style="10" customWidth="1"/>
    <col min="6395" max="6395" width="9.42578125" style="10" customWidth="1"/>
    <col min="6396" max="6396" width="9.7109375" style="10" customWidth="1"/>
    <col min="6397" max="6397" width="6.42578125" style="10" customWidth="1"/>
    <col min="6398" max="6398" width="7.5703125" style="10" customWidth="1"/>
    <col min="6399" max="6399" width="10" style="10" customWidth="1"/>
    <col min="6400" max="6400" width="9.7109375" style="10" customWidth="1"/>
    <col min="6401" max="6401" width="8.85546875" style="10" customWidth="1"/>
    <col min="6402" max="6636" width="9.140625" style="10"/>
    <col min="6637" max="6637" width="13.85546875" style="10" customWidth="1"/>
    <col min="6638" max="6638" width="8.5703125" style="10" customWidth="1"/>
    <col min="6639" max="6639" width="9.7109375" style="10" customWidth="1"/>
    <col min="6640" max="6640" width="7.7109375" style="10" customWidth="1"/>
    <col min="6641" max="6641" width="9.42578125" style="10" customWidth="1"/>
    <col min="6642" max="6642" width="10.42578125" style="10" customWidth="1"/>
    <col min="6643" max="6643" width="7.140625" style="10" customWidth="1"/>
    <col min="6644" max="6644" width="8.42578125" style="10" customWidth="1"/>
    <col min="6645" max="6645" width="9.85546875" style="10" customWidth="1"/>
    <col min="6646" max="6646" width="9.28515625" style="10" customWidth="1"/>
    <col min="6647" max="6647" width="11" style="10" customWidth="1"/>
    <col min="6648" max="6648" width="5.85546875" style="10" customWidth="1"/>
    <col min="6649" max="6649" width="7.42578125" style="10" customWidth="1"/>
    <col min="6650" max="6650" width="10.140625" style="10" customWidth="1"/>
    <col min="6651" max="6651" width="9.42578125" style="10" customWidth="1"/>
    <col min="6652" max="6652" width="9.7109375" style="10" customWidth="1"/>
    <col min="6653" max="6653" width="6.42578125" style="10" customWidth="1"/>
    <col min="6654" max="6654" width="7.5703125" style="10" customWidth="1"/>
    <col min="6655" max="6655" width="10" style="10" customWidth="1"/>
    <col min="6656" max="6656" width="9.7109375" style="10" customWidth="1"/>
    <col min="6657" max="6657" width="8.85546875" style="10" customWidth="1"/>
    <col min="6658" max="6892" width="9.140625" style="10"/>
    <col min="6893" max="6893" width="13.85546875" style="10" customWidth="1"/>
    <col min="6894" max="6894" width="8.5703125" style="10" customWidth="1"/>
    <col min="6895" max="6895" width="9.7109375" style="10" customWidth="1"/>
    <col min="6896" max="6896" width="7.7109375" style="10" customWidth="1"/>
    <col min="6897" max="6897" width="9.42578125" style="10" customWidth="1"/>
    <col min="6898" max="6898" width="10.42578125" style="10" customWidth="1"/>
    <col min="6899" max="6899" width="7.140625" style="10" customWidth="1"/>
    <col min="6900" max="6900" width="8.42578125" style="10" customWidth="1"/>
    <col min="6901" max="6901" width="9.85546875" style="10" customWidth="1"/>
    <col min="6902" max="6902" width="9.28515625" style="10" customWidth="1"/>
    <col min="6903" max="6903" width="11" style="10" customWidth="1"/>
    <col min="6904" max="6904" width="5.85546875" style="10" customWidth="1"/>
    <col min="6905" max="6905" width="7.42578125" style="10" customWidth="1"/>
    <col min="6906" max="6906" width="10.140625" style="10" customWidth="1"/>
    <col min="6907" max="6907" width="9.42578125" style="10" customWidth="1"/>
    <col min="6908" max="6908" width="9.7109375" style="10" customWidth="1"/>
    <col min="6909" max="6909" width="6.42578125" style="10" customWidth="1"/>
    <col min="6910" max="6910" width="7.5703125" style="10" customWidth="1"/>
    <col min="6911" max="6911" width="10" style="10" customWidth="1"/>
    <col min="6912" max="6912" width="9.7109375" style="10" customWidth="1"/>
    <col min="6913" max="6913" width="8.85546875" style="10" customWidth="1"/>
    <col min="6914" max="7148" width="9.140625" style="10"/>
    <col min="7149" max="7149" width="13.85546875" style="10" customWidth="1"/>
    <col min="7150" max="7150" width="8.5703125" style="10" customWidth="1"/>
    <col min="7151" max="7151" width="9.7109375" style="10" customWidth="1"/>
    <col min="7152" max="7152" width="7.7109375" style="10" customWidth="1"/>
    <col min="7153" max="7153" width="9.42578125" style="10" customWidth="1"/>
    <col min="7154" max="7154" width="10.42578125" style="10" customWidth="1"/>
    <col min="7155" max="7155" width="7.140625" style="10" customWidth="1"/>
    <col min="7156" max="7156" width="8.42578125" style="10" customWidth="1"/>
    <col min="7157" max="7157" width="9.85546875" style="10" customWidth="1"/>
    <col min="7158" max="7158" width="9.28515625" style="10" customWidth="1"/>
    <col min="7159" max="7159" width="11" style="10" customWidth="1"/>
    <col min="7160" max="7160" width="5.85546875" style="10" customWidth="1"/>
    <col min="7161" max="7161" width="7.42578125" style="10" customWidth="1"/>
    <col min="7162" max="7162" width="10.140625" style="10" customWidth="1"/>
    <col min="7163" max="7163" width="9.42578125" style="10" customWidth="1"/>
    <col min="7164" max="7164" width="9.7109375" style="10" customWidth="1"/>
    <col min="7165" max="7165" width="6.42578125" style="10" customWidth="1"/>
    <col min="7166" max="7166" width="7.5703125" style="10" customWidth="1"/>
    <col min="7167" max="7167" width="10" style="10" customWidth="1"/>
    <col min="7168" max="7168" width="9.7109375" style="10" customWidth="1"/>
    <col min="7169" max="7169" width="8.85546875" style="10" customWidth="1"/>
    <col min="7170" max="7404" width="9.140625" style="10"/>
    <col min="7405" max="7405" width="13.85546875" style="10" customWidth="1"/>
    <col min="7406" max="7406" width="8.5703125" style="10" customWidth="1"/>
    <col min="7407" max="7407" width="9.7109375" style="10" customWidth="1"/>
    <col min="7408" max="7408" width="7.7109375" style="10" customWidth="1"/>
    <col min="7409" max="7409" width="9.42578125" style="10" customWidth="1"/>
    <col min="7410" max="7410" width="10.42578125" style="10" customWidth="1"/>
    <col min="7411" max="7411" width="7.140625" style="10" customWidth="1"/>
    <col min="7412" max="7412" width="8.42578125" style="10" customWidth="1"/>
    <col min="7413" max="7413" width="9.85546875" style="10" customWidth="1"/>
    <col min="7414" max="7414" width="9.28515625" style="10" customWidth="1"/>
    <col min="7415" max="7415" width="11" style="10" customWidth="1"/>
    <col min="7416" max="7416" width="5.85546875" style="10" customWidth="1"/>
    <col min="7417" max="7417" width="7.42578125" style="10" customWidth="1"/>
    <col min="7418" max="7418" width="10.140625" style="10" customWidth="1"/>
    <col min="7419" max="7419" width="9.42578125" style="10" customWidth="1"/>
    <col min="7420" max="7420" width="9.7109375" style="10" customWidth="1"/>
    <col min="7421" max="7421" width="6.42578125" style="10" customWidth="1"/>
    <col min="7422" max="7422" width="7.5703125" style="10" customWidth="1"/>
    <col min="7423" max="7423" width="10" style="10" customWidth="1"/>
    <col min="7424" max="7424" width="9.7109375" style="10" customWidth="1"/>
    <col min="7425" max="7425" width="8.85546875" style="10" customWidth="1"/>
    <col min="7426" max="7660" width="9.140625" style="10"/>
    <col min="7661" max="7661" width="13.85546875" style="10" customWidth="1"/>
    <col min="7662" max="7662" width="8.5703125" style="10" customWidth="1"/>
    <col min="7663" max="7663" width="9.7109375" style="10" customWidth="1"/>
    <col min="7664" max="7664" width="7.7109375" style="10" customWidth="1"/>
    <col min="7665" max="7665" width="9.42578125" style="10" customWidth="1"/>
    <col min="7666" max="7666" width="10.42578125" style="10" customWidth="1"/>
    <col min="7667" max="7667" width="7.140625" style="10" customWidth="1"/>
    <col min="7668" max="7668" width="8.42578125" style="10" customWidth="1"/>
    <col min="7669" max="7669" width="9.85546875" style="10" customWidth="1"/>
    <col min="7670" max="7670" width="9.28515625" style="10" customWidth="1"/>
    <col min="7671" max="7671" width="11" style="10" customWidth="1"/>
    <col min="7672" max="7672" width="5.85546875" style="10" customWidth="1"/>
    <col min="7673" max="7673" width="7.42578125" style="10" customWidth="1"/>
    <col min="7674" max="7674" width="10.140625" style="10" customWidth="1"/>
    <col min="7675" max="7675" width="9.42578125" style="10" customWidth="1"/>
    <col min="7676" max="7676" width="9.7109375" style="10" customWidth="1"/>
    <col min="7677" max="7677" width="6.42578125" style="10" customWidth="1"/>
    <col min="7678" max="7678" width="7.5703125" style="10" customWidth="1"/>
    <col min="7679" max="7679" width="10" style="10" customWidth="1"/>
    <col min="7680" max="7680" width="9.7109375" style="10" customWidth="1"/>
    <col min="7681" max="7681" width="8.85546875" style="10" customWidth="1"/>
    <col min="7682" max="7916" width="9.140625" style="10"/>
    <col min="7917" max="7917" width="13.85546875" style="10" customWidth="1"/>
    <col min="7918" max="7918" width="8.5703125" style="10" customWidth="1"/>
    <col min="7919" max="7919" width="9.7109375" style="10" customWidth="1"/>
    <col min="7920" max="7920" width="7.7109375" style="10" customWidth="1"/>
    <col min="7921" max="7921" width="9.42578125" style="10" customWidth="1"/>
    <col min="7922" max="7922" width="10.42578125" style="10" customWidth="1"/>
    <col min="7923" max="7923" width="7.140625" style="10" customWidth="1"/>
    <col min="7924" max="7924" width="8.42578125" style="10" customWidth="1"/>
    <col min="7925" max="7925" width="9.85546875" style="10" customWidth="1"/>
    <col min="7926" max="7926" width="9.28515625" style="10" customWidth="1"/>
    <col min="7927" max="7927" width="11" style="10" customWidth="1"/>
    <col min="7928" max="7928" width="5.85546875" style="10" customWidth="1"/>
    <col min="7929" max="7929" width="7.42578125" style="10" customWidth="1"/>
    <col min="7930" max="7930" width="10.140625" style="10" customWidth="1"/>
    <col min="7931" max="7931" width="9.42578125" style="10" customWidth="1"/>
    <col min="7932" max="7932" width="9.7109375" style="10" customWidth="1"/>
    <col min="7933" max="7933" width="6.42578125" style="10" customWidth="1"/>
    <col min="7934" max="7934" width="7.5703125" style="10" customWidth="1"/>
    <col min="7935" max="7935" width="10" style="10" customWidth="1"/>
    <col min="7936" max="7936" width="9.7109375" style="10" customWidth="1"/>
    <col min="7937" max="7937" width="8.85546875" style="10" customWidth="1"/>
    <col min="7938" max="8172" width="9.140625" style="10"/>
    <col min="8173" max="8173" width="13.85546875" style="10" customWidth="1"/>
    <col min="8174" max="8174" width="8.5703125" style="10" customWidth="1"/>
    <col min="8175" max="8175" width="9.7109375" style="10" customWidth="1"/>
    <col min="8176" max="8176" width="7.7109375" style="10" customWidth="1"/>
    <col min="8177" max="8177" width="9.42578125" style="10" customWidth="1"/>
    <col min="8178" max="8178" width="10.42578125" style="10" customWidth="1"/>
    <col min="8179" max="8179" width="7.140625" style="10" customWidth="1"/>
    <col min="8180" max="8180" width="8.42578125" style="10" customWidth="1"/>
    <col min="8181" max="8181" width="9.85546875" style="10" customWidth="1"/>
    <col min="8182" max="8182" width="9.28515625" style="10" customWidth="1"/>
    <col min="8183" max="8183" width="11" style="10" customWidth="1"/>
    <col min="8184" max="8184" width="5.85546875" style="10" customWidth="1"/>
    <col min="8185" max="8185" width="7.42578125" style="10" customWidth="1"/>
    <col min="8186" max="8186" width="10.140625" style="10" customWidth="1"/>
    <col min="8187" max="8187" width="9.42578125" style="10" customWidth="1"/>
    <col min="8188" max="8188" width="9.7109375" style="10" customWidth="1"/>
    <col min="8189" max="8189" width="6.42578125" style="10" customWidth="1"/>
    <col min="8190" max="8190" width="7.5703125" style="10" customWidth="1"/>
    <col min="8191" max="8191" width="10" style="10" customWidth="1"/>
    <col min="8192" max="8192" width="9.7109375" style="10" customWidth="1"/>
    <col min="8193" max="8193" width="8.85546875" style="10" customWidth="1"/>
    <col min="8194" max="8428" width="9.140625" style="10"/>
    <col min="8429" max="8429" width="13.85546875" style="10" customWidth="1"/>
    <col min="8430" max="8430" width="8.5703125" style="10" customWidth="1"/>
    <col min="8431" max="8431" width="9.7109375" style="10" customWidth="1"/>
    <col min="8432" max="8432" width="7.7109375" style="10" customWidth="1"/>
    <col min="8433" max="8433" width="9.42578125" style="10" customWidth="1"/>
    <col min="8434" max="8434" width="10.42578125" style="10" customWidth="1"/>
    <col min="8435" max="8435" width="7.140625" style="10" customWidth="1"/>
    <col min="8436" max="8436" width="8.42578125" style="10" customWidth="1"/>
    <col min="8437" max="8437" width="9.85546875" style="10" customWidth="1"/>
    <col min="8438" max="8438" width="9.28515625" style="10" customWidth="1"/>
    <col min="8439" max="8439" width="11" style="10" customWidth="1"/>
    <col min="8440" max="8440" width="5.85546875" style="10" customWidth="1"/>
    <col min="8441" max="8441" width="7.42578125" style="10" customWidth="1"/>
    <col min="8442" max="8442" width="10.140625" style="10" customWidth="1"/>
    <col min="8443" max="8443" width="9.42578125" style="10" customWidth="1"/>
    <col min="8444" max="8444" width="9.7109375" style="10" customWidth="1"/>
    <col min="8445" max="8445" width="6.42578125" style="10" customWidth="1"/>
    <col min="8446" max="8446" width="7.5703125" style="10" customWidth="1"/>
    <col min="8447" max="8447" width="10" style="10" customWidth="1"/>
    <col min="8448" max="8448" width="9.7109375" style="10" customWidth="1"/>
    <col min="8449" max="8449" width="8.85546875" style="10" customWidth="1"/>
    <col min="8450" max="8684" width="9.140625" style="10"/>
    <col min="8685" max="8685" width="13.85546875" style="10" customWidth="1"/>
    <col min="8686" max="8686" width="8.5703125" style="10" customWidth="1"/>
    <col min="8687" max="8687" width="9.7109375" style="10" customWidth="1"/>
    <col min="8688" max="8688" width="7.7109375" style="10" customWidth="1"/>
    <col min="8689" max="8689" width="9.42578125" style="10" customWidth="1"/>
    <col min="8690" max="8690" width="10.42578125" style="10" customWidth="1"/>
    <col min="8691" max="8691" width="7.140625" style="10" customWidth="1"/>
    <col min="8692" max="8692" width="8.42578125" style="10" customWidth="1"/>
    <col min="8693" max="8693" width="9.85546875" style="10" customWidth="1"/>
    <col min="8694" max="8694" width="9.28515625" style="10" customWidth="1"/>
    <col min="8695" max="8695" width="11" style="10" customWidth="1"/>
    <col min="8696" max="8696" width="5.85546875" style="10" customWidth="1"/>
    <col min="8697" max="8697" width="7.42578125" style="10" customWidth="1"/>
    <col min="8698" max="8698" width="10.140625" style="10" customWidth="1"/>
    <col min="8699" max="8699" width="9.42578125" style="10" customWidth="1"/>
    <col min="8700" max="8700" width="9.7109375" style="10" customWidth="1"/>
    <col min="8701" max="8701" width="6.42578125" style="10" customWidth="1"/>
    <col min="8702" max="8702" width="7.5703125" style="10" customWidth="1"/>
    <col min="8703" max="8703" width="10" style="10" customWidth="1"/>
    <col min="8704" max="8704" width="9.7109375" style="10" customWidth="1"/>
    <col min="8705" max="8705" width="8.85546875" style="10" customWidth="1"/>
    <col min="8706" max="8940" width="9.140625" style="10"/>
    <col min="8941" max="8941" width="13.85546875" style="10" customWidth="1"/>
    <col min="8942" max="8942" width="8.5703125" style="10" customWidth="1"/>
    <col min="8943" max="8943" width="9.7109375" style="10" customWidth="1"/>
    <col min="8944" max="8944" width="7.7109375" style="10" customWidth="1"/>
    <col min="8945" max="8945" width="9.42578125" style="10" customWidth="1"/>
    <col min="8946" max="8946" width="10.42578125" style="10" customWidth="1"/>
    <col min="8947" max="8947" width="7.140625" style="10" customWidth="1"/>
    <col min="8948" max="8948" width="8.42578125" style="10" customWidth="1"/>
    <col min="8949" max="8949" width="9.85546875" style="10" customWidth="1"/>
    <col min="8950" max="8950" width="9.28515625" style="10" customWidth="1"/>
    <col min="8951" max="8951" width="11" style="10" customWidth="1"/>
    <col min="8952" max="8952" width="5.85546875" style="10" customWidth="1"/>
    <col min="8953" max="8953" width="7.42578125" style="10" customWidth="1"/>
    <col min="8954" max="8954" width="10.140625" style="10" customWidth="1"/>
    <col min="8955" max="8955" width="9.42578125" style="10" customWidth="1"/>
    <col min="8956" max="8956" width="9.7109375" style="10" customWidth="1"/>
    <col min="8957" max="8957" width="6.42578125" style="10" customWidth="1"/>
    <col min="8958" max="8958" width="7.5703125" style="10" customWidth="1"/>
    <col min="8959" max="8959" width="10" style="10" customWidth="1"/>
    <col min="8960" max="8960" width="9.7109375" style="10" customWidth="1"/>
    <col min="8961" max="8961" width="8.85546875" style="10" customWidth="1"/>
    <col min="8962" max="9196" width="9.140625" style="10"/>
    <col min="9197" max="9197" width="13.85546875" style="10" customWidth="1"/>
    <col min="9198" max="9198" width="8.5703125" style="10" customWidth="1"/>
    <col min="9199" max="9199" width="9.7109375" style="10" customWidth="1"/>
    <col min="9200" max="9200" width="7.7109375" style="10" customWidth="1"/>
    <col min="9201" max="9201" width="9.42578125" style="10" customWidth="1"/>
    <col min="9202" max="9202" width="10.42578125" style="10" customWidth="1"/>
    <col min="9203" max="9203" width="7.140625" style="10" customWidth="1"/>
    <col min="9204" max="9204" width="8.42578125" style="10" customWidth="1"/>
    <col min="9205" max="9205" width="9.85546875" style="10" customWidth="1"/>
    <col min="9206" max="9206" width="9.28515625" style="10" customWidth="1"/>
    <col min="9207" max="9207" width="11" style="10" customWidth="1"/>
    <col min="9208" max="9208" width="5.85546875" style="10" customWidth="1"/>
    <col min="9209" max="9209" width="7.42578125" style="10" customWidth="1"/>
    <col min="9210" max="9210" width="10.140625" style="10" customWidth="1"/>
    <col min="9211" max="9211" width="9.42578125" style="10" customWidth="1"/>
    <col min="9212" max="9212" width="9.7109375" style="10" customWidth="1"/>
    <col min="9213" max="9213" width="6.42578125" style="10" customWidth="1"/>
    <col min="9214" max="9214" width="7.5703125" style="10" customWidth="1"/>
    <col min="9215" max="9215" width="10" style="10" customWidth="1"/>
    <col min="9216" max="9216" width="9.7109375" style="10" customWidth="1"/>
    <col min="9217" max="9217" width="8.85546875" style="10" customWidth="1"/>
    <col min="9218" max="9452" width="9.140625" style="10"/>
    <col min="9453" max="9453" width="13.85546875" style="10" customWidth="1"/>
    <col min="9454" max="9454" width="8.5703125" style="10" customWidth="1"/>
    <col min="9455" max="9455" width="9.7109375" style="10" customWidth="1"/>
    <col min="9456" max="9456" width="7.7109375" style="10" customWidth="1"/>
    <col min="9457" max="9457" width="9.42578125" style="10" customWidth="1"/>
    <col min="9458" max="9458" width="10.42578125" style="10" customWidth="1"/>
    <col min="9459" max="9459" width="7.140625" style="10" customWidth="1"/>
    <col min="9460" max="9460" width="8.42578125" style="10" customWidth="1"/>
    <col min="9461" max="9461" width="9.85546875" style="10" customWidth="1"/>
    <col min="9462" max="9462" width="9.28515625" style="10" customWidth="1"/>
    <col min="9463" max="9463" width="11" style="10" customWidth="1"/>
    <col min="9464" max="9464" width="5.85546875" style="10" customWidth="1"/>
    <col min="9465" max="9465" width="7.42578125" style="10" customWidth="1"/>
    <col min="9466" max="9466" width="10.140625" style="10" customWidth="1"/>
    <col min="9467" max="9467" width="9.42578125" style="10" customWidth="1"/>
    <col min="9468" max="9468" width="9.7109375" style="10" customWidth="1"/>
    <col min="9469" max="9469" width="6.42578125" style="10" customWidth="1"/>
    <col min="9470" max="9470" width="7.5703125" style="10" customWidth="1"/>
    <col min="9471" max="9471" width="10" style="10" customWidth="1"/>
    <col min="9472" max="9472" width="9.7109375" style="10" customWidth="1"/>
    <col min="9473" max="9473" width="8.85546875" style="10" customWidth="1"/>
    <col min="9474" max="9708" width="9.140625" style="10"/>
    <col min="9709" max="9709" width="13.85546875" style="10" customWidth="1"/>
    <col min="9710" max="9710" width="8.5703125" style="10" customWidth="1"/>
    <col min="9711" max="9711" width="9.7109375" style="10" customWidth="1"/>
    <col min="9712" max="9712" width="7.7109375" style="10" customWidth="1"/>
    <col min="9713" max="9713" width="9.42578125" style="10" customWidth="1"/>
    <col min="9714" max="9714" width="10.42578125" style="10" customWidth="1"/>
    <col min="9715" max="9715" width="7.140625" style="10" customWidth="1"/>
    <col min="9716" max="9716" width="8.42578125" style="10" customWidth="1"/>
    <col min="9717" max="9717" width="9.85546875" style="10" customWidth="1"/>
    <col min="9718" max="9718" width="9.28515625" style="10" customWidth="1"/>
    <col min="9719" max="9719" width="11" style="10" customWidth="1"/>
    <col min="9720" max="9720" width="5.85546875" style="10" customWidth="1"/>
    <col min="9721" max="9721" width="7.42578125" style="10" customWidth="1"/>
    <col min="9722" max="9722" width="10.140625" style="10" customWidth="1"/>
    <col min="9723" max="9723" width="9.42578125" style="10" customWidth="1"/>
    <col min="9724" max="9724" width="9.7109375" style="10" customWidth="1"/>
    <col min="9725" max="9725" width="6.42578125" style="10" customWidth="1"/>
    <col min="9726" max="9726" width="7.5703125" style="10" customWidth="1"/>
    <col min="9727" max="9727" width="10" style="10" customWidth="1"/>
    <col min="9728" max="9728" width="9.7109375" style="10" customWidth="1"/>
    <col min="9729" max="9729" width="8.85546875" style="10" customWidth="1"/>
    <col min="9730" max="9964" width="9.140625" style="10"/>
    <col min="9965" max="9965" width="13.85546875" style="10" customWidth="1"/>
    <col min="9966" max="9966" width="8.5703125" style="10" customWidth="1"/>
    <col min="9967" max="9967" width="9.7109375" style="10" customWidth="1"/>
    <col min="9968" max="9968" width="7.7109375" style="10" customWidth="1"/>
    <col min="9969" max="9969" width="9.42578125" style="10" customWidth="1"/>
    <col min="9970" max="9970" width="10.42578125" style="10" customWidth="1"/>
    <col min="9971" max="9971" width="7.140625" style="10" customWidth="1"/>
    <col min="9972" max="9972" width="8.42578125" style="10" customWidth="1"/>
    <col min="9973" max="9973" width="9.85546875" style="10" customWidth="1"/>
    <col min="9974" max="9974" width="9.28515625" style="10" customWidth="1"/>
    <col min="9975" max="9975" width="11" style="10" customWidth="1"/>
    <col min="9976" max="9976" width="5.85546875" style="10" customWidth="1"/>
    <col min="9977" max="9977" width="7.42578125" style="10" customWidth="1"/>
    <col min="9978" max="9978" width="10.140625" style="10" customWidth="1"/>
    <col min="9979" max="9979" width="9.42578125" style="10" customWidth="1"/>
    <col min="9980" max="9980" width="9.7109375" style="10" customWidth="1"/>
    <col min="9981" max="9981" width="6.42578125" style="10" customWidth="1"/>
    <col min="9982" max="9982" width="7.5703125" style="10" customWidth="1"/>
    <col min="9983" max="9983" width="10" style="10" customWidth="1"/>
    <col min="9984" max="9984" width="9.7109375" style="10" customWidth="1"/>
    <col min="9985" max="9985" width="8.85546875" style="10" customWidth="1"/>
    <col min="9986" max="10220" width="9.140625" style="10"/>
    <col min="10221" max="10221" width="13.85546875" style="10" customWidth="1"/>
    <col min="10222" max="10222" width="8.5703125" style="10" customWidth="1"/>
    <col min="10223" max="10223" width="9.7109375" style="10" customWidth="1"/>
    <col min="10224" max="10224" width="7.7109375" style="10" customWidth="1"/>
    <col min="10225" max="10225" width="9.42578125" style="10" customWidth="1"/>
    <col min="10226" max="10226" width="10.42578125" style="10" customWidth="1"/>
    <col min="10227" max="10227" width="7.140625" style="10" customWidth="1"/>
    <col min="10228" max="10228" width="8.42578125" style="10" customWidth="1"/>
    <col min="10229" max="10229" width="9.85546875" style="10" customWidth="1"/>
    <col min="10230" max="10230" width="9.28515625" style="10" customWidth="1"/>
    <col min="10231" max="10231" width="11" style="10" customWidth="1"/>
    <col min="10232" max="10232" width="5.85546875" style="10" customWidth="1"/>
    <col min="10233" max="10233" width="7.42578125" style="10" customWidth="1"/>
    <col min="10234" max="10234" width="10.140625" style="10" customWidth="1"/>
    <col min="10235" max="10235" width="9.42578125" style="10" customWidth="1"/>
    <col min="10236" max="10236" width="9.7109375" style="10" customWidth="1"/>
    <col min="10237" max="10237" width="6.42578125" style="10" customWidth="1"/>
    <col min="10238" max="10238" width="7.5703125" style="10" customWidth="1"/>
    <col min="10239" max="10239" width="10" style="10" customWidth="1"/>
    <col min="10240" max="10240" width="9.7109375" style="10" customWidth="1"/>
    <col min="10241" max="10241" width="8.85546875" style="10" customWidth="1"/>
    <col min="10242" max="10476" width="9.140625" style="10"/>
    <col min="10477" max="10477" width="13.85546875" style="10" customWidth="1"/>
    <col min="10478" max="10478" width="8.5703125" style="10" customWidth="1"/>
    <col min="10479" max="10479" width="9.7109375" style="10" customWidth="1"/>
    <col min="10480" max="10480" width="7.7109375" style="10" customWidth="1"/>
    <col min="10481" max="10481" width="9.42578125" style="10" customWidth="1"/>
    <col min="10482" max="10482" width="10.42578125" style="10" customWidth="1"/>
    <col min="10483" max="10483" width="7.140625" style="10" customWidth="1"/>
    <col min="10484" max="10484" width="8.42578125" style="10" customWidth="1"/>
    <col min="10485" max="10485" width="9.85546875" style="10" customWidth="1"/>
    <col min="10486" max="10486" width="9.28515625" style="10" customWidth="1"/>
    <col min="10487" max="10487" width="11" style="10" customWidth="1"/>
    <col min="10488" max="10488" width="5.85546875" style="10" customWidth="1"/>
    <col min="10489" max="10489" width="7.42578125" style="10" customWidth="1"/>
    <col min="10490" max="10490" width="10.140625" style="10" customWidth="1"/>
    <col min="10491" max="10491" width="9.42578125" style="10" customWidth="1"/>
    <col min="10492" max="10492" width="9.7109375" style="10" customWidth="1"/>
    <col min="10493" max="10493" width="6.42578125" style="10" customWidth="1"/>
    <col min="10494" max="10494" width="7.5703125" style="10" customWidth="1"/>
    <col min="10495" max="10495" width="10" style="10" customWidth="1"/>
    <col min="10496" max="10496" width="9.7109375" style="10" customWidth="1"/>
    <col min="10497" max="10497" width="8.85546875" style="10" customWidth="1"/>
    <col min="10498" max="10732" width="9.140625" style="10"/>
    <col min="10733" max="10733" width="13.85546875" style="10" customWidth="1"/>
    <col min="10734" max="10734" width="8.5703125" style="10" customWidth="1"/>
    <col min="10735" max="10735" width="9.7109375" style="10" customWidth="1"/>
    <col min="10736" max="10736" width="7.7109375" style="10" customWidth="1"/>
    <col min="10737" max="10737" width="9.42578125" style="10" customWidth="1"/>
    <col min="10738" max="10738" width="10.42578125" style="10" customWidth="1"/>
    <col min="10739" max="10739" width="7.140625" style="10" customWidth="1"/>
    <col min="10740" max="10740" width="8.42578125" style="10" customWidth="1"/>
    <col min="10741" max="10741" width="9.85546875" style="10" customWidth="1"/>
    <col min="10742" max="10742" width="9.28515625" style="10" customWidth="1"/>
    <col min="10743" max="10743" width="11" style="10" customWidth="1"/>
    <col min="10744" max="10744" width="5.85546875" style="10" customWidth="1"/>
    <col min="10745" max="10745" width="7.42578125" style="10" customWidth="1"/>
    <col min="10746" max="10746" width="10.140625" style="10" customWidth="1"/>
    <col min="10747" max="10747" width="9.42578125" style="10" customWidth="1"/>
    <col min="10748" max="10748" width="9.7109375" style="10" customWidth="1"/>
    <col min="10749" max="10749" width="6.42578125" style="10" customWidth="1"/>
    <col min="10750" max="10750" width="7.5703125" style="10" customWidth="1"/>
    <col min="10751" max="10751" width="10" style="10" customWidth="1"/>
    <col min="10752" max="10752" width="9.7109375" style="10" customWidth="1"/>
    <col min="10753" max="10753" width="8.85546875" style="10" customWidth="1"/>
    <col min="10754" max="10988" width="9.140625" style="10"/>
    <col min="10989" max="10989" width="13.85546875" style="10" customWidth="1"/>
    <col min="10990" max="10990" width="8.5703125" style="10" customWidth="1"/>
    <col min="10991" max="10991" width="9.7109375" style="10" customWidth="1"/>
    <col min="10992" max="10992" width="7.7109375" style="10" customWidth="1"/>
    <col min="10993" max="10993" width="9.42578125" style="10" customWidth="1"/>
    <col min="10994" max="10994" width="10.42578125" style="10" customWidth="1"/>
    <col min="10995" max="10995" width="7.140625" style="10" customWidth="1"/>
    <col min="10996" max="10996" width="8.42578125" style="10" customWidth="1"/>
    <col min="10997" max="10997" width="9.85546875" style="10" customWidth="1"/>
    <col min="10998" max="10998" width="9.28515625" style="10" customWidth="1"/>
    <col min="10999" max="10999" width="11" style="10" customWidth="1"/>
    <col min="11000" max="11000" width="5.85546875" style="10" customWidth="1"/>
    <col min="11001" max="11001" width="7.42578125" style="10" customWidth="1"/>
    <col min="11002" max="11002" width="10.140625" style="10" customWidth="1"/>
    <col min="11003" max="11003" width="9.42578125" style="10" customWidth="1"/>
    <col min="11004" max="11004" width="9.7109375" style="10" customWidth="1"/>
    <col min="11005" max="11005" width="6.42578125" style="10" customWidth="1"/>
    <col min="11006" max="11006" width="7.5703125" style="10" customWidth="1"/>
    <col min="11007" max="11007" width="10" style="10" customWidth="1"/>
    <col min="11008" max="11008" width="9.7109375" style="10" customWidth="1"/>
    <col min="11009" max="11009" width="8.85546875" style="10" customWidth="1"/>
    <col min="11010" max="11244" width="9.140625" style="10"/>
    <col min="11245" max="11245" width="13.85546875" style="10" customWidth="1"/>
    <col min="11246" max="11246" width="8.5703125" style="10" customWidth="1"/>
    <col min="11247" max="11247" width="9.7109375" style="10" customWidth="1"/>
    <col min="11248" max="11248" width="7.7109375" style="10" customWidth="1"/>
    <col min="11249" max="11249" width="9.42578125" style="10" customWidth="1"/>
    <col min="11250" max="11250" width="10.42578125" style="10" customWidth="1"/>
    <col min="11251" max="11251" width="7.140625" style="10" customWidth="1"/>
    <col min="11252" max="11252" width="8.42578125" style="10" customWidth="1"/>
    <col min="11253" max="11253" width="9.85546875" style="10" customWidth="1"/>
    <col min="11254" max="11254" width="9.28515625" style="10" customWidth="1"/>
    <col min="11255" max="11255" width="11" style="10" customWidth="1"/>
    <col min="11256" max="11256" width="5.85546875" style="10" customWidth="1"/>
    <col min="11257" max="11257" width="7.42578125" style="10" customWidth="1"/>
    <col min="11258" max="11258" width="10.140625" style="10" customWidth="1"/>
    <col min="11259" max="11259" width="9.42578125" style="10" customWidth="1"/>
    <col min="11260" max="11260" width="9.7109375" style="10" customWidth="1"/>
    <col min="11261" max="11261" width="6.42578125" style="10" customWidth="1"/>
    <col min="11262" max="11262" width="7.5703125" style="10" customWidth="1"/>
    <col min="11263" max="11263" width="10" style="10" customWidth="1"/>
    <col min="11264" max="11264" width="9.7109375" style="10" customWidth="1"/>
    <col min="11265" max="11265" width="8.85546875" style="10" customWidth="1"/>
    <col min="11266" max="11500" width="9.140625" style="10"/>
    <col min="11501" max="11501" width="13.85546875" style="10" customWidth="1"/>
    <col min="11502" max="11502" width="8.5703125" style="10" customWidth="1"/>
    <col min="11503" max="11503" width="9.7109375" style="10" customWidth="1"/>
    <col min="11504" max="11504" width="7.7109375" style="10" customWidth="1"/>
    <col min="11505" max="11505" width="9.42578125" style="10" customWidth="1"/>
    <col min="11506" max="11506" width="10.42578125" style="10" customWidth="1"/>
    <col min="11507" max="11507" width="7.140625" style="10" customWidth="1"/>
    <col min="11508" max="11508" width="8.42578125" style="10" customWidth="1"/>
    <col min="11509" max="11509" width="9.85546875" style="10" customWidth="1"/>
    <col min="11510" max="11510" width="9.28515625" style="10" customWidth="1"/>
    <col min="11511" max="11511" width="11" style="10" customWidth="1"/>
    <col min="11512" max="11512" width="5.85546875" style="10" customWidth="1"/>
    <col min="11513" max="11513" width="7.42578125" style="10" customWidth="1"/>
    <col min="11514" max="11514" width="10.140625" style="10" customWidth="1"/>
    <col min="11515" max="11515" width="9.42578125" style="10" customWidth="1"/>
    <col min="11516" max="11516" width="9.7109375" style="10" customWidth="1"/>
    <col min="11517" max="11517" width="6.42578125" style="10" customWidth="1"/>
    <col min="11518" max="11518" width="7.5703125" style="10" customWidth="1"/>
    <col min="11519" max="11519" width="10" style="10" customWidth="1"/>
    <col min="11520" max="11520" width="9.7109375" style="10" customWidth="1"/>
    <col min="11521" max="11521" width="8.85546875" style="10" customWidth="1"/>
    <col min="11522" max="11756" width="9.140625" style="10"/>
    <col min="11757" max="11757" width="13.85546875" style="10" customWidth="1"/>
    <col min="11758" max="11758" width="8.5703125" style="10" customWidth="1"/>
    <col min="11759" max="11759" width="9.7109375" style="10" customWidth="1"/>
    <col min="11760" max="11760" width="7.7109375" style="10" customWidth="1"/>
    <col min="11761" max="11761" width="9.42578125" style="10" customWidth="1"/>
    <col min="11762" max="11762" width="10.42578125" style="10" customWidth="1"/>
    <col min="11763" max="11763" width="7.140625" style="10" customWidth="1"/>
    <col min="11764" max="11764" width="8.42578125" style="10" customWidth="1"/>
    <col min="11765" max="11765" width="9.85546875" style="10" customWidth="1"/>
    <col min="11766" max="11766" width="9.28515625" style="10" customWidth="1"/>
    <col min="11767" max="11767" width="11" style="10" customWidth="1"/>
    <col min="11768" max="11768" width="5.85546875" style="10" customWidth="1"/>
    <col min="11769" max="11769" width="7.42578125" style="10" customWidth="1"/>
    <col min="11770" max="11770" width="10.140625" style="10" customWidth="1"/>
    <col min="11771" max="11771" width="9.42578125" style="10" customWidth="1"/>
    <col min="11772" max="11772" width="9.7109375" style="10" customWidth="1"/>
    <col min="11773" max="11773" width="6.42578125" style="10" customWidth="1"/>
    <col min="11774" max="11774" width="7.5703125" style="10" customWidth="1"/>
    <col min="11775" max="11775" width="10" style="10" customWidth="1"/>
    <col min="11776" max="11776" width="9.7109375" style="10" customWidth="1"/>
    <col min="11777" max="11777" width="8.85546875" style="10" customWidth="1"/>
    <col min="11778" max="12012" width="9.140625" style="10"/>
    <col min="12013" max="12013" width="13.85546875" style="10" customWidth="1"/>
    <col min="12014" max="12014" width="8.5703125" style="10" customWidth="1"/>
    <col min="12015" max="12015" width="9.7109375" style="10" customWidth="1"/>
    <col min="12016" max="12016" width="7.7109375" style="10" customWidth="1"/>
    <col min="12017" max="12017" width="9.42578125" style="10" customWidth="1"/>
    <col min="12018" max="12018" width="10.42578125" style="10" customWidth="1"/>
    <col min="12019" max="12019" width="7.140625" style="10" customWidth="1"/>
    <col min="12020" max="12020" width="8.42578125" style="10" customWidth="1"/>
    <col min="12021" max="12021" width="9.85546875" style="10" customWidth="1"/>
    <col min="12022" max="12022" width="9.28515625" style="10" customWidth="1"/>
    <col min="12023" max="12023" width="11" style="10" customWidth="1"/>
    <col min="12024" max="12024" width="5.85546875" style="10" customWidth="1"/>
    <col min="12025" max="12025" width="7.42578125" style="10" customWidth="1"/>
    <col min="12026" max="12026" width="10.140625" style="10" customWidth="1"/>
    <col min="12027" max="12027" width="9.42578125" style="10" customWidth="1"/>
    <col min="12028" max="12028" width="9.7109375" style="10" customWidth="1"/>
    <col min="12029" max="12029" width="6.42578125" style="10" customWidth="1"/>
    <col min="12030" max="12030" width="7.5703125" style="10" customWidth="1"/>
    <col min="12031" max="12031" width="10" style="10" customWidth="1"/>
    <col min="12032" max="12032" width="9.7109375" style="10" customWidth="1"/>
    <col min="12033" max="12033" width="8.85546875" style="10" customWidth="1"/>
    <col min="12034" max="12268" width="9.140625" style="10"/>
    <col min="12269" max="12269" width="13.85546875" style="10" customWidth="1"/>
    <col min="12270" max="12270" width="8.5703125" style="10" customWidth="1"/>
    <col min="12271" max="12271" width="9.7109375" style="10" customWidth="1"/>
    <col min="12272" max="12272" width="7.7109375" style="10" customWidth="1"/>
    <col min="12273" max="12273" width="9.42578125" style="10" customWidth="1"/>
    <col min="12274" max="12274" width="10.42578125" style="10" customWidth="1"/>
    <col min="12275" max="12275" width="7.140625" style="10" customWidth="1"/>
    <col min="12276" max="12276" width="8.42578125" style="10" customWidth="1"/>
    <col min="12277" max="12277" width="9.85546875" style="10" customWidth="1"/>
    <col min="12278" max="12278" width="9.28515625" style="10" customWidth="1"/>
    <col min="12279" max="12279" width="11" style="10" customWidth="1"/>
    <col min="12280" max="12280" width="5.85546875" style="10" customWidth="1"/>
    <col min="12281" max="12281" width="7.42578125" style="10" customWidth="1"/>
    <col min="12282" max="12282" width="10.140625" style="10" customWidth="1"/>
    <col min="12283" max="12283" width="9.42578125" style="10" customWidth="1"/>
    <col min="12284" max="12284" width="9.7109375" style="10" customWidth="1"/>
    <col min="12285" max="12285" width="6.42578125" style="10" customWidth="1"/>
    <col min="12286" max="12286" width="7.5703125" style="10" customWidth="1"/>
    <col min="12287" max="12287" width="10" style="10" customWidth="1"/>
    <col min="12288" max="12288" width="9.7109375" style="10" customWidth="1"/>
    <col min="12289" max="12289" width="8.85546875" style="10" customWidth="1"/>
    <col min="12290" max="12524" width="9.140625" style="10"/>
    <col min="12525" max="12525" width="13.85546875" style="10" customWidth="1"/>
    <col min="12526" max="12526" width="8.5703125" style="10" customWidth="1"/>
    <col min="12527" max="12527" width="9.7109375" style="10" customWidth="1"/>
    <col min="12528" max="12528" width="7.7109375" style="10" customWidth="1"/>
    <col min="12529" max="12529" width="9.42578125" style="10" customWidth="1"/>
    <col min="12530" max="12530" width="10.42578125" style="10" customWidth="1"/>
    <col min="12531" max="12531" width="7.140625" style="10" customWidth="1"/>
    <col min="12532" max="12532" width="8.42578125" style="10" customWidth="1"/>
    <col min="12533" max="12533" width="9.85546875" style="10" customWidth="1"/>
    <col min="12534" max="12534" width="9.28515625" style="10" customWidth="1"/>
    <col min="12535" max="12535" width="11" style="10" customWidth="1"/>
    <col min="12536" max="12536" width="5.85546875" style="10" customWidth="1"/>
    <col min="12537" max="12537" width="7.42578125" style="10" customWidth="1"/>
    <col min="12538" max="12538" width="10.140625" style="10" customWidth="1"/>
    <col min="12539" max="12539" width="9.42578125" style="10" customWidth="1"/>
    <col min="12540" max="12540" width="9.7109375" style="10" customWidth="1"/>
    <col min="12541" max="12541" width="6.42578125" style="10" customWidth="1"/>
    <col min="12542" max="12542" width="7.5703125" style="10" customWidth="1"/>
    <col min="12543" max="12543" width="10" style="10" customWidth="1"/>
    <col min="12544" max="12544" width="9.7109375" style="10" customWidth="1"/>
    <col min="12545" max="12545" width="8.85546875" style="10" customWidth="1"/>
    <col min="12546" max="12780" width="9.140625" style="10"/>
    <col min="12781" max="12781" width="13.85546875" style="10" customWidth="1"/>
    <col min="12782" max="12782" width="8.5703125" style="10" customWidth="1"/>
    <col min="12783" max="12783" width="9.7109375" style="10" customWidth="1"/>
    <col min="12784" max="12784" width="7.7109375" style="10" customWidth="1"/>
    <col min="12785" max="12785" width="9.42578125" style="10" customWidth="1"/>
    <col min="12786" max="12786" width="10.42578125" style="10" customWidth="1"/>
    <col min="12787" max="12787" width="7.140625" style="10" customWidth="1"/>
    <col min="12788" max="12788" width="8.42578125" style="10" customWidth="1"/>
    <col min="12789" max="12789" width="9.85546875" style="10" customWidth="1"/>
    <col min="12790" max="12790" width="9.28515625" style="10" customWidth="1"/>
    <col min="12791" max="12791" width="11" style="10" customWidth="1"/>
    <col min="12792" max="12792" width="5.85546875" style="10" customWidth="1"/>
    <col min="12793" max="12793" width="7.42578125" style="10" customWidth="1"/>
    <col min="12794" max="12794" width="10.140625" style="10" customWidth="1"/>
    <col min="12795" max="12795" width="9.42578125" style="10" customWidth="1"/>
    <col min="12796" max="12796" width="9.7109375" style="10" customWidth="1"/>
    <col min="12797" max="12797" width="6.42578125" style="10" customWidth="1"/>
    <col min="12798" max="12798" width="7.5703125" style="10" customWidth="1"/>
    <col min="12799" max="12799" width="10" style="10" customWidth="1"/>
    <col min="12800" max="12800" width="9.7109375" style="10" customWidth="1"/>
    <col min="12801" max="12801" width="8.85546875" style="10" customWidth="1"/>
    <col min="12802" max="13036" width="9.140625" style="10"/>
    <col min="13037" max="13037" width="13.85546875" style="10" customWidth="1"/>
    <col min="13038" max="13038" width="8.5703125" style="10" customWidth="1"/>
    <col min="13039" max="13039" width="9.7109375" style="10" customWidth="1"/>
    <col min="13040" max="13040" width="7.7109375" style="10" customWidth="1"/>
    <col min="13041" max="13041" width="9.42578125" style="10" customWidth="1"/>
    <col min="13042" max="13042" width="10.42578125" style="10" customWidth="1"/>
    <col min="13043" max="13043" width="7.140625" style="10" customWidth="1"/>
    <col min="13044" max="13044" width="8.42578125" style="10" customWidth="1"/>
    <col min="13045" max="13045" width="9.85546875" style="10" customWidth="1"/>
    <col min="13046" max="13046" width="9.28515625" style="10" customWidth="1"/>
    <col min="13047" max="13047" width="11" style="10" customWidth="1"/>
    <col min="13048" max="13048" width="5.85546875" style="10" customWidth="1"/>
    <col min="13049" max="13049" width="7.42578125" style="10" customWidth="1"/>
    <col min="13050" max="13050" width="10.140625" style="10" customWidth="1"/>
    <col min="13051" max="13051" width="9.42578125" style="10" customWidth="1"/>
    <col min="13052" max="13052" width="9.7109375" style="10" customWidth="1"/>
    <col min="13053" max="13053" width="6.42578125" style="10" customWidth="1"/>
    <col min="13054" max="13054" width="7.5703125" style="10" customWidth="1"/>
    <col min="13055" max="13055" width="10" style="10" customWidth="1"/>
    <col min="13056" max="13056" width="9.7109375" style="10" customWidth="1"/>
    <col min="13057" max="13057" width="8.85546875" style="10" customWidth="1"/>
    <col min="13058" max="13292" width="9.140625" style="10"/>
    <col min="13293" max="13293" width="13.85546875" style="10" customWidth="1"/>
    <col min="13294" max="13294" width="8.5703125" style="10" customWidth="1"/>
    <col min="13295" max="13295" width="9.7109375" style="10" customWidth="1"/>
    <col min="13296" max="13296" width="7.7109375" style="10" customWidth="1"/>
    <col min="13297" max="13297" width="9.42578125" style="10" customWidth="1"/>
    <col min="13298" max="13298" width="10.42578125" style="10" customWidth="1"/>
    <col min="13299" max="13299" width="7.140625" style="10" customWidth="1"/>
    <col min="13300" max="13300" width="8.42578125" style="10" customWidth="1"/>
    <col min="13301" max="13301" width="9.85546875" style="10" customWidth="1"/>
    <col min="13302" max="13302" width="9.28515625" style="10" customWidth="1"/>
    <col min="13303" max="13303" width="11" style="10" customWidth="1"/>
    <col min="13304" max="13304" width="5.85546875" style="10" customWidth="1"/>
    <col min="13305" max="13305" width="7.42578125" style="10" customWidth="1"/>
    <col min="13306" max="13306" width="10.140625" style="10" customWidth="1"/>
    <col min="13307" max="13307" width="9.42578125" style="10" customWidth="1"/>
    <col min="13308" max="13308" width="9.7109375" style="10" customWidth="1"/>
    <col min="13309" max="13309" width="6.42578125" style="10" customWidth="1"/>
    <col min="13310" max="13310" width="7.5703125" style="10" customWidth="1"/>
    <col min="13311" max="13311" width="10" style="10" customWidth="1"/>
    <col min="13312" max="13312" width="9.7109375" style="10" customWidth="1"/>
    <col min="13313" max="13313" width="8.85546875" style="10" customWidth="1"/>
    <col min="13314" max="13548" width="9.140625" style="10"/>
    <col min="13549" max="13549" width="13.85546875" style="10" customWidth="1"/>
    <col min="13550" max="13550" width="8.5703125" style="10" customWidth="1"/>
    <col min="13551" max="13551" width="9.7109375" style="10" customWidth="1"/>
    <col min="13552" max="13552" width="7.7109375" style="10" customWidth="1"/>
    <col min="13553" max="13553" width="9.42578125" style="10" customWidth="1"/>
    <col min="13554" max="13554" width="10.42578125" style="10" customWidth="1"/>
    <col min="13555" max="13555" width="7.140625" style="10" customWidth="1"/>
    <col min="13556" max="13556" width="8.42578125" style="10" customWidth="1"/>
    <col min="13557" max="13557" width="9.85546875" style="10" customWidth="1"/>
    <col min="13558" max="13558" width="9.28515625" style="10" customWidth="1"/>
    <col min="13559" max="13559" width="11" style="10" customWidth="1"/>
    <col min="13560" max="13560" width="5.85546875" style="10" customWidth="1"/>
    <col min="13561" max="13561" width="7.42578125" style="10" customWidth="1"/>
    <col min="13562" max="13562" width="10.140625" style="10" customWidth="1"/>
    <col min="13563" max="13563" width="9.42578125" style="10" customWidth="1"/>
    <col min="13564" max="13564" width="9.7109375" style="10" customWidth="1"/>
    <col min="13565" max="13565" width="6.42578125" style="10" customWidth="1"/>
    <col min="13566" max="13566" width="7.5703125" style="10" customWidth="1"/>
    <col min="13567" max="13567" width="10" style="10" customWidth="1"/>
    <col min="13568" max="13568" width="9.7109375" style="10" customWidth="1"/>
    <col min="13569" max="13569" width="8.85546875" style="10" customWidth="1"/>
    <col min="13570" max="13804" width="9.140625" style="10"/>
    <col min="13805" max="13805" width="13.85546875" style="10" customWidth="1"/>
    <col min="13806" max="13806" width="8.5703125" style="10" customWidth="1"/>
    <col min="13807" max="13807" width="9.7109375" style="10" customWidth="1"/>
    <col min="13808" max="13808" width="7.7109375" style="10" customWidth="1"/>
    <col min="13809" max="13809" width="9.42578125" style="10" customWidth="1"/>
    <col min="13810" max="13810" width="10.42578125" style="10" customWidth="1"/>
    <col min="13811" max="13811" width="7.140625" style="10" customWidth="1"/>
    <col min="13812" max="13812" width="8.42578125" style="10" customWidth="1"/>
    <col min="13813" max="13813" width="9.85546875" style="10" customWidth="1"/>
    <col min="13814" max="13814" width="9.28515625" style="10" customWidth="1"/>
    <col min="13815" max="13815" width="11" style="10" customWidth="1"/>
    <col min="13816" max="13816" width="5.85546875" style="10" customWidth="1"/>
    <col min="13817" max="13817" width="7.42578125" style="10" customWidth="1"/>
    <col min="13818" max="13818" width="10.140625" style="10" customWidth="1"/>
    <col min="13819" max="13819" width="9.42578125" style="10" customWidth="1"/>
    <col min="13820" max="13820" width="9.7109375" style="10" customWidth="1"/>
    <col min="13821" max="13821" width="6.42578125" style="10" customWidth="1"/>
    <col min="13822" max="13822" width="7.5703125" style="10" customWidth="1"/>
    <col min="13823" max="13823" width="10" style="10" customWidth="1"/>
    <col min="13824" max="13824" width="9.7109375" style="10" customWidth="1"/>
    <col min="13825" max="13825" width="8.85546875" style="10" customWidth="1"/>
    <col min="13826" max="14060" width="9.140625" style="10"/>
    <col min="14061" max="14061" width="13.85546875" style="10" customWidth="1"/>
    <col min="14062" max="14062" width="8.5703125" style="10" customWidth="1"/>
    <col min="14063" max="14063" width="9.7109375" style="10" customWidth="1"/>
    <col min="14064" max="14064" width="7.7109375" style="10" customWidth="1"/>
    <col min="14065" max="14065" width="9.42578125" style="10" customWidth="1"/>
    <col min="14066" max="14066" width="10.42578125" style="10" customWidth="1"/>
    <col min="14067" max="14067" width="7.140625" style="10" customWidth="1"/>
    <col min="14068" max="14068" width="8.42578125" style="10" customWidth="1"/>
    <col min="14069" max="14069" width="9.85546875" style="10" customWidth="1"/>
    <col min="14070" max="14070" width="9.28515625" style="10" customWidth="1"/>
    <col min="14071" max="14071" width="11" style="10" customWidth="1"/>
    <col min="14072" max="14072" width="5.85546875" style="10" customWidth="1"/>
    <col min="14073" max="14073" width="7.42578125" style="10" customWidth="1"/>
    <col min="14074" max="14074" width="10.140625" style="10" customWidth="1"/>
    <col min="14075" max="14075" width="9.42578125" style="10" customWidth="1"/>
    <col min="14076" max="14076" width="9.7109375" style="10" customWidth="1"/>
    <col min="14077" max="14077" width="6.42578125" style="10" customWidth="1"/>
    <col min="14078" max="14078" width="7.5703125" style="10" customWidth="1"/>
    <col min="14079" max="14079" width="10" style="10" customWidth="1"/>
    <col min="14080" max="14080" width="9.7109375" style="10" customWidth="1"/>
    <col min="14081" max="14081" width="8.85546875" style="10" customWidth="1"/>
    <col min="14082" max="14316" width="9.140625" style="10"/>
    <col min="14317" max="14317" width="13.85546875" style="10" customWidth="1"/>
    <col min="14318" max="14318" width="8.5703125" style="10" customWidth="1"/>
    <col min="14319" max="14319" width="9.7109375" style="10" customWidth="1"/>
    <col min="14320" max="14320" width="7.7109375" style="10" customWidth="1"/>
    <col min="14321" max="14321" width="9.42578125" style="10" customWidth="1"/>
    <col min="14322" max="14322" width="10.42578125" style="10" customWidth="1"/>
    <col min="14323" max="14323" width="7.140625" style="10" customWidth="1"/>
    <col min="14324" max="14324" width="8.42578125" style="10" customWidth="1"/>
    <col min="14325" max="14325" width="9.85546875" style="10" customWidth="1"/>
    <col min="14326" max="14326" width="9.28515625" style="10" customWidth="1"/>
    <col min="14327" max="14327" width="11" style="10" customWidth="1"/>
    <col min="14328" max="14328" width="5.85546875" style="10" customWidth="1"/>
    <col min="14329" max="14329" width="7.42578125" style="10" customWidth="1"/>
    <col min="14330" max="14330" width="10.140625" style="10" customWidth="1"/>
    <col min="14331" max="14331" width="9.42578125" style="10" customWidth="1"/>
    <col min="14332" max="14332" width="9.7109375" style="10" customWidth="1"/>
    <col min="14333" max="14333" width="6.42578125" style="10" customWidth="1"/>
    <col min="14334" max="14334" width="7.5703125" style="10" customWidth="1"/>
    <col min="14335" max="14335" width="10" style="10" customWidth="1"/>
    <col min="14336" max="14336" width="9.7109375" style="10" customWidth="1"/>
    <col min="14337" max="14337" width="8.85546875" style="10" customWidth="1"/>
    <col min="14338" max="14572" width="9.140625" style="10"/>
    <col min="14573" max="14573" width="13.85546875" style="10" customWidth="1"/>
    <col min="14574" max="14574" width="8.5703125" style="10" customWidth="1"/>
    <col min="14575" max="14575" width="9.7109375" style="10" customWidth="1"/>
    <col min="14576" max="14576" width="7.7109375" style="10" customWidth="1"/>
    <col min="14577" max="14577" width="9.42578125" style="10" customWidth="1"/>
    <col min="14578" max="14578" width="10.42578125" style="10" customWidth="1"/>
    <col min="14579" max="14579" width="7.140625" style="10" customWidth="1"/>
    <col min="14580" max="14580" width="8.42578125" style="10" customWidth="1"/>
    <col min="14581" max="14581" width="9.85546875" style="10" customWidth="1"/>
    <col min="14582" max="14582" width="9.28515625" style="10" customWidth="1"/>
    <col min="14583" max="14583" width="11" style="10" customWidth="1"/>
    <col min="14584" max="14584" width="5.85546875" style="10" customWidth="1"/>
    <col min="14585" max="14585" width="7.42578125" style="10" customWidth="1"/>
    <col min="14586" max="14586" width="10.140625" style="10" customWidth="1"/>
    <col min="14587" max="14587" width="9.42578125" style="10" customWidth="1"/>
    <col min="14588" max="14588" width="9.7109375" style="10" customWidth="1"/>
    <col min="14589" max="14589" width="6.42578125" style="10" customWidth="1"/>
    <col min="14590" max="14590" width="7.5703125" style="10" customWidth="1"/>
    <col min="14591" max="14591" width="10" style="10" customWidth="1"/>
    <col min="14592" max="14592" width="9.7109375" style="10" customWidth="1"/>
    <col min="14593" max="14593" width="8.85546875" style="10" customWidth="1"/>
    <col min="14594" max="14828" width="9.140625" style="10"/>
    <col min="14829" max="14829" width="13.85546875" style="10" customWidth="1"/>
    <col min="14830" max="14830" width="8.5703125" style="10" customWidth="1"/>
    <col min="14831" max="14831" width="9.7109375" style="10" customWidth="1"/>
    <col min="14832" max="14832" width="7.7109375" style="10" customWidth="1"/>
    <col min="14833" max="14833" width="9.42578125" style="10" customWidth="1"/>
    <col min="14834" max="14834" width="10.42578125" style="10" customWidth="1"/>
    <col min="14835" max="14835" width="7.140625" style="10" customWidth="1"/>
    <col min="14836" max="14836" width="8.42578125" style="10" customWidth="1"/>
    <col min="14837" max="14837" width="9.85546875" style="10" customWidth="1"/>
    <col min="14838" max="14838" width="9.28515625" style="10" customWidth="1"/>
    <col min="14839" max="14839" width="11" style="10" customWidth="1"/>
    <col min="14840" max="14840" width="5.85546875" style="10" customWidth="1"/>
    <col min="14841" max="14841" width="7.42578125" style="10" customWidth="1"/>
    <col min="14842" max="14842" width="10.140625" style="10" customWidth="1"/>
    <col min="14843" max="14843" width="9.42578125" style="10" customWidth="1"/>
    <col min="14844" max="14844" width="9.7109375" style="10" customWidth="1"/>
    <col min="14845" max="14845" width="6.42578125" style="10" customWidth="1"/>
    <col min="14846" max="14846" width="7.5703125" style="10" customWidth="1"/>
    <col min="14847" max="14847" width="10" style="10" customWidth="1"/>
    <col min="14848" max="14848" width="9.7109375" style="10" customWidth="1"/>
    <col min="14849" max="14849" width="8.85546875" style="10" customWidth="1"/>
    <col min="14850" max="15084" width="9.140625" style="10"/>
    <col min="15085" max="15085" width="13.85546875" style="10" customWidth="1"/>
    <col min="15086" max="15086" width="8.5703125" style="10" customWidth="1"/>
    <col min="15087" max="15087" width="9.7109375" style="10" customWidth="1"/>
    <col min="15088" max="15088" width="7.7109375" style="10" customWidth="1"/>
    <col min="15089" max="15089" width="9.42578125" style="10" customWidth="1"/>
    <col min="15090" max="15090" width="10.42578125" style="10" customWidth="1"/>
    <col min="15091" max="15091" width="7.140625" style="10" customWidth="1"/>
    <col min="15092" max="15092" width="8.42578125" style="10" customWidth="1"/>
    <col min="15093" max="15093" width="9.85546875" style="10" customWidth="1"/>
    <col min="15094" max="15094" width="9.28515625" style="10" customWidth="1"/>
    <col min="15095" max="15095" width="11" style="10" customWidth="1"/>
    <col min="15096" max="15096" width="5.85546875" style="10" customWidth="1"/>
    <col min="15097" max="15097" width="7.42578125" style="10" customWidth="1"/>
    <col min="15098" max="15098" width="10.140625" style="10" customWidth="1"/>
    <col min="15099" max="15099" width="9.42578125" style="10" customWidth="1"/>
    <col min="15100" max="15100" width="9.7109375" style="10" customWidth="1"/>
    <col min="15101" max="15101" width="6.42578125" style="10" customWidth="1"/>
    <col min="15102" max="15102" width="7.5703125" style="10" customWidth="1"/>
    <col min="15103" max="15103" width="10" style="10" customWidth="1"/>
    <col min="15104" max="15104" width="9.7109375" style="10" customWidth="1"/>
    <col min="15105" max="15105" width="8.85546875" style="10" customWidth="1"/>
    <col min="15106" max="15340" width="9.140625" style="10"/>
    <col min="15341" max="15341" width="13.85546875" style="10" customWidth="1"/>
    <col min="15342" max="15342" width="8.5703125" style="10" customWidth="1"/>
    <col min="15343" max="15343" width="9.7109375" style="10" customWidth="1"/>
    <col min="15344" max="15344" width="7.7109375" style="10" customWidth="1"/>
    <col min="15345" max="15345" width="9.42578125" style="10" customWidth="1"/>
    <col min="15346" max="15346" width="10.42578125" style="10" customWidth="1"/>
    <col min="15347" max="15347" width="7.140625" style="10" customWidth="1"/>
    <col min="15348" max="15348" width="8.42578125" style="10" customWidth="1"/>
    <col min="15349" max="15349" width="9.85546875" style="10" customWidth="1"/>
    <col min="15350" max="15350" width="9.28515625" style="10" customWidth="1"/>
    <col min="15351" max="15351" width="11" style="10" customWidth="1"/>
    <col min="15352" max="15352" width="5.85546875" style="10" customWidth="1"/>
    <col min="15353" max="15353" width="7.42578125" style="10" customWidth="1"/>
    <col min="15354" max="15354" width="10.140625" style="10" customWidth="1"/>
    <col min="15355" max="15355" width="9.42578125" style="10" customWidth="1"/>
    <col min="15356" max="15356" width="9.7109375" style="10" customWidth="1"/>
    <col min="15357" max="15357" width="6.42578125" style="10" customWidth="1"/>
    <col min="15358" max="15358" width="7.5703125" style="10" customWidth="1"/>
    <col min="15359" max="15359" width="10" style="10" customWidth="1"/>
    <col min="15360" max="15360" width="9.7109375" style="10" customWidth="1"/>
    <col min="15361" max="15361" width="8.85546875" style="10" customWidth="1"/>
    <col min="15362" max="15596" width="9.140625" style="10"/>
    <col min="15597" max="15597" width="13.85546875" style="10" customWidth="1"/>
    <col min="15598" max="15598" width="8.5703125" style="10" customWidth="1"/>
    <col min="15599" max="15599" width="9.7109375" style="10" customWidth="1"/>
    <col min="15600" max="15600" width="7.7109375" style="10" customWidth="1"/>
    <col min="15601" max="15601" width="9.42578125" style="10" customWidth="1"/>
    <col min="15602" max="15602" width="10.42578125" style="10" customWidth="1"/>
    <col min="15603" max="15603" width="7.140625" style="10" customWidth="1"/>
    <col min="15604" max="15604" width="8.42578125" style="10" customWidth="1"/>
    <col min="15605" max="15605" width="9.85546875" style="10" customWidth="1"/>
    <col min="15606" max="15606" width="9.28515625" style="10" customWidth="1"/>
    <col min="15607" max="15607" width="11" style="10" customWidth="1"/>
    <col min="15608" max="15608" width="5.85546875" style="10" customWidth="1"/>
    <col min="15609" max="15609" width="7.42578125" style="10" customWidth="1"/>
    <col min="15610" max="15610" width="10.140625" style="10" customWidth="1"/>
    <col min="15611" max="15611" width="9.42578125" style="10" customWidth="1"/>
    <col min="15612" max="15612" width="9.7109375" style="10" customWidth="1"/>
    <col min="15613" max="15613" width="6.42578125" style="10" customWidth="1"/>
    <col min="15614" max="15614" width="7.5703125" style="10" customWidth="1"/>
    <col min="15615" max="15615" width="10" style="10" customWidth="1"/>
    <col min="15616" max="15616" width="9.7109375" style="10" customWidth="1"/>
    <col min="15617" max="15617" width="8.85546875" style="10" customWidth="1"/>
    <col min="15618" max="15852" width="9.140625" style="10"/>
    <col min="15853" max="15853" width="13.85546875" style="10" customWidth="1"/>
    <col min="15854" max="15854" width="8.5703125" style="10" customWidth="1"/>
    <col min="15855" max="15855" width="9.7109375" style="10" customWidth="1"/>
    <col min="15856" max="15856" width="7.7109375" style="10" customWidth="1"/>
    <col min="15857" max="15857" width="9.42578125" style="10" customWidth="1"/>
    <col min="15858" max="15858" width="10.42578125" style="10" customWidth="1"/>
    <col min="15859" max="15859" width="7.140625" style="10" customWidth="1"/>
    <col min="15860" max="15860" width="8.42578125" style="10" customWidth="1"/>
    <col min="15861" max="15861" width="9.85546875" style="10" customWidth="1"/>
    <col min="15862" max="15862" width="9.28515625" style="10" customWidth="1"/>
    <col min="15863" max="15863" width="11" style="10" customWidth="1"/>
    <col min="15864" max="15864" width="5.85546875" style="10" customWidth="1"/>
    <col min="15865" max="15865" width="7.42578125" style="10" customWidth="1"/>
    <col min="15866" max="15866" width="10.140625" style="10" customWidth="1"/>
    <col min="15867" max="15867" width="9.42578125" style="10" customWidth="1"/>
    <col min="15868" max="15868" width="9.7109375" style="10" customWidth="1"/>
    <col min="15869" max="15869" width="6.42578125" style="10" customWidth="1"/>
    <col min="15870" max="15870" width="7.5703125" style="10" customWidth="1"/>
    <col min="15871" max="15871" width="10" style="10" customWidth="1"/>
    <col min="15872" max="15872" width="9.7109375" style="10" customWidth="1"/>
    <col min="15873" max="15873" width="8.85546875" style="10" customWidth="1"/>
    <col min="15874" max="16108" width="9.140625" style="10"/>
    <col min="16109" max="16109" width="13.85546875" style="10" customWidth="1"/>
    <col min="16110" max="16110" width="8.5703125" style="10" customWidth="1"/>
    <col min="16111" max="16111" width="9.7109375" style="10" customWidth="1"/>
    <col min="16112" max="16112" width="7.7109375" style="10" customWidth="1"/>
    <col min="16113" max="16113" width="9.42578125" style="10" customWidth="1"/>
    <col min="16114" max="16114" width="10.42578125" style="10" customWidth="1"/>
    <col min="16115" max="16115" width="7.140625" style="10" customWidth="1"/>
    <col min="16116" max="16116" width="8.42578125" style="10" customWidth="1"/>
    <col min="16117" max="16117" width="9.85546875" style="10" customWidth="1"/>
    <col min="16118" max="16118" width="9.28515625" style="10" customWidth="1"/>
    <col min="16119" max="16119" width="11" style="10" customWidth="1"/>
    <col min="16120" max="16120" width="5.85546875" style="10" customWidth="1"/>
    <col min="16121" max="16121" width="7.42578125" style="10" customWidth="1"/>
    <col min="16122" max="16122" width="10.140625" style="10" customWidth="1"/>
    <col min="16123" max="16123" width="9.42578125" style="10" customWidth="1"/>
    <col min="16124" max="16124" width="9.7109375" style="10" customWidth="1"/>
    <col min="16125" max="16125" width="6.42578125" style="10" customWidth="1"/>
    <col min="16126" max="16126" width="7.5703125" style="10" customWidth="1"/>
    <col min="16127" max="16127" width="10" style="10" customWidth="1"/>
    <col min="16128" max="16128" width="9.7109375" style="10" customWidth="1"/>
    <col min="16129" max="16129" width="8.85546875" style="10" customWidth="1"/>
    <col min="16130" max="16384" width="9.140625" style="10"/>
  </cols>
  <sheetData>
    <row r="1" spans="1:11" ht="15.75" thickBot="1"/>
    <row r="2" spans="1:11" ht="22.9" customHeight="1" thickBot="1">
      <c r="A2" s="72" t="s">
        <v>18</v>
      </c>
      <c r="B2" s="67" t="s">
        <v>19</v>
      </c>
      <c r="C2" s="68"/>
      <c r="D2" s="68"/>
      <c r="E2" s="68"/>
      <c r="F2" s="69"/>
      <c r="G2" s="67" t="s">
        <v>20</v>
      </c>
      <c r="H2" s="68"/>
      <c r="I2" s="68"/>
      <c r="J2" s="68"/>
      <c r="K2" s="69"/>
    </row>
    <row r="3" spans="1:11" ht="24.6" customHeight="1" thickBot="1">
      <c r="A3" s="73"/>
      <c r="B3" s="11" t="s">
        <v>21</v>
      </c>
      <c r="C3" s="11" t="s">
        <v>22</v>
      </c>
      <c r="D3" s="11" t="s">
        <v>22</v>
      </c>
      <c r="E3" s="11" t="s">
        <v>23</v>
      </c>
      <c r="F3" s="12" t="s">
        <v>24</v>
      </c>
      <c r="G3" s="11" t="s">
        <v>21</v>
      </c>
      <c r="H3" s="11" t="s">
        <v>22</v>
      </c>
      <c r="I3" s="11" t="s">
        <v>22</v>
      </c>
      <c r="J3" s="11" t="s">
        <v>23</v>
      </c>
      <c r="K3" s="11" t="s">
        <v>24</v>
      </c>
    </row>
    <row r="4" spans="1:11">
      <c r="A4" s="13"/>
      <c r="B4" s="14"/>
      <c r="C4" s="15"/>
      <c r="D4" s="15"/>
      <c r="E4" s="16">
        <f>D5-D4</f>
        <v>0</v>
      </c>
      <c r="F4" s="17">
        <v>0</v>
      </c>
      <c r="G4" s="18"/>
      <c r="H4" s="15"/>
      <c r="I4" s="15"/>
      <c r="J4" s="15"/>
      <c r="K4" s="19"/>
    </row>
    <row r="5" spans="1:11">
      <c r="A5" s="13">
        <f>'[1](kawam)'!F5</f>
        <v>45344</v>
      </c>
      <c r="B5" s="20" t="s">
        <v>25</v>
      </c>
      <c r="C5" s="21">
        <f>'[1](kawam)'!G5</f>
        <v>0</v>
      </c>
      <c r="D5" s="21">
        <f t="shared" ref="D5:D51" si="0">C5*100</f>
        <v>0</v>
      </c>
      <c r="E5" s="21">
        <f t="shared" ref="E5:E51" si="1">D5-D4</f>
        <v>0</v>
      </c>
      <c r="F5" s="22">
        <f>E5/B6</f>
        <v>0</v>
      </c>
      <c r="G5" s="20" t="s">
        <v>25</v>
      </c>
      <c r="H5" s="23">
        <f>'Matsuo-Kawamura KM91-PT '!F4</f>
        <v>0</v>
      </c>
      <c r="I5" s="23">
        <v>0</v>
      </c>
      <c r="J5" s="23"/>
      <c r="K5" s="24">
        <v>0</v>
      </c>
    </row>
    <row r="6" spans="1:11">
      <c r="A6" s="13">
        <f>'[1](kawam)'!F6</f>
        <v>45345</v>
      </c>
      <c r="B6" s="20">
        <f t="shared" ref="B6:B47" si="2">A6-A5</f>
        <v>1</v>
      </c>
      <c r="C6" s="21">
        <f>'Matsuo-Kawamura KM91-TT '!F5</f>
        <v>5.6825251190502964E-4</v>
      </c>
      <c r="D6" s="21">
        <f t="shared" si="0"/>
        <v>5.6825251190502968E-2</v>
      </c>
      <c r="E6" s="21">
        <f t="shared" si="1"/>
        <v>5.6825251190502968E-2</v>
      </c>
      <c r="F6" s="26">
        <f t="shared" ref="F6:F51" si="3">E6/B6</f>
        <v>5.6825251190502968E-2</v>
      </c>
      <c r="G6" s="25">
        <f t="shared" ref="G6:G51" si="4">B6</f>
        <v>1</v>
      </c>
      <c r="H6" s="21">
        <f>'Matsuo-Kawamura KM91-PT '!F5</f>
        <v>1.4956015476178664E-4</v>
      </c>
      <c r="I6" s="21">
        <f t="shared" ref="I6:I51" si="5">H6*100</f>
        <v>1.4956015476178664E-2</v>
      </c>
      <c r="J6" s="21">
        <f t="shared" ref="J6:J51" si="6">I6-I5</f>
        <v>1.4956015476178664E-2</v>
      </c>
      <c r="K6" s="27">
        <f t="shared" ref="K6:K51" si="7">J6/G6</f>
        <v>1.4956015476178664E-2</v>
      </c>
    </row>
    <row r="7" spans="1:11">
      <c r="A7" s="13">
        <f>'[1](kawam)'!F7</f>
        <v>45346</v>
      </c>
      <c r="B7" s="20">
        <f t="shared" si="2"/>
        <v>1</v>
      </c>
      <c r="C7" s="21">
        <f>'Matsuo-Kawamura KM91-TT '!F6</f>
        <v>6.6247149206373024E-4</v>
      </c>
      <c r="D7" s="21">
        <f t="shared" si="0"/>
        <v>6.6247149206373021E-2</v>
      </c>
      <c r="E7" s="21">
        <f t="shared" si="1"/>
        <v>9.4218980158700533E-3</v>
      </c>
      <c r="F7" s="26">
        <f t="shared" si="3"/>
        <v>9.4218980158700533E-3</v>
      </c>
      <c r="G7" s="25">
        <f t="shared" si="4"/>
        <v>1</v>
      </c>
      <c r="H7" s="21">
        <f>'Matsuo-Kawamura KM91-PT '!F6</f>
        <v>1.6762734920644108E-4</v>
      </c>
      <c r="I7" s="21">
        <f t="shared" si="5"/>
        <v>1.6762734920644107E-2</v>
      </c>
      <c r="J7" s="21">
        <f t="shared" si="6"/>
        <v>1.8067194444654436E-3</v>
      </c>
      <c r="K7" s="27">
        <f t="shared" si="7"/>
        <v>1.8067194444654436E-3</v>
      </c>
    </row>
    <row r="8" spans="1:11">
      <c r="A8" s="13">
        <f>'[1](kawam)'!F8</f>
        <v>45347</v>
      </c>
      <c r="B8" s="20">
        <f t="shared" si="2"/>
        <v>1</v>
      </c>
      <c r="C8" s="21">
        <f>'Matsuo-Kawamura KM91-TT '!F7</f>
        <v>7.4963879365105867E-4</v>
      </c>
      <c r="D8" s="21">
        <f t="shared" si="0"/>
        <v>7.4963879365105873E-2</v>
      </c>
      <c r="E8" s="21">
        <f t="shared" si="1"/>
        <v>8.7167301587328522E-3</v>
      </c>
      <c r="F8" s="26">
        <f t="shared" si="3"/>
        <v>8.7167301587328522E-3</v>
      </c>
      <c r="G8" s="25">
        <f t="shared" si="4"/>
        <v>1</v>
      </c>
      <c r="H8" s="21">
        <f>'Matsuo-Kawamura KM91-PT '!F7</f>
        <v>1.896835793650098E-4</v>
      </c>
      <c r="I8" s="21">
        <f t="shared" si="5"/>
        <v>1.8968357936500979E-2</v>
      </c>
      <c r="J8" s="21">
        <f t="shared" si="6"/>
        <v>2.2056230158568717E-3</v>
      </c>
      <c r="K8" s="27">
        <f t="shared" si="7"/>
        <v>2.2056230158568717E-3</v>
      </c>
    </row>
    <row r="9" spans="1:11">
      <c r="A9" s="13">
        <f>'[1](kawam)'!F9</f>
        <v>45348</v>
      </c>
      <c r="B9" s="20">
        <f t="shared" si="2"/>
        <v>1</v>
      </c>
      <c r="C9" s="21">
        <f>'Matsuo-Kawamura KM91-TT '!F8</f>
        <v>8.3680609523838711E-4</v>
      </c>
      <c r="D9" s="21">
        <f t="shared" si="0"/>
        <v>8.3680609523838712E-2</v>
      </c>
      <c r="E9" s="21">
        <f t="shared" si="1"/>
        <v>8.7167301587328383E-3</v>
      </c>
      <c r="F9" s="26">
        <f t="shared" si="3"/>
        <v>8.7167301587328383E-3</v>
      </c>
      <c r="G9" s="25">
        <f t="shared" si="4"/>
        <v>1</v>
      </c>
      <c r="H9" s="21">
        <f>'Matsuo-Kawamura KM91-PT '!F8</f>
        <v>2.1173980952369221E-4</v>
      </c>
      <c r="I9" s="21">
        <f t="shared" si="5"/>
        <v>2.117398095236922E-2</v>
      </c>
      <c r="J9" s="21">
        <f t="shared" si="6"/>
        <v>2.2056230158682411E-3</v>
      </c>
      <c r="K9" s="27">
        <f t="shared" si="7"/>
        <v>2.2056230158682411E-3</v>
      </c>
    </row>
    <row r="10" spans="1:11">
      <c r="A10" s="13">
        <f>'[1](kawam)'!F10</f>
        <v>45349</v>
      </c>
      <c r="B10" s="20">
        <f t="shared" si="2"/>
        <v>1</v>
      </c>
      <c r="C10" s="21">
        <f>'Matsuo-Kawamura KM91-TT '!F9</f>
        <v>9.2397339682565873E-4</v>
      </c>
      <c r="D10" s="21">
        <f t="shared" si="0"/>
        <v>9.2397339682565874E-2</v>
      </c>
      <c r="E10" s="21">
        <f t="shared" si="1"/>
        <v>8.7167301587271623E-3</v>
      </c>
      <c r="F10" s="28">
        <f t="shared" si="3"/>
        <v>8.7167301587271623E-3</v>
      </c>
      <c r="G10" s="25">
        <f t="shared" si="4"/>
        <v>1</v>
      </c>
      <c r="H10" s="21">
        <f>'Matsuo-Kawamura KM91-PT '!F9</f>
        <v>2.3379603968243145E-4</v>
      </c>
      <c r="I10" s="21">
        <f t="shared" si="5"/>
        <v>2.3379603968243144E-2</v>
      </c>
      <c r="J10" s="21">
        <f t="shared" si="6"/>
        <v>2.205623015873924E-3</v>
      </c>
      <c r="K10" s="27">
        <f t="shared" si="7"/>
        <v>2.205623015873924E-3</v>
      </c>
    </row>
    <row r="11" spans="1:11">
      <c r="A11" s="13">
        <f>'[1](kawam)'!F11</f>
        <v>45350</v>
      </c>
      <c r="B11" s="20">
        <f t="shared" si="2"/>
        <v>1</v>
      </c>
      <c r="C11" s="21">
        <f>'Matsuo-Kawamura KM91-TT '!F10</f>
        <v>9.6755704761926613E-4</v>
      </c>
      <c r="D11" s="21">
        <f t="shared" si="0"/>
        <v>9.6755704761926617E-2</v>
      </c>
      <c r="E11" s="21">
        <f t="shared" si="1"/>
        <v>4.3583650793607431E-3</v>
      </c>
      <c r="F11" s="28">
        <f t="shared" si="3"/>
        <v>4.3583650793607431E-3</v>
      </c>
      <c r="G11" s="25">
        <f t="shared" si="4"/>
        <v>1</v>
      </c>
      <c r="H11" s="21">
        <f>'Matsuo-Kawamura KM91-PT '!F10</f>
        <v>2.4482415476188634E-4</v>
      </c>
      <c r="I11" s="21">
        <f t="shared" si="5"/>
        <v>2.4482415476188634E-2</v>
      </c>
      <c r="J11" s="21">
        <f t="shared" si="6"/>
        <v>1.1028115079454899E-3</v>
      </c>
      <c r="K11" s="27">
        <f t="shared" si="7"/>
        <v>1.1028115079454899E-3</v>
      </c>
    </row>
    <row r="12" spans="1:11" s="29" customFormat="1">
      <c r="A12" s="13">
        <f>'[1](kawam)'!F12</f>
        <v>45351</v>
      </c>
      <c r="B12" s="20">
        <f t="shared" si="2"/>
        <v>1</v>
      </c>
      <c r="C12" s="21">
        <f>'Matsuo-Kawamura KM91-TT '!F11</f>
        <v>1.0111406984129304E-3</v>
      </c>
      <c r="D12" s="21">
        <f t="shared" si="0"/>
        <v>0.10111406984129304</v>
      </c>
      <c r="E12" s="21">
        <f t="shared" si="1"/>
        <v>4.3583650793664191E-3</v>
      </c>
      <c r="F12" s="28">
        <f t="shared" si="3"/>
        <v>4.3583650793664191E-3</v>
      </c>
      <c r="G12" s="25">
        <f t="shared" si="4"/>
        <v>1</v>
      </c>
      <c r="H12" s="21">
        <f>'Matsuo-Kawamura KM91-PT '!F11</f>
        <v>2.5585226984117072E-4</v>
      </c>
      <c r="I12" s="21">
        <f t="shared" si="5"/>
        <v>2.5585226984117072E-2</v>
      </c>
      <c r="J12" s="21">
        <f t="shared" si="6"/>
        <v>1.1028115079284376E-3</v>
      </c>
      <c r="K12" s="27">
        <f t="shared" si="7"/>
        <v>1.1028115079284376E-3</v>
      </c>
    </row>
    <row r="13" spans="1:11" s="30" customFormat="1" ht="12.75">
      <c r="A13" s="13">
        <f>'[1](kawam)'!F13</f>
        <v>45352</v>
      </c>
      <c r="B13" s="20">
        <f t="shared" si="2"/>
        <v>1</v>
      </c>
      <c r="C13" s="21">
        <f>'Matsuo-Kawamura KM91-TT '!F12</f>
        <v>1.098308000000202E-3</v>
      </c>
      <c r="D13" s="21">
        <f t="shared" si="0"/>
        <v>0.1098308000000202</v>
      </c>
      <c r="E13" s="21">
        <f t="shared" si="1"/>
        <v>8.7167301587271623E-3</v>
      </c>
      <c r="F13" s="28">
        <f t="shared" si="3"/>
        <v>8.7167301587271623E-3</v>
      </c>
      <c r="G13" s="25">
        <f t="shared" si="4"/>
        <v>1</v>
      </c>
      <c r="H13" s="21">
        <f>'Matsuo-Kawamura KM91-PT '!F12</f>
        <v>2.7790849999990996E-4</v>
      </c>
      <c r="I13" s="21">
        <f t="shared" si="5"/>
        <v>2.7790849999990996E-2</v>
      </c>
      <c r="J13" s="21">
        <f t="shared" si="6"/>
        <v>2.205623015873924E-3</v>
      </c>
      <c r="K13" s="27">
        <f t="shared" si="7"/>
        <v>2.205623015873924E-3</v>
      </c>
    </row>
    <row r="14" spans="1:11" s="30" customFormat="1" ht="12.75">
      <c r="A14" s="13">
        <f>'[1](kawam)'!F14</f>
        <v>45353</v>
      </c>
      <c r="B14" s="20">
        <f t="shared" si="2"/>
        <v>1</v>
      </c>
      <c r="C14" s="21">
        <f>'Matsuo-Kawamura KM91-TT '!F13</f>
        <v>1.2543128666668507E-3</v>
      </c>
      <c r="D14" s="21">
        <f t="shared" si="0"/>
        <v>0.12543128666668507</v>
      </c>
      <c r="E14" s="21">
        <f t="shared" si="1"/>
        <v>1.5600486666664873E-2</v>
      </c>
      <c r="F14" s="28">
        <f t="shared" si="3"/>
        <v>1.5600486666664873E-2</v>
      </c>
      <c r="G14" s="25">
        <f t="shared" si="4"/>
        <v>1</v>
      </c>
      <c r="H14" s="21">
        <f>'Matsuo-Kawamura KM91-PT '!F13</f>
        <v>3.9261760000005094E-4</v>
      </c>
      <c r="I14" s="21">
        <f t="shared" si="5"/>
        <v>3.9261760000005093E-2</v>
      </c>
      <c r="J14" s="21">
        <f t="shared" si="6"/>
        <v>1.1470910000014097E-2</v>
      </c>
      <c r="K14" s="27">
        <f t="shared" si="7"/>
        <v>1.1470910000014097E-2</v>
      </c>
    </row>
    <row r="15" spans="1:11" s="30" customFormat="1" ht="12.75">
      <c r="A15" s="13">
        <f>'[1](kawam)'!F15</f>
        <v>45354</v>
      </c>
      <c r="B15" s="20">
        <f t="shared" si="2"/>
        <v>1</v>
      </c>
      <c r="C15" s="21">
        <f>'Matsuo-Kawamura KM91-TT '!F14</f>
        <v>1.4147377000003304E-3</v>
      </c>
      <c r="D15" s="21">
        <f t="shared" si="0"/>
        <v>0.14147377000003303</v>
      </c>
      <c r="E15" s="21">
        <f t="shared" si="1"/>
        <v>1.6042483333347957E-2</v>
      </c>
      <c r="F15" s="28">
        <f t="shared" si="3"/>
        <v>1.6042483333347957E-2</v>
      </c>
      <c r="G15" s="25">
        <f t="shared" si="4"/>
        <v>1</v>
      </c>
      <c r="H15" s="21">
        <f>'Matsuo-Kawamura KM91-PT '!F14</f>
        <v>5.073267000000783E-4</v>
      </c>
      <c r="I15" s="21">
        <f t="shared" si="5"/>
        <v>5.0732670000007828E-2</v>
      </c>
      <c r="J15" s="21">
        <f t="shared" si="6"/>
        <v>1.1470910000002735E-2</v>
      </c>
      <c r="K15" s="27">
        <f t="shared" si="7"/>
        <v>1.1470910000002735E-2</v>
      </c>
    </row>
    <row r="16" spans="1:11">
      <c r="A16" s="13">
        <f>'[1](kawam)'!F16</f>
        <v>45355</v>
      </c>
      <c r="B16" s="20">
        <f t="shared" si="2"/>
        <v>1</v>
      </c>
      <c r="C16" s="21">
        <f>'Matsuo-Kawamura KM91-TT '!F15</f>
        <v>1.5882203000003301E-3</v>
      </c>
      <c r="D16" s="21">
        <f t="shared" si="0"/>
        <v>0.158822030000033</v>
      </c>
      <c r="E16" s="21">
        <f t="shared" si="1"/>
        <v>1.7348259999999976E-2</v>
      </c>
      <c r="F16" s="28">
        <f t="shared" si="3"/>
        <v>1.7348259999999976E-2</v>
      </c>
      <c r="G16" s="25">
        <f t="shared" si="4"/>
        <v>1</v>
      </c>
      <c r="H16" s="21">
        <f>'Matsuo-Kawamura KM91-PT '!F15</f>
        <v>6.2203579999999187E-4</v>
      </c>
      <c r="I16" s="21">
        <f t="shared" si="5"/>
        <v>6.220357999999919E-2</v>
      </c>
      <c r="J16" s="21">
        <f t="shared" si="6"/>
        <v>1.1470909999991362E-2</v>
      </c>
      <c r="K16" s="27">
        <f t="shared" si="7"/>
        <v>1.1470909999991362E-2</v>
      </c>
    </row>
    <row r="17" spans="1:11">
      <c r="A17" s="13">
        <f>'[1](kawam)'!F17</f>
        <v>45356</v>
      </c>
      <c r="B17" s="20">
        <f t="shared" si="2"/>
        <v>1</v>
      </c>
      <c r="C17" s="21">
        <f>'Matsuo-Kawamura KM91-TT '!F16</f>
        <v>1.7617029000002163E-3</v>
      </c>
      <c r="D17" s="21">
        <f t="shared" si="0"/>
        <v>0.17617029000002163</v>
      </c>
      <c r="E17" s="21">
        <f t="shared" si="1"/>
        <v>1.7348259999988624E-2</v>
      </c>
      <c r="F17" s="28">
        <f t="shared" si="3"/>
        <v>1.7348259999988624E-2</v>
      </c>
      <c r="G17" s="25">
        <f t="shared" si="4"/>
        <v>1</v>
      </c>
      <c r="H17" s="21">
        <f>'Matsuo-Kawamura KM91-PT '!F16</f>
        <v>7.367449000000761E-4</v>
      </c>
      <c r="I17" s="21">
        <f t="shared" si="5"/>
        <v>7.3674490000007614E-2</v>
      </c>
      <c r="J17" s="21">
        <f t="shared" si="6"/>
        <v>1.1470910000008425E-2</v>
      </c>
      <c r="K17" s="27">
        <f t="shared" si="7"/>
        <v>1.1470910000008425E-2</v>
      </c>
    </row>
    <row r="18" spans="1:11">
      <c r="A18" s="13">
        <f>'[1](kawam)'!F18</f>
        <v>45357</v>
      </c>
      <c r="B18" s="20">
        <f t="shared" si="2"/>
        <v>1</v>
      </c>
      <c r="C18" s="21">
        <f>'Matsuo-Kawamura KM91-TT '!F17</f>
        <v>1.9351855000003298E-3</v>
      </c>
      <c r="D18" s="21">
        <f t="shared" si="0"/>
        <v>0.19351855000003299</v>
      </c>
      <c r="E18" s="21">
        <f t="shared" si="1"/>
        <v>1.7348260000011356E-2</v>
      </c>
      <c r="F18" s="28">
        <f t="shared" si="3"/>
        <v>1.7348260000011356E-2</v>
      </c>
      <c r="G18" s="25">
        <f t="shared" si="4"/>
        <v>1</v>
      </c>
      <c r="H18" s="21">
        <f>'Matsuo-Kawamura KM91-PT '!F17</f>
        <v>8.5145400000016021E-4</v>
      </c>
      <c r="I18" s="21">
        <f t="shared" si="5"/>
        <v>8.5145400000016025E-2</v>
      </c>
      <c r="J18" s="21">
        <f t="shared" si="6"/>
        <v>1.1470910000008411E-2</v>
      </c>
      <c r="K18" s="27">
        <f t="shared" si="7"/>
        <v>1.1470910000008411E-2</v>
      </c>
    </row>
    <row r="19" spans="1:11">
      <c r="A19" s="13">
        <f>'[1](kawam)'!F19</f>
        <v>45358</v>
      </c>
      <c r="B19" s="20">
        <f t="shared" si="2"/>
        <v>1</v>
      </c>
      <c r="C19" s="21">
        <f>'Matsuo-Kawamura KM91-TT '!F18</f>
        <v>2.1086681000002157E-3</v>
      </c>
      <c r="D19" s="21">
        <f t="shared" si="0"/>
        <v>0.21086681000002158</v>
      </c>
      <c r="E19" s="21">
        <f t="shared" si="1"/>
        <v>1.7348259999988597E-2</v>
      </c>
      <c r="F19" s="28">
        <f t="shared" si="3"/>
        <v>1.7348259999988597E-2</v>
      </c>
      <c r="G19" s="25">
        <f t="shared" si="4"/>
        <v>1</v>
      </c>
      <c r="H19" s="21">
        <f>'Matsuo-Kawamura KM91-PT '!F18</f>
        <v>9.6616309999984654E-4</v>
      </c>
      <c r="I19" s="21">
        <f t="shared" si="5"/>
        <v>9.6616309999984648E-2</v>
      </c>
      <c r="J19" s="21">
        <f t="shared" si="6"/>
        <v>1.1470909999968623E-2</v>
      </c>
      <c r="K19" s="27">
        <f t="shared" si="7"/>
        <v>1.1470909999968623E-2</v>
      </c>
    </row>
    <row r="20" spans="1:11">
      <c r="A20" s="13">
        <f>'[1](kawam)'!F20</f>
        <v>45359</v>
      </c>
      <c r="B20" s="20">
        <f t="shared" si="2"/>
        <v>1</v>
      </c>
      <c r="C20" s="21">
        <f>'Matsuo-Kawamura KM91-TT '!F19</f>
        <v>2.1086681000002157E-3</v>
      </c>
      <c r="D20" s="21">
        <f t="shared" si="0"/>
        <v>0.21086681000002158</v>
      </c>
      <c r="E20" s="21">
        <f t="shared" si="1"/>
        <v>0</v>
      </c>
      <c r="F20" s="28">
        <f t="shared" si="3"/>
        <v>0</v>
      </c>
      <c r="G20" s="25">
        <f t="shared" si="4"/>
        <v>1</v>
      </c>
      <c r="H20" s="21">
        <f>'Matsuo-Kawamura KM91-PT '!F19</f>
        <v>9.6616309999984654E-4</v>
      </c>
      <c r="I20" s="21">
        <f t="shared" si="5"/>
        <v>9.6616309999984648E-2</v>
      </c>
      <c r="J20" s="21">
        <f t="shared" si="6"/>
        <v>0</v>
      </c>
      <c r="K20" s="27">
        <f t="shared" si="7"/>
        <v>0</v>
      </c>
    </row>
    <row r="21" spans="1:11">
      <c r="A21" s="13">
        <f>'[1](kawam)'!F21</f>
        <v>45360</v>
      </c>
      <c r="B21" s="20">
        <f t="shared" si="2"/>
        <v>1</v>
      </c>
      <c r="C21" s="21">
        <f>'Matsuo-Kawamura KM91-TT '!F20</f>
        <v>2.2917476000002351E-3</v>
      </c>
      <c r="D21" s="21">
        <f t="shared" si="0"/>
        <v>0.22917476000002351</v>
      </c>
      <c r="E21" s="21">
        <f t="shared" si="1"/>
        <v>1.8307950000001932E-2</v>
      </c>
      <c r="F21" s="28">
        <f t="shared" si="3"/>
        <v>1.8307950000001932E-2</v>
      </c>
      <c r="G21" s="25">
        <f t="shared" si="4"/>
        <v>1</v>
      </c>
      <c r="H21" s="21">
        <f>'Matsuo-Kawamura KM91-PT '!F20</f>
        <v>1.0808721999998169E-3</v>
      </c>
      <c r="I21" s="21">
        <f t="shared" si="5"/>
        <v>0.10808721999998169</v>
      </c>
      <c r="J21" s="21">
        <f t="shared" si="6"/>
        <v>1.1470909999997045E-2</v>
      </c>
      <c r="K21" s="27">
        <f t="shared" si="7"/>
        <v>1.1470909999997045E-2</v>
      </c>
    </row>
    <row r="22" spans="1:11">
      <c r="A22" s="13">
        <f>'[1](kawam)'!F22</f>
        <v>45361</v>
      </c>
      <c r="B22" s="20">
        <f t="shared" si="2"/>
        <v>1</v>
      </c>
      <c r="C22" s="21">
        <f>'Matsuo-Kawamura KM91-TT '!F21</f>
        <v>2.4756994000002803E-3</v>
      </c>
      <c r="D22" s="21">
        <f t="shared" si="0"/>
        <v>0.24756994000002802</v>
      </c>
      <c r="E22" s="21">
        <f t="shared" si="1"/>
        <v>1.8395180000004507E-2</v>
      </c>
      <c r="F22" s="28">
        <f t="shared" si="3"/>
        <v>1.8395180000004507E-2</v>
      </c>
      <c r="G22" s="25">
        <f t="shared" si="4"/>
        <v>1</v>
      </c>
      <c r="H22" s="21">
        <f>'Matsuo-Kawamura KM91-PT '!F21</f>
        <v>1.1955813000000149E-3</v>
      </c>
      <c r="I22" s="21">
        <f t="shared" si="5"/>
        <v>0.11955813000000148</v>
      </c>
      <c r="J22" s="21">
        <f t="shared" si="6"/>
        <v>1.1470910000019791E-2</v>
      </c>
      <c r="K22" s="27">
        <f t="shared" si="7"/>
        <v>1.1470910000019791E-2</v>
      </c>
    </row>
    <row r="23" spans="1:11">
      <c r="A23" s="13">
        <f>'[1](kawam)'!F23</f>
        <v>45362</v>
      </c>
      <c r="B23" s="20">
        <f t="shared" si="2"/>
        <v>1</v>
      </c>
      <c r="C23" s="21">
        <f>'Matsuo-Kawamura KM91-TT '!F22</f>
        <v>2.6596512000002688E-3</v>
      </c>
      <c r="D23" s="21">
        <f t="shared" si="0"/>
        <v>0.26596512000002687</v>
      </c>
      <c r="E23" s="21">
        <f t="shared" si="1"/>
        <v>1.8395179999998845E-2</v>
      </c>
      <c r="F23" s="28">
        <f t="shared" si="3"/>
        <v>1.8395179999998845E-2</v>
      </c>
      <c r="G23" s="25">
        <f t="shared" si="4"/>
        <v>1</v>
      </c>
      <c r="H23" s="21">
        <f>'Matsuo-Kawamura KM91-PT '!F22</f>
        <v>1.3102903999999854E-3</v>
      </c>
      <c r="I23" s="21">
        <f t="shared" si="5"/>
        <v>0.13102903999999854</v>
      </c>
      <c r="J23" s="21">
        <f t="shared" si="6"/>
        <v>1.1470909999997059E-2</v>
      </c>
      <c r="K23" s="27">
        <f t="shared" si="7"/>
        <v>1.1470909999997059E-2</v>
      </c>
    </row>
    <row r="24" spans="1:11">
      <c r="A24" s="13">
        <f>'[1](kawam)'!F24</f>
        <v>45363</v>
      </c>
      <c r="B24" s="20">
        <f t="shared" si="2"/>
        <v>1</v>
      </c>
      <c r="C24" s="21">
        <f>'Matsuo-Kawamura KM91-TT '!F23</f>
        <v>2.8436030000002005E-3</v>
      </c>
      <c r="D24" s="21">
        <f t="shared" si="0"/>
        <v>0.28436030000002005</v>
      </c>
      <c r="E24" s="21">
        <f t="shared" si="1"/>
        <v>1.8395179999993183E-2</v>
      </c>
      <c r="F24" s="28">
        <f t="shared" si="3"/>
        <v>1.8395179999993183E-2</v>
      </c>
      <c r="G24" s="25">
        <f t="shared" si="4"/>
        <v>1</v>
      </c>
      <c r="H24" s="21">
        <f>'Matsuo-Kawamura KM91-PT '!F23</f>
        <v>1.4249995000000127E-3</v>
      </c>
      <c r="I24" s="21">
        <f t="shared" si="5"/>
        <v>0.14249995000000126</v>
      </c>
      <c r="J24" s="21">
        <f t="shared" si="6"/>
        <v>1.1470910000002721E-2</v>
      </c>
      <c r="K24" s="27">
        <f t="shared" si="7"/>
        <v>1.1470910000002721E-2</v>
      </c>
    </row>
    <row r="25" spans="1:11">
      <c r="A25" s="13">
        <f>'[1](kawam)'!F25</f>
        <v>45364</v>
      </c>
      <c r="B25" s="20">
        <f t="shared" si="2"/>
        <v>1</v>
      </c>
      <c r="C25" s="21">
        <f>'Matsuo-Kawamura KM91-TT '!F24</f>
        <v>3.0275548000001889E-3</v>
      </c>
      <c r="D25" s="21">
        <f t="shared" si="0"/>
        <v>0.3027554800000189</v>
      </c>
      <c r="E25" s="21">
        <f t="shared" si="1"/>
        <v>1.8395179999998845E-2</v>
      </c>
      <c r="F25" s="28">
        <f t="shared" si="3"/>
        <v>1.8395179999998845E-2</v>
      </c>
      <c r="G25" s="25">
        <f t="shared" si="4"/>
        <v>1</v>
      </c>
      <c r="H25" s="21">
        <f>'Matsuo-Kawamura KM91-PT '!F24</f>
        <v>1.5397085999999264E-3</v>
      </c>
      <c r="I25" s="21">
        <f t="shared" si="5"/>
        <v>0.15397085999999263</v>
      </c>
      <c r="J25" s="21">
        <f t="shared" si="6"/>
        <v>1.1470909999991369E-2</v>
      </c>
      <c r="K25" s="27">
        <f t="shared" si="7"/>
        <v>1.1470909999991369E-2</v>
      </c>
    </row>
    <row r="26" spans="1:11">
      <c r="A26" s="13">
        <f>'[1](kawam)'!F26</f>
        <v>45365</v>
      </c>
      <c r="B26" s="20">
        <f t="shared" si="2"/>
        <v>1</v>
      </c>
      <c r="C26" s="21">
        <f>'Matsuo-Kawamura KM91-TT '!F25</f>
        <v>3.2115066000001774E-3</v>
      </c>
      <c r="D26" s="21">
        <f t="shared" si="0"/>
        <v>0.32115066000001774</v>
      </c>
      <c r="E26" s="21">
        <f t="shared" si="1"/>
        <v>1.8395179999998845E-2</v>
      </c>
      <c r="F26" s="28">
        <f t="shared" si="3"/>
        <v>1.8395179999998845E-2</v>
      </c>
      <c r="G26" s="25">
        <f t="shared" si="4"/>
        <v>1</v>
      </c>
      <c r="H26" s="21">
        <f>'Matsuo-Kawamura KM91-PT '!F25</f>
        <v>1.6544177000000673E-3</v>
      </c>
      <c r="I26" s="21">
        <f t="shared" si="5"/>
        <v>0.16544177000000673</v>
      </c>
      <c r="J26" s="21">
        <f t="shared" si="6"/>
        <v>1.1470910000014101E-2</v>
      </c>
      <c r="K26" s="27">
        <f t="shared" si="7"/>
        <v>1.1470910000014101E-2</v>
      </c>
    </row>
    <row r="27" spans="1:11">
      <c r="A27" s="13">
        <f>'[1](kawam)'!F27</f>
        <v>45366</v>
      </c>
      <c r="B27" s="20">
        <f t="shared" si="2"/>
        <v>1</v>
      </c>
      <c r="C27" s="21">
        <f>'Matsuo-Kawamura KM91-TT '!F26</f>
        <v>3.4874343000002453E-3</v>
      </c>
      <c r="D27" s="21">
        <f t="shared" si="0"/>
        <v>0.34874343000002456</v>
      </c>
      <c r="E27" s="21">
        <f t="shared" si="1"/>
        <v>2.7592770000006817E-2</v>
      </c>
      <c r="F27" s="28">
        <f t="shared" si="3"/>
        <v>2.7592770000006817E-2</v>
      </c>
      <c r="G27" s="25">
        <f t="shared" si="4"/>
        <v>1</v>
      </c>
      <c r="H27" s="21">
        <f>'Matsuo-Kawamura KM91-PT '!F26</f>
        <v>1.8264813499999377E-3</v>
      </c>
      <c r="I27" s="21">
        <f t="shared" si="5"/>
        <v>0.18264813499999377</v>
      </c>
      <c r="J27" s="21">
        <f t="shared" si="6"/>
        <v>1.7206364999987039E-2</v>
      </c>
      <c r="K27" s="27">
        <f t="shared" si="7"/>
        <v>1.7206364999987039E-2</v>
      </c>
    </row>
    <row r="28" spans="1:11">
      <c r="A28" s="13">
        <f>'[1](kawam)'!F28</f>
        <v>45367</v>
      </c>
      <c r="B28" s="20">
        <f t="shared" si="2"/>
        <v>1</v>
      </c>
      <c r="C28" s="21">
        <f>'Matsuo-Kawamura KM91-TT '!F27</f>
        <v>3.7633620000002564E-3</v>
      </c>
      <c r="D28" s="21">
        <f t="shared" si="0"/>
        <v>0.37633620000002566</v>
      </c>
      <c r="E28" s="21">
        <f t="shared" si="1"/>
        <v>2.7592770000001099E-2</v>
      </c>
      <c r="F28" s="28">
        <f t="shared" si="3"/>
        <v>2.7592770000001099E-2</v>
      </c>
      <c r="G28" s="25">
        <f t="shared" si="4"/>
        <v>1</v>
      </c>
      <c r="H28" s="21">
        <f>'Matsuo-Kawamura KM91-PT '!F27</f>
        <v>1.9985450000000356E-3</v>
      </c>
      <c r="I28" s="21">
        <f t="shared" si="5"/>
        <v>0.19985450000000354</v>
      </c>
      <c r="J28" s="21">
        <f t="shared" si="6"/>
        <v>1.7206365000009771E-2</v>
      </c>
      <c r="K28" s="27">
        <f t="shared" si="7"/>
        <v>1.7206365000009771E-2</v>
      </c>
    </row>
    <row r="29" spans="1:11">
      <c r="A29" s="13">
        <f>'[1](kawam)'!F29</f>
        <v>45368</v>
      </c>
      <c r="B29" s="20">
        <f t="shared" si="2"/>
        <v>1</v>
      </c>
      <c r="C29" s="21">
        <f>'Matsuo-Kawamura KM91-TT '!F28</f>
        <v>3.843868714285918E-3</v>
      </c>
      <c r="D29" s="21">
        <f t="shared" si="0"/>
        <v>0.38438687142859179</v>
      </c>
      <c r="E29" s="21">
        <f t="shared" si="1"/>
        <v>8.0506714285661363E-3</v>
      </c>
      <c r="F29" s="28">
        <f t="shared" si="3"/>
        <v>8.0506714285661363E-3</v>
      </c>
      <c r="G29" s="25">
        <f t="shared" si="4"/>
        <v>1</v>
      </c>
      <c r="H29" s="21">
        <f>'Matsuo-Kawamura KM91-PT '!F28</f>
        <v>2.1168376428570921E-3</v>
      </c>
      <c r="I29" s="21">
        <f t="shared" si="5"/>
        <v>0.2116837642857092</v>
      </c>
      <c r="J29" s="21">
        <f t="shared" si="6"/>
        <v>1.182926428570566E-2</v>
      </c>
      <c r="K29" s="27">
        <f t="shared" si="7"/>
        <v>1.182926428570566E-2</v>
      </c>
    </row>
    <row r="30" spans="1:11">
      <c r="A30" s="13">
        <f>'[1](kawam)'!F30</f>
        <v>45369</v>
      </c>
      <c r="B30" s="20">
        <f t="shared" si="2"/>
        <v>1</v>
      </c>
      <c r="C30" s="21">
        <f>'Matsuo-Kawamura KM91-TT '!F29</f>
        <v>3.9243754285716364E-3</v>
      </c>
      <c r="D30" s="21">
        <f t="shared" si="0"/>
        <v>0.39243754285716365</v>
      </c>
      <c r="E30" s="21">
        <f t="shared" si="1"/>
        <v>8.0506714285718539E-3</v>
      </c>
      <c r="F30" s="28">
        <f t="shared" si="3"/>
        <v>8.0506714285718539E-3</v>
      </c>
      <c r="G30" s="25">
        <f t="shared" si="4"/>
        <v>1</v>
      </c>
      <c r="H30" s="21">
        <f>'Matsuo-Kawamura KM91-PT '!F29</f>
        <v>2.2351302857143763E-3</v>
      </c>
      <c r="I30" s="21">
        <f t="shared" si="5"/>
        <v>0.22351302857143762</v>
      </c>
      <c r="J30" s="21">
        <f t="shared" si="6"/>
        <v>1.1829264285728419E-2</v>
      </c>
      <c r="K30" s="27">
        <f t="shared" si="7"/>
        <v>1.1829264285728419E-2</v>
      </c>
    </row>
    <row r="31" spans="1:11">
      <c r="A31" s="13">
        <f>'[1](kawam)'!F31</f>
        <v>45370</v>
      </c>
      <c r="B31" s="20">
        <f t="shared" si="2"/>
        <v>1</v>
      </c>
      <c r="C31" s="21">
        <f>'Matsuo-Kawamura KM91-TT '!F30</f>
        <v>4.0048821428573548E-3</v>
      </c>
      <c r="D31" s="21">
        <f t="shared" si="0"/>
        <v>0.4004882142857355</v>
      </c>
      <c r="E31" s="21">
        <f t="shared" si="1"/>
        <v>8.0506714285718539E-3</v>
      </c>
      <c r="F31" s="28">
        <f t="shared" si="3"/>
        <v>8.0506714285718539E-3</v>
      </c>
      <c r="G31" s="25">
        <f t="shared" si="4"/>
        <v>1</v>
      </c>
      <c r="H31" s="21">
        <f>'Matsuo-Kawamura KM91-PT '!F30</f>
        <v>2.3534229285713196E-3</v>
      </c>
      <c r="I31" s="21">
        <f t="shared" si="5"/>
        <v>0.23534229285713196</v>
      </c>
      <c r="J31" s="21">
        <f t="shared" si="6"/>
        <v>1.1829264285694335E-2</v>
      </c>
      <c r="K31" s="27">
        <f t="shared" si="7"/>
        <v>1.1829264285694335E-2</v>
      </c>
    </row>
    <row r="32" spans="1:11">
      <c r="A32" s="13">
        <f>'[1](kawam)'!F32</f>
        <v>45371</v>
      </c>
      <c r="B32" s="20">
        <f t="shared" si="2"/>
        <v>1</v>
      </c>
      <c r="C32" s="21">
        <f>'Matsuo-Kawamura KM91-TT '!F31</f>
        <v>4.0853888571430732E-3</v>
      </c>
      <c r="D32" s="21">
        <f t="shared" si="0"/>
        <v>0.4085388857143073</v>
      </c>
      <c r="E32" s="21">
        <f t="shared" si="1"/>
        <v>8.0506714285717984E-3</v>
      </c>
      <c r="F32" s="28">
        <f t="shared" si="3"/>
        <v>8.0506714285717984E-3</v>
      </c>
      <c r="G32" s="25">
        <f t="shared" si="4"/>
        <v>1</v>
      </c>
      <c r="H32" s="21">
        <f>'Matsuo-Kawamura KM91-PT '!F31</f>
        <v>2.4717155714286039E-3</v>
      </c>
      <c r="I32" s="21">
        <f t="shared" si="5"/>
        <v>0.24717155714286038</v>
      </c>
      <c r="J32" s="21">
        <f t="shared" si="6"/>
        <v>1.1829264285728419E-2</v>
      </c>
      <c r="K32" s="27">
        <f t="shared" si="7"/>
        <v>1.1829264285728419E-2</v>
      </c>
    </row>
    <row r="33" spans="1:11">
      <c r="A33" s="13">
        <f>'[1](kawam)'!F33</f>
        <v>45372</v>
      </c>
      <c r="B33" s="20">
        <f t="shared" si="2"/>
        <v>1</v>
      </c>
      <c r="C33" s="21">
        <f>'Matsuo-Kawamura KM91-TT '!F32</f>
        <v>4.165895571428848E-3</v>
      </c>
      <c r="D33" s="21">
        <f t="shared" si="0"/>
        <v>0.41658955714288481</v>
      </c>
      <c r="E33" s="21">
        <f t="shared" si="1"/>
        <v>8.0506714285775161E-3</v>
      </c>
      <c r="F33" s="28">
        <f t="shared" si="3"/>
        <v>8.0506714285775161E-3</v>
      </c>
      <c r="G33" s="25">
        <f t="shared" si="4"/>
        <v>1</v>
      </c>
      <c r="H33" s="21">
        <f>'Matsuo-Kawamura KM91-PT '!F32</f>
        <v>2.5900082142857172E-3</v>
      </c>
      <c r="I33" s="21">
        <f t="shared" si="5"/>
        <v>0.25900082142857173</v>
      </c>
      <c r="J33" s="21">
        <f t="shared" si="6"/>
        <v>1.1829264285711349E-2</v>
      </c>
      <c r="K33" s="27">
        <f t="shared" si="7"/>
        <v>1.1829264285711349E-2</v>
      </c>
    </row>
    <row r="34" spans="1:11">
      <c r="A34" s="13">
        <f>'[1](kawam)'!F34</f>
        <v>45373</v>
      </c>
      <c r="B34" s="20">
        <f t="shared" si="2"/>
        <v>1</v>
      </c>
      <c r="C34" s="21">
        <f>'Matsuo-Kawamura KM91-TT '!F33</f>
        <v>4.2464022857145664E-3</v>
      </c>
      <c r="D34" s="21">
        <f t="shared" si="0"/>
        <v>0.42464022857145667</v>
      </c>
      <c r="E34" s="21">
        <f t="shared" si="1"/>
        <v>8.0506714285718539E-3</v>
      </c>
      <c r="F34" s="28">
        <f t="shared" si="3"/>
        <v>8.0506714285718539E-3</v>
      </c>
      <c r="G34" s="25">
        <f t="shared" si="4"/>
        <v>1</v>
      </c>
      <c r="H34" s="21">
        <f>'Matsuo-Kawamura KM91-PT '!F33</f>
        <v>2.7083008571428878E-3</v>
      </c>
      <c r="I34" s="21">
        <f t="shared" si="5"/>
        <v>0.27083008571428879</v>
      </c>
      <c r="J34" s="21">
        <f t="shared" si="6"/>
        <v>1.1829264285717067E-2</v>
      </c>
      <c r="K34" s="27">
        <f t="shared" si="7"/>
        <v>1.1829264285717067E-2</v>
      </c>
    </row>
    <row r="35" spans="1:11">
      <c r="A35" s="13">
        <f>'[1](kawam)'!F35</f>
        <v>45374</v>
      </c>
      <c r="B35" s="20">
        <f t="shared" si="2"/>
        <v>1</v>
      </c>
      <c r="C35" s="21">
        <f>'Matsuo-Kawamura KM91-TT '!F34</f>
        <v>4.3552288809526087E-3</v>
      </c>
      <c r="D35" s="21">
        <f t="shared" si="0"/>
        <v>0.43552288809526085</v>
      </c>
      <c r="E35" s="21">
        <f t="shared" si="1"/>
        <v>1.0882659523804183E-2</v>
      </c>
      <c r="F35" s="28">
        <f t="shared" si="3"/>
        <v>1.0882659523804183E-2</v>
      </c>
      <c r="G35" s="25">
        <f t="shared" si="4"/>
        <v>1</v>
      </c>
      <c r="H35" s="21">
        <f>'Matsuo-Kawamura KM91-PT '!F34</f>
        <v>2.8583170595238129E-3</v>
      </c>
      <c r="I35" s="21">
        <f t="shared" si="5"/>
        <v>0.28583170595238128</v>
      </c>
      <c r="J35" s="21">
        <f t="shared" si="6"/>
        <v>1.5001620238092483E-2</v>
      </c>
      <c r="K35" s="27">
        <f t="shared" si="7"/>
        <v>1.5001620238092483E-2</v>
      </c>
    </row>
    <row r="36" spans="1:11">
      <c r="A36" s="13">
        <f>'[1](kawam)'!F36</f>
        <v>45375</v>
      </c>
      <c r="B36" s="20">
        <f t="shared" si="2"/>
        <v>1</v>
      </c>
      <c r="C36" s="21">
        <f>'Matsuo-Kawamura KM91-TT '!F35</f>
        <v>4.4606168809525571E-3</v>
      </c>
      <c r="D36" s="21">
        <f t="shared" si="0"/>
        <v>0.4460616880952557</v>
      </c>
      <c r="E36" s="21">
        <f t="shared" si="1"/>
        <v>1.0538799999994852E-2</v>
      </c>
      <c r="F36" s="28">
        <f t="shared" si="3"/>
        <v>1.0538799999994852E-2</v>
      </c>
      <c r="G36" s="25">
        <f t="shared" si="4"/>
        <v>1</v>
      </c>
      <c r="H36" s="21">
        <f>'Matsuo-Kawamura KM91-PT '!F35</f>
        <v>2.9974606507937552E-3</v>
      </c>
      <c r="I36" s="21">
        <f t="shared" si="5"/>
        <v>0.29974606507937551</v>
      </c>
      <c r="J36" s="21">
        <f t="shared" si="6"/>
        <v>1.3914359126994236E-2</v>
      </c>
      <c r="K36" s="27">
        <f t="shared" si="7"/>
        <v>1.3914359126994236E-2</v>
      </c>
    </row>
    <row r="37" spans="1:11">
      <c r="A37" s="13">
        <f>'[1](kawam)'!F37</f>
        <v>45376</v>
      </c>
      <c r="B37" s="20">
        <f t="shared" si="2"/>
        <v>1</v>
      </c>
      <c r="C37" s="21">
        <f>'Matsuo-Kawamura KM91-TT '!F36</f>
        <v>4.5646439047621924E-3</v>
      </c>
      <c r="D37" s="21">
        <f t="shared" si="0"/>
        <v>0.45646439047621923</v>
      </c>
      <c r="E37" s="21">
        <f t="shared" si="1"/>
        <v>1.0402702380963524E-2</v>
      </c>
      <c r="F37" s="28">
        <f t="shared" si="3"/>
        <v>1.0402702380963524E-2</v>
      </c>
      <c r="G37" s="25">
        <f t="shared" si="4"/>
        <v>1</v>
      </c>
      <c r="H37" s="21">
        <f>'Matsuo-Kawamura KM91-PT '!F36</f>
        <v>3.1288969206349293E-3</v>
      </c>
      <c r="I37" s="21">
        <f t="shared" si="5"/>
        <v>0.31288969206349293</v>
      </c>
      <c r="J37" s="21">
        <f t="shared" si="6"/>
        <v>1.3143626984117418E-2</v>
      </c>
      <c r="K37" s="27">
        <f t="shared" si="7"/>
        <v>1.3143626984117418E-2</v>
      </c>
    </row>
    <row r="38" spans="1:11">
      <c r="A38" s="13">
        <f>'[1](kawam)'!F38</f>
        <v>45377</v>
      </c>
      <c r="B38" s="20">
        <f t="shared" si="2"/>
        <v>1</v>
      </c>
      <c r="C38" s="21">
        <f>'Matsuo-Kawamura KM91-TT '!F37</f>
        <v>4.6686709285716577E-3</v>
      </c>
      <c r="D38" s="21">
        <f t="shared" si="0"/>
        <v>0.46686709285716577</v>
      </c>
      <c r="E38" s="21">
        <f t="shared" si="1"/>
        <v>1.0402702380946538E-2</v>
      </c>
      <c r="F38" s="28">
        <f t="shared" si="3"/>
        <v>1.0402702380946538E-2</v>
      </c>
      <c r="G38" s="25">
        <f t="shared" si="4"/>
        <v>1</v>
      </c>
      <c r="H38" s="21">
        <f>'Matsuo-Kawamura KM91-PT '!F37</f>
        <v>3.2603331904761603E-3</v>
      </c>
      <c r="I38" s="21">
        <f t="shared" si="5"/>
        <v>0.32603331904761601</v>
      </c>
      <c r="J38" s="21">
        <f t="shared" si="6"/>
        <v>1.314362698412308E-2</v>
      </c>
      <c r="K38" s="27">
        <f t="shared" si="7"/>
        <v>1.314362698412308E-2</v>
      </c>
    </row>
    <row r="39" spans="1:11">
      <c r="A39" s="13">
        <f>'[1](kawam)'!F39</f>
        <v>45378</v>
      </c>
      <c r="B39" s="20">
        <f t="shared" si="2"/>
        <v>1</v>
      </c>
      <c r="C39" s="21">
        <f>'Matsuo-Kawamura KM91-TT '!F38</f>
        <v>4.7726979523811794E-3</v>
      </c>
      <c r="D39" s="21">
        <f t="shared" si="0"/>
        <v>0.47726979523811791</v>
      </c>
      <c r="E39" s="21">
        <f t="shared" si="1"/>
        <v>1.0402702380952145E-2</v>
      </c>
      <c r="F39" s="28">
        <f t="shared" si="3"/>
        <v>1.0402702380952145E-2</v>
      </c>
      <c r="G39" s="25">
        <f t="shared" si="4"/>
        <v>1</v>
      </c>
      <c r="H39" s="21">
        <f>'Matsuo-Kawamura KM91-PT '!F38</f>
        <v>3.3917694603173912E-3</v>
      </c>
      <c r="I39" s="21">
        <f t="shared" si="5"/>
        <v>0.33917694603173909</v>
      </c>
      <c r="J39" s="21">
        <f t="shared" si="6"/>
        <v>1.314362698412308E-2</v>
      </c>
      <c r="K39" s="27">
        <f t="shared" si="7"/>
        <v>1.314362698412308E-2</v>
      </c>
    </row>
    <row r="40" spans="1:11">
      <c r="A40" s="13">
        <f>'[1](kawam)'!F40</f>
        <v>45379</v>
      </c>
      <c r="B40" s="20">
        <f t="shared" si="2"/>
        <v>1</v>
      </c>
      <c r="C40" s="21">
        <f>'Matsuo-Kawamura KM91-TT '!F39</f>
        <v>4.8247114642859402E-3</v>
      </c>
      <c r="D40" s="21">
        <f t="shared" si="0"/>
        <v>0.48247114642859401</v>
      </c>
      <c r="E40" s="21">
        <f t="shared" si="1"/>
        <v>5.2013511904761001E-3</v>
      </c>
      <c r="F40" s="28">
        <f t="shared" si="3"/>
        <v>5.2013511904761001E-3</v>
      </c>
      <c r="G40" s="25">
        <f t="shared" si="4"/>
        <v>1</v>
      </c>
      <c r="H40" s="21">
        <f>'Matsuo-Kawamura KM91-PT '!F39</f>
        <v>3.4574875952380355E-3</v>
      </c>
      <c r="I40" s="21">
        <f t="shared" si="5"/>
        <v>0.34574875952380357</v>
      </c>
      <c r="J40" s="21">
        <f t="shared" si="6"/>
        <v>6.5718134920644822E-3</v>
      </c>
      <c r="K40" s="27">
        <f t="shared" si="7"/>
        <v>6.5718134920644822E-3</v>
      </c>
    </row>
    <row r="41" spans="1:11">
      <c r="A41" s="13">
        <f>'[1](kawam)'!F41</f>
        <v>45380</v>
      </c>
      <c r="B41" s="20">
        <f t="shared" si="2"/>
        <v>1</v>
      </c>
      <c r="C41" s="21">
        <f>'Matsuo-Kawamura KM91-TT '!F40</f>
        <v>4.8767249761907583E-3</v>
      </c>
      <c r="D41" s="21">
        <f t="shared" si="0"/>
        <v>0.48767249761907583</v>
      </c>
      <c r="E41" s="21">
        <f t="shared" si="1"/>
        <v>5.2013511904818177E-3</v>
      </c>
      <c r="F41" s="28">
        <f t="shared" si="3"/>
        <v>5.2013511904818177E-3</v>
      </c>
      <c r="G41" s="25">
        <f t="shared" si="4"/>
        <v>1</v>
      </c>
      <c r="H41" s="21">
        <f>'Matsuo-Kawamura KM91-PT '!F40</f>
        <v>3.523205730158793E-3</v>
      </c>
      <c r="I41" s="21">
        <f t="shared" si="5"/>
        <v>0.35232057301587932</v>
      </c>
      <c r="J41" s="21">
        <f t="shared" si="6"/>
        <v>6.5718134920757509E-3</v>
      </c>
      <c r="K41" s="27">
        <f t="shared" si="7"/>
        <v>6.5718134920757509E-3</v>
      </c>
    </row>
    <row r="42" spans="1:11">
      <c r="A42" s="13">
        <f>'[1](kawam)'!F42</f>
        <v>45381</v>
      </c>
      <c r="B42" s="20">
        <f t="shared" si="2"/>
        <v>1</v>
      </c>
      <c r="C42" s="21">
        <f>'Matsuo-Kawamura KM91-TT '!F41</f>
        <v>4.9807520000002227E-3</v>
      </c>
      <c r="D42" s="21">
        <f t="shared" si="0"/>
        <v>0.49807520000002226</v>
      </c>
      <c r="E42" s="21">
        <f t="shared" si="1"/>
        <v>1.0402702380946427E-2</v>
      </c>
      <c r="F42" s="28">
        <f t="shared" si="3"/>
        <v>1.0402702380946427E-2</v>
      </c>
      <c r="G42" s="25">
        <f t="shared" si="4"/>
        <v>1</v>
      </c>
      <c r="H42" s="21">
        <f>'Matsuo-Kawamura KM91-PT '!F41</f>
        <v>3.6546419999999671E-3</v>
      </c>
      <c r="I42" s="21">
        <f t="shared" si="5"/>
        <v>0.36546419999999669</v>
      </c>
      <c r="J42" s="21">
        <f t="shared" si="6"/>
        <v>1.3143626984117363E-2</v>
      </c>
      <c r="K42" s="27">
        <f t="shared" si="7"/>
        <v>1.3143626984117363E-2</v>
      </c>
    </row>
    <row r="43" spans="1:11">
      <c r="A43" s="13">
        <f>'[1](kawam)'!F43</f>
        <v>45382</v>
      </c>
      <c r="B43" s="20">
        <f t="shared" si="2"/>
        <v>1</v>
      </c>
      <c r="C43" s="21">
        <f>'Matsuo-Kawamura KM91-TT '!F42</f>
        <v>4.9807520000002227E-3</v>
      </c>
      <c r="D43" s="21">
        <f t="shared" si="0"/>
        <v>0.49807520000002226</v>
      </c>
      <c r="E43" s="21">
        <f t="shared" si="1"/>
        <v>0</v>
      </c>
      <c r="F43" s="28">
        <f t="shared" si="3"/>
        <v>0</v>
      </c>
      <c r="G43" s="25">
        <f t="shared" si="4"/>
        <v>1</v>
      </c>
      <c r="H43" s="21">
        <f>'Matsuo-Kawamura KM91-PT '!F42</f>
        <v>3.6546419999999671E-3</v>
      </c>
      <c r="I43" s="21">
        <f t="shared" si="5"/>
        <v>0.36546419999999669</v>
      </c>
      <c r="J43" s="21">
        <f t="shared" si="6"/>
        <v>0</v>
      </c>
      <c r="K43" s="27">
        <f t="shared" si="7"/>
        <v>0</v>
      </c>
    </row>
    <row r="44" spans="1:11">
      <c r="A44" s="13">
        <f>'[1](kawam)'!F44</f>
        <v>45389</v>
      </c>
      <c r="B44" s="20">
        <f t="shared" si="2"/>
        <v>7</v>
      </c>
      <c r="C44" s="21">
        <f>'Matsuo-Kawamura KM91-TT '!F43</f>
        <v>4.9807520000002227E-3</v>
      </c>
      <c r="D44" s="21">
        <f t="shared" si="0"/>
        <v>0.49807520000002226</v>
      </c>
      <c r="E44" s="21">
        <f t="shared" si="1"/>
        <v>0</v>
      </c>
      <c r="F44" s="28">
        <f t="shared" si="3"/>
        <v>0</v>
      </c>
      <c r="G44" s="25">
        <f t="shared" si="4"/>
        <v>7</v>
      </c>
      <c r="H44" s="21">
        <f>'Matsuo-Kawamura KM91-PT '!F43</f>
        <v>3.6546419999999671E-3</v>
      </c>
      <c r="I44" s="21">
        <f t="shared" si="5"/>
        <v>0.36546419999999669</v>
      </c>
      <c r="J44" s="21">
        <f t="shared" si="6"/>
        <v>0</v>
      </c>
      <c r="K44" s="27">
        <f t="shared" si="7"/>
        <v>0</v>
      </c>
    </row>
    <row r="45" spans="1:11">
      <c r="A45" s="13">
        <f>'[1](kawam)'!F45</f>
        <v>45396</v>
      </c>
      <c r="B45" s="20">
        <f t="shared" si="2"/>
        <v>7</v>
      </c>
      <c r="C45" s="21">
        <f>'Matsuo-Kawamura KM91-TT '!F44</f>
        <v>5.0298373666666975E-3</v>
      </c>
      <c r="D45" s="21">
        <f t="shared" si="0"/>
        <v>0.50298373666666973</v>
      </c>
      <c r="E45" s="21">
        <f t="shared" si="1"/>
        <v>4.9085366666474783E-3</v>
      </c>
      <c r="F45" s="28">
        <f t="shared" si="3"/>
        <v>7.0121952380678267E-4</v>
      </c>
      <c r="G45" s="25">
        <f t="shared" si="4"/>
        <v>7</v>
      </c>
      <c r="H45" s="21">
        <f>'Matsuo-Kawamura KM91-PT '!F44</f>
        <v>3.7173519999998917E-3</v>
      </c>
      <c r="I45" s="21">
        <f t="shared" si="5"/>
        <v>0.37173519999998916</v>
      </c>
      <c r="J45" s="21">
        <f t="shared" si="6"/>
        <v>6.270999999992477E-3</v>
      </c>
      <c r="K45" s="27">
        <f t="shared" si="7"/>
        <v>8.9585714285606813E-4</v>
      </c>
    </row>
    <row r="46" spans="1:11">
      <c r="A46" s="13">
        <f>'[1](kawam)'!F46</f>
        <v>45403</v>
      </c>
      <c r="B46" s="20">
        <f t="shared" si="2"/>
        <v>7</v>
      </c>
      <c r="C46" s="21">
        <f>'Matsuo-Kawamura KM91-TT '!F45</f>
        <v>5.0789227333336269E-3</v>
      </c>
      <c r="D46" s="21">
        <f t="shared" si="0"/>
        <v>0.50789227333336273</v>
      </c>
      <c r="E46" s="21">
        <f t="shared" si="1"/>
        <v>4.9085366666929975E-3</v>
      </c>
      <c r="F46" s="28">
        <f t="shared" si="3"/>
        <v>7.0121952381328539E-4</v>
      </c>
      <c r="G46" s="25">
        <f t="shared" si="4"/>
        <v>7</v>
      </c>
      <c r="H46" s="21">
        <f>'Matsuo-Kawamura KM91-PT '!F45</f>
        <v>3.7800619999999868E-3</v>
      </c>
      <c r="I46" s="21">
        <f t="shared" si="5"/>
        <v>0.37800619999999868</v>
      </c>
      <c r="J46" s="21">
        <f t="shared" si="6"/>
        <v>6.271000000009519E-3</v>
      </c>
      <c r="K46" s="27">
        <f t="shared" si="7"/>
        <v>8.9585714285850271E-4</v>
      </c>
    </row>
    <row r="47" spans="1:11">
      <c r="A47" s="13">
        <f>'[1](kawam)'!F47</f>
        <v>45410</v>
      </c>
      <c r="B47" s="20">
        <f t="shared" si="2"/>
        <v>7</v>
      </c>
      <c r="C47" s="21">
        <f>'Matsuo-Kawamura KM91-TT '!F46</f>
        <v>5.1280081000002154E-3</v>
      </c>
      <c r="D47" s="21">
        <f t="shared" si="0"/>
        <v>0.51280081000002153</v>
      </c>
      <c r="E47" s="21">
        <f t="shared" si="1"/>
        <v>4.9085366666588026E-3</v>
      </c>
      <c r="F47" s="28">
        <f t="shared" si="3"/>
        <v>7.012195238084004E-4</v>
      </c>
      <c r="G47" s="25">
        <f t="shared" si="4"/>
        <v>7</v>
      </c>
      <c r="H47" s="21">
        <f>'Matsuo-Kawamura KM91-PT '!F46</f>
        <v>3.8427719999999683E-3</v>
      </c>
      <c r="I47" s="21">
        <f t="shared" si="5"/>
        <v>0.38427719999999682</v>
      </c>
      <c r="J47" s="21">
        <f t="shared" si="6"/>
        <v>6.2709999999981392E-3</v>
      </c>
      <c r="K47" s="27">
        <f t="shared" si="7"/>
        <v>8.9585714285687706E-4</v>
      </c>
    </row>
    <row r="48" spans="1:11">
      <c r="A48" s="13">
        <f>'[1](kawam)'!F48</f>
        <v>45417</v>
      </c>
      <c r="B48" s="20">
        <f>A48-A47</f>
        <v>7</v>
      </c>
      <c r="C48" s="21">
        <f>'Matsuo-Kawamura KM91-TT '!F47</f>
        <v>5.1770934666669176E-3</v>
      </c>
      <c r="D48" s="21">
        <f t="shared" si="0"/>
        <v>0.51770934666669177</v>
      </c>
      <c r="E48" s="21">
        <f t="shared" si="1"/>
        <v>4.9085366666702379E-3</v>
      </c>
      <c r="F48" s="28">
        <f t="shared" si="3"/>
        <v>7.0121952381003397E-4</v>
      </c>
      <c r="G48" s="25">
        <f t="shared" si="4"/>
        <v>7</v>
      </c>
      <c r="H48" s="21">
        <f>'Matsuo-Kawamura KM91-PT '!F47</f>
        <v>3.9054820000000061E-3</v>
      </c>
      <c r="I48" s="21">
        <f t="shared" si="5"/>
        <v>0.39054820000000062</v>
      </c>
      <c r="J48" s="21">
        <f t="shared" si="6"/>
        <v>6.2710000000038013E-3</v>
      </c>
      <c r="K48" s="27">
        <f t="shared" si="7"/>
        <v>8.9585714285768587E-4</v>
      </c>
    </row>
    <row r="49" spans="1:11">
      <c r="A49" s="13">
        <f>'[1](kawam)'!F49</f>
        <v>45424</v>
      </c>
      <c r="B49" s="20">
        <f>A49-A48</f>
        <v>7</v>
      </c>
      <c r="C49" s="21">
        <f>'Matsuo-Kawamura KM91-TT '!F48</f>
        <v>5.226178833333677E-3</v>
      </c>
      <c r="D49" s="21">
        <f t="shared" si="0"/>
        <v>0.52261788333336767</v>
      </c>
      <c r="E49" s="21">
        <f t="shared" si="1"/>
        <v>4.9085366666759001E-3</v>
      </c>
      <c r="F49" s="28">
        <f t="shared" si="3"/>
        <v>7.012195238108429E-4</v>
      </c>
      <c r="G49" s="25">
        <f t="shared" si="4"/>
        <v>7</v>
      </c>
      <c r="H49" s="21">
        <f>'Matsuo-Kawamura KM91-PT '!F48</f>
        <v>3.9681919999999312E-3</v>
      </c>
      <c r="I49" s="21">
        <f t="shared" si="5"/>
        <v>0.3968191999999931</v>
      </c>
      <c r="J49" s="21">
        <f t="shared" si="6"/>
        <v>6.270999999992477E-3</v>
      </c>
      <c r="K49" s="27">
        <f t="shared" si="7"/>
        <v>8.9585714285606813E-4</v>
      </c>
    </row>
    <row r="50" spans="1:11">
      <c r="A50" s="13">
        <f>'[1](kawam)'!F50</f>
        <v>45431</v>
      </c>
      <c r="B50" s="20">
        <f>A50-A49</f>
        <v>7</v>
      </c>
      <c r="C50" s="21">
        <f>'Matsuo-Kawamura KM91-TT '!F49</f>
        <v>5.2858204000003749E-3</v>
      </c>
      <c r="D50" s="21">
        <f t="shared" si="0"/>
        <v>0.5285820400000375</v>
      </c>
      <c r="E50" s="21">
        <f t="shared" si="1"/>
        <v>5.9641566666698287E-3</v>
      </c>
      <c r="F50" s="28">
        <f t="shared" si="3"/>
        <v>8.5202238095283267E-4</v>
      </c>
      <c r="G50" s="25">
        <f t="shared" si="4"/>
        <v>7</v>
      </c>
      <c r="H50" s="21">
        <f>'Matsuo-Kawamura KM91-PT '!F49</f>
        <v>4.030901999999969E-3</v>
      </c>
      <c r="I50" s="21">
        <f t="shared" si="5"/>
        <v>0.4030901999999969</v>
      </c>
      <c r="J50" s="21">
        <f t="shared" si="6"/>
        <v>6.2710000000038013E-3</v>
      </c>
      <c r="K50" s="27">
        <f t="shared" si="7"/>
        <v>8.9585714285768587E-4</v>
      </c>
    </row>
    <row r="51" spans="1:11">
      <c r="A51" s="13">
        <f>'[1](kawam)'!F51</f>
        <v>45438</v>
      </c>
      <c r="B51" s="20">
        <f>A51-A50</f>
        <v>7</v>
      </c>
      <c r="C51" s="21">
        <f>'Matsuo-Kawamura KM91-TT '!F50</f>
        <v>5.2858204000003749E-3</v>
      </c>
      <c r="D51" s="21">
        <f t="shared" si="0"/>
        <v>0.5285820400000375</v>
      </c>
      <c r="E51" s="21">
        <f t="shared" si="1"/>
        <v>0</v>
      </c>
      <c r="F51" s="28">
        <f t="shared" si="3"/>
        <v>0</v>
      </c>
      <c r="G51" s="25">
        <f t="shared" si="4"/>
        <v>7</v>
      </c>
      <c r="H51" s="21">
        <f>'Matsuo-Kawamura KM91-PT '!F50</f>
        <v>4.030901999999969E-3</v>
      </c>
      <c r="I51" s="21">
        <f t="shared" si="5"/>
        <v>0.4030901999999969</v>
      </c>
      <c r="J51" s="21">
        <f t="shared" si="6"/>
        <v>0</v>
      </c>
      <c r="K51" s="27">
        <f t="shared" si="7"/>
        <v>0</v>
      </c>
    </row>
    <row r="52" spans="1:11">
      <c r="A52" s="13"/>
      <c r="B52" s="20"/>
      <c r="C52" s="21"/>
      <c r="D52" s="21"/>
      <c r="E52" s="21"/>
      <c r="F52" s="28"/>
      <c r="G52" s="25"/>
      <c r="H52" s="21"/>
      <c r="I52" s="21"/>
      <c r="J52" s="21"/>
      <c r="K52" s="27"/>
    </row>
    <row r="53" spans="1:11">
      <c r="A53" s="13"/>
      <c r="B53" s="20"/>
      <c r="C53" s="21"/>
      <c r="D53" s="21"/>
      <c r="E53" s="21"/>
      <c r="F53" s="28"/>
      <c r="G53" s="25"/>
      <c r="H53" s="21"/>
      <c r="I53" s="21"/>
      <c r="J53" s="21"/>
      <c r="K53" s="27"/>
    </row>
    <row r="54" spans="1:11">
      <c r="A54" s="13"/>
      <c r="B54" s="20"/>
      <c r="C54" s="21"/>
      <c r="D54" s="21"/>
      <c r="E54" s="21"/>
      <c r="F54" s="28"/>
      <c r="G54" s="25"/>
      <c r="H54" s="21"/>
      <c r="I54" s="21"/>
      <c r="J54" s="21"/>
      <c r="K54" s="27"/>
    </row>
    <row r="55" spans="1:11">
      <c r="A55" s="13"/>
      <c r="B55" s="20"/>
      <c r="C55" s="21"/>
      <c r="D55" s="21"/>
      <c r="E55" s="21"/>
      <c r="F55" s="28"/>
      <c r="G55" s="25"/>
      <c r="H55" s="21"/>
      <c r="I55" s="21"/>
      <c r="J55" s="21"/>
      <c r="K55" s="27"/>
    </row>
    <row r="56" spans="1:11">
      <c r="A56" s="13"/>
      <c r="B56" s="20"/>
      <c r="C56" s="21"/>
      <c r="D56" s="21"/>
      <c r="E56" s="21"/>
      <c r="F56" s="28"/>
      <c r="G56" s="25"/>
      <c r="H56" s="21"/>
      <c r="I56" s="21"/>
      <c r="J56" s="21"/>
      <c r="K56" s="27"/>
    </row>
    <row r="57" spans="1:11">
      <c r="A57" s="13"/>
      <c r="B57" s="20"/>
      <c r="C57" s="21"/>
      <c r="D57" s="21"/>
      <c r="E57" s="21"/>
      <c r="F57" s="28"/>
      <c r="G57" s="25"/>
      <c r="H57" s="21"/>
      <c r="I57" s="21"/>
      <c r="J57" s="21"/>
      <c r="K57" s="27"/>
    </row>
    <row r="58" spans="1:11">
      <c r="A58" s="13"/>
      <c r="B58" s="20"/>
      <c r="C58" s="21"/>
      <c r="D58" s="21"/>
      <c r="E58" s="21"/>
      <c r="F58" s="28"/>
      <c r="G58" s="25"/>
      <c r="H58" s="21"/>
      <c r="I58" s="21"/>
      <c r="J58" s="21"/>
      <c r="K58" s="27"/>
    </row>
    <row r="59" spans="1:11">
      <c r="A59" s="13"/>
      <c r="B59" s="20"/>
      <c r="C59" s="21"/>
      <c r="D59" s="21"/>
      <c r="E59" s="21"/>
      <c r="F59" s="28"/>
      <c r="G59" s="25"/>
      <c r="H59" s="21"/>
      <c r="I59" s="21"/>
      <c r="J59" s="21"/>
      <c r="K59" s="27"/>
    </row>
    <row r="60" spans="1:11">
      <c r="A60" s="13"/>
      <c r="B60" s="20"/>
      <c r="C60" s="21"/>
      <c r="D60" s="21"/>
      <c r="E60" s="21"/>
      <c r="F60" s="28"/>
      <c r="G60" s="25"/>
      <c r="H60" s="21"/>
      <c r="I60" s="21"/>
      <c r="J60" s="21"/>
      <c r="K60" s="27"/>
    </row>
    <row r="61" spans="1:11">
      <c r="A61" s="13"/>
      <c r="B61" s="20"/>
      <c r="C61" s="21"/>
      <c r="D61" s="21"/>
      <c r="E61" s="21"/>
      <c r="F61" s="28"/>
      <c r="G61" s="25"/>
      <c r="H61" s="21"/>
      <c r="I61" s="21"/>
      <c r="J61" s="21"/>
      <c r="K61" s="27"/>
    </row>
    <row r="62" spans="1:11">
      <c r="A62" s="13"/>
      <c r="B62" s="20"/>
      <c r="C62" s="21"/>
      <c r="D62" s="21"/>
      <c r="E62" s="21"/>
      <c r="F62" s="28"/>
      <c r="G62" s="25"/>
      <c r="H62" s="21"/>
      <c r="I62" s="21"/>
      <c r="J62" s="21"/>
      <c r="K62" s="27"/>
    </row>
    <row r="63" spans="1:11">
      <c r="A63" s="13"/>
      <c r="B63" s="20"/>
      <c r="C63" s="21"/>
      <c r="D63" s="21"/>
      <c r="E63" s="21"/>
      <c r="F63" s="28"/>
      <c r="G63" s="25"/>
      <c r="H63" s="21"/>
      <c r="I63" s="21"/>
      <c r="J63" s="21"/>
      <c r="K63" s="27"/>
    </row>
    <row r="64" spans="1:11">
      <c r="A64" s="13"/>
      <c r="B64" s="20"/>
      <c r="C64" s="21"/>
      <c r="D64" s="21"/>
      <c r="E64" s="21"/>
      <c r="F64" s="28"/>
      <c r="G64" s="25"/>
      <c r="H64" s="21"/>
      <c r="I64" s="21"/>
      <c r="J64" s="21"/>
      <c r="K64" s="27"/>
    </row>
    <row r="65" spans="1:11">
      <c r="A65" s="13"/>
      <c r="B65" s="20"/>
      <c r="C65" s="21"/>
      <c r="D65" s="21"/>
      <c r="E65" s="21"/>
      <c r="F65" s="28"/>
      <c r="G65" s="25"/>
      <c r="H65" s="21"/>
      <c r="I65" s="21"/>
      <c r="J65" s="21"/>
      <c r="K65" s="27"/>
    </row>
    <row r="66" spans="1:11">
      <c r="A66" s="13"/>
      <c r="B66" s="20"/>
      <c r="C66" s="21"/>
      <c r="D66" s="21"/>
      <c r="E66" s="21"/>
      <c r="F66" s="28"/>
      <c r="G66" s="25"/>
      <c r="H66" s="21"/>
      <c r="I66" s="21"/>
      <c r="J66" s="21"/>
      <c r="K66" s="27"/>
    </row>
    <row r="67" spans="1:11">
      <c r="A67" s="13"/>
      <c r="B67" s="20"/>
      <c r="C67" s="21"/>
      <c r="D67" s="21"/>
      <c r="E67" s="21"/>
      <c r="F67" s="28"/>
      <c r="G67" s="25"/>
      <c r="H67" s="21"/>
      <c r="I67" s="21"/>
      <c r="J67" s="21"/>
      <c r="K67" s="27"/>
    </row>
    <row r="68" spans="1:11">
      <c r="A68" s="13"/>
      <c r="B68" s="20"/>
      <c r="C68" s="21"/>
      <c r="D68" s="21"/>
      <c r="E68" s="21"/>
      <c r="F68" s="28"/>
      <c r="G68" s="25"/>
      <c r="H68" s="21"/>
      <c r="I68" s="21"/>
      <c r="J68" s="21"/>
      <c r="K68" s="27"/>
    </row>
    <row r="69" spans="1:11">
      <c r="A69" s="13"/>
      <c r="B69" s="20"/>
      <c r="C69" s="21"/>
      <c r="D69" s="21"/>
      <c r="E69" s="21"/>
      <c r="F69" s="28"/>
      <c r="G69" s="25"/>
      <c r="H69" s="21"/>
      <c r="I69" s="21"/>
      <c r="J69" s="21"/>
      <c r="K69" s="27"/>
    </row>
    <row r="70" spans="1:11">
      <c r="A70" s="13"/>
      <c r="B70" s="20"/>
      <c r="C70" s="21"/>
      <c r="D70" s="21"/>
      <c r="E70" s="21"/>
      <c r="F70" s="28"/>
      <c r="G70" s="25"/>
      <c r="H70" s="21"/>
      <c r="I70" s="21"/>
      <c r="J70" s="21"/>
      <c r="K70" s="27"/>
    </row>
    <row r="71" spans="1:11">
      <c r="A71" s="13"/>
      <c r="B71" s="20"/>
      <c r="C71" s="21"/>
      <c r="D71" s="21"/>
      <c r="E71" s="21"/>
      <c r="F71" s="28"/>
      <c r="G71" s="25"/>
      <c r="H71" s="21"/>
      <c r="I71" s="21"/>
      <c r="J71" s="21"/>
      <c r="K71" s="27"/>
    </row>
    <row r="72" spans="1:11">
      <c r="A72" s="13"/>
      <c r="B72" s="20"/>
      <c r="C72" s="21"/>
      <c r="D72" s="21"/>
      <c r="E72" s="21"/>
      <c r="F72" s="28"/>
      <c r="G72" s="25"/>
      <c r="H72" s="21"/>
      <c r="I72" s="21"/>
      <c r="J72" s="21"/>
      <c r="K72" s="27"/>
    </row>
    <row r="73" spans="1:11">
      <c r="A73" s="13"/>
      <c r="B73" s="20"/>
      <c r="C73" s="21"/>
      <c r="D73" s="21"/>
      <c r="E73" s="21"/>
      <c r="F73" s="28"/>
      <c r="G73" s="25"/>
      <c r="H73" s="21"/>
      <c r="I73" s="21"/>
      <c r="J73" s="21"/>
      <c r="K73" s="27"/>
    </row>
    <row r="74" spans="1:11">
      <c r="A74" s="13"/>
      <c r="B74" s="20"/>
      <c r="C74" s="21"/>
      <c r="D74" s="21"/>
      <c r="E74" s="21"/>
      <c r="F74" s="28"/>
      <c r="G74" s="25"/>
      <c r="H74" s="21"/>
      <c r="I74" s="21"/>
      <c r="J74" s="21"/>
      <c r="K74" s="27"/>
    </row>
    <row r="75" spans="1:11">
      <c r="A75" s="13"/>
      <c r="B75" s="20"/>
      <c r="C75" s="21"/>
      <c r="D75" s="21"/>
      <c r="E75" s="21"/>
      <c r="F75" s="28"/>
      <c r="G75" s="25"/>
      <c r="H75" s="21"/>
      <c r="I75" s="21"/>
      <c r="J75" s="21"/>
      <c r="K75" s="27"/>
    </row>
    <row r="76" spans="1:11">
      <c r="A76" s="13"/>
      <c r="B76" s="20"/>
      <c r="C76" s="21"/>
      <c r="D76" s="21"/>
      <c r="E76" s="21"/>
      <c r="F76" s="28"/>
      <c r="G76" s="25"/>
      <c r="H76" s="21"/>
      <c r="I76" s="21"/>
      <c r="J76" s="21"/>
      <c r="K76" s="27"/>
    </row>
    <row r="77" spans="1:11">
      <c r="A77" s="13"/>
      <c r="B77" s="20"/>
      <c r="C77" s="21"/>
      <c r="D77" s="21"/>
      <c r="E77" s="21"/>
      <c r="F77" s="28"/>
      <c r="G77" s="25"/>
      <c r="H77" s="21"/>
      <c r="I77" s="21"/>
      <c r="J77" s="21"/>
      <c r="K77" s="27"/>
    </row>
    <row r="78" spans="1:11">
      <c r="A78" s="13"/>
      <c r="B78" s="20"/>
      <c r="C78" s="21"/>
      <c r="D78" s="21"/>
      <c r="E78" s="21"/>
      <c r="F78" s="28"/>
      <c r="G78" s="25"/>
      <c r="H78" s="21"/>
      <c r="I78" s="21"/>
      <c r="J78" s="21"/>
      <c r="K78" s="27"/>
    </row>
    <row r="79" spans="1:11">
      <c r="A79" s="13"/>
      <c r="B79" s="20"/>
      <c r="C79" s="21"/>
      <c r="D79" s="21"/>
      <c r="E79" s="21"/>
      <c r="F79" s="28"/>
      <c r="G79" s="25"/>
      <c r="H79" s="21"/>
      <c r="I79" s="21"/>
      <c r="J79" s="21"/>
      <c r="K79" s="27"/>
    </row>
    <row r="80" spans="1:11">
      <c r="A80" s="13"/>
      <c r="B80" s="20"/>
      <c r="C80" s="21"/>
      <c r="D80" s="21"/>
      <c r="E80" s="21"/>
      <c r="F80" s="28"/>
      <c r="G80" s="25"/>
      <c r="H80" s="21"/>
      <c r="I80" s="21"/>
      <c r="J80" s="21"/>
      <c r="K80" s="27"/>
    </row>
    <row r="81" spans="1:11">
      <c r="A81" s="13"/>
      <c r="B81" s="20"/>
      <c r="C81" s="21"/>
      <c r="D81" s="21"/>
      <c r="E81" s="21"/>
      <c r="F81" s="28"/>
      <c r="G81" s="25"/>
      <c r="H81" s="21"/>
      <c r="I81" s="21"/>
      <c r="J81" s="21"/>
      <c r="K81" s="27"/>
    </row>
    <row r="82" spans="1:11">
      <c r="A82" s="13"/>
      <c r="B82" s="20"/>
      <c r="C82" s="21"/>
      <c r="D82" s="21"/>
      <c r="E82" s="21"/>
      <c r="F82" s="28"/>
      <c r="G82" s="25"/>
      <c r="H82" s="21"/>
      <c r="I82" s="21"/>
      <c r="J82" s="21"/>
      <c r="K82" s="27"/>
    </row>
    <row r="83" spans="1:11">
      <c r="A83" s="13"/>
      <c r="B83" s="20"/>
      <c r="C83" s="21"/>
      <c r="D83" s="21"/>
      <c r="E83" s="21"/>
      <c r="F83" s="28"/>
      <c r="G83" s="25"/>
      <c r="H83" s="21"/>
      <c r="I83" s="21"/>
      <c r="J83" s="21"/>
      <c r="K83" s="27"/>
    </row>
    <row r="84" spans="1:11">
      <c r="A84" s="13"/>
      <c r="B84" s="20"/>
      <c r="C84" s="21"/>
      <c r="D84" s="21"/>
      <c r="E84" s="21"/>
      <c r="F84" s="28"/>
      <c r="G84" s="25"/>
      <c r="H84" s="21"/>
      <c r="I84" s="21"/>
      <c r="J84" s="21"/>
      <c r="K84" s="27"/>
    </row>
    <row r="85" spans="1:11">
      <c r="A85" s="13"/>
      <c r="B85" s="20"/>
      <c r="C85" s="21"/>
      <c r="D85" s="21"/>
      <c r="E85" s="21"/>
      <c r="F85" s="28"/>
      <c r="G85" s="25"/>
      <c r="H85" s="21"/>
      <c r="I85" s="21"/>
      <c r="J85" s="21"/>
      <c r="K85" s="27"/>
    </row>
    <row r="86" spans="1:11">
      <c r="A86" s="13"/>
      <c r="B86" s="20"/>
      <c r="C86" s="21"/>
      <c r="D86" s="21"/>
      <c r="E86" s="21"/>
      <c r="F86" s="28"/>
      <c r="G86" s="25"/>
      <c r="H86" s="21"/>
      <c r="I86" s="21"/>
      <c r="J86" s="21"/>
      <c r="K86" s="27"/>
    </row>
    <row r="87" spans="1:11">
      <c r="A87" s="13"/>
      <c r="B87" s="20"/>
      <c r="C87" s="21"/>
      <c r="D87" s="21"/>
      <c r="E87" s="21"/>
      <c r="F87" s="28"/>
      <c r="G87" s="25"/>
      <c r="H87" s="21"/>
      <c r="I87" s="21"/>
      <c r="J87" s="21"/>
      <c r="K87" s="27"/>
    </row>
    <row r="88" spans="1:11">
      <c r="A88" s="13"/>
      <c r="B88" s="20"/>
      <c r="C88" s="21"/>
      <c r="D88" s="21"/>
      <c r="E88" s="21"/>
      <c r="F88" s="28"/>
      <c r="G88" s="25"/>
      <c r="H88" s="21"/>
      <c r="I88" s="21"/>
      <c r="J88" s="21"/>
      <c r="K88" s="27"/>
    </row>
    <row r="89" spans="1:11">
      <c r="A89" s="13"/>
      <c r="B89" s="20"/>
      <c r="C89" s="21"/>
      <c r="D89" s="21"/>
      <c r="E89" s="21"/>
      <c r="F89" s="28"/>
      <c r="G89" s="25"/>
      <c r="H89" s="21"/>
      <c r="I89" s="21"/>
      <c r="J89" s="21"/>
      <c r="K89" s="27"/>
    </row>
    <row r="90" spans="1:11">
      <c r="A90" s="13"/>
      <c r="B90" s="20"/>
      <c r="C90" s="21"/>
      <c r="D90" s="21"/>
      <c r="E90" s="21"/>
      <c r="F90" s="28"/>
      <c r="G90" s="25"/>
      <c r="H90" s="21"/>
      <c r="I90" s="21"/>
      <c r="J90" s="21"/>
      <c r="K90" s="27"/>
    </row>
    <row r="91" spans="1:11">
      <c r="A91" s="13"/>
      <c r="B91" s="20"/>
      <c r="C91" s="21"/>
      <c r="D91" s="21"/>
      <c r="E91" s="21"/>
      <c r="F91" s="28"/>
      <c r="G91" s="25"/>
      <c r="H91" s="21"/>
      <c r="I91" s="21"/>
      <c r="J91" s="21"/>
      <c r="K91" s="27"/>
    </row>
    <row r="92" spans="1:11">
      <c r="A92" s="13"/>
      <c r="B92" s="20"/>
      <c r="C92" s="21"/>
      <c r="D92" s="21"/>
      <c r="E92" s="21"/>
      <c r="F92" s="28"/>
      <c r="G92" s="25"/>
      <c r="H92" s="21"/>
      <c r="I92" s="21"/>
      <c r="J92" s="21"/>
      <c r="K92" s="27"/>
    </row>
    <row r="93" spans="1:11">
      <c r="A93" s="13"/>
      <c r="B93" s="20"/>
      <c r="C93" s="21"/>
      <c r="D93" s="21"/>
      <c r="E93" s="21"/>
      <c r="F93" s="28"/>
      <c r="G93" s="25"/>
      <c r="H93" s="21"/>
      <c r="I93" s="21"/>
      <c r="J93" s="21"/>
      <c r="K93" s="27"/>
    </row>
    <row r="94" spans="1:11">
      <c r="A94" s="13"/>
      <c r="B94" s="20"/>
      <c r="C94" s="21"/>
      <c r="D94" s="21"/>
      <c r="E94" s="21"/>
      <c r="F94" s="28"/>
      <c r="G94" s="25"/>
      <c r="H94" s="21"/>
      <c r="I94" s="21"/>
      <c r="J94" s="21"/>
      <c r="K94" s="27"/>
    </row>
    <row r="95" spans="1:11">
      <c r="A95" s="13"/>
      <c r="B95" s="20"/>
      <c r="C95" s="21"/>
      <c r="D95" s="21"/>
      <c r="E95" s="21"/>
      <c r="F95" s="28"/>
      <c r="G95" s="25"/>
      <c r="H95" s="21"/>
      <c r="I95" s="21"/>
      <c r="J95" s="21"/>
      <c r="K95" s="27"/>
    </row>
    <row r="96" spans="1:11">
      <c r="A96" s="13"/>
      <c r="B96" s="20"/>
      <c r="C96" s="21"/>
      <c r="D96" s="21"/>
      <c r="E96" s="21"/>
      <c r="F96" s="28"/>
      <c r="G96" s="25"/>
      <c r="H96" s="21"/>
      <c r="I96" s="21"/>
      <c r="J96" s="21"/>
      <c r="K96" s="27"/>
    </row>
    <row r="97" spans="1:11">
      <c r="A97" s="13"/>
      <c r="B97" s="20"/>
      <c r="C97" s="21"/>
      <c r="D97" s="21"/>
      <c r="E97" s="21"/>
      <c r="F97" s="28"/>
      <c r="G97" s="25"/>
      <c r="H97" s="21"/>
      <c r="I97" s="21"/>
      <c r="J97" s="21"/>
      <c r="K97" s="27"/>
    </row>
    <row r="98" spans="1:11">
      <c r="A98" s="13"/>
      <c r="B98" s="20"/>
      <c r="C98" s="21"/>
      <c r="D98" s="21"/>
      <c r="E98" s="21"/>
      <c r="F98" s="28"/>
      <c r="G98" s="25"/>
      <c r="H98" s="21"/>
      <c r="I98" s="21"/>
      <c r="J98" s="21"/>
      <c r="K98" s="27"/>
    </row>
    <row r="99" spans="1:11">
      <c r="A99" s="13"/>
      <c r="B99" s="20"/>
      <c r="C99" s="21"/>
      <c r="D99" s="21"/>
      <c r="E99" s="21"/>
      <c r="F99" s="28"/>
      <c r="G99" s="25"/>
      <c r="H99" s="21"/>
      <c r="I99" s="21"/>
      <c r="J99" s="21"/>
      <c r="K99" s="27"/>
    </row>
    <row r="100" spans="1:11">
      <c r="A100" s="13"/>
      <c r="B100" s="20"/>
      <c r="C100" s="21"/>
      <c r="D100" s="21"/>
      <c r="E100" s="21"/>
      <c r="F100" s="28"/>
      <c r="G100" s="25"/>
      <c r="H100" s="21"/>
      <c r="I100" s="21"/>
      <c r="J100" s="21"/>
      <c r="K100" s="27"/>
    </row>
    <row r="101" spans="1:11">
      <c r="A101" s="13"/>
      <c r="B101" s="20"/>
      <c r="C101" s="21"/>
      <c r="D101" s="21"/>
      <c r="E101" s="21"/>
      <c r="F101" s="28"/>
      <c r="G101" s="25"/>
      <c r="H101" s="21"/>
      <c r="I101" s="21"/>
      <c r="J101" s="21"/>
      <c r="K101" s="27"/>
    </row>
    <row r="102" spans="1:11">
      <c r="A102" s="13"/>
      <c r="B102" s="20"/>
      <c r="C102" s="21"/>
      <c r="D102" s="21"/>
      <c r="E102" s="21"/>
      <c r="F102" s="28"/>
      <c r="G102" s="25"/>
      <c r="H102" s="21"/>
      <c r="I102" s="21"/>
      <c r="J102" s="21"/>
      <c r="K102" s="27"/>
    </row>
    <row r="103" spans="1:11">
      <c r="A103" s="13"/>
      <c r="B103" s="20"/>
      <c r="C103" s="21"/>
      <c r="D103" s="21"/>
      <c r="E103" s="21"/>
      <c r="F103" s="28"/>
      <c r="G103" s="25"/>
      <c r="H103" s="21"/>
      <c r="I103" s="21"/>
      <c r="J103" s="21"/>
      <c r="K103" s="27"/>
    </row>
    <row r="104" spans="1:11">
      <c r="A104" s="13"/>
      <c r="B104" s="20"/>
      <c r="C104" s="21"/>
      <c r="D104" s="21"/>
      <c r="E104" s="21"/>
      <c r="F104" s="28"/>
      <c r="G104" s="25"/>
      <c r="H104" s="21"/>
      <c r="I104" s="21"/>
      <c r="J104" s="21"/>
      <c r="K104" s="27"/>
    </row>
    <row r="105" spans="1:11">
      <c r="A105" s="13"/>
      <c r="B105" s="20"/>
      <c r="C105" s="21"/>
      <c r="D105" s="21"/>
      <c r="E105" s="21"/>
      <c r="F105" s="28"/>
      <c r="G105" s="25"/>
      <c r="H105" s="21"/>
      <c r="I105" s="21"/>
      <c r="J105" s="21"/>
      <c r="K105" s="27"/>
    </row>
    <row r="106" spans="1:11">
      <c r="A106" s="13"/>
      <c r="B106" s="20"/>
      <c r="C106" s="21"/>
      <c r="D106" s="21"/>
      <c r="E106" s="21"/>
      <c r="F106" s="28"/>
      <c r="G106" s="25"/>
      <c r="H106" s="21"/>
      <c r="I106" s="21"/>
      <c r="J106" s="21"/>
      <c r="K106" s="27"/>
    </row>
    <row r="107" spans="1:11">
      <c r="A107" s="13"/>
      <c r="B107" s="20"/>
      <c r="C107" s="21"/>
      <c r="D107" s="21"/>
      <c r="E107" s="21"/>
      <c r="F107" s="28"/>
      <c r="G107" s="25"/>
      <c r="H107" s="21"/>
      <c r="I107" s="21"/>
      <c r="J107" s="21"/>
      <c r="K107" s="27"/>
    </row>
    <row r="108" spans="1:11">
      <c r="A108" s="13"/>
      <c r="B108" s="20"/>
      <c r="C108" s="21"/>
      <c r="D108" s="21"/>
      <c r="E108" s="21"/>
      <c r="F108" s="28"/>
      <c r="G108" s="25"/>
      <c r="H108" s="21"/>
      <c r="I108" s="21"/>
      <c r="J108" s="21"/>
      <c r="K108" s="27"/>
    </row>
    <row r="109" spans="1:11">
      <c r="A109" s="13"/>
      <c r="B109" s="20"/>
      <c r="C109" s="21"/>
      <c r="D109" s="21"/>
      <c r="E109" s="21"/>
      <c r="F109" s="28"/>
      <c r="G109" s="25"/>
      <c r="H109" s="21"/>
      <c r="I109" s="21"/>
      <c r="J109" s="21"/>
      <c r="K109" s="27"/>
    </row>
    <row r="110" spans="1:11">
      <c r="A110" s="13"/>
      <c r="B110" s="20"/>
      <c r="C110" s="21"/>
      <c r="D110" s="21"/>
      <c r="E110" s="21"/>
      <c r="F110" s="28"/>
      <c r="G110" s="25"/>
      <c r="H110" s="21"/>
      <c r="I110" s="21"/>
      <c r="J110" s="21"/>
      <c r="K110" s="27"/>
    </row>
    <row r="111" spans="1:11">
      <c r="A111" s="13"/>
      <c r="B111" s="20"/>
      <c r="C111" s="21"/>
      <c r="D111" s="21"/>
      <c r="E111" s="21"/>
      <c r="F111" s="28"/>
      <c r="G111" s="25"/>
      <c r="H111" s="21"/>
      <c r="I111" s="21"/>
      <c r="J111" s="21"/>
      <c r="K111" s="27"/>
    </row>
    <row r="112" spans="1:11">
      <c r="A112" s="13"/>
      <c r="B112" s="20"/>
      <c r="C112" s="21"/>
      <c r="D112" s="21"/>
      <c r="E112" s="21"/>
      <c r="F112" s="28"/>
      <c r="G112" s="25"/>
      <c r="H112" s="21"/>
      <c r="I112" s="21"/>
      <c r="J112" s="21"/>
      <c r="K112" s="27"/>
    </row>
    <row r="113" spans="1:11">
      <c r="A113" s="13"/>
      <c r="B113" s="20"/>
      <c r="C113" s="21"/>
      <c r="D113" s="21"/>
      <c r="E113" s="21"/>
      <c r="F113" s="28"/>
      <c r="G113" s="25"/>
      <c r="H113" s="21"/>
      <c r="I113" s="21"/>
      <c r="J113" s="21"/>
      <c r="K113" s="27"/>
    </row>
    <row r="114" spans="1:11">
      <c r="A114" s="13"/>
      <c r="B114" s="20"/>
      <c r="C114" s="21"/>
      <c r="D114" s="21"/>
      <c r="E114" s="21"/>
      <c r="F114" s="28"/>
      <c r="G114" s="25"/>
      <c r="H114" s="21"/>
      <c r="I114" s="21"/>
      <c r="J114" s="21"/>
      <c r="K114" s="27"/>
    </row>
    <row r="115" spans="1:11">
      <c r="A115" s="13"/>
      <c r="B115" s="20"/>
      <c r="C115" s="21"/>
      <c r="D115" s="21"/>
      <c r="E115" s="21"/>
      <c r="F115" s="28"/>
      <c r="G115" s="25"/>
      <c r="H115" s="21"/>
      <c r="I115" s="21"/>
      <c r="J115" s="21"/>
      <c r="K115" s="27"/>
    </row>
    <row r="116" spans="1:11">
      <c r="A116" s="13"/>
      <c r="B116" s="20"/>
      <c r="C116" s="21"/>
      <c r="D116" s="21"/>
      <c r="E116" s="21"/>
      <c r="F116" s="28"/>
      <c r="G116" s="25"/>
      <c r="H116" s="21"/>
      <c r="I116" s="21"/>
      <c r="J116" s="21"/>
      <c r="K116" s="27"/>
    </row>
    <row r="117" spans="1:11">
      <c r="A117" s="13"/>
      <c r="B117" s="20"/>
      <c r="C117" s="21"/>
      <c r="D117" s="21"/>
      <c r="E117" s="21"/>
      <c r="F117" s="28"/>
      <c r="G117" s="25"/>
      <c r="H117" s="21"/>
      <c r="I117" s="21"/>
      <c r="J117" s="21"/>
      <c r="K117" s="27"/>
    </row>
    <row r="118" spans="1:11">
      <c r="A118" s="13"/>
      <c r="B118" s="20"/>
      <c r="C118" s="21"/>
      <c r="D118" s="21"/>
      <c r="E118" s="21"/>
      <c r="F118" s="28"/>
      <c r="G118" s="25"/>
      <c r="H118" s="21"/>
      <c r="I118" s="21"/>
      <c r="J118" s="21"/>
      <c r="K118" s="27"/>
    </row>
    <row r="119" spans="1:11">
      <c r="A119" s="13"/>
      <c r="B119" s="20"/>
      <c r="C119" s="21"/>
      <c r="D119" s="21"/>
      <c r="E119" s="21"/>
      <c r="F119" s="28"/>
      <c r="G119" s="25"/>
      <c r="H119" s="21"/>
      <c r="I119" s="21"/>
      <c r="J119" s="21"/>
      <c r="K119" s="27"/>
    </row>
    <row r="120" spans="1:11">
      <c r="A120" s="13"/>
      <c r="B120" s="20"/>
      <c r="C120" s="21"/>
      <c r="D120" s="21"/>
      <c r="E120" s="21"/>
      <c r="F120" s="28"/>
      <c r="G120" s="25"/>
      <c r="H120" s="21"/>
      <c r="I120" s="21"/>
      <c r="J120" s="21"/>
      <c r="K120" s="27"/>
    </row>
    <row r="121" spans="1:11">
      <c r="A121" s="13"/>
      <c r="B121" s="20"/>
      <c r="C121" s="21"/>
      <c r="D121" s="21"/>
      <c r="E121" s="21"/>
      <c r="F121" s="28"/>
      <c r="G121" s="25"/>
      <c r="H121" s="21"/>
      <c r="I121" s="21"/>
      <c r="J121" s="21"/>
      <c r="K121" s="27"/>
    </row>
    <row r="122" spans="1:11">
      <c r="A122" s="13"/>
      <c r="B122" s="20"/>
      <c r="C122" s="21"/>
      <c r="D122" s="21"/>
      <c r="E122" s="21"/>
      <c r="F122" s="28"/>
      <c r="G122" s="25"/>
      <c r="H122" s="21"/>
      <c r="I122" s="21"/>
      <c r="J122" s="21"/>
      <c r="K122" s="27"/>
    </row>
    <row r="123" spans="1:11">
      <c r="A123" s="13"/>
      <c r="B123" s="20"/>
      <c r="C123" s="21"/>
      <c r="D123" s="21"/>
      <c r="E123" s="21"/>
      <c r="F123" s="28"/>
      <c r="G123" s="25"/>
      <c r="H123" s="21"/>
      <c r="I123" s="21"/>
      <c r="J123" s="21"/>
      <c r="K123" s="27"/>
    </row>
    <row r="124" spans="1:11">
      <c r="A124" s="13"/>
      <c r="B124" s="20"/>
      <c r="C124" s="21"/>
      <c r="D124" s="21"/>
      <c r="E124" s="21"/>
      <c r="F124" s="28"/>
      <c r="G124" s="25"/>
      <c r="H124" s="21"/>
      <c r="I124" s="21"/>
      <c r="J124" s="21"/>
      <c r="K124" s="27"/>
    </row>
    <row r="125" spans="1:11">
      <c r="A125" s="13"/>
      <c r="B125" s="20"/>
      <c r="C125" s="23"/>
      <c r="D125" s="23"/>
      <c r="E125" s="23"/>
      <c r="F125" s="31">
        <v>2</v>
      </c>
      <c r="G125" s="32">
        <v>-2</v>
      </c>
      <c r="H125" s="33"/>
      <c r="I125" s="33"/>
      <c r="J125" s="33"/>
      <c r="K125" s="34"/>
    </row>
    <row r="126" spans="1:11">
      <c r="A126" s="35"/>
      <c r="B126" s="36"/>
      <c r="C126" s="37"/>
      <c r="D126" s="37"/>
      <c r="E126" s="37"/>
      <c r="F126" s="38">
        <v>2</v>
      </c>
      <c r="G126" s="32">
        <v>-2</v>
      </c>
      <c r="H126" s="33"/>
      <c r="I126" s="33"/>
      <c r="J126" s="33"/>
      <c r="K126" s="34"/>
    </row>
    <row r="127" spans="1:11" ht="18.75" customHeight="1" thickBot="1">
      <c r="A127" s="70"/>
      <c r="B127" s="70"/>
      <c r="C127" s="70"/>
      <c r="D127" s="70"/>
      <c r="E127" s="70"/>
      <c r="F127" s="70"/>
      <c r="G127" s="70"/>
      <c r="H127" s="71"/>
      <c r="I127" s="71"/>
      <c r="J127" s="71"/>
      <c r="K127" s="71"/>
    </row>
    <row r="128" spans="1:11">
      <c r="A128" s="39">
        <f t="shared" ref="A128:A174" si="8">A5</f>
        <v>45344</v>
      </c>
      <c r="B128" s="40">
        <v>0</v>
      </c>
      <c r="C128" s="41" t="s">
        <v>25</v>
      </c>
      <c r="D128" s="42"/>
      <c r="E128" s="43">
        <v>0</v>
      </c>
      <c r="F128" s="44">
        <v>0.5</v>
      </c>
      <c r="G128" s="44">
        <v>-0.5</v>
      </c>
      <c r="H128" s="33"/>
      <c r="I128" s="45">
        <v>0</v>
      </c>
      <c r="J128" s="46">
        <v>0</v>
      </c>
      <c r="K128" s="33"/>
    </row>
    <row r="129" spans="1:11">
      <c r="A129" s="39">
        <f t="shared" si="8"/>
        <v>45345</v>
      </c>
      <c r="B129" s="48">
        <f t="shared" ref="B129:B174" si="9">A6-$A$5</f>
        <v>1</v>
      </c>
      <c r="C129" s="49">
        <f t="shared" ref="C129:C174" si="10">F6</f>
        <v>5.6825251190502968E-2</v>
      </c>
      <c r="D129" s="50"/>
      <c r="E129" s="43">
        <v>280</v>
      </c>
      <c r="F129" s="44">
        <v>0.5</v>
      </c>
      <c r="G129" s="44">
        <v>-0.5</v>
      </c>
      <c r="H129" s="33"/>
      <c r="I129" s="48">
        <f>B129</f>
        <v>1</v>
      </c>
      <c r="J129" s="49">
        <f t="shared" ref="J129:J174" si="11">K6</f>
        <v>1.4956015476178664E-2</v>
      </c>
      <c r="K129" s="33"/>
    </row>
    <row r="130" spans="1:11">
      <c r="A130" s="39">
        <f t="shared" si="8"/>
        <v>45346</v>
      </c>
      <c r="B130" s="48">
        <f t="shared" si="9"/>
        <v>2</v>
      </c>
      <c r="C130" s="49">
        <f t="shared" si="10"/>
        <v>9.4218980158700533E-3</v>
      </c>
      <c r="D130" s="50"/>
      <c r="E130" s="43"/>
      <c r="F130" s="51"/>
      <c r="G130" s="52"/>
      <c r="H130" s="33"/>
      <c r="I130" s="48">
        <f t="shared" ref="I130:I174" si="12">B130</f>
        <v>2</v>
      </c>
      <c r="J130" s="49">
        <f t="shared" si="11"/>
        <v>1.8067194444654436E-3</v>
      </c>
      <c r="K130" s="33"/>
    </row>
    <row r="131" spans="1:11">
      <c r="A131" s="39">
        <f t="shared" si="8"/>
        <v>45347</v>
      </c>
      <c r="B131" s="48">
        <f t="shared" si="9"/>
        <v>3</v>
      </c>
      <c r="C131" s="49">
        <f t="shared" si="10"/>
        <v>8.7167301587328522E-3</v>
      </c>
      <c r="D131" s="50"/>
      <c r="E131" s="43"/>
      <c r="F131" s="51"/>
      <c r="G131" s="52"/>
      <c r="H131" s="33"/>
      <c r="I131" s="48">
        <f t="shared" si="12"/>
        <v>3</v>
      </c>
      <c r="J131" s="49">
        <f t="shared" si="11"/>
        <v>2.2056230158568717E-3</v>
      </c>
      <c r="K131" s="33"/>
    </row>
    <row r="132" spans="1:11">
      <c r="A132" s="39">
        <f t="shared" si="8"/>
        <v>45348</v>
      </c>
      <c r="B132" s="53">
        <f t="shared" si="9"/>
        <v>4</v>
      </c>
      <c r="C132" s="49">
        <f t="shared" si="10"/>
        <v>8.7167301587328383E-3</v>
      </c>
      <c r="D132" s="54"/>
      <c r="E132" s="55"/>
      <c r="F132" s="56"/>
      <c r="G132" s="57"/>
      <c r="H132" s="33"/>
      <c r="I132" s="48">
        <f t="shared" si="12"/>
        <v>4</v>
      </c>
      <c r="J132" s="49">
        <f t="shared" si="11"/>
        <v>2.2056230158682411E-3</v>
      </c>
      <c r="K132" s="33"/>
    </row>
    <row r="133" spans="1:11">
      <c r="A133" s="39">
        <f t="shared" si="8"/>
        <v>45349</v>
      </c>
      <c r="B133" s="53">
        <f t="shared" si="9"/>
        <v>5</v>
      </c>
      <c r="C133" s="49">
        <f t="shared" si="10"/>
        <v>8.7167301587271623E-3</v>
      </c>
      <c r="D133" s="58"/>
      <c r="E133" s="59"/>
      <c r="F133" s="33"/>
      <c r="G133" s="32"/>
      <c r="H133" s="60"/>
      <c r="I133" s="48">
        <f t="shared" si="12"/>
        <v>5</v>
      </c>
      <c r="J133" s="49">
        <f t="shared" si="11"/>
        <v>2.205623015873924E-3</v>
      </c>
      <c r="K133" s="33"/>
    </row>
    <row r="134" spans="1:11">
      <c r="A134" s="39">
        <f t="shared" si="8"/>
        <v>45350</v>
      </c>
      <c r="B134" s="53">
        <f t="shared" si="9"/>
        <v>6</v>
      </c>
      <c r="C134" s="49">
        <f t="shared" si="10"/>
        <v>4.3583650793607431E-3</v>
      </c>
      <c r="D134" s="47"/>
      <c r="E134" s="59"/>
      <c r="F134" s="33"/>
      <c r="G134" s="32"/>
      <c r="H134" s="47"/>
      <c r="I134" s="48">
        <f t="shared" si="12"/>
        <v>6</v>
      </c>
      <c r="J134" s="49">
        <f t="shared" si="11"/>
        <v>1.1028115079454899E-3</v>
      </c>
      <c r="K134" s="47"/>
    </row>
    <row r="135" spans="1:11">
      <c r="A135" s="39">
        <f t="shared" si="8"/>
        <v>45351</v>
      </c>
      <c r="B135" s="53">
        <f t="shared" si="9"/>
        <v>7</v>
      </c>
      <c r="C135" s="49">
        <f t="shared" si="10"/>
        <v>4.3583650793664191E-3</v>
      </c>
      <c r="D135" s="47"/>
      <c r="E135" s="59"/>
      <c r="F135" s="33"/>
      <c r="G135" s="32"/>
      <c r="H135" s="47"/>
      <c r="I135" s="48">
        <f t="shared" si="12"/>
        <v>7</v>
      </c>
      <c r="J135" s="49">
        <f t="shared" si="11"/>
        <v>1.1028115079284376E-3</v>
      </c>
      <c r="K135" s="47"/>
    </row>
    <row r="136" spans="1:11">
      <c r="A136" s="39">
        <f t="shared" si="8"/>
        <v>45352</v>
      </c>
      <c r="B136" s="53">
        <f t="shared" si="9"/>
        <v>8</v>
      </c>
      <c r="C136" s="49">
        <f t="shared" si="10"/>
        <v>8.7167301587271623E-3</v>
      </c>
      <c r="D136" s="47"/>
      <c r="E136" s="59"/>
      <c r="F136" s="33"/>
      <c r="G136" s="32"/>
      <c r="H136" s="47"/>
      <c r="I136" s="48">
        <f t="shared" si="12"/>
        <v>8</v>
      </c>
      <c r="J136" s="49">
        <f t="shared" si="11"/>
        <v>2.205623015873924E-3</v>
      </c>
      <c r="K136" s="47"/>
    </row>
    <row r="137" spans="1:11">
      <c r="A137" s="39">
        <f t="shared" si="8"/>
        <v>45353</v>
      </c>
      <c r="B137" s="53">
        <f t="shared" si="9"/>
        <v>9</v>
      </c>
      <c r="C137" s="49">
        <f t="shared" si="10"/>
        <v>1.5600486666664873E-2</v>
      </c>
      <c r="D137" s="47"/>
      <c r="E137" s="59"/>
      <c r="F137" s="33"/>
      <c r="G137" s="32"/>
      <c r="H137" s="47"/>
      <c r="I137" s="48">
        <f t="shared" si="12"/>
        <v>9</v>
      </c>
      <c r="J137" s="49">
        <f t="shared" si="11"/>
        <v>1.1470910000014097E-2</v>
      </c>
      <c r="K137" s="47"/>
    </row>
    <row r="138" spans="1:11">
      <c r="A138" s="39">
        <f t="shared" si="8"/>
        <v>45354</v>
      </c>
      <c r="B138" s="53">
        <f t="shared" si="9"/>
        <v>10</v>
      </c>
      <c r="C138" s="49">
        <f t="shared" si="10"/>
        <v>1.6042483333347957E-2</v>
      </c>
      <c r="D138" s="47"/>
      <c r="E138" s="59"/>
      <c r="F138" s="33"/>
      <c r="G138" s="32"/>
      <c r="H138" s="47"/>
      <c r="I138" s="48">
        <f t="shared" si="12"/>
        <v>10</v>
      </c>
      <c r="J138" s="49">
        <f t="shared" si="11"/>
        <v>1.1470910000002735E-2</v>
      </c>
      <c r="K138" s="47"/>
    </row>
    <row r="139" spans="1:11">
      <c r="A139" s="39">
        <f t="shared" si="8"/>
        <v>45355</v>
      </c>
      <c r="B139" s="53">
        <f t="shared" si="9"/>
        <v>11</v>
      </c>
      <c r="C139" s="49">
        <f t="shared" si="10"/>
        <v>1.7348259999999976E-2</v>
      </c>
      <c r="D139" s="47"/>
      <c r="E139" s="59"/>
      <c r="F139" s="33"/>
      <c r="G139" s="32"/>
      <c r="H139" s="47"/>
      <c r="I139" s="48">
        <f t="shared" si="12"/>
        <v>11</v>
      </c>
      <c r="J139" s="49">
        <f t="shared" si="11"/>
        <v>1.1470909999991362E-2</v>
      </c>
      <c r="K139" s="47"/>
    </row>
    <row r="140" spans="1:11">
      <c r="A140" s="39">
        <f t="shared" si="8"/>
        <v>45356</v>
      </c>
      <c r="B140" s="53">
        <f t="shared" si="9"/>
        <v>12</v>
      </c>
      <c r="C140" s="49">
        <f t="shared" si="10"/>
        <v>1.7348259999988624E-2</v>
      </c>
      <c r="D140" s="47"/>
      <c r="E140" s="59"/>
      <c r="F140" s="33"/>
      <c r="G140" s="32"/>
      <c r="H140" s="47"/>
      <c r="I140" s="48">
        <f t="shared" si="12"/>
        <v>12</v>
      </c>
      <c r="J140" s="49">
        <f t="shared" si="11"/>
        <v>1.1470910000008425E-2</v>
      </c>
      <c r="K140" s="47"/>
    </row>
    <row r="141" spans="1:11">
      <c r="A141" s="39">
        <f t="shared" si="8"/>
        <v>45357</v>
      </c>
      <c r="B141" s="53">
        <f t="shared" si="9"/>
        <v>13</v>
      </c>
      <c r="C141" s="49">
        <f t="shared" si="10"/>
        <v>1.7348260000011356E-2</v>
      </c>
      <c r="D141" s="47"/>
      <c r="E141" s="59"/>
      <c r="F141" s="33"/>
      <c r="G141" s="32"/>
      <c r="H141" s="47"/>
      <c r="I141" s="48">
        <f t="shared" si="12"/>
        <v>13</v>
      </c>
      <c r="J141" s="49">
        <f t="shared" si="11"/>
        <v>1.1470910000008411E-2</v>
      </c>
      <c r="K141" s="47"/>
    </row>
    <row r="142" spans="1:11">
      <c r="A142" s="39">
        <f t="shared" si="8"/>
        <v>45358</v>
      </c>
      <c r="B142" s="53">
        <f t="shared" si="9"/>
        <v>14</v>
      </c>
      <c r="C142" s="49">
        <f t="shared" si="10"/>
        <v>1.7348259999988597E-2</v>
      </c>
      <c r="D142" s="47"/>
      <c r="E142" s="59"/>
      <c r="F142" s="33"/>
      <c r="G142" s="32"/>
      <c r="H142" s="47"/>
      <c r="I142" s="48">
        <f t="shared" si="12"/>
        <v>14</v>
      </c>
      <c r="J142" s="49">
        <f t="shared" si="11"/>
        <v>1.1470909999968623E-2</v>
      </c>
      <c r="K142" s="47"/>
    </row>
    <row r="143" spans="1:11">
      <c r="A143" s="39">
        <f t="shared" si="8"/>
        <v>45359</v>
      </c>
      <c r="B143" s="53">
        <f t="shared" si="9"/>
        <v>15</v>
      </c>
      <c r="C143" s="49">
        <f t="shared" si="10"/>
        <v>0</v>
      </c>
      <c r="D143" s="47"/>
      <c r="E143" s="59"/>
      <c r="F143" s="33"/>
      <c r="G143" s="32"/>
      <c r="H143" s="47"/>
      <c r="I143" s="48">
        <f t="shared" si="12"/>
        <v>15</v>
      </c>
      <c r="J143" s="49">
        <f t="shared" si="11"/>
        <v>0</v>
      </c>
      <c r="K143" s="47"/>
    </row>
    <row r="144" spans="1:11">
      <c r="A144" s="39">
        <f t="shared" si="8"/>
        <v>45360</v>
      </c>
      <c r="B144" s="53">
        <f t="shared" si="9"/>
        <v>16</v>
      </c>
      <c r="C144" s="49">
        <f t="shared" si="10"/>
        <v>1.8307950000001932E-2</v>
      </c>
      <c r="D144" s="47"/>
      <c r="E144" s="59"/>
      <c r="F144" s="33"/>
      <c r="G144" s="32"/>
      <c r="H144" s="47"/>
      <c r="I144" s="48">
        <f t="shared" si="12"/>
        <v>16</v>
      </c>
      <c r="J144" s="49">
        <f t="shared" si="11"/>
        <v>1.1470909999997045E-2</v>
      </c>
      <c r="K144" s="47"/>
    </row>
    <row r="145" spans="1:11">
      <c r="A145" s="39">
        <f t="shared" si="8"/>
        <v>45361</v>
      </c>
      <c r="B145" s="53">
        <f t="shared" si="9"/>
        <v>17</v>
      </c>
      <c r="C145" s="49">
        <f t="shared" si="10"/>
        <v>1.8395180000004507E-2</v>
      </c>
      <c r="D145" s="47"/>
      <c r="E145" s="59"/>
      <c r="F145" s="33"/>
      <c r="G145" s="32"/>
      <c r="H145" s="47"/>
      <c r="I145" s="48">
        <f t="shared" si="12"/>
        <v>17</v>
      </c>
      <c r="J145" s="49">
        <f t="shared" si="11"/>
        <v>1.1470910000019791E-2</v>
      </c>
      <c r="K145" s="47"/>
    </row>
    <row r="146" spans="1:11">
      <c r="A146" s="39">
        <f t="shared" si="8"/>
        <v>45362</v>
      </c>
      <c r="B146" s="53">
        <f t="shared" si="9"/>
        <v>18</v>
      </c>
      <c r="C146" s="49">
        <f t="shared" si="10"/>
        <v>1.8395179999998845E-2</v>
      </c>
      <c r="D146" s="47"/>
      <c r="E146" s="59"/>
      <c r="F146" s="33"/>
      <c r="G146" s="32"/>
      <c r="H146" s="47"/>
      <c r="I146" s="48">
        <f t="shared" si="12"/>
        <v>18</v>
      </c>
      <c r="J146" s="49">
        <f t="shared" si="11"/>
        <v>1.1470909999997059E-2</v>
      </c>
      <c r="K146" s="47"/>
    </row>
    <row r="147" spans="1:11">
      <c r="A147" s="39">
        <f t="shared" si="8"/>
        <v>45363</v>
      </c>
      <c r="B147" s="53">
        <f t="shared" si="9"/>
        <v>19</v>
      </c>
      <c r="C147" s="49">
        <f t="shared" si="10"/>
        <v>1.8395179999993183E-2</v>
      </c>
      <c r="D147" s="47"/>
      <c r="E147" s="61"/>
      <c r="F147" s="33"/>
      <c r="G147" s="32"/>
      <c r="H147" s="47"/>
      <c r="I147" s="48">
        <f t="shared" si="12"/>
        <v>19</v>
      </c>
      <c r="J147" s="49">
        <f t="shared" si="11"/>
        <v>1.1470910000002721E-2</v>
      </c>
      <c r="K147" s="47"/>
    </row>
    <row r="148" spans="1:11">
      <c r="A148" s="39">
        <f t="shared" si="8"/>
        <v>45364</v>
      </c>
      <c r="B148" s="53">
        <f t="shared" si="9"/>
        <v>20</v>
      </c>
      <c r="C148" s="49">
        <f t="shared" si="10"/>
        <v>1.8395179999998845E-2</v>
      </c>
      <c r="I148" s="48">
        <f t="shared" si="12"/>
        <v>20</v>
      </c>
      <c r="J148" s="49">
        <f t="shared" si="11"/>
        <v>1.1470909999991369E-2</v>
      </c>
    </row>
    <row r="149" spans="1:11">
      <c r="A149" s="39">
        <f t="shared" si="8"/>
        <v>45365</v>
      </c>
      <c r="B149" s="53">
        <f t="shared" si="9"/>
        <v>21</v>
      </c>
      <c r="C149" s="49">
        <f t="shared" si="10"/>
        <v>1.8395179999998845E-2</v>
      </c>
      <c r="I149" s="48">
        <f t="shared" si="12"/>
        <v>21</v>
      </c>
      <c r="J149" s="49">
        <f t="shared" si="11"/>
        <v>1.1470910000014101E-2</v>
      </c>
    </row>
    <row r="150" spans="1:11">
      <c r="A150" s="39">
        <f t="shared" si="8"/>
        <v>45366</v>
      </c>
      <c r="B150" s="53">
        <f t="shared" si="9"/>
        <v>22</v>
      </c>
      <c r="C150" s="49">
        <f t="shared" si="10"/>
        <v>2.7592770000006817E-2</v>
      </c>
      <c r="I150" s="48">
        <f t="shared" si="12"/>
        <v>22</v>
      </c>
      <c r="J150" s="49">
        <f t="shared" si="11"/>
        <v>1.7206364999987039E-2</v>
      </c>
    </row>
    <row r="151" spans="1:11">
      <c r="A151" s="39">
        <f t="shared" si="8"/>
        <v>45367</v>
      </c>
      <c r="B151" s="53">
        <f t="shared" si="9"/>
        <v>23</v>
      </c>
      <c r="C151" s="49">
        <f t="shared" si="10"/>
        <v>2.7592770000001099E-2</v>
      </c>
      <c r="I151" s="48">
        <f t="shared" si="12"/>
        <v>23</v>
      </c>
      <c r="J151" s="49">
        <f t="shared" si="11"/>
        <v>1.7206365000009771E-2</v>
      </c>
    </row>
    <row r="152" spans="1:11">
      <c r="A152" s="39">
        <f t="shared" si="8"/>
        <v>45368</v>
      </c>
      <c r="B152" s="53">
        <f t="shared" si="9"/>
        <v>24</v>
      </c>
      <c r="C152" s="49">
        <f t="shared" si="10"/>
        <v>8.0506714285661363E-3</v>
      </c>
      <c r="I152" s="48">
        <f t="shared" si="12"/>
        <v>24</v>
      </c>
      <c r="J152" s="49">
        <f t="shared" si="11"/>
        <v>1.182926428570566E-2</v>
      </c>
    </row>
    <row r="153" spans="1:11">
      <c r="A153" s="39">
        <f t="shared" si="8"/>
        <v>45369</v>
      </c>
      <c r="B153" s="53">
        <f t="shared" si="9"/>
        <v>25</v>
      </c>
      <c r="C153" s="49">
        <f t="shared" si="10"/>
        <v>8.0506714285718539E-3</v>
      </c>
      <c r="I153" s="48">
        <f t="shared" si="12"/>
        <v>25</v>
      </c>
      <c r="J153" s="49">
        <f t="shared" si="11"/>
        <v>1.1829264285728419E-2</v>
      </c>
    </row>
    <row r="154" spans="1:11">
      <c r="A154" s="39">
        <f t="shared" si="8"/>
        <v>45370</v>
      </c>
      <c r="B154" s="53">
        <f t="shared" si="9"/>
        <v>26</v>
      </c>
      <c r="C154" s="49">
        <f t="shared" si="10"/>
        <v>8.0506714285718539E-3</v>
      </c>
      <c r="I154" s="48">
        <f t="shared" si="12"/>
        <v>26</v>
      </c>
      <c r="J154" s="49">
        <f t="shared" si="11"/>
        <v>1.1829264285694335E-2</v>
      </c>
    </row>
    <row r="155" spans="1:11">
      <c r="A155" s="39">
        <f t="shared" si="8"/>
        <v>45371</v>
      </c>
      <c r="B155" s="53">
        <f t="shared" si="9"/>
        <v>27</v>
      </c>
      <c r="C155" s="49">
        <f t="shared" si="10"/>
        <v>8.0506714285717984E-3</v>
      </c>
      <c r="I155" s="48">
        <f t="shared" si="12"/>
        <v>27</v>
      </c>
      <c r="J155" s="49">
        <f t="shared" si="11"/>
        <v>1.1829264285728419E-2</v>
      </c>
    </row>
    <row r="156" spans="1:11">
      <c r="A156" s="39">
        <f t="shared" si="8"/>
        <v>45372</v>
      </c>
      <c r="B156" s="53">
        <f t="shared" si="9"/>
        <v>28</v>
      </c>
      <c r="C156" s="49">
        <f t="shared" si="10"/>
        <v>8.0506714285775161E-3</v>
      </c>
      <c r="I156" s="48">
        <f t="shared" si="12"/>
        <v>28</v>
      </c>
      <c r="J156" s="49">
        <f t="shared" si="11"/>
        <v>1.1829264285711349E-2</v>
      </c>
    </row>
    <row r="157" spans="1:11">
      <c r="A157" s="39">
        <f t="shared" si="8"/>
        <v>45373</v>
      </c>
      <c r="B157" s="53">
        <f t="shared" si="9"/>
        <v>29</v>
      </c>
      <c r="C157" s="49">
        <f t="shared" si="10"/>
        <v>8.0506714285718539E-3</v>
      </c>
      <c r="I157" s="48">
        <f t="shared" si="12"/>
        <v>29</v>
      </c>
      <c r="J157" s="49">
        <f t="shared" si="11"/>
        <v>1.1829264285717067E-2</v>
      </c>
    </row>
    <row r="158" spans="1:11">
      <c r="A158" s="39">
        <f t="shared" si="8"/>
        <v>45374</v>
      </c>
      <c r="B158" s="53">
        <f t="shared" si="9"/>
        <v>30</v>
      </c>
      <c r="C158" s="49">
        <f t="shared" si="10"/>
        <v>1.0882659523804183E-2</v>
      </c>
      <c r="I158" s="48">
        <f t="shared" si="12"/>
        <v>30</v>
      </c>
      <c r="J158" s="49">
        <f t="shared" si="11"/>
        <v>1.5001620238092483E-2</v>
      </c>
    </row>
    <row r="159" spans="1:11">
      <c r="A159" s="39">
        <f t="shared" si="8"/>
        <v>45375</v>
      </c>
      <c r="B159" s="53">
        <f t="shared" si="9"/>
        <v>31</v>
      </c>
      <c r="C159" s="49">
        <f t="shared" si="10"/>
        <v>1.0538799999994852E-2</v>
      </c>
      <c r="I159" s="48">
        <f t="shared" si="12"/>
        <v>31</v>
      </c>
      <c r="J159" s="49">
        <f t="shared" si="11"/>
        <v>1.3914359126994236E-2</v>
      </c>
    </row>
    <row r="160" spans="1:11">
      <c r="A160" s="39">
        <f t="shared" si="8"/>
        <v>45376</v>
      </c>
      <c r="B160" s="53">
        <f t="shared" si="9"/>
        <v>32</v>
      </c>
      <c r="C160" s="49">
        <f t="shared" si="10"/>
        <v>1.0402702380963524E-2</v>
      </c>
      <c r="I160" s="48">
        <f t="shared" si="12"/>
        <v>32</v>
      </c>
      <c r="J160" s="49">
        <f t="shared" si="11"/>
        <v>1.3143626984117418E-2</v>
      </c>
    </row>
    <row r="161" spans="1:10">
      <c r="A161" s="39">
        <f t="shared" si="8"/>
        <v>45377</v>
      </c>
      <c r="B161" s="53">
        <f t="shared" si="9"/>
        <v>33</v>
      </c>
      <c r="C161" s="49">
        <f t="shared" si="10"/>
        <v>1.0402702380946538E-2</v>
      </c>
      <c r="I161" s="48">
        <f t="shared" si="12"/>
        <v>33</v>
      </c>
      <c r="J161" s="49">
        <f t="shared" si="11"/>
        <v>1.314362698412308E-2</v>
      </c>
    </row>
    <row r="162" spans="1:10">
      <c r="A162" s="39">
        <f t="shared" si="8"/>
        <v>45378</v>
      </c>
      <c r="B162" s="53">
        <f t="shared" si="9"/>
        <v>34</v>
      </c>
      <c r="C162" s="49">
        <f t="shared" si="10"/>
        <v>1.0402702380952145E-2</v>
      </c>
      <c r="I162" s="48">
        <f t="shared" si="12"/>
        <v>34</v>
      </c>
      <c r="J162" s="49">
        <f t="shared" si="11"/>
        <v>1.314362698412308E-2</v>
      </c>
    </row>
    <row r="163" spans="1:10">
      <c r="A163" s="39">
        <f t="shared" si="8"/>
        <v>45379</v>
      </c>
      <c r="B163" s="53">
        <f t="shared" si="9"/>
        <v>35</v>
      </c>
      <c r="C163" s="49">
        <f t="shared" si="10"/>
        <v>5.2013511904761001E-3</v>
      </c>
      <c r="I163" s="48">
        <f t="shared" si="12"/>
        <v>35</v>
      </c>
      <c r="J163" s="49">
        <f t="shared" si="11"/>
        <v>6.5718134920644822E-3</v>
      </c>
    </row>
    <row r="164" spans="1:10">
      <c r="A164" s="39">
        <f t="shared" si="8"/>
        <v>45380</v>
      </c>
      <c r="B164" s="53">
        <f t="shared" si="9"/>
        <v>36</v>
      </c>
      <c r="C164" s="49">
        <f t="shared" si="10"/>
        <v>5.2013511904818177E-3</v>
      </c>
      <c r="I164" s="48">
        <f t="shared" si="12"/>
        <v>36</v>
      </c>
      <c r="J164" s="49">
        <f t="shared" si="11"/>
        <v>6.5718134920757509E-3</v>
      </c>
    </row>
    <row r="165" spans="1:10">
      <c r="A165" s="39">
        <f t="shared" si="8"/>
        <v>45381</v>
      </c>
      <c r="B165" s="53">
        <f t="shared" si="9"/>
        <v>37</v>
      </c>
      <c r="C165" s="49">
        <f t="shared" si="10"/>
        <v>1.0402702380946427E-2</v>
      </c>
      <c r="I165" s="48">
        <f t="shared" si="12"/>
        <v>37</v>
      </c>
      <c r="J165" s="49">
        <f t="shared" si="11"/>
        <v>1.3143626984117363E-2</v>
      </c>
    </row>
    <row r="166" spans="1:10">
      <c r="A166" s="39">
        <f t="shared" si="8"/>
        <v>45382</v>
      </c>
      <c r="B166" s="53">
        <f t="shared" si="9"/>
        <v>38</v>
      </c>
      <c r="C166" s="49">
        <f t="shared" si="10"/>
        <v>0</v>
      </c>
      <c r="I166" s="48">
        <f t="shared" si="12"/>
        <v>38</v>
      </c>
      <c r="J166" s="49">
        <f t="shared" si="11"/>
        <v>0</v>
      </c>
    </row>
    <row r="167" spans="1:10">
      <c r="A167" s="39">
        <f t="shared" si="8"/>
        <v>45389</v>
      </c>
      <c r="B167" s="53">
        <f t="shared" si="9"/>
        <v>45</v>
      </c>
      <c r="C167" s="49">
        <f t="shared" si="10"/>
        <v>0</v>
      </c>
      <c r="I167" s="48">
        <f t="shared" si="12"/>
        <v>45</v>
      </c>
      <c r="J167" s="49">
        <f t="shared" si="11"/>
        <v>0</v>
      </c>
    </row>
    <row r="168" spans="1:10">
      <c r="A168" s="39">
        <f t="shared" si="8"/>
        <v>45396</v>
      </c>
      <c r="B168" s="53">
        <f t="shared" si="9"/>
        <v>52</v>
      </c>
      <c r="C168" s="49">
        <f t="shared" si="10"/>
        <v>7.0121952380678267E-4</v>
      </c>
      <c r="I168" s="48">
        <f t="shared" si="12"/>
        <v>52</v>
      </c>
      <c r="J168" s="49">
        <f t="shared" si="11"/>
        <v>8.9585714285606813E-4</v>
      </c>
    </row>
    <row r="169" spans="1:10">
      <c r="A169" s="39">
        <f t="shared" si="8"/>
        <v>45403</v>
      </c>
      <c r="B169" s="53">
        <f t="shared" si="9"/>
        <v>59</v>
      </c>
      <c r="C169" s="49">
        <f t="shared" si="10"/>
        <v>7.0121952381328539E-4</v>
      </c>
      <c r="I169" s="48">
        <f t="shared" si="12"/>
        <v>59</v>
      </c>
      <c r="J169" s="49">
        <f t="shared" si="11"/>
        <v>8.9585714285850271E-4</v>
      </c>
    </row>
    <row r="170" spans="1:10">
      <c r="A170" s="39">
        <f t="shared" si="8"/>
        <v>45410</v>
      </c>
      <c r="B170" s="53">
        <f t="shared" si="9"/>
        <v>66</v>
      </c>
      <c r="C170" s="49">
        <f t="shared" si="10"/>
        <v>7.012195238084004E-4</v>
      </c>
      <c r="I170" s="48">
        <f t="shared" si="12"/>
        <v>66</v>
      </c>
      <c r="J170" s="49">
        <f t="shared" si="11"/>
        <v>8.9585714285687706E-4</v>
      </c>
    </row>
    <row r="171" spans="1:10">
      <c r="A171" s="39">
        <f t="shared" si="8"/>
        <v>45417</v>
      </c>
      <c r="B171" s="53">
        <f t="shared" si="9"/>
        <v>73</v>
      </c>
      <c r="C171" s="49">
        <f t="shared" si="10"/>
        <v>7.0121952381003397E-4</v>
      </c>
      <c r="I171" s="48">
        <f t="shared" si="12"/>
        <v>73</v>
      </c>
      <c r="J171" s="49">
        <f t="shared" si="11"/>
        <v>8.9585714285768587E-4</v>
      </c>
    </row>
    <row r="172" spans="1:10">
      <c r="A172" s="39">
        <f t="shared" si="8"/>
        <v>45424</v>
      </c>
      <c r="B172" s="53">
        <f t="shared" si="9"/>
        <v>80</v>
      </c>
      <c r="C172" s="49">
        <f t="shared" si="10"/>
        <v>7.012195238108429E-4</v>
      </c>
      <c r="I172" s="48">
        <f t="shared" si="12"/>
        <v>80</v>
      </c>
      <c r="J172" s="49">
        <f t="shared" si="11"/>
        <v>8.9585714285606813E-4</v>
      </c>
    </row>
    <row r="173" spans="1:10">
      <c r="A173" s="39">
        <f t="shared" si="8"/>
        <v>45431</v>
      </c>
      <c r="B173" s="53">
        <f t="shared" si="9"/>
        <v>87</v>
      </c>
      <c r="C173" s="49">
        <f t="shared" si="10"/>
        <v>8.5202238095283267E-4</v>
      </c>
      <c r="I173" s="48">
        <f t="shared" si="12"/>
        <v>87</v>
      </c>
      <c r="J173" s="49">
        <f t="shared" si="11"/>
        <v>8.9585714285768587E-4</v>
      </c>
    </row>
    <row r="174" spans="1:10">
      <c r="A174" s="39">
        <f t="shared" si="8"/>
        <v>45438</v>
      </c>
      <c r="B174" s="53">
        <f t="shared" si="9"/>
        <v>94</v>
      </c>
      <c r="C174" s="49">
        <f t="shared" si="10"/>
        <v>0</v>
      </c>
      <c r="I174" s="48">
        <f t="shared" si="12"/>
        <v>94</v>
      </c>
      <c r="J174" s="49">
        <f t="shared" si="11"/>
        <v>0</v>
      </c>
    </row>
    <row r="175" spans="1:10">
      <c r="A175" s="39"/>
      <c r="B175" s="53"/>
      <c r="C175" s="49"/>
      <c r="I175" s="48"/>
      <c r="J175" s="49"/>
    </row>
    <row r="176" spans="1:10">
      <c r="A176" s="39"/>
      <c r="B176" s="53"/>
      <c r="C176" s="49"/>
      <c r="I176" s="48"/>
      <c r="J176" s="49"/>
    </row>
    <row r="177" spans="1:10">
      <c r="A177" s="39"/>
      <c r="B177" s="53"/>
      <c r="C177" s="49"/>
      <c r="I177" s="48"/>
      <c r="J177" s="49"/>
    </row>
    <row r="178" spans="1:10">
      <c r="A178" s="39"/>
      <c r="B178" s="53"/>
      <c r="C178" s="49"/>
      <c r="I178" s="48"/>
      <c r="J178" s="49"/>
    </row>
    <row r="179" spans="1:10">
      <c r="A179" s="39"/>
      <c r="B179" s="53"/>
      <c r="C179" s="49"/>
      <c r="I179" s="48"/>
      <c r="J179" s="49"/>
    </row>
    <row r="180" spans="1:10">
      <c r="A180" s="39"/>
      <c r="B180" s="53"/>
      <c r="C180" s="49"/>
      <c r="I180" s="48"/>
      <c r="J180" s="49"/>
    </row>
    <row r="181" spans="1:10">
      <c r="A181" s="39"/>
      <c r="B181" s="53"/>
      <c r="C181" s="49"/>
      <c r="I181" s="48"/>
      <c r="J181" s="49"/>
    </row>
    <row r="182" spans="1:10">
      <c r="A182" s="39"/>
      <c r="B182" s="53"/>
      <c r="C182" s="49"/>
      <c r="I182" s="48"/>
      <c r="J182" s="49"/>
    </row>
    <row r="183" spans="1:10">
      <c r="A183" s="39"/>
      <c r="B183" s="53"/>
      <c r="C183" s="49"/>
      <c r="I183" s="48"/>
      <c r="J183" s="49"/>
    </row>
    <row r="184" spans="1:10">
      <c r="A184" s="39"/>
      <c r="B184" s="53"/>
      <c r="C184" s="49"/>
      <c r="I184" s="48"/>
      <c r="J184" s="49"/>
    </row>
    <row r="185" spans="1:10">
      <c r="A185" s="39"/>
      <c r="B185" s="53"/>
      <c r="C185" s="49"/>
      <c r="I185" s="48"/>
      <c r="J185" s="49"/>
    </row>
    <row r="186" spans="1:10">
      <c r="A186" s="39"/>
      <c r="B186" s="53"/>
      <c r="C186" s="49"/>
      <c r="I186" s="48"/>
      <c r="J186" s="49"/>
    </row>
    <row r="187" spans="1:10">
      <c r="A187" s="39"/>
      <c r="B187" s="53"/>
      <c r="C187" s="49"/>
      <c r="I187" s="48"/>
      <c r="J187" s="49"/>
    </row>
    <row r="188" spans="1:10">
      <c r="A188" s="39"/>
      <c r="B188" s="53"/>
      <c r="C188" s="49"/>
      <c r="I188" s="48"/>
      <c r="J188" s="49"/>
    </row>
    <row r="189" spans="1:10">
      <c r="A189" s="39"/>
      <c r="B189" s="53"/>
      <c r="C189" s="49"/>
      <c r="I189" s="48"/>
      <c r="J189" s="49"/>
    </row>
    <row r="190" spans="1:10">
      <c r="A190" s="39"/>
      <c r="B190" s="53"/>
      <c r="C190" s="49"/>
      <c r="I190" s="48"/>
      <c r="J190" s="49"/>
    </row>
    <row r="191" spans="1:10">
      <c r="A191" s="39"/>
      <c r="B191" s="53"/>
      <c r="C191" s="49"/>
      <c r="I191" s="48"/>
      <c r="J191" s="49"/>
    </row>
    <row r="192" spans="1:10">
      <c r="A192" s="39"/>
      <c r="B192" s="53"/>
      <c r="C192" s="49"/>
      <c r="I192" s="48"/>
      <c r="J192" s="49"/>
    </row>
    <row r="193" spans="1:10">
      <c r="A193" s="39"/>
      <c r="B193" s="53"/>
      <c r="C193" s="49"/>
      <c r="I193" s="48"/>
      <c r="J193" s="49"/>
    </row>
    <row r="194" spans="1:10">
      <c r="A194" s="39"/>
      <c r="B194" s="53"/>
      <c r="C194" s="49"/>
      <c r="I194" s="48"/>
      <c r="J194" s="49"/>
    </row>
    <row r="195" spans="1:10">
      <c r="A195" s="39"/>
      <c r="B195" s="53"/>
      <c r="C195" s="49"/>
      <c r="I195" s="48"/>
      <c r="J195" s="49"/>
    </row>
    <row r="196" spans="1:10">
      <c r="A196" s="39"/>
      <c r="B196" s="53"/>
      <c r="C196" s="49"/>
      <c r="I196" s="48"/>
      <c r="J196" s="49"/>
    </row>
    <row r="197" spans="1:10">
      <c r="A197" s="39"/>
      <c r="B197" s="53"/>
      <c r="C197" s="49"/>
      <c r="I197" s="48"/>
      <c r="J197" s="49"/>
    </row>
    <row r="198" spans="1:10">
      <c r="A198" s="39"/>
      <c r="B198" s="53"/>
      <c r="C198" s="49"/>
      <c r="I198" s="48"/>
      <c r="J198" s="49"/>
    </row>
    <row r="199" spans="1:10">
      <c r="A199" s="39"/>
      <c r="B199" s="53"/>
      <c r="C199" s="49"/>
      <c r="I199" s="48"/>
      <c r="J199" s="49"/>
    </row>
    <row r="200" spans="1:10">
      <c r="A200" s="39"/>
      <c r="B200" s="53"/>
      <c r="C200" s="49"/>
      <c r="I200" s="48"/>
      <c r="J200" s="49"/>
    </row>
    <row r="201" spans="1:10">
      <c r="A201" s="39"/>
      <c r="B201" s="53"/>
      <c r="C201" s="49"/>
      <c r="I201" s="48"/>
      <c r="J201" s="49"/>
    </row>
    <row r="202" spans="1:10">
      <c r="A202" s="39"/>
      <c r="B202" s="53"/>
      <c r="C202" s="49"/>
      <c r="I202" s="48"/>
      <c r="J202" s="49"/>
    </row>
    <row r="203" spans="1:10">
      <c r="A203" s="39"/>
      <c r="B203" s="53"/>
      <c r="C203" s="49"/>
      <c r="I203" s="48"/>
      <c r="J203" s="49"/>
    </row>
    <row r="204" spans="1:10">
      <c r="A204" s="39"/>
      <c r="B204" s="53"/>
      <c r="C204" s="49"/>
      <c r="I204" s="48"/>
      <c r="J204" s="49"/>
    </row>
    <row r="205" spans="1:10">
      <c r="A205" s="39"/>
      <c r="B205" s="53"/>
      <c r="C205" s="49"/>
      <c r="I205" s="48"/>
      <c r="J205" s="49"/>
    </row>
    <row r="206" spans="1:10">
      <c r="A206" s="39"/>
      <c r="B206" s="53"/>
      <c r="C206" s="49"/>
      <c r="I206" s="48"/>
      <c r="J206" s="49"/>
    </row>
    <row r="207" spans="1:10">
      <c r="A207" s="39"/>
      <c r="B207" s="53"/>
      <c r="C207" s="49"/>
      <c r="I207" s="48"/>
      <c r="J207" s="49"/>
    </row>
    <row r="208" spans="1:10">
      <c r="A208" s="39"/>
      <c r="B208" s="53"/>
      <c r="C208" s="49"/>
      <c r="I208" s="48"/>
      <c r="J208" s="49"/>
    </row>
    <row r="209" spans="1:10">
      <c r="A209" s="39"/>
      <c r="B209" s="53"/>
      <c r="C209" s="49"/>
      <c r="I209" s="48"/>
      <c r="J209" s="49"/>
    </row>
    <row r="210" spans="1:10">
      <c r="A210" s="39"/>
      <c r="B210" s="53"/>
      <c r="C210" s="49"/>
      <c r="I210" s="48"/>
      <c r="J210" s="49"/>
    </row>
    <row r="211" spans="1:10">
      <c r="A211" s="39"/>
      <c r="B211" s="53"/>
      <c r="C211" s="49"/>
      <c r="I211" s="48"/>
      <c r="J211" s="49"/>
    </row>
    <row r="212" spans="1:10">
      <c r="A212" s="39"/>
      <c r="B212" s="53"/>
      <c r="C212" s="49"/>
      <c r="I212" s="48"/>
      <c r="J212" s="49"/>
    </row>
    <row r="213" spans="1:10">
      <c r="A213" s="39"/>
      <c r="B213" s="53"/>
      <c r="C213" s="49"/>
      <c r="I213" s="48"/>
      <c r="J213" s="49"/>
    </row>
    <row r="214" spans="1:10">
      <c r="A214" s="39"/>
      <c r="B214" s="53"/>
      <c r="C214" s="49"/>
      <c r="I214" s="48"/>
      <c r="J214" s="49"/>
    </row>
    <row r="215" spans="1:10">
      <c r="A215" s="39"/>
      <c r="B215" s="53"/>
      <c r="C215" s="49"/>
      <c r="I215" s="48"/>
      <c r="J215" s="49"/>
    </row>
    <row r="216" spans="1:10">
      <c r="A216" s="39"/>
      <c r="B216" s="53"/>
      <c r="C216" s="49"/>
      <c r="I216" s="48"/>
      <c r="J216" s="49"/>
    </row>
    <row r="217" spans="1:10">
      <c r="A217" s="39"/>
      <c r="B217" s="53"/>
      <c r="C217" s="49"/>
      <c r="I217" s="48"/>
      <c r="J217" s="49"/>
    </row>
    <row r="218" spans="1:10">
      <c r="A218" s="39"/>
      <c r="B218" s="53"/>
      <c r="C218" s="49"/>
      <c r="I218" s="48"/>
      <c r="J218" s="49"/>
    </row>
    <row r="219" spans="1:10">
      <c r="A219" s="39"/>
      <c r="B219" s="53"/>
      <c r="C219" s="49"/>
      <c r="I219" s="48"/>
      <c r="J219" s="49"/>
    </row>
    <row r="220" spans="1:10">
      <c r="A220" s="39"/>
      <c r="B220" s="53"/>
      <c r="C220" s="49"/>
      <c r="I220" s="48"/>
      <c r="J220" s="49"/>
    </row>
    <row r="221" spans="1:10">
      <c r="A221" s="39"/>
      <c r="B221" s="53"/>
      <c r="C221" s="49"/>
      <c r="I221" s="48"/>
      <c r="J221" s="49"/>
    </row>
    <row r="222" spans="1:10">
      <c r="A222" s="39"/>
      <c r="B222" s="53"/>
      <c r="C222" s="49"/>
      <c r="I222" s="48"/>
      <c r="J222" s="49"/>
    </row>
    <row r="223" spans="1:10">
      <c r="A223" s="39"/>
      <c r="B223" s="53"/>
      <c r="C223" s="49"/>
      <c r="I223" s="48"/>
      <c r="J223" s="49"/>
    </row>
    <row r="224" spans="1:10">
      <c r="A224" s="39"/>
      <c r="B224" s="53"/>
      <c r="C224" s="49"/>
      <c r="I224" s="48"/>
      <c r="J224" s="49"/>
    </row>
    <row r="225" spans="1:10">
      <c r="A225" s="39"/>
      <c r="B225" s="53"/>
      <c r="C225" s="49"/>
      <c r="I225" s="48"/>
      <c r="J225" s="49"/>
    </row>
    <row r="226" spans="1:10">
      <c r="A226" s="39"/>
      <c r="B226" s="53"/>
      <c r="C226" s="49"/>
      <c r="I226" s="48"/>
      <c r="J226" s="49"/>
    </row>
    <row r="227" spans="1:10">
      <c r="A227" s="39"/>
      <c r="B227" s="53"/>
      <c r="C227" s="49"/>
      <c r="I227" s="48"/>
      <c r="J227" s="49"/>
    </row>
    <row r="228" spans="1:10">
      <c r="A228" s="39"/>
      <c r="B228" s="53"/>
      <c r="C228" s="49"/>
      <c r="I228" s="48"/>
      <c r="J228" s="49"/>
    </row>
    <row r="229" spans="1:10">
      <c r="A229" s="39"/>
      <c r="B229" s="53"/>
      <c r="C229" s="49"/>
      <c r="I229" s="48"/>
      <c r="J229" s="49"/>
    </row>
    <row r="230" spans="1:10">
      <c r="A230" s="39"/>
      <c r="B230" s="53"/>
      <c r="C230" s="49"/>
      <c r="I230" s="48"/>
      <c r="J230" s="49"/>
    </row>
    <row r="231" spans="1:10">
      <c r="A231" s="39"/>
      <c r="B231" s="53"/>
      <c r="C231" s="49"/>
      <c r="I231" s="48"/>
      <c r="J231" s="49"/>
    </row>
    <row r="232" spans="1:10">
      <c r="A232" s="39"/>
      <c r="B232" s="53"/>
      <c r="C232" s="49"/>
      <c r="I232" s="48"/>
      <c r="J232" s="49"/>
    </row>
    <row r="233" spans="1:10">
      <c r="A233" s="39"/>
      <c r="B233" s="53"/>
      <c r="C233" s="49"/>
      <c r="I233" s="48"/>
      <c r="J233" s="49"/>
    </row>
    <row r="234" spans="1:10">
      <c r="A234" s="39"/>
      <c r="B234" s="53"/>
      <c r="C234" s="49"/>
      <c r="I234" s="48"/>
      <c r="J234" s="49"/>
    </row>
    <row r="235" spans="1:10">
      <c r="A235" s="39"/>
      <c r="B235" s="53"/>
      <c r="C235" s="49"/>
      <c r="I235" s="48"/>
      <c r="J235" s="49"/>
    </row>
    <row r="236" spans="1:10">
      <c r="A236" s="39"/>
      <c r="B236" s="53"/>
      <c r="C236" s="49"/>
      <c r="I236" s="48"/>
      <c r="J236" s="49"/>
    </row>
    <row r="237" spans="1:10">
      <c r="A237" s="39"/>
      <c r="B237" s="53"/>
      <c r="C237" s="49"/>
      <c r="I237" s="48"/>
      <c r="J237" s="49"/>
    </row>
    <row r="238" spans="1:10">
      <c r="A238" s="39"/>
      <c r="B238" s="53"/>
      <c r="C238" s="49"/>
      <c r="I238" s="48"/>
      <c r="J238" s="49"/>
    </row>
    <row r="239" spans="1:10">
      <c r="A239" s="39"/>
      <c r="B239" s="53"/>
      <c r="C239" s="49"/>
      <c r="I239" s="48"/>
      <c r="J239" s="49"/>
    </row>
    <row r="240" spans="1:10">
      <c r="A240" s="39"/>
      <c r="B240" s="53"/>
      <c r="C240" s="49"/>
      <c r="I240" s="48"/>
      <c r="J240" s="49"/>
    </row>
    <row r="241" spans="1:10">
      <c r="A241" s="39"/>
      <c r="B241" s="53"/>
      <c r="C241" s="49"/>
      <c r="I241" s="48"/>
      <c r="J241" s="49"/>
    </row>
    <row r="242" spans="1:10">
      <c r="A242" s="39"/>
      <c r="B242" s="53"/>
      <c r="C242" s="49"/>
      <c r="I242" s="48"/>
      <c r="J242" s="49"/>
    </row>
    <row r="243" spans="1:10">
      <c r="A243" s="39"/>
      <c r="B243" s="53"/>
      <c r="C243" s="49"/>
      <c r="I243" s="48"/>
      <c r="J243" s="49"/>
    </row>
    <row r="244" spans="1:10">
      <c r="A244" s="39"/>
      <c r="B244" s="53"/>
      <c r="C244" s="49"/>
      <c r="I244" s="48"/>
      <c r="J244" s="49"/>
    </row>
    <row r="245" spans="1:10">
      <c r="A245" s="39"/>
      <c r="B245" s="53"/>
      <c r="C245" s="49"/>
      <c r="I245" s="48"/>
      <c r="J245" s="49"/>
    </row>
    <row r="246" spans="1:10">
      <c r="A246" s="39"/>
      <c r="B246" s="53"/>
      <c r="C246" s="49"/>
      <c r="I246" s="48"/>
      <c r="J246" s="49"/>
    </row>
    <row r="247" spans="1:10">
      <c r="A247" s="39"/>
      <c r="B247" s="53"/>
      <c r="C247" s="49"/>
      <c r="I247" s="48"/>
      <c r="J247" s="49"/>
    </row>
  </sheetData>
  <dataConsolidate/>
  <mergeCells count="4">
    <mergeCell ref="A127:K127"/>
    <mergeCell ref="A2:A3"/>
    <mergeCell ref="B2:F2"/>
    <mergeCell ref="G2:K2"/>
  </mergeCells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BF59-5923-43EC-A8AA-0C07D8D93818}">
  <sheetPr codeName="Sheet5"/>
  <dimension ref="M10:AB43"/>
  <sheetViews>
    <sheetView zoomScale="80" zoomScaleNormal="80" workbookViewId="0">
      <selection activeCell="R36" sqref="R36"/>
    </sheetView>
  </sheetViews>
  <sheetFormatPr defaultRowHeight="13.5"/>
  <cols>
    <col min="1" max="16384" width="9.140625" style="62"/>
  </cols>
  <sheetData>
    <row r="10" spans="13:28">
      <c r="M10" s="74" t="s">
        <v>26</v>
      </c>
      <c r="N10" s="74"/>
    </row>
    <row r="11" spans="13:28">
      <c r="M11" s="74"/>
      <c r="N11" s="74"/>
    </row>
    <row r="12" spans="13:28">
      <c r="M12" s="74"/>
      <c r="N12" s="74"/>
      <c r="AA12" s="63"/>
      <c r="AB12" s="63"/>
    </row>
    <row r="13" spans="13:28">
      <c r="M13" s="74"/>
      <c r="N13" s="74"/>
      <c r="AA13" s="63"/>
      <c r="AB13" s="63"/>
    </row>
    <row r="14" spans="13:28">
      <c r="AA14" s="63"/>
      <c r="AB14" s="63"/>
    </row>
    <row r="15" spans="13:28">
      <c r="AA15" s="63"/>
      <c r="AB15" s="63"/>
    </row>
    <row r="16" spans="13:28">
      <c r="M16" s="64"/>
    </row>
    <row r="40" spans="13:28">
      <c r="M40" s="74" t="s">
        <v>27</v>
      </c>
      <c r="N40" s="74"/>
      <c r="AA40" s="63"/>
      <c r="AB40" s="63"/>
    </row>
    <row r="41" spans="13:28">
      <c r="M41" s="74"/>
      <c r="N41" s="74"/>
      <c r="AA41" s="63"/>
      <c r="AB41" s="63"/>
    </row>
    <row r="42" spans="13:28">
      <c r="M42" s="74"/>
      <c r="N42" s="74"/>
      <c r="AA42" s="63"/>
      <c r="AB42" s="63"/>
    </row>
    <row r="43" spans="13:28">
      <c r="M43" s="74"/>
      <c r="N43" s="74"/>
      <c r="AA43" s="63"/>
      <c r="AB43" s="63"/>
    </row>
  </sheetData>
  <mergeCells count="2">
    <mergeCell ref="M10:N13"/>
    <mergeCell ref="M40:N43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6DE9-805A-494C-B9C9-49239F5A3E34}">
  <sheetPr codeName="Sheet8"/>
  <dimension ref="B1:M123"/>
  <sheetViews>
    <sheetView workbookViewId="0">
      <selection activeCell="D5" sqref="D5"/>
    </sheetView>
  </sheetViews>
  <sheetFormatPr defaultRowHeight="15"/>
  <cols>
    <col min="1" max="1" width="0.85546875" style="79" customWidth="1"/>
    <col min="2" max="2" width="9" style="76" customWidth="1"/>
    <col min="3" max="3" width="6.5703125" style="76" bestFit="1" customWidth="1"/>
    <col min="4" max="4" width="6.85546875" style="76" customWidth="1"/>
    <col min="5" max="5" width="7.28515625" style="76" customWidth="1"/>
    <col min="6" max="6" width="7.42578125" style="76" customWidth="1"/>
    <col min="7" max="7" width="8.7109375" style="76" customWidth="1"/>
    <col min="8" max="8" width="7.42578125" style="76" customWidth="1"/>
    <col min="9" max="9" width="8.140625" style="76" customWidth="1"/>
    <col min="10" max="10" width="8.28515625" style="76" customWidth="1"/>
    <col min="11" max="11" width="6.42578125" style="76" customWidth="1"/>
    <col min="12" max="12" width="6.85546875" style="76" customWidth="1"/>
    <col min="13" max="13" width="7.140625" style="76" customWidth="1"/>
    <col min="14" max="237" width="9.140625" style="79"/>
    <col min="238" max="238" width="0.85546875" style="79" customWidth="1"/>
    <col min="239" max="239" width="9" style="79" customWidth="1"/>
    <col min="240" max="240" width="6.5703125" style="79" bestFit="1" customWidth="1"/>
    <col min="241" max="241" width="6.85546875" style="79" customWidth="1"/>
    <col min="242" max="242" width="7.28515625" style="79" customWidth="1"/>
    <col min="243" max="243" width="7.42578125" style="79" customWidth="1"/>
    <col min="244" max="244" width="8.7109375" style="79" customWidth="1"/>
    <col min="245" max="245" width="7.42578125" style="79" customWidth="1"/>
    <col min="246" max="246" width="8.140625" style="79" customWidth="1"/>
    <col min="247" max="247" width="8.28515625" style="79" customWidth="1"/>
    <col min="248" max="248" width="6.42578125" style="79" customWidth="1"/>
    <col min="249" max="249" width="6.85546875" style="79" customWidth="1"/>
    <col min="250" max="250" width="7.140625" style="79" customWidth="1"/>
    <col min="251" max="258" width="8.42578125" style="79" customWidth="1"/>
    <col min="259" max="259" width="6.85546875" style="79" customWidth="1"/>
    <col min="260" max="260" width="7" style="79" customWidth="1"/>
    <col min="261" max="261" width="6.28515625" style="79" customWidth="1"/>
    <col min="262" max="493" width="9.140625" style="79"/>
    <col min="494" max="494" width="0.85546875" style="79" customWidth="1"/>
    <col min="495" max="495" width="9" style="79" customWidth="1"/>
    <col min="496" max="496" width="6.5703125" style="79" bestFit="1" customWidth="1"/>
    <col min="497" max="497" width="6.85546875" style="79" customWidth="1"/>
    <col min="498" max="498" width="7.28515625" style="79" customWidth="1"/>
    <col min="499" max="499" width="7.42578125" style="79" customWidth="1"/>
    <col min="500" max="500" width="8.7109375" style="79" customWidth="1"/>
    <col min="501" max="501" width="7.42578125" style="79" customWidth="1"/>
    <col min="502" max="502" width="8.140625" style="79" customWidth="1"/>
    <col min="503" max="503" width="8.28515625" style="79" customWidth="1"/>
    <col min="504" max="504" width="6.42578125" style="79" customWidth="1"/>
    <col min="505" max="505" width="6.85546875" style="79" customWidth="1"/>
    <col min="506" max="506" width="7.140625" style="79" customWidth="1"/>
    <col min="507" max="514" width="8.42578125" style="79" customWidth="1"/>
    <col min="515" max="515" width="6.85546875" style="79" customWidth="1"/>
    <col min="516" max="516" width="7" style="79" customWidth="1"/>
    <col min="517" max="517" width="6.28515625" style="79" customWidth="1"/>
    <col min="518" max="749" width="9.140625" style="79"/>
    <col min="750" max="750" width="0.85546875" style="79" customWidth="1"/>
    <col min="751" max="751" width="9" style="79" customWidth="1"/>
    <col min="752" max="752" width="6.5703125" style="79" bestFit="1" customWidth="1"/>
    <col min="753" max="753" width="6.85546875" style="79" customWidth="1"/>
    <col min="754" max="754" width="7.28515625" style="79" customWidth="1"/>
    <col min="755" max="755" width="7.42578125" style="79" customWidth="1"/>
    <col min="756" max="756" width="8.7109375" style="79" customWidth="1"/>
    <col min="757" max="757" width="7.42578125" style="79" customWidth="1"/>
    <col min="758" max="758" width="8.140625" style="79" customWidth="1"/>
    <col min="759" max="759" width="8.28515625" style="79" customWidth="1"/>
    <col min="760" max="760" width="6.42578125" style="79" customWidth="1"/>
    <col min="761" max="761" width="6.85546875" style="79" customWidth="1"/>
    <col min="762" max="762" width="7.140625" style="79" customWidth="1"/>
    <col min="763" max="770" width="8.42578125" style="79" customWidth="1"/>
    <col min="771" max="771" width="6.85546875" style="79" customWidth="1"/>
    <col min="772" max="772" width="7" style="79" customWidth="1"/>
    <col min="773" max="773" width="6.28515625" style="79" customWidth="1"/>
    <col min="774" max="1005" width="9.140625" style="79"/>
    <col min="1006" max="1006" width="0.85546875" style="79" customWidth="1"/>
    <col min="1007" max="1007" width="9" style="79" customWidth="1"/>
    <col min="1008" max="1008" width="6.5703125" style="79" bestFit="1" customWidth="1"/>
    <col min="1009" max="1009" width="6.85546875" style="79" customWidth="1"/>
    <col min="1010" max="1010" width="7.28515625" style="79" customWidth="1"/>
    <col min="1011" max="1011" width="7.42578125" style="79" customWidth="1"/>
    <col min="1012" max="1012" width="8.7109375" style="79" customWidth="1"/>
    <col min="1013" max="1013" width="7.42578125" style="79" customWidth="1"/>
    <col min="1014" max="1014" width="8.140625" style="79" customWidth="1"/>
    <col min="1015" max="1015" width="8.28515625" style="79" customWidth="1"/>
    <col min="1016" max="1016" width="6.42578125" style="79" customWidth="1"/>
    <col min="1017" max="1017" width="6.85546875" style="79" customWidth="1"/>
    <col min="1018" max="1018" width="7.140625" style="79" customWidth="1"/>
    <col min="1019" max="1026" width="8.42578125" style="79" customWidth="1"/>
    <col min="1027" max="1027" width="6.85546875" style="79" customWidth="1"/>
    <col min="1028" max="1028" width="7" style="79" customWidth="1"/>
    <col min="1029" max="1029" width="6.28515625" style="79" customWidth="1"/>
    <col min="1030" max="1261" width="9.140625" style="79"/>
    <col min="1262" max="1262" width="0.85546875" style="79" customWidth="1"/>
    <col min="1263" max="1263" width="9" style="79" customWidth="1"/>
    <col min="1264" max="1264" width="6.5703125" style="79" bestFit="1" customWidth="1"/>
    <col min="1265" max="1265" width="6.85546875" style="79" customWidth="1"/>
    <col min="1266" max="1266" width="7.28515625" style="79" customWidth="1"/>
    <col min="1267" max="1267" width="7.42578125" style="79" customWidth="1"/>
    <col min="1268" max="1268" width="8.7109375" style="79" customWidth="1"/>
    <col min="1269" max="1269" width="7.42578125" style="79" customWidth="1"/>
    <col min="1270" max="1270" width="8.140625" style="79" customWidth="1"/>
    <col min="1271" max="1271" width="8.28515625" style="79" customWidth="1"/>
    <col min="1272" max="1272" width="6.42578125" style="79" customWidth="1"/>
    <col min="1273" max="1273" width="6.85546875" style="79" customWidth="1"/>
    <col min="1274" max="1274" width="7.140625" style="79" customWidth="1"/>
    <col min="1275" max="1282" width="8.42578125" style="79" customWidth="1"/>
    <col min="1283" max="1283" width="6.85546875" style="79" customWidth="1"/>
    <col min="1284" max="1284" width="7" style="79" customWidth="1"/>
    <col min="1285" max="1285" width="6.28515625" style="79" customWidth="1"/>
    <col min="1286" max="1517" width="9.140625" style="79"/>
    <col min="1518" max="1518" width="0.85546875" style="79" customWidth="1"/>
    <col min="1519" max="1519" width="9" style="79" customWidth="1"/>
    <col min="1520" max="1520" width="6.5703125" style="79" bestFit="1" customWidth="1"/>
    <col min="1521" max="1521" width="6.85546875" style="79" customWidth="1"/>
    <col min="1522" max="1522" width="7.28515625" style="79" customWidth="1"/>
    <col min="1523" max="1523" width="7.42578125" style="79" customWidth="1"/>
    <col min="1524" max="1524" width="8.7109375" style="79" customWidth="1"/>
    <col min="1525" max="1525" width="7.42578125" style="79" customWidth="1"/>
    <col min="1526" max="1526" width="8.140625" style="79" customWidth="1"/>
    <col min="1527" max="1527" width="8.28515625" style="79" customWidth="1"/>
    <col min="1528" max="1528" width="6.42578125" style="79" customWidth="1"/>
    <col min="1529" max="1529" width="6.85546875" style="79" customWidth="1"/>
    <col min="1530" max="1530" width="7.140625" style="79" customWidth="1"/>
    <col min="1531" max="1538" width="8.42578125" style="79" customWidth="1"/>
    <col min="1539" max="1539" width="6.85546875" style="79" customWidth="1"/>
    <col min="1540" max="1540" width="7" style="79" customWidth="1"/>
    <col min="1541" max="1541" width="6.28515625" style="79" customWidth="1"/>
    <col min="1542" max="1773" width="9.140625" style="79"/>
    <col min="1774" max="1774" width="0.85546875" style="79" customWidth="1"/>
    <col min="1775" max="1775" width="9" style="79" customWidth="1"/>
    <col min="1776" max="1776" width="6.5703125" style="79" bestFit="1" customWidth="1"/>
    <col min="1777" max="1777" width="6.85546875" style="79" customWidth="1"/>
    <col min="1778" max="1778" width="7.28515625" style="79" customWidth="1"/>
    <col min="1779" max="1779" width="7.42578125" style="79" customWidth="1"/>
    <col min="1780" max="1780" width="8.7109375" style="79" customWidth="1"/>
    <col min="1781" max="1781" width="7.42578125" style="79" customWidth="1"/>
    <col min="1782" max="1782" width="8.140625" style="79" customWidth="1"/>
    <col min="1783" max="1783" width="8.28515625" style="79" customWidth="1"/>
    <col min="1784" max="1784" width="6.42578125" style="79" customWidth="1"/>
    <col min="1785" max="1785" width="6.85546875" style="79" customWidth="1"/>
    <col min="1786" max="1786" width="7.140625" style="79" customWidth="1"/>
    <col min="1787" max="1794" width="8.42578125" style="79" customWidth="1"/>
    <col min="1795" max="1795" width="6.85546875" style="79" customWidth="1"/>
    <col min="1796" max="1796" width="7" style="79" customWidth="1"/>
    <col min="1797" max="1797" width="6.28515625" style="79" customWidth="1"/>
    <col min="1798" max="2029" width="9.140625" style="79"/>
    <col min="2030" max="2030" width="0.85546875" style="79" customWidth="1"/>
    <col min="2031" max="2031" width="9" style="79" customWidth="1"/>
    <col min="2032" max="2032" width="6.5703125" style="79" bestFit="1" customWidth="1"/>
    <col min="2033" max="2033" width="6.85546875" style="79" customWidth="1"/>
    <col min="2034" max="2034" width="7.28515625" style="79" customWidth="1"/>
    <col min="2035" max="2035" width="7.42578125" style="79" customWidth="1"/>
    <col min="2036" max="2036" width="8.7109375" style="79" customWidth="1"/>
    <col min="2037" max="2037" width="7.42578125" style="79" customWidth="1"/>
    <col min="2038" max="2038" width="8.140625" style="79" customWidth="1"/>
    <col min="2039" max="2039" width="8.28515625" style="79" customWidth="1"/>
    <col min="2040" max="2040" width="6.42578125" style="79" customWidth="1"/>
    <col min="2041" max="2041" width="6.85546875" style="79" customWidth="1"/>
    <col min="2042" max="2042" width="7.140625" style="79" customWidth="1"/>
    <col min="2043" max="2050" width="8.42578125" style="79" customWidth="1"/>
    <col min="2051" max="2051" width="6.85546875" style="79" customWidth="1"/>
    <col min="2052" max="2052" width="7" style="79" customWidth="1"/>
    <col min="2053" max="2053" width="6.28515625" style="79" customWidth="1"/>
    <col min="2054" max="2285" width="9.140625" style="79"/>
    <col min="2286" max="2286" width="0.85546875" style="79" customWidth="1"/>
    <col min="2287" max="2287" width="9" style="79" customWidth="1"/>
    <col min="2288" max="2288" width="6.5703125" style="79" bestFit="1" customWidth="1"/>
    <col min="2289" max="2289" width="6.85546875" style="79" customWidth="1"/>
    <col min="2290" max="2290" width="7.28515625" style="79" customWidth="1"/>
    <col min="2291" max="2291" width="7.42578125" style="79" customWidth="1"/>
    <col min="2292" max="2292" width="8.7109375" style="79" customWidth="1"/>
    <col min="2293" max="2293" width="7.42578125" style="79" customWidth="1"/>
    <col min="2294" max="2294" width="8.140625" style="79" customWidth="1"/>
    <col min="2295" max="2295" width="8.28515625" style="79" customWidth="1"/>
    <col min="2296" max="2296" width="6.42578125" style="79" customWidth="1"/>
    <col min="2297" max="2297" width="6.85546875" style="79" customWidth="1"/>
    <col min="2298" max="2298" width="7.140625" style="79" customWidth="1"/>
    <col min="2299" max="2306" width="8.42578125" style="79" customWidth="1"/>
    <col min="2307" max="2307" width="6.85546875" style="79" customWidth="1"/>
    <col min="2308" max="2308" width="7" style="79" customWidth="1"/>
    <col min="2309" max="2309" width="6.28515625" style="79" customWidth="1"/>
    <col min="2310" max="2541" width="9.140625" style="79"/>
    <col min="2542" max="2542" width="0.85546875" style="79" customWidth="1"/>
    <col min="2543" max="2543" width="9" style="79" customWidth="1"/>
    <col min="2544" max="2544" width="6.5703125" style="79" bestFit="1" customWidth="1"/>
    <col min="2545" max="2545" width="6.85546875" style="79" customWidth="1"/>
    <col min="2546" max="2546" width="7.28515625" style="79" customWidth="1"/>
    <col min="2547" max="2547" width="7.42578125" style="79" customWidth="1"/>
    <col min="2548" max="2548" width="8.7109375" style="79" customWidth="1"/>
    <col min="2549" max="2549" width="7.42578125" style="79" customWidth="1"/>
    <col min="2550" max="2550" width="8.140625" style="79" customWidth="1"/>
    <col min="2551" max="2551" width="8.28515625" style="79" customWidth="1"/>
    <col min="2552" max="2552" width="6.42578125" style="79" customWidth="1"/>
    <col min="2553" max="2553" width="6.85546875" style="79" customWidth="1"/>
    <col min="2554" max="2554" width="7.140625" style="79" customWidth="1"/>
    <col min="2555" max="2562" width="8.42578125" style="79" customWidth="1"/>
    <col min="2563" max="2563" width="6.85546875" style="79" customWidth="1"/>
    <col min="2564" max="2564" width="7" style="79" customWidth="1"/>
    <col min="2565" max="2565" width="6.28515625" style="79" customWidth="1"/>
    <col min="2566" max="2797" width="9.140625" style="79"/>
    <col min="2798" max="2798" width="0.85546875" style="79" customWidth="1"/>
    <col min="2799" max="2799" width="9" style="79" customWidth="1"/>
    <col min="2800" max="2800" width="6.5703125" style="79" bestFit="1" customWidth="1"/>
    <col min="2801" max="2801" width="6.85546875" style="79" customWidth="1"/>
    <col min="2802" max="2802" width="7.28515625" style="79" customWidth="1"/>
    <col min="2803" max="2803" width="7.42578125" style="79" customWidth="1"/>
    <col min="2804" max="2804" width="8.7109375" style="79" customWidth="1"/>
    <col min="2805" max="2805" width="7.42578125" style="79" customWidth="1"/>
    <col min="2806" max="2806" width="8.140625" style="79" customWidth="1"/>
    <col min="2807" max="2807" width="8.28515625" style="79" customWidth="1"/>
    <col min="2808" max="2808" width="6.42578125" style="79" customWidth="1"/>
    <col min="2809" max="2809" width="6.85546875" style="79" customWidth="1"/>
    <col min="2810" max="2810" width="7.140625" style="79" customWidth="1"/>
    <col min="2811" max="2818" width="8.42578125" style="79" customWidth="1"/>
    <col min="2819" max="2819" width="6.85546875" style="79" customWidth="1"/>
    <col min="2820" max="2820" width="7" style="79" customWidth="1"/>
    <col min="2821" max="2821" width="6.28515625" style="79" customWidth="1"/>
    <col min="2822" max="3053" width="9.140625" style="79"/>
    <col min="3054" max="3054" width="0.85546875" style="79" customWidth="1"/>
    <col min="3055" max="3055" width="9" style="79" customWidth="1"/>
    <col min="3056" max="3056" width="6.5703125" style="79" bestFit="1" customWidth="1"/>
    <col min="3057" max="3057" width="6.85546875" style="79" customWidth="1"/>
    <col min="3058" max="3058" width="7.28515625" style="79" customWidth="1"/>
    <col min="3059" max="3059" width="7.42578125" style="79" customWidth="1"/>
    <col min="3060" max="3060" width="8.7109375" style="79" customWidth="1"/>
    <col min="3061" max="3061" width="7.42578125" style="79" customWidth="1"/>
    <col min="3062" max="3062" width="8.140625" style="79" customWidth="1"/>
    <col min="3063" max="3063" width="8.28515625" style="79" customWidth="1"/>
    <col min="3064" max="3064" width="6.42578125" style="79" customWidth="1"/>
    <col min="3065" max="3065" width="6.85546875" style="79" customWidth="1"/>
    <col min="3066" max="3066" width="7.140625" style="79" customWidth="1"/>
    <col min="3067" max="3074" width="8.42578125" style="79" customWidth="1"/>
    <col min="3075" max="3075" width="6.85546875" style="79" customWidth="1"/>
    <col min="3076" max="3076" width="7" style="79" customWidth="1"/>
    <col min="3077" max="3077" width="6.28515625" style="79" customWidth="1"/>
    <col min="3078" max="3309" width="9.140625" style="79"/>
    <col min="3310" max="3310" width="0.85546875" style="79" customWidth="1"/>
    <col min="3311" max="3311" width="9" style="79" customWidth="1"/>
    <col min="3312" max="3312" width="6.5703125" style="79" bestFit="1" customWidth="1"/>
    <col min="3313" max="3313" width="6.85546875" style="79" customWidth="1"/>
    <col min="3314" max="3314" width="7.28515625" style="79" customWidth="1"/>
    <col min="3315" max="3315" width="7.42578125" style="79" customWidth="1"/>
    <col min="3316" max="3316" width="8.7109375" style="79" customWidth="1"/>
    <col min="3317" max="3317" width="7.42578125" style="79" customWidth="1"/>
    <col min="3318" max="3318" width="8.140625" style="79" customWidth="1"/>
    <col min="3319" max="3319" width="8.28515625" style="79" customWidth="1"/>
    <col min="3320" max="3320" width="6.42578125" style="79" customWidth="1"/>
    <col min="3321" max="3321" width="6.85546875" style="79" customWidth="1"/>
    <col min="3322" max="3322" width="7.140625" style="79" customWidth="1"/>
    <col min="3323" max="3330" width="8.42578125" style="79" customWidth="1"/>
    <col min="3331" max="3331" width="6.85546875" style="79" customWidth="1"/>
    <col min="3332" max="3332" width="7" style="79" customWidth="1"/>
    <col min="3333" max="3333" width="6.28515625" style="79" customWidth="1"/>
    <col min="3334" max="3565" width="9.140625" style="79"/>
    <col min="3566" max="3566" width="0.85546875" style="79" customWidth="1"/>
    <col min="3567" max="3567" width="9" style="79" customWidth="1"/>
    <col min="3568" max="3568" width="6.5703125" style="79" bestFit="1" customWidth="1"/>
    <col min="3569" max="3569" width="6.85546875" style="79" customWidth="1"/>
    <col min="3570" max="3570" width="7.28515625" style="79" customWidth="1"/>
    <col min="3571" max="3571" width="7.42578125" style="79" customWidth="1"/>
    <col min="3572" max="3572" width="8.7109375" style="79" customWidth="1"/>
    <col min="3573" max="3573" width="7.42578125" style="79" customWidth="1"/>
    <col min="3574" max="3574" width="8.140625" style="79" customWidth="1"/>
    <col min="3575" max="3575" width="8.28515625" style="79" customWidth="1"/>
    <col min="3576" max="3576" width="6.42578125" style="79" customWidth="1"/>
    <col min="3577" max="3577" width="6.85546875" style="79" customWidth="1"/>
    <col min="3578" max="3578" width="7.140625" style="79" customWidth="1"/>
    <col min="3579" max="3586" width="8.42578125" style="79" customWidth="1"/>
    <col min="3587" max="3587" width="6.85546875" style="79" customWidth="1"/>
    <col min="3588" max="3588" width="7" style="79" customWidth="1"/>
    <col min="3589" max="3589" width="6.28515625" style="79" customWidth="1"/>
    <col min="3590" max="3821" width="9.140625" style="79"/>
    <col min="3822" max="3822" width="0.85546875" style="79" customWidth="1"/>
    <col min="3823" max="3823" width="9" style="79" customWidth="1"/>
    <col min="3824" max="3824" width="6.5703125" style="79" bestFit="1" customWidth="1"/>
    <col min="3825" max="3825" width="6.85546875" style="79" customWidth="1"/>
    <col min="3826" max="3826" width="7.28515625" style="79" customWidth="1"/>
    <col min="3827" max="3827" width="7.42578125" style="79" customWidth="1"/>
    <col min="3828" max="3828" width="8.7109375" style="79" customWidth="1"/>
    <col min="3829" max="3829" width="7.42578125" style="79" customWidth="1"/>
    <col min="3830" max="3830" width="8.140625" style="79" customWidth="1"/>
    <col min="3831" max="3831" width="8.28515625" style="79" customWidth="1"/>
    <col min="3832" max="3832" width="6.42578125" style="79" customWidth="1"/>
    <col min="3833" max="3833" width="6.85546875" style="79" customWidth="1"/>
    <col min="3834" max="3834" width="7.140625" style="79" customWidth="1"/>
    <col min="3835" max="3842" width="8.42578125" style="79" customWidth="1"/>
    <col min="3843" max="3843" width="6.85546875" style="79" customWidth="1"/>
    <col min="3844" max="3844" width="7" style="79" customWidth="1"/>
    <col min="3845" max="3845" width="6.28515625" style="79" customWidth="1"/>
    <col min="3846" max="4077" width="9.140625" style="79"/>
    <col min="4078" max="4078" width="0.85546875" style="79" customWidth="1"/>
    <col min="4079" max="4079" width="9" style="79" customWidth="1"/>
    <col min="4080" max="4080" width="6.5703125" style="79" bestFit="1" customWidth="1"/>
    <col min="4081" max="4081" width="6.85546875" style="79" customWidth="1"/>
    <col min="4082" max="4082" width="7.28515625" style="79" customWidth="1"/>
    <col min="4083" max="4083" width="7.42578125" style="79" customWidth="1"/>
    <col min="4084" max="4084" width="8.7109375" style="79" customWidth="1"/>
    <col min="4085" max="4085" width="7.42578125" style="79" customWidth="1"/>
    <col min="4086" max="4086" width="8.140625" style="79" customWidth="1"/>
    <col min="4087" max="4087" width="8.28515625" style="79" customWidth="1"/>
    <col min="4088" max="4088" width="6.42578125" style="79" customWidth="1"/>
    <col min="4089" max="4089" width="6.85546875" style="79" customWidth="1"/>
    <col min="4090" max="4090" width="7.140625" style="79" customWidth="1"/>
    <col min="4091" max="4098" width="8.42578125" style="79" customWidth="1"/>
    <col min="4099" max="4099" width="6.85546875" style="79" customWidth="1"/>
    <col min="4100" max="4100" width="7" style="79" customWidth="1"/>
    <col min="4101" max="4101" width="6.28515625" style="79" customWidth="1"/>
    <col min="4102" max="4333" width="9.140625" style="79"/>
    <col min="4334" max="4334" width="0.85546875" style="79" customWidth="1"/>
    <col min="4335" max="4335" width="9" style="79" customWidth="1"/>
    <col min="4336" max="4336" width="6.5703125" style="79" bestFit="1" customWidth="1"/>
    <col min="4337" max="4337" width="6.85546875" style="79" customWidth="1"/>
    <col min="4338" max="4338" width="7.28515625" style="79" customWidth="1"/>
    <col min="4339" max="4339" width="7.42578125" style="79" customWidth="1"/>
    <col min="4340" max="4340" width="8.7109375" style="79" customWidth="1"/>
    <col min="4341" max="4341" width="7.42578125" style="79" customWidth="1"/>
    <col min="4342" max="4342" width="8.140625" style="79" customWidth="1"/>
    <col min="4343" max="4343" width="8.28515625" style="79" customWidth="1"/>
    <col min="4344" max="4344" width="6.42578125" style="79" customWidth="1"/>
    <col min="4345" max="4345" width="6.85546875" style="79" customWidth="1"/>
    <col min="4346" max="4346" width="7.140625" style="79" customWidth="1"/>
    <col min="4347" max="4354" width="8.42578125" style="79" customWidth="1"/>
    <col min="4355" max="4355" width="6.85546875" style="79" customWidth="1"/>
    <col min="4356" max="4356" width="7" style="79" customWidth="1"/>
    <col min="4357" max="4357" width="6.28515625" style="79" customWidth="1"/>
    <col min="4358" max="4589" width="9.140625" style="79"/>
    <col min="4590" max="4590" width="0.85546875" style="79" customWidth="1"/>
    <col min="4591" max="4591" width="9" style="79" customWidth="1"/>
    <col min="4592" max="4592" width="6.5703125" style="79" bestFit="1" customWidth="1"/>
    <col min="4593" max="4593" width="6.85546875" style="79" customWidth="1"/>
    <col min="4594" max="4594" width="7.28515625" style="79" customWidth="1"/>
    <col min="4595" max="4595" width="7.42578125" style="79" customWidth="1"/>
    <col min="4596" max="4596" width="8.7109375" style="79" customWidth="1"/>
    <col min="4597" max="4597" width="7.42578125" style="79" customWidth="1"/>
    <col min="4598" max="4598" width="8.140625" style="79" customWidth="1"/>
    <col min="4599" max="4599" width="8.28515625" style="79" customWidth="1"/>
    <col min="4600" max="4600" width="6.42578125" style="79" customWidth="1"/>
    <col min="4601" max="4601" width="6.85546875" style="79" customWidth="1"/>
    <col min="4602" max="4602" width="7.140625" style="79" customWidth="1"/>
    <col min="4603" max="4610" width="8.42578125" style="79" customWidth="1"/>
    <col min="4611" max="4611" width="6.85546875" style="79" customWidth="1"/>
    <col min="4612" max="4612" width="7" style="79" customWidth="1"/>
    <col min="4613" max="4613" width="6.28515625" style="79" customWidth="1"/>
    <col min="4614" max="4845" width="9.140625" style="79"/>
    <col min="4846" max="4846" width="0.85546875" style="79" customWidth="1"/>
    <col min="4847" max="4847" width="9" style="79" customWidth="1"/>
    <col min="4848" max="4848" width="6.5703125" style="79" bestFit="1" customWidth="1"/>
    <col min="4849" max="4849" width="6.85546875" style="79" customWidth="1"/>
    <col min="4850" max="4850" width="7.28515625" style="79" customWidth="1"/>
    <col min="4851" max="4851" width="7.42578125" style="79" customWidth="1"/>
    <col min="4852" max="4852" width="8.7109375" style="79" customWidth="1"/>
    <col min="4853" max="4853" width="7.42578125" style="79" customWidth="1"/>
    <col min="4854" max="4854" width="8.140625" style="79" customWidth="1"/>
    <col min="4855" max="4855" width="8.28515625" style="79" customWidth="1"/>
    <col min="4856" max="4856" width="6.42578125" style="79" customWidth="1"/>
    <col min="4857" max="4857" width="6.85546875" style="79" customWidth="1"/>
    <col min="4858" max="4858" width="7.140625" style="79" customWidth="1"/>
    <col min="4859" max="4866" width="8.42578125" style="79" customWidth="1"/>
    <col min="4867" max="4867" width="6.85546875" style="79" customWidth="1"/>
    <col min="4868" max="4868" width="7" style="79" customWidth="1"/>
    <col min="4869" max="4869" width="6.28515625" style="79" customWidth="1"/>
    <col min="4870" max="5101" width="9.140625" style="79"/>
    <col min="5102" max="5102" width="0.85546875" style="79" customWidth="1"/>
    <col min="5103" max="5103" width="9" style="79" customWidth="1"/>
    <col min="5104" max="5104" width="6.5703125" style="79" bestFit="1" customWidth="1"/>
    <col min="5105" max="5105" width="6.85546875" style="79" customWidth="1"/>
    <col min="5106" max="5106" width="7.28515625" style="79" customWidth="1"/>
    <col min="5107" max="5107" width="7.42578125" style="79" customWidth="1"/>
    <col min="5108" max="5108" width="8.7109375" style="79" customWidth="1"/>
    <col min="5109" max="5109" width="7.42578125" style="79" customWidth="1"/>
    <col min="5110" max="5110" width="8.140625" style="79" customWidth="1"/>
    <col min="5111" max="5111" width="8.28515625" style="79" customWidth="1"/>
    <col min="5112" max="5112" width="6.42578125" style="79" customWidth="1"/>
    <col min="5113" max="5113" width="6.85546875" style="79" customWidth="1"/>
    <col min="5114" max="5114" width="7.140625" style="79" customWidth="1"/>
    <col min="5115" max="5122" width="8.42578125" style="79" customWidth="1"/>
    <col min="5123" max="5123" width="6.85546875" style="79" customWidth="1"/>
    <col min="5124" max="5124" width="7" style="79" customWidth="1"/>
    <col min="5125" max="5125" width="6.28515625" style="79" customWidth="1"/>
    <col min="5126" max="5357" width="9.140625" style="79"/>
    <col min="5358" max="5358" width="0.85546875" style="79" customWidth="1"/>
    <col min="5359" max="5359" width="9" style="79" customWidth="1"/>
    <col min="5360" max="5360" width="6.5703125" style="79" bestFit="1" customWidth="1"/>
    <col min="5361" max="5361" width="6.85546875" style="79" customWidth="1"/>
    <col min="5362" max="5362" width="7.28515625" style="79" customWidth="1"/>
    <col min="5363" max="5363" width="7.42578125" style="79" customWidth="1"/>
    <col min="5364" max="5364" width="8.7109375" style="79" customWidth="1"/>
    <col min="5365" max="5365" width="7.42578125" style="79" customWidth="1"/>
    <col min="5366" max="5366" width="8.140625" style="79" customWidth="1"/>
    <col min="5367" max="5367" width="8.28515625" style="79" customWidth="1"/>
    <col min="5368" max="5368" width="6.42578125" style="79" customWidth="1"/>
    <col min="5369" max="5369" width="6.85546875" style="79" customWidth="1"/>
    <col min="5370" max="5370" width="7.140625" style="79" customWidth="1"/>
    <col min="5371" max="5378" width="8.42578125" style="79" customWidth="1"/>
    <col min="5379" max="5379" width="6.85546875" style="79" customWidth="1"/>
    <col min="5380" max="5380" width="7" style="79" customWidth="1"/>
    <col min="5381" max="5381" width="6.28515625" style="79" customWidth="1"/>
    <col min="5382" max="5613" width="9.140625" style="79"/>
    <col min="5614" max="5614" width="0.85546875" style="79" customWidth="1"/>
    <col min="5615" max="5615" width="9" style="79" customWidth="1"/>
    <col min="5616" max="5616" width="6.5703125" style="79" bestFit="1" customWidth="1"/>
    <col min="5617" max="5617" width="6.85546875" style="79" customWidth="1"/>
    <col min="5618" max="5618" width="7.28515625" style="79" customWidth="1"/>
    <col min="5619" max="5619" width="7.42578125" style="79" customWidth="1"/>
    <col min="5620" max="5620" width="8.7109375" style="79" customWidth="1"/>
    <col min="5621" max="5621" width="7.42578125" style="79" customWidth="1"/>
    <col min="5622" max="5622" width="8.140625" style="79" customWidth="1"/>
    <col min="5623" max="5623" width="8.28515625" style="79" customWidth="1"/>
    <col min="5624" max="5624" width="6.42578125" style="79" customWidth="1"/>
    <col min="5625" max="5625" width="6.85546875" style="79" customWidth="1"/>
    <col min="5626" max="5626" width="7.140625" style="79" customWidth="1"/>
    <col min="5627" max="5634" width="8.42578125" style="79" customWidth="1"/>
    <col min="5635" max="5635" width="6.85546875" style="79" customWidth="1"/>
    <col min="5636" max="5636" width="7" style="79" customWidth="1"/>
    <col min="5637" max="5637" width="6.28515625" style="79" customWidth="1"/>
    <col min="5638" max="5869" width="9.140625" style="79"/>
    <col min="5870" max="5870" width="0.85546875" style="79" customWidth="1"/>
    <col min="5871" max="5871" width="9" style="79" customWidth="1"/>
    <col min="5872" max="5872" width="6.5703125" style="79" bestFit="1" customWidth="1"/>
    <col min="5873" max="5873" width="6.85546875" style="79" customWidth="1"/>
    <col min="5874" max="5874" width="7.28515625" style="79" customWidth="1"/>
    <col min="5875" max="5875" width="7.42578125" style="79" customWidth="1"/>
    <col min="5876" max="5876" width="8.7109375" style="79" customWidth="1"/>
    <col min="5877" max="5877" width="7.42578125" style="79" customWidth="1"/>
    <col min="5878" max="5878" width="8.140625" style="79" customWidth="1"/>
    <col min="5879" max="5879" width="8.28515625" style="79" customWidth="1"/>
    <col min="5880" max="5880" width="6.42578125" style="79" customWidth="1"/>
    <col min="5881" max="5881" width="6.85546875" style="79" customWidth="1"/>
    <col min="5882" max="5882" width="7.140625" style="79" customWidth="1"/>
    <col min="5883" max="5890" width="8.42578125" style="79" customWidth="1"/>
    <col min="5891" max="5891" width="6.85546875" style="79" customWidth="1"/>
    <col min="5892" max="5892" width="7" style="79" customWidth="1"/>
    <col min="5893" max="5893" width="6.28515625" style="79" customWidth="1"/>
    <col min="5894" max="6125" width="9.140625" style="79"/>
    <col min="6126" max="6126" width="0.85546875" style="79" customWidth="1"/>
    <col min="6127" max="6127" width="9" style="79" customWidth="1"/>
    <col min="6128" max="6128" width="6.5703125" style="79" bestFit="1" customWidth="1"/>
    <col min="6129" max="6129" width="6.85546875" style="79" customWidth="1"/>
    <col min="6130" max="6130" width="7.28515625" style="79" customWidth="1"/>
    <col min="6131" max="6131" width="7.42578125" style="79" customWidth="1"/>
    <col min="6132" max="6132" width="8.7109375" style="79" customWidth="1"/>
    <col min="6133" max="6133" width="7.42578125" style="79" customWidth="1"/>
    <col min="6134" max="6134" width="8.140625" style="79" customWidth="1"/>
    <col min="6135" max="6135" width="8.28515625" style="79" customWidth="1"/>
    <col min="6136" max="6136" width="6.42578125" style="79" customWidth="1"/>
    <col min="6137" max="6137" width="6.85546875" style="79" customWidth="1"/>
    <col min="6138" max="6138" width="7.140625" style="79" customWidth="1"/>
    <col min="6139" max="6146" width="8.42578125" style="79" customWidth="1"/>
    <col min="6147" max="6147" width="6.85546875" style="79" customWidth="1"/>
    <col min="6148" max="6148" width="7" style="79" customWidth="1"/>
    <col min="6149" max="6149" width="6.28515625" style="79" customWidth="1"/>
    <col min="6150" max="6381" width="9.140625" style="79"/>
    <col min="6382" max="6382" width="0.85546875" style="79" customWidth="1"/>
    <col min="6383" max="6383" width="9" style="79" customWidth="1"/>
    <col min="6384" max="6384" width="6.5703125" style="79" bestFit="1" customWidth="1"/>
    <col min="6385" max="6385" width="6.85546875" style="79" customWidth="1"/>
    <col min="6386" max="6386" width="7.28515625" style="79" customWidth="1"/>
    <col min="6387" max="6387" width="7.42578125" style="79" customWidth="1"/>
    <col min="6388" max="6388" width="8.7109375" style="79" customWidth="1"/>
    <col min="6389" max="6389" width="7.42578125" style="79" customWidth="1"/>
    <col min="6390" max="6390" width="8.140625" style="79" customWidth="1"/>
    <col min="6391" max="6391" width="8.28515625" style="79" customWidth="1"/>
    <col min="6392" max="6392" width="6.42578125" style="79" customWidth="1"/>
    <col min="6393" max="6393" width="6.85546875" style="79" customWidth="1"/>
    <col min="6394" max="6394" width="7.140625" style="79" customWidth="1"/>
    <col min="6395" max="6402" width="8.42578125" style="79" customWidth="1"/>
    <col min="6403" max="6403" width="6.85546875" style="79" customWidth="1"/>
    <col min="6404" max="6404" width="7" style="79" customWidth="1"/>
    <col min="6405" max="6405" width="6.28515625" style="79" customWidth="1"/>
    <col min="6406" max="6637" width="9.140625" style="79"/>
    <col min="6638" max="6638" width="0.85546875" style="79" customWidth="1"/>
    <col min="6639" max="6639" width="9" style="79" customWidth="1"/>
    <col min="6640" max="6640" width="6.5703125" style="79" bestFit="1" customWidth="1"/>
    <col min="6641" max="6641" width="6.85546875" style="79" customWidth="1"/>
    <col min="6642" max="6642" width="7.28515625" style="79" customWidth="1"/>
    <col min="6643" max="6643" width="7.42578125" style="79" customWidth="1"/>
    <col min="6644" max="6644" width="8.7109375" style="79" customWidth="1"/>
    <col min="6645" max="6645" width="7.42578125" style="79" customWidth="1"/>
    <col min="6646" max="6646" width="8.140625" style="79" customWidth="1"/>
    <col min="6647" max="6647" width="8.28515625" style="79" customWidth="1"/>
    <col min="6648" max="6648" width="6.42578125" style="79" customWidth="1"/>
    <col min="6649" max="6649" width="6.85546875" style="79" customWidth="1"/>
    <col min="6650" max="6650" width="7.140625" style="79" customWidth="1"/>
    <col min="6651" max="6658" width="8.42578125" style="79" customWidth="1"/>
    <col min="6659" max="6659" width="6.85546875" style="79" customWidth="1"/>
    <col min="6660" max="6660" width="7" style="79" customWidth="1"/>
    <col min="6661" max="6661" width="6.28515625" style="79" customWidth="1"/>
    <col min="6662" max="6893" width="9.140625" style="79"/>
    <col min="6894" max="6894" width="0.85546875" style="79" customWidth="1"/>
    <col min="6895" max="6895" width="9" style="79" customWidth="1"/>
    <col min="6896" max="6896" width="6.5703125" style="79" bestFit="1" customWidth="1"/>
    <col min="6897" max="6897" width="6.85546875" style="79" customWidth="1"/>
    <col min="6898" max="6898" width="7.28515625" style="79" customWidth="1"/>
    <col min="6899" max="6899" width="7.42578125" style="79" customWidth="1"/>
    <col min="6900" max="6900" width="8.7109375" style="79" customWidth="1"/>
    <col min="6901" max="6901" width="7.42578125" style="79" customWidth="1"/>
    <col min="6902" max="6902" width="8.140625" style="79" customWidth="1"/>
    <col min="6903" max="6903" width="8.28515625" style="79" customWidth="1"/>
    <col min="6904" max="6904" width="6.42578125" style="79" customWidth="1"/>
    <col min="6905" max="6905" width="6.85546875" style="79" customWidth="1"/>
    <col min="6906" max="6906" width="7.140625" style="79" customWidth="1"/>
    <col min="6907" max="6914" width="8.42578125" style="79" customWidth="1"/>
    <col min="6915" max="6915" width="6.85546875" style="79" customWidth="1"/>
    <col min="6916" max="6916" width="7" style="79" customWidth="1"/>
    <col min="6917" max="6917" width="6.28515625" style="79" customWidth="1"/>
    <col min="6918" max="7149" width="9.140625" style="79"/>
    <col min="7150" max="7150" width="0.85546875" style="79" customWidth="1"/>
    <col min="7151" max="7151" width="9" style="79" customWidth="1"/>
    <col min="7152" max="7152" width="6.5703125" style="79" bestFit="1" customWidth="1"/>
    <col min="7153" max="7153" width="6.85546875" style="79" customWidth="1"/>
    <col min="7154" max="7154" width="7.28515625" style="79" customWidth="1"/>
    <col min="7155" max="7155" width="7.42578125" style="79" customWidth="1"/>
    <col min="7156" max="7156" width="8.7109375" style="79" customWidth="1"/>
    <col min="7157" max="7157" width="7.42578125" style="79" customWidth="1"/>
    <col min="7158" max="7158" width="8.140625" style="79" customWidth="1"/>
    <col min="7159" max="7159" width="8.28515625" style="79" customWidth="1"/>
    <col min="7160" max="7160" width="6.42578125" style="79" customWidth="1"/>
    <col min="7161" max="7161" width="6.85546875" style="79" customWidth="1"/>
    <col min="7162" max="7162" width="7.140625" style="79" customWidth="1"/>
    <col min="7163" max="7170" width="8.42578125" style="79" customWidth="1"/>
    <col min="7171" max="7171" width="6.85546875" style="79" customWidth="1"/>
    <col min="7172" max="7172" width="7" style="79" customWidth="1"/>
    <col min="7173" max="7173" width="6.28515625" style="79" customWidth="1"/>
    <col min="7174" max="7405" width="9.140625" style="79"/>
    <col min="7406" max="7406" width="0.85546875" style="79" customWidth="1"/>
    <col min="7407" max="7407" width="9" style="79" customWidth="1"/>
    <col min="7408" max="7408" width="6.5703125" style="79" bestFit="1" customWidth="1"/>
    <col min="7409" max="7409" width="6.85546875" style="79" customWidth="1"/>
    <col min="7410" max="7410" width="7.28515625" style="79" customWidth="1"/>
    <col min="7411" max="7411" width="7.42578125" style="79" customWidth="1"/>
    <col min="7412" max="7412" width="8.7109375" style="79" customWidth="1"/>
    <col min="7413" max="7413" width="7.42578125" style="79" customWidth="1"/>
    <col min="7414" max="7414" width="8.140625" style="79" customWidth="1"/>
    <col min="7415" max="7415" width="8.28515625" style="79" customWidth="1"/>
    <col min="7416" max="7416" width="6.42578125" style="79" customWidth="1"/>
    <col min="7417" max="7417" width="6.85546875" style="79" customWidth="1"/>
    <col min="7418" max="7418" width="7.140625" style="79" customWidth="1"/>
    <col min="7419" max="7426" width="8.42578125" style="79" customWidth="1"/>
    <col min="7427" max="7427" width="6.85546875" style="79" customWidth="1"/>
    <col min="7428" max="7428" width="7" style="79" customWidth="1"/>
    <col min="7429" max="7429" width="6.28515625" style="79" customWidth="1"/>
    <col min="7430" max="7661" width="9.140625" style="79"/>
    <col min="7662" max="7662" width="0.85546875" style="79" customWidth="1"/>
    <col min="7663" max="7663" width="9" style="79" customWidth="1"/>
    <col min="7664" max="7664" width="6.5703125" style="79" bestFit="1" customWidth="1"/>
    <col min="7665" max="7665" width="6.85546875" style="79" customWidth="1"/>
    <col min="7666" max="7666" width="7.28515625" style="79" customWidth="1"/>
    <col min="7667" max="7667" width="7.42578125" style="79" customWidth="1"/>
    <col min="7668" max="7668" width="8.7109375" style="79" customWidth="1"/>
    <col min="7669" max="7669" width="7.42578125" style="79" customWidth="1"/>
    <col min="7670" max="7670" width="8.140625" style="79" customWidth="1"/>
    <col min="7671" max="7671" width="8.28515625" style="79" customWidth="1"/>
    <col min="7672" max="7672" width="6.42578125" style="79" customWidth="1"/>
    <col min="7673" max="7673" width="6.85546875" style="79" customWidth="1"/>
    <col min="7674" max="7674" width="7.140625" style="79" customWidth="1"/>
    <col min="7675" max="7682" width="8.42578125" style="79" customWidth="1"/>
    <col min="7683" max="7683" width="6.85546875" style="79" customWidth="1"/>
    <col min="7684" max="7684" width="7" style="79" customWidth="1"/>
    <col min="7685" max="7685" width="6.28515625" style="79" customWidth="1"/>
    <col min="7686" max="7917" width="9.140625" style="79"/>
    <col min="7918" max="7918" width="0.85546875" style="79" customWidth="1"/>
    <col min="7919" max="7919" width="9" style="79" customWidth="1"/>
    <col min="7920" max="7920" width="6.5703125" style="79" bestFit="1" customWidth="1"/>
    <col min="7921" max="7921" width="6.85546875" style="79" customWidth="1"/>
    <col min="7922" max="7922" width="7.28515625" style="79" customWidth="1"/>
    <col min="7923" max="7923" width="7.42578125" style="79" customWidth="1"/>
    <col min="7924" max="7924" width="8.7109375" style="79" customWidth="1"/>
    <col min="7925" max="7925" width="7.42578125" style="79" customWidth="1"/>
    <col min="7926" max="7926" width="8.140625" style="79" customWidth="1"/>
    <col min="7927" max="7927" width="8.28515625" style="79" customWidth="1"/>
    <col min="7928" max="7928" width="6.42578125" style="79" customWidth="1"/>
    <col min="7929" max="7929" width="6.85546875" style="79" customWidth="1"/>
    <col min="7930" max="7930" width="7.140625" style="79" customWidth="1"/>
    <col min="7931" max="7938" width="8.42578125" style="79" customWidth="1"/>
    <col min="7939" max="7939" width="6.85546875" style="79" customWidth="1"/>
    <col min="7940" max="7940" width="7" style="79" customWidth="1"/>
    <col min="7941" max="7941" width="6.28515625" style="79" customWidth="1"/>
    <col min="7942" max="8173" width="9.140625" style="79"/>
    <col min="8174" max="8174" width="0.85546875" style="79" customWidth="1"/>
    <col min="8175" max="8175" width="9" style="79" customWidth="1"/>
    <col min="8176" max="8176" width="6.5703125" style="79" bestFit="1" customWidth="1"/>
    <col min="8177" max="8177" width="6.85546875" style="79" customWidth="1"/>
    <col min="8178" max="8178" width="7.28515625" style="79" customWidth="1"/>
    <col min="8179" max="8179" width="7.42578125" style="79" customWidth="1"/>
    <col min="8180" max="8180" width="8.7109375" style="79" customWidth="1"/>
    <col min="8181" max="8181" width="7.42578125" style="79" customWidth="1"/>
    <col min="8182" max="8182" width="8.140625" style="79" customWidth="1"/>
    <col min="8183" max="8183" width="8.28515625" style="79" customWidth="1"/>
    <col min="8184" max="8184" width="6.42578125" style="79" customWidth="1"/>
    <col min="8185" max="8185" width="6.85546875" style="79" customWidth="1"/>
    <col min="8186" max="8186" width="7.140625" style="79" customWidth="1"/>
    <col min="8187" max="8194" width="8.42578125" style="79" customWidth="1"/>
    <col min="8195" max="8195" width="6.85546875" style="79" customWidth="1"/>
    <col min="8196" max="8196" width="7" style="79" customWidth="1"/>
    <col min="8197" max="8197" width="6.28515625" style="79" customWidth="1"/>
    <col min="8198" max="8429" width="9.140625" style="79"/>
    <col min="8430" max="8430" width="0.85546875" style="79" customWidth="1"/>
    <col min="8431" max="8431" width="9" style="79" customWidth="1"/>
    <col min="8432" max="8432" width="6.5703125" style="79" bestFit="1" customWidth="1"/>
    <col min="8433" max="8433" width="6.85546875" style="79" customWidth="1"/>
    <col min="8434" max="8434" width="7.28515625" style="79" customWidth="1"/>
    <col min="8435" max="8435" width="7.42578125" style="79" customWidth="1"/>
    <col min="8436" max="8436" width="8.7109375" style="79" customWidth="1"/>
    <col min="8437" max="8437" width="7.42578125" style="79" customWidth="1"/>
    <col min="8438" max="8438" width="8.140625" style="79" customWidth="1"/>
    <col min="8439" max="8439" width="8.28515625" style="79" customWidth="1"/>
    <col min="8440" max="8440" width="6.42578125" style="79" customWidth="1"/>
    <col min="8441" max="8441" width="6.85546875" style="79" customWidth="1"/>
    <col min="8442" max="8442" width="7.140625" style="79" customWidth="1"/>
    <col min="8443" max="8450" width="8.42578125" style="79" customWidth="1"/>
    <col min="8451" max="8451" width="6.85546875" style="79" customWidth="1"/>
    <col min="8452" max="8452" width="7" style="79" customWidth="1"/>
    <col min="8453" max="8453" width="6.28515625" style="79" customWidth="1"/>
    <col min="8454" max="8685" width="9.140625" style="79"/>
    <col min="8686" max="8686" width="0.85546875" style="79" customWidth="1"/>
    <col min="8687" max="8687" width="9" style="79" customWidth="1"/>
    <col min="8688" max="8688" width="6.5703125" style="79" bestFit="1" customWidth="1"/>
    <col min="8689" max="8689" width="6.85546875" style="79" customWidth="1"/>
    <col min="8690" max="8690" width="7.28515625" style="79" customWidth="1"/>
    <col min="8691" max="8691" width="7.42578125" style="79" customWidth="1"/>
    <col min="8692" max="8692" width="8.7109375" style="79" customWidth="1"/>
    <col min="8693" max="8693" width="7.42578125" style="79" customWidth="1"/>
    <col min="8694" max="8694" width="8.140625" style="79" customWidth="1"/>
    <col min="8695" max="8695" width="8.28515625" style="79" customWidth="1"/>
    <col min="8696" max="8696" width="6.42578125" style="79" customWidth="1"/>
    <col min="8697" max="8697" width="6.85546875" style="79" customWidth="1"/>
    <col min="8698" max="8698" width="7.140625" style="79" customWidth="1"/>
    <col min="8699" max="8706" width="8.42578125" style="79" customWidth="1"/>
    <col min="8707" max="8707" width="6.85546875" style="79" customWidth="1"/>
    <col min="8708" max="8708" width="7" style="79" customWidth="1"/>
    <col min="8709" max="8709" width="6.28515625" style="79" customWidth="1"/>
    <col min="8710" max="8941" width="9.140625" style="79"/>
    <col min="8942" max="8942" width="0.85546875" style="79" customWidth="1"/>
    <col min="8943" max="8943" width="9" style="79" customWidth="1"/>
    <col min="8944" max="8944" width="6.5703125" style="79" bestFit="1" customWidth="1"/>
    <col min="8945" max="8945" width="6.85546875" style="79" customWidth="1"/>
    <col min="8946" max="8946" width="7.28515625" style="79" customWidth="1"/>
    <col min="8947" max="8947" width="7.42578125" style="79" customWidth="1"/>
    <col min="8948" max="8948" width="8.7109375" style="79" customWidth="1"/>
    <col min="8949" max="8949" width="7.42578125" style="79" customWidth="1"/>
    <col min="8950" max="8950" width="8.140625" style="79" customWidth="1"/>
    <col min="8951" max="8951" width="8.28515625" style="79" customWidth="1"/>
    <col min="8952" max="8952" width="6.42578125" style="79" customWidth="1"/>
    <col min="8953" max="8953" width="6.85546875" style="79" customWidth="1"/>
    <col min="8954" max="8954" width="7.140625" style="79" customWidth="1"/>
    <col min="8955" max="8962" width="8.42578125" style="79" customWidth="1"/>
    <col min="8963" max="8963" width="6.85546875" style="79" customWidth="1"/>
    <col min="8964" max="8964" width="7" style="79" customWidth="1"/>
    <col min="8965" max="8965" width="6.28515625" style="79" customWidth="1"/>
    <col min="8966" max="9197" width="9.140625" style="79"/>
    <col min="9198" max="9198" width="0.85546875" style="79" customWidth="1"/>
    <col min="9199" max="9199" width="9" style="79" customWidth="1"/>
    <col min="9200" max="9200" width="6.5703125" style="79" bestFit="1" customWidth="1"/>
    <col min="9201" max="9201" width="6.85546875" style="79" customWidth="1"/>
    <col min="9202" max="9202" width="7.28515625" style="79" customWidth="1"/>
    <col min="9203" max="9203" width="7.42578125" style="79" customWidth="1"/>
    <col min="9204" max="9204" width="8.7109375" style="79" customWidth="1"/>
    <col min="9205" max="9205" width="7.42578125" style="79" customWidth="1"/>
    <col min="9206" max="9206" width="8.140625" style="79" customWidth="1"/>
    <col min="9207" max="9207" width="8.28515625" style="79" customWidth="1"/>
    <col min="9208" max="9208" width="6.42578125" style="79" customWidth="1"/>
    <col min="9209" max="9209" width="6.85546875" style="79" customWidth="1"/>
    <col min="9210" max="9210" width="7.140625" style="79" customWidth="1"/>
    <col min="9211" max="9218" width="8.42578125" style="79" customWidth="1"/>
    <col min="9219" max="9219" width="6.85546875" style="79" customWidth="1"/>
    <col min="9220" max="9220" width="7" style="79" customWidth="1"/>
    <col min="9221" max="9221" width="6.28515625" style="79" customWidth="1"/>
    <col min="9222" max="9453" width="9.140625" style="79"/>
    <col min="9454" max="9454" width="0.85546875" style="79" customWidth="1"/>
    <col min="9455" max="9455" width="9" style="79" customWidth="1"/>
    <col min="9456" max="9456" width="6.5703125" style="79" bestFit="1" customWidth="1"/>
    <col min="9457" max="9457" width="6.85546875" style="79" customWidth="1"/>
    <col min="9458" max="9458" width="7.28515625" style="79" customWidth="1"/>
    <col min="9459" max="9459" width="7.42578125" style="79" customWidth="1"/>
    <col min="9460" max="9460" width="8.7109375" style="79" customWidth="1"/>
    <col min="9461" max="9461" width="7.42578125" style="79" customWidth="1"/>
    <col min="9462" max="9462" width="8.140625" style="79" customWidth="1"/>
    <col min="9463" max="9463" width="8.28515625" style="79" customWidth="1"/>
    <col min="9464" max="9464" width="6.42578125" style="79" customWidth="1"/>
    <col min="9465" max="9465" width="6.85546875" style="79" customWidth="1"/>
    <col min="9466" max="9466" width="7.140625" style="79" customWidth="1"/>
    <col min="9467" max="9474" width="8.42578125" style="79" customWidth="1"/>
    <col min="9475" max="9475" width="6.85546875" style="79" customWidth="1"/>
    <col min="9476" max="9476" width="7" style="79" customWidth="1"/>
    <col min="9477" max="9477" width="6.28515625" style="79" customWidth="1"/>
    <col min="9478" max="9709" width="9.140625" style="79"/>
    <col min="9710" max="9710" width="0.85546875" style="79" customWidth="1"/>
    <col min="9711" max="9711" width="9" style="79" customWidth="1"/>
    <col min="9712" max="9712" width="6.5703125" style="79" bestFit="1" customWidth="1"/>
    <col min="9713" max="9713" width="6.85546875" style="79" customWidth="1"/>
    <col min="9714" max="9714" width="7.28515625" style="79" customWidth="1"/>
    <col min="9715" max="9715" width="7.42578125" style="79" customWidth="1"/>
    <col min="9716" max="9716" width="8.7109375" style="79" customWidth="1"/>
    <col min="9717" max="9717" width="7.42578125" style="79" customWidth="1"/>
    <col min="9718" max="9718" width="8.140625" style="79" customWidth="1"/>
    <col min="9719" max="9719" width="8.28515625" style="79" customWidth="1"/>
    <col min="9720" max="9720" width="6.42578125" style="79" customWidth="1"/>
    <col min="9721" max="9721" width="6.85546875" style="79" customWidth="1"/>
    <col min="9722" max="9722" width="7.140625" style="79" customWidth="1"/>
    <col min="9723" max="9730" width="8.42578125" style="79" customWidth="1"/>
    <col min="9731" max="9731" width="6.85546875" style="79" customWidth="1"/>
    <col min="9732" max="9732" width="7" style="79" customWidth="1"/>
    <col min="9733" max="9733" width="6.28515625" style="79" customWidth="1"/>
    <col min="9734" max="9965" width="9.140625" style="79"/>
    <col min="9966" max="9966" width="0.85546875" style="79" customWidth="1"/>
    <col min="9967" max="9967" width="9" style="79" customWidth="1"/>
    <col min="9968" max="9968" width="6.5703125" style="79" bestFit="1" customWidth="1"/>
    <col min="9969" max="9969" width="6.85546875" style="79" customWidth="1"/>
    <col min="9970" max="9970" width="7.28515625" style="79" customWidth="1"/>
    <col min="9971" max="9971" width="7.42578125" style="79" customWidth="1"/>
    <col min="9972" max="9972" width="8.7109375" style="79" customWidth="1"/>
    <col min="9973" max="9973" width="7.42578125" style="79" customWidth="1"/>
    <col min="9974" max="9974" width="8.140625" style="79" customWidth="1"/>
    <col min="9975" max="9975" width="8.28515625" style="79" customWidth="1"/>
    <col min="9976" max="9976" width="6.42578125" style="79" customWidth="1"/>
    <col min="9977" max="9977" width="6.85546875" style="79" customWidth="1"/>
    <col min="9978" max="9978" width="7.140625" style="79" customWidth="1"/>
    <col min="9979" max="9986" width="8.42578125" style="79" customWidth="1"/>
    <col min="9987" max="9987" width="6.85546875" style="79" customWidth="1"/>
    <col min="9988" max="9988" width="7" style="79" customWidth="1"/>
    <col min="9989" max="9989" width="6.28515625" style="79" customWidth="1"/>
    <col min="9990" max="10221" width="9.140625" style="79"/>
    <col min="10222" max="10222" width="0.85546875" style="79" customWidth="1"/>
    <col min="10223" max="10223" width="9" style="79" customWidth="1"/>
    <col min="10224" max="10224" width="6.5703125" style="79" bestFit="1" customWidth="1"/>
    <col min="10225" max="10225" width="6.85546875" style="79" customWidth="1"/>
    <col min="10226" max="10226" width="7.28515625" style="79" customWidth="1"/>
    <col min="10227" max="10227" width="7.42578125" style="79" customWidth="1"/>
    <col min="10228" max="10228" width="8.7109375" style="79" customWidth="1"/>
    <col min="10229" max="10229" width="7.42578125" style="79" customWidth="1"/>
    <col min="10230" max="10230" width="8.140625" style="79" customWidth="1"/>
    <col min="10231" max="10231" width="8.28515625" style="79" customWidth="1"/>
    <col min="10232" max="10232" width="6.42578125" style="79" customWidth="1"/>
    <col min="10233" max="10233" width="6.85546875" style="79" customWidth="1"/>
    <col min="10234" max="10234" width="7.140625" style="79" customWidth="1"/>
    <col min="10235" max="10242" width="8.42578125" style="79" customWidth="1"/>
    <col min="10243" max="10243" width="6.85546875" style="79" customWidth="1"/>
    <col min="10244" max="10244" width="7" style="79" customWidth="1"/>
    <col min="10245" max="10245" width="6.28515625" style="79" customWidth="1"/>
    <col min="10246" max="10477" width="9.140625" style="79"/>
    <col min="10478" max="10478" width="0.85546875" style="79" customWidth="1"/>
    <col min="10479" max="10479" width="9" style="79" customWidth="1"/>
    <col min="10480" max="10480" width="6.5703125" style="79" bestFit="1" customWidth="1"/>
    <col min="10481" max="10481" width="6.85546875" style="79" customWidth="1"/>
    <col min="10482" max="10482" width="7.28515625" style="79" customWidth="1"/>
    <col min="10483" max="10483" width="7.42578125" style="79" customWidth="1"/>
    <col min="10484" max="10484" width="8.7109375" style="79" customWidth="1"/>
    <col min="10485" max="10485" width="7.42578125" style="79" customWidth="1"/>
    <col min="10486" max="10486" width="8.140625" style="79" customWidth="1"/>
    <col min="10487" max="10487" width="8.28515625" style="79" customWidth="1"/>
    <col min="10488" max="10488" width="6.42578125" style="79" customWidth="1"/>
    <col min="10489" max="10489" width="6.85546875" style="79" customWidth="1"/>
    <col min="10490" max="10490" width="7.140625" style="79" customWidth="1"/>
    <col min="10491" max="10498" width="8.42578125" style="79" customWidth="1"/>
    <col min="10499" max="10499" width="6.85546875" style="79" customWidth="1"/>
    <col min="10500" max="10500" width="7" style="79" customWidth="1"/>
    <col min="10501" max="10501" width="6.28515625" style="79" customWidth="1"/>
    <col min="10502" max="10733" width="9.140625" style="79"/>
    <col min="10734" max="10734" width="0.85546875" style="79" customWidth="1"/>
    <col min="10735" max="10735" width="9" style="79" customWidth="1"/>
    <col min="10736" max="10736" width="6.5703125" style="79" bestFit="1" customWidth="1"/>
    <col min="10737" max="10737" width="6.85546875" style="79" customWidth="1"/>
    <col min="10738" max="10738" width="7.28515625" style="79" customWidth="1"/>
    <col min="10739" max="10739" width="7.42578125" style="79" customWidth="1"/>
    <col min="10740" max="10740" width="8.7109375" style="79" customWidth="1"/>
    <col min="10741" max="10741" width="7.42578125" style="79" customWidth="1"/>
    <col min="10742" max="10742" width="8.140625" style="79" customWidth="1"/>
    <col min="10743" max="10743" width="8.28515625" style="79" customWidth="1"/>
    <col min="10744" max="10744" width="6.42578125" style="79" customWidth="1"/>
    <col min="10745" max="10745" width="6.85546875" style="79" customWidth="1"/>
    <col min="10746" max="10746" width="7.140625" style="79" customWidth="1"/>
    <col min="10747" max="10754" width="8.42578125" style="79" customWidth="1"/>
    <col min="10755" max="10755" width="6.85546875" style="79" customWidth="1"/>
    <col min="10756" max="10756" width="7" style="79" customWidth="1"/>
    <col min="10757" max="10757" width="6.28515625" style="79" customWidth="1"/>
    <col min="10758" max="10989" width="9.140625" style="79"/>
    <col min="10990" max="10990" width="0.85546875" style="79" customWidth="1"/>
    <col min="10991" max="10991" width="9" style="79" customWidth="1"/>
    <col min="10992" max="10992" width="6.5703125" style="79" bestFit="1" customWidth="1"/>
    <col min="10993" max="10993" width="6.85546875" style="79" customWidth="1"/>
    <col min="10994" max="10994" width="7.28515625" style="79" customWidth="1"/>
    <col min="10995" max="10995" width="7.42578125" style="79" customWidth="1"/>
    <col min="10996" max="10996" width="8.7109375" style="79" customWidth="1"/>
    <col min="10997" max="10997" width="7.42578125" style="79" customWidth="1"/>
    <col min="10998" max="10998" width="8.140625" style="79" customWidth="1"/>
    <col min="10999" max="10999" width="8.28515625" style="79" customWidth="1"/>
    <col min="11000" max="11000" width="6.42578125" style="79" customWidth="1"/>
    <col min="11001" max="11001" width="6.85546875" style="79" customWidth="1"/>
    <col min="11002" max="11002" width="7.140625" style="79" customWidth="1"/>
    <col min="11003" max="11010" width="8.42578125" style="79" customWidth="1"/>
    <col min="11011" max="11011" width="6.85546875" style="79" customWidth="1"/>
    <col min="11012" max="11012" width="7" style="79" customWidth="1"/>
    <col min="11013" max="11013" width="6.28515625" style="79" customWidth="1"/>
    <col min="11014" max="11245" width="9.140625" style="79"/>
    <col min="11246" max="11246" width="0.85546875" style="79" customWidth="1"/>
    <col min="11247" max="11247" width="9" style="79" customWidth="1"/>
    <col min="11248" max="11248" width="6.5703125" style="79" bestFit="1" customWidth="1"/>
    <col min="11249" max="11249" width="6.85546875" style="79" customWidth="1"/>
    <col min="11250" max="11250" width="7.28515625" style="79" customWidth="1"/>
    <col min="11251" max="11251" width="7.42578125" style="79" customWidth="1"/>
    <col min="11252" max="11252" width="8.7109375" style="79" customWidth="1"/>
    <col min="11253" max="11253" width="7.42578125" style="79" customWidth="1"/>
    <col min="11254" max="11254" width="8.140625" style="79" customWidth="1"/>
    <col min="11255" max="11255" width="8.28515625" style="79" customWidth="1"/>
    <col min="11256" max="11256" width="6.42578125" style="79" customWidth="1"/>
    <col min="11257" max="11257" width="6.85546875" style="79" customWidth="1"/>
    <col min="11258" max="11258" width="7.140625" style="79" customWidth="1"/>
    <col min="11259" max="11266" width="8.42578125" style="79" customWidth="1"/>
    <col min="11267" max="11267" width="6.85546875" style="79" customWidth="1"/>
    <col min="11268" max="11268" width="7" style="79" customWidth="1"/>
    <col min="11269" max="11269" width="6.28515625" style="79" customWidth="1"/>
    <col min="11270" max="11501" width="9.140625" style="79"/>
    <col min="11502" max="11502" width="0.85546875" style="79" customWidth="1"/>
    <col min="11503" max="11503" width="9" style="79" customWidth="1"/>
    <col min="11504" max="11504" width="6.5703125" style="79" bestFit="1" customWidth="1"/>
    <col min="11505" max="11505" width="6.85546875" style="79" customWidth="1"/>
    <col min="11506" max="11506" width="7.28515625" style="79" customWidth="1"/>
    <col min="11507" max="11507" width="7.42578125" style="79" customWidth="1"/>
    <col min="11508" max="11508" width="8.7109375" style="79" customWidth="1"/>
    <col min="11509" max="11509" width="7.42578125" style="79" customWidth="1"/>
    <col min="11510" max="11510" width="8.140625" style="79" customWidth="1"/>
    <col min="11511" max="11511" width="8.28515625" style="79" customWidth="1"/>
    <col min="11512" max="11512" width="6.42578125" style="79" customWidth="1"/>
    <col min="11513" max="11513" width="6.85546875" style="79" customWidth="1"/>
    <col min="11514" max="11514" width="7.140625" style="79" customWidth="1"/>
    <col min="11515" max="11522" width="8.42578125" style="79" customWidth="1"/>
    <col min="11523" max="11523" width="6.85546875" style="79" customWidth="1"/>
    <col min="11524" max="11524" width="7" style="79" customWidth="1"/>
    <col min="11525" max="11525" width="6.28515625" style="79" customWidth="1"/>
    <col min="11526" max="11757" width="9.140625" style="79"/>
    <col min="11758" max="11758" width="0.85546875" style="79" customWidth="1"/>
    <col min="11759" max="11759" width="9" style="79" customWidth="1"/>
    <col min="11760" max="11760" width="6.5703125" style="79" bestFit="1" customWidth="1"/>
    <col min="11761" max="11761" width="6.85546875" style="79" customWidth="1"/>
    <col min="11762" max="11762" width="7.28515625" style="79" customWidth="1"/>
    <col min="11763" max="11763" width="7.42578125" style="79" customWidth="1"/>
    <col min="11764" max="11764" width="8.7109375" style="79" customWidth="1"/>
    <col min="11765" max="11765" width="7.42578125" style="79" customWidth="1"/>
    <col min="11766" max="11766" width="8.140625" style="79" customWidth="1"/>
    <col min="11767" max="11767" width="8.28515625" style="79" customWidth="1"/>
    <col min="11768" max="11768" width="6.42578125" style="79" customWidth="1"/>
    <col min="11769" max="11769" width="6.85546875" style="79" customWidth="1"/>
    <col min="11770" max="11770" width="7.140625" style="79" customWidth="1"/>
    <col min="11771" max="11778" width="8.42578125" style="79" customWidth="1"/>
    <col min="11779" max="11779" width="6.85546875" style="79" customWidth="1"/>
    <col min="11780" max="11780" width="7" style="79" customWidth="1"/>
    <col min="11781" max="11781" width="6.28515625" style="79" customWidth="1"/>
    <col min="11782" max="12013" width="9.140625" style="79"/>
    <col min="12014" max="12014" width="0.85546875" style="79" customWidth="1"/>
    <col min="12015" max="12015" width="9" style="79" customWidth="1"/>
    <col min="12016" max="12016" width="6.5703125" style="79" bestFit="1" customWidth="1"/>
    <col min="12017" max="12017" width="6.85546875" style="79" customWidth="1"/>
    <col min="12018" max="12018" width="7.28515625" style="79" customWidth="1"/>
    <col min="12019" max="12019" width="7.42578125" style="79" customWidth="1"/>
    <col min="12020" max="12020" width="8.7109375" style="79" customWidth="1"/>
    <col min="12021" max="12021" width="7.42578125" style="79" customWidth="1"/>
    <col min="12022" max="12022" width="8.140625" style="79" customWidth="1"/>
    <col min="12023" max="12023" width="8.28515625" style="79" customWidth="1"/>
    <col min="12024" max="12024" width="6.42578125" style="79" customWidth="1"/>
    <col min="12025" max="12025" width="6.85546875" style="79" customWidth="1"/>
    <col min="12026" max="12026" width="7.140625" style="79" customWidth="1"/>
    <col min="12027" max="12034" width="8.42578125" style="79" customWidth="1"/>
    <col min="12035" max="12035" width="6.85546875" style="79" customWidth="1"/>
    <col min="12036" max="12036" width="7" style="79" customWidth="1"/>
    <col min="12037" max="12037" width="6.28515625" style="79" customWidth="1"/>
    <col min="12038" max="12269" width="9.140625" style="79"/>
    <col min="12270" max="12270" width="0.85546875" style="79" customWidth="1"/>
    <col min="12271" max="12271" width="9" style="79" customWidth="1"/>
    <col min="12272" max="12272" width="6.5703125" style="79" bestFit="1" customWidth="1"/>
    <col min="12273" max="12273" width="6.85546875" style="79" customWidth="1"/>
    <col min="12274" max="12274" width="7.28515625" style="79" customWidth="1"/>
    <col min="12275" max="12275" width="7.42578125" style="79" customWidth="1"/>
    <col min="12276" max="12276" width="8.7109375" style="79" customWidth="1"/>
    <col min="12277" max="12277" width="7.42578125" style="79" customWidth="1"/>
    <col min="12278" max="12278" width="8.140625" style="79" customWidth="1"/>
    <col min="12279" max="12279" width="8.28515625" style="79" customWidth="1"/>
    <col min="12280" max="12280" width="6.42578125" style="79" customWidth="1"/>
    <col min="12281" max="12281" width="6.85546875" style="79" customWidth="1"/>
    <col min="12282" max="12282" width="7.140625" style="79" customWidth="1"/>
    <col min="12283" max="12290" width="8.42578125" style="79" customWidth="1"/>
    <col min="12291" max="12291" width="6.85546875" style="79" customWidth="1"/>
    <col min="12292" max="12292" width="7" style="79" customWidth="1"/>
    <col min="12293" max="12293" width="6.28515625" style="79" customWidth="1"/>
    <col min="12294" max="12525" width="9.140625" style="79"/>
    <col min="12526" max="12526" width="0.85546875" style="79" customWidth="1"/>
    <col min="12527" max="12527" width="9" style="79" customWidth="1"/>
    <col min="12528" max="12528" width="6.5703125" style="79" bestFit="1" customWidth="1"/>
    <col min="12529" max="12529" width="6.85546875" style="79" customWidth="1"/>
    <col min="12530" max="12530" width="7.28515625" style="79" customWidth="1"/>
    <col min="12531" max="12531" width="7.42578125" style="79" customWidth="1"/>
    <col min="12532" max="12532" width="8.7109375" style="79" customWidth="1"/>
    <col min="12533" max="12533" width="7.42578125" style="79" customWidth="1"/>
    <col min="12534" max="12534" width="8.140625" style="79" customWidth="1"/>
    <col min="12535" max="12535" width="8.28515625" style="79" customWidth="1"/>
    <col min="12536" max="12536" width="6.42578125" style="79" customWidth="1"/>
    <col min="12537" max="12537" width="6.85546875" style="79" customWidth="1"/>
    <col min="12538" max="12538" width="7.140625" style="79" customWidth="1"/>
    <col min="12539" max="12546" width="8.42578125" style="79" customWidth="1"/>
    <col min="12547" max="12547" width="6.85546875" style="79" customWidth="1"/>
    <col min="12548" max="12548" width="7" style="79" customWidth="1"/>
    <col min="12549" max="12549" width="6.28515625" style="79" customWidth="1"/>
    <col min="12550" max="12781" width="9.140625" style="79"/>
    <col min="12782" max="12782" width="0.85546875" style="79" customWidth="1"/>
    <col min="12783" max="12783" width="9" style="79" customWidth="1"/>
    <col min="12784" max="12784" width="6.5703125" style="79" bestFit="1" customWidth="1"/>
    <col min="12785" max="12785" width="6.85546875" style="79" customWidth="1"/>
    <col min="12786" max="12786" width="7.28515625" style="79" customWidth="1"/>
    <col min="12787" max="12787" width="7.42578125" style="79" customWidth="1"/>
    <col min="12788" max="12788" width="8.7109375" style="79" customWidth="1"/>
    <col min="12789" max="12789" width="7.42578125" style="79" customWidth="1"/>
    <col min="12790" max="12790" width="8.140625" style="79" customWidth="1"/>
    <col min="12791" max="12791" width="8.28515625" style="79" customWidth="1"/>
    <col min="12792" max="12792" width="6.42578125" style="79" customWidth="1"/>
    <col min="12793" max="12793" width="6.85546875" style="79" customWidth="1"/>
    <col min="12794" max="12794" width="7.140625" style="79" customWidth="1"/>
    <col min="12795" max="12802" width="8.42578125" style="79" customWidth="1"/>
    <col min="12803" max="12803" width="6.85546875" style="79" customWidth="1"/>
    <col min="12804" max="12804" width="7" style="79" customWidth="1"/>
    <col min="12805" max="12805" width="6.28515625" style="79" customWidth="1"/>
    <col min="12806" max="13037" width="9.140625" style="79"/>
    <col min="13038" max="13038" width="0.85546875" style="79" customWidth="1"/>
    <col min="13039" max="13039" width="9" style="79" customWidth="1"/>
    <col min="13040" max="13040" width="6.5703125" style="79" bestFit="1" customWidth="1"/>
    <col min="13041" max="13041" width="6.85546875" style="79" customWidth="1"/>
    <col min="13042" max="13042" width="7.28515625" style="79" customWidth="1"/>
    <col min="13043" max="13043" width="7.42578125" style="79" customWidth="1"/>
    <col min="13044" max="13044" width="8.7109375" style="79" customWidth="1"/>
    <col min="13045" max="13045" width="7.42578125" style="79" customWidth="1"/>
    <col min="13046" max="13046" width="8.140625" style="79" customWidth="1"/>
    <col min="13047" max="13047" width="8.28515625" style="79" customWidth="1"/>
    <col min="13048" max="13048" width="6.42578125" style="79" customWidth="1"/>
    <col min="13049" max="13049" width="6.85546875" style="79" customWidth="1"/>
    <col min="13050" max="13050" width="7.140625" style="79" customWidth="1"/>
    <col min="13051" max="13058" width="8.42578125" style="79" customWidth="1"/>
    <col min="13059" max="13059" width="6.85546875" style="79" customWidth="1"/>
    <col min="13060" max="13060" width="7" style="79" customWidth="1"/>
    <col min="13061" max="13061" width="6.28515625" style="79" customWidth="1"/>
    <col min="13062" max="13293" width="9.140625" style="79"/>
    <col min="13294" max="13294" width="0.85546875" style="79" customWidth="1"/>
    <col min="13295" max="13295" width="9" style="79" customWidth="1"/>
    <col min="13296" max="13296" width="6.5703125" style="79" bestFit="1" customWidth="1"/>
    <col min="13297" max="13297" width="6.85546875" style="79" customWidth="1"/>
    <col min="13298" max="13298" width="7.28515625" style="79" customWidth="1"/>
    <col min="13299" max="13299" width="7.42578125" style="79" customWidth="1"/>
    <col min="13300" max="13300" width="8.7109375" style="79" customWidth="1"/>
    <col min="13301" max="13301" width="7.42578125" style="79" customWidth="1"/>
    <col min="13302" max="13302" width="8.140625" style="79" customWidth="1"/>
    <col min="13303" max="13303" width="8.28515625" style="79" customWidth="1"/>
    <col min="13304" max="13304" width="6.42578125" style="79" customWidth="1"/>
    <col min="13305" max="13305" width="6.85546875" style="79" customWidth="1"/>
    <col min="13306" max="13306" width="7.140625" style="79" customWidth="1"/>
    <col min="13307" max="13314" width="8.42578125" style="79" customWidth="1"/>
    <col min="13315" max="13315" width="6.85546875" style="79" customWidth="1"/>
    <col min="13316" max="13316" width="7" style="79" customWidth="1"/>
    <col min="13317" max="13317" width="6.28515625" style="79" customWidth="1"/>
    <col min="13318" max="13549" width="9.140625" style="79"/>
    <col min="13550" max="13550" width="0.85546875" style="79" customWidth="1"/>
    <col min="13551" max="13551" width="9" style="79" customWidth="1"/>
    <col min="13552" max="13552" width="6.5703125" style="79" bestFit="1" customWidth="1"/>
    <col min="13553" max="13553" width="6.85546875" style="79" customWidth="1"/>
    <col min="13554" max="13554" width="7.28515625" style="79" customWidth="1"/>
    <col min="13555" max="13555" width="7.42578125" style="79" customWidth="1"/>
    <col min="13556" max="13556" width="8.7109375" style="79" customWidth="1"/>
    <col min="13557" max="13557" width="7.42578125" style="79" customWidth="1"/>
    <col min="13558" max="13558" width="8.140625" style="79" customWidth="1"/>
    <col min="13559" max="13559" width="8.28515625" style="79" customWidth="1"/>
    <col min="13560" max="13560" width="6.42578125" style="79" customWidth="1"/>
    <col min="13561" max="13561" width="6.85546875" style="79" customWidth="1"/>
    <col min="13562" max="13562" width="7.140625" style="79" customWidth="1"/>
    <col min="13563" max="13570" width="8.42578125" style="79" customWidth="1"/>
    <col min="13571" max="13571" width="6.85546875" style="79" customWidth="1"/>
    <col min="13572" max="13572" width="7" style="79" customWidth="1"/>
    <col min="13573" max="13573" width="6.28515625" style="79" customWidth="1"/>
    <col min="13574" max="13805" width="9.140625" style="79"/>
    <col min="13806" max="13806" width="0.85546875" style="79" customWidth="1"/>
    <col min="13807" max="13807" width="9" style="79" customWidth="1"/>
    <col min="13808" max="13808" width="6.5703125" style="79" bestFit="1" customWidth="1"/>
    <col min="13809" max="13809" width="6.85546875" style="79" customWidth="1"/>
    <col min="13810" max="13810" width="7.28515625" style="79" customWidth="1"/>
    <col min="13811" max="13811" width="7.42578125" style="79" customWidth="1"/>
    <col min="13812" max="13812" width="8.7109375" style="79" customWidth="1"/>
    <col min="13813" max="13813" width="7.42578125" style="79" customWidth="1"/>
    <col min="13814" max="13814" width="8.140625" style="79" customWidth="1"/>
    <col min="13815" max="13815" width="8.28515625" style="79" customWidth="1"/>
    <col min="13816" max="13816" width="6.42578125" style="79" customWidth="1"/>
    <col min="13817" max="13817" width="6.85546875" style="79" customWidth="1"/>
    <col min="13818" max="13818" width="7.140625" style="79" customWidth="1"/>
    <col min="13819" max="13826" width="8.42578125" style="79" customWidth="1"/>
    <col min="13827" max="13827" width="6.85546875" style="79" customWidth="1"/>
    <col min="13828" max="13828" width="7" style="79" customWidth="1"/>
    <col min="13829" max="13829" width="6.28515625" style="79" customWidth="1"/>
    <col min="13830" max="14061" width="9.140625" style="79"/>
    <col min="14062" max="14062" width="0.85546875" style="79" customWidth="1"/>
    <col min="14063" max="14063" width="9" style="79" customWidth="1"/>
    <col min="14064" max="14064" width="6.5703125" style="79" bestFit="1" customWidth="1"/>
    <col min="14065" max="14065" width="6.85546875" style="79" customWidth="1"/>
    <col min="14066" max="14066" width="7.28515625" style="79" customWidth="1"/>
    <col min="14067" max="14067" width="7.42578125" style="79" customWidth="1"/>
    <col min="14068" max="14068" width="8.7109375" style="79" customWidth="1"/>
    <col min="14069" max="14069" width="7.42578125" style="79" customWidth="1"/>
    <col min="14070" max="14070" width="8.140625" style="79" customWidth="1"/>
    <col min="14071" max="14071" width="8.28515625" style="79" customWidth="1"/>
    <col min="14072" max="14072" width="6.42578125" style="79" customWidth="1"/>
    <col min="14073" max="14073" width="6.85546875" style="79" customWidth="1"/>
    <col min="14074" max="14074" width="7.140625" style="79" customWidth="1"/>
    <col min="14075" max="14082" width="8.42578125" style="79" customWidth="1"/>
    <col min="14083" max="14083" width="6.85546875" style="79" customWidth="1"/>
    <col min="14084" max="14084" width="7" style="79" customWidth="1"/>
    <col min="14085" max="14085" width="6.28515625" style="79" customWidth="1"/>
    <col min="14086" max="14317" width="9.140625" style="79"/>
    <col min="14318" max="14318" width="0.85546875" style="79" customWidth="1"/>
    <col min="14319" max="14319" width="9" style="79" customWidth="1"/>
    <col min="14320" max="14320" width="6.5703125" style="79" bestFit="1" customWidth="1"/>
    <col min="14321" max="14321" width="6.85546875" style="79" customWidth="1"/>
    <col min="14322" max="14322" width="7.28515625" style="79" customWidth="1"/>
    <col min="14323" max="14323" width="7.42578125" style="79" customWidth="1"/>
    <col min="14324" max="14324" width="8.7109375" style="79" customWidth="1"/>
    <col min="14325" max="14325" width="7.42578125" style="79" customWidth="1"/>
    <col min="14326" max="14326" width="8.140625" style="79" customWidth="1"/>
    <col min="14327" max="14327" width="8.28515625" style="79" customWidth="1"/>
    <col min="14328" max="14328" width="6.42578125" style="79" customWidth="1"/>
    <col min="14329" max="14329" width="6.85546875" style="79" customWidth="1"/>
    <col min="14330" max="14330" width="7.140625" style="79" customWidth="1"/>
    <col min="14331" max="14338" width="8.42578125" style="79" customWidth="1"/>
    <col min="14339" max="14339" width="6.85546875" style="79" customWidth="1"/>
    <col min="14340" max="14340" width="7" style="79" customWidth="1"/>
    <col min="14341" max="14341" width="6.28515625" style="79" customWidth="1"/>
    <col min="14342" max="14573" width="9.140625" style="79"/>
    <col min="14574" max="14574" width="0.85546875" style="79" customWidth="1"/>
    <col min="14575" max="14575" width="9" style="79" customWidth="1"/>
    <col min="14576" max="14576" width="6.5703125" style="79" bestFit="1" customWidth="1"/>
    <col min="14577" max="14577" width="6.85546875" style="79" customWidth="1"/>
    <col min="14578" max="14578" width="7.28515625" style="79" customWidth="1"/>
    <col min="14579" max="14579" width="7.42578125" style="79" customWidth="1"/>
    <col min="14580" max="14580" width="8.7109375" style="79" customWidth="1"/>
    <col min="14581" max="14581" width="7.42578125" style="79" customWidth="1"/>
    <col min="14582" max="14582" width="8.140625" style="79" customWidth="1"/>
    <col min="14583" max="14583" width="8.28515625" style="79" customWidth="1"/>
    <col min="14584" max="14584" width="6.42578125" style="79" customWidth="1"/>
    <col min="14585" max="14585" width="6.85546875" style="79" customWidth="1"/>
    <col min="14586" max="14586" width="7.140625" style="79" customWidth="1"/>
    <col min="14587" max="14594" width="8.42578125" style="79" customWidth="1"/>
    <col min="14595" max="14595" width="6.85546875" style="79" customWidth="1"/>
    <col min="14596" max="14596" width="7" style="79" customWidth="1"/>
    <col min="14597" max="14597" width="6.28515625" style="79" customWidth="1"/>
    <col min="14598" max="14829" width="9.140625" style="79"/>
    <col min="14830" max="14830" width="0.85546875" style="79" customWidth="1"/>
    <col min="14831" max="14831" width="9" style="79" customWidth="1"/>
    <col min="14832" max="14832" width="6.5703125" style="79" bestFit="1" customWidth="1"/>
    <col min="14833" max="14833" width="6.85546875" style="79" customWidth="1"/>
    <col min="14834" max="14834" width="7.28515625" style="79" customWidth="1"/>
    <col min="14835" max="14835" width="7.42578125" style="79" customWidth="1"/>
    <col min="14836" max="14836" width="8.7109375" style="79" customWidth="1"/>
    <col min="14837" max="14837" width="7.42578125" style="79" customWidth="1"/>
    <col min="14838" max="14838" width="8.140625" style="79" customWidth="1"/>
    <col min="14839" max="14839" width="8.28515625" style="79" customWidth="1"/>
    <col min="14840" max="14840" width="6.42578125" style="79" customWidth="1"/>
    <col min="14841" max="14841" width="6.85546875" style="79" customWidth="1"/>
    <col min="14842" max="14842" width="7.140625" style="79" customWidth="1"/>
    <col min="14843" max="14850" width="8.42578125" style="79" customWidth="1"/>
    <col min="14851" max="14851" width="6.85546875" style="79" customWidth="1"/>
    <col min="14852" max="14852" width="7" style="79" customWidth="1"/>
    <col min="14853" max="14853" width="6.28515625" style="79" customWidth="1"/>
    <col min="14854" max="15085" width="9.140625" style="79"/>
    <col min="15086" max="15086" width="0.85546875" style="79" customWidth="1"/>
    <col min="15087" max="15087" width="9" style="79" customWidth="1"/>
    <col min="15088" max="15088" width="6.5703125" style="79" bestFit="1" customWidth="1"/>
    <col min="15089" max="15089" width="6.85546875" style="79" customWidth="1"/>
    <col min="15090" max="15090" width="7.28515625" style="79" customWidth="1"/>
    <col min="15091" max="15091" width="7.42578125" style="79" customWidth="1"/>
    <col min="15092" max="15092" width="8.7109375" style="79" customWidth="1"/>
    <col min="15093" max="15093" width="7.42578125" style="79" customWidth="1"/>
    <col min="15094" max="15094" width="8.140625" style="79" customWidth="1"/>
    <col min="15095" max="15095" width="8.28515625" style="79" customWidth="1"/>
    <col min="15096" max="15096" width="6.42578125" style="79" customWidth="1"/>
    <col min="15097" max="15097" width="6.85546875" style="79" customWidth="1"/>
    <col min="15098" max="15098" width="7.140625" style="79" customWidth="1"/>
    <col min="15099" max="15106" width="8.42578125" style="79" customWidth="1"/>
    <col min="15107" max="15107" width="6.85546875" style="79" customWidth="1"/>
    <col min="15108" max="15108" width="7" style="79" customWidth="1"/>
    <col min="15109" max="15109" width="6.28515625" style="79" customWidth="1"/>
    <col min="15110" max="15341" width="9.140625" style="79"/>
    <col min="15342" max="15342" width="0.85546875" style="79" customWidth="1"/>
    <col min="15343" max="15343" width="9" style="79" customWidth="1"/>
    <col min="15344" max="15344" width="6.5703125" style="79" bestFit="1" customWidth="1"/>
    <col min="15345" max="15345" width="6.85546875" style="79" customWidth="1"/>
    <col min="15346" max="15346" width="7.28515625" style="79" customWidth="1"/>
    <col min="15347" max="15347" width="7.42578125" style="79" customWidth="1"/>
    <col min="15348" max="15348" width="8.7109375" style="79" customWidth="1"/>
    <col min="15349" max="15349" width="7.42578125" style="79" customWidth="1"/>
    <col min="15350" max="15350" width="8.140625" style="79" customWidth="1"/>
    <col min="15351" max="15351" width="8.28515625" style="79" customWidth="1"/>
    <col min="15352" max="15352" width="6.42578125" style="79" customWidth="1"/>
    <col min="15353" max="15353" width="6.85546875" style="79" customWidth="1"/>
    <col min="15354" max="15354" width="7.140625" style="79" customWidth="1"/>
    <col min="15355" max="15362" width="8.42578125" style="79" customWidth="1"/>
    <col min="15363" max="15363" width="6.85546875" style="79" customWidth="1"/>
    <col min="15364" max="15364" width="7" style="79" customWidth="1"/>
    <col min="15365" max="15365" width="6.28515625" style="79" customWidth="1"/>
    <col min="15366" max="15597" width="9.140625" style="79"/>
    <col min="15598" max="15598" width="0.85546875" style="79" customWidth="1"/>
    <col min="15599" max="15599" width="9" style="79" customWidth="1"/>
    <col min="15600" max="15600" width="6.5703125" style="79" bestFit="1" customWidth="1"/>
    <col min="15601" max="15601" width="6.85546875" style="79" customWidth="1"/>
    <col min="15602" max="15602" width="7.28515625" style="79" customWidth="1"/>
    <col min="15603" max="15603" width="7.42578125" style="79" customWidth="1"/>
    <col min="15604" max="15604" width="8.7109375" style="79" customWidth="1"/>
    <col min="15605" max="15605" width="7.42578125" style="79" customWidth="1"/>
    <col min="15606" max="15606" width="8.140625" style="79" customWidth="1"/>
    <col min="15607" max="15607" width="8.28515625" style="79" customWidth="1"/>
    <col min="15608" max="15608" width="6.42578125" style="79" customWidth="1"/>
    <col min="15609" max="15609" width="6.85546875" style="79" customWidth="1"/>
    <col min="15610" max="15610" width="7.140625" style="79" customWidth="1"/>
    <col min="15611" max="15618" width="8.42578125" style="79" customWidth="1"/>
    <col min="15619" max="15619" width="6.85546875" style="79" customWidth="1"/>
    <col min="15620" max="15620" width="7" style="79" customWidth="1"/>
    <col min="15621" max="15621" width="6.28515625" style="79" customWidth="1"/>
    <col min="15622" max="15853" width="9.140625" style="79"/>
    <col min="15854" max="15854" width="0.85546875" style="79" customWidth="1"/>
    <col min="15855" max="15855" width="9" style="79" customWidth="1"/>
    <col min="15856" max="15856" width="6.5703125" style="79" bestFit="1" customWidth="1"/>
    <col min="15857" max="15857" width="6.85546875" style="79" customWidth="1"/>
    <col min="15858" max="15858" width="7.28515625" style="79" customWidth="1"/>
    <col min="15859" max="15859" width="7.42578125" style="79" customWidth="1"/>
    <col min="15860" max="15860" width="8.7109375" style="79" customWidth="1"/>
    <col min="15861" max="15861" width="7.42578125" style="79" customWidth="1"/>
    <col min="15862" max="15862" width="8.140625" style="79" customWidth="1"/>
    <col min="15863" max="15863" width="8.28515625" style="79" customWidth="1"/>
    <col min="15864" max="15864" width="6.42578125" style="79" customWidth="1"/>
    <col min="15865" max="15865" width="6.85546875" style="79" customWidth="1"/>
    <col min="15866" max="15866" width="7.140625" style="79" customWidth="1"/>
    <col min="15867" max="15874" width="8.42578125" style="79" customWidth="1"/>
    <col min="15875" max="15875" width="6.85546875" style="79" customWidth="1"/>
    <col min="15876" max="15876" width="7" style="79" customWidth="1"/>
    <col min="15877" max="15877" width="6.28515625" style="79" customWidth="1"/>
    <col min="15878" max="16109" width="9.140625" style="79"/>
    <col min="16110" max="16110" width="0.85546875" style="79" customWidth="1"/>
    <col min="16111" max="16111" width="9" style="79" customWidth="1"/>
    <col min="16112" max="16112" width="6.5703125" style="79" bestFit="1" customWidth="1"/>
    <col min="16113" max="16113" width="6.85546875" style="79" customWidth="1"/>
    <col min="16114" max="16114" width="7.28515625" style="79" customWidth="1"/>
    <col min="16115" max="16115" width="7.42578125" style="79" customWidth="1"/>
    <col min="16116" max="16116" width="8.7109375" style="79" customWidth="1"/>
    <col min="16117" max="16117" width="7.42578125" style="79" customWidth="1"/>
    <col min="16118" max="16118" width="8.140625" style="79" customWidth="1"/>
    <col min="16119" max="16119" width="8.28515625" style="79" customWidth="1"/>
    <col min="16120" max="16120" width="6.42578125" style="79" customWidth="1"/>
    <col min="16121" max="16121" width="6.85546875" style="79" customWidth="1"/>
    <col min="16122" max="16122" width="7.140625" style="79" customWidth="1"/>
    <col min="16123" max="16130" width="8.42578125" style="79" customWidth="1"/>
    <col min="16131" max="16131" width="6.85546875" style="79" customWidth="1"/>
    <col min="16132" max="16132" width="7" style="79" customWidth="1"/>
    <col min="16133" max="16133" width="6.28515625" style="79" customWidth="1"/>
    <col min="16134" max="16384" width="9.140625" style="79"/>
  </cols>
  <sheetData>
    <row r="1" spans="2:13">
      <c r="C1" s="77"/>
      <c r="F1" s="78"/>
    </row>
    <row r="2" spans="2:13">
      <c r="B2" s="83" t="s">
        <v>28</v>
      </c>
      <c r="C2" s="84" t="s">
        <v>19</v>
      </c>
      <c r="D2" s="83"/>
      <c r="E2" s="83"/>
      <c r="F2" s="83"/>
      <c r="G2" s="84" t="s">
        <v>20</v>
      </c>
      <c r="H2" s="83"/>
      <c r="I2" s="83"/>
      <c r="J2" s="83"/>
    </row>
    <row r="3" spans="2:13">
      <c r="B3" s="83"/>
      <c r="C3" s="85" t="s">
        <v>29</v>
      </c>
      <c r="D3" s="85" t="s">
        <v>30</v>
      </c>
      <c r="E3" s="86" t="s">
        <v>31</v>
      </c>
      <c r="F3" s="86" t="s">
        <v>32</v>
      </c>
      <c r="G3" s="85" t="s">
        <v>29</v>
      </c>
      <c r="H3" s="85" t="s">
        <v>30</v>
      </c>
      <c r="I3" s="86" t="s">
        <v>31</v>
      </c>
      <c r="J3" s="86" t="s">
        <v>32</v>
      </c>
      <c r="K3" s="80" t="s">
        <v>33</v>
      </c>
      <c r="L3" s="76">
        <v>0.3</v>
      </c>
      <c r="M3" s="76">
        <v>0.5</v>
      </c>
    </row>
    <row r="4" spans="2:13">
      <c r="B4" s="87">
        <f>+'[1](kawam)'!F5</f>
        <v>45344</v>
      </c>
      <c r="C4" s="81">
        <f>'1(kurihara)'!C5</f>
        <v>0</v>
      </c>
      <c r="D4" s="81">
        <f>C4*100</f>
        <v>0</v>
      </c>
      <c r="E4" s="81">
        <f>'Matsuo-Kawamura KM91-TT '!D4</f>
        <v>0.28999999999999998</v>
      </c>
      <c r="F4" s="81">
        <f>E4*100</f>
        <v>28.999999999999996</v>
      </c>
      <c r="G4" s="88">
        <f>'Matsuo-Kawamura KM91-PT '!F4</f>
        <v>0</v>
      </c>
      <c r="H4" s="85">
        <f>G4*100</f>
        <v>0</v>
      </c>
      <c r="I4" s="89">
        <f>'Matsuo-Kawamura KM91-PT '!D4</f>
        <v>0.28999999999999998</v>
      </c>
      <c r="J4" s="90">
        <f t="shared" ref="J4:J50" si="0">I4*100</f>
        <v>28.999999999999996</v>
      </c>
    </row>
    <row r="5" spans="2:13">
      <c r="B5" s="87">
        <f>+'[1](kawam)'!F6</f>
        <v>45345</v>
      </c>
      <c r="C5" s="81">
        <f>'1(kurihara)'!C6</f>
        <v>5.6825251190502964E-4</v>
      </c>
      <c r="D5" s="81">
        <f t="shared" ref="D5:D50" si="1">C5*100</f>
        <v>5.6825251190502968E-2</v>
      </c>
      <c r="E5" s="81">
        <f>'Matsuo-Kawamura KM91-TT '!D5</f>
        <v>0.29199999999999998</v>
      </c>
      <c r="F5" s="81">
        <f t="shared" ref="F5:F50" si="2">E5*100</f>
        <v>29.2</v>
      </c>
      <c r="G5" s="88">
        <f>'Matsuo-Kawamura KM91-PT '!F5</f>
        <v>1.4956015476178664E-4</v>
      </c>
      <c r="H5" s="85">
        <f t="shared" ref="H5:H50" si="3">G5*100</f>
        <v>1.4956015476178664E-2</v>
      </c>
      <c r="I5" s="89">
        <f>'Matsuo-Kawamura KM91-PT '!D5</f>
        <v>0.29199999999999998</v>
      </c>
      <c r="J5" s="90">
        <f t="shared" si="0"/>
        <v>29.2</v>
      </c>
    </row>
    <row r="6" spans="2:13">
      <c r="B6" s="87">
        <f>+'[1](kawam)'!F7</f>
        <v>45346</v>
      </c>
      <c r="C6" s="81">
        <f>'1(kurihara)'!C7</f>
        <v>6.6247149206373024E-4</v>
      </c>
      <c r="D6" s="81">
        <f t="shared" si="1"/>
        <v>6.6247149206373021E-2</v>
      </c>
      <c r="E6" s="81">
        <f>'Matsuo-Kawamura KM91-TT '!D6</f>
        <v>0.29399999999999998</v>
      </c>
      <c r="F6" s="81">
        <f t="shared" si="2"/>
        <v>29.4</v>
      </c>
      <c r="G6" s="88">
        <f>'Matsuo-Kawamura KM91-PT '!F6</f>
        <v>1.6762734920644108E-4</v>
      </c>
      <c r="H6" s="85">
        <f t="shared" si="3"/>
        <v>1.6762734920644107E-2</v>
      </c>
      <c r="I6" s="89">
        <f>'Matsuo-Kawamura KM91-PT '!D6</f>
        <v>0.29399999999999998</v>
      </c>
      <c r="J6" s="90">
        <f t="shared" si="0"/>
        <v>29.4</v>
      </c>
    </row>
    <row r="7" spans="2:13">
      <c r="B7" s="87">
        <f>+'[1](kawam)'!F8</f>
        <v>45347</v>
      </c>
      <c r="C7" s="81">
        <f>'1(kurihara)'!C8</f>
        <v>7.4963879365105867E-4</v>
      </c>
      <c r="D7" s="81">
        <f t="shared" si="1"/>
        <v>7.4963879365105873E-2</v>
      </c>
      <c r="E7" s="81">
        <f>'Matsuo-Kawamura KM91-TT '!D7</f>
        <v>0.29599999999999999</v>
      </c>
      <c r="F7" s="81">
        <f t="shared" si="2"/>
        <v>29.599999999999998</v>
      </c>
      <c r="G7" s="88">
        <f>'Matsuo-Kawamura KM91-PT '!F7</f>
        <v>1.896835793650098E-4</v>
      </c>
      <c r="H7" s="85">
        <f t="shared" si="3"/>
        <v>1.8968357936500979E-2</v>
      </c>
      <c r="I7" s="89">
        <f>'Matsuo-Kawamura KM91-PT '!D7</f>
        <v>0.29599999999999999</v>
      </c>
      <c r="J7" s="90">
        <f t="shared" si="0"/>
        <v>29.599999999999998</v>
      </c>
    </row>
    <row r="8" spans="2:13">
      <c r="B8" s="87">
        <f>+'[1](kawam)'!F9</f>
        <v>45348</v>
      </c>
      <c r="C8" s="81">
        <f>'1(kurihara)'!C9</f>
        <v>8.3680609523838711E-4</v>
      </c>
      <c r="D8" s="81">
        <f t="shared" si="1"/>
        <v>8.3680609523838712E-2</v>
      </c>
      <c r="E8" s="81">
        <f>'Matsuo-Kawamura KM91-TT '!D8</f>
        <v>0.29799999999999999</v>
      </c>
      <c r="F8" s="81">
        <f t="shared" si="2"/>
        <v>29.799999999999997</v>
      </c>
      <c r="G8" s="88">
        <f>'Matsuo-Kawamura KM91-PT '!F8</f>
        <v>2.1173980952369221E-4</v>
      </c>
      <c r="H8" s="85">
        <f t="shared" si="3"/>
        <v>2.117398095236922E-2</v>
      </c>
      <c r="I8" s="89">
        <f>'Matsuo-Kawamura KM91-PT '!D8</f>
        <v>0.29799999999999999</v>
      </c>
      <c r="J8" s="90">
        <f t="shared" si="0"/>
        <v>29.799999999999997</v>
      </c>
      <c r="K8" s="82">
        <v>0</v>
      </c>
      <c r="L8" s="76">
        <v>0</v>
      </c>
      <c r="M8" s="76">
        <v>0</v>
      </c>
    </row>
    <row r="9" spans="2:13">
      <c r="B9" s="87">
        <f>+'[1](kawam)'!F10</f>
        <v>45349</v>
      </c>
      <c r="C9" s="81">
        <f>'1(kurihara)'!C10</f>
        <v>9.2397339682565873E-4</v>
      </c>
      <c r="D9" s="81">
        <f t="shared" si="1"/>
        <v>9.2397339682565874E-2</v>
      </c>
      <c r="E9" s="81">
        <f>'Matsuo-Kawamura KM91-TT '!D9</f>
        <v>0.3</v>
      </c>
      <c r="F9" s="81">
        <f t="shared" si="2"/>
        <v>30</v>
      </c>
      <c r="G9" s="88">
        <f>'Matsuo-Kawamura KM91-PT '!F9</f>
        <v>2.3379603968243145E-4</v>
      </c>
      <c r="H9" s="85">
        <f t="shared" si="3"/>
        <v>2.3379603968243144E-2</v>
      </c>
      <c r="I9" s="89">
        <f>'Matsuo-Kawamura KM91-PT '!D9</f>
        <v>0.3</v>
      </c>
      <c r="J9" s="90">
        <f t="shared" si="0"/>
        <v>30</v>
      </c>
      <c r="K9" s="82">
        <v>50</v>
      </c>
      <c r="L9" s="76">
        <f>(K9/0.3)</f>
        <v>166.66666666666669</v>
      </c>
      <c r="M9" s="76">
        <f>(K9/0.5)</f>
        <v>100</v>
      </c>
    </row>
    <row r="10" spans="2:13">
      <c r="B10" s="87">
        <f>+'[1](kawam)'!F11</f>
        <v>45350</v>
      </c>
      <c r="C10" s="81">
        <f>'1(kurihara)'!C11</f>
        <v>9.6755704761926613E-4</v>
      </c>
      <c r="D10" s="81">
        <f t="shared" si="1"/>
        <v>9.6755704761926617E-2</v>
      </c>
      <c r="E10" s="81">
        <f>'Matsuo-Kawamura KM91-TT '!D10</f>
        <v>0.30099999999999999</v>
      </c>
      <c r="F10" s="81">
        <f t="shared" si="2"/>
        <v>30.099999999999998</v>
      </c>
      <c r="G10" s="88">
        <f>'Matsuo-Kawamura KM91-PT '!F10</f>
        <v>2.4482415476188634E-4</v>
      </c>
      <c r="H10" s="85">
        <f t="shared" si="3"/>
        <v>2.4482415476188634E-2</v>
      </c>
      <c r="I10" s="89">
        <f>'Matsuo-Kawamura KM91-PT '!D10</f>
        <v>0.30099999999999999</v>
      </c>
      <c r="J10" s="90">
        <f t="shared" si="0"/>
        <v>30.099999999999998</v>
      </c>
      <c r="K10" s="82">
        <v>50</v>
      </c>
      <c r="L10" s="76">
        <f>(K10/0.3)</f>
        <v>166.66666666666669</v>
      </c>
      <c r="M10" s="76">
        <f>(K10/0.5)</f>
        <v>100</v>
      </c>
    </row>
    <row r="11" spans="2:13">
      <c r="B11" s="87">
        <f>+'[1](kawam)'!F12</f>
        <v>45351</v>
      </c>
      <c r="C11" s="81">
        <f>'1(kurihara)'!C12</f>
        <v>1.0111406984129304E-3</v>
      </c>
      <c r="D11" s="81">
        <f t="shared" si="1"/>
        <v>0.10111406984129304</v>
      </c>
      <c r="E11" s="81">
        <f>'Matsuo-Kawamura KM91-TT '!D11</f>
        <v>0.30199999999999999</v>
      </c>
      <c r="F11" s="81">
        <f t="shared" si="2"/>
        <v>30.2</v>
      </c>
      <c r="G11" s="88">
        <f>'Matsuo-Kawamura KM91-PT '!F11</f>
        <v>2.5585226984117072E-4</v>
      </c>
      <c r="H11" s="85">
        <f t="shared" si="3"/>
        <v>2.5585226984117072E-2</v>
      </c>
      <c r="I11" s="89">
        <f>'Matsuo-Kawamura KM91-PT '!D11</f>
        <v>0.30199999999999999</v>
      </c>
      <c r="J11" s="90">
        <f t="shared" si="0"/>
        <v>30.2</v>
      </c>
      <c r="K11" s="82">
        <v>50</v>
      </c>
      <c r="L11" s="76">
        <f>(K11/0.3)</f>
        <v>166.66666666666669</v>
      </c>
      <c r="M11" s="76">
        <f>(K11/0.5)</f>
        <v>100</v>
      </c>
    </row>
    <row r="12" spans="2:13">
      <c r="B12" s="87">
        <f>+'[1](kawam)'!F13</f>
        <v>45352</v>
      </c>
      <c r="C12" s="81">
        <f>'1(kurihara)'!C13</f>
        <v>1.098308000000202E-3</v>
      </c>
      <c r="D12" s="81">
        <f t="shared" si="1"/>
        <v>0.1098308000000202</v>
      </c>
      <c r="E12" s="81">
        <f>'Matsuo-Kawamura KM91-TT '!D12</f>
        <v>0.30599999999999999</v>
      </c>
      <c r="F12" s="81">
        <f t="shared" si="2"/>
        <v>30.599999999999998</v>
      </c>
      <c r="G12" s="88">
        <f>'Matsuo-Kawamura KM91-PT '!F12</f>
        <v>2.7790849999990996E-4</v>
      </c>
      <c r="H12" s="85">
        <f t="shared" si="3"/>
        <v>2.7790849999990996E-2</v>
      </c>
      <c r="I12" s="89">
        <f>'Matsuo-Kawamura KM91-PT '!D12</f>
        <v>0.30599999999999999</v>
      </c>
      <c r="J12" s="90">
        <f t="shared" si="0"/>
        <v>30.599999999999998</v>
      </c>
      <c r="K12" s="82"/>
    </row>
    <row r="13" spans="2:13">
      <c r="B13" s="87">
        <f>+'[1](kawam)'!F14</f>
        <v>45353</v>
      </c>
      <c r="C13" s="81">
        <f>'1(kurihara)'!C14</f>
        <v>1.2543128666668507E-3</v>
      </c>
      <c r="D13" s="81">
        <f t="shared" si="1"/>
        <v>0.12543128666668507</v>
      </c>
      <c r="E13" s="81">
        <f>'Matsuo-Kawamura KM91-TT '!D13</f>
        <v>0.31</v>
      </c>
      <c r="F13" s="81">
        <f t="shared" si="2"/>
        <v>31</v>
      </c>
      <c r="G13" s="88">
        <f>'Matsuo-Kawamura KM91-PT '!F13</f>
        <v>3.9261760000005094E-4</v>
      </c>
      <c r="H13" s="85">
        <f t="shared" si="3"/>
        <v>3.9261760000005093E-2</v>
      </c>
      <c r="I13" s="89">
        <f>'Matsuo-Kawamura KM91-PT '!D13</f>
        <v>0.31</v>
      </c>
      <c r="J13" s="90">
        <f t="shared" si="0"/>
        <v>31</v>
      </c>
      <c r="K13" s="82"/>
    </row>
    <row r="14" spans="2:13">
      <c r="B14" s="87">
        <f>+'[1](kawam)'!F15</f>
        <v>45354</v>
      </c>
      <c r="C14" s="81">
        <f>'1(kurihara)'!C15</f>
        <v>1.4147377000003304E-3</v>
      </c>
      <c r="D14" s="81">
        <f t="shared" si="1"/>
        <v>0.14147377000003303</v>
      </c>
      <c r="E14" s="81">
        <f>'Matsuo-Kawamura KM91-TT '!D14</f>
        <v>0.314</v>
      </c>
      <c r="F14" s="81">
        <f t="shared" si="2"/>
        <v>31.4</v>
      </c>
      <c r="G14" s="88">
        <f>'Matsuo-Kawamura KM91-PT '!F14</f>
        <v>5.073267000000783E-4</v>
      </c>
      <c r="H14" s="85">
        <f t="shared" si="3"/>
        <v>5.0732670000007828E-2</v>
      </c>
      <c r="I14" s="89">
        <f>'Matsuo-Kawamura KM91-PT '!D14</f>
        <v>0.314</v>
      </c>
      <c r="J14" s="90">
        <f t="shared" si="0"/>
        <v>31.4</v>
      </c>
      <c r="K14" s="82"/>
    </row>
    <row r="15" spans="2:13">
      <c r="B15" s="87">
        <f>+'[1](kawam)'!F16</f>
        <v>45355</v>
      </c>
      <c r="C15" s="81">
        <f>'1(kurihara)'!C16</f>
        <v>1.5882203000003301E-3</v>
      </c>
      <c r="D15" s="81">
        <f t="shared" si="1"/>
        <v>0.158822030000033</v>
      </c>
      <c r="E15" s="81">
        <f>'Matsuo-Kawamura KM91-TT '!D15</f>
        <v>0.318</v>
      </c>
      <c r="F15" s="81">
        <f t="shared" si="2"/>
        <v>31.8</v>
      </c>
      <c r="G15" s="88">
        <f>'Matsuo-Kawamura KM91-PT '!F15</f>
        <v>6.2203579999999187E-4</v>
      </c>
      <c r="H15" s="85">
        <f t="shared" si="3"/>
        <v>6.220357999999919E-2</v>
      </c>
      <c r="I15" s="89">
        <f>'Matsuo-Kawamura KM91-PT '!D15</f>
        <v>0.318</v>
      </c>
      <c r="J15" s="90">
        <f t="shared" si="0"/>
        <v>31.8</v>
      </c>
      <c r="K15" s="82"/>
    </row>
    <row r="16" spans="2:13">
      <c r="B16" s="87">
        <f>+'[1](kawam)'!F17</f>
        <v>45356</v>
      </c>
      <c r="C16" s="81">
        <f>'1(kurihara)'!C17</f>
        <v>1.7617029000002163E-3</v>
      </c>
      <c r="D16" s="81">
        <f t="shared" si="1"/>
        <v>0.17617029000002163</v>
      </c>
      <c r="E16" s="81">
        <f>'Matsuo-Kawamura KM91-TT '!D16</f>
        <v>0.13700000000000001</v>
      </c>
      <c r="F16" s="81">
        <f t="shared" si="2"/>
        <v>13.700000000000001</v>
      </c>
      <c r="G16" s="88">
        <f>'Matsuo-Kawamura KM91-PT '!F16</f>
        <v>7.367449000000761E-4</v>
      </c>
      <c r="H16" s="85">
        <f t="shared" si="3"/>
        <v>7.3674490000007614E-2</v>
      </c>
      <c r="I16" s="89">
        <f>'Matsuo-Kawamura KM91-PT '!D16</f>
        <v>0.32200000000000001</v>
      </c>
      <c r="J16" s="90">
        <f t="shared" si="0"/>
        <v>32.200000000000003</v>
      </c>
      <c r="K16" s="82"/>
    </row>
    <row r="17" spans="2:11">
      <c r="B17" s="87">
        <f>+'[1](kawam)'!F18</f>
        <v>45357</v>
      </c>
      <c r="C17" s="81">
        <f>'1(kurihara)'!C18</f>
        <v>1.9351855000003298E-3</v>
      </c>
      <c r="D17" s="81">
        <f t="shared" si="1"/>
        <v>0.19351855000003299</v>
      </c>
      <c r="E17" s="81">
        <f>'Matsuo-Kawamura KM91-TT '!D17</f>
        <v>0.14499999999999999</v>
      </c>
      <c r="F17" s="81">
        <f t="shared" si="2"/>
        <v>14.499999999999998</v>
      </c>
      <c r="G17" s="88">
        <f>'Matsuo-Kawamura KM91-PT '!F17</f>
        <v>8.5145400000016021E-4</v>
      </c>
      <c r="H17" s="85">
        <f t="shared" si="3"/>
        <v>8.5145400000016025E-2</v>
      </c>
      <c r="I17" s="89">
        <f>'Matsuo-Kawamura KM91-PT '!D17</f>
        <v>0.32600000000000001</v>
      </c>
      <c r="J17" s="90">
        <f t="shared" si="0"/>
        <v>32.6</v>
      </c>
      <c r="K17" s="82"/>
    </row>
    <row r="18" spans="2:11">
      <c r="B18" s="87">
        <f>+'[1](kawam)'!F19</f>
        <v>45358</v>
      </c>
      <c r="C18" s="81">
        <f>'1(kurihara)'!C19</f>
        <v>2.1086681000002157E-3</v>
      </c>
      <c r="D18" s="81">
        <f t="shared" si="1"/>
        <v>0.21086681000002158</v>
      </c>
      <c r="E18" s="81">
        <f>'Matsuo-Kawamura KM91-TT '!D18</f>
        <v>0.156</v>
      </c>
      <c r="F18" s="81">
        <f t="shared" si="2"/>
        <v>15.6</v>
      </c>
      <c r="G18" s="88">
        <f>'Matsuo-Kawamura KM91-PT '!F18</f>
        <v>9.6616309999984654E-4</v>
      </c>
      <c r="H18" s="85">
        <f t="shared" si="3"/>
        <v>9.6616309999984648E-2</v>
      </c>
      <c r="I18" s="89">
        <f>'Matsuo-Kawamura KM91-PT '!D18</f>
        <v>0.33</v>
      </c>
      <c r="J18" s="90">
        <f t="shared" si="0"/>
        <v>33</v>
      </c>
      <c r="K18" s="82"/>
    </row>
    <row r="19" spans="2:11">
      <c r="B19" s="87">
        <f>+'[1](kawam)'!F20</f>
        <v>45359</v>
      </c>
      <c r="C19" s="81">
        <f>'1(kurihara)'!C20</f>
        <v>2.1086681000002157E-3</v>
      </c>
      <c r="D19" s="81">
        <f t="shared" si="1"/>
        <v>0.21086681000002158</v>
      </c>
      <c r="E19" s="81">
        <f>'Matsuo-Kawamura KM91-TT '!D19</f>
        <v>0.16800000000000001</v>
      </c>
      <c r="F19" s="81">
        <f t="shared" si="2"/>
        <v>16.8</v>
      </c>
      <c r="G19" s="88">
        <f>'Matsuo-Kawamura KM91-PT '!F19</f>
        <v>9.6616309999984654E-4</v>
      </c>
      <c r="H19" s="85">
        <f t="shared" si="3"/>
        <v>9.6616309999984648E-2</v>
      </c>
      <c r="I19" s="89">
        <f>'Matsuo-Kawamura KM91-PT '!D19</f>
        <v>0.33400000000000002</v>
      </c>
      <c r="J19" s="90">
        <f t="shared" si="0"/>
        <v>33.4</v>
      </c>
      <c r="K19" s="82"/>
    </row>
    <row r="20" spans="2:11">
      <c r="B20" s="87">
        <f>+'[1](kawam)'!F21</f>
        <v>45360</v>
      </c>
      <c r="C20" s="81">
        <f>'1(kurihara)'!C21</f>
        <v>2.2917476000002351E-3</v>
      </c>
      <c r="D20" s="81">
        <f t="shared" si="1"/>
        <v>0.22917476000002351</v>
      </c>
      <c r="E20" s="81">
        <f>'Matsuo-Kawamura KM91-TT '!D20</f>
        <v>0.18</v>
      </c>
      <c r="F20" s="81">
        <f t="shared" si="2"/>
        <v>18</v>
      </c>
      <c r="G20" s="88">
        <f>'Matsuo-Kawamura KM91-PT '!F20</f>
        <v>1.0808721999998169E-3</v>
      </c>
      <c r="H20" s="85">
        <f t="shared" si="3"/>
        <v>0.10808721999998169</v>
      </c>
      <c r="I20" s="89">
        <f>'Matsuo-Kawamura KM91-PT '!D20</f>
        <v>0.33700000000000002</v>
      </c>
      <c r="J20" s="90">
        <f t="shared" si="0"/>
        <v>33.700000000000003</v>
      </c>
      <c r="K20" s="82"/>
    </row>
    <row r="21" spans="2:11">
      <c r="B21" s="87">
        <f>+'[1](kawam)'!F22</f>
        <v>45361</v>
      </c>
      <c r="C21" s="81">
        <f>'1(kurihara)'!C22</f>
        <v>2.4756994000002803E-3</v>
      </c>
      <c r="D21" s="81">
        <f t="shared" si="1"/>
        <v>0.24756994000002802</v>
      </c>
      <c r="E21" s="81">
        <f>'Matsuo-Kawamura KM91-TT '!D21</f>
        <v>0.34</v>
      </c>
      <c r="F21" s="81">
        <f t="shared" si="2"/>
        <v>34</v>
      </c>
      <c r="G21" s="88">
        <f>'Matsuo-Kawamura KM91-PT '!F21</f>
        <v>1.1955813000000149E-3</v>
      </c>
      <c r="H21" s="85">
        <f t="shared" si="3"/>
        <v>0.11955813000000148</v>
      </c>
      <c r="I21" s="89">
        <f>'Matsuo-Kawamura KM91-PT '!D21</f>
        <v>0.34</v>
      </c>
      <c r="J21" s="90">
        <f t="shared" si="0"/>
        <v>34</v>
      </c>
      <c r="K21" s="82"/>
    </row>
    <row r="22" spans="2:11">
      <c r="B22" s="87">
        <f>+'[1](kawam)'!F23</f>
        <v>45362</v>
      </c>
      <c r="C22" s="81">
        <f>'1(kurihara)'!C23</f>
        <v>2.6596512000002688E-3</v>
      </c>
      <c r="D22" s="81">
        <f t="shared" si="1"/>
        <v>0.26596512000002687</v>
      </c>
      <c r="E22" s="81">
        <f>'Matsuo-Kawamura KM91-TT '!D22</f>
        <v>0.34300000000000003</v>
      </c>
      <c r="F22" s="81">
        <f t="shared" si="2"/>
        <v>34.300000000000004</v>
      </c>
      <c r="G22" s="88">
        <f>'Matsuo-Kawamura KM91-PT '!F22</f>
        <v>1.3102903999999854E-3</v>
      </c>
      <c r="H22" s="85">
        <f t="shared" si="3"/>
        <v>0.13102903999999854</v>
      </c>
      <c r="I22" s="89">
        <f>'Matsuo-Kawamura KM91-PT '!D22</f>
        <v>0.34300000000000003</v>
      </c>
      <c r="J22" s="90">
        <f t="shared" si="0"/>
        <v>34.300000000000004</v>
      </c>
      <c r="K22" s="82"/>
    </row>
    <row r="23" spans="2:11">
      <c r="B23" s="87">
        <f>+'[1](kawam)'!F24</f>
        <v>45363</v>
      </c>
      <c r="C23" s="81">
        <f>'1(kurihara)'!C24</f>
        <v>2.8436030000002005E-3</v>
      </c>
      <c r="D23" s="81">
        <f t="shared" si="1"/>
        <v>0.28436030000002005</v>
      </c>
      <c r="E23" s="81">
        <f>'Matsuo-Kawamura KM91-TT '!D23</f>
        <v>0.34599999999999997</v>
      </c>
      <c r="F23" s="81">
        <f t="shared" si="2"/>
        <v>34.599999999999994</v>
      </c>
      <c r="G23" s="88">
        <f>'Matsuo-Kawamura KM91-PT '!F23</f>
        <v>1.4249995000000127E-3</v>
      </c>
      <c r="H23" s="85">
        <f t="shared" si="3"/>
        <v>0.14249995000000126</v>
      </c>
      <c r="I23" s="89">
        <f>'Matsuo-Kawamura KM91-PT '!D23</f>
        <v>0.34599999999999997</v>
      </c>
      <c r="J23" s="90">
        <f t="shared" si="0"/>
        <v>34.599999999999994</v>
      </c>
      <c r="K23" s="82"/>
    </row>
    <row r="24" spans="2:11">
      <c r="B24" s="87">
        <f>+'[1](kawam)'!F25</f>
        <v>45364</v>
      </c>
      <c r="C24" s="81">
        <f>'1(kurihara)'!C25</f>
        <v>3.0275548000001889E-3</v>
      </c>
      <c r="D24" s="81">
        <f t="shared" si="1"/>
        <v>0.3027554800000189</v>
      </c>
      <c r="E24" s="81">
        <f>'Matsuo-Kawamura KM91-TT '!D24</f>
        <v>0.34899999999999998</v>
      </c>
      <c r="F24" s="81">
        <f t="shared" si="2"/>
        <v>34.9</v>
      </c>
      <c r="G24" s="88">
        <f>'Matsuo-Kawamura KM91-PT '!F24</f>
        <v>1.5397085999999264E-3</v>
      </c>
      <c r="H24" s="85">
        <f t="shared" si="3"/>
        <v>0.15397085999999263</v>
      </c>
      <c r="I24" s="89">
        <f>'Matsuo-Kawamura KM91-PT '!D24</f>
        <v>0.34899999999999998</v>
      </c>
      <c r="J24" s="90">
        <f t="shared" si="0"/>
        <v>34.9</v>
      </c>
      <c r="K24" s="82"/>
    </row>
    <row r="25" spans="2:11">
      <c r="B25" s="87">
        <f>+'[1](kawam)'!F26</f>
        <v>45365</v>
      </c>
      <c r="C25" s="81">
        <f>'1(kurihara)'!C26</f>
        <v>3.2115066000001774E-3</v>
      </c>
      <c r="D25" s="81">
        <f t="shared" si="1"/>
        <v>0.32115066000001774</v>
      </c>
      <c r="E25" s="81">
        <f>'Matsuo-Kawamura KM91-TT '!D25</f>
        <v>0.35199999999999998</v>
      </c>
      <c r="F25" s="81">
        <f t="shared" si="2"/>
        <v>35.199999999999996</v>
      </c>
      <c r="G25" s="88">
        <f>'Matsuo-Kawamura KM91-PT '!F25</f>
        <v>1.6544177000000673E-3</v>
      </c>
      <c r="H25" s="85">
        <f t="shared" si="3"/>
        <v>0.16544177000000673</v>
      </c>
      <c r="I25" s="89">
        <f>'Matsuo-Kawamura KM91-PT '!D25</f>
        <v>0.35199999999999998</v>
      </c>
      <c r="J25" s="90">
        <f t="shared" si="0"/>
        <v>35.199999999999996</v>
      </c>
      <c r="K25" s="82"/>
    </row>
    <row r="26" spans="2:11">
      <c r="B26" s="87">
        <f>+'[1](kawam)'!F27</f>
        <v>45366</v>
      </c>
      <c r="C26" s="81">
        <f>'1(kurihara)'!C27</f>
        <v>3.4874343000002453E-3</v>
      </c>
      <c r="D26" s="81">
        <f t="shared" si="1"/>
        <v>0.34874343000002456</v>
      </c>
      <c r="E26" s="81">
        <f>'Matsuo-Kawamura KM91-TT '!D26</f>
        <v>0.35499999999999998</v>
      </c>
      <c r="F26" s="81">
        <f t="shared" si="2"/>
        <v>35.5</v>
      </c>
      <c r="G26" s="88">
        <f>'Matsuo-Kawamura KM91-PT '!F26</f>
        <v>1.8264813499999377E-3</v>
      </c>
      <c r="H26" s="85">
        <f t="shared" si="3"/>
        <v>0.18264813499999377</v>
      </c>
      <c r="I26" s="89">
        <f>'Matsuo-Kawamura KM91-PT '!D26</f>
        <v>0.35499999999999998</v>
      </c>
      <c r="J26" s="90">
        <f t="shared" si="0"/>
        <v>35.5</v>
      </c>
      <c r="K26" s="82"/>
    </row>
    <row r="27" spans="2:11">
      <c r="B27" s="87">
        <f>+'[1](kawam)'!F28</f>
        <v>45367</v>
      </c>
      <c r="C27" s="81">
        <f>'1(kurihara)'!C28</f>
        <v>3.7633620000002564E-3</v>
      </c>
      <c r="D27" s="81">
        <f t="shared" si="1"/>
        <v>0.37633620000002566</v>
      </c>
      <c r="E27" s="81">
        <f>'Matsuo-Kawamura KM91-TT '!D27</f>
        <v>0.35799999999999998</v>
      </c>
      <c r="F27" s="81">
        <f t="shared" si="2"/>
        <v>35.799999999999997</v>
      </c>
      <c r="G27" s="88">
        <f>'Matsuo-Kawamura KM91-PT '!F27</f>
        <v>1.9985450000000356E-3</v>
      </c>
      <c r="H27" s="85">
        <f t="shared" si="3"/>
        <v>0.19985450000000354</v>
      </c>
      <c r="I27" s="89">
        <f>'Matsuo-Kawamura KM91-PT '!D27</f>
        <v>0.35799999999999998</v>
      </c>
      <c r="J27" s="90">
        <f t="shared" si="0"/>
        <v>35.799999999999997</v>
      </c>
      <c r="K27" s="82"/>
    </row>
    <row r="28" spans="2:11">
      <c r="B28" s="87">
        <f>+'[1](kawam)'!F29</f>
        <v>45368</v>
      </c>
      <c r="C28" s="81">
        <f>'1(kurihara)'!C29</f>
        <v>3.843868714285918E-3</v>
      </c>
      <c r="D28" s="81">
        <f t="shared" si="1"/>
        <v>0.38438687142859179</v>
      </c>
      <c r="E28" s="81">
        <f>'Matsuo-Kawamura KM91-TT '!D28</f>
        <v>0.36099999999999999</v>
      </c>
      <c r="F28" s="81">
        <f t="shared" si="2"/>
        <v>36.1</v>
      </c>
      <c r="G28" s="88">
        <f>'Matsuo-Kawamura KM91-PT '!F28</f>
        <v>2.1168376428570921E-3</v>
      </c>
      <c r="H28" s="85">
        <f t="shared" si="3"/>
        <v>0.2116837642857092</v>
      </c>
      <c r="I28" s="89">
        <f>'Matsuo-Kawamura KM91-PT '!D28</f>
        <v>0.36099999999999999</v>
      </c>
      <c r="J28" s="90">
        <f t="shared" si="0"/>
        <v>36.1</v>
      </c>
    </row>
    <row r="29" spans="2:11">
      <c r="B29" s="87">
        <f>+'[1](kawam)'!F30</f>
        <v>45369</v>
      </c>
      <c r="C29" s="81">
        <f>'1(kurihara)'!C30</f>
        <v>3.9243754285716364E-3</v>
      </c>
      <c r="D29" s="81">
        <f t="shared" si="1"/>
        <v>0.39243754285716365</v>
      </c>
      <c r="E29" s="81">
        <f>'Matsuo-Kawamura KM91-TT '!D29</f>
        <v>0.36299999999999999</v>
      </c>
      <c r="F29" s="81">
        <f t="shared" si="2"/>
        <v>36.299999999999997</v>
      </c>
      <c r="G29" s="88">
        <f>'Matsuo-Kawamura KM91-PT '!F29</f>
        <v>2.2351302857143763E-3</v>
      </c>
      <c r="H29" s="85">
        <f t="shared" si="3"/>
        <v>0.22351302857143762</v>
      </c>
      <c r="I29" s="89">
        <f>'Matsuo-Kawamura KM91-PT '!D29</f>
        <v>0.36299999999999999</v>
      </c>
      <c r="J29" s="90">
        <f t="shared" si="0"/>
        <v>36.299999999999997</v>
      </c>
    </row>
    <row r="30" spans="2:11">
      <c r="B30" s="87">
        <f>+'[1](kawam)'!F31</f>
        <v>45370</v>
      </c>
      <c r="C30" s="81">
        <f>'1(kurihara)'!C31</f>
        <v>4.0048821428573548E-3</v>
      </c>
      <c r="D30" s="81">
        <f t="shared" si="1"/>
        <v>0.4004882142857355</v>
      </c>
      <c r="E30" s="81">
        <f>'Matsuo-Kawamura KM91-TT '!D30</f>
        <v>0.36499999999999999</v>
      </c>
      <c r="F30" s="81">
        <f t="shared" si="2"/>
        <v>36.5</v>
      </c>
      <c r="G30" s="88">
        <f>'Matsuo-Kawamura KM91-PT '!F30</f>
        <v>2.3534229285713196E-3</v>
      </c>
      <c r="H30" s="85">
        <f t="shared" si="3"/>
        <v>0.23534229285713196</v>
      </c>
      <c r="I30" s="89">
        <f>'Matsuo-Kawamura KM91-PT '!D30</f>
        <v>0.36499999999999999</v>
      </c>
      <c r="J30" s="90">
        <f t="shared" si="0"/>
        <v>36.5</v>
      </c>
    </row>
    <row r="31" spans="2:11">
      <c r="B31" s="87">
        <f>+'[1](kawam)'!F32</f>
        <v>45371</v>
      </c>
      <c r="C31" s="81">
        <f>'1(kurihara)'!C32</f>
        <v>4.0853888571430732E-3</v>
      </c>
      <c r="D31" s="81">
        <f t="shared" si="1"/>
        <v>0.4085388857143073</v>
      </c>
      <c r="E31" s="81">
        <f>'Matsuo-Kawamura KM91-TT '!D31</f>
        <v>0.36699999999999999</v>
      </c>
      <c r="F31" s="81">
        <f t="shared" si="2"/>
        <v>36.700000000000003</v>
      </c>
      <c r="G31" s="88">
        <f>'Matsuo-Kawamura KM91-PT '!F31</f>
        <v>2.4717155714286039E-3</v>
      </c>
      <c r="H31" s="85">
        <f t="shared" si="3"/>
        <v>0.24717155714286038</v>
      </c>
      <c r="I31" s="89">
        <f>'Matsuo-Kawamura KM91-PT '!D31</f>
        <v>0.36699999999999999</v>
      </c>
      <c r="J31" s="90">
        <f t="shared" si="0"/>
        <v>36.700000000000003</v>
      </c>
    </row>
    <row r="32" spans="2:11">
      <c r="B32" s="87">
        <f>+'[1](kawam)'!F33</f>
        <v>45372</v>
      </c>
      <c r="C32" s="81">
        <f>'1(kurihara)'!C33</f>
        <v>4.165895571428848E-3</v>
      </c>
      <c r="D32" s="81">
        <f t="shared" si="1"/>
        <v>0.41658955714288481</v>
      </c>
      <c r="E32" s="81">
        <f>'Matsuo-Kawamura KM91-TT '!D32</f>
        <v>0.36899999999999999</v>
      </c>
      <c r="F32" s="81">
        <f t="shared" si="2"/>
        <v>36.9</v>
      </c>
      <c r="G32" s="88">
        <f>'Matsuo-Kawamura KM91-PT '!F32</f>
        <v>2.5900082142857172E-3</v>
      </c>
      <c r="H32" s="85">
        <f t="shared" si="3"/>
        <v>0.25900082142857173</v>
      </c>
      <c r="I32" s="89">
        <f>'Matsuo-Kawamura KM91-PT '!D32</f>
        <v>0.36899999999999999</v>
      </c>
      <c r="J32" s="90">
        <f t="shared" si="0"/>
        <v>36.9</v>
      </c>
    </row>
    <row r="33" spans="2:10">
      <c r="B33" s="87">
        <f>+'[1](kawam)'!F34</f>
        <v>45373</v>
      </c>
      <c r="C33" s="81">
        <f>'1(kurihara)'!C34</f>
        <v>4.2464022857145664E-3</v>
      </c>
      <c r="D33" s="81">
        <f t="shared" si="1"/>
        <v>0.42464022857145667</v>
      </c>
      <c r="E33" s="81">
        <f>'Matsuo-Kawamura KM91-TT '!D33</f>
        <v>0.371</v>
      </c>
      <c r="F33" s="81">
        <f t="shared" si="2"/>
        <v>37.1</v>
      </c>
      <c r="G33" s="88">
        <f>'Matsuo-Kawamura KM91-PT '!F33</f>
        <v>2.7083008571428878E-3</v>
      </c>
      <c r="H33" s="85">
        <f t="shared" si="3"/>
        <v>0.27083008571428879</v>
      </c>
      <c r="I33" s="89">
        <f>'Matsuo-Kawamura KM91-PT '!D33</f>
        <v>0.371</v>
      </c>
      <c r="J33" s="90">
        <f t="shared" si="0"/>
        <v>37.1</v>
      </c>
    </row>
    <row r="34" spans="2:10">
      <c r="B34" s="87">
        <f>+'[1](kawam)'!F35</f>
        <v>45374</v>
      </c>
      <c r="C34" s="81">
        <f>'1(kurihara)'!C35</f>
        <v>4.3552288809526087E-3</v>
      </c>
      <c r="D34" s="81">
        <f t="shared" si="1"/>
        <v>0.43552288809526085</v>
      </c>
      <c r="E34" s="81">
        <f>'Matsuo-Kawamura KM91-TT '!D34</f>
        <v>0.373</v>
      </c>
      <c r="F34" s="81">
        <f t="shared" si="2"/>
        <v>37.299999999999997</v>
      </c>
      <c r="G34" s="88">
        <f>'Matsuo-Kawamura KM91-PT '!F34</f>
        <v>2.8583170595238129E-3</v>
      </c>
      <c r="H34" s="85">
        <f t="shared" si="3"/>
        <v>0.28583170595238128</v>
      </c>
      <c r="I34" s="89">
        <f>'Matsuo-Kawamura KM91-PT '!D34</f>
        <v>0.373</v>
      </c>
      <c r="J34" s="90">
        <f t="shared" si="0"/>
        <v>37.299999999999997</v>
      </c>
    </row>
    <row r="35" spans="2:10">
      <c r="B35" s="87">
        <f>+'[1](kawam)'!F36</f>
        <v>45375</v>
      </c>
      <c r="C35" s="81">
        <f>'1(kurihara)'!C36</f>
        <v>4.4606168809525571E-3</v>
      </c>
      <c r="D35" s="81">
        <f t="shared" si="1"/>
        <v>0.4460616880952557</v>
      </c>
      <c r="E35" s="81">
        <f>'Matsuo-Kawamura KM91-TT '!D35</f>
        <v>0.375</v>
      </c>
      <c r="F35" s="81">
        <f t="shared" si="2"/>
        <v>37.5</v>
      </c>
      <c r="G35" s="88">
        <f>'Matsuo-Kawamura KM91-PT '!F35</f>
        <v>2.9974606507937552E-3</v>
      </c>
      <c r="H35" s="85">
        <f t="shared" si="3"/>
        <v>0.29974606507937551</v>
      </c>
      <c r="I35" s="89">
        <f>'Matsuo-Kawamura KM91-PT '!D35</f>
        <v>0.375</v>
      </c>
      <c r="J35" s="90">
        <f t="shared" si="0"/>
        <v>37.5</v>
      </c>
    </row>
    <row r="36" spans="2:10">
      <c r="B36" s="87">
        <f>+'[1](kawam)'!F37</f>
        <v>45376</v>
      </c>
      <c r="C36" s="81">
        <f>'1(kurihara)'!C37</f>
        <v>4.5646439047621924E-3</v>
      </c>
      <c r="D36" s="81">
        <f t="shared" si="1"/>
        <v>0.45646439047621923</v>
      </c>
      <c r="E36" s="81">
        <f>'Matsuo-Kawamura KM91-TT '!D36</f>
        <v>0.376</v>
      </c>
      <c r="F36" s="81">
        <f t="shared" si="2"/>
        <v>37.6</v>
      </c>
      <c r="G36" s="88">
        <f>'Matsuo-Kawamura KM91-PT '!F36</f>
        <v>3.1288969206349293E-3</v>
      </c>
      <c r="H36" s="85">
        <f t="shared" si="3"/>
        <v>0.31288969206349293</v>
      </c>
      <c r="I36" s="89">
        <f>'Matsuo-Kawamura KM91-PT '!D36</f>
        <v>0.376</v>
      </c>
      <c r="J36" s="90">
        <f t="shared" si="0"/>
        <v>37.6</v>
      </c>
    </row>
    <row r="37" spans="2:10">
      <c r="B37" s="87">
        <f>+'[1](kawam)'!F38</f>
        <v>45377</v>
      </c>
      <c r="C37" s="81">
        <f>'1(kurihara)'!C38</f>
        <v>4.6686709285716577E-3</v>
      </c>
      <c r="D37" s="81">
        <f t="shared" si="1"/>
        <v>0.46686709285716577</v>
      </c>
      <c r="E37" s="81">
        <f>'Matsuo-Kawamura KM91-TT '!D37</f>
        <v>0.377</v>
      </c>
      <c r="F37" s="81">
        <f t="shared" si="2"/>
        <v>37.700000000000003</v>
      </c>
      <c r="G37" s="88">
        <f>'Matsuo-Kawamura KM91-PT '!F37</f>
        <v>3.2603331904761603E-3</v>
      </c>
      <c r="H37" s="85">
        <f t="shared" si="3"/>
        <v>0.32603331904761601</v>
      </c>
      <c r="I37" s="89">
        <f>'Matsuo-Kawamura KM91-PT '!D37</f>
        <v>0.377</v>
      </c>
      <c r="J37" s="90">
        <f t="shared" si="0"/>
        <v>37.700000000000003</v>
      </c>
    </row>
    <row r="38" spans="2:10">
      <c r="B38" s="87">
        <f>+'[1](kawam)'!F39</f>
        <v>45378</v>
      </c>
      <c r="C38" s="81">
        <f>'1(kurihara)'!C39</f>
        <v>4.7726979523811794E-3</v>
      </c>
      <c r="D38" s="81">
        <f t="shared" si="1"/>
        <v>0.47726979523811791</v>
      </c>
      <c r="E38" s="81">
        <f>'Matsuo-Kawamura KM91-TT '!D38</f>
        <v>0.378</v>
      </c>
      <c r="F38" s="81">
        <f t="shared" si="2"/>
        <v>37.799999999999997</v>
      </c>
      <c r="G38" s="88">
        <f>'Matsuo-Kawamura KM91-PT '!F38</f>
        <v>3.3917694603173912E-3</v>
      </c>
      <c r="H38" s="85">
        <f t="shared" si="3"/>
        <v>0.33917694603173909</v>
      </c>
      <c r="I38" s="89">
        <f>'Matsuo-Kawamura KM91-PT '!D38</f>
        <v>0.378</v>
      </c>
      <c r="J38" s="90">
        <f t="shared" si="0"/>
        <v>37.799999999999997</v>
      </c>
    </row>
    <row r="39" spans="2:10">
      <c r="B39" s="87">
        <f>+'[1](kawam)'!F40</f>
        <v>45379</v>
      </c>
      <c r="C39" s="81">
        <f>'1(kurihara)'!C40</f>
        <v>4.8247114642859402E-3</v>
      </c>
      <c r="D39" s="81">
        <f t="shared" si="1"/>
        <v>0.48247114642859401</v>
      </c>
      <c r="E39" s="81">
        <f>'Matsuo-Kawamura KM91-TT '!D39</f>
        <v>0.379</v>
      </c>
      <c r="F39" s="81">
        <f t="shared" si="2"/>
        <v>37.9</v>
      </c>
      <c r="G39" s="88">
        <f>'Matsuo-Kawamura KM91-PT '!F39</f>
        <v>3.4574875952380355E-3</v>
      </c>
      <c r="H39" s="85">
        <f t="shared" si="3"/>
        <v>0.34574875952380357</v>
      </c>
      <c r="I39" s="89">
        <f>'Matsuo-Kawamura KM91-PT '!D39</f>
        <v>0.379</v>
      </c>
      <c r="J39" s="90">
        <f t="shared" si="0"/>
        <v>37.9</v>
      </c>
    </row>
    <row r="40" spans="2:10">
      <c r="B40" s="87">
        <f>+'[1](kawam)'!F41</f>
        <v>45380</v>
      </c>
      <c r="C40" s="81">
        <f>'1(kurihara)'!C41</f>
        <v>4.8767249761907583E-3</v>
      </c>
      <c r="D40" s="81">
        <f t="shared" si="1"/>
        <v>0.48767249761907583</v>
      </c>
      <c r="E40" s="81">
        <f>'Matsuo-Kawamura KM91-TT '!D40</f>
        <v>0.38</v>
      </c>
      <c r="F40" s="81">
        <f t="shared" si="2"/>
        <v>38</v>
      </c>
      <c r="G40" s="88">
        <f>'Matsuo-Kawamura KM91-PT '!F40</f>
        <v>3.523205730158793E-3</v>
      </c>
      <c r="H40" s="85">
        <f t="shared" si="3"/>
        <v>0.35232057301587932</v>
      </c>
      <c r="I40" s="89">
        <f>'Matsuo-Kawamura KM91-PT '!D40</f>
        <v>0.38</v>
      </c>
      <c r="J40" s="90">
        <f t="shared" si="0"/>
        <v>38</v>
      </c>
    </row>
    <row r="41" spans="2:10">
      <c r="B41" s="87">
        <f>+'[1](kawam)'!F42</f>
        <v>45381</v>
      </c>
      <c r="C41" s="81">
        <f>'1(kurihara)'!C42</f>
        <v>4.9807520000002227E-3</v>
      </c>
      <c r="D41" s="81">
        <f t="shared" si="1"/>
        <v>0.49807520000002226</v>
      </c>
      <c r="E41" s="81">
        <f>'Matsuo-Kawamura KM91-TT '!D41</f>
        <v>0.38100000000000001</v>
      </c>
      <c r="F41" s="81">
        <f t="shared" si="2"/>
        <v>38.1</v>
      </c>
      <c r="G41" s="88">
        <f>'Matsuo-Kawamura KM91-PT '!F41</f>
        <v>3.6546419999999671E-3</v>
      </c>
      <c r="H41" s="85">
        <f t="shared" si="3"/>
        <v>0.36546419999999669</v>
      </c>
      <c r="I41" s="89">
        <f>'Matsuo-Kawamura KM91-PT '!D41</f>
        <v>0.38100000000000001</v>
      </c>
      <c r="J41" s="90">
        <f t="shared" si="0"/>
        <v>38.1</v>
      </c>
    </row>
    <row r="42" spans="2:10">
      <c r="B42" s="87">
        <f>+'[1](kawam)'!F43</f>
        <v>45382</v>
      </c>
      <c r="C42" s="81">
        <f>'1(kurihara)'!C43</f>
        <v>4.9807520000002227E-3</v>
      </c>
      <c r="D42" s="81">
        <f t="shared" si="1"/>
        <v>0.49807520000002226</v>
      </c>
      <c r="E42" s="81">
        <f>'Matsuo-Kawamura KM91-TT '!D42</f>
        <v>0.38200000000000001</v>
      </c>
      <c r="F42" s="81">
        <f t="shared" si="2"/>
        <v>38.200000000000003</v>
      </c>
      <c r="G42" s="88">
        <f>'Matsuo-Kawamura KM91-PT '!F42</f>
        <v>3.6546419999999671E-3</v>
      </c>
      <c r="H42" s="85">
        <f t="shared" si="3"/>
        <v>0.36546419999999669</v>
      </c>
      <c r="I42" s="89">
        <f>'Matsuo-Kawamura KM91-PT '!D42</f>
        <v>0.38200000000000001</v>
      </c>
      <c r="J42" s="90">
        <f t="shared" si="0"/>
        <v>38.200000000000003</v>
      </c>
    </row>
    <row r="43" spans="2:10">
      <c r="B43" s="87">
        <f>+'[1](kawam)'!F44</f>
        <v>45389</v>
      </c>
      <c r="C43" s="81">
        <f>'1(kurihara)'!C44</f>
        <v>4.9807520000002227E-3</v>
      </c>
      <c r="D43" s="81">
        <f t="shared" si="1"/>
        <v>0.49807520000002226</v>
      </c>
      <c r="E43" s="81">
        <f>'Matsuo-Kawamura KM91-TT '!D43</f>
        <v>0.38400000000000001</v>
      </c>
      <c r="F43" s="81">
        <f t="shared" si="2"/>
        <v>38.4</v>
      </c>
      <c r="G43" s="88">
        <f>'Matsuo-Kawamura KM91-PT '!F43</f>
        <v>3.6546419999999671E-3</v>
      </c>
      <c r="H43" s="85">
        <f t="shared" si="3"/>
        <v>0.36546419999999669</v>
      </c>
      <c r="I43" s="89">
        <f>'Matsuo-Kawamura KM91-PT '!D43</f>
        <v>0.38400000000000001</v>
      </c>
      <c r="J43" s="90">
        <f t="shared" si="0"/>
        <v>38.4</v>
      </c>
    </row>
    <row r="44" spans="2:10">
      <c r="B44" s="87">
        <f>+'[1](kawam)'!F45</f>
        <v>45396</v>
      </c>
      <c r="C44" s="81">
        <f>'1(kurihara)'!C45</f>
        <v>5.0298373666666975E-3</v>
      </c>
      <c r="D44" s="81">
        <f t="shared" si="1"/>
        <v>0.50298373666666973</v>
      </c>
      <c r="E44" s="81">
        <f>'Matsuo-Kawamura KM91-TT '!D44</f>
        <v>0.38600000000000001</v>
      </c>
      <c r="F44" s="81">
        <f t="shared" si="2"/>
        <v>38.6</v>
      </c>
      <c r="G44" s="88">
        <f>'Matsuo-Kawamura KM91-PT '!F44</f>
        <v>3.7173519999998917E-3</v>
      </c>
      <c r="H44" s="85">
        <f t="shared" si="3"/>
        <v>0.37173519999998916</v>
      </c>
      <c r="I44" s="89">
        <f>'Matsuo-Kawamura KM91-PT '!D44</f>
        <v>0.38600000000000001</v>
      </c>
      <c r="J44" s="90">
        <f t="shared" si="0"/>
        <v>38.6</v>
      </c>
    </row>
    <row r="45" spans="2:10">
      <c r="B45" s="87">
        <f>+'[1](kawam)'!F46</f>
        <v>45403</v>
      </c>
      <c r="C45" s="81">
        <f>'1(kurihara)'!C46</f>
        <v>5.0789227333336269E-3</v>
      </c>
      <c r="D45" s="81">
        <f t="shared" si="1"/>
        <v>0.50789227333336273</v>
      </c>
      <c r="E45" s="81">
        <f>'Matsuo-Kawamura KM91-TT '!D45</f>
        <v>0.38800000000000001</v>
      </c>
      <c r="F45" s="81">
        <f t="shared" si="2"/>
        <v>38.800000000000004</v>
      </c>
      <c r="G45" s="88">
        <f>'Matsuo-Kawamura KM91-PT '!F45</f>
        <v>3.7800619999999868E-3</v>
      </c>
      <c r="H45" s="85">
        <f t="shared" si="3"/>
        <v>0.37800619999999868</v>
      </c>
      <c r="I45" s="89">
        <f>'Matsuo-Kawamura KM91-PT '!D45</f>
        <v>0.38800000000000001</v>
      </c>
      <c r="J45" s="90">
        <f t="shared" si="0"/>
        <v>38.800000000000004</v>
      </c>
    </row>
    <row r="46" spans="2:10">
      <c r="B46" s="87">
        <f>+'[1](kawam)'!F47</f>
        <v>45410</v>
      </c>
      <c r="C46" s="81">
        <f>'1(kurihara)'!C47</f>
        <v>5.1280081000002154E-3</v>
      </c>
      <c r="D46" s="81">
        <f t="shared" si="1"/>
        <v>0.51280081000002153</v>
      </c>
      <c r="E46" s="81">
        <f>'Matsuo-Kawamura KM91-TT '!D46</f>
        <v>0.39</v>
      </c>
      <c r="F46" s="81">
        <f t="shared" si="2"/>
        <v>39</v>
      </c>
      <c r="G46" s="88">
        <f>'Matsuo-Kawamura KM91-PT '!F46</f>
        <v>3.8427719999999683E-3</v>
      </c>
      <c r="H46" s="85">
        <f t="shared" si="3"/>
        <v>0.38427719999999682</v>
      </c>
      <c r="I46" s="89">
        <f>'Matsuo-Kawamura KM91-PT '!D46</f>
        <v>0.39</v>
      </c>
      <c r="J46" s="90">
        <f t="shared" si="0"/>
        <v>39</v>
      </c>
    </row>
    <row r="47" spans="2:10">
      <c r="B47" s="87">
        <f>+'[1](kawam)'!F48</f>
        <v>45417</v>
      </c>
      <c r="C47" s="81">
        <f>'1(kurihara)'!C48</f>
        <v>5.1770934666669176E-3</v>
      </c>
      <c r="D47" s="81">
        <f t="shared" si="1"/>
        <v>0.51770934666669177</v>
      </c>
      <c r="E47" s="81">
        <f>'Matsuo-Kawamura KM91-TT '!D47</f>
        <v>0.39200000000000002</v>
      </c>
      <c r="F47" s="81">
        <f t="shared" si="2"/>
        <v>39.200000000000003</v>
      </c>
      <c r="G47" s="88">
        <f>'Matsuo-Kawamura KM91-PT '!F47</f>
        <v>3.9054820000000061E-3</v>
      </c>
      <c r="H47" s="85">
        <f t="shared" si="3"/>
        <v>0.39054820000000062</v>
      </c>
      <c r="I47" s="89">
        <f>'Matsuo-Kawamura KM91-PT '!D47</f>
        <v>0.39200000000000002</v>
      </c>
      <c r="J47" s="90">
        <f t="shared" si="0"/>
        <v>39.200000000000003</v>
      </c>
    </row>
    <row r="48" spans="2:10">
      <c r="B48" s="87">
        <f>+'[1](kawam)'!F49</f>
        <v>45424</v>
      </c>
      <c r="C48" s="81">
        <f>'1(kurihara)'!C49</f>
        <v>5.226178833333677E-3</v>
      </c>
      <c r="D48" s="81">
        <f t="shared" si="1"/>
        <v>0.52261788333336767</v>
      </c>
      <c r="E48" s="81">
        <f>'Matsuo-Kawamura KM91-TT '!D48</f>
        <v>0.3929999999999999</v>
      </c>
      <c r="F48" s="81">
        <f t="shared" si="2"/>
        <v>39.29999999999999</v>
      </c>
      <c r="G48" s="88">
        <f>'Matsuo-Kawamura KM91-PT '!F48</f>
        <v>3.9681919999999312E-3</v>
      </c>
      <c r="H48" s="85">
        <f t="shared" si="3"/>
        <v>0.3968191999999931</v>
      </c>
      <c r="I48" s="89">
        <f>'Matsuo-Kawamura KM91-PT '!D48</f>
        <v>0.3929999999999999</v>
      </c>
      <c r="J48" s="90">
        <f t="shared" si="0"/>
        <v>39.29999999999999</v>
      </c>
    </row>
    <row r="49" spans="2:10">
      <c r="B49" s="87">
        <f>+'[1](kawam)'!F50</f>
        <v>45431</v>
      </c>
      <c r="C49" s="81">
        <f>'1(kurihara)'!C50</f>
        <v>5.2858204000003749E-3</v>
      </c>
      <c r="D49" s="81">
        <f t="shared" si="1"/>
        <v>0.5285820400000375</v>
      </c>
      <c r="E49" s="81">
        <f>'Matsuo-Kawamura KM91-TT '!D49</f>
        <v>0.39400000000000002</v>
      </c>
      <c r="F49" s="81">
        <f t="shared" si="2"/>
        <v>39.4</v>
      </c>
      <c r="G49" s="88">
        <f>'Matsuo-Kawamura KM91-PT '!F49</f>
        <v>4.030901999999969E-3</v>
      </c>
      <c r="H49" s="85">
        <f t="shared" si="3"/>
        <v>0.4030901999999969</v>
      </c>
      <c r="I49" s="89">
        <f>'Matsuo-Kawamura KM91-PT '!D49</f>
        <v>0.39400000000000002</v>
      </c>
      <c r="J49" s="90">
        <f t="shared" si="0"/>
        <v>39.4</v>
      </c>
    </row>
    <row r="50" spans="2:10">
      <c r="B50" s="87">
        <f>+'[1](kawam)'!F51</f>
        <v>45438</v>
      </c>
      <c r="C50" s="81">
        <f>'1(kurihara)'!C51</f>
        <v>5.2858204000003749E-3</v>
      </c>
      <c r="D50" s="81">
        <f t="shared" si="1"/>
        <v>0.5285820400000375</v>
      </c>
      <c r="E50" s="81">
        <f>'Matsuo-Kawamura KM91-TT '!D50</f>
        <v>0.39499999999999991</v>
      </c>
      <c r="F50" s="81">
        <f t="shared" si="2"/>
        <v>39.499999999999993</v>
      </c>
      <c r="G50" s="88">
        <f>'Matsuo-Kawamura KM91-PT '!F50</f>
        <v>4.030901999999969E-3</v>
      </c>
      <c r="H50" s="85">
        <f t="shared" si="3"/>
        <v>0.4030901999999969</v>
      </c>
      <c r="I50" s="89">
        <f>'Matsuo-Kawamura KM91-PT '!D50</f>
        <v>0.39499999999999991</v>
      </c>
      <c r="J50" s="90">
        <f t="shared" si="0"/>
        <v>39.499999999999993</v>
      </c>
    </row>
    <row r="51" spans="2:10">
      <c r="B51" s="87"/>
      <c r="C51" s="91"/>
      <c r="D51" s="81"/>
      <c r="E51" s="91"/>
      <c r="F51" s="90"/>
      <c r="G51" s="88"/>
      <c r="H51" s="85"/>
      <c r="I51" s="89"/>
      <c r="J51" s="90"/>
    </row>
    <row r="52" spans="2:10">
      <c r="B52" s="87"/>
      <c r="C52" s="91"/>
      <c r="D52" s="81"/>
      <c r="E52" s="91"/>
      <c r="F52" s="90"/>
      <c r="G52" s="88"/>
      <c r="H52" s="85"/>
      <c r="I52" s="89"/>
      <c r="J52" s="90"/>
    </row>
    <row r="53" spans="2:10">
      <c r="B53" s="87"/>
      <c r="C53" s="91"/>
      <c r="D53" s="81"/>
      <c r="E53" s="91"/>
      <c r="F53" s="90"/>
      <c r="G53" s="88"/>
      <c r="H53" s="85"/>
      <c r="I53" s="89"/>
      <c r="J53" s="90"/>
    </row>
    <row r="54" spans="2:10">
      <c r="B54" s="87"/>
      <c r="C54" s="91"/>
      <c r="D54" s="81"/>
      <c r="E54" s="91"/>
      <c r="F54" s="90"/>
      <c r="G54" s="88"/>
      <c r="H54" s="85"/>
      <c r="I54" s="89"/>
      <c r="J54" s="90"/>
    </row>
    <row r="55" spans="2:10">
      <c r="B55" s="87"/>
      <c r="C55" s="91"/>
      <c r="D55" s="81"/>
      <c r="E55" s="91"/>
      <c r="F55" s="90"/>
      <c r="G55" s="88"/>
      <c r="H55" s="85"/>
      <c r="I55" s="89"/>
      <c r="J55" s="90"/>
    </row>
    <row r="56" spans="2:10">
      <c r="B56" s="87"/>
      <c r="C56" s="91"/>
      <c r="D56" s="81"/>
      <c r="E56" s="91"/>
      <c r="F56" s="90"/>
      <c r="G56" s="88"/>
      <c r="H56" s="85"/>
      <c r="I56" s="89"/>
      <c r="J56" s="90"/>
    </row>
    <row r="57" spans="2:10">
      <c r="B57" s="87"/>
      <c r="C57" s="91"/>
      <c r="D57" s="81"/>
      <c r="E57" s="91"/>
      <c r="F57" s="90"/>
      <c r="G57" s="88"/>
      <c r="H57" s="85"/>
      <c r="I57" s="89"/>
      <c r="J57" s="90"/>
    </row>
    <row r="58" spans="2:10">
      <c r="B58" s="87"/>
      <c r="C58" s="91"/>
      <c r="D58" s="81"/>
      <c r="E58" s="91"/>
      <c r="F58" s="90"/>
      <c r="G58" s="88"/>
      <c r="H58" s="85"/>
      <c r="I58" s="89"/>
      <c r="J58" s="90"/>
    </row>
    <row r="59" spans="2:10">
      <c r="B59" s="87"/>
      <c r="C59" s="91"/>
      <c r="D59" s="81"/>
      <c r="E59" s="91"/>
      <c r="F59" s="90"/>
      <c r="G59" s="88"/>
      <c r="H59" s="85"/>
      <c r="I59" s="89"/>
      <c r="J59" s="90"/>
    </row>
    <row r="60" spans="2:10">
      <c r="B60" s="87"/>
      <c r="C60" s="91"/>
      <c r="D60" s="81"/>
      <c r="E60" s="91"/>
      <c r="F60" s="90"/>
      <c r="G60" s="88"/>
      <c r="H60" s="85"/>
      <c r="I60" s="89"/>
      <c r="J60" s="90"/>
    </row>
    <row r="61" spans="2:10">
      <c r="B61" s="87"/>
      <c r="C61" s="91"/>
      <c r="D61" s="81"/>
      <c r="E61" s="91"/>
      <c r="F61" s="90"/>
      <c r="G61" s="88"/>
      <c r="H61" s="85"/>
      <c r="I61" s="89"/>
      <c r="J61" s="90"/>
    </row>
    <row r="62" spans="2:10">
      <c r="B62" s="87"/>
      <c r="C62" s="91"/>
      <c r="D62" s="81"/>
      <c r="E62" s="91"/>
      <c r="F62" s="90"/>
      <c r="G62" s="88"/>
      <c r="H62" s="85"/>
      <c r="I62" s="89"/>
      <c r="J62" s="90"/>
    </row>
    <row r="63" spans="2:10">
      <c r="B63" s="87"/>
      <c r="C63" s="91"/>
      <c r="D63" s="81"/>
      <c r="E63" s="91"/>
      <c r="F63" s="90"/>
      <c r="G63" s="88"/>
      <c r="H63" s="85"/>
      <c r="I63" s="89"/>
      <c r="J63" s="90"/>
    </row>
    <row r="64" spans="2:10">
      <c r="B64" s="87"/>
      <c r="C64" s="91"/>
      <c r="D64" s="81"/>
      <c r="E64" s="91"/>
      <c r="F64" s="90"/>
      <c r="G64" s="88"/>
      <c r="H64" s="85"/>
      <c r="I64" s="89"/>
      <c r="J64" s="90"/>
    </row>
    <row r="65" spans="2:10">
      <c r="B65" s="87"/>
      <c r="C65" s="91"/>
      <c r="D65" s="81"/>
      <c r="E65" s="91"/>
      <c r="F65" s="90"/>
      <c r="G65" s="88"/>
      <c r="H65" s="85"/>
      <c r="I65" s="89"/>
      <c r="J65" s="90"/>
    </row>
    <row r="66" spans="2:10">
      <c r="B66" s="87"/>
      <c r="C66" s="91"/>
      <c r="D66" s="81"/>
      <c r="E66" s="91"/>
      <c r="F66" s="90"/>
      <c r="G66" s="88"/>
      <c r="H66" s="85"/>
      <c r="I66" s="89"/>
      <c r="J66" s="90"/>
    </row>
    <row r="67" spans="2:10">
      <c r="B67" s="87"/>
      <c r="C67" s="91"/>
      <c r="D67" s="81"/>
      <c r="E67" s="91"/>
      <c r="F67" s="90"/>
      <c r="G67" s="88"/>
      <c r="H67" s="85"/>
      <c r="I67" s="89"/>
      <c r="J67" s="90"/>
    </row>
    <row r="68" spans="2:10">
      <c r="B68" s="87"/>
      <c r="C68" s="91"/>
      <c r="D68" s="81"/>
      <c r="E68" s="91"/>
      <c r="F68" s="90"/>
      <c r="G68" s="88"/>
      <c r="H68" s="85"/>
      <c r="I68" s="89"/>
      <c r="J68" s="90"/>
    </row>
    <row r="69" spans="2:10">
      <c r="B69" s="87"/>
      <c r="C69" s="91"/>
      <c r="D69" s="81"/>
      <c r="E69" s="91"/>
      <c r="F69" s="90"/>
      <c r="G69" s="88"/>
      <c r="H69" s="85"/>
      <c r="I69" s="89"/>
      <c r="J69" s="90"/>
    </row>
    <row r="70" spans="2:10">
      <c r="B70" s="87"/>
      <c r="C70" s="91"/>
      <c r="D70" s="81"/>
      <c r="E70" s="91"/>
      <c r="F70" s="90"/>
      <c r="G70" s="88"/>
      <c r="H70" s="85"/>
      <c r="I70" s="89"/>
      <c r="J70" s="90"/>
    </row>
    <row r="71" spans="2:10">
      <c r="B71" s="87"/>
      <c r="C71" s="91"/>
      <c r="D71" s="81"/>
      <c r="E71" s="91"/>
      <c r="F71" s="90"/>
      <c r="G71" s="88"/>
      <c r="H71" s="85"/>
      <c r="I71" s="89"/>
      <c r="J71" s="90"/>
    </row>
    <row r="72" spans="2:10">
      <c r="B72" s="87"/>
      <c r="C72" s="91"/>
      <c r="D72" s="81"/>
      <c r="E72" s="91"/>
      <c r="F72" s="90"/>
      <c r="G72" s="88"/>
      <c r="H72" s="85"/>
      <c r="I72" s="89"/>
      <c r="J72" s="90"/>
    </row>
    <row r="73" spans="2:10">
      <c r="B73" s="87"/>
      <c r="C73" s="91"/>
      <c r="D73" s="81"/>
      <c r="E73" s="91"/>
      <c r="F73" s="90"/>
      <c r="G73" s="88"/>
      <c r="H73" s="85"/>
      <c r="I73" s="89"/>
      <c r="J73" s="90"/>
    </row>
    <row r="74" spans="2:10">
      <c r="B74" s="87"/>
      <c r="C74" s="91"/>
      <c r="D74" s="81"/>
      <c r="E74" s="91"/>
      <c r="F74" s="90"/>
      <c r="G74" s="88"/>
      <c r="H74" s="85"/>
      <c r="I74" s="89"/>
      <c r="J74" s="90"/>
    </row>
    <row r="75" spans="2:10">
      <c r="B75" s="87"/>
      <c r="C75" s="91"/>
      <c r="D75" s="81"/>
      <c r="E75" s="91"/>
      <c r="F75" s="90"/>
      <c r="G75" s="88"/>
      <c r="H75" s="85"/>
      <c r="I75" s="89"/>
      <c r="J75" s="90"/>
    </row>
    <row r="76" spans="2:10">
      <c r="B76" s="87"/>
      <c r="C76" s="91"/>
      <c r="D76" s="81"/>
      <c r="E76" s="91"/>
      <c r="F76" s="90"/>
      <c r="G76" s="88"/>
      <c r="H76" s="85"/>
      <c r="I76" s="89"/>
      <c r="J76" s="90"/>
    </row>
    <row r="77" spans="2:10">
      <c r="B77" s="87"/>
      <c r="C77" s="91"/>
      <c r="D77" s="81"/>
      <c r="E77" s="91"/>
      <c r="F77" s="90"/>
      <c r="G77" s="88"/>
      <c r="H77" s="85"/>
      <c r="I77" s="89"/>
      <c r="J77" s="90"/>
    </row>
    <row r="78" spans="2:10">
      <c r="B78" s="87"/>
      <c r="C78" s="91"/>
      <c r="D78" s="81"/>
      <c r="E78" s="91"/>
      <c r="F78" s="90"/>
      <c r="G78" s="88"/>
      <c r="H78" s="85"/>
      <c r="I78" s="89"/>
      <c r="J78" s="90"/>
    </row>
    <row r="79" spans="2:10">
      <c r="B79" s="87"/>
      <c r="C79" s="91"/>
      <c r="D79" s="81"/>
      <c r="E79" s="91"/>
      <c r="F79" s="90"/>
      <c r="G79" s="88"/>
      <c r="H79" s="85"/>
      <c r="I79" s="89"/>
      <c r="J79" s="90"/>
    </row>
    <row r="80" spans="2:10">
      <c r="B80" s="87"/>
      <c r="C80" s="91"/>
      <c r="D80" s="81"/>
      <c r="E80" s="91"/>
      <c r="F80" s="90"/>
      <c r="G80" s="88"/>
      <c r="H80" s="85"/>
      <c r="I80" s="89"/>
      <c r="J80" s="90"/>
    </row>
    <row r="81" spans="2:10">
      <c r="B81" s="87"/>
      <c r="C81" s="91"/>
      <c r="D81" s="81"/>
      <c r="E81" s="91"/>
      <c r="F81" s="90"/>
      <c r="G81" s="88"/>
      <c r="H81" s="85"/>
      <c r="I81" s="89"/>
      <c r="J81" s="90"/>
    </row>
    <row r="82" spans="2:10">
      <c r="B82" s="87"/>
      <c r="C82" s="91"/>
      <c r="D82" s="81"/>
      <c r="E82" s="91"/>
      <c r="F82" s="90"/>
      <c r="G82" s="88"/>
      <c r="H82" s="85"/>
      <c r="I82" s="89"/>
      <c r="J82" s="90"/>
    </row>
    <row r="83" spans="2:10">
      <c r="B83" s="87"/>
      <c r="C83" s="91"/>
      <c r="D83" s="81"/>
      <c r="E83" s="91"/>
      <c r="F83" s="90"/>
      <c r="G83" s="88"/>
      <c r="H83" s="85"/>
      <c r="I83" s="89"/>
      <c r="J83" s="90"/>
    </row>
    <row r="84" spans="2:10">
      <c r="B84" s="87"/>
      <c r="C84" s="91"/>
      <c r="D84" s="81"/>
      <c r="E84" s="91"/>
      <c r="F84" s="90"/>
      <c r="G84" s="88"/>
      <c r="H84" s="85"/>
      <c r="I84" s="89"/>
      <c r="J84" s="90"/>
    </row>
    <row r="85" spans="2:10">
      <c r="B85" s="87"/>
      <c r="C85" s="91"/>
      <c r="D85" s="81"/>
      <c r="E85" s="91"/>
      <c r="F85" s="90"/>
      <c r="G85" s="88"/>
      <c r="H85" s="85"/>
      <c r="I85" s="89"/>
      <c r="J85" s="90"/>
    </row>
    <row r="86" spans="2:10">
      <c r="B86" s="87"/>
      <c r="C86" s="91"/>
      <c r="D86" s="81"/>
      <c r="E86" s="91"/>
      <c r="F86" s="90"/>
      <c r="G86" s="88"/>
      <c r="H86" s="85"/>
      <c r="I86" s="89"/>
      <c r="J86" s="90"/>
    </row>
    <row r="87" spans="2:10">
      <c r="B87" s="87"/>
      <c r="C87" s="91"/>
      <c r="D87" s="81"/>
      <c r="E87" s="91"/>
      <c r="F87" s="90"/>
      <c r="G87" s="88"/>
      <c r="H87" s="85"/>
      <c r="I87" s="89"/>
      <c r="J87" s="90"/>
    </row>
    <row r="88" spans="2:10">
      <c r="B88" s="87"/>
      <c r="C88" s="91"/>
      <c r="D88" s="81"/>
      <c r="E88" s="91"/>
      <c r="F88" s="90"/>
      <c r="G88" s="88"/>
      <c r="H88" s="85"/>
      <c r="I88" s="89"/>
      <c r="J88" s="90"/>
    </row>
    <row r="89" spans="2:10">
      <c r="B89" s="87"/>
      <c r="C89" s="91"/>
      <c r="D89" s="81"/>
      <c r="E89" s="91"/>
      <c r="F89" s="90"/>
      <c r="G89" s="88"/>
      <c r="H89" s="85"/>
      <c r="I89" s="89"/>
      <c r="J89" s="90"/>
    </row>
    <row r="90" spans="2:10">
      <c r="B90" s="87"/>
      <c r="C90" s="91"/>
      <c r="D90" s="81"/>
      <c r="E90" s="91"/>
      <c r="F90" s="90"/>
      <c r="G90" s="88"/>
      <c r="H90" s="85"/>
      <c r="I90" s="89"/>
      <c r="J90" s="90"/>
    </row>
    <row r="91" spans="2:10">
      <c r="B91" s="87"/>
      <c r="C91" s="91"/>
      <c r="D91" s="81"/>
      <c r="E91" s="91"/>
      <c r="F91" s="90"/>
      <c r="G91" s="88"/>
      <c r="H91" s="85"/>
      <c r="I91" s="89"/>
      <c r="J91" s="90"/>
    </row>
    <row r="92" spans="2:10">
      <c r="B92" s="87"/>
      <c r="C92" s="91"/>
      <c r="D92" s="81"/>
      <c r="E92" s="91"/>
      <c r="F92" s="90"/>
      <c r="G92" s="88"/>
      <c r="H92" s="85"/>
      <c r="I92" s="89"/>
      <c r="J92" s="90"/>
    </row>
    <row r="93" spans="2:10">
      <c r="B93" s="87"/>
      <c r="C93" s="91"/>
      <c r="D93" s="81"/>
      <c r="E93" s="91"/>
      <c r="F93" s="90"/>
      <c r="G93" s="88"/>
      <c r="H93" s="85"/>
      <c r="I93" s="89"/>
      <c r="J93" s="90"/>
    </row>
    <row r="94" spans="2:10">
      <c r="B94" s="87"/>
      <c r="C94" s="91"/>
      <c r="D94" s="81"/>
      <c r="E94" s="91"/>
      <c r="F94" s="90"/>
      <c r="G94" s="88"/>
      <c r="H94" s="85"/>
      <c r="I94" s="89"/>
      <c r="J94" s="90"/>
    </row>
    <row r="95" spans="2:10">
      <c r="B95" s="87"/>
      <c r="C95" s="91"/>
      <c r="D95" s="81"/>
      <c r="E95" s="91"/>
      <c r="F95" s="90"/>
      <c r="G95" s="88"/>
      <c r="H95" s="85"/>
      <c r="I95" s="89"/>
      <c r="J95" s="90"/>
    </row>
    <row r="96" spans="2:10">
      <c r="B96" s="87"/>
      <c r="C96" s="91"/>
      <c r="D96" s="81"/>
      <c r="E96" s="91"/>
      <c r="F96" s="90"/>
      <c r="G96" s="88"/>
      <c r="H96" s="85"/>
      <c r="I96" s="89"/>
      <c r="J96" s="90"/>
    </row>
    <row r="97" spans="2:10">
      <c r="B97" s="87"/>
      <c r="C97" s="91"/>
      <c r="D97" s="81"/>
      <c r="E97" s="91"/>
      <c r="F97" s="90"/>
      <c r="G97" s="88"/>
      <c r="H97" s="85"/>
      <c r="I97" s="89"/>
      <c r="J97" s="90"/>
    </row>
    <row r="98" spans="2:10">
      <c r="B98" s="87"/>
      <c r="C98" s="91"/>
      <c r="D98" s="81"/>
      <c r="E98" s="91"/>
      <c r="F98" s="90"/>
      <c r="G98" s="88"/>
      <c r="H98" s="85"/>
      <c r="I98" s="89"/>
      <c r="J98" s="90"/>
    </row>
    <row r="99" spans="2:10">
      <c r="B99" s="87"/>
      <c r="C99" s="91"/>
      <c r="D99" s="81"/>
      <c r="E99" s="91"/>
      <c r="F99" s="90"/>
      <c r="G99" s="88"/>
      <c r="H99" s="85"/>
      <c r="I99" s="89"/>
      <c r="J99" s="90"/>
    </row>
    <row r="100" spans="2:10">
      <c r="B100" s="87"/>
      <c r="C100" s="91"/>
      <c r="D100" s="81"/>
      <c r="E100" s="91"/>
      <c r="F100" s="90"/>
      <c r="G100" s="88"/>
      <c r="H100" s="85"/>
      <c r="I100" s="89"/>
      <c r="J100" s="90"/>
    </row>
    <row r="101" spans="2:10">
      <c r="B101" s="87"/>
      <c r="C101" s="91"/>
      <c r="D101" s="81"/>
      <c r="E101" s="91"/>
      <c r="F101" s="90"/>
      <c r="G101" s="88"/>
      <c r="H101" s="85"/>
      <c r="I101" s="89"/>
      <c r="J101" s="90"/>
    </row>
    <row r="102" spans="2:10">
      <c r="B102" s="87"/>
      <c r="C102" s="91"/>
      <c r="D102" s="81"/>
      <c r="E102" s="91"/>
      <c r="F102" s="90"/>
      <c r="G102" s="88"/>
      <c r="H102" s="85"/>
      <c r="I102" s="89"/>
      <c r="J102" s="90"/>
    </row>
    <row r="103" spans="2:10">
      <c r="B103" s="87"/>
      <c r="C103" s="91"/>
      <c r="D103" s="81"/>
      <c r="E103" s="91"/>
      <c r="F103" s="90"/>
      <c r="G103" s="88"/>
      <c r="H103" s="85"/>
      <c r="I103" s="89"/>
      <c r="J103" s="90"/>
    </row>
    <row r="104" spans="2:10">
      <c r="B104" s="87"/>
      <c r="C104" s="91"/>
      <c r="D104" s="81"/>
      <c r="E104" s="91"/>
      <c r="F104" s="90"/>
      <c r="G104" s="88"/>
      <c r="H104" s="85"/>
      <c r="I104" s="89"/>
      <c r="J104" s="90"/>
    </row>
    <row r="105" spans="2:10">
      <c r="B105" s="87"/>
      <c r="C105" s="91"/>
      <c r="D105" s="81"/>
      <c r="E105" s="91"/>
      <c r="F105" s="90"/>
      <c r="G105" s="88"/>
      <c r="H105" s="85"/>
      <c r="I105" s="89"/>
      <c r="J105" s="90"/>
    </row>
    <row r="106" spans="2:10">
      <c r="B106" s="87"/>
      <c r="C106" s="91"/>
      <c r="D106" s="81"/>
      <c r="E106" s="91"/>
      <c r="F106" s="90"/>
      <c r="G106" s="88"/>
      <c r="H106" s="85"/>
      <c r="I106" s="89"/>
      <c r="J106" s="90"/>
    </row>
    <row r="107" spans="2:10">
      <c r="B107" s="87"/>
      <c r="C107" s="91"/>
      <c r="D107" s="81"/>
      <c r="E107" s="91"/>
      <c r="F107" s="90"/>
      <c r="G107" s="88"/>
      <c r="H107" s="85"/>
      <c r="I107" s="89"/>
      <c r="J107" s="90"/>
    </row>
    <row r="108" spans="2:10">
      <c r="B108" s="87"/>
      <c r="C108" s="91"/>
      <c r="D108" s="81"/>
      <c r="E108" s="91"/>
      <c r="F108" s="90"/>
      <c r="G108" s="88"/>
      <c r="H108" s="85"/>
      <c r="I108" s="89"/>
      <c r="J108" s="90"/>
    </row>
    <row r="109" spans="2:10">
      <c r="B109" s="87"/>
      <c r="C109" s="91"/>
      <c r="D109" s="81"/>
      <c r="E109" s="91"/>
      <c r="F109" s="90"/>
      <c r="G109" s="88"/>
      <c r="H109" s="85"/>
      <c r="I109" s="89"/>
      <c r="J109" s="90"/>
    </row>
    <row r="110" spans="2:10">
      <c r="B110" s="87"/>
      <c r="C110" s="91"/>
      <c r="D110" s="81"/>
      <c r="E110" s="91"/>
      <c r="F110" s="90"/>
      <c r="G110" s="88"/>
      <c r="H110" s="85"/>
      <c r="I110" s="89"/>
      <c r="J110" s="90"/>
    </row>
    <row r="111" spans="2:10">
      <c r="B111" s="87"/>
      <c r="C111" s="91"/>
      <c r="D111" s="81"/>
      <c r="E111" s="91"/>
      <c r="F111" s="90"/>
      <c r="G111" s="88"/>
      <c r="H111" s="85"/>
      <c r="I111" s="89"/>
      <c r="J111" s="90"/>
    </row>
    <row r="112" spans="2:10">
      <c r="B112" s="87"/>
      <c r="C112" s="91"/>
      <c r="D112" s="81"/>
      <c r="E112" s="91"/>
      <c r="F112" s="90"/>
      <c r="G112" s="88"/>
      <c r="H112" s="85"/>
      <c r="I112" s="89"/>
      <c r="J112" s="90"/>
    </row>
    <row r="113" spans="2:10">
      <c r="B113" s="87"/>
      <c r="C113" s="91"/>
      <c r="D113" s="81"/>
      <c r="E113" s="91"/>
      <c r="F113" s="90"/>
      <c r="G113" s="88"/>
      <c r="H113" s="85"/>
      <c r="I113" s="89"/>
      <c r="J113" s="90"/>
    </row>
    <row r="114" spans="2:10">
      <c r="B114" s="87"/>
      <c r="C114" s="91"/>
      <c r="D114" s="81"/>
      <c r="E114" s="91"/>
      <c r="F114" s="90"/>
      <c r="G114" s="88"/>
      <c r="H114" s="85"/>
      <c r="I114" s="89"/>
      <c r="J114" s="90"/>
    </row>
    <row r="115" spans="2:10">
      <c r="B115" s="87"/>
      <c r="C115" s="91"/>
      <c r="D115" s="81"/>
      <c r="E115" s="91"/>
      <c r="F115" s="90"/>
      <c r="G115" s="88"/>
      <c r="H115" s="85"/>
      <c r="I115" s="89"/>
      <c r="J115" s="90"/>
    </row>
    <row r="116" spans="2:10">
      <c r="B116" s="87"/>
      <c r="C116" s="91"/>
      <c r="D116" s="81"/>
      <c r="E116" s="91"/>
      <c r="F116" s="90"/>
      <c r="G116" s="88"/>
      <c r="H116" s="85"/>
      <c r="I116" s="89"/>
      <c r="J116" s="90"/>
    </row>
    <row r="117" spans="2:10">
      <c r="B117" s="87"/>
      <c r="C117" s="91"/>
      <c r="D117" s="81"/>
      <c r="E117" s="91"/>
      <c r="F117" s="90"/>
      <c r="G117" s="88"/>
      <c r="H117" s="85"/>
      <c r="I117" s="89"/>
      <c r="J117" s="90"/>
    </row>
    <row r="118" spans="2:10">
      <c r="B118" s="87"/>
      <c r="C118" s="91"/>
      <c r="D118" s="81"/>
      <c r="E118" s="91"/>
      <c r="F118" s="90"/>
      <c r="G118" s="88"/>
      <c r="H118" s="85"/>
      <c r="I118" s="89"/>
      <c r="J118" s="90"/>
    </row>
    <row r="119" spans="2:10">
      <c r="B119" s="87"/>
      <c r="C119" s="91"/>
      <c r="D119" s="81"/>
      <c r="E119" s="91"/>
      <c r="F119" s="90"/>
      <c r="G119" s="88"/>
      <c r="H119" s="85"/>
      <c r="I119" s="89"/>
      <c r="J119" s="90"/>
    </row>
    <row r="120" spans="2:10">
      <c r="B120" s="87"/>
      <c r="C120" s="91"/>
      <c r="D120" s="81"/>
      <c r="E120" s="91"/>
      <c r="F120" s="90"/>
      <c r="G120" s="88"/>
      <c r="H120" s="85"/>
      <c r="I120" s="89"/>
      <c r="J120" s="90"/>
    </row>
    <row r="121" spans="2:10">
      <c r="B121" s="87"/>
      <c r="C121" s="91"/>
      <c r="D121" s="81"/>
      <c r="E121" s="91"/>
      <c r="F121" s="90"/>
      <c r="G121" s="88"/>
      <c r="H121" s="85"/>
      <c r="I121" s="89"/>
      <c r="J121" s="90"/>
    </row>
    <row r="122" spans="2:10">
      <c r="B122" s="87"/>
      <c r="C122" s="91"/>
      <c r="D122" s="81"/>
      <c r="E122" s="91"/>
      <c r="F122" s="90"/>
      <c r="G122" s="88"/>
      <c r="H122" s="85"/>
      <c r="I122" s="89"/>
      <c r="J122" s="90"/>
    </row>
    <row r="123" spans="2:10">
      <c r="B123" s="87"/>
      <c r="C123" s="91"/>
      <c r="D123" s="81"/>
      <c r="E123" s="91"/>
      <c r="F123" s="90"/>
      <c r="G123" s="88"/>
      <c r="H123" s="85"/>
      <c r="I123" s="89"/>
      <c r="J123" s="90"/>
    </row>
  </sheetData>
  <mergeCells count="3">
    <mergeCell ref="B2:B3"/>
    <mergeCell ref="C2:F2"/>
    <mergeCell ref="G2:J2"/>
  </mergeCells>
  <pageMargins left="0.75" right="0.75" top="1" bottom="1" header="0.5" footer="0.5"/>
  <pageSetup paperSize="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3D09-6896-4B70-9E9E-18236C1A05C9}">
  <dimension ref="C5:Z76"/>
  <sheetViews>
    <sheetView zoomScale="90" zoomScaleNormal="90" workbookViewId="0">
      <selection activeCell="T28" sqref="T28"/>
    </sheetView>
  </sheetViews>
  <sheetFormatPr defaultRowHeight="13.5"/>
  <cols>
    <col min="1" max="16384" width="9.140625" style="62"/>
  </cols>
  <sheetData>
    <row r="5" spans="10:24">
      <c r="J5" s="74"/>
      <c r="K5" s="74"/>
      <c r="W5" s="65"/>
      <c r="X5" s="65"/>
    </row>
    <row r="6" spans="10:24">
      <c r="J6" s="74"/>
      <c r="K6" s="74"/>
      <c r="T6" s="74"/>
      <c r="U6" s="74"/>
      <c r="W6" s="65"/>
      <c r="X6" s="65"/>
    </row>
    <row r="7" spans="10:24">
      <c r="J7" s="74"/>
      <c r="K7" s="74"/>
      <c r="T7" s="74"/>
      <c r="U7" s="74"/>
      <c r="W7" s="65"/>
      <c r="X7" s="65"/>
    </row>
    <row r="8" spans="10:24">
      <c r="J8" s="74"/>
      <c r="K8" s="74"/>
      <c r="T8" s="74"/>
      <c r="U8" s="74"/>
      <c r="W8" s="65"/>
      <c r="X8" s="65"/>
    </row>
    <row r="9" spans="10:24">
      <c r="T9" s="74"/>
      <c r="U9" s="74"/>
    </row>
    <row r="26" spans="3:26">
      <c r="C26" s="66">
        <f>'2(hashimoto)  '!B4</f>
        <v>45344</v>
      </c>
      <c r="D26" s="62">
        <f>('2(hashimoto)  '!D5-'2(hashimoto)  '!D4)/-('2(hashimoto)  '!F5-'2(hashimoto)  '!F4)</f>
        <v>-0.28412625595251079</v>
      </c>
      <c r="E26" s="62" t="e">
        <f>('2(hashimoto)  '!H4-'2(hashimoto)  '!#REF!)/-('2(hashimoto)  '!J5-'2(hashimoto)  '!J4)</f>
        <v>#REF!</v>
      </c>
      <c r="F26" s="62" t="e">
        <f>('2(hashimoto)  '!#REF!-'2(hashimoto)  '!#REF!)/-('2(hashimoto)  '!#REF!-'2(hashimoto)  '!#REF!)</f>
        <v>#REF!</v>
      </c>
      <c r="G26" s="62" t="e">
        <f>('2(hashimoto)  '!#REF!-'2(hashimoto)  '!#REF!)/-('2(hashimoto)  '!#REF!-'2(hashimoto)  '!#REF!)</f>
        <v>#REF!</v>
      </c>
    </row>
    <row r="27" spans="3:26">
      <c r="C27" s="66">
        <f>'2(hashimoto)  '!B5</f>
        <v>45345</v>
      </c>
      <c r="D27" s="62">
        <f>('2(hashimoto)  '!D6-'2(hashimoto)  '!D5)/-('2(hashimoto)  '!F6-'2(hashimoto)  '!F5)</f>
        <v>-4.7109490079350433E-2</v>
      </c>
      <c r="E27" s="62">
        <f>('2(hashimoto)  '!H6-'2(hashimoto)  '!H4)/-('2(hashimoto)  '!J6-'2(hashimoto)  '!J5)</f>
        <v>-8.3813674603220839E-2</v>
      </c>
      <c r="F27" s="62" t="e">
        <f>('2(hashimoto)  '!#REF!-'2(hashimoto)  '!#REF!)/-('2(hashimoto)  '!#REF!-'2(hashimoto)  '!#REF!)</f>
        <v>#REF!</v>
      </c>
      <c r="G27" s="62" t="e">
        <f>('2(hashimoto)  '!#REF!-'2(hashimoto)  '!#REF!)/-('2(hashimoto)  '!#REF!-'2(hashimoto)  '!#REF!)</f>
        <v>#REF!</v>
      </c>
    </row>
    <row r="28" spans="3:26">
      <c r="C28" s="66">
        <f>'2(hashimoto)  '!B6</f>
        <v>45346</v>
      </c>
      <c r="D28" s="62">
        <f>('2(hashimoto)  '!D7-'2(hashimoto)  '!D6)/-('2(hashimoto)  '!F7-'2(hashimoto)  '!F6)</f>
        <v>-4.3583650793664414E-2</v>
      </c>
      <c r="E28" s="62">
        <f>('2(hashimoto)  '!H7-'2(hashimoto)  '!H6)/-('2(hashimoto)  '!J7-'2(hashimoto)  '!J6)</f>
        <v>-1.1028115079284398E-2</v>
      </c>
      <c r="F28" s="62" t="e">
        <f>('2(hashimoto)  '!#REF!-'2(hashimoto)  '!#REF!)/-('2(hashimoto)  '!#REF!-'2(hashimoto)  '!#REF!)</f>
        <v>#REF!</v>
      </c>
      <c r="G28" s="62" t="e">
        <f>('2(hashimoto)  '!#REF!-'2(hashimoto)  '!#REF!)/-('2(hashimoto)  '!#REF!-'2(hashimoto)  '!#REF!)</f>
        <v>#REF!</v>
      </c>
      <c r="J28" s="74"/>
      <c r="K28" s="74"/>
    </row>
    <row r="29" spans="3:26">
      <c r="C29" s="66">
        <f>'2(hashimoto)  '!B7</f>
        <v>45347</v>
      </c>
      <c r="D29" s="62">
        <f>('2(hashimoto)  '!D8-'2(hashimoto)  '!D7)/-('2(hashimoto)  '!F8-'2(hashimoto)  '!F7)</f>
        <v>-4.3583650793664344E-2</v>
      </c>
      <c r="E29" s="62">
        <f>('2(hashimoto)  '!H8-'2(hashimoto)  '!H7)/-('2(hashimoto)  '!J8-'2(hashimoto)  '!J7)</f>
        <v>-1.1028115079341245E-2</v>
      </c>
      <c r="F29" s="62" t="e">
        <f>('2(hashimoto)  '!#REF!-'2(hashimoto)  '!#REF!)/-('2(hashimoto)  '!#REF!-'2(hashimoto)  '!#REF!)</f>
        <v>#REF!</v>
      </c>
      <c r="G29" s="62" t="e">
        <f>('2(hashimoto)  '!#REF!-'2(hashimoto)  '!#REF!)/-('2(hashimoto)  '!#REF!-'2(hashimoto)  '!#REF!)</f>
        <v>#REF!</v>
      </c>
      <c r="J29" s="74"/>
      <c r="K29" s="74"/>
      <c r="U29" s="63"/>
      <c r="V29" s="63"/>
    </row>
    <row r="30" spans="3:26">
      <c r="C30" s="66">
        <f>'2(hashimoto)  '!B8</f>
        <v>45348</v>
      </c>
      <c r="D30" s="62">
        <f>('2(hashimoto)  '!D9-'2(hashimoto)  '!D8)/-('2(hashimoto)  '!F9-'2(hashimoto)  '!F8)</f>
        <v>-4.3583650793635194E-2</v>
      </c>
      <c r="E30" s="62">
        <f>('2(hashimoto)  '!H9-'2(hashimoto)  '!H8)/-('2(hashimoto)  '!J9-'2(hashimoto)  '!J8)</f>
        <v>-1.1028115079369464E-2</v>
      </c>
      <c r="F30" s="62" t="e">
        <f>('2(hashimoto)  '!#REF!-'2(hashimoto)  '!#REF!)/-('2(hashimoto)  '!#REF!-'2(hashimoto)  '!#REF!)</f>
        <v>#REF!</v>
      </c>
      <c r="G30" s="62" t="e">
        <f>('2(hashimoto)  '!#REF!-'2(hashimoto)  '!#REF!)/-('2(hashimoto)  '!#REF!-'2(hashimoto)  '!#REF!)</f>
        <v>#REF!</v>
      </c>
      <c r="J30" s="74"/>
      <c r="K30" s="74"/>
      <c r="U30" s="63"/>
      <c r="V30" s="63"/>
    </row>
    <row r="31" spans="3:26">
      <c r="C31" s="66">
        <f>'2(hashimoto)  '!B9</f>
        <v>45349</v>
      </c>
      <c r="D31" s="62">
        <f>('2(hashimoto)  '!D10-'2(hashimoto)  '!D9)/-('2(hashimoto)  '!F10-'2(hashimoto)  '!F9)</f>
        <v>-4.3583650793608361E-2</v>
      </c>
      <c r="E31" s="62">
        <f>('2(hashimoto)  '!H10-'2(hashimoto)  '!H9)/-('2(hashimoto)  '!J10-'2(hashimoto)  '!J9)</f>
        <v>-1.1028115079455135E-2</v>
      </c>
      <c r="J31" s="74"/>
      <c r="K31" s="74"/>
      <c r="U31" s="63"/>
      <c r="V31" s="63"/>
      <c r="Y31" s="65"/>
      <c r="Z31" s="65"/>
    </row>
    <row r="32" spans="3:26">
      <c r="C32" s="66">
        <f>'2(hashimoto)  '!B10</f>
        <v>45350</v>
      </c>
      <c r="D32" s="62">
        <f>('2(hashimoto)  '!D11-'2(hashimoto)  '!D10)/-('2(hashimoto)  '!F11-'2(hashimoto)  '!F10)</f>
        <v>-4.3583650793663574E-2</v>
      </c>
      <c r="E32" s="62">
        <f>('2(hashimoto)  '!H11-'2(hashimoto)  '!H10)/-('2(hashimoto)  '!J11-'2(hashimoto)  '!J10)</f>
        <v>-1.102811507928422E-2</v>
      </c>
      <c r="U32" s="63"/>
      <c r="V32" s="63"/>
      <c r="Y32" s="65"/>
      <c r="Z32" s="65"/>
    </row>
    <row r="33" spans="3:26">
      <c r="C33" s="66">
        <f>'2(hashimoto)  '!B11</f>
        <v>45351</v>
      </c>
      <c r="D33" s="62">
        <f>('2(hashimoto)  '!D12-'2(hashimoto)  '!D11)/-('2(hashimoto)  '!F12-'2(hashimoto)  '!F11)</f>
        <v>-2.1791825396817982E-2</v>
      </c>
      <c r="E33" s="62">
        <f>('2(hashimoto)  '!H12-'2(hashimoto)  '!H11)/-('2(hashimoto)  '!J12-'2(hashimoto)  '!J11)</f>
        <v>-5.51405753968483E-3</v>
      </c>
      <c r="P33" s="75"/>
      <c r="Q33" s="75"/>
      <c r="Y33" s="65"/>
      <c r="Z33" s="65"/>
    </row>
    <row r="34" spans="3:26">
      <c r="C34" s="66">
        <f>'2(hashimoto)  '!B12</f>
        <v>45352</v>
      </c>
      <c r="D34" s="62">
        <f>('2(hashimoto)  '!D13-'2(hashimoto)  '!D12)/-('2(hashimoto)  '!F13-'2(hashimoto)  '!F12)</f>
        <v>-3.9001216666661974E-2</v>
      </c>
      <c r="E34" s="62">
        <f>('2(hashimoto)  '!H13-'2(hashimoto)  '!H12)/-('2(hashimoto)  '!J13-'2(hashimoto)  '!J12)</f>
        <v>-2.8677275000035089E-2</v>
      </c>
      <c r="P34" s="75"/>
      <c r="Q34" s="75"/>
      <c r="Y34" s="65"/>
      <c r="Z34" s="65"/>
    </row>
    <row r="35" spans="3:26">
      <c r="C35" s="66">
        <f>'2(hashimoto)  '!B13</f>
        <v>45353</v>
      </c>
      <c r="D35" s="62">
        <f>('2(hashimoto)  '!D14-'2(hashimoto)  '!D13)/-('2(hashimoto)  '!F14-'2(hashimoto)  '!F13)</f>
        <v>-4.0106208333370037E-2</v>
      </c>
      <c r="E35" s="62">
        <f>('2(hashimoto)  '!H14-'2(hashimoto)  '!H13)/-('2(hashimoto)  '!J14-'2(hashimoto)  '!J13)</f>
        <v>-2.8677275000006937E-2</v>
      </c>
      <c r="P35" s="75"/>
      <c r="Q35" s="75"/>
    </row>
    <row r="36" spans="3:26">
      <c r="C36" s="66">
        <f>'2(hashimoto)  '!B14</f>
        <v>45354</v>
      </c>
      <c r="D36" s="62">
        <f>('2(hashimoto)  '!D15-'2(hashimoto)  '!D14)/-('2(hashimoto)  '!F15-'2(hashimoto)  '!F14)</f>
        <v>-4.3370649999999712E-2</v>
      </c>
      <c r="E36" s="62">
        <f>('2(hashimoto)  '!H15-'2(hashimoto)  '!H14)/-('2(hashimoto)  '!J15-'2(hashimoto)  '!J14)</f>
        <v>-2.8677274999978252E-2</v>
      </c>
      <c r="P36" s="75"/>
      <c r="Q36" s="75"/>
    </row>
    <row r="37" spans="3:26">
      <c r="C37" s="66">
        <f>'2(hashimoto)  '!B15</f>
        <v>45355</v>
      </c>
      <c r="D37" s="62" t="e">
        <f>('2(hashimoto)  '!#REF!-'2(hashimoto)  '!D15)/-('2(hashimoto)  '!#REF!-'2(hashimoto)  '!F15)</f>
        <v>#REF!</v>
      </c>
      <c r="E37" s="62" t="e">
        <f>('2(hashimoto)  '!#REF!-'2(hashimoto)  '!H15)/-('2(hashimoto)  '!#REF!-'2(hashimoto)  '!J15)</f>
        <v>#REF!</v>
      </c>
    </row>
    <row r="38" spans="3:26">
      <c r="C38" s="66"/>
    </row>
    <row r="39" spans="3:26">
      <c r="C39" s="66"/>
    </row>
    <row r="40" spans="3:26">
      <c r="C40" s="66"/>
    </row>
    <row r="41" spans="3:26">
      <c r="C41" s="66"/>
    </row>
    <row r="42" spans="3:26">
      <c r="C42" s="66"/>
    </row>
    <row r="43" spans="3:26">
      <c r="C43" s="66"/>
    </row>
    <row r="44" spans="3:26">
      <c r="C44" s="66"/>
    </row>
    <row r="45" spans="3:26">
      <c r="C45" s="66"/>
    </row>
    <row r="46" spans="3:26">
      <c r="C46" s="66"/>
    </row>
    <row r="47" spans="3:26">
      <c r="C47" s="66"/>
    </row>
    <row r="48" spans="3:26">
      <c r="C48" s="66"/>
    </row>
    <row r="49" spans="3:3">
      <c r="C49" s="66"/>
    </row>
    <row r="50" spans="3:3">
      <c r="C50" s="66"/>
    </row>
    <row r="51" spans="3:3">
      <c r="C51" s="66"/>
    </row>
    <row r="52" spans="3:3">
      <c r="C52" s="66"/>
    </row>
    <row r="53" spans="3:3">
      <c r="C53" s="66"/>
    </row>
    <row r="54" spans="3:3">
      <c r="C54" s="66"/>
    </row>
    <row r="55" spans="3:3">
      <c r="C55" s="66"/>
    </row>
    <row r="56" spans="3:3">
      <c r="C56" s="66"/>
    </row>
    <row r="57" spans="3:3">
      <c r="C57" s="66"/>
    </row>
    <row r="58" spans="3:3">
      <c r="C58" s="66"/>
    </row>
    <row r="59" spans="3:3">
      <c r="C59" s="66"/>
    </row>
    <row r="60" spans="3:3">
      <c r="C60" s="66"/>
    </row>
    <row r="61" spans="3:3">
      <c r="C61" s="66"/>
    </row>
    <row r="62" spans="3:3">
      <c r="C62" s="66"/>
    </row>
    <row r="63" spans="3:3">
      <c r="C63" s="66"/>
    </row>
    <row r="64" spans="3:3">
      <c r="C64" s="66"/>
    </row>
    <row r="65" spans="3:3">
      <c r="C65" s="66"/>
    </row>
    <row r="66" spans="3:3">
      <c r="C66" s="66"/>
    </row>
    <row r="67" spans="3:3">
      <c r="C67" s="66"/>
    </row>
    <row r="68" spans="3:3">
      <c r="C68" s="66"/>
    </row>
    <row r="69" spans="3:3">
      <c r="C69" s="66"/>
    </row>
    <row r="70" spans="3:3">
      <c r="C70" s="66"/>
    </row>
    <row r="71" spans="3:3">
      <c r="C71" s="66"/>
    </row>
    <row r="72" spans="3:3">
      <c r="C72" s="66"/>
    </row>
    <row r="73" spans="3:3">
      <c r="C73" s="66"/>
    </row>
    <row r="74" spans="3:3">
      <c r="C74" s="66"/>
    </row>
    <row r="75" spans="3:3">
      <c r="C75" s="66"/>
    </row>
    <row r="76" spans="3:3">
      <c r="C76" s="66"/>
    </row>
  </sheetData>
  <sheetProtection scenarios="1"/>
  <mergeCells count="4">
    <mergeCell ref="J5:K8"/>
    <mergeCell ref="T6:U9"/>
    <mergeCell ref="J28:K31"/>
    <mergeCell ref="P33:Q36"/>
  </mergeCell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Matsuo-Kawamura KM91-TT </vt:lpstr>
      <vt:lpstr>Matsuo-Kawamura KM91-PT </vt:lpstr>
      <vt:lpstr>pp</vt:lpstr>
      <vt:lpstr>1(kurihara)</vt:lpstr>
      <vt:lpstr>data-1(kurihara)</vt:lpstr>
      <vt:lpstr>2(hashimoto)  </vt:lpstr>
      <vt:lpstr>data-2(hashimot)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baosi</dc:creator>
  <cp:lastModifiedBy>tan tan</cp:lastModifiedBy>
  <cp:lastPrinted>2023-12-06T00:03:57Z</cp:lastPrinted>
  <dcterms:created xsi:type="dcterms:W3CDTF">2013-04-23T17:45:02Z</dcterms:created>
  <dcterms:modified xsi:type="dcterms:W3CDTF">2025-07-11T01:59:36Z</dcterms:modified>
</cp:coreProperties>
</file>