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 Project\bketech\Quan Trac Lun\Dữ Liệu\"/>
    </mc:Choice>
  </mc:AlternateContent>
  <xr:revisionPtr revIDLastSave="0" documentId="13_ncr:1_{B63995C4-B6B3-4B65-8A35-D58F0AF74E2D}" xr6:coauthVersionLast="47" xr6:coauthVersionMax="47" xr10:uidLastSave="{00000000-0000-0000-0000-000000000000}"/>
  <bookViews>
    <workbookView xWindow="28680" yWindow="-120" windowWidth="29040" windowHeight="15720" xr2:uid="{5D735CF1-2DC9-45FA-9622-FFAB009A4240}"/>
  </bookViews>
  <sheets>
    <sheet name="124+900 " sheetId="6" r:id="rId1"/>
    <sheet name="BC.124+900 " sheetId="7" r:id="rId2"/>
    <sheet name="SL.124+900 " sheetId="8" r:id="rId3"/>
    <sheet name="IN 124+900" sheetId="5" r:id="rId4"/>
    <sheet name="Sheet1" sheetId="1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localSheetId="3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localSheetId="3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localSheetId="3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localSheetId="3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localSheetId="3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localSheetId="3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localSheetId="3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localSheetId="3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localSheetId="3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localSheetId="3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localSheetId="3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localSheetId="3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localSheetId="3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localSheetId="3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localSheetId="3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localSheetId="3" hidden="1">{"'Sheet1'!$L$16"}</definedName>
    <definedName name="___________________________________________________________________tu4" hidden="1">{"'Sheet1'!$L$16"}</definedName>
    <definedName name="_________________________________________________________________tu4" localSheetId="3" hidden="1">{"'Sheet1'!$L$16"}</definedName>
    <definedName name="_________________________________________________________________tu4" hidden="1">{"'Sheet1'!$L$16"}</definedName>
    <definedName name="_______________________________________________________________tu4" localSheetId="3" hidden="1">{"'Sheet1'!$L$16"}</definedName>
    <definedName name="_______________________________________________________________tu4" hidden="1">{"'Sheet1'!$L$16"}</definedName>
    <definedName name="_____________________________________________________________tu4" localSheetId="3" hidden="1">{"'Sheet1'!$L$16"}</definedName>
    <definedName name="_____________________________________________________________tu4" hidden="1">{"'Sheet1'!$L$16"}</definedName>
    <definedName name="___________________________________________________________tu4" localSheetId="3" hidden="1">{"'Sheet1'!$L$16"}</definedName>
    <definedName name="___________________________________________________________tu4" hidden="1">{"'Sheet1'!$L$16"}</definedName>
    <definedName name="_________________________________________________________tu4" localSheetId="3" hidden="1">{"'Sheet1'!$L$16"}</definedName>
    <definedName name="_________________________________________________________tu4" hidden="1">{"'Sheet1'!$L$16"}</definedName>
    <definedName name="_______________________________________________________tu4" localSheetId="3" hidden="1">{"'Sheet1'!$L$16"}</definedName>
    <definedName name="_______________________________________________________tu4" hidden="1">{"'Sheet1'!$L$16"}</definedName>
    <definedName name="_____________________________________________________tu4" localSheetId="3" hidden="1">{"'Sheet1'!$L$16"}</definedName>
    <definedName name="_____________________________________________________tu4" hidden="1">{"'Sheet1'!$L$16"}</definedName>
    <definedName name="___________________________________________________tu4" localSheetId="3" hidden="1">{"'Sheet1'!$L$16"}</definedName>
    <definedName name="___________________________________________________tu4" hidden="1">{"'Sheet1'!$L$16"}</definedName>
    <definedName name="_________________________________________________tu4" localSheetId="3" hidden="1">{"'Sheet1'!$L$16"}</definedName>
    <definedName name="_________________________________________________tu4" hidden="1">{"'Sheet1'!$L$16"}</definedName>
    <definedName name="_______________________________________________tu4" localSheetId="3" hidden="1">{"'Sheet1'!$L$16"}</definedName>
    <definedName name="_______________________________________________tu4" hidden="1">{"'Sheet1'!$L$16"}</definedName>
    <definedName name="_____________________________________________tu4" localSheetId="3" hidden="1">{"'Sheet1'!$L$16"}</definedName>
    <definedName name="_____________________________________________tu4" hidden="1">{"'Sheet1'!$L$16"}</definedName>
    <definedName name="___________________________________________tu4" localSheetId="3" hidden="1">{"'Sheet1'!$L$16"}</definedName>
    <definedName name="___________________________________________tu4" hidden="1">{"'Sheet1'!$L$16"}</definedName>
    <definedName name="_________________________________________tu4" localSheetId="3" hidden="1">{"'Sheet1'!$L$16"}</definedName>
    <definedName name="_________________________________________tu4" hidden="1">{"'Sheet1'!$L$16"}</definedName>
    <definedName name="_______________________________________tu4" localSheetId="3" hidden="1">{"'Sheet1'!$L$16"}</definedName>
    <definedName name="_______________________________________tu4" hidden="1">{"'Sheet1'!$L$16"}</definedName>
    <definedName name="_____________________________________tu4" localSheetId="3" hidden="1">{"'Sheet1'!$L$16"}</definedName>
    <definedName name="_____________________________________tu4" hidden="1">{"'Sheet1'!$L$16"}</definedName>
    <definedName name="___________________________________tu4" localSheetId="3" hidden="1">{"'Sheet1'!$L$16"}</definedName>
    <definedName name="___________________________________tu4" hidden="1">{"'Sheet1'!$L$16"}</definedName>
    <definedName name="__________________________________tu4" localSheetId="3" hidden="1">{"'Sheet1'!$L$16"}</definedName>
    <definedName name="__________________________________tu4" hidden="1">{"'Sheet1'!$L$16"}</definedName>
    <definedName name="_________________________________tu4" localSheetId="3" hidden="1">{"'Sheet1'!$L$16"}</definedName>
    <definedName name="_________________________________tu4" hidden="1">{"'Sheet1'!$L$16"}</definedName>
    <definedName name="_______________________________tu4" localSheetId="3" hidden="1">{"'Sheet1'!$L$16"}</definedName>
    <definedName name="_______________________________tu4" hidden="1">{"'Sheet1'!$L$16"}</definedName>
    <definedName name="_____________________________tu4" localSheetId="3" hidden="1">{"'Sheet1'!$L$16"}</definedName>
    <definedName name="_____________________________tu4" hidden="1">{"'Sheet1'!$L$16"}</definedName>
    <definedName name="___________________________tu4" localSheetId="3" hidden="1">{"'Sheet1'!$L$16"}</definedName>
    <definedName name="___________________________tu4" hidden="1">{"'Sheet1'!$L$16"}</definedName>
    <definedName name="_________________________tu4" localSheetId="3" hidden="1">{"'Sheet1'!$L$16"}</definedName>
    <definedName name="_________________________tu4" hidden="1">{"'Sheet1'!$L$16"}</definedName>
    <definedName name="________________________tu" localSheetId="3" hidden="1">{"'Sheet1'!$L$16"}</definedName>
    <definedName name="________________________tu" hidden="1">{"'Sheet1'!$L$16"}</definedName>
    <definedName name="_______________________tu4" localSheetId="3" hidden="1">{"'Sheet1'!$L$16"}</definedName>
    <definedName name="_______________________tu4" hidden="1">{"'Sheet1'!$L$16"}</definedName>
    <definedName name="______________________a1" localSheetId="3" hidden="1">{"'Sheet1'!$L$16"}</definedName>
    <definedName name="______________________a1" hidden="1">{"'Sheet1'!$L$16"}</definedName>
    <definedName name="_____________________a1" localSheetId="3" hidden="1">{"'Sheet1'!$L$16"}</definedName>
    <definedName name="_____________________a1" hidden="1">{"'Sheet1'!$L$16"}</definedName>
    <definedName name="_____________________CN1" localSheetId="3" hidden="1">{"'Sheet1'!$L$16"}</definedName>
    <definedName name="_____________________CN1" hidden="1">{"'Sheet1'!$L$16"}</definedName>
    <definedName name="_____________________tt3" localSheetId="3" hidden="1">{"'Sheet1'!$L$16"}</definedName>
    <definedName name="_____________________tt3" hidden="1">{"'Sheet1'!$L$16"}</definedName>
    <definedName name="_____________________tu4" localSheetId="3" hidden="1">{"'Sheet1'!$L$16"}</definedName>
    <definedName name="_____________________tu4" hidden="1">{"'Sheet1'!$L$16"}</definedName>
    <definedName name="____________________a1" localSheetId="3" hidden="1">{"'Sheet1'!$L$16"}</definedName>
    <definedName name="____________________a1" hidden="1">{"'Sheet1'!$L$16"}</definedName>
    <definedName name="____________________BG12" localSheetId="3" hidden="1">{"'Sheet1'!$L$16"}</definedName>
    <definedName name="____________________BG12" hidden="1">{"'Sheet1'!$L$16"}</definedName>
    <definedName name="____________________CN1" localSheetId="3" hidden="1">{"'Sheet1'!$L$16"}</definedName>
    <definedName name="____________________CN1" hidden="1">{"'Sheet1'!$L$16"}</definedName>
    <definedName name="____________________Goi8" localSheetId="3" hidden="1">{"'Sheet1'!$L$16"}</definedName>
    <definedName name="____________________Goi8" hidden="1">{"'Sheet1'!$L$16"}</definedName>
    <definedName name="____________________SCL4" localSheetId="3" hidden="1">{"'Sheet1'!$L$16"}</definedName>
    <definedName name="____________________SCL4" hidden="1">{"'Sheet1'!$L$16"}</definedName>
    <definedName name="____________________tt3" localSheetId="3" hidden="1">{"'Sheet1'!$L$16"}</definedName>
    <definedName name="____________________tt3" hidden="1">{"'Sheet1'!$L$16"}</definedName>
    <definedName name="___________________a1" localSheetId="3" hidden="1">{"'Sheet1'!$L$16"}</definedName>
    <definedName name="___________________a1" hidden="1">{"'Sheet1'!$L$16"}</definedName>
    <definedName name="___________________BG12" localSheetId="3" hidden="1">{"'Sheet1'!$L$16"}</definedName>
    <definedName name="___________________BG12" hidden="1">{"'Sheet1'!$L$16"}</definedName>
    <definedName name="___________________cep1" localSheetId="3" hidden="1">{"'Sheet1'!$L$16"}</definedName>
    <definedName name="___________________cep1" hidden="1">{"'Sheet1'!$L$16"}</definedName>
    <definedName name="___________________CN1" localSheetId="3" hidden="1">{"'Sheet1'!$L$16"}</definedName>
    <definedName name="___________________CN1" hidden="1">{"'Sheet1'!$L$16"}</definedName>
    <definedName name="___________________Goi8" localSheetId="3" hidden="1">{"'Sheet1'!$L$16"}</definedName>
    <definedName name="___________________Goi8" hidden="1">{"'Sheet1'!$L$16"}</definedName>
    <definedName name="___________________Lan1" localSheetId="3" hidden="1">{"'Sheet1'!$L$16"}</definedName>
    <definedName name="___________________Lan1" hidden="1">{"'Sheet1'!$L$16"}</definedName>
    <definedName name="___________________LAN3" localSheetId="3" hidden="1">{"'Sheet1'!$L$16"}</definedName>
    <definedName name="___________________LAN3" hidden="1">{"'Sheet1'!$L$16"}</definedName>
    <definedName name="___________________PA3" localSheetId="3" hidden="1">{"'Sheet1'!$L$16"}</definedName>
    <definedName name="___________________PA3" hidden="1">{"'Sheet1'!$L$16"}</definedName>
    <definedName name="___________________SCL4" localSheetId="3" hidden="1">{"'Sheet1'!$L$16"}</definedName>
    <definedName name="___________________SCL4" hidden="1">{"'Sheet1'!$L$16"}</definedName>
    <definedName name="___________________tt3" localSheetId="3" hidden="1">{"'Sheet1'!$L$16"}</definedName>
    <definedName name="___________________tt3" hidden="1">{"'Sheet1'!$L$16"}</definedName>
    <definedName name="___________________tu4" localSheetId="3" hidden="1">{"'Sheet1'!$L$16"}</definedName>
    <definedName name="___________________tu4" hidden="1">{"'Sheet1'!$L$16"}</definedName>
    <definedName name="__________________a1" localSheetId="3" hidden="1">{"'Sheet1'!$L$16"}</definedName>
    <definedName name="__________________a1" hidden="1">{"'Sheet1'!$L$16"}</definedName>
    <definedName name="__________________BG12" localSheetId="3" hidden="1">{"'Sheet1'!$L$16"}</definedName>
    <definedName name="__________________BG12" hidden="1">{"'Sheet1'!$L$16"}</definedName>
    <definedName name="__________________cep1" localSheetId="3" hidden="1">{"'Sheet1'!$L$16"}</definedName>
    <definedName name="__________________cep1" hidden="1">{"'Sheet1'!$L$16"}</definedName>
    <definedName name="__________________Goi8" localSheetId="3" hidden="1">{"'Sheet1'!$L$16"}</definedName>
    <definedName name="__________________Goi8" hidden="1">{"'Sheet1'!$L$16"}</definedName>
    <definedName name="__________________h1" localSheetId="3" hidden="1">{"'Sheet1'!$L$16"}</definedName>
    <definedName name="__________________h1" hidden="1">{"'Sheet1'!$L$16"}</definedName>
    <definedName name="__________________hu1" localSheetId="3" hidden="1">{"'Sheet1'!$L$16"}</definedName>
    <definedName name="__________________hu1" hidden="1">{"'Sheet1'!$L$16"}</definedName>
    <definedName name="__________________hu2" localSheetId="3" hidden="1">{"'Sheet1'!$L$16"}</definedName>
    <definedName name="__________________hu2" hidden="1">{"'Sheet1'!$L$16"}</definedName>
    <definedName name="__________________hu5" localSheetId="3" hidden="1">{"'Sheet1'!$L$16"}</definedName>
    <definedName name="__________________hu5" hidden="1">{"'Sheet1'!$L$16"}</definedName>
    <definedName name="__________________hu6" localSheetId="3" hidden="1">{"'Sheet1'!$L$16"}</definedName>
    <definedName name="__________________hu6" hidden="1">{"'Sheet1'!$L$16"}</definedName>
    <definedName name="__________________Lan1" localSheetId="3" hidden="1">{"'Sheet1'!$L$16"}</definedName>
    <definedName name="__________________Lan1" hidden="1">{"'Sheet1'!$L$16"}</definedName>
    <definedName name="__________________LAN3" localSheetId="3" hidden="1">{"'Sheet1'!$L$16"}</definedName>
    <definedName name="__________________LAN3" hidden="1">{"'Sheet1'!$L$16"}</definedName>
    <definedName name="__________________MN2" localSheetId="3" hidden="1">{"'Sheet1'!$L$16"}</definedName>
    <definedName name="__________________MN2" hidden="1">{"'Sheet1'!$L$16"}</definedName>
    <definedName name="__________________PA3" localSheetId="3" hidden="1">{"'Sheet1'!$L$16"}</definedName>
    <definedName name="__________________PA3" hidden="1">{"'Sheet1'!$L$16"}</definedName>
    <definedName name="__________________SCL4" localSheetId="3" hidden="1">{"'Sheet1'!$L$16"}</definedName>
    <definedName name="__________________SCL4" hidden="1">{"'Sheet1'!$L$16"}</definedName>
    <definedName name="__________________tb2" localSheetId="3" hidden="1">{"'Sheet1'!$L$16"}</definedName>
    <definedName name="__________________tb2" hidden="1">{"'Sheet1'!$L$16"}</definedName>
    <definedName name="__________________tt3" localSheetId="3" hidden="1">{"'Sheet1'!$L$16"}</definedName>
    <definedName name="__________________tt3" hidden="1">{"'Sheet1'!$L$16"}</definedName>
    <definedName name="__________________tu4" localSheetId="3" hidden="1">{"'Sheet1'!$L$16"}</definedName>
    <definedName name="__________________tu4" hidden="1">{"'Sheet1'!$L$16"}</definedName>
    <definedName name="_________________a1" localSheetId="3" hidden="1">{"'Sheet1'!$L$16"}</definedName>
    <definedName name="_________________a1" hidden="1">{"'Sheet1'!$L$16"}</definedName>
    <definedName name="____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localSheetId="3" hidden="1">{"'Sheet1'!$L$16"}</definedName>
    <definedName name="_________________a2" hidden="1">{"'Sheet1'!$L$16"}</definedName>
    <definedName name="_________________cep1" localSheetId="3" hidden="1">{"'Sheet1'!$L$16"}</definedName>
    <definedName name="_________________cep1" hidden="1">{"'Sheet1'!$L$16"}</definedName>
    <definedName name="_________________CN1" localSheetId="3" hidden="1">{"'Sheet1'!$L$16"}</definedName>
    <definedName name="_________________CN1" hidden="1">{"'Sheet1'!$L$16"}</definedName>
    <definedName name="_________________Goi8" localSheetId="3" hidden="1">{"'Sheet1'!$L$16"}</definedName>
    <definedName name="_________________Goi8" hidden="1">{"'Sheet1'!$L$16"}</definedName>
    <definedName name="_________________h1" localSheetId="3" hidden="1">{"'Sheet1'!$L$16"}</definedName>
    <definedName name="_________________h1" hidden="1">{"'Sheet1'!$L$16"}</definedName>
    <definedName name="_________________hu1" localSheetId="3" hidden="1">{"'Sheet1'!$L$16"}</definedName>
    <definedName name="_________________hu1" hidden="1">{"'Sheet1'!$L$16"}</definedName>
    <definedName name="_________________hu2" localSheetId="3" hidden="1">{"'Sheet1'!$L$16"}</definedName>
    <definedName name="_________________hu2" hidden="1">{"'Sheet1'!$L$16"}</definedName>
    <definedName name="_________________hu5" localSheetId="3" hidden="1">{"'Sheet1'!$L$16"}</definedName>
    <definedName name="_________________hu5" hidden="1">{"'Sheet1'!$L$16"}</definedName>
    <definedName name="_________________hu6" localSheetId="3" hidden="1">{"'Sheet1'!$L$16"}</definedName>
    <definedName name="_________________hu6" hidden="1">{"'Sheet1'!$L$16"}</definedName>
    <definedName name="_________________Lan1" localSheetId="3" hidden="1">{"'Sheet1'!$L$16"}</definedName>
    <definedName name="_________________Lan1" hidden="1">{"'Sheet1'!$L$16"}</definedName>
    <definedName name="_________________LAN3" localSheetId="3" hidden="1">{"'Sheet1'!$L$16"}</definedName>
    <definedName name="_________________LAN3" hidden="1">{"'Sheet1'!$L$16"}</definedName>
    <definedName name="_________________MN2" localSheetId="3" hidden="1">{"'Sheet1'!$L$16"}</definedName>
    <definedName name="_________________MN2" hidden="1">{"'Sheet1'!$L$16"}</definedName>
    <definedName name="_________________PA3" localSheetId="3" hidden="1">{"'Sheet1'!$L$16"}</definedName>
    <definedName name="_________________PA3" hidden="1">{"'Sheet1'!$L$16"}</definedName>
    <definedName name="_________________SCL4" localSheetId="3" hidden="1">{"'Sheet1'!$L$16"}</definedName>
    <definedName name="_________________SCL4" hidden="1">{"'Sheet1'!$L$16"}</definedName>
    <definedName name="_________________tb2" localSheetId="3" hidden="1">{"'Sheet1'!$L$16"}</definedName>
    <definedName name="_________________tb2" hidden="1">{"'Sheet1'!$L$16"}</definedName>
    <definedName name="_________________tt3" localSheetId="3" hidden="1">{"'Sheet1'!$L$16"}</definedName>
    <definedName name="_________________tt3" hidden="1">{"'Sheet1'!$L$16"}</definedName>
    <definedName name="________________a1" localSheetId="3" hidden="1">{"'Sheet1'!$L$16"}</definedName>
    <definedName name="________________a1" hidden="1">{"'Sheet1'!$L$16"}</definedName>
    <definedName name="___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localSheetId="3" hidden="1">{"'Sheet1'!$L$16"}</definedName>
    <definedName name="________________a2" hidden="1">{"'Sheet1'!$L$16"}</definedName>
    <definedName name="________________BG12" localSheetId="3" hidden="1">{"'Sheet1'!$L$16"}</definedName>
    <definedName name="________________BG12" hidden="1">{"'Sheet1'!$L$16"}</definedName>
    <definedName name="________________cep1" localSheetId="3" hidden="1">{"'Sheet1'!$L$16"}</definedName>
    <definedName name="________________cep1" hidden="1">{"'Sheet1'!$L$16"}</definedName>
    <definedName name="________________CN1" localSheetId="3" hidden="1">{"'Sheet1'!$L$16"}</definedName>
    <definedName name="________________CN1" hidden="1">{"'Sheet1'!$L$16"}</definedName>
    <definedName name="________________Goi8" localSheetId="3" hidden="1">{"'Sheet1'!$L$16"}</definedName>
    <definedName name="________________Goi8" hidden="1">{"'Sheet1'!$L$16"}</definedName>
    <definedName name="________________h1" localSheetId="3" hidden="1">{"'Sheet1'!$L$16"}</definedName>
    <definedName name="________________h1" hidden="1">{"'Sheet1'!$L$16"}</definedName>
    <definedName name="________________hu1" localSheetId="3" hidden="1">{"'Sheet1'!$L$16"}</definedName>
    <definedName name="________________hu1" hidden="1">{"'Sheet1'!$L$16"}</definedName>
    <definedName name="________________hu2" localSheetId="3" hidden="1">{"'Sheet1'!$L$16"}</definedName>
    <definedName name="________________hu2" hidden="1">{"'Sheet1'!$L$16"}</definedName>
    <definedName name="________________hu5" localSheetId="3" hidden="1">{"'Sheet1'!$L$16"}</definedName>
    <definedName name="________________hu5" hidden="1">{"'Sheet1'!$L$16"}</definedName>
    <definedName name="________________hu6" localSheetId="3" hidden="1">{"'Sheet1'!$L$16"}</definedName>
    <definedName name="________________hu6" hidden="1">{"'Sheet1'!$L$16"}</definedName>
    <definedName name="________________Lan1" localSheetId="3" hidden="1">{"'Sheet1'!$L$16"}</definedName>
    <definedName name="________________Lan1" hidden="1">{"'Sheet1'!$L$16"}</definedName>
    <definedName name="________________LAN3" localSheetId="3" hidden="1">{"'Sheet1'!$L$16"}</definedName>
    <definedName name="________________LAN3" hidden="1">{"'Sheet1'!$L$16"}</definedName>
    <definedName name="________________MN2" localSheetId="3" hidden="1">{"'Sheet1'!$L$16"}</definedName>
    <definedName name="________________MN2" hidden="1">{"'Sheet1'!$L$16"}</definedName>
    <definedName name="________________PA3" localSheetId="3" hidden="1">{"'Sheet1'!$L$16"}</definedName>
    <definedName name="________________PA3" hidden="1">{"'Sheet1'!$L$16"}</definedName>
    <definedName name="________________SCL4" localSheetId="3" hidden="1">{"'Sheet1'!$L$16"}</definedName>
    <definedName name="________________SCL4" hidden="1">{"'Sheet1'!$L$16"}</definedName>
    <definedName name="________________tb2" localSheetId="3" hidden="1">{"'Sheet1'!$L$16"}</definedName>
    <definedName name="________________tb2" hidden="1">{"'Sheet1'!$L$16"}</definedName>
    <definedName name="________________tt3" localSheetId="3" hidden="1">{"'Sheet1'!$L$16"}</definedName>
    <definedName name="________________tt3" hidden="1">{"'Sheet1'!$L$16"}</definedName>
    <definedName name="________________tu4" localSheetId="3" hidden="1">{"'Sheet1'!$L$16"}</definedName>
    <definedName name="________________tu4" hidden="1">{"'Sheet1'!$L$16"}</definedName>
    <definedName name="_______________a1" localSheetId="3" hidden="1">{"'Sheet1'!$L$16"}</definedName>
    <definedName name="_______________a1" hidden="1">{"'Sheet1'!$L$16"}</definedName>
    <definedName name="__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localSheetId="3" hidden="1">{"'Sheet1'!$L$16"}</definedName>
    <definedName name="_______________a2" hidden="1">{"'Sheet1'!$L$16"}</definedName>
    <definedName name="_______________BG12" localSheetId="3" hidden="1">{"'Sheet1'!$L$16"}</definedName>
    <definedName name="_______________BG12" hidden="1">{"'Sheet1'!$L$16"}</definedName>
    <definedName name="_______________cep1" localSheetId="3" hidden="1">{"'Sheet1'!$L$16"}</definedName>
    <definedName name="_______________cep1" hidden="1">{"'Sheet1'!$L$16"}</definedName>
    <definedName name="_______________CN1" localSheetId="3" hidden="1">{"'Sheet1'!$L$16"}</definedName>
    <definedName name="_______________CN1" hidden="1">{"'Sheet1'!$L$16"}</definedName>
    <definedName name="_______________Goi8" localSheetId="3" hidden="1">{"'Sheet1'!$L$16"}</definedName>
    <definedName name="_______________Goi8" hidden="1">{"'Sheet1'!$L$16"}</definedName>
    <definedName name="_______________h1" localSheetId="3" hidden="1">{"'Sheet1'!$L$16"}</definedName>
    <definedName name="_______________h1" hidden="1">{"'Sheet1'!$L$16"}</definedName>
    <definedName name="_______________hu1" localSheetId="3" hidden="1">{"'Sheet1'!$L$16"}</definedName>
    <definedName name="_______________hu1" hidden="1">{"'Sheet1'!$L$16"}</definedName>
    <definedName name="_______________hu2" localSheetId="3" hidden="1">{"'Sheet1'!$L$16"}</definedName>
    <definedName name="_______________hu2" hidden="1">{"'Sheet1'!$L$16"}</definedName>
    <definedName name="_______________hu5" localSheetId="3" hidden="1">{"'Sheet1'!$L$16"}</definedName>
    <definedName name="_______________hu5" hidden="1">{"'Sheet1'!$L$16"}</definedName>
    <definedName name="_______________hu6" localSheetId="3" hidden="1">{"'Sheet1'!$L$16"}</definedName>
    <definedName name="_______________hu6" hidden="1">{"'Sheet1'!$L$16"}</definedName>
    <definedName name="_______________Lan1" localSheetId="3" hidden="1">{"'Sheet1'!$L$16"}</definedName>
    <definedName name="_______________Lan1" hidden="1">{"'Sheet1'!$L$16"}</definedName>
    <definedName name="_______________LAN3" localSheetId="3" hidden="1">{"'Sheet1'!$L$16"}</definedName>
    <definedName name="_______________LAN3" hidden="1">{"'Sheet1'!$L$16"}</definedName>
    <definedName name="_______________MN2" localSheetId="3" hidden="1">{"'Sheet1'!$L$16"}</definedName>
    <definedName name="_______________MN2" hidden="1">{"'Sheet1'!$L$16"}</definedName>
    <definedName name="_______________PA3" localSheetId="3" hidden="1">{"'Sheet1'!$L$16"}</definedName>
    <definedName name="_______________PA3" hidden="1">{"'Sheet1'!$L$16"}</definedName>
    <definedName name="_______________SCL4" localSheetId="3" hidden="1">{"'Sheet1'!$L$16"}</definedName>
    <definedName name="_______________SCL4" hidden="1">{"'Sheet1'!$L$16"}</definedName>
    <definedName name="_______________tb2" localSheetId="3" hidden="1">{"'Sheet1'!$L$16"}</definedName>
    <definedName name="_______________tb2" hidden="1">{"'Sheet1'!$L$16"}</definedName>
    <definedName name="_______________tt3" localSheetId="3" hidden="1">{"'Sheet1'!$L$16"}</definedName>
    <definedName name="_______________tt3" hidden="1">{"'Sheet1'!$L$16"}</definedName>
    <definedName name="_______________tu4" localSheetId="3" hidden="1">{"'Sheet1'!$L$16"}</definedName>
    <definedName name="_______________tu4" hidden="1">{"'Sheet1'!$L$16"}</definedName>
    <definedName name="_______________xlfn.BAHTTEXT" hidden="1">#NAME?</definedName>
    <definedName name="______________a1" localSheetId="3" hidden="1">{"'Sheet1'!$L$16"}</definedName>
    <definedName name="______________a1" hidden="1">{"'Sheet1'!$L$16"}</definedName>
    <definedName name="_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localSheetId="3" hidden="1">{"'Sheet1'!$L$16"}</definedName>
    <definedName name="______________a2" hidden="1">{"'Sheet1'!$L$16"}</definedName>
    <definedName name="______________BG12" localSheetId="3" hidden="1">{"'Sheet1'!$L$16"}</definedName>
    <definedName name="______________BG12" hidden="1">{"'Sheet1'!$L$16"}</definedName>
    <definedName name="______________cep1" localSheetId="3" hidden="1">{"'Sheet1'!$L$16"}</definedName>
    <definedName name="______________cep1" hidden="1">{"'Sheet1'!$L$16"}</definedName>
    <definedName name="______________CN1" localSheetId="3" hidden="1">{"'Sheet1'!$L$16"}</definedName>
    <definedName name="______________CN1" hidden="1">{"'Sheet1'!$L$16"}</definedName>
    <definedName name="______________d1500" localSheetId="3" hidden="1">{"'Sheet1'!$L$16"}</definedName>
    <definedName name="______________d1500" hidden="1">{"'Sheet1'!$L$16"}</definedName>
    <definedName name="______________Goi8" localSheetId="3" hidden="1">{"'Sheet1'!$L$16"}</definedName>
    <definedName name="______________Goi8" hidden="1">{"'Sheet1'!$L$16"}</definedName>
    <definedName name="______________h1" localSheetId="3" hidden="1">{"'Sheet1'!$L$16"}</definedName>
    <definedName name="______________h1" hidden="1">{"'Sheet1'!$L$16"}</definedName>
    <definedName name="______________hu1" localSheetId="3" hidden="1">{"'Sheet1'!$L$16"}</definedName>
    <definedName name="______________hu1" hidden="1">{"'Sheet1'!$L$16"}</definedName>
    <definedName name="______________hu2" localSheetId="3" hidden="1">{"'Sheet1'!$L$16"}</definedName>
    <definedName name="______________hu2" hidden="1">{"'Sheet1'!$L$16"}</definedName>
    <definedName name="______________hu5" localSheetId="3" hidden="1">{"'Sheet1'!$L$16"}</definedName>
    <definedName name="______________hu5" hidden="1">{"'Sheet1'!$L$16"}</definedName>
    <definedName name="______________hu6" localSheetId="3" hidden="1">{"'Sheet1'!$L$16"}</definedName>
    <definedName name="______________hu6" hidden="1">{"'Sheet1'!$L$16"}</definedName>
    <definedName name="______________huy1" localSheetId="3" hidden="1">{"'Sheet1'!$L$16"}</definedName>
    <definedName name="______________huy1" hidden="1">{"'Sheet1'!$L$16"}</definedName>
    <definedName name="______________Lan1" localSheetId="3" hidden="1">{"'Sheet1'!$L$16"}</definedName>
    <definedName name="______________Lan1" hidden="1">{"'Sheet1'!$L$16"}</definedName>
    <definedName name="______________LAN3" localSheetId="3" hidden="1">{"'Sheet1'!$L$16"}</definedName>
    <definedName name="______________LAN3" hidden="1">{"'Sheet1'!$L$16"}</definedName>
    <definedName name="______________MN2" localSheetId="3" hidden="1">{"'Sheet1'!$L$16"}</definedName>
    <definedName name="______________MN2" hidden="1">{"'Sheet1'!$L$16"}</definedName>
    <definedName name="______________NSO2" localSheetId="3" hidden="1">{"'Sheet1'!$L$16"}</definedName>
    <definedName name="______________NSO2" hidden="1">{"'Sheet1'!$L$16"}</definedName>
    <definedName name="______________PA3" localSheetId="3" hidden="1">{"'Sheet1'!$L$16"}</definedName>
    <definedName name="______________PA3" hidden="1">{"'Sheet1'!$L$16"}</definedName>
    <definedName name="______________SCL4" localSheetId="3" hidden="1">{"'Sheet1'!$L$16"}</definedName>
    <definedName name="______________SCL4" hidden="1">{"'Sheet1'!$L$16"}</definedName>
    <definedName name="______________tb2" localSheetId="3" hidden="1">{"'Sheet1'!$L$16"}</definedName>
    <definedName name="______________tb2" hidden="1">{"'Sheet1'!$L$16"}</definedName>
    <definedName name="______________tt3" localSheetId="3" hidden="1">{"'Sheet1'!$L$16"}</definedName>
    <definedName name="______________tt3" hidden="1">{"'Sheet1'!$L$16"}</definedName>
    <definedName name="______________xlfn.BAHTTEXT" hidden="1">#NAME?</definedName>
    <definedName name="_____________a1" localSheetId="3" hidden="1">{"'Sheet1'!$L$16"}</definedName>
    <definedName name="_____________a1" hidden="1">{"'Sheet1'!$L$16"}</definedName>
    <definedName name="____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localSheetId="3" hidden="1">{"'Sheet1'!$L$16"}</definedName>
    <definedName name="_____________a2" hidden="1">{"'Sheet1'!$L$16"}</definedName>
    <definedName name="_____________BG12" localSheetId="3" hidden="1">{"'Sheet1'!$L$16"}</definedName>
    <definedName name="_____________BG12" hidden="1">{"'Sheet1'!$L$16"}</definedName>
    <definedName name="_____________CN1" localSheetId="3" hidden="1">{"'Sheet1'!$L$16"}</definedName>
    <definedName name="_____________CN1" hidden="1">{"'Sheet1'!$L$16"}</definedName>
    <definedName name="_____________d1500" localSheetId="3" hidden="1">{"'Sheet1'!$L$16"}</definedName>
    <definedName name="_____________d1500" hidden="1">{"'Sheet1'!$L$16"}</definedName>
    <definedName name="_____________Goi8" localSheetId="3" hidden="1">{"'Sheet1'!$L$16"}</definedName>
    <definedName name="_____________Goi8" hidden="1">{"'Sheet1'!$L$16"}</definedName>
    <definedName name="_____________h1" localSheetId="3" hidden="1">{"'Sheet1'!$L$16"}</definedName>
    <definedName name="_____________h1" hidden="1">{"'Sheet1'!$L$16"}</definedName>
    <definedName name="_____________hu1" localSheetId="3" hidden="1">{"'Sheet1'!$L$16"}</definedName>
    <definedName name="_____________hu1" hidden="1">{"'Sheet1'!$L$16"}</definedName>
    <definedName name="_____________hu2" localSheetId="3" hidden="1">{"'Sheet1'!$L$16"}</definedName>
    <definedName name="_____________hu2" hidden="1">{"'Sheet1'!$L$16"}</definedName>
    <definedName name="_____________hu5" localSheetId="3" hidden="1">{"'Sheet1'!$L$16"}</definedName>
    <definedName name="_____________hu5" hidden="1">{"'Sheet1'!$L$16"}</definedName>
    <definedName name="_____________hu6" localSheetId="3" hidden="1">{"'Sheet1'!$L$16"}</definedName>
    <definedName name="_____________hu6" hidden="1">{"'Sheet1'!$L$16"}</definedName>
    <definedName name="_____________huy1" localSheetId="3" hidden="1">{"'Sheet1'!$L$16"}</definedName>
    <definedName name="_____________huy1" hidden="1">{"'Sheet1'!$L$16"}</definedName>
    <definedName name="_____________KL1048" localSheetId="3" hidden="1">{"'Sheet1'!$L$16"}</definedName>
    <definedName name="_____________KL1048" hidden="1">{"'Sheet1'!$L$16"}</definedName>
    <definedName name="_____________Lan1" localSheetId="3" hidden="1">{"'Sheet1'!$L$16"}</definedName>
    <definedName name="_____________Lan1" hidden="1">{"'Sheet1'!$L$16"}</definedName>
    <definedName name="_____________LAN3" localSheetId="3" hidden="1">{"'Sheet1'!$L$16"}</definedName>
    <definedName name="_____________LAN3" hidden="1">{"'Sheet1'!$L$16"}</definedName>
    <definedName name="_____________NSO2" localSheetId="3" hidden="1">{"'Sheet1'!$L$16"}</definedName>
    <definedName name="_____________NSO2" hidden="1">{"'Sheet1'!$L$16"}</definedName>
    <definedName name="_____________PA3" localSheetId="3" hidden="1">{"'Sheet1'!$L$16"}</definedName>
    <definedName name="_____________PA3" hidden="1">{"'Sheet1'!$L$16"}</definedName>
    <definedName name="_____________SCL4" localSheetId="3" hidden="1">{"'Sheet1'!$L$16"}</definedName>
    <definedName name="_____________SCL4" hidden="1">{"'Sheet1'!$L$16"}</definedName>
    <definedName name="_____________tb2" localSheetId="3" hidden="1">{"'Sheet1'!$L$16"}</definedName>
    <definedName name="_____________tb2" hidden="1">{"'Sheet1'!$L$16"}</definedName>
    <definedName name="_____________tt3" localSheetId="3" hidden="1">{"'Sheet1'!$L$16"}</definedName>
    <definedName name="_____________tt3" hidden="1">{"'Sheet1'!$L$16"}</definedName>
    <definedName name="_____________tu4" localSheetId="3" hidden="1">{"'Sheet1'!$L$16"}</definedName>
    <definedName name="_____________tu4" hidden="1">{"'Sheet1'!$L$16"}</definedName>
    <definedName name="_____________xlfn.BAHTTEXT" hidden="1">#NAME?</definedName>
    <definedName name="____________a1" localSheetId="3" hidden="1">{"'Sheet1'!$L$16"}</definedName>
    <definedName name="____________a1" hidden="1">{"'Sheet1'!$L$16"}</definedName>
    <definedName name="___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localSheetId="3" hidden="1">{"'Sheet1'!$L$16"}</definedName>
    <definedName name="____________a2" hidden="1">{"'Sheet1'!$L$16"}</definedName>
    <definedName name="____________BG12" localSheetId="3" hidden="1">{"'Sheet1'!$L$16"}</definedName>
    <definedName name="____________BG12" hidden="1">{"'Sheet1'!$L$16"}</definedName>
    <definedName name="____________CN1" localSheetId="3" hidden="1">{"'Sheet1'!$L$16"}</definedName>
    <definedName name="____________CN1" hidden="1">{"'Sheet1'!$L$16"}</definedName>
    <definedName name="____________d1500" localSheetId="3" hidden="1">{"'Sheet1'!$L$16"}</definedName>
    <definedName name="____________d1500" hidden="1">{"'Sheet1'!$L$16"}</definedName>
    <definedName name="____________Goi8" localSheetId="3" hidden="1">{"'Sheet1'!$L$16"}</definedName>
    <definedName name="____________Goi8" hidden="1">{"'Sheet1'!$L$16"}</definedName>
    <definedName name="____________h1" localSheetId="3" hidden="1">{"'Sheet1'!$L$16"}</definedName>
    <definedName name="____________h1" hidden="1">{"'Sheet1'!$L$16"}</definedName>
    <definedName name="____________hu1" localSheetId="3" hidden="1">{"'Sheet1'!$L$16"}</definedName>
    <definedName name="____________hu1" hidden="1">{"'Sheet1'!$L$16"}</definedName>
    <definedName name="____________hu2" localSheetId="3" hidden="1">{"'Sheet1'!$L$16"}</definedName>
    <definedName name="____________hu2" hidden="1">{"'Sheet1'!$L$16"}</definedName>
    <definedName name="____________hu5" localSheetId="3" hidden="1">{"'Sheet1'!$L$16"}</definedName>
    <definedName name="____________hu5" hidden="1">{"'Sheet1'!$L$16"}</definedName>
    <definedName name="____________hu6" localSheetId="3" hidden="1">{"'Sheet1'!$L$16"}</definedName>
    <definedName name="____________hu6" hidden="1">{"'Sheet1'!$L$16"}</definedName>
    <definedName name="____________huy1" localSheetId="3" hidden="1">{"'Sheet1'!$L$16"}</definedName>
    <definedName name="____________huy1" hidden="1">{"'Sheet1'!$L$16"}</definedName>
    <definedName name="____________K146" localSheetId="3" hidden="1">{"'Sheet1'!$L$16"}</definedName>
    <definedName name="____________K146" hidden="1">{"'Sheet1'!$L$16"}</definedName>
    <definedName name="____________Lan1" localSheetId="3" hidden="1">{"'Sheet1'!$L$16"}</definedName>
    <definedName name="____________Lan1" hidden="1">{"'Sheet1'!$L$16"}</definedName>
    <definedName name="____________LAN3" localSheetId="3" hidden="1">{"'Sheet1'!$L$16"}</definedName>
    <definedName name="____________LAN3" hidden="1">{"'Sheet1'!$L$16"}</definedName>
    <definedName name="____________MN2" localSheetId="3" hidden="1">{"'Sheet1'!$L$16"}</definedName>
    <definedName name="____________MN2" hidden="1">{"'Sheet1'!$L$16"}</definedName>
    <definedName name="____________NK5" localSheetId="3" hidden="1">{"'Sheet1'!$L$16"}</definedName>
    <definedName name="____________NK5" hidden="1">{"'Sheet1'!$L$16"}</definedName>
    <definedName name="____________NSO2" localSheetId="3" hidden="1">{"'Sheet1'!$L$16"}</definedName>
    <definedName name="____________NSO2" hidden="1">{"'Sheet1'!$L$16"}</definedName>
    <definedName name="____________PA3" localSheetId="3" hidden="1">{"'Sheet1'!$L$16"}</definedName>
    <definedName name="____________PA3" hidden="1">{"'Sheet1'!$L$16"}</definedName>
    <definedName name="____________SCL4" localSheetId="3" hidden="1">{"'Sheet1'!$L$16"}</definedName>
    <definedName name="____________SCL4" hidden="1">{"'Sheet1'!$L$16"}</definedName>
    <definedName name="____________tt3" localSheetId="3" hidden="1">{"'Sheet1'!$L$16"}</definedName>
    <definedName name="____________tt3" hidden="1">{"'Sheet1'!$L$16"}</definedName>
    <definedName name="____________VLP2" localSheetId="3" hidden="1">{"'Sheet1'!$L$16"}</definedName>
    <definedName name="____________VLP2" hidden="1">{"'Sheet1'!$L$16"}</definedName>
    <definedName name="____________xlfn.BAHTTEXT" hidden="1">#NAME?</definedName>
    <definedName name="___________a1" localSheetId="3" hidden="1">{"'Sheet1'!$L$16"}</definedName>
    <definedName name="___________a1" hidden="1">{"'Sheet1'!$L$16"}</definedName>
    <definedName name="__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localSheetId="3" hidden="1">{"'Sheet1'!$L$16"}</definedName>
    <definedName name="___________a2" hidden="1">{"'Sheet1'!$L$16"}</definedName>
    <definedName name="___________BG12" localSheetId="3" hidden="1">{"'Sheet1'!$L$16"}</definedName>
    <definedName name="___________BG12" hidden="1">{"'Sheet1'!$L$16"}</definedName>
    <definedName name="___________CN1" localSheetId="3" hidden="1">{"'Sheet1'!$L$16"}</definedName>
    <definedName name="___________CN1" hidden="1">{"'Sheet1'!$L$16"}</definedName>
    <definedName name="___________D1" localSheetId="3" hidden="1">{"'Sheet1'!$L$16"}</definedName>
    <definedName name="___________D1" hidden="1">{"'Sheet1'!$L$16"}</definedName>
    <definedName name="___________d1500" localSheetId="3" hidden="1">{"'Sheet1'!$L$16"}</definedName>
    <definedName name="___________d1500" hidden="1">{"'Sheet1'!$L$16"}</definedName>
    <definedName name="___________D2" localSheetId="3" hidden="1">{"'Sheet1'!$L$16"}</definedName>
    <definedName name="___________D2" hidden="1">{"'Sheet1'!$L$16"}</definedName>
    <definedName name="___________GD1" localSheetId="3" hidden="1">{#N/A,#N/A,FALSE,"Chi tiÆt"}</definedName>
    <definedName name="___________GD1" hidden="1">{#N/A,#N/A,FALSE,"Chi tiÆt"}</definedName>
    <definedName name="___________GD2" localSheetId="3" hidden="1">{"'Sheet1'!$L$16"}</definedName>
    <definedName name="___________GD2" hidden="1">{"'Sheet1'!$L$16"}</definedName>
    <definedName name="___________Goi8" localSheetId="3" hidden="1">{"'Sheet1'!$L$16"}</definedName>
    <definedName name="___________Goi8" hidden="1">{"'Sheet1'!$L$16"}</definedName>
    <definedName name="___________h1" localSheetId="3" hidden="1">{"'Sheet1'!$L$16"}</definedName>
    <definedName name="___________h1" hidden="1">{"'Sheet1'!$L$16"}</definedName>
    <definedName name="___________hu1" localSheetId="3" hidden="1">{"'Sheet1'!$L$16"}</definedName>
    <definedName name="___________hu1" hidden="1">{"'Sheet1'!$L$16"}</definedName>
    <definedName name="___________hu2" localSheetId="3" hidden="1">{"'Sheet1'!$L$16"}</definedName>
    <definedName name="___________hu2" hidden="1">{"'Sheet1'!$L$16"}</definedName>
    <definedName name="___________hu5" localSheetId="3" hidden="1">{"'Sheet1'!$L$16"}</definedName>
    <definedName name="___________hu5" hidden="1">{"'Sheet1'!$L$16"}</definedName>
    <definedName name="___________hu6" localSheetId="3" hidden="1">{"'Sheet1'!$L$16"}</definedName>
    <definedName name="___________hu6" hidden="1">{"'Sheet1'!$L$16"}</definedName>
    <definedName name="___________huy1" localSheetId="3" hidden="1">{"'Sheet1'!$L$16"}</definedName>
    <definedName name="___________huy1" hidden="1">{"'Sheet1'!$L$16"}</definedName>
    <definedName name="___________K146" localSheetId="3" hidden="1">{"'Sheet1'!$L$16"}</definedName>
    <definedName name="___________K146" hidden="1">{"'Sheet1'!$L$16"}</definedName>
    <definedName name="___________KL1048" localSheetId="3" hidden="1">{"'Sheet1'!$L$16"}</definedName>
    <definedName name="___________KL1048" hidden="1">{"'Sheet1'!$L$16"}</definedName>
    <definedName name="___________Lan1" localSheetId="3" hidden="1">{"'Sheet1'!$L$16"}</definedName>
    <definedName name="___________Lan1" hidden="1">{"'Sheet1'!$L$16"}</definedName>
    <definedName name="___________LAN3" localSheetId="3" hidden="1">{"'Sheet1'!$L$16"}</definedName>
    <definedName name="___________LAN3" hidden="1">{"'Sheet1'!$L$16"}</definedName>
    <definedName name="___________NSO2" localSheetId="3" hidden="1">{"'Sheet1'!$L$16"}</definedName>
    <definedName name="___________NSO2" hidden="1">{"'Sheet1'!$L$16"}</definedName>
    <definedName name="___________PA3" localSheetId="3" hidden="1">{"'Sheet1'!$L$16"}</definedName>
    <definedName name="___________PA3" hidden="1">{"'Sheet1'!$L$16"}</definedName>
    <definedName name="___________pa4" localSheetId="3" hidden="1">{"'Sheet1'!$L$16"}</definedName>
    <definedName name="___________pa4" hidden="1">{"'Sheet1'!$L$16"}</definedName>
    <definedName name="___________SCL4" localSheetId="3" hidden="1">{"'Sheet1'!$L$16"}</definedName>
    <definedName name="___________SCL4" hidden="1">{"'Sheet1'!$L$16"}</definedName>
    <definedName name="___________tb2" localSheetId="3" hidden="1">{"'Sheet1'!$L$16"}</definedName>
    <definedName name="___________tb2" hidden="1">{"'Sheet1'!$L$16"}</definedName>
    <definedName name="___________tt3" localSheetId="3" hidden="1">{"'Sheet1'!$L$16"}</definedName>
    <definedName name="___________tt3" hidden="1">{"'Sheet1'!$L$16"}</definedName>
    <definedName name="___________tu4" localSheetId="3" hidden="1">{"'Sheet1'!$L$16"}</definedName>
    <definedName name="___________tu4" hidden="1">{"'Sheet1'!$L$16"}</definedName>
    <definedName name="___________xlfn.BAHTTEXT" hidden="1">#NAME?</definedName>
    <definedName name="__________a1" localSheetId="3" hidden="1">{"'Sheet1'!$L$16"}</definedName>
    <definedName name="__________a1" hidden="1">{"'Sheet1'!$L$16"}</definedName>
    <definedName name="_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localSheetId="3" hidden="1">{"'Sheet1'!$L$16"}</definedName>
    <definedName name="__________a2" hidden="1">{"'Sheet1'!$L$16"}</definedName>
    <definedName name="__________a3" localSheetId="3" hidden="1">{"'Sheet1'!$L$16"}</definedName>
    <definedName name="__________a3" hidden="1">{"'Sheet1'!$L$16"}</definedName>
    <definedName name="__________BG12" localSheetId="3" hidden="1">{"'Sheet1'!$L$16"}</definedName>
    <definedName name="__________BG12" hidden="1">{"'Sheet1'!$L$16"}</definedName>
    <definedName name="__________CN1" localSheetId="3" hidden="1">{"'Sheet1'!$L$16"}</definedName>
    <definedName name="__________CN1" hidden="1">{"'Sheet1'!$L$16"}</definedName>
    <definedName name="__________D1" localSheetId="3" hidden="1">{"'Sheet1'!$L$16"}</definedName>
    <definedName name="__________D1" hidden="1">{"'Sheet1'!$L$16"}</definedName>
    <definedName name="__________d1500" localSheetId="3" hidden="1">{"'Sheet1'!$L$16"}</definedName>
    <definedName name="__________d1500" hidden="1">{"'Sheet1'!$L$16"}</definedName>
    <definedName name="__________D2" localSheetId="3" hidden="1">{"'Sheet1'!$L$16"}</definedName>
    <definedName name="__________D2" hidden="1">{"'Sheet1'!$L$16"}</definedName>
    <definedName name="__________GD1" localSheetId="3" hidden="1">{#N/A,#N/A,FALSE,"Chi tiÆt"}</definedName>
    <definedName name="__________GD1" hidden="1">{#N/A,#N/A,FALSE,"Chi tiÆt"}</definedName>
    <definedName name="__________GD2" localSheetId="3" hidden="1">{"'Sheet1'!$L$16"}</definedName>
    <definedName name="__________GD2" hidden="1">{"'Sheet1'!$L$16"}</definedName>
    <definedName name="__________Goi8" localSheetId="3" hidden="1">{"'Sheet1'!$L$16"}</definedName>
    <definedName name="__________Goi8" hidden="1">{"'Sheet1'!$L$16"}</definedName>
    <definedName name="__________h1" localSheetId="3" hidden="1">{"'Sheet1'!$L$16"}</definedName>
    <definedName name="__________h1" hidden="1">{"'Sheet1'!$L$16"}</definedName>
    <definedName name="__________hu1" localSheetId="3" hidden="1">{"'Sheet1'!$L$16"}</definedName>
    <definedName name="__________hu1" hidden="1">{"'Sheet1'!$L$16"}</definedName>
    <definedName name="__________hu2" localSheetId="3" hidden="1">{"'Sheet1'!$L$16"}</definedName>
    <definedName name="__________hu2" hidden="1">{"'Sheet1'!$L$16"}</definedName>
    <definedName name="__________hu5" localSheetId="3" hidden="1">{"'Sheet1'!$L$16"}</definedName>
    <definedName name="__________hu5" hidden="1">{"'Sheet1'!$L$16"}</definedName>
    <definedName name="__________hu6" localSheetId="3" hidden="1">{"'Sheet1'!$L$16"}</definedName>
    <definedName name="__________hu6" hidden="1">{"'Sheet1'!$L$16"}</definedName>
    <definedName name="__________huy1" localSheetId="3" hidden="1">{"'Sheet1'!$L$16"}</definedName>
    <definedName name="__________huy1" hidden="1">{"'Sheet1'!$L$16"}</definedName>
    <definedName name="__________Lan1" localSheetId="3" hidden="1">{"'Sheet1'!$L$16"}</definedName>
    <definedName name="__________Lan1" hidden="1">{"'Sheet1'!$L$16"}</definedName>
    <definedName name="__________LAN3" localSheetId="3" hidden="1">{"'Sheet1'!$L$16"}</definedName>
    <definedName name="__________LAN3" hidden="1">{"'Sheet1'!$L$16"}</definedName>
    <definedName name="__________NSO2" localSheetId="3" hidden="1">{"'Sheet1'!$L$16"}</definedName>
    <definedName name="__________NSO2" hidden="1">{"'Sheet1'!$L$16"}</definedName>
    <definedName name="__________PA3" localSheetId="3" hidden="1">{"'Sheet1'!$L$16"}</definedName>
    <definedName name="__________PA3" hidden="1">{"'Sheet1'!$L$16"}</definedName>
    <definedName name="__________pa4" localSheetId="3" hidden="1">{"'Sheet1'!$L$16"}</definedName>
    <definedName name="__________pa4" hidden="1">{"'Sheet1'!$L$16"}</definedName>
    <definedName name="__________SCL4" localSheetId="3" hidden="1">{"'Sheet1'!$L$16"}</definedName>
    <definedName name="__________SCL4" hidden="1">{"'Sheet1'!$L$16"}</definedName>
    <definedName name="__________tb2" localSheetId="3" hidden="1">{"'Sheet1'!$L$16"}</definedName>
    <definedName name="__________tb2" hidden="1">{"'Sheet1'!$L$16"}</definedName>
    <definedName name="__________tt3" localSheetId="3" hidden="1">{"'Sheet1'!$L$16"}</definedName>
    <definedName name="__________tt3" hidden="1">{"'Sheet1'!$L$16"}</definedName>
    <definedName name="__________xlfn.BAHTTEXT" hidden="1">#NAME?</definedName>
    <definedName name="_________a1" localSheetId="3" hidden="1">{"'Sheet1'!$L$16"}</definedName>
    <definedName name="_________a1" hidden="1">{"'Sheet1'!$L$16"}</definedName>
    <definedName name="_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localSheetId="3" hidden="1">{"'Sheet1'!$L$16"}</definedName>
    <definedName name="_________a2" hidden="1">{"'Sheet1'!$L$16"}</definedName>
    <definedName name="_________a3" localSheetId="3" hidden="1">{"'Sheet1'!$L$16"}</definedName>
    <definedName name="_________a3" hidden="1">{"'Sheet1'!$L$16"}</definedName>
    <definedName name="_________BG12" localSheetId="3" hidden="1">{"'Sheet1'!$L$16"}</definedName>
    <definedName name="_________BG12" hidden="1">{"'Sheet1'!$L$16"}</definedName>
    <definedName name="_________CN1" localSheetId="3" hidden="1">{"'Sheet1'!$L$16"}</definedName>
    <definedName name="_________CN1" hidden="1">{"'Sheet1'!$L$16"}</definedName>
    <definedName name="_________d1500" localSheetId="3" hidden="1">{"'Sheet1'!$L$16"}</definedName>
    <definedName name="_________d1500" hidden="1">{"'Sheet1'!$L$16"}</definedName>
    <definedName name="_________Goi8" localSheetId="3" hidden="1">{"'Sheet1'!$L$16"}</definedName>
    <definedName name="_________Goi8" hidden="1">{"'Sheet1'!$L$16"}</definedName>
    <definedName name="_________h1" localSheetId="3" hidden="1">{"'Sheet1'!$L$16"}</definedName>
    <definedName name="_________h1" hidden="1">{"'Sheet1'!$L$16"}</definedName>
    <definedName name="_________hu1" localSheetId="3" hidden="1">{"'Sheet1'!$L$16"}</definedName>
    <definedName name="_________hu1" hidden="1">{"'Sheet1'!$L$16"}</definedName>
    <definedName name="_________hu2" localSheetId="3" hidden="1">{"'Sheet1'!$L$16"}</definedName>
    <definedName name="_________hu2" hidden="1">{"'Sheet1'!$L$16"}</definedName>
    <definedName name="_________hu5" localSheetId="3" hidden="1">{"'Sheet1'!$L$16"}</definedName>
    <definedName name="_________hu5" hidden="1">{"'Sheet1'!$L$16"}</definedName>
    <definedName name="_________hu6" localSheetId="3" hidden="1">{"'Sheet1'!$L$16"}</definedName>
    <definedName name="_________hu6" hidden="1">{"'Sheet1'!$L$16"}</definedName>
    <definedName name="_________huy1" localSheetId="3" hidden="1">{"'Sheet1'!$L$16"}</definedName>
    <definedName name="_________huy1" hidden="1">{"'Sheet1'!$L$16"}</definedName>
    <definedName name="_________K146" localSheetId="3" hidden="1">{"'Sheet1'!$L$16"}</definedName>
    <definedName name="_________K146" hidden="1">{"'Sheet1'!$L$16"}</definedName>
    <definedName name="_________KL1048" localSheetId="3" hidden="1">{"'Sheet1'!$L$16"}</definedName>
    <definedName name="_________KL1048" hidden="1">{"'Sheet1'!$L$16"}</definedName>
    <definedName name="_________Lan1" localSheetId="3" hidden="1">{"'Sheet1'!$L$16"}</definedName>
    <definedName name="_________Lan1" hidden="1">{"'Sheet1'!$L$16"}</definedName>
    <definedName name="_________LAN3" localSheetId="3" hidden="1">{"'Sheet1'!$L$16"}</definedName>
    <definedName name="_________LAN3" hidden="1">{"'Sheet1'!$L$16"}</definedName>
    <definedName name="_________M2" localSheetId="3" hidden="1">{"'Sheet1'!$L$16"}</definedName>
    <definedName name="_________M2" hidden="1">{"'Sheet1'!$L$16"}</definedName>
    <definedName name="_________MCC3" localSheetId="3" hidden="1">{#N/A,#N/A,FALSE,"CCTV"}</definedName>
    <definedName name="_________MCC3" hidden="1">{#N/A,#N/A,FALSE,"CCTV"}</definedName>
    <definedName name="_________NSO2" localSheetId="3" hidden="1">{"'Sheet1'!$L$16"}</definedName>
    <definedName name="_________NSO2" hidden="1">{"'Sheet1'!$L$16"}</definedName>
    <definedName name="_________PA3" localSheetId="3" hidden="1">{"'Sheet1'!$L$16"}</definedName>
    <definedName name="_________PA3" hidden="1">{"'Sheet1'!$L$16"}</definedName>
    <definedName name="_________pa4" localSheetId="3" hidden="1">{"'Sheet1'!$L$16"}</definedName>
    <definedName name="_________pa4" hidden="1">{"'Sheet1'!$L$16"}</definedName>
    <definedName name="_________SCL4" localSheetId="3" hidden="1">{"'Sheet1'!$L$16"}</definedName>
    <definedName name="_________SCL4" hidden="1">{"'Sheet1'!$L$16"}</definedName>
    <definedName name="_________tb2" localSheetId="3" hidden="1">{"'Sheet1'!$L$16"}</definedName>
    <definedName name="_________tb2" hidden="1">{"'Sheet1'!$L$16"}</definedName>
    <definedName name="_________tt3" localSheetId="3" hidden="1">{"'Sheet1'!$L$16"}</definedName>
    <definedName name="_________tt3" hidden="1">{"'Sheet1'!$L$16"}</definedName>
    <definedName name="_________tu4" localSheetId="3" hidden="1">{"'Sheet1'!$L$16"}</definedName>
    <definedName name="_________tu4" hidden="1">{"'Sheet1'!$L$16"}</definedName>
    <definedName name="_________xlfn.BAHTTEXT" hidden="1">#NAME?</definedName>
    <definedName name="________a1" localSheetId="3" hidden="1">{"'Sheet1'!$L$16"}</definedName>
    <definedName name="________a1" hidden="1">{"'Sheet1'!$L$16"}</definedName>
    <definedName name="_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localSheetId="3" hidden="1">{"'Sheet1'!$L$16"}</definedName>
    <definedName name="________a2" hidden="1">{"'Sheet1'!$L$16"}</definedName>
    <definedName name="________a3" localSheetId="3" hidden="1">{"'Sheet1'!$L$16"}</definedName>
    <definedName name="________a3" hidden="1">{"'Sheet1'!$L$16"}</definedName>
    <definedName name="________BG12" localSheetId="3" hidden="1">{"'Sheet1'!$L$16"}</definedName>
    <definedName name="________BG12" hidden="1">{"'Sheet1'!$L$16"}</definedName>
    <definedName name="________CN1" localSheetId="3" hidden="1">{"'Sheet1'!$L$16"}</definedName>
    <definedName name="________CN1" hidden="1">{"'Sheet1'!$L$16"}</definedName>
    <definedName name="________D1" localSheetId="3" hidden="1">{"'Sheet1'!$L$16"}</definedName>
    <definedName name="________D1" hidden="1">{"'Sheet1'!$L$16"}</definedName>
    <definedName name="________d1500" localSheetId="3" hidden="1">{"'Sheet1'!$L$16"}</definedName>
    <definedName name="________d1500" hidden="1">{"'Sheet1'!$L$16"}</definedName>
    <definedName name="________D2" localSheetId="3" hidden="1">{"'Sheet1'!$L$16"}</definedName>
    <definedName name="________D2" hidden="1">{"'Sheet1'!$L$16"}</definedName>
    <definedName name="________GD1" localSheetId="3" hidden="1">{#N/A,#N/A,FALSE,"Chi tiÆt"}</definedName>
    <definedName name="________GD1" hidden="1">{#N/A,#N/A,FALSE,"Chi tiÆt"}</definedName>
    <definedName name="________GD2" localSheetId="3" hidden="1">{"'Sheet1'!$L$16"}</definedName>
    <definedName name="________GD2" hidden="1">{"'Sheet1'!$L$16"}</definedName>
    <definedName name="________Goi8" localSheetId="3" hidden="1">{"'Sheet1'!$L$16"}</definedName>
    <definedName name="________Goi8" hidden="1">{"'Sheet1'!$L$16"}</definedName>
    <definedName name="________h1" localSheetId="3" hidden="1">{"'Sheet1'!$L$16"}</definedName>
    <definedName name="________h1" hidden="1">{"'Sheet1'!$L$16"}</definedName>
    <definedName name="________hu1" localSheetId="3" hidden="1">{"'Sheet1'!$L$16"}</definedName>
    <definedName name="________hu1" hidden="1">{"'Sheet1'!$L$16"}</definedName>
    <definedName name="________hu2" localSheetId="3" hidden="1">{"'Sheet1'!$L$16"}</definedName>
    <definedName name="________hu2" hidden="1">{"'Sheet1'!$L$16"}</definedName>
    <definedName name="________hu5" localSheetId="3" hidden="1">{"'Sheet1'!$L$16"}</definedName>
    <definedName name="________hu5" hidden="1">{"'Sheet1'!$L$16"}</definedName>
    <definedName name="________hu6" localSheetId="3" hidden="1">{"'Sheet1'!$L$16"}</definedName>
    <definedName name="________hu6" hidden="1">{"'Sheet1'!$L$16"}</definedName>
    <definedName name="________huy1" localSheetId="3" hidden="1">{"'Sheet1'!$L$16"}</definedName>
    <definedName name="________huy1" hidden="1">{"'Sheet1'!$L$16"}</definedName>
    <definedName name="________K146" localSheetId="3" hidden="1">{"'Sheet1'!$L$16"}</definedName>
    <definedName name="________K146" hidden="1">{"'Sheet1'!$L$16"}</definedName>
    <definedName name="________key1" localSheetId="3" hidden="1">#REF!</definedName>
    <definedName name="________key1" hidden="1">#REF!</definedName>
    <definedName name="________KL1048" localSheetId="3" hidden="1">{"'Sheet1'!$L$16"}</definedName>
    <definedName name="________KL1048" hidden="1">{"'Sheet1'!$L$16"}</definedName>
    <definedName name="________Lan1" localSheetId="3" hidden="1">{"'Sheet1'!$L$16"}</definedName>
    <definedName name="________Lan1" hidden="1">{"'Sheet1'!$L$16"}</definedName>
    <definedName name="________LAN3" localSheetId="3" hidden="1">{"'Sheet1'!$L$16"}</definedName>
    <definedName name="________LAN3" hidden="1">{"'Sheet1'!$L$16"}</definedName>
    <definedName name="________MCC3" localSheetId="3" hidden="1">{#N/A,#N/A,FALSE,"CCTV"}</definedName>
    <definedName name="________MCC3" hidden="1">{#N/A,#N/A,FALSE,"CCTV"}</definedName>
    <definedName name="________NSO2" localSheetId="3" hidden="1">{"'Sheet1'!$L$16"}</definedName>
    <definedName name="________NSO2" hidden="1">{"'Sheet1'!$L$16"}</definedName>
    <definedName name="________PA3" localSheetId="3" hidden="1">{"'Sheet1'!$L$16"}</definedName>
    <definedName name="________PA3" hidden="1">{"'Sheet1'!$L$16"}</definedName>
    <definedName name="________pa4" localSheetId="3" hidden="1">{"'Sheet1'!$L$16"}</definedName>
    <definedName name="________pa4" hidden="1">{"'Sheet1'!$L$16"}</definedName>
    <definedName name="________SCL4" localSheetId="3" hidden="1">{"'Sheet1'!$L$16"}</definedName>
    <definedName name="________SCL4" hidden="1">{"'Sheet1'!$L$16"}</definedName>
    <definedName name="________tha1" localSheetId="3" hidden="1">{"'Sheet1'!$L$16"}</definedName>
    <definedName name="________tha1" hidden="1">{"'Sheet1'!$L$16"}</definedName>
    <definedName name="________tt3" localSheetId="3" hidden="1">{"'Sheet1'!$L$16"}</definedName>
    <definedName name="________tt3" hidden="1">{"'Sheet1'!$L$16"}</definedName>
    <definedName name="________tu4" localSheetId="3" hidden="1">{"'Sheet1'!$L$16"}</definedName>
    <definedName name="________tu4" hidden="1">{"'Sheet1'!$L$16"}</definedName>
    <definedName name="________xlfn.BAHTTEXT" hidden="1">#NAME?</definedName>
    <definedName name="_______a1" localSheetId="3" hidden="1">{"'Sheet1'!$L$16"}</definedName>
    <definedName name="_______a1" hidden="1">{"'Sheet1'!$L$16"}</definedName>
    <definedName name="_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localSheetId="3" hidden="1">{"'Sheet1'!$L$16"}</definedName>
    <definedName name="_______a2" hidden="1">{"'Sheet1'!$L$16"}</definedName>
    <definedName name="_______a3" localSheetId="3" hidden="1">{"'Sheet1'!$L$16"}</definedName>
    <definedName name="_______a3" hidden="1">{"'Sheet1'!$L$16"}</definedName>
    <definedName name="_______BG12" localSheetId="3" hidden="1">{"'Sheet1'!$L$16"}</definedName>
    <definedName name="_______BG12" hidden="1">{"'Sheet1'!$L$16"}</definedName>
    <definedName name="_______CN1" localSheetId="3" hidden="1">{"'Sheet1'!$L$16"}</definedName>
    <definedName name="_______CN1" hidden="1">{"'Sheet1'!$L$16"}</definedName>
    <definedName name="_______d1500" localSheetId="3" hidden="1">{"'Sheet1'!$L$16"}</definedName>
    <definedName name="_______d1500" hidden="1">{"'Sheet1'!$L$16"}</definedName>
    <definedName name="_______Goi8" localSheetId="3" hidden="1">{"'Sheet1'!$L$16"}</definedName>
    <definedName name="_______Goi8" hidden="1">{"'Sheet1'!$L$16"}</definedName>
    <definedName name="_______h1" localSheetId="3" hidden="1">{"'Sheet1'!$L$16"}</definedName>
    <definedName name="_______h1" hidden="1">{"'Sheet1'!$L$16"}</definedName>
    <definedName name="_______hu1" localSheetId="3" hidden="1">{"'Sheet1'!$L$16"}</definedName>
    <definedName name="_______hu1" hidden="1">{"'Sheet1'!$L$16"}</definedName>
    <definedName name="_______hu2" localSheetId="3" hidden="1">{"'Sheet1'!$L$16"}</definedName>
    <definedName name="_______hu2" hidden="1">{"'Sheet1'!$L$16"}</definedName>
    <definedName name="_______hu5" localSheetId="3" hidden="1">{"'Sheet1'!$L$16"}</definedName>
    <definedName name="_______hu5" hidden="1">{"'Sheet1'!$L$16"}</definedName>
    <definedName name="_______hu6" localSheetId="3" hidden="1">{"'Sheet1'!$L$16"}</definedName>
    <definedName name="_______hu6" hidden="1">{"'Sheet1'!$L$16"}</definedName>
    <definedName name="_______huy1" localSheetId="3" hidden="1">{"'Sheet1'!$L$16"}</definedName>
    <definedName name="_______huy1" hidden="1">{"'Sheet1'!$L$16"}</definedName>
    <definedName name="_______K146" localSheetId="3" hidden="1">{"'Sheet1'!$L$16"}</definedName>
    <definedName name="_______K146" hidden="1">{"'Sheet1'!$L$16"}</definedName>
    <definedName name="_______key2" localSheetId="3" hidden="1">#REF!</definedName>
    <definedName name="_______key2" hidden="1">#REF!</definedName>
    <definedName name="_______KL1048" localSheetId="3" hidden="1">{"'Sheet1'!$L$16"}</definedName>
    <definedName name="_______KL1048" hidden="1">{"'Sheet1'!$L$16"}</definedName>
    <definedName name="_______Lan1" localSheetId="3" hidden="1">{"'Sheet1'!$L$16"}</definedName>
    <definedName name="_______Lan1" hidden="1">{"'Sheet1'!$L$16"}</definedName>
    <definedName name="_______LAN3" localSheetId="3" hidden="1">{"'Sheet1'!$L$16"}</definedName>
    <definedName name="_______LAN3" hidden="1">{"'Sheet1'!$L$16"}</definedName>
    <definedName name="_______M2" localSheetId="3" hidden="1">{"'Sheet1'!$L$16"}</definedName>
    <definedName name="_______M2" hidden="1">{"'Sheet1'!$L$16"}</definedName>
    <definedName name="_______MCC3" localSheetId="3" hidden="1">{#N/A,#N/A,FALSE,"CCTV"}</definedName>
    <definedName name="_______MCC3" hidden="1">{#N/A,#N/A,FALSE,"CCTV"}</definedName>
    <definedName name="_______NSO2" localSheetId="3" hidden="1">{"'Sheet1'!$L$16"}</definedName>
    <definedName name="_______NSO2" hidden="1">{"'Sheet1'!$L$16"}</definedName>
    <definedName name="_______PA3" localSheetId="3" hidden="1">{"'Sheet1'!$L$16"}</definedName>
    <definedName name="_______PA3" hidden="1">{"'Sheet1'!$L$16"}</definedName>
    <definedName name="_______pa4" localSheetId="3" hidden="1">{"'Sheet1'!$L$16"}</definedName>
    <definedName name="_______pa4" hidden="1">{"'Sheet1'!$L$16"}</definedName>
    <definedName name="_______SCL4" localSheetId="3" hidden="1">{"'Sheet1'!$L$16"}</definedName>
    <definedName name="_______SCL4" hidden="1">{"'Sheet1'!$L$16"}</definedName>
    <definedName name="_______tb2" localSheetId="3" hidden="1">{"'Sheet1'!$L$16"}</definedName>
    <definedName name="_______tb2" hidden="1">{"'Sheet1'!$L$16"}</definedName>
    <definedName name="_______tha1" localSheetId="3" hidden="1">{"'Sheet1'!$L$16"}</definedName>
    <definedName name="_______tha1" hidden="1">{"'Sheet1'!$L$16"}</definedName>
    <definedName name="_______tt3" localSheetId="3" hidden="1">{"'Sheet1'!$L$16"}</definedName>
    <definedName name="_______tt3" hidden="1">{"'Sheet1'!$L$16"}</definedName>
    <definedName name="_______tu4" localSheetId="3" hidden="1">{"'Sheet1'!$L$16"}</definedName>
    <definedName name="_______tu4" hidden="1">{"'Sheet1'!$L$16"}</definedName>
    <definedName name="_______xlfn.BAHTTEXT" hidden="1">#NAME?</definedName>
    <definedName name="______a1" localSheetId="3" hidden="1">{"'Sheet1'!$L$16"}</definedName>
    <definedName name="______a1" hidden="1">{"'Sheet1'!$L$16"}</definedName>
    <definedName name="______a100" localSheetId="3" hidden="1">{"'Sheet1'!$L$16"}</definedName>
    <definedName name="______a100" hidden="1">{"'Sheet1'!$L$16"}</definedName>
    <definedName name="_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localSheetId="3" hidden="1">{"'Sheet1'!$L$16"}</definedName>
    <definedName name="______a2" hidden="1">{"'Sheet1'!$L$16"}</definedName>
    <definedName name="______a3" localSheetId="3" hidden="1">{"'Sheet1'!$L$16"}</definedName>
    <definedName name="______a3" hidden="1">{"'Sheet1'!$L$16"}</definedName>
    <definedName name="______BG12" localSheetId="3" hidden="1">{"'Sheet1'!$L$16"}</definedName>
    <definedName name="______BG12" hidden="1">{"'Sheet1'!$L$16"}</definedName>
    <definedName name="______CN1" localSheetId="3" hidden="1">{"'Sheet1'!$L$16"}</definedName>
    <definedName name="______CN1" hidden="1">{"'Sheet1'!$L$16"}</definedName>
    <definedName name="______D1" localSheetId="3" hidden="1">{"'Sheet1'!$L$16"}</definedName>
    <definedName name="______D1" hidden="1">{"'Sheet1'!$L$16"}</definedName>
    <definedName name="______d1500" localSheetId="3" hidden="1">{"'Sheet1'!$L$16"}</definedName>
    <definedName name="______d1500" hidden="1">{"'Sheet1'!$L$16"}</definedName>
    <definedName name="______D2" localSheetId="3" hidden="1">{"'Sheet1'!$L$16"}</definedName>
    <definedName name="______D2" hidden="1">{"'Sheet1'!$L$16"}</definedName>
    <definedName name="______GD1" localSheetId="3" hidden="1">{#N/A,#N/A,FALSE,"Chi tiÆt"}</definedName>
    <definedName name="______GD1" hidden="1">{#N/A,#N/A,FALSE,"Chi tiÆt"}</definedName>
    <definedName name="______GD2" localSheetId="3" hidden="1">{"'Sheet1'!$L$16"}</definedName>
    <definedName name="______GD2" hidden="1">{"'Sheet1'!$L$16"}</definedName>
    <definedName name="______Goi8" localSheetId="3" hidden="1">{"'Sheet1'!$L$16"}</definedName>
    <definedName name="______Goi8" hidden="1">{"'Sheet1'!$L$16"}</definedName>
    <definedName name="______h1" localSheetId="3" hidden="1">{"'Sheet1'!$L$16"}</definedName>
    <definedName name="______h1" hidden="1">{"'Sheet1'!$L$16"}</definedName>
    <definedName name="______hu1" localSheetId="3" hidden="1">{"'Sheet1'!$L$16"}</definedName>
    <definedName name="______hu1" hidden="1">{"'Sheet1'!$L$16"}</definedName>
    <definedName name="______hu2" localSheetId="3" hidden="1">{"'Sheet1'!$L$16"}</definedName>
    <definedName name="______hu2" hidden="1">{"'Sheet1'!$L$16"}</definedName>
    <definedName name="______hu5" localSheetId="3" hidden="1">{"'Sheet1'!$L$16"}</definedName>
    <definedName name="______hu5" hidden="1">{"'Sheet1'!$L$16"}</definedName>
    <definedName name="______hu6" localSheetId="3" hidden="1">{"'Sheet1'!$L$16"}</definedName>
    <definedName name="______hu6" hidden="1">{"'Sheet1'!$L$16"}</definedName>
    <definedName name="______huy1" localSheetId="3" hidden="1">{"'Sheet1'!$L$16"}</definedName>
    <definedName name="______huy1" hidden="1">{"'Sheet1'!$L$16"}</definedName>
    <definedName name="______K146" localSheetId="3" hidden="1">{"'Sheet1'!$L$16"}</definedName>
    <definedName name="______K146" hidden="1">{"'Sheet1'!$L$16"}</definedName>
    <definedName name="______key1" localSheetId="3" hidden="1">#REF!</definedName>
    <definedName name="______key1" hidden="1">#REF!</definedName>
    <definedName name="______KL1048" localSheetId="3" hidden="1">{"'Sheet1'!$L$16"}</definedName>
    <definedName name="______KL1048" hidden="1">{"'Sheet1'!$L$16"}</definedName>
    <definedName name="______Lan1" localSheetId="3" hidden="1">{"'Sheet1'!$L$16"}</definedName>
    <definedName name="______Lan1" hidden="1">{"'Sheet1'!$L$16"}</definedName>
    <definedName name="______LAN3" localSheetId="3" hidden="1">{"'Sheet1'!$L$16"}</definedName>
    <definedName name="______LAN3" hidden="1">{"'Sheet1'!$L$16"}</definedName>
    <definedName name="______lk2" localSheetId="3" hidden="1">{"'Sheet1'!$L$16"}</definedName>
    <definedName name="______lk2" hidden="1">{"'Sheet1'!$L$16"}</definedName>
    <definedName name="______m1233" localSheetId="3" hidden="1">{"'Sheet1'!$L$16"}</definedName>
    <definedName name="______m1233" hidden="1">{"'Sheet1'!$L$16"}</definedName>
    <definedName name="______MCC3" localSheetId="3" hidden="1">{#N/A,#N/A,FALSE,"CCTV"}</definedName>
    <definedName name="______MCC3" hidden="1">{#N/A,#N/A,FALSE,"CCTV"}</definedName>
    <definedName name="______NSO2" localSheetId="3" hidden="1">{"'Sheet1'!$L$16"}</definedName>
    <definedName name="______NSO2" hidden="1">{"'Sheet1'!$L$16"}</definedName>
    <definedName name="______PA3" localSheetId="3" hidden="1">{"'Sheet1'!$L$16"}</definedName>
    <definedName name="______PA3" hidden="1">{"'Sheet1'!$L$16"}</definedName>
    <definedName name="______pa4" localSheetId="3" hidden="1">{"'Sheet1'!$L$16"}</definedName>
    <definedName name="______pa4" hidden="1">{"'Sheet1'!$L$16"}</definedName>
    <definedName name="______SCL4" localSheetId="3" hidden="1">{"'Sheet1'!$L$16"}</definedName>
    <definedName name="______SCL4" hidden="1">{"'Sheet1'!$L$16"}</definedName>
    <definedName name="______tb2" localSheetId="3" hidden="1">{"'Sheet1'!$L$16"}</definedName>
    <definedName name="______tb2" hidden="1">{"'Sheet1'!$L$16"}</definedName>
    <definedName name="______tha1" localSheetId="3" hidden="1">{"'Sheet1'!$L$16"}</definedName>
    <definedName name="______tha1" hidden="1">{"'Sheet1'!$L$16"}</definedName>
    <definedName name="______TS2004" localSheetId="3" hidden="1">{"'Sheet1'!$L$16"}</definedName>
    <definedName name="______TS2004" hidden="1">{"'Sheet1'!$L$16"}</definedName>
    <definedName name="______tt3" localSheetId="3" hidden="1">{"'Sheet1'!$L$16"}</definedName>
    <definedName name="______tt3" hidden="1">{"'Sheet1'!$L$16"}</definedName>
    <definedName name="______tu4" localSheetId="3" hidden="1">{"'Sheet1'!$L$16"}</definedName>
    <definedName name="______tu4" hidden="1">{"'Sheet1'!$L$16"}</definedName>
    <definedName name="______xlfn.BAHTTEXT" hidden="1">#NAME?</definedName>
    <definedName name="_____a1" localSheetId="3" hidden="1">{"'Sheet1'!$L$16"}</definedName>
    <definedName name="_____a1" hidden="1">{"'Sheet1'!$L$16"}</definedName>
    <definedName name="_____a100" localSheetId="3" hidden="1">{"'Sheet1'!$L$16"}</definedName>
    <definedName name="_____a100" hidden="1">{"'Sheet1'!$L$16"}</definedName>
    <definedName name="_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3" hidden="1">{"'Sheet1'!$L$16"}</definedName>
    <definedName name="_____a2" hidden="1">{"'Sheet1'!$L$16"}</definedName>
    <definedName name="_____a3" localSheetId="3" hidden="1">{"'Sheet1'!$L$16"}</definedName>
    <definedName name="_____a3" hidden="1">{"'Sheet1'!$L$16"}</definedName>
    <definedName name="_____BG12" localSheetId="3" hidden="1">{"'Sheet1'!$L$16"}</definedName>
    <definedName name="_____BG12" hidden="1">{"'Sheet1'!$L$16"}</definedName>
    <definedName name="_____CN1" localSheetId="3" hidden="1">{"'Sheet1'!$L$16"}</definedName>
    <definedName name="_____CN1" hidden="1">{"'Sheet1'!$L$16"}</definedName>
    <definedName name="_____d1500" localSheetId="3" hidden="1">{"'Sheet1'!$L$16"}</definedName>
    <definedName name="_____d1500" hidden="1">{"'Sheet1'!$L$16"}</definedName>
    <definedName name="_____DM24" localSheetId="3" hidden="1">{"'Sheet1'!$L$16"}</definedName>
    <definedName name="_____DM24" hidden="1">{"'Sheet1'!$L$16"}</definedName>
    <definedName name="_____Goi8" localSheetId="3" hidden="1">{"'Sheet1'!$L$16"}</definedName>
    <definedName name="_____Goi8" hidden="1">{"'Sheet1'!$L$16"}</definedName>
    <definedName name="_____h1" localSheetId="3" hidden="1">{"'Sheet1'!$L$16"}</definedName>
    <definedName name="_____h1" hidden="1">{"'Sheet1'!$L$16"}</definedName>
    <definedName name="_____hu1" localSheetId="3" hidden="1">{"'Sheet1'!$L$16"}</definedName>
    <definedName name="_____hu1" hidden="1">{"'Sheet1'!$L$16"}</definedName>
    <definedName name="_____hu2" localSheetId="3" hidden="1">{"'Sheet1'!$L$16"}</definedName>
    <definedName name="_____hu2" hidden="1">{"'Sheet1'!$L$16"}</definedName>
    <definedName name="_____hu5" localSheetId="3" hidden="1">{"'Sheet1'!$L$16"}</definedName>
    <definedName name="_____hu5" hidden="1">{"'Sheet1'!$L$16"}</definedName>
    <definedName name="_____hu6" localSheetId="3" hidden="1">{"'Sheet1'!$L$16"}</definedName>
    <definedName name="_____hu6" hidden="1">{"'Sheet1'!$L$16"}</definedName>
    <definedName name="_____huy1" localSheetId="3" hidden="1">{"'Sheet1'!$L$16"}</definedName>
    <definedName name="_____huy1" hidden="1">{"'Sheet1'!$L$16"}</definedName>
    <definedName name="_____key2" localSheetId="3" hidden="1">#REF!</definedName>
    <definedName name="_____key2" hidden="1">#REF!</definedName>
    <definedName name="_____KL1048" localSheetId="3" hidden="1">{"'Sheet1'!$L$16"}</definedName>
    <definedName name="_____KL1048" hidden="1">{"'Sheet1'!$L$16"}</definedName>
    <definedName name="_____Lan1" localSheetId="3" hidden="1">{"'Sheet1'!$L$16"}</definedName>
    <definedName name="_____Lan1" hidden="1">{"'Sheet1'!$L$16"}</definedName>
    <definedName name="_____LAN3" localSheetId="3" hidden="1">{"'Sheet1'!$L$16"}</definedName>
    <definedName name="_____LAN3" hidden="1">{"'Sheet1'!$L$16"}</definedName>
    <definedName name="_____lao2" localSheetId="3" hidden="1">{"'Sheet1'!$L$16"}</definedName>
    <definedName name="_____lao2" hidden="1">{"'Sheet1'!$L$16"}</definedName>
    <definedName name="_____lk2" localSheetId="3" hidden="1">{"'Sheet1'!$L$16"}</definedName>
    <definedName name="_____lk2" hidden="1">{"'Sheet1'!$L$16"}</definedName>
    <definedName name="_____m1233" localSheetId="3" hidden="1">{"'Sheet1'!$L$16"}</definedName>
    <definedName name="_____m1233" hidden="1">{"'Sheet1'!$L$16"}</definedName>
    <definedName name="_____M2" localSheetId="3" hidden="1">{"'Sheet1'!$L$16"}</definedName>
    <definedName name="_____M2" hidden="1">{"'Sheet1'!$L$16"}</definedName>
    <definedName name="_____MCC3" localSheetId="3" hidden="1">{#N/A,#N/A,FALSE,"CCTV"}</definedName>
    <definedName name="_____MCC3" hidden="1">{#N/A,#N/A,FALSE,"CCTV"}</definedName>
    <definedName name="_____NSO2" localSheetId="3" hidden="1">{"'Sheet1'!$L$16"}</definedName>
    <definedName name="_____NSO2" hidden="1">{"'Sheet1'!$L$16"}</definedName>
    <definedName name="_____PA3" localSheetId="3" hidden="1">{"'Sheet1'!$L$16"}</definedName>
    <definedName name="_____PA3" hidden="1">{"'Sheet1'!$L$16"}</definedName>
    <definedName name="_____pa4" localSheetId="3" hidden="1">{"'Sheet1'!$L$16"}</definedName>
    <definedName name="_____pa4" hidden="1">{"'Sheet1'!$L$16"}</definedName>
    <definedName name="_____SCL4" localSheetId="3" hidden="1">{"'Sheet1'!$L$16"}</definedName>
    <definedName name="_____SCL4" hidden="1">{"'Sheet1'!$L$16"}</definedName>
    <definedName name="_____tb2" localSheetId="3" hidden="1">{"'Sheet1'!$L$16"}</definedName>
    <definedName name="_____tb2" hidden="1">{"'Sheet1'!$L$16"}</definedName>
    <definedName name="_____tha1" localSheetId="3" hidden="1">{"'Sheet1'!$L$16"}</definedName>
    <definedName name="_____tha1" hidden="1">{"'Sheet1'!$L$16"}</definedName>
    <definedName name="_____TM2" localSheetId="3" hidden="1">{"'Sheet1'!$L$16"}</definedName>
    <definedName name="_____TM2" hidden="1">{"'Sheet1'!$L$16"}</definedName>
    <definedName name="_____TS2004" localSheetId="3" hidden="1">{"'Sheet1'!$L$16"}</definedName>
    <definedName name="_____TS2004" hidden="1">{"'Sheet1'!$L$16"}</definedName>
    <definedName name="_____tt3" localSheetId="3" hidden="1">{"'Sheet1'!$L$16"}</definedName>
    <definedName name="_____tt3" hidden="1">{"'Sheet1'!$L$16"}</definedName>
    <definedName name="_____tu4" localSheetId="3" hidden="1">{"'Sheet1'!$L$16"}</definedName>
    <definedName name="_____tu4" hidden="1">{"'Sheet1'!$L$16"}</definedName>
    <definedName name="_____xlfn.BAHTTEXT" hidden="1">#NAME?</definedName>
    <definedName name="____a1" localSheetId="3" hidden="1">{"'Sheet1'!$L$16"}</definedName>
    <definedName name="____a1" hidden="1">{"'Sheet1'!$L$16"}</definedName>
    <definedName name="____a100" localSheetId="3" hidden="1">{"'Sheet1'!$L$16"}</definedName>
    <definedName name="____a100" hidden="1">{"'Sheet1'!$L$16"}</definedName>
    <definedName name="_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localSheetId="3" hidden="1">{"'Sheet1'!$L$16"}</definedName>
    <definedName name="____a2" hidden="1">{"'Sheet1'!$L$16"}</definedName>
    <definedName name="____a3" localSheetId="3" hidden="1">{"'Sheet1'!$L$16"}</definedName>
    <definedName name="____a3" hidden="1">{"'Sheet1'!$L$16"}</definedName>
    <definedName name="____A4" localSheetId="3" hidden="1">{"'Sheet1'!$L$16"}</definedName>
    <definedName name="____A4" hidden="1">{"'Sheet1'!$L$16"}</definedName>
    <definedName name="____BG12" localSheetId="3" hidden="1">{"'Sheet1'!$L$16"}</definedName>
    <definedName name="____BG12" hidden="1">{"'Sheet1'!$L$16"}</definedName>
    <definedName name="____cep1" localSheetId="3" hidden="1">{"'Sheet1'!$L$16"}</definedName>
    <definedName name="____cep1" hidden="1">{"'Sheet1'!$L$16"}</definedName>
    <definedName name="____CN1" localSheetId="3" hidden="1">{"'Sheet1'!$L$16"}</definedName>
    <definedName name="____CN1" hidden="1">{"'Sheet1'!$L$16"}</definedName>
    <definedName name="____D1" localSheetId="3" hidden="1">{"'Sheet1'!$L$16"}</definedName>
    <definedName name="____D1" hidden="1">{"'Sheet1'!$L$16"}</definedName>
    <definedName name="____d1500" localSheetId="3" hidden="1">{"'Sheet1'!$L$16"}</definedName>
    <definedName name="____d1500" hidden="1">{"'Sheet1'!$L$16"}</definedName>
    <definedName name="____D2" localSheetId="3" hidden="1">{"'Sheet1'!$L$16"}</definedName>
    <definedName name="____D2" hidden="1">{"'Sheet1'!$L$16"}</definedName>
    <definedName name="____DM24" localSheetId="3" hidden="1">{"'Sheet1'!$L$16"}</definedName>
    <definedName name="____DM24" hidden="1">{"'Sheet1'!$L$16"}</definedName>
    <definedName name="____GD1" localSheetId="3" hidden="1">{#N/A,#N/A,FALSE,"Chi tiÆt"}</definedName>
    <definedName name="____GD1" hidden="1">{#N/A,#N/A,FALSE,"Chi tiÆt"}</definedName>
    <definedName name="____GD2" localSheetId="3" hidden="1">{"'Sheet1'!$L$16"}</definedName>
    <definedName name="____GD2" hidden="1">{"'Sheet1'!$L$16"}</definedName>
    <definedName name="____Goi8" localSheetId="3" hidden="1">{"'Sheet1'!$L$16"}</definedName>
    <definedName name="____Goi8" hidden="1">{"'Sheet1'!$L$16"}</definedName>
    <definedName name="____h1" localSheetId="3" hidden="1">{"'Sheet1'!$L$16"}</definedName>
    <definedName name="____h1" hidden="1">{"'Sheet1'!$L$16"}</definedName>
    <definedName name="____hu1" localSheetId="3" hidden="1">{"'Sheet1'!$L$16"}</definedName>
    <definedName name="____hu1" hidden="1">{"'Sheet1'!$L$16"}</definedName>
    <definedName name="____hu2" localSheetId="3" hidden="1">{"'Sheet1'!$L$16"}</definedName>
    <definedName name="____hu2" hidden="1">{"'Sheet1'!$L$16"}</definedName>
    <definedName name="____hu5" localSheetId="3" hidden="1">{"'Sheet1'!$L$16"}</definedName>
    <definedName name="____hu5" hidden="1">{"'Sheet1'!$L$16"}</definedName>
    <definedName name="____hu6" localSheetId="3" hidden="1">{"'Sheet1'!$L$16"}</definedName>
    <definedName name="____hu6" hidden="1">{"'Sheet1'!$L$16"}</definedName>
    <definedName name="____hu7" localSheetId="3" hidden="1">{"'Sheet1'!$L$16"}</definedName>
    <definedName name="____hu7" hidden="1">{"'Sheet1'!$L$16"}</definedName>
    <definedName name="____huy1" localSheetId="3" hidden="1">{"'Sheet1'!$L$16"}</definedName>
    <definedName name="____huy1" hidden="1">{"'Sheet1'!$L$16"}</definedName>
    <definedName name="____key2" localSheetId="3" hidden="1">#REF!</definedName>
    <definedName name="____key2" hidden="1">#REF!</definedName>
    <definedName name="____KL1048" localSheetId="3" hidden="1">{"'Sheet1'!$L$16"}</definedName>
    <definedName name="____KL1048" hidden="1">{"'Sheet1'!$L$16"}</definedName>
    <definedName name="____Lan1" localSheetId="3" hidden="1">{"'Sheet1'!$L$16"}</definedName>
    <definedName name="____Lan1" hidden="1">{"'Sheet1'!$L$16"}</definedName>
    <definedName name="____LAN3" localSheetId="3" hidden="1">{"'Sheet1'!$L$16"}</definedName>
    <definedName name="____LAN3" hidden="1">{"'Sheet1'!$L$16"}</definedName>
    <definedName name="____lk2" localSheetId="3" hidden="1">{"'Sheet1'!$L$16"}</definedName>
    <definedName name="____lk2" hidden="1">{"'Sheet1'!$L$16"}</definedName>
    <definedName name="____m1233" localSheetId="3" hidden="1">{"'Sheet1'!$L$16"}</definedName>
    <definedName name="____m1233" hidden="1">{"'Sheet1'!$L$16"}</definedName>
    <definedName name="____M2" localSheetId="3" hidden="1">{"'Sheet1'!$L$16"}</definedName>
    <definedName name="____M2" hidden="1">{"'Sheet1'!$L$16"}</definedName>
    <definedName name="____M36" localSheetId="3" hidden="1">{"'Sheet1'!$L$16"}</definedName>
    <definedName name="____M36" hidden="1">{"'Sheet1'!$L$16"}</definedName>
    <definedName name="____m4" localSheetId="3" hidden="1">{"'Sheet1'!$L$16"}</definedName>
    <definedName name="____m4" hidden="1">{"'Sheet1'!$L$16"}</definedName>
    <definedName name="____MCC3" localSheetId="3" hidden="1">{#N/A,#N/A,FALSE,"CCTV"}</definedName>
    <definedName name="____MCC3" hidden="1">{#N/A,#N/A,FALSE,"CCTV"}</definedName>
    <definedName name="____NSO2" localSheetId="3" hidden="1">{"'Sheet1'!$L$16"}</definedName>
    <definedName name="____NSO2" hidden="1">{"'Sheet1'!$L$16"}</definedName>
    <definedName name="____PA3" localSheetId="3" hidden="1">{"'Sheet1'!$L$16"}</definedName>
    <definedName name="____PA3" hidden="1">{"'Sheet1'!$L$16"}</definedName>
    <definedName name="____pa4" localSheetId="3" hidden="1">{"'Sheet1'!$L$16"}</definedName>
    <definedName name="____pa4" hidden="1">{"'Sheet1'!$L$16"}</definedName>
    <definedName name="____PPP3" localSheetId="3" hidden="1">{#N/A,#N/A,FALSE,"特殊室（ＢＱ表）"}</definedName>
    <definedName name="____PPP3" hidden="1">{#N/A,#N/A,FALSE,"特殊室（ＢＱ表）"}</definedName>
    <definedName name="____PPP33" localSheetId="3" hidden="1">{#N/A,#N/A,FALSE,"特殊室（ＢＱ表）"}</definedName>
    <definedName name="____PPP33" hidden="1">{#N/A,#N/A,FALSE,"特殊室（ＢＱ表）"}</definedName>
    <definedName name="____ppp34" localSheetId="3" hidden="1">{#N/A,#N/A,FALSE,"特殊室（ＢＱ表）"}</definedName>
    <definedName name="____ppp34" hidden="1">{#N/A,#N/A,FALSE,"特殊室（ＢＱ表）"}</definedName>
    <definedName name="____ppp3444" localSheetId="3" hidden="1">{#N/A,#N/A,FALSE,"特殊室（ＢＱ表）"}</definedName>
    <definedName name="____ppp3444" hidden="1">{#N/A,#N/A,FALSE,"特殊室（ＢＱ表）"}</definedName>
    <definedName name="____ql1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localSheetId="3" hidden="1">{"'Sheet1'!$L$16"}</definedName>
    <definedName name="____SCL4" hidden="1">{"'Sheet1'!$L$16"}</definedName>
    <definedName name="____T10" localSheetId="3" hidden="1">{"'Sheet1'!$L$16"}</definedName>
    <definedName name="____T10" hidden="1">{"'Sheet1'!$L$16"}</definedName>
    <definedName name="____tb2" localSheetId="3" hidden="1">{"'Sheet1'!$L$16"}</definedName>
    <definedName name="____tb2" hidden="1">{"'Sheet1'!$L$16"}</definedName>
    <definedName name="____tha1" localSheetId="3" hidden="1">{"'Sheet1'!$L$16"}</definedName>
    <definedName name="____tha1" hidden="1">{"'Sheet1'!$L$16"}</definedName>
    <definedName name="____tm1" localSheetId="3" hidden="1">{"'Sheet1'!$L$16"}</definedName>
    <definedName name="____tm1" hidden="1">{"'Sheet1'!$L$16"}</definedName>
    <definedName name="____TM2" localSheetId="3" hidden="1">{"'Sheet1'!$L$16"}</definedName>
    <definedName name="____TM2" hidden="1">{"'Sheet1'!$L$16"}</definedName>
    <definedName name="____TS2004" localSheetId="3" hidden="1">{"'Sheet1'!$L$16"}</definedName>
    <definedName name="____TS2004" hidden="1">{"'Sheet1'!$L$16"}</definedName>
    <definedName name="____tt3" localSheetId="3" hidden="1">{"'Sheet1'!$L$16"}</definedName>
    <definedName name="____tt3" hidden="1">{"'Sheet1'!$L$16"}</definedName>
    <definedName name="____tu4" localSheetId="3" hidden="1">{"'Sheet1'!$L$16"}</definedName>
    <definedName name="____tu4" hidden="1">{"'Sheet1'!$L$16"}</definedName>
    <definedName name="____tu5" localSheetId="3" hidden="1">{"'Sheet1'!$L$16"}</definedName>
    <definedName name="____tu5" hidden="1">{"'Sheet1'!$L$16"}</definedName>
    <definedName name="____xlfn.BAHTTEXT" hidden="1">#NAME?</definedName>
    <definedName name="___a1" localSheetId="3" hidden="1">{"'Sheet1'!$L$16"}</definedName>
    <definedName name="___a1" hidden="1">{"'Sheet1'!$L$16"}</definedName>
    <definedName name="___a100" localSheetId="3" hidden="1">{"'Sheet1'!$L$16"}</definedName>
    <definedName name="___a100" hidden="1">{"'Sheet1'!$L$16"}</definedName>
    <definedName name="_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localSheetId="3" hidden="1">{"'Sheet1'!$L$16"}</definedName>
    <definedName name="___a2" hidden="1">{"'Sheet1'!$L$16"}</definedName>
    <definedName name="___a3" localSheetId="3" hidden="1">{"'Sheet1'!$L$16"}</definedName>
    <definedName name="___a3" hidden="1">{"'Sheet1'!$L$16"}</definedName>
    <definedName name="___A4" localSheetId="3" hidden="1">{"'Sheet1'!$L$16"}</definedName>
    <definedName name="___A4" hidden="1">{"'Sheet1'!$L$16"}</definedName>
    <definedName name="___BG12" localSheetId="3" hidden="1">{"'Sheet1'!$L$16"}</definedName>
    <definedName name="___BG12" hidden="1">{"'Sheet1'!$L$16"}</definedName>
    <definedName name="___cep1" localSheetId="3" hidden="1">{"'Sheet1'!$L$16"}</definedName>
    <definedName name="___cep1" hidden="1">{"'Sheet1'!$L$16"}</definedName>
    <definedName name="___CN1" localSheetId="3" hidden="1">{"'Sheet1'!$L$16"}</definedName>
    <definedName name="___CN1" hidden="1">{"'Sheet1'!$L$16"}</definedName>
    <definedName name="___coc1000" localSheetId="3" hidden="1">{#N/A,#N/A,FALSE,"Chi tiÆt"}</definedName>
    <definedName name="___coc1000" hidden="1">{#N/A,#N/A,FALSE,"Chi tiÆt"}</definedName>
    <definedName name="___Coc39" localSheetId="3" hidden="1">{"'Sheet1'!$L$16"}</definedName>
    <definedName name="___Coc39" hidden="1">{"'Sheet1'!$L$16"}</definedName>
    <definedName name="___Cty501" localSheetId="3" hidden="1">{"'Sheet1'!$L$16"}</definedName>
    <definedName name="___Cty501" hidden="1">{"'Sheet1'!$L$16"}</definedName>
    <definedName name="___D1" localSheetId="3" hidden="1">{"'Sheet1'!$L$16"}</definedName>
    <definedName name="___D1" hidden="1">{"'Sheet1'!$L$16"}</definedName>
    <definedName name="___d1500" localSheetId="3" hidden="1">{"'Sheet1'!$L$16"}</definedName>
    <definedName name="___d1500" hidden="1">{"'Sheet1'!$L$16"}</definedName>
    <definedName name="___D2" localSheetId="3" hidden="1">{"'Sheet1'!$L$16"}</definedName>
    <definedName name="___D2" hidden="1">{"'Sheet1'!$L$16"}</definedName>
    <definedName name="___DM24" localSheetId="3" hidden="1">{"'Sheet1'!$L$16"}</definedName>
    <definedName name="___DM24" hidden="1">{"'Sheet1'!$L$16"}</definedName>
    <definedName name="___E1200" localSheetId="3" hidden="1">{"'Sheet1'!$L$16"}</definedName>
    <definedName name="___E1200" hidden="1">{"'Sheet1'!$L$16"}</definedName>
    <definedName name="___GD1" localSheetId="3" hidden="1">{#N/A,#N/A,FALSE,"Chi tiÆt"}</definedName>
    <definedName name="___GD1" hidden="1">{#N/A,#N/A,FALSE,"Chi tiÆt"}</definedName>
    <definedName name="___GD2" localSheetId="3" hidden="1">{"'Sheet1'!$L$16"}</definedName>
    <definedName name="___GD2" hidden="1">{"'Sheet1'!$L$16"}</definedName>
    <definedName name="___Goi8" localSheetId="3" hidden="1">{"'Sheet1'!$L$16"}</definedName>
    <definedName name="___Goi8" hidden="1">{"'Sheet1'!$L$16"}</definedName>
    <definedName name="___h1" localSheetId="3" hidden="1">{"'Sheet1'!$L$16"}</definedName>
    <definedName name="___h1" hidden="1">{"'Sheet1'!$L$16"}</definedName>
    <definedName name="___hu1" localSheetId="3" hidden="1">{"'Sheet1'!$L$16"}</definedName>
    <definedName name="___hu1" hidden="1">{"'Sheet1'!$L$16"}</definedName>
    <definedName name="___hu2" localSheetId="3" hidden="1">{"'Sheet1'!$L$16"}</definedName>
    <definedName name="___hu2" hidden="1">{"'Sheet1'!$L$16"}</definedName>
    <definedName name="___hu5" localSheetId="3" hidden="1">{"'Sheet1'!$L$16"}</definedName>
    <definedName name="___hu5" hidden="1">{"'Sheet1'!$L$16"}</definedName>
    <definedName name="___hu6" localSheetId="3" hidden="1">{"'Sheet1'!$L$16"}</definedName>
    <definedName name="___hu6" hidden="1">{"'Sheet1'!$L$16"}</definedName>
    <definedName name="___huy1" localSheetId="3" hidden="1">{"'Sheet1'!$L$16"}</definedName>
    <definedName name="___huy1" hidden="1">{"'Sheet1'!$L$16"}</definedName>
    <definedName name="___K146" localSheetId="3" hidden="1">{"'Sheet1'!$L$16"}</definedName>
    <definedName name="___K146" hidden="1">{"'Sheet1'!$L$16"}</definedName>
    <definedName name="___key1" localSheetId="3" hidden="1">#REF!</definedName>
    <definedName name="___key1" hidden="1">#REF!</definedName>
    <definedName name="___key2" localSheetId="3" hidden="1">#REF!</definedName>
    <definedName name="___key2" hidden="1">#REF!</definedName>
    <definedName name="___KL1048" localSheetId="3" hidden="1">{"'Sheet1'!$L$16"}</definedName>
    <definedName name="___KL1048" hidden="1">{"'Sheet1'!$L$16"}</definedName>
    <definedName name="___KL3" localSheetId="3" hidden="1">{"'Sheet1'!$L$16"}</definedName>
    <definedName name="___KL3" hidden="1">{"'Sheet1'!$L$16"}</definedName>
    <definedName name="___KM22" localSheetId="3" hidden="1">{"'Sheet1'!$L$16"}</definedName>
    <definedName name="___KM22" hidden="1">{"'Sheet1'!$L$16"}</definedName>
    <definedName name="___KM34" localSheetId="3" hidden="1">{"'Sheet1'!$L$16"}</definedName>
    <definedName name="___KM34" hidden="1">{"'Sheet1'!$L$16"}</definedName>
    <definedName name="___km51" localSheetId="3" hidden="1">{"'Sheet1'!$L$16"}</definedName>
    <definedName name="___km51" hidden="1">{"'Sheet1'!$L$16"}</definedName>
    <definedName name="___Lan1" localSheetId="3" hidden="1">{"'Sheet1'!$L$16"}</definedName>
    <definedName name="___Lan1" hidden="1">{"'Sheet1'!$L$16"}</definedName>
    <definedName name="___LAN3" localSheetId="3" hidden="1">{"'Sheet1'!$L$16"}</definedName>
    <definedName name="___LAN3" hidden="1">{"'Sheet1'!$L$16"}</definedName>
    <definedName name="___lao2" localSheetId="3" hidden="1">{"'Sheet1'!$L$16"}</definedName>
    <definedName name="___lao2" hidden="1">{"'Sheet1'!$L$16"}</definedName>
    <definedName name="___lk2" localSheetId="3" hidden="1">{"'Sheet1'!$L$16"}</definedName>
    <definedName name="___lk2" hidden="1">{"'Sheet1'!$L$16"}</definedName>
    <definedName name="___m1233" localSheetId="3" hidden="1">{"'Sheet1'!$L$16"}</definedName>
    <definedName name="___m1233" hidden="1">{"'Sheet1'!$L$16"}</definedName>
    <definedName name="___M2" localSheetId="3" hidden="1">{"'Sheet1'!$L$16"}</definedName>
    <definedName name="___M2" hidden="1">{"'Sheet1'!$L$16"}</definedName>
    <definedName name="___M36" localSheetId="3" hidden="1">{"'Sheet1'!$L$16"}</definedName>
    <definedName name="___M36" hidden="1">{"'Sheet1'!$L$16"}</definedName>
    <definedName name="___MCC3" localSheetId="3" hidden="1">{#N/A,#N/A,FALSE,"CCTV"}</definedName>
    <definedName name="___MCC3" hidden="1">{#N/A,#N/A,FALSE,"CCTV"}</definedName>
    <definedName name="___moi2" localSheetId="3" hidden="1">{"'Sheet1'!$L$16"}</definedName>
    <definedName name="___moi2" hidden="1">{"'Sheet1'!$L$16"}</definedName>
    <definedName name="___NK5" localSheetId="3" hidden="1">{"'Sheet1'!$L$16"}</definedName>
    <definedName name="___NK5" hidden="1">{"'Sheet1'!$L$16"}</definedName>
    <definedName name="___NSO2" localSheetId="3" hidden="1">{"'Sheet1'!$L$16"}</definedName>
    <definedName name="___NSO2" hidden="1">{"'Sheet1'!$L$16"}</definedName>
    <definedName name="___P3" localSheetId="3" hidden="1">{#N/A,#N/A,FALSE,"特殊室（ＢＱ表）"}</definedName>
    <definedName name="___P3" hidden="1">{#N/A,#N/A,FALSE,"特殊室（ＢＱ表）"}</definedName>
    <definedName name="___PA3" localSheetId="3" hidden="1">{"'Sheet1'!$L$16"}</definedName>
    <definedName name="___PA3" hidden="1">{"'Sheet1'!$L$16"}</definedName>
    <definedName name="___pa4" localSheetId="3" hidden="1">{"'Sheet1'!$L$16"}</definedName>
    <definedName name="___pa4" hidden="1">{"'Sheet1'!$L$16"}</definedName>
    <definedName name="___PPP3" localSheetId="3" hidden="1">{#N/A,#N/A,FALSE,"特殊室（ＢＱ表）"}</definedName>
    <definedName name="___PPP3" hidden="1">{#N/A,#N/A,FALSE,"特殊室（ＢＱ表）"}</definedName>
    <definedName name="___PPP33" localSheetId="3" hidden="1">{#N/A,#N/A,FALSE,"特殊室（ＢＱ表）"}</definedName>
    <definedName name="___PPP33" hidden="1">{#N/A,#N/A,FALSE,"特殊室（ＢＱ表）"}</definedName>
    <definedName name="___ppp34" localSheetId="3" hidden="1">{#N/A,#N/A,FALSE,"特殊室（ＢＱ表）"}</definedName>
    <definedName name="___ppp34" hidden="1">{#N/A,#N/A,FALSE,"特殊室（ＢＱ表）"}</definedName>
    <definedName name="___ppp3444" localSheetId="3" hidden="1">{#N/A,#N/A,FALSE,"特殊室（ＢＱ表）"}</definedName>
    <definedName name="___ppp3444" hidden="1">{#N/A,#N/A,FALSE,"特殊室（ＢＱ表）"}</definedName>
    <definedName name="___ql1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localSheetId="3" hidden="1">{"'Sheet1'!$L$16"}</definedName>
    <definedName name="___SCL4" hidden="1">{"'Sheet1'!$L$16"}</definedName>
    <definedName name="___sum1" localSheetId="3" hidden="1">#REF!</definedName>
    <definedName name="___sum1" hidden="1">#REF!</definedName>
    <definedName name="___tb2" localSheetId="3" hidden="1">{"'Sheet1'!$L$16"}</definedName>
    <definedName name="___tb2" hidden="1">{"'Sheet1'!$L$16"}</definedName>
    <definedName name="___td1" localSheetId="3" hidden="1">{"'Sheet1'!$L$16"}</definedName>
    <definedName name="___td1" hidden="1">{"'Sheet1'!$L$16"}</definedName>
    <definedName name="___TD3" localSheetId="3" hidden="1">{"'Sheet1'!$L$16"}</definedName>
    <definedName name="___TD3" hidden="1">{"'Sheet1'!$L$16"}</definedName>
    <definedName name="___th1" localSheetId="3" hidden="1">{"Offgrid",#N/A,FALSE,"OFFGRID";"Region",#N/A,FALSE,"REGION";"Offgrid -2",#N/A,FALSE,"OFFGRID";"WTP",#N/A,FALSE,"WTP";"WTP -2",#N/A,FALSE,"WTP";"Project",#N/A,FALSE,"PROJECT";"Summary -2",#N/A,FALSE,"SUMMARY"}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localSheetId="3" hidden="1">{"'Sheet1'!$L$16"}</definedName>
    <definedName name="___tha1" hidden="1">{"'Sheet1'!$L$16"}</definedName>
    <definedName name="___tm1" localSheetId="3" hidden="1">{"'Sheet1'!$L$16"}</definedName>
    <definedName name="___tm1" hidden="1">{"'Sheet1'!$L$16"}</definedName>
    <definedName name="___TM2" localSheetId="3" hidden="1">{"'Sheet1'!$L$16"}</definedName>
    <definedName name="___TM2" hidden="1">{"'Sheet1'!$L$16"}</definedName>
    <definedName name="___TS2004" localSheetId="3" hidden="1">{"'Sheet1'!$L$16"}</definedName>
    <definedName name="___TS2004" hidden="1">{"'Sheet1'!$L$16"}</definedName>
    <definedName name="___tt3" localSheetId="3" hidden="1">{"'Sheet1'!$L$16"}</definedName>
    <definedName name="___tt3" hidden="1">{"'Sheet1'!$L$16"}</definedName>
    <definedName name="___tu4" localSheetId="3" hidden="1">{"'Sheet1'!$L$16"}</definedName>
    <definedName name="___tu4" hidden="1">{"'Sheet1'!$L$16"}</definedName>
    <definedName name="___tu5" localSheetId="3" hidden="1">{"'Sheet1'!$L$16"}</definedName>
    <definedName name="___tu5" hidden="1">{"'Sheet1'!$L$16"}</definedName>
    <definedName name="___VLP2" localSheetId="3" hidden="1">{"'Sheet1'!$L$16"}</definedName>
    <definedName name="___VLP2" hidden="1">{"'Sheet1'!$L$16"}</definedName>
    <definedName name="___xlfn.BAHTTEXT" hidden="1">#NAME?</definedName>
    <definedName name="___z511" localSheetId="3" hidden="1">{"'Sheet1'!$L$16"}</definedName>
    <definedName name="___z511" hidden="1">{"'Sheet1'!$L$16"}</definedName>
    <definedName name="__a1" localSheetId="3" hidden="1">{"'Sheet1'!$L$16"}</definedName>
    <definedName name="__a1" hidden="1">{"'Sheet1'!$L$16"}</definedName>
    <definedName name="__a100" localSheetId="3" hidden="1">{"'Sheet1'!$L$16"}</definedName>
    <definedName name="__a100" hidden="1">{"'Sheet1'!$L$16"}</definedName>
    <definedName name="_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localSheetId="3" hidden="1">{"'Sheet1'!$L$16"}</definedName>
    <definedName name="__a2" hidden="1">{"'Sheet1'!$L$16"}</definedName>
    <definedName name="__a3" localSheetId="3" hidden="1">{"'Sheet1'!$L$16"}</definedName>
    <definedName name="__a3" hidden="1">{"'Sheet1'!$L$16"}</definedName>
    <definedName name="__A4" localSheetId="3" hidden="1">{"'Sheet1'!$L$16"}</definedName>
    <definedName name="__A4" hidden="1">{"'Sheet1'!$L$16"}</definedName>
    <definedName name="__a9" localSheetId="3" hidden="1">{"'Sheet1'!$L$16"}</definedName>
    <definedName name="__a9" hidden="1">{"'Sheet1'!$L$16"}</definedName>
    <definedName name="__B19" localSheetId="3" hidden="1">{"'Sheet1'!$L$16"}</definedName>
    <definedName name="__B19" hidden="1">{"'Sheet1'!$L$16"}</definedName>
    <definedName name="__BG12" localSheetId="3" hidden="1">{"'Sheet1'!$L$16"}</definedName>
    <definedName name="__BG12" hidden="1">{"'Sheet1'!$L$16"}</definedName>
    <definedName name="__CD2" localSheetId="3" hidden="1">{"'Sheet1'!$L$16"}</definedName>
    <definedName name="__CD2" hidden="1">{"'Sheet1'!$L$16"}</definedName>
    <definedName name="__cep1" localSheetId="3" hidden="1">{"'Sheet1'!$L$16"}</definedName>
    <definedName name="__cep1" hidden="1">{"'Sheet1'!$L$16"}</definedName>
    <definedName name="__CN1" localSheetId="3" hidden="1">{"'Sheet1'!$L$16"}</definedName>
    <definedName name="__CN1" hidden="1">{"'Sheet1'!$L$16"}</definedName>
    <definedName name="__coc1000" localSheetId="3" hidden="1">{#N/A,#N/A,FALSE,"Chi tiÆt"}</definedName>
    <definedName name="__coc1000" hidden="1">{#N/A,#N/A,FALSE,"Chi tiÆt"}</definedName>
    <definedName name="__Coc39" localSheetId="3" hidden="1">{"'Sheet1'!$L$16"}</definedName>
    <definedName name="__Coc39" hidden="1">{"'Sheet1'!$L$16"}</definedName>
    <definedName name="__Cty501" localSheetId="3" hidden="1">{"'Sheet1'!$L$16"}</definedName>
    <definedName name="__Cty501" hidden="1">{"'Sheet1'!$L$16"}</definedName>
    <definedName name="__D1" localSheetId="3" hidden="1">{"'Sheet1'!$L$16"}</definedName>
    <definedName name="__D1" hidden="1">{"'Sheet1'!$L$16"}</definedName>
    <definedName name="__d1500" localSheetId="3" hidden="1">{"'Sheet1'!$L$16"}</definedName>
    <definedName name="__d1500" hidden="1">{"'Sheet1'!$L$16"}</definedName>
    <definedName name="__D2" localSheetId="3" hidden="1">{"'Sheet1'!$L$16"}</definedName>
    <definedName name="__D2" hidden="1">{"'Sheet1'!$L$16"}</definedName>
    <definedName name="__D41" localSheetId="3" hidden="1">{"'Sheet1'!$L$16"}</definedName>
    <definedName name="__D41" hidden="1">{"'Sheet1'!$L$16"}</definedName>
    <definedName name="__D42" localSheetId="3" hidden="1">{"'Sheet1'!$L$16"}</definedName>
    <definedName name="__D42" hidden="1">{"'Sheet1'!$L$16"}</definedName>
    <definedName name="__D6" localSheetId="3" hidden="1">{#N/A,#N/A,FALSE,"Chi tiÆt"}</definedName>
    <definedName name="__D6" hidden="1">{#N/A,#N/A,FALSE,"Chi tiÆt"}</definedName>
    <definedName name="__dao2" localSheetId="3" hidden="1">{"'Sheet1'!$L$16"}</definedName>
    <definedName name="__dao2" hidden="1">{"'Sheet1'!$L$16"}</definedName>
    <definedName name="__DM24" localSheetId="3" hidden="1">{"'Sheet1'!$L$16"}</definedName>
    <definedName name="__DM24" hidden="1">{"'Sheet1'!$L$16"}</definedName>
    <definedName name="__dt3" localSheetId="3" hidden="1">{"'Sheet1'!$L$16"}</definedName>
    <definedName name="__dt3" hidden="1">{"'Sheet1'!$L$16"}</definedName>
    <definedName name="__E1200" localSheetId="3" hidden="1">{"'Sheet1'!$L$16"}</definedName>
    <definedName name="__E1200" hidden="1">{"'Sheet1'!$L$16"}</definedName>
    <definedName name="__f5" localSheetId="3" hidden="1">{"'Sheet1'!$L$16"}</definedName>
    <definedName name="__f5" hidden="1">{"'Sheet1'!$L$16"}</definedName>
    <definedName name="__GD1" localSheetId="3" hidden="1">{#N/A,#N/A,FALSE,"Chi tiÆt"}</definedName>
    <definedName name="__GD1" hidden="1">{#N/A,#N/A,FALSE,"Chi tiÆt"}</definedName>
    <definedName name="__GD2" localSheetId="3" hidden="1">{"'Sheet1'!$L$16"}</definedName>
    <definedName name="__GD2" hidden="1">{"'Sheet1'!$L$16"}</definedName>
    <definedName name="__Goi8" localSheetId="3" hidden="1">{"'Sheet1'!$L$16"}</definedName>
    <definedName name="__Goi8" hidden="1">{"'Sheet1'!$L$16"}</definedName>
    <definedName name="__h1" localSheetId="3" hidden="1">{"'Sheet1'!$L$16"}</definedName>
    <definedName name="__h1" hidden="1">{"'Sheet1'!$L$16"}</definedName>
    <definedName name="__hh1219" localSheetId="3" hidden="1">{"'Sheet1'!$L$16"}</definedName>
    <definedName name="__hh1219" hidden="1">{"'Sheet1'!$L$16"}</definedName>
    <definedName name="__hu1" localSheetId="3" hidden="1">{"'Sheet1'!$L$16"}</definedName>
    <definedName name="__hu1" hidden="1">{"'Sheet1'!$L$16"}</definedName>
    <definedName name="__hu2" localSheetId="3" hidden="1">{"'Sheet1'!$L$16"}</definedName>
    <definedName name="__hu2" hidden="1">{"'Sheet1'!$L$16"}</definedName>
    <definedName name="__hu3" localSheetId="3" hidden="1">{"'Sheet1'!$L$16"}</definedName>
    <definedName name="__hu3" hidden="1">{"'Sheet1'!$L$16"}</definedName>
    <definedName name="__hu5" localSheetId="3" hidden="1">{"'Sheet1'!$L$16"}</definedName>
    <definedName name="__hu5" hidden="1">{"'Sheet1'!$L$16"}</definedName>
    <definedName name="__hu6" localSheetId="3" hidden="1">{"'Sheet1'!$L$16"}</definedName>
    <definedName name="__hu6" hidden="1">{"'Sheet1'!$L$16"}</definedName>
    <definedName name="__hu7" localSheetId="3" hidden="1">{"'Sheet1'!$L$16"}</definedName>
    <definedName name="__hu7" hidden="1">{"'Sheet1'!$L$16"}</definedName>
    <definedName name="__Huy1" localSheetId="3" hidden="1">{"'Sheet1'!$L$16"}</definedName>
    <definedName name="__Huy1" hidden="1">{"'Sheet1'!$L$16"}</definedName>
    <definedName name="__Huy2" localSheetId="3" hidden="1">{"'Sheet1'!$L$16"}</definedName>
    <definedName name="__Huy2" hidden="1">{"'Sheet1'!$L$16"}</definedName>
    <definedName name="__IntlFixup" hidden="1">TRUE</definedName>
    <definedName name="__K146" localSheetId="3" hidden="1">{"'Sheet1'!$L$16"}</definedName>
    <definedName name="__K146" hidden="1">{"'Sheet1'!$L$16"}</definedName>
    <definedName name="__k27" localSheetId="3" hidden="1">{"'Sheet1'!$L$16"}</definedName>
    <definedName name="__k27" hidden="1">{"'Sheet1'!$L$16"}</definedName>
    <definedName name="__key1" localSheetId="3" hidden="1">#REF!</definedName>
    <definedName name="__key1" hidden="1">#REF!</definedName>
    <definedName name="__key2" localSheetId="3" hidden="1">#REF!</definedName>
    <definedName name="__key2" hidden="1">#REF!</definedName>
    <definedName name="__KL1048" localSheetId="3" hidden="1">{"'Sheet1'!$L$16"}</definedName>
    <definedName name="__KL1048" hidden="1">{"'Sheet1'!$L$16"}</definedName>
    <definedName name="__km03" localSheetId="3" hidden="1">{"'Sheet1'!$L$16"}</definedName>
    <definedName name="__km03" hidden="1">{"'Sheet1'!$L$16"}</definedName>
    <definedName name="__KM22" localSheetId="3" hidden="1">{"'Sheet1'!$L$16"}</definedName>
    <definedName name="__KM22" hidden="1">{"'Sheet1'!$L$16"}</definedName>
    <definedName name="__KM34" localSheetId="3" hidden="1">{"'Sheet1'!$L$16"}</definedName>
    <definedName name="__KM34" hidden="1">{"'Sheet1'!$L$16"}</definedName>
    <definedName name="__km51" localSheetId="3" hidden="1">{"'Sheet1'!$L$16"}</definedName>
    <definedName name="__km51" hidden="1">{"'Sheet1'!$L$16"}</definedName>
    <definedName name="__kom1" localSheetId="3" hidden="1">{"'Sheet1'!$L$16"}</definedName>
    <definedName name="__kom1" hidden="1">{"'Sheet1'!$L$16"}</definedName>
    <definedName name="__Lan1" localSheetId="3" hidden="1">{"'Sheet1'!$L$16"}</definedName>
    <definedName name="__Lan1" hidden="1">{"'Sheet1'!$L$16"}</definedName>
    <definedName name="__LAN3" localSheetId="3" hidden="1">{"'Sheet1'!$L$16"}</definedName>
    <definedName name="__LAN3" hidden="1">{"'Sheet1'!$L$16"}</definedName>
    <definedName name="__ld2" localSheetId="3" hidden="1">{"'Sheet1'!$L$16"}</definedName>
    <definedName name="__ld2" hidden="1">{"'Sheet1'!$L$16"}</definedName>
    <definedName name="__lk2" localSheetId="3" hidden="1">{"'Sheet1'!$L$16"}</definedName>
    <definedName name="__lk2" hidden="1">{"'Sheet1'!$L$16"}</definedName>
    <definedName name="__m1233" localSheetId="3" hidden="1">{"'Sheet1'!$L$16"}</definedName>
    <definedName name="__m1233" hidden="1">{"'Sheet1'!$L$16"}</definedName>
    <definedName name="__M2" localSheetId="3" hidden="1">{"'Sheet1'!$L$16"}</definedName>
    <definedName name="__M2" hidden="1">{"'Sheet1'!$L$16"}</definedName>
    <definedName name="__M36" localSheetId="3" hidden="1">{"'Sheet1'!$L$16"}</definedName>
    <definedName name="__M36" hidden="1">{"'Sheet1'!$L$16"}</definedName>
    <definedName name="__m4" localSheetId="3" hidden="1">{"'Sheet1'!$L$16"}</definedName>
    <definedName name="__m4" hidden="1">{"'Sheet1'!$L$16"}</definedName>
    <definedName name="__MCC3" localSheetId="3" hidden="1">{#N/A,#N/A,FALSE,"CCTV"}</definedName>
    <definedName name="__MCC3" hidden="1">{#N/A,#N/A,FALSE,"CCTV"}</definedName>
    <definedName name="__moi2" localSheetId="3" hidden="1">{"'Sheet1'!$L$16"}</definedName>
    <definedName name="__moi2" hidden="1">{"'Sheet1'!$L$16"}</definedName>
    <definedName name="__MTL12" localSheetId="3" hidden="1">{"'Sheet1'!$L$16"}</definedName>
    <definedName name="__MTL12" hidden="1">{"'Sheet1'!$L$16"}</definedName>
    <definedName name="__NCN15" localSheetId="3" hidden="1">{"'Sheet1'!$L$16"}</definedName>
    <definedName name="__NCN15" hidden="1">{"'Sheet1'!$L$16"}</definedName>
    <definedName name="__NK5" localSheetId="3" hidden="1">{"'Sheet1'!$L$16"}</definedName>
    <definedName name="__NK5" hidden="1">{"'Sheet1'!$L$16"}</definedName>
    <definedName name="__NSO2" localSheetId="3" hidden="1">{"'Sheet1'!$L$16"}</definedName>
    <definedName name="__NSO2" hidden="1">{"'Sheet1'!$L$16"}</definedName>
    <definedName name="__p06" localSheetId="3" hidden="1">{"'Sheet1'!$L$16"}</definedName>
    <definedName name="__p06" hidden="1">{"'Sheet1'!$L$16"}</definedName>
    <definedName name="__PA3" localSheetId="3" hidden="1">{"'Sheet1'!$L$16"}</definedName>
    <definedName name="__PA3" hidden="1">{"'Sheet1'!$L$16"}</definedName>
    <definedName name="__pa4" localSheetId="3" hidden="1">{"'Sheet1'!$L$16"}</definedName>
    <definedName name="__pa4" hidden="1">{"'Sheet1'!$L$16"}</definedName>
    <definedName name="__PPP3" localSheetId="3" hidden="1">{#N/A,#N/A,FALSE,"特殊室（ＢＱ表）"}</definedName>
    <definedName name="__PPP3" hidden="1">{#N/A,#N/A,FALSE,"特殊室（ＢＱ表）"}</definedName>
    <definedName name="__PPP33" localSheetId="3" hidden="1">{#N/A,#N/A,FALSE,"特殊室（ＢＱ表）"}</definedName>
    <definedName name="__PPP33" hidden="1">{#N/A,#N/A,FALSE,"特殊室（ＢＱ表）"}</definedName>
    <definedName name="__ppp34" localSheetId="3" hidden="1">{#N/A,#N/A,FALSE,"特殊室（ＢＱ表）"}</definedName>
    <definedName name="__ppp34" hidden="1">{#N/A,#N/A,FALSE,"特殊室（ＢＱ表）"}</definedName>
    <definedName name="__ppp3444" localSheetId="3" hidden="1">{#N/A,#N/A,FALSE,"特殊室（ＢＱ表）"}</definedName>
    <definedName name="__ppp3444" hidden="1">{#N/A,#N/A,FALSE,"特殊室（ＢＱ表）"}</definedName>
    <definedName name="__pq3" localSheetId="3" hidden="1">#REF!</definedName>
    <definedName name="__pq3" hidden="1">#REF!</definedName>
    <definedName name="__pq4" localSheetId="3" hidden="1">#REF!</definedName>
    <definedName name="__pq4" hidden="1">#REF!</definedName>
    <definedName name="__ql1" localSheetId="3" hidden="1">{"Offgrid",#N/A,FALSE,"OFFGRID";"Region",#N/A,FALSE,"REGION";"Offgrid -2",#N/A,FALSE,"OFFGRID";"WTP",#N/A,FALSE,"WTP";"WTP -2",#N/A,FALSE,"WTP";"Project",#N/A,FALSE,"PROJECT";"Summary -2",#N/A,FALSE,"SUMMARY"}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localSheetId="3" hidden="1">#REF!</definedName>
    <definedName name="__QLO7" hidden="1">#REF!</definedName>
    <definedName name="__SB22" localSheetId="3" hidden="1">{"'Sheet1'!$L$16"}</definedName>
    <definedName name="__SB22" hidden="1">{"'Sheet1'!$L$16"}</definedName>
    <definedName name="__SCL4" localSheetId="3" hidden="1">{"'Sheet1'!$L$16"}</definedName>
    <definedName name="__SCL4" hidden="1">{"'Sheet1'!$L$16"}</definedName>
    <definedName name="__SS2" localSheetId="3" hidden="1">{"'Sheet1'!$L$16"}</definedName>
    <definedName name="__SS2" hidden="1">{"'Sheet1'!$L$16"}</definedName>
    <definedName name="__sum1" localSheetId="3" hidden="1">#REF!</definedName>
    <definedName name="__sum1" hidden="1">#REF!</definedName>
    <definedName name="__t1" localSheetId="3" hidden="1">{"'Sheet1'!$L$16"}</definedName>
    <definedName name="__t1" hidden="1">{"'Sheet1'!$L$16"}</definedName>
    <definedName name="__T10" localSheetId="3" hidden="1">{"'Sheet1'!$L$16"}</definedName>
    <definedName name="__T10" hidden="1">{"'Sheet1'!$L$16"}</definedName>
    <definedName name="__T7" localSheetId="3" hidden="1">{"'Sheet1'!$L$16"}</definedName>
    <definedName name="__T7" hidden="1">{"'Sheet1'!$L$16"}</definedName>
    <definedName name="__t9" localSheetId="3" hidden="1">{#N/A,#N/A,FALSE,"Chi tiÆt"}</definedName>
    <definedName name="__t9" hidden="1">{#N/A,#N/A,FALSE,"Chi tiÆt"}</definedName>
    <definedName name="__td1" localSheetId="3" hidden="1">{"'Sheet1'!$L$16"}</definedName>
    <definedName name="__td1" hidden="1">{"'Sheet1'!$L$16"}</definedName>
    <definedName name="__TD3" localSheetId="3" hidden="1">{"'Sheet1'!$L$16"}</definedName>
    <definedName name="__TD3" hidden="1">{"'Sheet1'!$L$16"}</definedName>
    <definedName name="__th1" localSheetId="3" hidden="1">{"Offgrid",#N/A,FALSE,"OFFGRID";"Region",#N/A,FALSE,"REGION";"Offgrid -2",#N/A,FALSE,"OFFGRID";"WTP",#N/A,FALSE,"WTP";"WTP -2",#N/A,FALSE,"WTP";"Project",#N/A,FALSE,"PROJECT";"Summary -2",#N/A,FALSE,"SUMMARY"}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localSheetId="3" hidden="1">{"'Sheet1'!$L$16"}</definedName>
    <definedName name="__tha1" hidden="1">{"'Sheet1'!$L$16"}</definedName>
    <definedName name="__tm1" localSheetId="3" hidden="1">{"'Sheet1'!$L$16"}</definedName>
    <definedName name="__tm1" hidden="1">{"'Sheet1'!$L$16"}</definedName>
    <definedName name="__TM2" localSheetId="3" hidden="1">{"'Sheet1'!$L$16"}</definedName>
    <definedName name="__TM2" hidden="1">{"'Sheet1'!$L$16"}</definedName>
    <definedName name="__TO14" localSheetId="3" hidden="1">{"'Sheet1'!$L$16"}</definedName>
    <definedName name="__TO14" hidden="1">{"'Sheet1'!$L$16"}</definedName>
    <definedName name="__TS2004" localSheetId="3" hidden="1">{"'Sheet1'!$L$16"}</definedName>
    <definedName name="__TS2004" hidden="1">{"'Sheet1'!$L$16"}</definedName>
    <definedName name="__tt3" localSheetId="3" hidden="1">{"'Sheet1'!$L$16"}</definedName>
    <definedName name="__tt3" hidden="1">{"'Sheet1'!$L$16"}</definedName>
    <definedName name="__TT31" localSheetId="3" hidden="1">{"'Sheet1'!$L$16"}</definedName>
    <definedName name="__TT31" hidden="1">{"'Sheet1'!$L$16"}</definedName>
    <definedName name="__tu4" localSheetId="3" hidden="1">{"'Sheet1'!$L$16"}</definedName>
    <definedName name="__tu4" hidden="1">{"'Sheet1'!$L$16"}</definedName>
    <definedName name="__tu5" localSheetId="3" hidden="1">{"'Sheet1'!$L$16"}</definedName>
    <definedName name="__tu5" hidden="1">{"'Sheet1'!$L$16"}</definedName>
    <definedName name="__VLP2" localSheetId="3" hidden="1">{"'Sheet1'!$L$16"}</definedName>
    <definedName name="__VLP2" hidden="1">{"'Sheet1'!$L$16"}</definedName>
    <definedName name="__VTQ1" localSheetId="3" hidden="1">{"'Sheet1'!$L$16"}</definedName>
    <definedName name="__VTQ1" hidden="1">{"'Sheet1'!$L$16"}</definedName>
    <definedName name="__xlfn.BAHTTEXT" hidden="1">#NAME?</definedName>
    <definedName name="__z511" localSheetId="3" hidden="1">{"'Sheet1'!$L$16"}</definedName>
    <definedName name="__z511" hidden="1">{"'Sheet1'!$L$16"}</definedName>
    <definedName name="_1__123Graph_A????_1" localSheetId="3" hidden="1">#REF!</definedName>
    <definedName name="_1__123Graph_A????_1" hidden="1">#REF!</definedName>
    <definedName name="_1__123Graph_Aｸﾞﾗﾌ_1" localSheetId="3" hidden="1">#REF!</definedName>
    <definedName name="_1__123Graph_Aｸﾞﾗﾌ_1" hidden="1">#REF!</definedName>
    <definedName name="_1_0ten_" localSheetId="3" hidden="1">#REF!</definedName>
    <definedName name="_1_0ten_" hidden="1">#REF!</definedName>
    <definedName name="_10__123Graph_Aｸﾞﾗﾌ_2" localSheetId="3" hidden="1">#REF!</definedName>
    <definedName name="_10__123Graph_Aｸﾞﾗﾌ_2" hidden="1">#REF!</definedName>
    <definedName name="_10__123Graph_Aｸﾞﾗﾌ_5" localSheetId="3" hidden="1">#REF!</definedName>
    <definedName name="_10__123Graph_Aｸﾞﾗﾌ_5" hidden="1">#REF!</definedName>
    <definedName name="_10__123Graph_Xｸﾞﾗﾌ_5" localSheetId="3" hidden="1">#REF!</definedName>
    <definedName name="_10__123Graph_Xｸﾞﾗﾌ_5" hidden="1">#REF!</definedName>
    <definedName name="_10_0ten_" localSheetId="3" hidden="1">#REF!</definedName>
    <definedName name="_10_0ten_" hidden="1">#REF!</definedName>
    <definedName name="_100__123Graph_Xｸﾞﾗﾌ_3" localSheetId="3" hidden="1">#REF!</definedName>
    <definedName name="_100__123Graph_Xｸﾞﾗﾌ_3" hidden="1">#REF!</definedName>
    <definedName name="_103__123Graph_X????_4" localSheetId="3" hidden="1">#REF!</definedName>
    <definedName name="_103__123Graph_X????_4" hidden="1">#REF!</definedName>
    <definedName name="_103__123Graph_Xｸﾞﾗﾌ_5" localSheetId="3" hidden="1">#REF!</definedName>
    <definedName name="_103__123Graph_Xｸﾞﾗﾌ_5" hidden="1">#REF!</definedName>
    <definedName name="_106__123Graph_Xｸﾞﾗﾌ_4" localSheetId="3" hidden="1">#REF!</definedName>
    <definedName name="_106__123Graph_Xｸﾞﾗﾌ_4" hidden="1">#REF!</definedName>
    <definedName name="_108__123Graph_X????_5" localSheetId="3" hidden="1">#REF!</definedName>
    <definedName name="_108__123Graph_X????_5" hidden="1">#REF!</definedName>
    <definedName name="_11__123Graph_Aｸﾞﾗﾌ_3" localSheetId="3" hidden="1">#REF!</definedName>
    <definedName name="_11__123Graph_Aｸﾞﾗﾌ_3" hidden="1">#REF!</definedName>
    <definedName name="_11__123Graph_X????_1" localSheetId="3" hidden="1">#REF!</definedName>
    <definedName name="_11__123Graph_X????_1" hidden="1">#REF!</definedName>
    <definedName name="_112__123Graph_Xｸﾞﾗﾌ_5" localSheetId="3" hidden="1">#REF!</definedName>
    <definedName name="_112__123Graph_Xｸﾞﾗﾌ_5" hidden="1">#REF!</definedName>
    <definedName name="_116__123Graph_Xｸﾞﾗﾌ_1" localSheetId="3" hidden="1">#REF!</definedName>
    <definedName name="_116__123Graph_Xｸﾞﾗﾌ_1" hidden="1">#REF!</definedName>
    <definedName name="_11P3_" localSheetId="3" hidden="1">{#N/A,#N/A,FALSE,"特殊室（ＢＱ表）"}</definedName>
    <definedName name="_11P3_" hidden="1">{#N/A,#N/A,FALSE,"特殊室（ＢＱ表）"}</definedName>
    <definedName name="_12__123Graph_A????_2" localSheetId="3" hidden="1">#REF!</definedName>
    <definedName name="_12__123Graph_A????_2" hidden="1">#REF!</definedName>
    <definedName name="_12__123Graph_Aｸﾞﾗﾌ_4" localSheetId="3" hidden="1">#REF!</definedName>
    <definedName name="_12__123Graph_Aｸﾞﾗﾌ_4" hidden="1">#REF!</definedName>
    <definedName name="_12__123Graph_X????_2" localSheetId="3" hidden="1">#REF!</definedName>
    <definedName name="_12__123Graph_X????_2" hidden="1">#REF!</definedName>
    <definedName name="_124__123Graph_Xｸﾞﾗﾌ_2" localSheetId="3" hidden="1">#REF!</definedName>
    <definedName name="_124__123Graph_Xｸﾞﾗﾌ_2" hidden="1">#REF!</definedName>
    <definedName name="_13__123Graph_Aｸﾞﾗﾌ_5" localSheetId="3" hidden="1">#REF!</definedName>
    <definedName name="_13__123Graph_Aｸﾞﾗﾌ_5" hidden="1">#REF!</definedName>
    <definedName name="_13__123Graph_X????_3" localSheetId="3" hidden="1">#REF!</definedName>
    <definedName name="_13__123Graph_X????_3" hidden="1">#REF!</definedName>
    <definedName name="_132__123Graph_Xｸﾞﾗﾌ_3" localSheetId="3" hidden="1">#REF!</definedName>
    <definedName name="_132__123Graph_Xｸﾞﾗﾌ_3" hidden="1">#REF!</definedName>
    <definedName name="_14__123Graph_X????_1" localSheetId="3" hidden="1">#REF!</definedName>
    <definedName name="_14__123Graph_X????_1" hidden="1">#REF!</definedName>
    <definedName name="_14__123Graph_X????_4" localSheetId="3" hidden="1">#REF!</definedName>
    <definedName name="_14__123Graph_X????_4" hidden="1">#REF!</definedName>
    <definedName name="_140__123Graph_Xｸﾞﾗﾌ_4" localSheetId="3" hidden="1">#REF!</definedName>
    <definedName name="_140__123Graph_Xｸﾞﾗﾌ_4" hidden="1">#REF!</definedName>
    <definedName name="_148__123Graph_Xｸﾞﾗﾌ_5" localSheetId="3" hidden="1">#REF!</definedName>
    <definedName name="_148__123Graph_Xｸﾞﾗﾌ_5" hidden="1">#REF!</definedName>
    <definedName name="_15__123Graph_X????_2" localSheetId="3" hidden="1">#REF!</definedName>
    <definedName name="_15__123Graph_X????_2" hidden="1">#REF!</definedName>
    <definedName name="_15__123Graph_X????_5" localSheetId="3" hidden="1">#REF!</definedName>
    <definedName name="_15__123Graph_X????_5" hidden="1">#REF!</definedName>
    <definedName name="_15_0xoa_" localSheetId="3" hidden="1">#REF!</definedName>
    <definedName name="_15_0xoa_" hidden="1">#REF!</definedName>
    <definedName name="_16__123Graph_X????_3" localSheetId="3" hidden="1">#REF!</definedName>
    <definedName name="_16__123Graph_X????_3" hidden="1">#REF!</definedName>
    <definedName name="_16__123Graph_Xｸﾞﾗﾌ_1" localSheetId="3" hidden="1">#REF!</definedName>
    <definedName name="_16__123Graph_Xｸﾞﾗﾌ_1" hidden="1">#REF!</definedName>
    <definedName name="_16_0xoa_" localSheetId="3" hidden="1">#REF!</definedName>
    <definedName name="_16_0xoa_" hidden="1">#REF!</definedName>
    <definedName name="_17__123Graph_A????_1" localSheetId="3" hidden="1">#REF!</definedName>
    <definedName name="_17__123Graph_A????_1" hidden="1">#REF!</definedName>
    <definedName name="_17__123Graph_A????_3" localSheetId="3" hidden="1">#REF!</definedName>
    <definedName name="_17__123Graph_A????_3" hidden="1">#REF!</definedName>
    <definedName name="_17__123Graph_X????_4" localSheetId="3" hidden="1">#REF!</definedName>
    <definedName name="_17__123Graph_X????_4" hidden="1">#REF!</definedName>
    <definedName name="_17__123Graph_Xｸﾞﾗﾌ_2" localSheetId="3" hidden="1">#REF!</definedName>
    <definedName name="_17__123Graph_Xｸﾞﾗﾌ_2" hidden="1">#REF!</definedName>
    <definedName name="_17a1_" localSheetId="3" hidden="1">{"'Sheet1'!$L$16"}</definedName>
    <definedName name="_17a1_" hidden="1">{"'Sheet1'!$L$16"}</definedName>
    <definedName name="_18__123Graph_X????_5" localSheetId="3" hidden="1">#REF!</definedName>
    <definedName name="_18__123Graph_X????_5" hidden="1">#REF!</definedName>
    <definedName name="_18__123Graph_Xｸﾞﾗﾌ_3" localSheetId="3" hidden="1">#REF!</definedName>
    <definedName name="_18__123Graph_Xｸﾞﾗﾌ_3" hidden="1">#REF!</definedName>
    <definedName name="_19__123Graph_Xｸﾞﾗﾌ_1" localSheetId="3" hidden="1">#REF!</definedName>
    <definedName name="_19__123Graph_Xｸﾞﾗﾌ_1" hidden="1">#REF!</definedName>
    <definedName name="_19__123Graph_Xｸﾞﾗﾌ_4" localSheetId="3" hidden="1">#REF!</definedName>
    <definedName name="_19__123Graph_Xｸﾞﾗﾌ_4" hidden="1">#REF!</definedName>
    <definedName name="_1a1_" localSheetId="3" hidden="1">{"'Sheet1'!$L$16"}</definedName>
    <definedName name="_1a1_" hidden="1">{"'Sheet1'!$L$16"}</definedName>
    <definedName name="_1P3_" localSheetId="3" hidden="1">{#N/A,#N/A,FALSE,"特殊室（ＢＱ表）"}</definedName>
    <definedName name="_1P3_" hidden="1">{#N/A,#N/A,FALSE,"特殊室（ＢＱ表）"}</definedName>
    <definedName name="_2__123Graph_A????_2" localSheetId="3" hidden="1">#REF!</definedName>
    <definedName name="_2__123Graph_A????_2" hidden="1">#REF!</definedName>
    <definedName name="_2__123Graph_Aｸﾞﾗﾌ_2" localSheetId="3" hidden="1">#REF!</definedName>
    <definedName name="_2__123Graph_Aｸﾞﾗﾌ_2" hidden="1">#REF!</definedName>
    <definedName name="_2_0ten_" localSheetId="3" hidden="1">#REF!</definedName>
    <definedName name="_2_0ten_" hidden="1">#REF!</definedName>
    <definedName name="_2_0xoa_" localSheetId="3" hidden="1">#REF!</definedName>
    <definedName name="_2_0xoa_" hidden="1">#REF!</definedName>
    <definedName name="_20__123Graph_Xｸﾞﾗﾌ_2" localSheetId="3" hidden="1">#REF!</definedName>
    <definedName name="_20__123Graph_Xｸﾞﾗﾌ_2" hidden="1">#REF!</definedName>
    <definedName name="_20__123Graph_Xｸﾞﾗﾌ_5" localSheetId="3" hidden="1">#REF!</definedName>
    <definedName name="_20__123Graph_Xｸﾞﾗﾌ_5" hidden="1">#REF!</definedName>
    <definedName name="_21__123Graph_A????_2" localSheetId="3" hidden="1">#REF!</definedName>
    <definedName name="_21__123Graph_A????_2" hidden="1">#REF!</definedName>
    <definedName name="_21__123Graph_Xｸﾞﾗﾌ_3" localSheetId="3" hidden="1">#REF!</definedName>
    <definedName name="_21__123Graph_Xｸﾞﾗﾌ_3" hidden="1">#REF!</definedName>
    <definedName name="_22__123Graph_A????_4" localSheetId="3" hidden="1">#REF!</definedName>
    <definedName name="_22__123Graph_A????_4" hidden="1">#REF!</definedName>
    <definedName name="_22__123Graph_Xｸﾞﾗﾌ_4" localSheetId="3" hidden="1">#REF!</definedName>
    <definedName name="_22__123Graph_Xｸﾞﾗﾌ_4" hidden="1">#REF!</definedName>
    <definedName name="_23__123Graph_A????_1" localSheetId="3" hidden="1">#REF!</definedName>
    <definedName name="_23__123Graph_A????_1" hidden="1">#REF!</definedName>
    <definedName name="_23__123Graph_Xｸﾞﾗﾌ_5" localSheetId="3" hidden="1">#REF!</definedName>
    <definedName name="_23__123Graph_Xｸﾞﾗﾌ_5" hidden="1">#REF!</definedName>
    <definedName name="_25__123Graph_A????_3" localSheetId="3" hidden="1">#REF!</definedName>
    <definedName name="_25__123Graph_A????_3" hidden="1">#REF!</definedName>
    <definedName name="_27__123Graph_A????_5" localSheetId="3" hidden="1">#REF!</definedName>
    <definedName name="_27__123Graph_A????_5" hidden="1">#REF!</definedName>
    <definedName name="_28__123Graph_A????_2" localSheetId="3" hidden="1">#REF!</definedName>
    <definedName name="_28__123Graph_A????_2" hidden="1">#REF!</definedName>
    <definedName name="_29__123Graph_A????_4" localSheetId="3" hidden="1">#REF!</definedName>
    <definedName name="_29__123Graph_A????_4" hidden="1">#REF!</definedName>
    <definedName name="_3__123Graph_A????_3" localSheetId="3" hidden="1">#REF!</definedName>
    <definedName name="_3__123Graph_A????_3" hidden="1">#REF!</definedName>
    <definedName name="_3__123Graph_Aｸﾞﾗﾌ_3" localSheetId="3" hidden="1">#REF!</definedName>
    <definedName name="_3__123Graph_Aｸﾞﾗﾌ_3" hidden="1">#REF!</definedName>
    <definedName name="_3_0ten_" localSheetId="3" hidden="1">#REF!</definedName>
    <definedName name="_3_0ten_" hidden="1">#REF!</definedName>
    <definedName name="_33__123Graph_A????_3" localSheetId="3" hidden="1">#REF!</definedName>
    <definedName name="_33__123Graph_A????_3" hidden="1">#REF!</definedName>
    <definedName name="_33__123Graph_A????_5" localSheetId="3" hidden="1">#REF!</definedName>
    <definedName name="_33__123Graph_A????_5" hidden="1">#REF!</definedName>
    <definedName name="_33__123Graph_Aｸﾞﾗﾌ_1" localSheetId="3" hidden="1">#REF!</definedName>
    <definedName name="_33__123Graph_Aｸﾞﾗﾌ_1" hidden="1">#REF!</definedName>
    <definedName name="_38__123Graph_A????_4" localSheetId="3" hidden="1">#REF!</definedName>
    <definedName name="_38__123Graph_A????_4" hidden="1">#REF!</definedName>
    <definedName name="_38__123Graph_Aｸﾞﾗﾌ_1" localSheetId="3" hidden="1">#REF!</definedName>
    <definedName name="_38__123Graph_Aｸﾞﾗﾌ_1" hidden="1">#REF!</definedName>
    <definedName name="_39__123Graph_Aｸﾞﾗﾌ_2" localSheetId="3" hidden="1">#REF!</definedName>
    <definedName name="_39__123Graph_Aｸﾞﾗﾌ_2" hidden="1">#REF!</definedName>
    <definedName name="_4__123Graph_A????_1" localSheetId="3" hidden="1">#REF!</definedName>
    <definedName name="_4__123Graph_A????_1" hidden="1">#REF!</definedName>
    <definedName name="_4__123Graph_A????_4" localSheetId="3" hidden="1">#REF!</definedName>
    <definedName name="_4__123Graph_A????_4" hidden="1">#REF!</definedName>
    <definedName name="_4__123Graph_Aｸﾞﾗﾌ_4" localSheetId="3" hidden="1">#REF!</definedName>
    <definedName name="_4__123Graph_Aｸﾞﾗﾌ_4" hidden="1">#REF!</definedName>
    <definedName name="_4_0xoa_" localSheetId="3" hidden="1">#REF!</definedName>
    <definedName name="_4_0xoa_" hidden="1">#REF!</definedName>
    <definedName name="_43__123Graph_A????_5" localSheetId="3" hidden="1">#REF!</definedName>
    <definedName name="_43__123Graph_A????_5" hidden="1">#REF!</definedName>
    <definedName name="_43__123Graph_Aｸﾞﾗﾌ_2" localSheetId="3" hidden="1">#REF!</definedName>
    <definedName name="_43__123Graph_Aｸﾞﾗﾌ_2" hidden="1">#REF!</definedName>
    <definedName name="_45__123Graph_Aｸﾞﾗﾌ_3" localSheetId="3" hidden="1">#REF!</definedName>
    <definedName name="_45__123Graph_Aｸﾞﾗﾌ_3" hidden="1">#REF!</definedName>
    <definedName name="_48__123Graph_Aｸﾞﾗﾌ_3" localSheetId="3" hidden="1">#REF!</definedName>
    <definedName name="_48__123Graph_Aｸﾞﾗﾌ_3" hidden="1">#REF!</definedName>
    <definedName name="_5__123Graph_A????_2" localSheetId="3" hidden="1">#REF!</definedName>
    <definedName name="_5__123Graph_A????_2" hidden="1">#REF!</definedName>
    <definedName name="_5__123Graph_A????_5" localSheetId="3" hidden="1">#REF!</definedName>
    <definedName name="_5__123Graph_A????_5" hidden="1">#REF!</definedName>
    <definedName name="_5__123Graph_Aｸﾞﾗﾌ_5" localSheetId="3" hidden="1">#REF!</definedName>
    <definedName name="_5__123Graph_Aｸﾞﾗﾌ_5" hidden="1">#REF!</definedName>
    <definedName name="_51__123Graph_Aｸﾞﾗﾌ_1" localSheetId="3" hidden="1">#REF!</definedName>
    <definedName name="_51__123Graph_Aｸﾞﾗﾌ_1" hidden="1">#REF!</definedName>
    <definedName name="_51__123Graph_Aｸﾞﾗﾌ_4" localSheetId="3" hidden="1">#REF!</definedName>
    <definedName name="_51__123Graph_Aｸﾞﾗﾌ_4" hidden="1">#REF!</definedName>
    <definedName name="_53__123Graph_Aｸﾞﾗﾌ_4" localSheetId="3" hidden="1">#REF!</definedName>
    <definedName name="_53__123Graph_Aｸﾞﾗﾌ_4" hidden="1">#REF!</definedName>
    <definedName name="_57__123Graph_Aｸﾞﾗﾌ_5" localSheetId="3" hidden="1">#REF!</definedName>
    <definedName name="_57__123Graph_Aｸﾞﾗﾌ_5" hidden="1">#REF!</definedName>
    <definedName name="_58__123Graph_Aｸﾞﾗﾌ_5" localSheetId="3" hidden="1">#REF!</definedName>
    <definedName name="_58__123Graph_Aｸﾞﾗﾌ_5" hidden="1">#REF!</definedName>
    <definedName name="_59__123Graph_Aｸﾞﾗﾌ_2" localSheetId="3" hidden="1">#REF!</definedName>
    <definedName name="_59__123Graph_Aｸﾞﾗﾌ_2" hidden="1">#REF!</definedName>
    <definedName name="_6__123Graph_A????_3" localSheetId="3" hidden="1">#REF!</definedName>
    <definedName name="_6__123Graph_A????_3" hidden="1">#REF!</definedName>
    <definedName name="_6__123Graph_Aｸﾞﾗﾌ_1" localSheetId="3" hidden="1">#REF!</definedName>
    <definedName name="_6__123Graph_Aｸﾞﾗﾌ_1" hidden="1">#REF!</definedName>
    <definedName name="_6__123Graph_Xｸﾞﾗﾌ_1" localSheetId="3" hidden="1">#REF!</definedName>
    <definedName name="_6__123Graph_Xｸﾞﾗﾌ_1" hidden="1">#REF!</definedName>
    <definedName name="_6_0ten_" localSheetId="3" hidden="1">#REF!</definedName>
    <definedName name="_6_0ten_" hidden="1">#REF!</definedName>
    <definedName name="_6_0xoa_" localSheetId="3" hidden="1">#REF!</definedName>
    <definedName name="_6_0xoa_" hidden="1">#REF!</definedName>
    <definedName name="_62__123Graph_X????_1" localSheetId="3" hidden="1">#REF!</definedName>
    <definedName name="_62__123Graph_X????_1" hidden="1">#REF!</definedName>
    <definedName name="_66__123Graph_X????_2" localSheetId="3" hidden="1">#REF!</definedName>
    <definedName name="_66__123Graph_X????_2" hidden="1">#REF!</definedName>
    <definedName name="_67__123Graph_Aｸﾞﾗﾌ_3" localSheetId="3" hidden="1">#REF!</definedName>
    <definedName name="_67__123Graph_Aｸﾞﾗﾌ_3" hidden="1">#REF!</definedName>
    <definedName name="_67__123Graph_X????_2" localSheetId="3" hidden="1">#REF!</definedName>
    <definedName name="_67__123Graph_X????_2" hidden="1">#REF!</definedName>
    <definedName name="_7__123Graph_A????_1" localSheetId="3" hidden="1">#REF!</definedName>
    <definedName name="_7__123Graph_A????_1" hidden="1">#REF!</definedName>
    <definedName name="_7__123Graph_A????_4" localSheetId="3" hidden="1">#REF!</definedName>
    <definedName name="_7__123Graph_A????_4" hidden="1">#REF!</definedName>
    <definedName name="_7__123Graph_Aｸﾞﾗﾌ_2" localSheetId="3" hidden="1">#REF!</definedName>
    <definedName name="_7__123Graph_Aｸﾞﾗﾌ_2" hidden="1">#REF!</definedName>
    <definedName name="_7__123Graph_Xｸﾞﾗﾌ_2" localSheetId="3" hidden="1">#REF!</definedName>
    <definedName name="_7__123Graph_Xｸﾞﾗﾌ_2" hidden="1">#REF!</definedName>
    <definedName name="_7_0xoa_" localSheetId="3" hidden="1">#REF!</definedName>
    <definedName name="_7_0xoa_" hidden="1">#REF!</definedName>
    <definedName name="_70__123Graph_X????_3" localSheetId="3" hidden="1">#REF!</definedName>
    <definedName name="_70__123Graph_X????_3" hidden="1">#REF!</definedName>
    <definedName name="_72__123Graph_X????_3" localSheetId="3" hidden="1">#REF!</definedName>
    <definedName name="_72__123Graph_X????_3" hidden="1">#REF!</definedName>
    <definedName name="_74__123Graph_X????_4" localSheetId="3" hidden="1">#REF!</definedName>
    <definedName name="_74__123Graph_X????_4" hidden="1">#REF!</definedName>
    <definedName name="_75__123Graph_Aｸﾞﾗﾌ_4" localSheetId="3" hidden="1">#REF!</definedName>
    <definedName name="_75__123Graph_Aｸﾞﾗﾌ_4" hidden="1">#REF!</definedName>
    <definedName name="_77__123Graph_X????_4" localSheetId="3" hidden="1">#REF!</definedName>
    <definedName name="_77__123Graph_X????_4" hidden="1">#REF!</definedName>
    <definedName name="_78__123Graph_X????_5" localSheetId="3" hidden="1">#REF!</definedName>
    <definedName name="_78__123Graph_X????_5" hidden="1">#REF!</definedName>
    <definedName name="_8__123Graph_A????_5" localSheetId="3" hidden="1">#REF!</definedName>
    <definedName name="_8__123Graph_A????_5" hidden="1">#REF!</definedName>
    <definedName name="_8__123Graph_Aｸﾞﾗﾌ_3" localSheetId="3" hidden="1">#REF!</definedName>
    <definedName name="_8__123Graph_Aｸﾞﾗﾌ_3" hidden="1">#REF!</definedName>
    <definedName name="_8__123Graph_Xｸﾞﾗﾌ_3" localSheetId="3" hidden="1">#REF!</definedName>
    <definedName name="_8__123Graph_Xｸﾞﾗﾌ_3" hidden="1">#REF!</definedName>
    <definedName name="_8_0ten_" localSheetId="3" hidden="1">#REF!</definedName>
    <definedName name="_8_0ten_" hidden="1">#REF!</definedName>
    <definedName name="_82__123Graph_X????_5" localSheetId="3" hidden="1">#REF!</definedName>
    <definedName name="_82__123Graph_X????_5" hidden="1">#REF!</definedName>
    <definedName name="_83__123Graph_Aｸﾞﾗﾌ_5" localSheetId="3" hidden="1">#REF!</definedName>
    <definedName name="_83__123Graph_Aｸﾞﾗﾌ_5" hidden="1">#REF!</definedName>
    <definedName name="_83__123Graph_Xｸﾞﾗﾌ_1" localSheetId="3" hidden="1">#REF!</definedName>
    <definedName name="_83__123Graph_Xｸﾞﾗﾌ_1" hidden="1">#REF!</definedName>
    <definedName name="_84_0ten_" localSheetId="3" hidden="1">#REF!</definedName>
    <definedName name="_84_0ten_" hidden="1">#REF!</definedName>
    <definedName name="_88__123Graph_X????_1" localSheetId="3" hidden="1">#REF!</definedName>
    <definedName name="_88__123Graph_X????_1" hidden="1">#REF!</definedName>
    <definedName name="_88__123Graph_Xｸﾞﾗﾌ_1" localSheetId="3" hidden="1">#REF!</definedName>
    <definedName name="_88__123Graph_Xｸﾞﾗﾌ_1" hidden="1">#REF!</definedName>
    <definedName name="_88__123Graph_Xｸﾞﾗﾌ_2" localSheetId="3" hidden="1">#REF!</definedName>
    <definedName name="_88__123Graph_Xｸﾞﾗﾌ_2" hidden="1">#REF!</definedName>
    <definedName name="_9__123Graph_Aｸﾞﾗﾌ_1" localSheetId="3" hidden="1">#REF!</definedName>
    <definedName name="_9__123Graph_Aｸﾞﾗﾌ_1" hidden="1">#REF!</definedName>
    <definedName name="_9__123Graph_Aｸﾞﾗﾌ_4" localSheetId="3" hidden="1">#REF!</definedName>
    <definedName name="_9__123Graph_Aｸﾞﾗﾌ_4" hidden="1">#REF!</definedName>
    <definedName name="_9__123Graph_Xｸﾞﾗﾌ_4" localSheetId="3" hidden="1">#REF!</definedName>
    <definedName name="_9__123Graph_Xｸﾞﾗﾌ_4" hidden="1">#REF!</definedName>
    <definedName name="_93__123Graph_X????_2" localSheetId="3" hidden="1">#REF!</definedName>
    <definedName name="_93__123Graph_X????_2" hidden="1">#REF!</definedName>
    <definedName name="_93__123Graph_Xｸﾞﾗﾌ_3" localSheetId="3" hidden="1">#REF!</definedName>
    <definedName name="_93__123Graph_Xｸﾞﾗﾌ_3" hidden="1">#REF!</definedName>
    <definedName name="_94__123Graph_Xｸﾞﾗﾌ_2" localSheetId="3" hidden="1">#REF!</definedName>
    <definedName name="_94__123Graph_Xｸﾞﾗﾌ_2" hidden="1">#REF!</definedName>
    <definedName name="_97_0xoa_" localSheetId="3" hidden="1">#REF!</definedName>
    <definedName name="_97_0xoa_" hidden="1">#REF!</definedName>
    <definedName name="_98__123Graph_X????_3" localSheetId="3" hidden="1">#REF!</definedName>
    <definedName name="_98__123Graph_X????_3" hidden="1">#REF!</definedName>
    <definedName name="_98__123Graph_Xｸﾞﾗﾌ_4" localSheetId="3" hidden="1">#REF!</definedName>
    <definedName name="_98__123Graph_Xｸﾞﾗﾌ_4" hidden="1">#REF!</definedName>
    <definedName name="_a1" localSheetId="3" hidden="1">{"'Sheet1'!$L$16"}</definedName>
    <definedName name="_a1" hidden="1">{"'Sheet1'!$L$16"}</definedName>
    <definedName name="_a100" localSheetId="3" hidden="1">{"'Sheet1'!$L$16"}</definedName>
    <definedName name="_a100" hidden="1">{"'Sheet1'!$L$16"}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localSheetId="3" hidden="1">{"'Sheet1'!$L$16"}</definedName>
    <definedName name="_a1s" hidden="1">{"'Sheet1'!$L$16"}</definedName>
    <definedName name="_a2" localSheetId="3" hidden="1">{"'Sheet1'!$L$16"}</definedName>
    <definedName name="_a2" hidden="1">{"'Sheet1'!$L$16"}</definedName>
    <definedName name="_a21" localSheetId="3" hidden="1">{"'Sheet1'!$L$16"}</definedName>
    <definedName name="_a21" hidden="1">{"'Sheet1'!$L$16"}</definedName>
    <definedName name="_a3" localSheetId="3" hidden="1">{"'Sheet1'!$L$16"}</definedName>
    <definedName name="_a3" hidden="1">{"'Sheet1'!$L$16"}</definedName>
    <definedName name="_A4" localSheetId="3" hidden="1">{"'Sheet1'!$L$16"}</definedName>
    <definedName name="_A4" hidden="1">{"'Sheet1'!$L$16"}</definedName>
    <definedName name="_a9" localSheetId="3" hidden="1">{"'Sheet1'!$L$16"}</definedName>
    <definedName name="_a9" hidden="1">{"'Sheet1'!$L$16"}</definedName>
    <definedName name="_B19" localSheetId="3" hidden="1">{"'Sheet1'!$L$16"}</definedName>
    <definedName name="_B19" hidden="1">{"'Sheet1'!$L$16"}</definedName>
    <definedName name="_ban2" localSheetId="3" hidden="1">{"'Sheet1'!$L$16"}</definedName>
    <definedName name="_ban2" hidden="1">{"'Sheet1'!$L$16"}</definedName>
    <definedName name="_BG12" localSheetId="3" hidden="1">{"'Sheet1'!$L$16"}</definedName>
    <definedName name="_BG12" hidden="1">{"'Sheet1'!$L$16"}</definedName>
    <definedName name="_bht4" localSheetId="3" hidden="1">{#N/A,#N/A,FALSE,"Chi tiÆt"}</definedName>
    <definedName name="_bht4" hidden="1">{#N/A,#N/A,FALSE,"Chi tiÆt"}</definedName>
    <definedName name="_bht5" localSheetId="3" hidden="1">{#N/A,#N/A,FALSE,"Chi tiÆt"}</definedName>
    <definedName name="_bht5" hidden="1">{#N/A,#N/A,FALSE,"Chi tiÆt"}</definedName>
    <definedName name="_bht6" localSheetId="3" hidden="1">{"'Sheet1'!$L$16"}</definedName>
    <definedName name="_bht6" hidden="1">{"'Sheet1'!$L$16"}</definedName>
    <definedName name="_Builtin0" localSheetId="3" hidden="1">#REF!</definedName>
    <definedName name="_Builtin0" hidden="1">#REF!</definedName>
    <definedName name="_Builtin155" hidden="1">#N/A</definedName>
    <definedName name="_CD2" localSheetId="3" hidden="1">{"'Sheet1'!$L$16"}</definedName>
    <definedName name="_CD2" hidden="1">{"'Sheet1'!$L$16"}</definedName>
    <definedName name="_cd20" localSheetId="3" hidden="1">{"'Sheet1'!$L$16"}</definedName>
    <definedName name="_cd20" hidden="1">{"'Sheet1'!$L$16"}</definedName>
    <definedName name="_cep1" localSheetId="3" hidden="1">{"'Sheet1'!$L$16"}</definedName>
    <definedName name="_cep1" hidden="1">{"'Sheet1'!$L$16"}</definedName>
    <definedName name="_CN1" localSheetId="3" hidden="1">{"'Sheet1'!$L$16"}</definedName>
    <definedName name="_CN1" hidden="1">{"'Sheet1'!$L$16"}</definedName>
    <definedName name="_coc1000" localSheetId="3" hidden="1">{#N/A,#N/A,FALSE,"Chi tiÆt"}</definedName>
    <definedName name="_coc1000" hidden="1">{#N/A,#N/A,FALSE,"Chi tiÆt"}</definedName>
    <definedName name="_Coc39" localSheetId="3" hidden="1">{"'Sheet1'!$L$16"}</definedName>
    <definedName name="_Coc39" hidden="1">{"'Sheet1'!$L$16"}</definedName>
    <definedName name="_CT2" localSheetId="3" hidden="1">{"'Sheet1'!$L$16"}</definedName>
    <definedName name="_CT2" hidden="1">{"'Sheet1'!$L$16"}</definedName>
    <definedName name="_CT4" localSheetId="3" hidden="1">{"'Sheet1'!$L$16"}</definedName>
    <definedName name="_CT4" hidden="1">{"'Sheet1'!$L$16"}</definedName>
    <definedName name="_Cty501" localSheetId="3" hidden="1">{"'Sheet1'!$L$16"}</definedName>
    <definedName name="_Cty501" hidden="1">{"'Sheet1'!$L$16"}</definedName>
    <definedName name="_cuu1" localSheetId="3" hidden="1">{"'Sheet1'!$L$16"}</definedName>
    <definedName name="_cuu1" hidden="1">{"'Sheet1'!$L$16"}</definedName>
    <definedName name="_D1" localSheetId="3" hidden="1">{"'Sheet1'!$L$16"}</definedName>
    <definedName name="_D1" hidden="1">{"'Sheet1'!$L$16"}</definedName>
    <definedName name="_d1500" localSheetId="3" hidden="1">{"'Sheet1'!$L$16"}</definedName>
    <definedName name="_d1500" hidden="1">{"'Sheet1'!$L$16"}</definedName>
    <definedName name="_D2" localSheetId="3" hidden="1">{"'Sheet1'!$L$16"}</definedName>
    <definedName name="_D2" hidden="1">{"'Sheet1'!$L$16"}</definedName>
    <definedName name="_D5" localSheetId="3" hidden="1">{"Offgrid",#N/A,FALSE,"OFFGRID";"Region",#N/A,FALSE,"REGION";"Offgrid -2",#N/A,FALSE,"OFFGRID";"WTP",#N/A,FALSE,"WTP";"WTP -2",#N/A,FALSE,"WTP";"Project",#N/A,FALSE,"PROJECT";"Summary -2",#N/A,FALSE,"SUMMARY"}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hidden="1">#REF!</definedName>
    <definedName name="_DM24" localSheetId="3" hidden="1">{"'Sheet1'!$L$16"}</definedName>
    <definedName name="_DM24" hidden="1">{"'Sheet1'!$L$16"}</definedName>
    <definedName name="_dt1" localSheetId="3" hidden="1">{"'Sheet1'!$L$16"}</definedName>
    <definedName name="_dt1" hidden="1">{"'Sheet1'!$L$16"}</definedName>
    <definedName name="_dt3" localSheetId="3" hidden="1">{"'Sheet1'!$L$16"}</definedName>
    <definedName name="_dt3" hidden="1">{"'Sheet1'!$L$16"}</definedName>
    <definedName name="_E1200" localSheetId="3" hidden="1">{"'Sheet1'!$L$16"}</definedName>
    <definedName name="_E1200" hidden="1">{"'Sheet1'!$L$16"}</definedName>
    <definedName name="_f5" localSheetId="3" hidden="1">{"'Sheet1'!$L$16"}</definedName>
    <definedName name="_f5" hidden="1">{"'Sheet1'!$L$16"}</definedName>
    <definedName name="_Fill" localSheetId="3" hidden="1">#REF!</definedName>
    <definedName name="_Fill" hidden="1">#REF!</definedName>
    <definedName name="_Fill1" localSheetId="3" hidden="1">#REF!</definedName>
    <definedName name="_Fill1" hidden="1">#REF!</definedName>
    <definedName name="_Fill2" localSheetId="3" hidden="1">#REF!</definedName>
    <definedName name="_Fill2" hidden="1">#REF!</definedName>
    <definedName name="_xlnm._FilterDatabase" localSheetId="3" hidden="1">#REF!</definedName>
    <definedName name="_xlnm._FilterDatabase" hidden="1">#REF!</definedName>
    <definedName name="_GD1" localSheetId="3" hidden="1">{#N/A,#N/A,FALSE,"Chi tiÆt"}</definedName>
    <definedName name="_GD1" hidden="1">{#N/A,#N/A,FALSE,"Chi tiÆt"}</definedName>
    <definedName name="_GD2" localSheetId="3" hidden="1">{"'Sheet1'!$L$16"}</definedName>
    <definedName name="_GD2" hidden="1">{"'Sheet1'!$L$16"}</definedName>
    <definedName name="_Goi8" localSheetId="3" hidden="1">{"'Sheet1'!$L$16"}</definedName>
    <definedName name="_Goi8" hidden="1">{"'Sheet1'!$L$16"}</definedName>
    <definedName name="_h1" localSheetId="3" hidden="1">{"'Sheet1'!$L$16"}</definedName>
    <definedName name="_h1" hidden="1">{"'Sheet1'!$L$16"}</definedName>
    <definedName name="_h111" localSheetId="3" hidden="1">{"'Sheet1'!$L$16"}</definedName>
    <definedName name="_h111" hidden="1">{"'Sheet1'!$L$16"}</definedName>
    <definedName name="_hh1219" localSheetId="3" hidden="1">{"'Sheet1'!$L$16"}</definedName>
    <definedName name="_hh1219" hidden="1">{"'Sheet1'!$L$16"}</definedName>
    <definedName name="_hu1" localSheetId="3" hidden="1">{"'Sheet1'!$L$16"}</definedName>
    <definedName name="_hu1" hidden="1">{"'Sheet1'!$L$16"}</definedName>
    <definedName name="_hu2" localSheetId="3" hidden="1">{"'Sheet1'!$L$16"}</definedName>
    <definedName name="_hu2" hidden="1">{"'Sheet1'!$L$16"}</definedName>
    <definedName name="_hu3" localSheetId="3" hidden="1">{"'Sheet1'!$L$16"}</definedName>
    <definedName name="_hu3" hidden="1">{"'Sheet1'!$L$16"}</definedName>
    <definedName name="_hu5" localSheetId="3" hidden="1">{"'Sheet1'!$L$16"}</definedName>
    <definedName name="_hu5" hidden="1">{"'Sheet1'!$L$16"}</definedName>
    <definedName name="_hu6" localSheetId="3" hidden="1">{"'Sheet1'!$L$16"}</definedName>
    <definedName name="_hu6" hidden="1">{"'Sheet1'!$L$16"}</definedName>
    <definedName name="_hu7" localSheetId="3" hidden="1">{"'Sheet1'!$L$16"}</definedName>
    <definedName name="_hu7" hidden="1">{"'Sheet1'!$L$16"}</definedName>
    <definedName name="_huy1" localSheetId="3" hidden="1">{"'Sheet1'!$L$16"}</definedName>
    <definedName name="_huy1" hidden="1">{"'Sheet1'!$L$16"}</definedName>
    <definedName name="_huy2" localSheetId="3" hidden="1">{"'Sheet1'!$L$16"}</definedName>
    <definedName name="_huy2" hidden="1">{"'Sheet1'!$L$16"}</definedName>
    <definedName name="_K146" localSheetId="3" hidden="1">{"'Sheet1'!$L$16"}</definedName>
    <definedName name="_K146" hidden="1">{"'Sheet1'!$L$16"}</definedName>
    <definedName name="_k27" localSheetId="3" hidden="1">{"'Sheet1'!$L$16"}</definedName>
    <definedName name="_k27" hidden="1">{"'Sheet1'!$L$16"}</definedName>
    <definedName name="_k7" localSheetId="3" hidden="1">{"'Sheet1'!$L$16"}</definedName>
    <definedName name="_k7" hidden="1">{"'Sheet1'!$L$16"}</definedName>
    <definedName name="_Key1" localSheetId="3" hidden="1">#REF!</definedName>
    <definedName name="_Key1" hidden="1">#REF!</definedName>
    <definedName name="_KEY11" localSheetId="3" hidden="1">#REF!</definedName>
    <definedName name="_KEY11" hidden="1">#REF!</definedName>
    <definedName name="_KEY12" localSheetId="3" hidden="1">#REF!</definedName>
    <definedName name="_KEY12" hidden="1">#REF!</definedName>
    <definedName name="_Key2" localSheetId="3" hidden="1">#REF!</definedName>
    <definedName name="_Key2" hidden="1">#REF!</definedName>
    <definedName name="_keydd" localSheetId="3" hidden="1">#REF!</definedName>
    <definedName name="_keydd" hidden="1">#REF!</definedName>
    <definedName name="_KH12" localSheetId="3" hidden="1">{#N/A,#N/A,FALSE,"Chi tiÆt"}</definedName>
    <definedName name="_KH12" hidden="1">{#N/A,#N/A,FALSE,"Chi tiÆt"}</definedName>
    <definedName name="_kh41" localSheetId="3" hidden="1">{"'Sheet1'!$L$16"}</definedName>
    <definedName name="_kh41" hidden="1">{"'Sheet1'!$L$16"}</definedName>
    <definedName name="_KL1048" localSheetId="3" hidden="1">{"'Sheet1'!$L$16"}</definedName>
    <definedName name="_KL1048" hidden="1">{"'Sheet1'!$L$16"}</definedName>
    <definedName name="_kl11" localSheetId="3" hidden="1">{"'Sheet1'!$L$16"}</definedName>
    <definedName name="_kl11" hidden="1">{"'Sheet1'!$L$16"}</definedName>
    <definedName name="_KL3" localSheetId="3" hidden="1">{"'Sheet1'!$L$16"}</definedName>
    <definedName name="_KL3" hidden="1">{"'Sheet1'!$L$16"}</definedName>
    <definedName name="_kl4" localSheetId="3" hidden="1">{"'Sheet1'!$L$16"}</definedName>
    <definedName name="_kl4" hidden="1">{"'Sheet1'!$L$16"}</definedName>
    <definedName name="_kl6" localSheetId="3" hidden="1">{"'Sheet1'!$L$16"}</definedName>
    <definedName name="_kl6" hidden="1">{"'Sheet1'!$L$16"}</definedName>
    <definedName name="_km03" localSheetId="3" hidden="1">{"'Sheet1'!$L$16"}</definedName>
    <definedName name="_km03" hidden="1">{"'Sheet1'!$L$16"}</definedName>
    <definedName name="_km123" localSheetId="3" hidden="1">{"'Sheet1'!$L$16"}</definedName>
    <definedName name="_km123" hidden="1">{"'Sheet1'!$L$16"}</definedName>
    <definedName name="_km124" localSheetId="3" hidden="1">{"'Sheet1'!$L$16"}</definedName>
    <definedName name="_km124" hidden="1">{"'Sheet1'!$L$16"}</definedName>
    <definedName name="_KM22" localSheetId="3" hidden="1">{"'Sheet1'!$L$16"}</definedName>
    <definedName name="_KM22" hidden="1">{"'Sheet1'!$L$16"}</definedName>
    <definedName name="_kom1" localSheetId="3" hidden="1">{"'Sheet1'!$L$16"}</definedName>
    <definedName name="_kom1" hidden="1">{"'Sheet1'!$L$16"}</definedName>
    <definedName name="_Lan1" localSheetId="3" hidden="1">{"'Sheet1'!$L$16"}</definedName>
    <definedName name="_Lan1" hidden="1">{"'Sheet1'!$L$16"}</definedName>
    <definedName name="_LAN3" localSheetId="3" hidden="1">{"'Sheet1'!$L$16"}</definedName>
    <definedName name="_LAN3" hidden="1">{"'Sheet1'!$L$16"}</definedName>
    <definedName name="_lao2" localSheetId="3" hidden="1">{"'Sheet1'!$L$16"}</definedName>
    <definedName name="_lao2" hidden="1">{"'Sheet1'!$L$16"}</definedName>
    <definedName name="_lk2" localSheetId="3" hidden="1">{"'Sheet1'!$L$16"}</definedName>
    <definedName name="_lk2" hidden="1">{"'Sheet1'!$L$16"}</definedName>
    <definedName name="_m1233" localSheetId="3" hidden="1">{"'Sheet1'!$L$16"}</definedName>
    <definedName name="_m1233" hidden="1">{"'Sheet1'!$L$16"}</definedName>
    <definedName name="_M2" localSheetId="3" hidden="1">{"'Sheet1'!$L$16"}</definedName>
    <definedName name="_M2" hidden="1">{"'Sheet1'!$L$16"}</definedName>
    <definedName name="_M36" localSheetId="3" hidden="1">{"'Sheet1'!$L$16"}</definedName>
    <definedName name="_M36" hidden="1">{"'Sheet1'!$L$16"}</definedName>
    <definedName name="_m4" localSheetId="3" hidden="1">{"'Sheet1'!$L$16"}</definedName>
    <definedName name="_m4" hidden="1">{"'Sheet1'!$L$16"}</definedName>
    <definedName name="_MatInverse_In" localSheetId="3" hidden="1">#REF!</definedName>
    <definedName name="_MatInverse_In" hidden="1">#REF!</definedName>
    <definedName name="_MCC3" localSheetId="3" hidden="1">{#N/A,#N/A,FALSE,"CCTV"}</definedName>
    <definedName name="_MCC3" hidden="1">{#N/A,#N/A,FALSE,"CCTV"}</definedName>
    <definedName name="_moi2" localSheetId="3" hidden="1">{"'Sheet1'!$L$16"}</definedName>
    <definedName name="_moi2" hidden="1">{"'Sheet1'!$L$16"}</definedName>
    <definedName name="_MTL12" localSheetId="3" hidden="1">{"'Sheet1'!$L$16"}</definedName>
    <definedName name="_MTL12" hidden="1">{"'Sheet1'!$L$16"}</definedName>
    <definedName name="_NCN15" localSheetId="3" hidden="1">{"'Sheet1'!$L$16"}</definedName>
    <definedName name="_NCN15" hidden="1">{"'Sheet1'!$L$16"}</definedName>
    <definedName name="_NK5" localSheetId="3" hidden="1">{"'Sheet1'!$L$16"}</definedName>
    <definedName name="_NK5" hidden="1">{"'Sheet1'!$L$16"}</definedName>
    <definedName name="_NO2" localSheetId="3" hidden="1">#REF!</definedName>
    <definedName name="_NO2" hidden="1">#REF!</definedName>
    <definedName name="_NSO2" localSheetId="3" hidden="1">{"'Sheet1'!$L$16"}</definedName>
    <definedName name="_NSO2" hidden="1">{"'Sheet1'!$L$16"}</definedName>
    <definedName name="_NT2" localSheetId="3" hidden="1">{"'Sheet1'!$L$16"}</definedName>
    <definedName name="_NT2" hidden="1">{"'Sheet1'!$L$16"}</definedName>
    <definedName name="_Order1" hidden="1">255</definedName>
    <definedName name="_Order2" hidden="1">255</definedName>
    <definedName name="_p06" localSheetId="3" hidden="1">{"'Sheet1'!$L$16"}</definedName>
    <definedName name="_p06" hidden="1">{"'Sheet1'!$L$16"}</definedName>
    <definedName name="_p1" localSheetId="3" hidden="1">{"'Sheet1'!$L$16"}</definedName>
    <definedName name="_p1" hidden="1">{"'Sheet1'!$L$16"}</definedName>
    <definedName name="_P2" localSheetId="3" hidden="1">{"'Sheet1'!$L$16"}</definedName>
    <definedName name="_P2" hidden="1">{"'Sheet1'!$L$16"}</definedName>
    <definedName name="_P3" localSheetId="3" hidden="1">{#N/A,#N/A,FALSE,"特殊室（ＢＱ表）"}</definedName>
    <definedName name="_P3" hidden="1">{#N/A,#N/A,FALSE,"特殊室（ＢＱ表）"}</definedName>
    <definedName name="_PA1" localSheetId="3" hidden="1">{"'Sheet1'!$L$16"}</definedName>
    <definedName name="_PA1" hidden="1">{"'Sheet1'!$L$16"}</definedName>
    <definedName name="_PA3" localSheetId="3" hidden="1">{"'Sheet1'!$L$16"}</definedName>
    <definedName name="_PA3" hidden="1">{"'Sheet1'!$L$16"}</definedName>
    <definedName name="_pa4" localSheetId="3" hidden="1">{"'Sheet1'!$L$16"}</definedName>
    <definedName name="_pa4" hidden="1">{"'Sheet1'!$L$16"}</definedName>
    <definedName name="_Parse_In" localSheetId="3" hidden="1">#REF!</definedName>
    <definedName name="_Parse_In" hidden="1">#REF!</definedName>
    <definedName name="_Parse_Out" hidden="1">[1]Quantity!#REF!</definedName>
    <definedName name="_pl2" localSheetId="3" hidden="1">{"'Sheet1'!$L$16"}</definedName>
    <definedName name="_pl2" hidden="1">{"'Sheet1'!$L$16"}</definedName>
    <definedName name="_PPP3" localSheetId="3" hidden="1">{#N/A,#N/A,FALSE,"特殊室（ＢＱ表）"}</definedName>
    <definedName name="_PPP3" hidden="1">{#N/A,#N/A,FALSE,"特殊室（ＢＱ表）"}</definedName>
    <definedName name="_PPP33" localSheetId="3" hidden="1">{#N/A,#N/A,FALSE,"特殊室（ＢＱ表）"}</definedName>
    <definedName name="_PPP33" hidden="1">{#N/A,#N/A,FALSE,"特殊室（ＢＱ表）"}</definedName>
    <definedName name="_ppp34" localSheetId="3" hidden="1">{#N/A,#N/A,FALSE,"特殊室（ＢＱ表）"}</definedName>
    <definedName name="_ppp34" hidden="1">{#N/A,#N/A,FALSE,"特殊室（ＢＱ表）"}</definedName>
    <definedName name="_ppp3444" localSheetId="3" hidden="1">{#N/A,#N/A,FALSE,"特殊室（ＢＱ表）"}</definedName>
    <definedName name="_ppp3444" hidden="1">{#N/A,#N/A,FALSE,"特殊室（ＢＱ表）"}</definedName>
    <definedName name="_pq3" localSheetId="3" hidden="1">#REF!</definedName>
    <definedName name="_pq3" hidden="1">#REF!</definedName>
    <definedName name="_pq4" localSheetId="3" hidden="1">#REF!</definedName>
    <definedName name="_pq4" hidden="1">#REF!</definedName>
    <definedName name="_PYC7" localSheetId="3" hidden="1">{"'Sheet1'!$L$16"}</definedName>
    <definedName name="_PYC7" hidden="1">{"'Sheet1'!$L$16"}</definedName>
    <definedName name="_q1" localSheetId="3" hidden="1">{"'Sheet1'!$L$16"}</definedName>
    <definedName name="_q1" hidden="1">{"'Sheet1'!$L$16"}</definedName>
    <definedName name="_q1300" localSheetId="3" hidden="1">{"Offgrid",#N/A,FALSE,"OFFGRID";"Region",#N/A,FALSE,"REGION";"Offgrid -2",#N/A,FALSE,"OFFGRID";"WTP",#N/A,FALSE,"WTP";"WTP -2",#N/A,FALSE,"WTP";"Project",#N/A,FALSE,"PROJECT";"Summary -2",#N/A,FALSE,"SUMMARY"}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localSheetId="3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localSheetId="3" hidden="1">#REF!</definedName>
    <definedName name="_QLO7" hidden="1">#REF!</definedName>
    <definedName name="_Regression_Int" hidden="1">1</definedName>
    <definedName name="_Regression_X" localSheetId="3" hidden="1">#REF!</definedName>
    <definedName name="_Regression_X" hidden="1">#REF!</definedName>
    <definedName name="_REV1" localSheetId="3" hidden="1">{#N/A,#N/A,TRUE,"Str.";#N/A,#N/A,TRUE,"Steel &amp; Roof";#N/A,#N/A,TRUE,"Arc.";#N/A,#N/A,TRUE,"Preliminary";#N/A,#N/A,TRUE,"Sum_Prelim"}</definedName>
    <definedName name="_REV1" hidden="1">{#N/A,#N/A,TRUE,"Str.";#N/A,#N/A,TRUE,"Steel &amp; Roof";#N/A,#N/A,TRUE,"Arc.";#N/A,#N/A,TRUE,"Preliminary";#N/A,#N/A,TRUE,"Sum_Prelim"}</definedName>
    <definedName name="_SCL4" localSheetId="3" hidden="1">{"'Sheet1'!$L$16"}</definedName>
    <definedName name="_SCL4" hidden="1">{"'Sheet1'!$L$16"}</definedName>
    <definedName name="_sd9" localSheetId="3" hidden="1">{"'Sheet1'!$L$16"}</definedName>
    <definedName name="_sd9" hidden="1">{"'Sheet1'!$L$16"}</definedName>
    <definedName name="_Sort" localSheetId="3" hidden="1">#REF!</definedName>
    <definedName name="_Sort" hidden="1">#REF!</definedName>
    <definedName name="_Sortmoi" localSheetId="3" hidden="1">#REF!</definedName>
    <definedName name="_Sortmoi" hidden="1">#REF!</definedName>
    <definedName name="_sum1" localSheetId="3" hidden="1">#REF!</definedName>
    <definedName name="_sum1" hidden="1">#REF!</definedName>
    <definedName name="_SXT3" localSheetId="3" hidden="1">{#N/A,#N/A,FALSE,"Chi tiÆt"}</definedName>
    <definedName name="_SXT3" hidden="1">{#N/A,#N/A,FALSE,"Chi tiÆt"}</definedName>
    <definedName name="_sxt5" localSheetId="3" hidden="1">{"'Sheet1'!$L$16"}</definedName>
    <definedName name="_sxt5" hidden="1">{"'Sheet1'!$L$16"}</definedName>
    <definedName name="_sxt6" localSheetId="3" hidden="1">{#N/A,#N/A,FALSE,"Chi tiÆt"}</definedName>
    <definedName name="_sxt6" hidden="1">{#N/A,#N/A,FALSE,"Chi tiÆt"}</definedName>
    <definedName name="_t1" localSheetId="3" hidden="1">{"'Sheet1'!$L$16"}</definedName>
    <definedName name="_t1" hidden="1">{"'Sheet1'!$L$16"}</definedName>
    <definedName name="_T10" localSheetId="3" hidden="1">{"'Sheet1'!$L$16"}</definedName>
    <definedName name="_T10" hidden="1">{"'Sheet1'!$L$16"}</definedName>
    <definedName name="_t11" localSheetId="3" hidden="1">{"'Sheet1'!$L$16"}</definedName>
    <definedName name="_t11" hidden="1">{"'Sheet1'!$L$16"}</definedName>
    <definedName name="_t12" localSheetId="3" hidden="1">{#N/A,#N/A,FALSE,"Chi tiÆt"}</definedName>
    <definedName name="_t12" hidden="1">{#N/A,#N/A,FALSE,"Chi tiÆt"}</definedName>
    <definedName name="_T14" localSheetId="3" hidden="1">{"'Sheet1'!$L$16"}</definedName>
    <definedName name="_T14" hidden="1">{"'Sheet1'!$L$16"}</definedName>
    <definedName name="_T17" localSheetId="3" hidden="1">{"'Sheet1'!$L$16"}</definedName>
    <definedName name="_T17" hidden="1">{"'Sheet1'!$L$16"}</definedName>
    <definedName name="_T23" localSheetId="3" hidden="1">{"'Sheet1'!$L$16"}</definedName>
    <definedName name="_T23" hidden="1">{"'Sheet1'!$L$16"}</definedName>
    <definedName name="_T3" localSheetId="3" hidden="1">{"'Sheet1'!$L$16"}</definedName>
    <definedName name="_T3" hidden="1">{"'Sheet1'!$L$16"}</definedName>
    <definedName name="_T7" localSheetId="3" hidden="1">{"'Sheet1'!$L$16"}</definedName>
    <definedName name="_T7" hidden="1">{"'Sheet1'!$L$16"}</definedName>
    <definedName name="_t9" localSheetId="3" hidden="1">{#N/A,#N/A,FALSE,"Chi tiÆt"}</definedName>
    <definedName name="_t9" hidden="1">{#N/A,#N/A,FALSE,"Chi tiÆt"}</definedName>
    <definedName name="_Table1_In1" localSheetId="3" hidden="1">#REF!</definedName>
    <definedName name="_Table1_In1" hidden="1">#REF!</definedName>
    <definedName name="_Table1_Out" localSheetId="3" hidden="1">#REF!</definedName>
    <definedName name="_Table1_Out" hidden="1">#REF!</definedName>
    <definedName name="_Table2_In1" localSheetId="3" hidden="1">#REF!</definedName>
    <definedName name="_Table2_In1" hidden="1">#REF!</definedName>
    <definedName name="_Table2_Out" localSheetId="3" hidden="1">#REF!</definedName>
    <definedName name="_Table2_Out" hidden="1">#REF!</definedName>
    <definedName name="_tb2" localSheetId="3" hidden="1">{"'Sheet1'!$L$16"}</definedName>
    <definedName name="_tb2" hidden="1">{"'Sheet1'!$L$16"}</definedName>
    <definedName name="_td1" localSheetId="3" hidden="1">{"'Sheet1'!$L$16"}</definedName>
    <definedName name="_td1" hidden="1">{"'Sheet1'!$L$16"}</definedName>
    <definedName name="_TD3" localSheetId="3" hidden="1">{"'Sheet1'!$L$16"}</definedName>
    <definedName name="_TD3" hidden="1">{"'Sheet1'!$L$16"}</definedName>
    <definedName name="_TH02" localSheetId="3" hidden="1">{"'Sheet1'!$L$16"}</definedName>
    <definedName name="_TH02" hidden="1">{"'Sheet1'!$L$16"}</definedName>
    <definedName name="_TH20004" localSheetId="3" hidden="1">{"'Sheet1'!$L$16"}</definedName>
    <definedName name="_TH20004" hidden="1">{"'Sheet1'!$L$16"}</definedName>
    <definedName name="_tha1" localSheetId="3" hidden="1">{"'Sheet1'!$L$16"}</definedName>
    <definedName name="_tha1" hidden="1">{"'Sheet1'!$L$16"}</definedName>
    <definedName name="_tm1" localSheetId="3" hidden="1">{"'Sheet1'!$L$16"}</definedName>
    <definedName name="_tm1" hidden="1">{"'Sheet1'!$L$16"}</definedName>
    <definedName name="_TM2" localSheetId="3" hidden="1">{"'Sheet1'!$L$16"}</definedName>
    <definedName name="_TM2" hidden="1">{"'Sheet1'!$L$16"}</definedName>
    <definedName name="_TO14" localSheetId="3" hidden="1">{"'Sheet1'!$L$16"}</definedName>
    <definedName name="_TO14" hidden="1">{"'Sheet1'!$L$16"}</definedName>
    <definedName name="_Tru21" localSheetId="3" hidden="1">{"'Sheet1'!$L$16"}</definedName>
    <definedName name="_Tru21" hidden="1">{"'Sheet1'!$L$16"}</definedName>
    <definedName name="_TS2004" localSheetId="3" hidden="1">{"'Sheet1'!$L$16"}</definedName>
    <definedName name="_TS2004" hidden="1">{"'Sheet1'!$L$16"}</definedName>
    <definedName name="_tt3" localSheetId="3" hidden="1">{"'Sheet1'!$L$16"}</definedName>
    <definedName name="_tt3" hidden="1">{"'Sheet1'!$L$16"}</definedName>
    <definedName name="_TT31" localSheetId="3" hidden="1">{"'Sheet1'!$L$16"}</definedName>
    <definedName name="_TT31" hidden="1">{"'Sheet1'!$L$16"}</definedName>
    <definedName name="_tu4" localSheetId="3" hidden="1">{"'Sheet1'!$L$16"}</definedName>
    <definedName name="_tu4" hidden="1">{"'Sheet1'!$L$16"}</definedName>
    <definedName name="_tu5" localSheetId="3" hidden="1">{"'Sheet1'!$L$16"}</definedName>
    <definedName name="_tu5" hidden="1">{"'Sheet1'!$L$16"}</definedName>
    <definedName name="_UI33" localSheetId="3" hidden="1">{"'Sheet1'!$L$16"}</definedName>
    <definedName name="_UI33" hidden="1">{"'Sheet1'!$L$16"}</definedName>
    <definedName name="_Unknown_User_Defined_Name_0" localSheetId="3" hidden="1">#REF!</definedName>
    <definedName name="_Unknown_User_Defined_Name_0" hidden="1">#REF!</definedName>
    <definedName name="_Unknown_User_Defined_Name_1" localSheetId="3" hidden="1">#REF!</definedName>
    <definedName name="_Unknown_User_Defined_Name_1" hidden="1">#REF!</definedName>
    <definedName name="_Unknown_User_Defined_Name_2" localSheetId="3" hidden="1">#REF!</definedName>
    <definedName name="_Unknown_User_Defined_Name_2" hidden="1">#REF!</definedName>
    <definedName name="_Unknown_User_Defined_Name_3" localSheetId="3" hidden="1">#REF!</definedName>
    <definedName name="_Unknown_User_Defined_Name_3" hidden="1">#REF!</definedName>
    <definedName name="_VLP2" localSheetId="3" hidden="1">{"'Sheet1'!$L$16"}</definedName>
    <definedName name="_VLP2" hidden="1">{"'Sheet1'!$L$16"}</definedName>
    <definedName name="_vpt5" localSheetId="3" hidden="1">{"'Sheet1'!$L$16"}</definedName>
    <definedName name="_vpt5" hidden="1">{"'Sheet1'!$L$16"}</definedName>
    <definedName name="_vpt6" localSheetId="3" hidden="1">{"'Sheet1'!$L$16"}</definedName>
    <definedName name="_vpt6" hidden="1">{"'Sheet1'!$L$16"}</definedName>
    <definedName name="_VT675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localSheetId="3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localSheetId="3" hidden="1">{"'Sheet1'!$L$16"}</definedName>
    <definedName name="_VTQ1" hidden="1">{"'Sheet1'!$L$16"}</definedName>
    <definedName name="_z511" localSheetId="3" hidden="1">{"'Sheet1'!$L$16"}</definedName>
    <definedName name="_z511" hidden="1">{"'Sheet1'!$L$16"}</definedName>
    <definedName name="¸df" localSheetId="3" hidden="1">#REF!</definedName>
    <definedName name="¸df" hidden="1">#REF!</definedName>
    <definedName name="¸dfsad" localSheetId="3" hidden="1">#REF!</definedName>
    <definedName name="¸dfsad" hidden="1">#REF!</definedName>
    <definedName name="¸DFSDFGKLJKL" localSheetId="3" hidden="1">#REF!</definedName>
    <definedName name="¸DFSDFGKLJKL" hidden="1">#REF!</definedName>
    <definedName name="¼QRWERQWR" localSheetId="3" hidden="1">#REF!</definedName>
    <definedName name="¼QRWERQWR" hidden="1">#REF!</definedName>
    <definedName name="­234w4q324q32" localSheetId="3" hidden="1">#REF!</definedName>
    <definedName name="­234w4q324q32" hidden="1">#REF!</definedName>
    <definedName name="â" localSheetId="3" hidden="1">{"'Sheet1'!$L$16"}</definedName>
    <definedName name="â" hidden="1">{"'Sheet1'!$L$16"}</definedName>
    <definedName name="ầ" localSheetId="3" hidden="1">{"'Sheet1'!$L$16"}</definedName>
    <definedName name="ầ" hidden="1">{"'Sheet1'!$L$16"}</definedName>
    <definedName name="ằ" localSheetId="3" hidden="1">{"'Sheet1'!$L$16"}</definedName>
    <definedName name="ằ" hidden="1">{"'Sheet1'!$L$16"}</definedName>
    <definedName name="a129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3" hidden="1">{"'Sheet1'!$L$16"}</definedName>
    <definedName name="a1moi" hidden="1">{"'Sheet1'!$L$16"}</definedName>
    <definedName name="a3rt" localSheetId="3" hidden="1">{"'Sheet1'!$L$16"}</definedName>
    <definedName name="a3rt" hidden="1">{"'Sheet1'!$L$16"}</definedName>
    <definedName name="aa" localSheetId="3" hidden="1">{"'Sheet1'!$L$16"}</definedName>
    <definedName name="aa" hidden="1">{"'Sheet1'!$L$16"}</definedName>
    <definedName name="aaaa" localSheetId="3" hidden="1">{"Offgrid",#N/A,FALSE,"OFFGRID";"Region",#N/A,FALSE,"REGION";"Offgrid -2",#N/A,FALSE,"OFFGRID";"WTP",#N/A,FALSE,"WTP";"WTP -2",#N/A,FALSE,"WTP";"Project",#N/A,FALSE,"PROJECT";"Summary -2",#N/A,FALSE,"SUMMARY"}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localSheetId="3" hidden="1">{0}</definedName>
    <definedName name="AAAAA" hidden="1">{0}</definedName>
    <definedName name="aaaaaa" localSheetId="3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localSheetId="3" hidden="1">{"'Sheet1'!$L$16"}</definedName>
    <definedName name="aaaaaaaaa" hidden="1">{"'Sheet1'!$L$16"}</definedName>
    <definedName name="aaaaaaaaaaaaaaaa" localSheetId="3" hidden="1">{#N/A,#N/A,FALSE,"CCTV"}</definedName>
    <definedName name="aaaaaaaaaaaaaaaa" hidden="1">{#N/A,#N/A,FALSE,"CCTV"}</definedName>
    <definedName name="aaaaaaaaaaaaaaaattttttttttt" localSheetId="3" hidden="1">{"'Sheet1'!$L$16"}</definedName>
    <definedName name="aaaaaaaaaaaaaaaattttttttttt" hidden="1">{"'Sheet1'!$L$16"}</definedName>
    <definedName name="aaag" localSheetId="3" hidden="1">{#N/A,#N/A,TRUE,"SUM";#N/A,#N/A,TRUE,"EE";#N/A,#N/A,TRUE,"AC";#N/A,#N/A,TRUE,"SN"}</definedName>
    <definedName name="aaag" hidden="1">{#N/A,#N/A,TRUE,"SUM";#N/A,#N/A,TRUE,"EE";#N/A,#N/A,TRUE,"AC";#N/A,#N/A,TRUE,"SN"}</definedName>
    <definedName name="ÀASA" localSheetId="3" hidden="1">{"'Sheet1'!$L$16"}</definedName>
    <definedName name="ÀASA" hidden="1">{"'Sheet1'!$L$16"}</definedName>
    <definedName name="aassa" localSheetId="3" hidden="1">{"'Sheet1'!$L$16"}</definedName>
    <definedName name="aassa" hidden="1">{"'Sheet1'!$L$16"}</definedName>
    <definedName name="ABAB" localSheetId="3" hidden="1">{#N/A,#N/A,FALSE,"CCTV"}</definedName>
    <definedName name="ABAB" hidden="1">{#N/A,#N/A,FALSE,"CCTV"}</definedName>
    <definedName name="abc" localSheetId="3" hidden="1">{"'Sheet1'!$L$16"}</definedName>
    <definedName name="abc" hidden="1">{"'Sheet1'!$L$16"}</definedName>
    <definedName name="ABCD" localSheetId="3" hidden="1">{"'Sheet1'!$L$16"}</definedName>
    <definedName name="ABCD" hidden="1">{"'Sheet1'!$L$16"}</definedName>
    <definedName name="abcvd" localSheetId="3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localSheetId="3" hidden="1">{"'Sheet1'!$L$16"}</definedName>
    <definedName name="ACMV" hidden="1">{"'Sheet1'!$L$16"}</definedName>
    <definedName name="AD" localSheetId="3" hidden="1">#REF!</definedName>
    <definedName name="AD" hidden="1">#REF!</definedName>
    <definedName name="adada" localSheetId="3" hidden="1">{"'Sheet1'!$L$16"}</definedName>
    <definedName name="adada" hidden="1">{"'Sheet1'!$L$16"}</definedName>
    <definedName name="ADADADD" localSheetId="3" hidden="1">{"'Sheet1'!$L$16"}</definedName>
    <definedName name="ADADADD" hidden="1">{"'Sheet1'!$L$16"}</definedName>
    <definedName name="adadqadwd" localSheetId="3" hidden="1">#REF!</definedName>
    <definedName name="adadqadwd" hidden="1">#REF!</definedName>
    <definedName name="ÁDAF" localSheetId="3" hidden="1">{"'Sheet1'!$L$16"}</definedName>
    <definedName name="ÁDAF" hidden="1">{"'Sheet1'!$L$16"}</definedName>
    <definedName name="adasasdda" localSheetId="3" hidden="1">#REF!</definedName>
    <definedName name="adasasdda" hidden="1">#REF!</definedName>
    <definedName name="adc" localSheetId="3" hidden="1">{#N/A,#N/A,FALSE,"CCTV"}</definedName>
    <definedName name="adc" hidden="1">{#N/A,#N/A,FALSE,"CCTV"}</definedName>
    <definedName name="adcfgf" localSheetId="3" hidden="1">{"'Sheet1'!$L$16"}</definedName>
    <definedName name="adcfgf" hidden="1">{"'Sheet1'!$L$16"}</definedName>
    <definedName name="adddfdgfg" localSheetId="3" hidden="1">#REF!</definedName>
    <definedName name="adddfdgfg" hidden="1">#REF!</definedName>
    <definedName name="ade" localSheetId="3" hidden="1">{#N/A,#N/A,FALSE,"Chi tiÆt"}</definedName>
    <definedName name="ade" hidden="1">{#N/A,#N/A,FALSE,"Chi tiÆt"}</definedName>
    <definedName name="adfg" localSheetId="3" hidden="1">{"'Sheet1'!$L$16"}</definedName>
    <definedName name="adfg" hidden="1">{"'Sheet1'!$L$16"}</definedName>
    <definedName name="adfgghgjkcvbcvb" localSheetId="3" hidden="1">#REF!</definedName>
    <definedName name="adfgghgjkcvbcvb" hidden="1">#REF!</definedName>
    <definedName name="adfgsdfÎyttuiuiopiop" localSheetId="3" hidden="1">#REF!</definedName>
    <definedName name="adfgsdfÎyttuiuiopiop" hidden="1">#REF!</definedName>
    <definedName name="ádgewekt" localSheetId="3" hidden="1">{0,0,0,0;0,0,0,0;0,0,0,0;0,0,0,0;0,0,0,0;0,0,0,0;0,0,0,0}</definedName>
    <definedName name="ádgewekt" hidden="1">{0,0,0,0;0,0,0,0;0,0,0,0;0,0,0,0;0,0,0,0;0,0,0,0;0,0,0,0}</definedName>
    <definedName name="adrytsd" localSheetId="3" hidden="1">{"'Sheet1'!$L$16"}</definedName>
    <definedName name="adrytsd" hidden="1">{"'Sheet1'!$L$16"}</definedName>
    <definedName name="ádsấ" localSheetId="3" hidden="1">{#N/A,#N/A,FALSE,"Tabelle2";#N/A,#N/A,FALSE,"Tabelle1"}</definedName>
    <definedName name="ádsấ" hidden="1">{#N/A,#N/A,FALSE,"Tabelle2";#N/A,#N/A,FALSE,"Tabelle1"}</definedName>
    <definedName name="adsadsa" localSheetId="3" hidden="1">{#N/A,#N/A,TRUE,"CS&amp;SS(AG)";#N/A,#N/A,TRUE,"CS(UG)";#N/A,#N/A,TRUE,"CSCL(UG)";#N/A,#N/A,TRUE,"KYNAR";#N/A,#N/A,TRUE,"ALLOY904";#N/A,#N/A,TRUE,"TITANIUM";#N/A,#N/A,TRUE,"STMTRACE"}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localSheetId="3" hidden="1">#REF!</definedName>
    <definedName name="adsadsads" hidden="1">#REF!</definedName>
    <definedName name="adsafdsgfg" localSheetId="3" hidden="1">#REF!</definedName>
    <definedName name="adsafdsgfg" hidden="1">#REF!</definedName>
    <definedName name="adsdghtyyuiui" localSheetId="3" hidden="1">#REF!</definedName>
    <definedName name="adsdghtyyuiui" hidden="1">#REF!</definedName>
    <definedName name="adsdsad" localSheetId="3" hidden="1">#REF!</definedName>
    <definedName name="adsdsad" hidden="1">#REF!</definedName>
    <definedName name="advass" localSheetId="3" hidden="1">{"'Sheet1'!$L$16"}</definedName>
    <definedName name="advass" hidden="1">{"'Sheet1'!$L$16"}</definedName>
    <definedName name="ae" localSheetId="3" hidden="1">{"'Sheet1'!$L$16"}</definedName>
    <definedName name="ae" hidden="1">{"'Sheet1'!$L$16"}</definedName>
    <definedName name="aesde" localSheetId="3" hidden="1">{#N/A,#N/A,FALSE,"CCTV"}</definedName>
    <definedName name="aesde" hidden="1">{#N/A,#N/A,FALSE,"CCTV"}</definedName>
    <definedName name="aewewew" localSheetId="3" hidden="1">#REF!</definedName>
    <definedName name="aewewew" hidden="1">#REF!</definedName>
    <definedName name="AEWWQAFDASF" localSheetId="3" hidden="1">{"'Sheet1'!$L$16"}</definedName>
    <definedName name="AEWWQAFDASF" hidden="1">{"'Sheet1'!$L$16"}</definedName>
    <definedName name="af" localSheetId="3" hidden="1">{#N/A,#N/A,FALSE,"Chi tiÆt"}</definedName>
    <definedName name="af" hidden="1">{#N/A,#N/A,FALSE,"Chi tiÆt"}</definedName>
    <definedName name="âfA" localSheetId="3" hidden="1">{"'Sheet1'!$L$16"}</definedName>
    <definedName name="âfA" hidden="1">{"'Sheet1'!$L$16"}</definedName>
    <definedName name="afaf" localSheetId="3" hidden="1">{"'Sheet1'!$L$16"}</definedName>
    <definedName name="afaf" hidden="1">{"'Sheet1'!$L$16"}</definedName>
    <definedName name="afasfsagfas" localSheetId="3" hidden="1">{#N/A,#N/A,FALSE,"Chi tiÆt"}</definedName>
    <definedName name="afasfsagfas" hidden="1">{#N/A,#N/A,FALSE,"Chi tiÆt"}</definedName>
    <definedName name="afdf" localSheetId="3" hidden="1">{"'Sheet1'!$L$16"}</definedName>
    <definedName name="afdf" hidden="1">{"'Sheet1'!$L$16"}</definedName>
    <definedName name="AFDFD" localSheetId="3" hidden="1">{#N/A,#N/A,FALSE,"Chi tiÆt"}</definedName>
    <definedName name="AFDFD" hidden="1">{#N/A,#N/A,FALSE,"Chi tiÆt"}</definedName>
    <definedName name="afggdgfgf" localSheetId="3" hidden="1">{"'Sheet1'!$L$16"}</definedName>
    <definedName name="afggdgfgf" hidden="1">{"'Sheet1'!$L$16"}</definedName>
    <definedName name="ĂFRSGDF" localSheetId="3" hidden="1">{"'Sheet1'!$L$16"}</definedName>
    <definedName name="ĂFRSGDF" hidden="1">{"'Sheet1'!$L$16"}</definedName>
    <definedName name="ăg" localSheetId="3" hidden="1">{"'Sheet1'!$L$16"}</definedName>
    <definedName name="ăg" hidden="1">{"'Sheet1'!$L$16"}</definedName>
    <definedName name="AGE" localSheetId="3" hidden="1">{"'Sheet1'!$L$16"}</definedName>
    <definedName name="AGE" hidden="1">{"'Sheet1'!$L$16"}</definedName>
    <definedName name="ầgfabg" localSheetId="3" hidden="1">#REF!</definedName>
    <definedName name="ầgfabg" hidden="1">#REF!</definedName>
    <definedName name="ẩgg" localSheetId="3" hidden="1">{"'Sheet1'!$L$16"}</definedName>
    <definedName name="ẩgg" hidden="1">{"'Sheet1'!$L$16"}</definedName>
    <definedName name="ầgga" localSheetId="3" hidden="1">{"'Sheet1'!$L$16"}</definedName>
    <definedName name="ầgga" hidden="1">{"'Sheet1'!$L$16"}</definedName>
    <definedName name="ahtjht" localSheetId="3" hidden="1">{"'Sheet1'!$L$16"}</definedName>
    <definedName name="ahtjht" hidden="1">{"'Sheet1'!$L$16"}</definedName>
    <definedName name="AÎTUYUYIOPUIOP" localSheetId="3" hidden="1">#REF!</definedName>
    <definedName name="AÎTUYUYIOPUIOP" hidden="1">#REF!</definedName>
    <definedName name="akp" localSheetId="3" hidden="1">{"'Sheet1'!$L$16"}</definedName>
    <definedName name="akp" hidden="1">{"'Sheet1'!$L$16"}</definedName>
    <definedName name="amoi" localSheetId="3" hidden="1">{"'Sheet1'!$L$16"}</definedName>
    <definedName name="amoi" hidden="1">{"'Sheet1'!$L$16"}</definedName>
    <definedName name="AN" localSheetId="3" hidden="1">{"'Sheet1'!$L$16"}</definedName>
    <definedName name="AN" hidden="1">{"'Sheet1'!$L$16"}</definedName>
    <definedName name="anh" localSheetId="3" hidden="1">{"'Sheet1'!$L$16"}</definedName>
    <definedName name="anh" hidden="1">{"'Sheet1'!$L$16"}</definedName>
    <definedName name="anh\" localSheetId="3" hidden="1">{"'Sheet1'!$L$16"}</definedName>
    <definedName name="anh\" hidden="1">{"'Sheet1'!$L$16"}</definedName>
    <definedName name="anhdai" localSheetId="3" hidden="1">#REF!</definedName>
    <definedName name="anhdai" hidden="1">#REF!</definedName>
    <definedName name="anscount" hidden="1">8</definedName>
    <definedName name="Antoan" localSheetId="3" hidden="1">{"'Sheet1'!$L$16"}</definedName>
    <definedName name="Antoan" hidden="1">{"'Sheet1'!$L$16"}</definedName>
    <definedName name="aq" localSheetId="3" hidden="1">{"'Sheet1'!$L$16"}</definedName>
    <definedName name="aq" hidden="1">{"'Sheet1'!$L$16"}</definedName>
    <definedName name="Aqpl" localSheetId="3" hidden="1">{"'Sheet1'!$L$16"}</definedName>
    <definedName name="Aqpl" hidden="1">{"'Sheet1'!$L$16"}</definedName>
    <definedName name="as" localSheetId="3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localSheetId="3" hidden="1">#REF!</definedName>
    <definedName name="AS2StaticLS" hidden="1">#REF!</definedName>
    <definedName name="AS2SyncStepLS" hidden="1">0</definedName>
    <definedName name="AS2TickmarkLS" localSheetId="3" hidden="1">#REF!</definedName>
    <definedName name="AS2TickmarkLS" hidden="1">#REF!</definedName>
    <definedName name="AS2VersionLS" hidden="1">300</definedName>
    <definedName name="asa" localSheetId="3" hidden="1">{"'Sheet1'!$L$16"}</definedName>
    <definedName name="asa" hidden="1">{"'Sheet1'!$L$16"}</definedName>
    <definedName name="asadasdasd" localSheetId="3" hidden="1">#REF!</definedName>
    <definedName name="asadasdasd" hidden="1">#REF!</definedName>
    <definedName name="asas" localSheetId="3" hidden="1">{#N/A,#N/A,FALSE,"Sheet2";#N/A,#N/A,FALSE,"Sheet4";#N/A,#N/A,FALSE,"Sheet6"}</definedName>
    <definedName name="asas" hidden="1">{#N/A,#N/A,FALSE,"Sheet2";#N/A,#N/A,FALSE,"Sheet4";#N/A,#N/A,FALSE,"Sheet6"}</definedName>
    <definedName name="ASD" localSheetId="3" hidden="1">{"'Sheet1'!$L$16"}</definedName>
    <definedName name="ASD" hidden="1">{"'Sheet1'!$L$16"}</definedName>
    <definedName name="ASDAS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localSheetId="3" hidden="1">{#N/A,#N/A,FALSE,"CCTV"}</definedName>
    <definedName name="ASDF" hidden="1">{#N/A,#N/A,FALSE,"CCTV"}</definedName>
    <definedName name="asdfg" localSheetId="3" hidden="1">{"'Sheet1'!$L$16"}</definedName>
    <definedName name="asdfg" hidden="1">{"'Sheet1'!$L$16"}</definedName>
    <definedName name="aserasdea" localSheetId="3" hidden="1">{"'Sheet1'!$L$16"}</definedName>
    <definedName name="aserasdea" hidden="1">{"'Sheet1'!$L$16"}</definedName>
    <definedName name="ASEW" localSheetId="3" hidden="1">{"'Sheet1'!$L$16"}</definedName>
    <definedName name="ASEW" hidden="1">{"'Sheet1'!$L$16"}</definedName>
    <definedName name="asf" localSheetId="3" hidden="1">{"'Sheet1'!$L$16"}</definedName>
    <definedName name="asf" hidden="1">{"'Sheet1'!$L$16"}</definedName>
    <definedName name="asfsf" localSheetId="3" hidden="1">{"'Sheet1'!$L$16"}</definedName>
    <definedName name="asfsf" hidden="1">{"'Sheet1'!$L$16"}</definedName>
    <definedName name="asGDBhsN" localSheetId="3" hidden="1">{"'Sheet1'!$L$16"}</definedName>
    <definedName name="asGDBhsN" hidden="1">{"'Sheet1'!$L$16"}</definedName>
    <definedName name="asq" localSheetId="3" hidden="1">{"'Sheet1'!$L$16"}</definedName>
    <definedName name="asq" hidden="1">{"'Sheet1'!$L$16"}</definedName>
    <definedName name="ASSSS" localSheetId="3" hidden="1">{"'Sheet1'!$L$16"}</definedName>
    <definedName name="ASSSS" hidden="1">{"'Sheet1'!$L$16"}</definedName>
    <definedName name="asssss" localSheetId="3" hidden="1">{"'Sheet1'!$L$16"}</definedName>
    <definedName name="asssss" hidden="1">{"'Sheet1'!$L$16"}</definedName>
    <definedName name="aswd" localSheetId="3" hidden="1">{"'Sheet1'!$L$16"}</definedName>
    <definedName name="aswd" hidden="1">{"'Sheet1'!$L$16"}</definedName>
    <definedName name="AT" localSheetId="3" hidden="1">#REF!</definedName>
    <definedName name="AT" hidden="1">#REF!</definedName>
    <definedName name="ATGT" localSheetId="3" hidden="1">{"'Sheet1'!$L$16"}</definedName>
    <definedName name="ATGT" hidden="1">{"'Sheet1'!$L$16"}</definedName>
    <definedName name="atw" localSheetId="3" hidden="1">{"'Sheet1'!$L$16"}</definedName>
    <definedName name="atw" hidden="1">{"'Sheet1'!$L$16"}</definedName>
    <definedName name="b" localSheetId="3" hidden="1">{"'Sheet1'!$L$16"}</definedName>
    <definedName name="b" hidden="1">{"'Sheet1'!$L$16"}</definedName>
    <definedName name="B6a" localSheetId="3" hidden="1">{"'Sheet1'!$L$16"}</definedName>
    <definedName name="B6a" hidden="1">{"'Sheet1'!$L$16"}</definedName>
    <definedName name="bang" localSheetId="3" hidden="1">{#N/A,#N/A,FALSE,"BN (2)"}</definedName>
    <definedName name="bang" hidden="1">{#N/A,#N/A,FALSE,"BN (2)"}</definedName>
    <definedName name="bảng" localSheetId="3" hidden="1">{"'Sheet1'!$L$16"}</definedName>
    <definedName name="bảng" hidden="1">{"'Sheet1'!$L$16"}</definedName>
    <definedName name="BanGiaoThong" localSheetId="3" hidden="1">{"'Sheet1'!$L$16"}</definedName>
    <definedName name="BanGiaoThong" hidden="1">{"'Sheet1'!$L$16"}</definedName>
    <definedName name="banGT11" localSheetId="3" hidden="1">{"'Sheet1'!$L$16"}</definedName>
    <definedName name="banGT11" hidden="1">{"'Sheet1'!$L$16"}</definedName>
    <definedName name="bangt12" localSheetId="3" hidden="1">{"'Sheet1'!$L$16"}</definedName>
    <definedName name="bangt12" hidden="1">{"'Sheet1'!$L$16"}</definedName>
    <definedName name="bangt14" localSheetId="3" hidden="1">{"'Sheet1'!$L$16"}</definedName>
    <definedName name="bangt14" hidden="1">{"'Sheet1'!$L$16"}</definedName>
    <definedName name="bangt15" localSheetId="3" hidden="1">{"'Sheet1'!$L$16"}</definedName>
    <definedName name="bangt15" hidden="1">{"'Sheet1'!$L$16"}</definedName>
    <definedName name="banQL" localSheetId="3" hidden="1">{"'Sheet1'!$L$16"}</definedName>
    <definedName name="banQL" hidden="1">{"'Sheet1'!$L$16"}</definedName>
    <definedName name="BAVF" localSheetId="3" hidden="1">{"'Sheet1'!$L$16"}</definedName>
    <definedName name="BAVF" hidden="1">{"'Sheet1'!$L$16"}</definedName>
    <definedName name="BBB" localSheetId="3" hidden="1">{"'Sheet1'!$L$16"}</definedName>
    <definedName name="BBB" hidden="1">{"'Sheet1'!$L$16"}</definedName>
    <definedName name="ｂｂｂ" localSheetId="3" hidden="1">{"'Sheet1'!$L$16"}</definedName>
    <definedName name="ｂｂｂ" hidden="1">{"'Sheet1'!$L$16"}</definedName>
    <definedName name="bbbb" localSheetId="3" hidden="1">{"Offgrid",#N/A,FALSE,"OFFGRID";"Region",#N/A,FALSE,"REGION";"Offgrid -2",#N/A,FALSE,"OFFGRID";"WTP",#N/A,FALSE,"WTP";"WTP -2",#N/A,FALSE,"WTP";"Project",#N/A,FALSE,"PROJECT";"Summary -2",#N/A,FALSE,"SUMMARY"}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localSheetId="3" hidden="1">{"'Sheet1'!$L$16"}</definedName>
    <definedName name="ｂｂｂｂ" hidden="1">{"'Sheet1'!$L$16"}</definedName>
    <definedName name="ｂｂｂｂｂ" localSheetId="3" hidden="1">{"'Sheet1'!$L$16"}</definedName>
    <definedName name="ｂｂｂｂｂ" hidden="1">{"'Sheet1'!$L$16"}</definedName>
    <definedName name="BBgach" localSheetId="3" hidden="1">{"'Sheet1'!$L$16"}</definedName>
    <definedName name="BBgach" hidden="1">{"'Sheet1'!$L$16"}</definedName>
    <definedName name="bbntttttt" localSheetId="3" hidden="1">{"'Sheet1'!$L$16"}</definedName>
    <definedName name="bbntttttt" hidden="1">{"'Sheet1'!$L$16"}</definedName>
    <definedName name="bc" localSheetId="3" hidden="1">{"'Sheet1'!$L$16"}</definedName>
    <definedName name="bc" hidden="1">{"'Sheet1'!$L$16"}</definedName>
    <definedName name="BCTQ" localSheetId="3" hidden="1">{"'Sheet1'!$L$16"}</definedName>
    <definedName name="BCTQ" hidden="1">{"'Sheet1'!$L$16"}</definedName>
    <definedName name="BDFBDFBDF" localSheetId="3" hidden="1">{"'Sheet1'!$L$16"}</definedName>
    <definedName name="BDFBDFBDF" hidden="1">{"'Sheet1'!$L$16"}</definedName>
    <definedName name="BDGNDNGB" localSheetId="3" hidden="1">{"'Sheet1'!$L$16"}</definedName>
    <definedName name="BDGNDNGB" hidden="1">{"'Sheet1'!$L$16"}</definedName>
    <definedName name="bdv" localSheetId="3" hidden="1">{"'Sheet1'!$L$16"}</definedName>
    <definedName name="bdv" hidden="1">{"'Sheet1'!$L$16"}</definedName>
    <definedName name="BFDBRBSD" localSheetId="3" hidden="1">{"NGUYEN QUI THIEP - Personal View",#N/A,FALSE,"XDCB.HT.FUR."}</definedName>
    <definedName name="BFDBRBSD" hidden="1">{"NGUYEN QUI THIEP - Personal View",#N/A,FALSE,"XDCB.HT.FUR."}</definedName>
    <definedName name="BFG" localSheetId="3" hidden="1">#REF!</definedName>
    <definedName name="BFG" hidden="1">#REF!</definedName>
    <definedName name="BFGBSF" localSheetId="3" hidden="1">#REF!</definedName>
    <definedName name="BFGBSF" hidden="1">#REF!</definedName>
    <definedName name="BFSBFD" localSheetId="3" hidden="1">{"'Sheet1'!$L$16"}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localSheetId="3" hidden="1">{"'Sheet1'!$L$16"}</definedName>
    <definedName name="BGFNC" hidden="1">{"'Sheet1'!$L$16"}</definedName>
    <definedName name="Bgiang" localSheetId="3" hidden="1">{"'Sheet1'!$L$16"}</definedName>
    <definedName name="Bgiang" hidden="1">{"'Sheet1'!$L$16"}</definedName>
    <definedName name="BGSFGSD" localSheetId="3" hidden="1">{"'Sheet1'!$L$16"}</definedName>
    <definedName name="BGSFGSD" hidden="1">{"'Sheet1'!$L$16"}</definedName>
    <definedName name="bhfh" localSheetId="3" hidden="1">{"'Sheet1'!$L$16"}</definedName>
    <definedName name="bhfh" hidden="1">{"'Sheet1'!$L$16"}</definedName>
    <definedName name="BHLD" localSheetId="3" hidden="1">{"'Sheet1'!$L$16"}</definedName>
    <definedName name="BHLD" hidden="1">{"'Sheet1'!$L$16"}</definedName>
    <definedName name="BHLDq3" localSheetId="3" hidden="1">{"'Sheet1'!$L$16"}</definedName>
    <definedName name="BHLDq3" hidden="1">{"'Sheet1'!$L$16"}</definedName>
    <definedName name="Bhthang4" localSheetId="3" hidden="1">{#N/A,#N/A,FALSE,"Chi tiÆt"}</definedName>
    <definedName name="Bhthang4" hidden="1">{#N/A,#N/A,FALSE,"Chi tiÆt"}</definedName>
    <definedName name="bhthang5" localSheetId="3" hidden="1">{#N/A,#N/A,FALSE,"Chi tiÆt"}</definedName>
    <definedName name="bhthang5" hidden="1">{#N/A,#N/A,FALSE,"Chi tiÆt"}</definedName>
    <definedName name="bhthang6" localSheetId="3" hidden="1">{"'Sheet1'!$L$16"}</definedName>
    <definedName name="bhthang6" hidden="1">{"'Sheet1'!$L$16"}</definedName>
    <definedName name="BHXH" localSheetId="3" hidden="1">{"'Sheet1'!$L$16"}</definedName>
    <definedName name="BHXH" hidden="1">{"'Sheet1'!$L$16"}</definedName>
    <definedName name="BHYTQ3" localSheetId="3" hidden="1">{"'Sheet1'!$L$16"}</definedName>
    <definedName name="BHYTQ3" hidden="1">{"'Sheet1'!$L$16"}</definedName>
    <definedName name="Bien" localSheetId="3" hidden="1">#REF!</definedName>
    <definedName name="Bien" hidden="1">#REF!</definedName>
    <definedName name="Bien1" localSheetId="3" hidden="1">#REF!</definedName>
    <definedName name="Bien1" hidden="1">#REF!</definedName>
    <definedName name="BIGC" localSheetId="3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lsukagc.hi" localSheetId="3" hidden="1">{"'Sheet1'!$L$16"}</definedName>
    <definedName name="bilsukagc.hi" hidden="1">{"'Sheet1'!$L$16"}</definedName>
    <definedName name="Bin" localSheetId="3" hidden="1">{"'Sheet1'!$L$16"}</definedName>
    <definedName name="Bin" hidden="1">{"'Sheet1'!$L$16"}</definedName>
    <definedName name="binh" localSheetId="3" hidden="1">{"'Sheet1'!$L$16"}</definedName>
    <definedName name="binh" hidden="1">{"'Sheet1'!$L$16"}</definedName>
    <definedName name="BKDV03" localSheetId="3" hidden="1">{"'Sheet1'!$L$16"}</definedName>
    <definedName name="BKDV03" hidden="1">{"'Sheet1'!$L$16"}</definedName>
    <definedName name="BMS" localSheetId="3" hidden="1">{"'Sheet1'!$L$16"}</definedName>
    <definedName name="BMS" hidden="1">{"'Sheet1'!$L$16"}</definedName>
    <definedName name="BOQA2" localSheetId="3" hidden="1">{"'Sheet1'!$L$16"}</definedName>
    <definedName name="BOQA2" hidden="1">{"'Sheet1'!$L$16"}</definedName>
    <definedName name="BOQCongtruong" localSheetId="3" hidden="1">#REF!</definedName>
    <definedName name="BOQCongtruong" hidden="1">#REF!</definedName>
    <definedName name="bosung" localSheetId="3" hidden="1">{"'Sheet1'!$L$16"}</definedName>
    <definedName name="bosung" hidden="1">{"'Sheet1'!$L$16"}</definedName>
    <definedName name="BREAK" localSheetId="3" hidden="1">{#N/A,#N/A,FALSE,"CCTV"}</definedName>
    <definedName name="BREAK" hidden="1">{#N/A,#N/A,FALSE,"CCTV"}</definedName>
    <definedName name="BSA" localSheetId="3" hidden="1">{"'Sheet1'!$L$16"}</definedName>
    <definedName name="BSA" hidden="1">{"'Sheet1'!$L$16"}</definedName>
    <definedName name="BSFSDBVSD" localSheetId="3" hidden="1">{"'Sheet1'!$L$16"}</definedName>
    <definedName name="BSFSDBVSD" hidden="1">{"'Sheet1'!$L$16"}</definedName>
    <definedName name="BTH" localSheetId="3" hidden="1">{"'Sheet1'!$L$16"}</definedName>
    <definedName name="BTH" hidden="1">{"'Sheet1'!$L$16"}</definedName>
    <definedName name="btl" localSheetId="3" hidden="1">{"'Sheet1'!$L$16"}</definedName>
    <definedName name="btl" hidden="1">{"'Sheet1'!$L$16"}</definedName>
    <definedName name="bvh" localSheetId="3" hidden="1">#REF!</definedName>
    <definedName name="bvh" hidden="1">#REF!</definedName>
    <definedName name="bvhjggj" localSheetId="3" hidden="1">#REF!</definedName>
    <definedName name="bvhjggj" hidden="1">#REF!</definedName>
    <definedName name="BXBXCBC" localSheetId="3" hidden="1">{"'Sheet1'!$L$16"}</definedName>
    <definedName name="BXBXCBC" hidden="1">{"'Sheet1'!$L$16"}</definedName>
    <definedName name="C.1" localSheetId="3" hidden="1">{"'Sheet1'!$L$16"}</definedName>
    <definedName name="C.1" hidden="1">{"'Sheet1'!$L$16"}</definedName>
    <definedName name="c.BaMuoi" localSheetId="3" hidden="1">{"'Sheet1'!$L$16"}</definedName>
    <definedName name="c.BaMuoi" hidden="1">{"'Sheet1'!$L$16"}</definedName>
    <definedName name="C.MocTom" localSheetId="3" hidden="1">{"'Sheet1'!$L$16"}</definedName>
    <definedName name="C.MocTom" hidden="1">{"'Sheet1'!$L$16"}</definedName>
    <definedName name="CA" localSheetId="3" hidden="1">{#N/A,#N/A,TRUE,"SUM";#N/A,#N/A,TRUE,"EE";#N/A,#N/A,TRUE,"AC";#N/A,#N/A,TRUE,"SN"}</definedName>
    <definedName name="CA" hidden="1">{#N/A,#N/A,TRUE,"SUM";#N/A,#N/A,TRUE,"EE";#N/A,#N/A,TRUE,"AC";#N/A,#N/A,TRUE,"SN"}</definedName>
    <definedName name="CẪ" localSheetId="3" hidden="1">{"'Sheet1'!$L$16"}</definedName>
    <definedName name="CẪ" hidden="1">{"'Sheet1'!$L$16"}</definedName>
    <definedName name="Cable" localSheetId="3" hidden="1">{"'Sheet1'!$L$16"}</definedName>
    <definedName name="Cable" hidden="1">{"'Sheet1'!$L$16"}</definedName>
    <definedName name="cald" localSheetId="3" hidden="1">{#N/A,#N/A,FALSE,"CCTV"}</definedName>
    <definedName name="cald" hidden="1">{#N/A,#N/A,FALSE,"CCTV"}</definedName>
    <definedName name="CaododayGa" localSheetId="3" hidden="1">{"'Sheet1'!$L$16"}</definedName>
    <definedName name="CaododayGa" hidden="1">{"'Sheet1'!$L$16"}</definedName>
    <definedName name="CARL" localSheetId="3" hidden="1">{#N/A,#N/A,FALSE,"CCTV"}</definedName>
    <definedName name="CARL" hidden="1">{#N/A,#N/A,FALSE,"CCTV"}</definedName>
    <definedName name="CARL1" localSheetId="3" hidden="1">{#N/A,#N/A,FALSE,"CCTV"}</definedName>
    <definedName name="CARL1" hidden="1">{#N/A,#N/A,FALSE,"CCTV"}</definedName>
    <definedName name="CARL2" localSheetId="3" hidden="1">{#N/A,#N/A,FALSE,"CCTV"}</definedName>
    <definedName name="CARL2" hidden="1">{#N/A,#N/A,FALSE,"CCTV"}</definedName>
    <definedName name="cbnnbn" localSheetId="3" hidden="1">{"'Sheet1'!$L$16"}</definedName>
    <definedName name="cbnnbn" hidden="1">{"'Sheet1'!$L$16"}</definedName>
    <definedName name="CBWorkbookPriority" hidden="1">-1807836116</definedName>
    <definedName name="ccc" localSheetId="3" hidden="1">{"'Sheet1'!$L$16"}</definedName>
    <definedName name="ccc" hidden="1">{"'Sheet1'!$L$16"}</definedName>
    <definedName name="cccc" localSheetId="3" hidden="1">{#N/A,#N/A,TRUE,"SUM";#N/A,#N/A,TRUE,"EE";#N/A,#N/A,TRUE,"AC";#N/A,#N/A,TRUE,"SN"}</definedName>
    <definedName name="cccc" hidden="1">{#N/A,#N/A,TRUE,"SUM";#N/A,#N/A,TRUE,"EE";#N/A,#N/A,TRUE,"AC";#N/A,#N/A,TRUE,"SN"}</definedName>
    <definedName name="cds" localSheetId="3" hidden="1">#REF!</definedName>
    <definedName name="cds" hidden="1">#REF!</definedName>
    <definedName name="Celling" localSheetId="3" hidden="1">{"'Sheet1'!$L$16"}</definedName>
    <definedName name="Celling" hidden="1">{"'Sheet1'!$L$16"}</definedName>
    <definedName name="CF1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localSheetId="3" hidden="1">#REF!</definedName>
    <definedName name="cfggcvdr" hidden="1">#REF!</definedName>
    <definedName name="cg" localSheetId="3" hidden="1">{"'Sheet1'!$L$16"}</definedName>
    <definedName name="cg" hidden="1">{"'Sheet1'!$L$16"}</definedName>
    <definedName name="cgdrte" localSheetId="3" hidden="1">#REF!</definedName>
    <definedName name="cgdrte" hidden="1">#REF!</definedName>
    <definedName name="cgghh" localSheetId="3" hidden="1">{"'Sheet1'!$L$16"}</definedName>
    <definedName name="cgghh" hidden="1">{"'Sheet1'!$L$16"}</definedName>
    <definedName name="CHAIN" localSheetId="3" hidden="1">#REF!</definedName>
    <definedName name="CHAIN" hidden="1">#REF!</definedName>
    <definedName name="Chdate" localSheetId="3" hidden="1">#REF!</definedName>
    <definedName name="Chdate" hidden="1">#REF!</definedName>
    <definedName name="chi" localSheetId="3" hidden="1">{"'Sheet1'!$L$16"}</definedName>
    <definedName name="chi" hidden="1">{"'Sheet1'!$L$16"}</definedName>
    <definedName name="chien" localSheetId="3" hidden="1">{"'Sheet1'!$L$16"}</definedName>
    <definedName name="chien" hidden="1">{"'Sheet1'!$L$16"}</definedName>
    <definedName name="chien1" localSheetId="3" hidden="1">{"'Sheet1'!$L$16"}</definedName>
    <definedName name="chien1" hidden="1">{"'Sheet1'!$L$16"}</definedName>
    <definedName name="chietchai2" localSheetId="3" hidden="1">{"'Sheet1'!$L$16"}</definedName>
    <definedName name="chietchai2" hidden="1">{"'Sheet1'!$L$16"}</definedName>
    <definedName name="chilk" localSheetId="3" hidden="1">{"'Sheet1'!$L$16"}</definedName>
    <definedName name="chilk" hidden="1">{"'Sheet1'!$L$16"}</definedName>
    <definedName name="Chiphi" localSheetId="3" hidden="1">{"'Sheet1'!$L$16"}</definedName>
    <definedName name="Chiphi" hidden="1">{"'Sheet1'!$L$16"}</definedName>
    <definedName name="chitiet3" localSheetId="3" hidden="1">{"'Sheet1'!$L$16"}</definedName>
    <definedName name="chitiet3" hidden="1">{"'Sheet1'!$L$16"}</definedName>
    <definedName name="chitietbgiang2" localSheetId="3" hidden="1">{"'Sheet1'!$L$16"}</definedName>
    <definedName name="chitietbgiang2" hidden="1">{"'Sheet1'!$L$16"}</definedName>
    <definedName name="chl" localSheetId="3" hidden="1">{"'Sheet1'!$L$16"}</definedName>
    <definedName name="chl" hidden="1">{"'Sheet1'!$L$16"}</definedName>
    <definedName name="CHO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localSheetId="3" hidden="1">{"'Sheet1'!$L$16"}</definedName>
    <definedName name="chot3" hidden="1">{"'Sheet1'!$L$16"}</definedName>
    <definedName name="chottda" localSheetId="3" hidden="1">{"'Sheet1'!$L$16"}</definedName>
    <definedName name="chottda" hidden="1">{"'Sheet1'!$L$16"}</definedName>
    <definedName name="chuyen" localSheetId="3" hidden="1">{"'Sheet1'!$L$16"}</definedName>
    <definedName name="chuyen" hidden="1">{"'Sheet1'!$L$16"}</definedName>
    <definedName name="cjh" localSheetId="3" hidden="1">#REF!</definedName>
    <definedName name="cjh" hidden="1">#REF!</definedName>
    <definedName name="CMC" localSheetId="3" hidden="1">{"'Sheet1'!$L$16"}</definedName>
    <definedName name="CMC" hidden="1">{"'Sheet1'!$L$16"}</definedName>
    <definedName name="CN6G" localSheetId="3" hidden="1">{"'Sheet1'!$L$16"}</definedName>
    <definedName name="CN6G" hidden="1">{"'Sheet1'!$L$16"}</definedName>
    <definedName name="Coc_60" localSheetId="3" hidden="1">{"'Sheet1'!$L$16"}</definedName>
    <definedName name="Coc_60" hidden="1">{"'Sheet1'!$L$16"}</definedName>
    <definedName name="coccat" localSheetId="3" hidden="1">{"'Sheet1'!$L$16"}</definedName>
    <definedName name="coccat" hidden="1">{"'Sheet1'!$L$16"}</definedName>
    <definedName name="cocly" localSheetId="3" hidden="1">{"'Sheet1'!$L$16"}</definedName>
    <definedName name="cocly" hidden="1">{"'Sheet1'!$L$16"}</definedName>
    <definedName name="Code" localSheetId="3" hidden="1">#REF!</definedName>
    <definedName name="Code" hidden="1">#REF!</definedName>
    <definedName name="colo" localSheetId="3" hidden="1">{"'Sheet1'!$L$16"}</definedName>
    <definedName name="colo" hidden="1">{"'Sheet1'!$L$16"}</definedName>
    <definedName name="colo1" localSheetId="3" hidden="1">{"'Sheet1'!$L$16"}</definedName>
    <definedName name="colo1" hidden="1">{"'Sheet1'!$L$16"}</definedName>
    <definedName name="column" localSheetId="3" hidden="1">#REF!</definedName>
    <definedName name="column" hidden="1">#REF!</definedName>
    <definedName name="Company2013" localSheetId="3" hidden="1">#REF!</definedName>
    <definedName name="Company2013" hidden="1">#REF!</definedName>
    <definedName name="congB" localSheetId="3" hidden="1">{"'Sheet1'!$L$16"}</definedName>
    <definedName name="congB" hidden="1">{"'Sheet1'!$L$16"}</definedName>
    <definedName name="congca" localSheetId="3" hidden="1">{"'Sheet1'!$L$16"}</definedName>
    <definedName name="congca" hidden="1">{"'Sheet1'!$L$16"}</definedName>
    <definedName name="CONGPA1" localSheetId="3" hidden="1">{"'Sheet1'!$L$16"}</definedName>
    <definedName name="CONGPA1" hidden="1">{"'Sheet1'!$L$16"}</definedName>
    <definedName name="control" localSheetId="3" hidden="1">{"'Sheet1'!$L$16"}</definedName>
    <definedName name="control" hidden="1">{"'Sheet1'!$L$16"}</definedName>
    <definedName name="coping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localSheetId="3" hidden="1">#REF!</definedName>
    <definedName name="COST.020" hidden="1">#REF!</definedName>
    <definedName name="COST.030" localSheetId="3" hidden="1">#REF!</definedName>
    <definedName name="COST.030" hidden="1">#REF!</definedName>
    <definedName name="COST.040" localSheetId="3" hidden="1">#REF!</definedName>
    <definedName name="COST.040" hidden="1">#REF!</definedName>
    <definedName name="COST.050" localSheetId="3" hidden="1">#REF!</definedName>
    <definedName name="COST.050" hidden="1">#REF!</definedName>
    <definedName name="COST.060" localSheetId="3" hidden="1">#REF!</definedName>
    <definedName name="COST.060" hidden="1">#REF!</definedName>
    <definedName name="COST.070" localSheetId="3" hidden="1">#REF!</definedName>
    <definedName name="COST.070" hidden="1">#REF!</definedName>
    <definedName name="COST.080" localSheetId="3" hidden="1">#REF!</definedName>
    <definedName name="COST.080" hidden="1">#REF!</definedName>
    <definedName name="COST.100" localSheetId="3" hidden="1">#REF!</definedName>
    <definedName name="COST.100" hidden="1">#REF!</definedName>
    <definedName name="COST.110" localSheetId="3" hidden="1">#REF!</definedName>
    <definedName name="COST.110" hidden="1">#REF!</definedName>
    <definedName name="COST.120" localSheetId="3" hidden="1">#REF!</definedName>
    <definedName name="COST.120" hidden="1">#REF!</definedName>
    <definedName name="COST.130" localSheetId="3" hidden="1">#REF!</definedName>
    <definedName name="COST.130" hidden="1">#REF!</definedName>
    <definedName name="COST.140" localSheetId="3" hidden="1">#REF!</definedName>
    <definedName name="COST.140" hidden="1">#REF!</definedName>
    <definedName name="COST.150" localSheetId="3" hidden="1">#REF!</definedName>
    <definedName name="COST.150" hidden="1">#REF!</definedName>
    <definedName name="COST.210" localSheetId="3" hidden="1">#REF!</definedName>
    <definedName name="COST.210" hidden="1">#REF!</definedName>
    <definedName name="COST.220" localSheetId="3" hidden="1">#REF!</definedName>
    <definedName name="COST.220" hidden="1">#REF!</definedName>
    <definedName name="COST.230" localSheetId="3" hidden="1">#REF!</definedName>
    <definedName name="COST.230" hidden="1">#REF!</definedName>
    <definedName name="COST.240" localSheetId="3" hidden="1">#REF!</definedName>
    <definedName name="COST.240" hidden="1">#REF!</definedName>
    <definedName name="COST.270" localSheetId="3" hidden="1">#REF!</definedName>
    <definedName name="COST.270" hidden="1">#REF!</definedName>
    <definedName name="COST.280" localSheetId="3" hidden="1">#REF!</definedName>
    <definedName name="COST.280" hidden="1">#REF!</definedName>
    <definedName name="COST.300" localSheetId="3" hidden="1">#REF!</definedName>
    <definedName name="COST.300" hidden="1">#REF!</definedName>
    <definedName name="COST.320" localSheetId="3" hidden="1">#REF!</definedName>
    <definedName name="COST.320" hidden="1">#REF!</definedName>
    <definedName name="COST.330" localSheetId="3" hidden="1">#REF!</definedName>
    <definedName name="COST.330" hidden="1">#REF!</definedName>
    <definedName name="COST.350" localSheetId="3" hidden="1">#REF!</definedName>
    <definedName name="COST.350" hidden="1">#REF!</definedName>
    <definedName name="COST.360" localSheetId="3" hidden="1">#REF!</definedName>
    <definedName name="COST.360" hidden="1">#REF!</definedName>
    <definedName name="COST.370" localSheetId="3" hidden="1">#REF!</definedName>
    <definedName name="COST.370" hidden="1">#REF!</definedName>
    <definedName name="COST.380" localSheetId="3" hidden="1">#REF!</definedName>
    <definedName name="COST.380" hidden="1">#REF!</definedName>
    <definedName name="COST.400" localSheetId="3" hidden="1">#REF!</definedName>
    <definedName name="COST.400" hidden="1">#REF!</definedName>
    <definedName name="COST290" localSheetId="3" hidden="1">#REF!</definedName>
    <definedName name="COST290" hidden="1">#REF!</definedName>
    <definedName name="CP" localSheetId="3" hidden="1">#REF!</definedName>
    <definedName name="CP" hidden="1">#REF!</definedName>
    <definedName name="CPM" localSheetId="3" hidden="1">{#N/A,#N/A,FALSE,"Chi tiÆt"}</definedName>
    <definedName name="CPM" hidden="1">{#N/A,#N/A,FALSE,"Chi tiÆt"}</definedName>
    <definedName name="CPVL" localSheetId="3" hidden="1">{"'Sheet1'!$L$16"}</definedName>
    <definedName name="CPVL" hidden="1">{"'Sheet1'!$L$16"}</definedName>
    <definedName name="CPXD" localSheetId="3" hidden="1">{"'Sheet1'!$L$16"}</definedName>
    <definedName name="CPXD" hidden="1">{"'Sheet1'!$L$16"}</definedName>
    <definedName name="csacc" localSheetId="3" hidden="1">{"'Sheet1'!$L$16"}</definedName>
    <definedName name="csacc" hidden="1">{"'Sheet1'!$L$16"}</definedName>
    <definedName name="CSODJWO" localSheetId="3" hidden="1">{#N/A,#N/A,TRUE,"SUM";#N/A,#N/A,TRUE,"EE";#N/A,#N/A,TRUE,"AC";#N/A,#N/A,TRUE,"SN"}</definedName>
    <definedName name="CSODJWO" hidden="1">{#N/A,#N/A,TRUE,"SUM";#N/A,#N/A,TRUE,"EE";#N/A,#N/A,TRUE,"AC";#N/A,#N/A,TRUE,"SN"}</definedName>
    <definedName name="ct" localSheetId="3" hidden="1">{"'Sheet1'!$L$16"}</definedName>
    <definedName name="ct" hidden="1">{"'Sheet1'!$L$16"}</definedName>
    <definedName name="ctbbt" localSheetId="3" hidden="1">{"'Sheet1'!$L$16"}</definedName>
    <definedName name="ctbbt" hidden="1">{"'Sheet1'!$L$16"}</definedName>
    <definedName name="ctct" localSheetId="3" hidden="1">{"'Sheet1'!$L$16"}</definedName>
    <definedName name="ctct" hidden="1">{"'Sheet1'!$L$16"}</definedName>
    <definedName name="CTCT1" localSheetId="3" hidden="1">{"'Sheet1'!$L$16"}</definedName>
    <definedName name="CTCT1" hidden="1">{"'Sheet1'!$L$16"}</definedName>
    <definedName name="ctctct" localSheetId="3" hidden="1">{"'Sheet1'!$L$16"}</definedName>
    <definedName name="ctctct" hidden="1">{"'Sheet1'!$L$16"}</definedName>
    <definedName name="CTGS" localSheetId="3" hidden="1">{"'Sheet1'!$L$16"}</definedName>
    <definedName name="CTGS" hidden="1">{"'Sheet1'!$L$16"}</definedName>
    <definedName name="ctieu" localSheetId="3" hidden="1">{"'Sheet1'!$L$16"}</definedName>
    <definedName name="ctieu" hidden="1">{"'Sheet1'!$L$16"}</definedName>
    <definedName name="CTsu" localSheetId="3" hidden="1">{"'Sheet1'!$L$16"}</definedName>
    <definedName name="CTsu" hidden="1">{"'Sheet1'!$L$16"}</definedName>
    <definedName name="CTTC10nam" localSheetId="3" hidden="1">{"'Sheet1'!$L$16"}</definedName>
    <definedName name="CTTC10nam" hidden="1">{"'Sheet1'!$L$16"}</definedName>
    <definedName name="cung" localSheetId="3" hidden="1">{"'Sheet1'!$L$16"}</definedName>
    <definedName name="cung" hidden="1">{"'Sheet1'!$L$16"}</definedName>
    <definedName name="Cuong" localSheetId="3" hidden="1">{"'Sheet1'!$L$16"}</definedName>
    <definedName name="Cuong" hidden="1">{"'Sheet1'!$L$16"}</definedName>
    <definedName name="CurDate" localSheetId="3" hidden="1">#REF!</definedName>
    <definedName name="CurDate" hidden="1">#REF!</definedName>
    <definedName name="cuu" localSheetId="3" hidden="1">{"'Sheet1'!$L$16"}</definedName>
    <definedName name="cuu" hidden="1">{"'Sheet1'!$L$16"}</definedName>
    <definedName name="cv" localSheetId="3" hidden="1">{"'Sheet1'!$L$16"}</definedName>
    <definedName name="cv" hidden="1">{"'Sheet1'!$L$16"}</definedName>
    <definedName name="CVBCXBCV" localSheetId="3" hidden="1">{"'Sheet1'!$L$16"}</definedName>
    <definedName name="CVBCXBCV" hidden="1">{"'Sheet1'!$L$16"}</definedName>
    <definedName name="cvbcxbncvxfwettuy567567" localSheetId="3" hidden="1">#REF!</definedName>
    <definedName name="cvbcxbncvxfwettuy567567" hidden="1">#REF!</definedName>
    <definedName name="cvf" localSheetId="3" hidden="1">{"'Sheet1'!$L$16"}</definedName>
    <definedName name="cvf" hidden="1">{"'Sheet1'!$L$16"}</definedName>
    <definedName name="cvfr" localSheetId="3" hidden="1">{"'Sheet1'!$L$16"}</definedName>
    <definedName name="cvfr" hidden="1">{"'Sheet1'!$L$16"}</definedName>
    <definedName name="cxcxcxc" localSheetId="3" hidden="1">#REF!</definedName>
    <definedName name="cxcxcxc" hidden="1">#REF!</definedName>
    <definedName name="czxc" localSheetId="3" hidden="1">#REF!</definedName>
    <definedName name="czxc" hidden="1">#REF!</definedName>
    <definedName name="đ" localSheetId="3" hidden="1">{"'Sheet1'!$L$16"}</definedName>
    <definedName name="đ" hidden="1">{"'Sheet1'!$L$16"}</definedName>
    <definedName name="Ð" localSheetId="3" hidden="1">{"'Sheet1'!$L$16"}</definedName>
    <definedName name="Ð" hidden="1">{"'Sheet1'!$L$16"}</definedName>
    <definedName name="dµgdfgjhsdfgÎt123" localSheetId="3" hidden="1">#REF!</definedName>
    <definedName name="dµgdfgjhsdfgÎt123" hidden="1">#REF!</definedName>
    <definedName name="D1D" localSheetId="3" hidden="1">{"'Sheet1'!$L$16"}</definedName>
    <definedName name="D1D" hidden="1">{"'Sheet1'!$L$16"}</definedName>
    <definedName name="D1DUONG" localSheetId="3" hidden="1">{#N/A,#N/A,FALSE,"Chi tiÆt"}</definedName>
    <definedName name="D1DUONG" hidden="1">{#N/A,#N/A,FALSE,"Chi tiÆt"}</definedName>
    <definedName name="D1DUONG1" localSheetId="3" hidden="1">{#N/A,#N/A,FALSE,"Chi tiÆt"}</definedName>
    <definedName name="D1DUONG1" hidden="1">{#N/A,#N/A,FALSE,"Chi tiÆt"}</definedName>
    <definedName name="D3D" localSheetId="3" hidden="1">{"'Sheet1'!$L$16"}</definedName>
    <definedName name="D3D" hidden="1">{"'Sheet1'!$L$16"}</definedName>
    <definedName name="dá" localSheetId="3" hidden="1">{"'Sheet1'!$L$16"}</definedName>
    <definedName name="dá" hidden="1">{"'Sheet1'!$L$16"}</definedName>
    <definedName name="dà" localSheetId="3" hidden="1">{"'Sheet1'!$L$16"}</definedName>
    <definedName name="dà" hidden="1">{"'Sheet1'!$L$16"}</definedName>
    <definedName name="ĐÁ" localSheetId="3" hidden="1">#REF!</definedName>
    <definedName name="ĐÁ" hidden="1">#REF!</definedName>
    <definedName name="đấ" localSheetId="3" hidden="1">{"'Sheet1'!$L$16"}</definedName>
    <definedName name="đấ" hidden="1">{"'Sheet1'!$L$16"}</definedName>
    <definedName name="daas" localSheetId="3" hidden="1">#REF!</definedName>
    <definedName name="daas" hidden="1">#REF!</definedName>
    <definedName name="Dad" localSheetId="3" hidden="1">{"'Sheet1'!$L$16"}</definedName>
    <definedName name="Dad" hidden="1">{"'Sheet1'!$L$16"}</definedName>
    <definedName name="dada" localSheetId="3" hidden="1">#REF!</definedName>
    <definedName name="dada" hidden="1">#REF!</definedName>
    <definedName name="dadada" localSheetId="3" hidden="1">#REF!</definedName>
    <definedName name="dadada" hidden="1">#REF!</definedName>
    <definedName name="dấdassaszx" localSheetId="3" hidden="1">#REF!</definedName>
    <definedName name="dấdassaszx" hidden="1">#REF!</definedName>
    <definedName name="dấdsaa" localSheetId="3" hidden="1">#REF!</definedName>
    <definedName name="dấdsaa" hidden="1">#REF!</definedName>
    <definedName name="dadsadasdsd" localSheetId="3" hidden="1">#REF!</definedName>
    <definedName name="dadsadasdsd" hidden="1">#REF!</definedName>
    <definedName name="dadsws" localSheetId="3" hidden="1">{"'Sheet1'!$L$16"}</definedName>
    <definedName name="dadsws" hidden="1">{"'Sheet1'!$L$16"}</definedName>
    <definedName name="dai" localSheetId="3" hidden="1">#REF!</definedName>
    <definedName name="dai" hidden="1">#REF!</definedName>
    <definedName name="DAMBIEN" localSheetId="3" hidden="1">{"'Sheet1'!$L$16"}</definedName>
    <definedName name="DAMBIEN" hidden="1">{"'Sheet1'!$L$16"}</definedName>
    <definedName name="daomuong" localSheetId="3" hidden="1">{"'Sheet1'!$L$16"}</definedName>
    <definedName name="daomuong" hidden="1">{"'Sheet1'!$L$16"}</definedName>
    <definedName name="daøy" localSheetId="3" hidden="1">#REF!</definedName>
    <definedName name="daøy" hidden="1">#REF!</definedName>
    <definedName name="das" localSheetId="3" hidden="1">#REF!</definedName>
    <definedName name="das" hidden="1">#REF!</definedName>
    <definedName name="dasasasa" localSheetId="3" hidden="1">{"'Sheet1'!$L$16"}</definedName>
    <definedName name="dasasasa" hidden="1">{"'Sheet1'!$L$16"}</definedName>
    <definedName name="DASDASDSADAS" localSheetId="3" hidden="1">{"'Sheet1'!$L$16"}</definedName>
    <definedName name="DASDASDSADAS" hidden="1">{"'Sheet1'!$L$16"}</definedName>
    <definedName name="dasdsadsa" localSheetId="3" hidden="1">#REF!</definedName>
    <definedName name="dasdsadsa" hidden="1">#REF!</definedName>
    <definedName name="dase" localSheetId="3" hidden="1">{#N/A,#N/A,FALSE,"CCTV"}</definedName>
    <definedName name="dase" hidden="1">{#N/A,#N/A,FALSE,"CCTV"}</definedName>
    <definedName name="data1" localSheetId="3" hidden="1">#REF!</definedName>
    <definedName name="data1" hidden="1">#REF!</definedName>
    <definedName name="data2" localSheetId="3" hidden="1">#REF!</definedName>
    <definedName name="data2" hidden="1">#REF!</definedName>
    <definedName name="data3" localSheetId="3" hidden="1">#REF!</definedName>
    <definedName name="data3" hidden="1">#REF!</definedName>
    <definedName name="davdacsa" localSheetId="3" hidden="1">{"'Sheet1'!$L$16"}</definedName>
    <definedName name="davdacsa" hidden="1">{"'Sheet1'!$L$16"}</definedName>
    <definedName name="DBSDVSDVS" localSheetId="3" hidden="1">{"'Sheet1'!$L$16"}</definedName>
    <definedName name="DBSDVSDVS" hidden="1">{"'Sheet1'!$L$16"}</definedName>
    <definedName name="dcszcxzc" localSheetId="3" hidden="1">#REF!</definedName>
    <definedName name="dcszcxzc" hidden="1">#REF!</definedName>
    <definedName name="dda" localSheetId="3" hidden="1">{"'Sheet1'!$L$16"}</definedName>
    <definedName name="dda" hidden="1">{"'Sheet1'!$L$16"}</definedName>
    <definedName name="ddaf" localSheetId="3" hidden="1">{"'Sheet1'!$L$16"}</definedName>
    <definedName name="ddaf" hidden="1">{"'Sheet1'!$L$16"}</definedName>
    <definedName name="ddamlot" localSheetId="3" hidden="1">{"'Sheet1'!$L$16"}</definedName>
    <definedName name="ddamlot" hidden="1">{"'Sheet1'!$L$16"}</definedName>
    <definedName name="ddång" localSheetId="3" hidden="1">{"'Sheet1'!$L$16"}</definedName>
    <definedName name="ddång" hidden="1">{"'Sheet1'!$L$16"}</definedName>
    <definedName name="ddc" localSheetId="3" hidden="1">{"'Sheet1'!$L$16"}</definedName>
    <definedName name="ddc" hidden="1">{"'Sheet1'!$L$16"}</definedName>
    <definedName name="ddd" localSheetId="3" hidden="1">{"'Sheet1'!$L$16"}</definedName>
    <definedName name="ddd" hidden="1">{"'Sheet1'!$L$16"}</definedName>
    <definedName name="DDDD" localSheetId="3" hidden="1">{"'Sheet1'!$L$16"}</definedName>
    <definedName name="DDDD" hidden="1">{"'Sheet1'!$L$16"}</definedName>
    <definedName name="ddddd" localSheetId="3" hidden="1">{"'Sheet1'!$L$16"}</definedName>
    <definedName name="ddddd" hidden="1">{"'Sheet1'!$L$16"}</definedName>
    <definedName name="dddddd" localSheetId="3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localSheetId="3" hidden="1">{#N/A,#N/A,TRUE,"SUM";#N/A,#N/A,TRUE,"EE";#N/A,#N/A,TRUE,"AC";#N/A,#N/A,TRUE,"SN"}</definedName>
    <definedName name="DDDDDDDD" hidden="1">{#N/A,#N/A,TRUE,"SUM";#N/A,#N/A,TRUE,"EE";#N/A,#N/A,TRUE,"AC";#N/A,#N/A,TRUE,"SN"}</definedName>
    <definedName name="ddddddddddddddddd" localSheetId="3" hidden="1">{"'Sheet1'!$L$16"}</definedName>
    <definedName name="ddddddddddddddddd" hidden="1">{"'Sheet1'!$L$16"}</definedName>
    <definedName name="dddddddddddddddddddd" localSheetId="3" hidden="1">{"'Sheet1'!$L$16"}</definedName>
    <definedName name="dddddddddddddddddddd" hidden="1">{"'Sheet1'!$L$16"}</definedName>
    <definedName name="DDDDDDDDDDDDDDDDDDDDDDDDDDDDDDDDDDDD" localSheetId="3" hidden="1">#REF!</definedName>
    <definedName name="DDDDDDDDDDDDDDDDDDDDDDDDDDDDDDDDDDDD" hidden="1">#REF!</definedName>
    <definedName name="ddffsfd" localSheetId="3" hidden="1">#REF!</definedName>
    <definedName name="ddffsfd" hidden="1">#REF!</definedName>
    <definedName name="ddghhjjjj" localSheetId="3" hidden="1">#REF!</definedName>
    <definedName name="ddghhjjjj" hidden="1">#REF!</definedName>
    <definedName name="dÊd" localSheetId="3" hidden="1">#REF!</definedName>
    <definedName name="dÊd" hidden="1">#REF!</definedName>
    <definedName name="dede" localSheetId="3" hidden="1">{"'Sheet1'!$L$16"}</definedName>
    <definedName name="dede" hidden="1">{"'Sheet1'!$L$16"}</definedName>
    <definedName name="deedfsd" localSheetId="3" hidden="1">{"'Sheet1'!$L$16"}</definedName>
    <definedName name="deedfsd" hidden="1">{"'Sheet1'!$L$16"}</definedName>
    <definedName name="deí" localSheetId="3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localSheetId="3" hidden="1">{"'Sheet1'!$L$16"}</definedName>
    <definedName name="DenDK" hidden="1">{"'Sheet1'!$L$16"}</definedName>
    <definedName name="deviation" localSheetId="3" hidden="1">{#N/A,#N/A,FALSE,"CCTV"}</definedName>
    <definedName name="deviation" hidden="1">{#N/A,#N/A,FALSE,"CCTV"}</definedName>
    <definedName name="deweeeeeeeee" localSheetId="3" hidden="1">{"'Sheet1'!$L$16"}</definedName>
    <definedName name="deweeeeeeeee" hidden="1">{"'Sheet1'!$L$16"}</definedName>
    <definedName name="DEWSLDW" localSheetId="3" hidden="1">{#N/A,#N/A,TRUE,"SUM";#N/A,#N/A,TRUE,"EE";#N/A,#N/A,TRUE,"AC";#N/A,#N/A,TRUE,"SN"}</definedName>
    <definedName name="DEWSLDW" hidden="1">{#N/A,#N/A,TRUE,"SUM";#N/A,#N/A,TRUE,"EE";#N/A,#N/A,TRUE,"AC";#N/A,#N/A,TRUE,"SN"}</definedName>
    <definedName name="dfầd" localSheetId="3" hidden="1">#REF!</definedName>
    <definedName name="dfầd" hidden="1">#REF!</definedName>
    <definedName name="dfầdfadfdsà" localSheetId="3" hidden="1">#REF!</definedName>
    <definedName name="dfầdfadfdsà" hidden="1">#REF!</definedName>
    <definedName name="DFADFDA" localSheetId="3" hidden="1">{"'Sheet1'!$L$16"}</definedName>
    <definedName name="DFADFDA" hidden="1">{"'Sheet1'!$L$16"}</definedName>
    <definedName name="dfaffffffffffffffffffffffff" localSheetId="3" hidden="1">#REF!</definedName>
    <definedName name="dfaffffffffffffffffffffffff" hidden="1">#REF!</definedName>
    <definedName name="DFD" localSheetId="3" hidden="1">{"'Sheet1'!$L$16"}</definedName>
    <definedName name="DFD" hidden="1">{"'Sheet1'!$L$16"}</definedName>
    <definedName name="DFDF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localSheetId="3" hidden="1">{"'Sheet1'!$L$16"}</definedName>
    <definedName name="dfdfd" hidden="1">{"'Sheet1'!$L$16"}</definedName>
    <definedName name="DFDFDS" localSheetId="3" hidden="1">{#N/A,#N/A,TRUE,"SUM";#N/A,#N/A,TRUE,"EE";#N/A,#N/A,TRUE,"AC";#N/A,#N/A,TRUE,"SN"}</definedName>
    <definedName name="DFDFDS" hidden="1">{#N/A,#N/A,TRUE,"SUM";#N/A,#N/A,TRUE,"EE";#N/A,#N/A,TRUE,"AC";#N/A,#N/A,TRUE,"SN"}</definedName>
    <definedName name="DFDFSADFA" localSheetId="3" hidden="1">{"NGUYEN QUI THIEP - Personal View",#N/A,FALSE,"XDCB.HT.FUR."}</definedName>
    <definedName name="DFDFSADFA" hidden="1">{"NGUYEN QUI THIEP - Personal View",#N/A,FALSE,"XDCB.HT.FUR."}</definedName>
    <definedName name="DFDFSDFSD" localSheetId="3" hidden="1">{#N/A,#N/A,TRUE,"SUM";#N/A,#N/A,TRUE,"EE";#N/A,#N/A,TRUE,"AC";#N/A,#N/A,TRUE,"SN"}</definedName>
    <definedName name="DFDFSDFSD" hidden="1">{#N/A,#N/A,TRUE,"SUM";#N/A,#N/A,TRUE,"EE";#N/A,#N/A,TRUE,"AC";#N/A,#N/A,TRUE,"SN"}</definedName>
    <definedName name="DFDSFA" localSheetId="3" hidden="1">{"'Sheet1'!$L$16"}</definedName>
    <definedName name="DFDSFA" hidden="1">{"'Sheet1'!$L$16"}</definedName>
    <definedName name="DFF" localSheetId="3" hidden="1">{#N/A,#N/A,TRUE,"SUM";#N/A,#N/A,TRUE,"EE";#N/A,#N/A,TRUE,"AC";#N/A,#N/A,TRUE,"SN"}</definedName>
    <definedName name="DFF" hidden="1">{#N/A,#N/A,TRUE,"SUM";#N/A,#N/A,TRUE,"EE";#N/A,#N/A,TRUE,"AC";#N/A,#N/A,TRUE,"SN"}</definedName>
    <definedName name="dfg" localSheetId="3" hidden="1">{"Offgrid",#N/A,FALSE,"OFFGRID";"Region",#N/A,FALSE,"REGION";"Offgrid -2",#N/A,FALSE,"OFFGRID";"WTP",#N/A,FALSE,"WTP";"WTP -2",#N/A,FALSE,"WTP";"Project",#N/A,FALSE,"PROJECT";"Summary -2",#N/A,FALSE,"SUMMARY"}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localSheetId="3" hidden="1">{"'Sheet1'!$L$16"}</definedName>
    <definedName name="DFGASDFA" hidden="1">{"'Sheet1'!$L$16"}</definedName>
    <definedName name="dfgcvbxcv34467678" localSheetId="3" hidden="1">#REF!</definedName>
    <definedName name="dfgcvbxcv34467678" hidden="1">#REF!</definedName>
    <definedName name="dfgd" localSheetId="3" hidden="1">#REF!</definedName>
    <definedName name="dfgd" hidden="1">#REF!</definedName>
    <definedName name="dfgdfg" localSheetId="3" hidden="1">#REF!</definedName>
    <definedName name="dfgdfg" hidden="1">#REF!</definedName>
    <definedName name="dfgdfghgjghjxcvxcvb" localSheetId="3" hidden="1">#REF!</definedName>
    <definedName name="dfgdfghgjghjxcvxcvb" hidden="1">#REF!</definedName>
    <definedName name="dfgdfs­ªrtruyûuiyi" localSheetId="3" hidden="1">#REF!</definedName>
    <definedName name="dfgdfs­ªrtruyûuiyi" hidden="1">#REF!</definedName>
    <definedName name="dfgfdg" localSheetId="3" hidden="1">{"'Sheet1'!$L$16"}</definedName>
    <definedName name="dfgfdg" hidden="1">{"'Sheet1'!$L$16"}</definedName>
    <definedName name="dfgfghghkhlvbcvbvn­3452345656876579" localSheetId="3" hidden="1">#REF!</definedName>
    <definedName name="dfgfghghkhlvbcvbvn­3452345656876579" hidden="1">#REF!</definedName>
    <definedName name="dfgfjhq345568uyioôighj" localSheetId="3" hidden="1">#REF!</definedName>
    <definedName name="dfgfjhq345568uyioôighj" hidden="1">#REF!</definedName>
    <definedName name="dfggfj" localSheetId="3" hidden="1">{0}</definedName>
    <definedName name="dfggfj" hidden="1">{0}</definedName>
    <definedName name="dfggg" localSheetId="3" hidden="1">{"'Sheet1'!$L$16"}</definedName>
    <definedName name="dfggg" hidden="1">{"'Sheet1'!$L$16"}</definedName>
    <definedName name="DFGHFSGFDS" localSheetId="3" hidden="1">{"'Sheet1'!$L$16"}</definedName>
    <definedName name="DFGHFSGFDS" hidden="1">{"'Sheet1'!$L$16"}</definedName>
    <definedName name="dfghrt" localSheetId="3" hidden="1">{"'Sheet1'!$L$16"}</definedName>
    <definedName name="dfghrt" hidden="1">{"'Sheet1'!$L$16"}</definedName>
    <definedName name="dfgr" localSheetId="3" hidden="1">{"'Sheet1'!$L$16"}</definedName>
    <definedName name="dfgr" hidden="1">{"'Sheet1'!$L$16"}</definedName>
    <definedName name="dfgsÓtytyiyuouio" localSheetId="3" hidden="1">#REF!</definedName>
    <definedName name="dfgsÓtytyiyuouio" hidden="1">#REF!</definedName>
    <definedName name="dfh" localSheetId="3" hidden="1">{"'Sheet1'!$L$16"}</definedName>
    <definedName name="dfh" hidden="1">{"'Sheet1'!$L$16"}</definedName>
    <definedName name="dfhf" localSheetId="3" hidden="1">{"'Sheet1'!$L$16"}</definedName>
    <definedName name="dfhf" hidden="1">{"'Sheet1'!$L$16"}</definedName>
    <definedName name="dfjsdhldfgkfd" localSheetId="3" hidden="1">{"'Sheet1'!$L$16"}</definedName>
    <definedName name="dfjsdhldfgkfd" hidden="1">{"'Sheet1'!$L$16"}</definedName>
    <definedName name="DFSDF" localSheetId="3" hidden="1">{"'Sheet1'!$L$16"}</definedName>
    <definedName name="DFSDF" hidden="1">{"'Sheet1'!$L$16"}</definedName>
    <definedName name="dfsfsd" localSheetId="3" hidden="1">{"'Sheet1'!$L$16"}</definedName>
    <definedName name="dfsfsd" hidden="1">{"'Sheet1'!$L$16"}</definedName>
    <definedName name="dfsgsag" localSheetId="3" hidden="1">{"'Sheet1'!$L$16"}</definedName>
    <definedName name="dfsgsag" hidden="1">{"'Sheet1'!$L$16"}</definedName>
    <definedName name="dg" localSheetId="3" hidden="1">{"'Sheet1'!$L$16"}</definedName>
    <definedName name="dg" hidden="1">{"'Sheet1'!$L$16"}</definedName>
    <definedName name="DGCTmatcauviahe" localSheetId="3" hidden="1">{"'Sheet1'!$L$16"}</definedName>
    <definedName name="DGCTmatcauviahe" hidden="1">{"'Sheet1'!$L$16"}</definedName>
    <definedName name="dgctp2" localSheetId="3" hidden="1">{"'Sheet1'!$L$16"}</definedName>
    <definedName name="dgctp2" hidden="1">{"'Sheet1'!$L$16"}</definedName>
    <definedName name="dgdjdkgd" localSheetId="3" hidden="1">{#N/A,#N/A,FALSE,"CCTV"}</definedName>
    <definedName name="dgdjdkgd" hidden="1">{#N/A,#N/A,FALSE,"CCTV"}</definedName>
    <definedName name="dgf" localSheetId="3" hidden="1">{"Offgrid",#N/A,FALSE,"OFFGRID";"Region",#N/A,FALSE,"REGION";"Offgrid -2",#N/A,FALSE,"OFFGRID";"WTP",#N/A,FALSE,"WTP";"WTP -2",#N/A,FALSE,"WTP";"Project",#N/A,FALSE,"PROJECT";"Summary -2",#N/A,FALSE,"SUMMARY"}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localSheetId="3" hidden="1">{"'Sheet1'!$L$16"}</definedName>
    <definedName name="dgfdg" hidden="1">{"'Sheet1'!$L$16"}</definedName>
    <definedName name="dgfg" localSheetId="3" hidden="1">{"'Sheet1'!$L$16"}</definedName>
    <definedName name="dgfg" hidden="1">{"'Sheet1'!$L$16"}</definedName>
    <definedName name="dghdhdh" localSheetId="3" hidden="1">{"'Sheet1'!$L$16"}</definedName>
    <definedName name="dghdhdh" hidden="1">{"'Sheet1'!$L$16"}</definedName>
    <definedName name="dghgdf" localSheetId="3" hidden="1">{"'Sheet1'!$L$16"}</definedName>
    <definedName name="dghgdf" hidden="1">{"'Sheet1'!$L$16"}</definedName>
    <definedName name="dghjyuk" localSheetId="3" hidden="1">{"'Sheet1'!$L$16"}</definedName>
    <definedName name="dghjyuk" hidden="1">{"'Sheet1'!$L$16"}</definedName>
    <definedName name="DGKL" localSheetId="3" hidden="1">#REF!</definedName>
    <definedName name="DGKL" hidden="1">#REF!</definedName>
    <definedName name="DGSEGWE" localSheetId="3" hidden="1">{"'Sheet1'!$L$16"}</definedName>
    <definedName name="DGSEGWE" hidden="1">{"'Sheet1'!$L$16"}</definedName>
    <definedName name="đgsf" localSheetId="3" hidden="1">{"'Sheet1'!$L$16"}</definedName>
    <definedName name="đgsf" hidden="1">{"'Sheet1'!$L$16"}</definedName>
    <definedName name="dgsgsg" localSheetId="3" hidden="1">{"'Sheet1'!$L$16"}</definedName>
    <definedName name="dgsgsg" hidden="1">{"'Sheet1'!$L$16"}</definedName>
    <definedName name="dgvf" localSheetId="3" hidden="1">{"'Sheet1'!$L$16"}</definedName>
    <definedName name="dgvf" hidden="1">{"'Sheet1'!$L$16"}</definedName>
    <definedName name="DGWEHWR" localSheetId="3" hidden="1">{"'Sheet1'!$L$16"}</definedName>
    <definedName name="DGWEHWR" hidden="1">{"'Sheet1'!$L$16"}</definedName>
    <definedName name="DHDFGSF" localSheetId="3" hidden="1">{"'Sheet1'!$L$16"}</definedName>
    <definedName name="DHDFGSF" hidden="1">{"'Sheet1'!$L$16"}</definedName>
    <definedName name="đhf" localSheetId="3" hidden="1">{"'Sheet1'!$L$16"}</definedName>
    <definedName name="đhf" hidden="1">{"'Sheet1'!$L$16"}</definedName>
    <definedName name="dhk" localSheetId="3" hidden="1">{"'Sheet1'!$L$16"}</definedName>
    <definedName name="dhk" hidden="1">{"'Sheet1'!$L$16"}</definedName>
    <definedName name="DHSRHGR" localSheetId="3" hidden="1">{"'Sheet1'!$L$16"}</definedName>
    <definedName name="DHSRHGR" hidden="1">{"'Sheet1'!$L$16"}</definedName>
    <definedName name="diengiai" localSheetId="3" hidden="1">{"'Sheet1'!$L$16"}</definedName>
    <definedName name="diengiai" hidden="1">{"'Sheet1'!$L$16"}</definedName>
    <definedName name="dim" localSheetId="3" hidden="1">{"'Sheet1'!$L$16"}</definedName>
    <definedName name="dim" hidden="1">{"'Sheet1'!$L$16"}</definedName>
    <definedName name="direct1" localSheetId="3" hidden="1">#REF!</definedName>
    <definedName name="direct1" hidden="1">#REF!</definedName>
    <definedName name="Discount" localSheetId="3" hidden="1">#REF!</definedName>
    <definedName name="Discount" hidden="1">#REF!</definedName>
    <definedName name="display_area_2" localSheetId="3" hidden="1">#REF!</definedName>
    <definedName name="display_area_2" hidden="1">#REF!</definedName>
    <definedName name="djkgklsdfgj" localSheetId="3" hidden="1">{"'Sheet1'!$L$16"}</definedName>
    <definedName name="djkgklsdfgj" hidden="1">{"'Sheet1'!$L$16"}</definedName>
    <definedName name="DMNB" localSheetId="3" hidden="1">{"'Sheet1'!$L$16"}</definedName>
    <definedName name="DMNB" hidden="1">{"'Sheet1'!$L$16"}</definedName>
    <definedName name="DN1_CT5" localSheetId="3" hidden="1">{"'Sheet1'!$L$16"}</definedName>
    <definedName name="DN1_CT5" hidden="1">{"'Sheet1'!$L$16"}</definedName>
    <definedName name="DNTT" localSheetId="3" hidden="1">{"NGUYEN QUI THIEP - Personal View",#N/A,FALSE,"XDCB.HT.FUR."}</definedName>
    <definedName name="DNTT" hidden="1">{"NGUYEN QUI THIEP - Personal View",#N/A,FALSE,"XDCB.HT.FUR."}</definedName>
    <definedName name="dntt10" localSheetId="3" hidden="1">{"'Sheet1'!$L$16"}</definedName>
    <definedName name="dntt10" hidden="1">{"'Sheet1'!$L$16"}</definedName>
    <definedName name="dntt9" localSheetId="3" hidden="1">{"'Sheet1'!$L$16"}</definedName>
    <definedName name="dntt9" hidden="1">{"'Sheet1'!$L$16"}</definedName>
    <definedName name="doll" localSheetId="3" hidden="1">{"'Sheet1'!$L$16"}</definedName>
    <definedName name="doll" hidden="1">{"'Sheet1'!$L$16"}</definedName>
    <definedName name="Domain" localSheetId="3" hidden="1">#REF!</definedName>
    <definedName name="Domain" hidden="1">#REF!</definedName>
    <definedName name="dQlda_GdpVal" hidden="1">#N/A</definedName>
    <definedName name="dQlda_GtongVal" hidden="1">#N/A</definedName>
    <definedName name="dr" localSheetId="3" hidden="1">{"'Sheet1'!$L$16"}</definedName>
    <definedName name="dr" hidden="1">{"'Sheet1'!$L$16"}</definedName>
    <definedName name="dsa" localSheetId="3" hidden="1">{#N/A,#N/A,FALSE,"Chi tiÆt"}</definedName>
    <definedName name="dsa" hidden="1">{#N/A,#N/A,FALSE,"Chi tiÆt"}</definedName>
    <definedName name="dsadasdada" localSheetId="3" hidden="1">#REF!</definedName>
    <definedName name="dsadasdada" hidden="1">#REF!</definedName>
    <definedName name="dsadsadasdas" localSheetId="3" hidden="1">#REF!</definedName>
    <definedName name="dsadsadasdas" hidden="1">#REF!</definedName>
    <definedName name="dsafđgffd" localSheetId="3" hidden="1">#REF!</definedName>
    <definedName name="dsafđgffd" hidden="1">#REF!</definedName>
    <definedName name="dsafefere" localSheetId="3" hidden="1">#REF!</definedName>
    <definedName name="dsafefere" hidden="1">#REF!</definedName>
    <definedName name="dsasdasdasd" localSheetId="3" hidden="1">#REF!</definedName>
    <definedName name="dsasdasdasd" hidden="1">#REF!</definedName>
    <definedName name="dsd" localSheetId="3" hidden="1">{"'Sheet1'!$L$16"}</definedName>
    <definedName name="dsd" hidden="1">{"'Sheet1'!$L$16"}</definedName>
    <definedName name="dsda" localSheetId="3" hidden="1">{"'Sheet1'!$L$16"}</definedName>
    <definedName name="dsda" hidden="1">{"'Sheet1'!$L$16"}</definedName>
    <definedName name="dsds" localSheetId="3" hidden="1">{"'Sheet1'!$L$16"}</definedName>
    <definedName name="dsds" hidden="1">{"'Sheet1'!$L$16"}</definedName>
    <definedName name="dse" localSheetId="3" hidden="1">{"'Sheet1'!$L$16"}</definedName>
    <definedName name="dse" hidden="1">{"'Sheet1'!$L$16"}</definedName>
    <definedName name="dsf" localSheetId="3" hidden="1">#REF!</definedName>
    <definedName name="dsf" hidden="1">#REF!</definedName>
    <definedName name="dsfd" localSheetId="3" hidden="1">#REF!</definedName>
    <definedName name="dsfd" hidden="1">#REF!</definedName>
    <definedName name="dsfdd" localSheetId="3" hidden="1">#REF!</definedName>
    <definedName name="dsfdd" hidden="1">#REF!</definedName>
    <definedName name="dsfdfgfgfg" localSheetId="3" hidden="1">#REF!</definedName>
    <definedName name="dsfdfgfgfg" hidden="1">#REF!</definedName>
    <definedName name="DSFDS" localSheetId="3" hidden="1">{"'Sheet1'!$L$16"}</definedName>
    <definedName name="DSFDS" hidden="1">{"'Sheet1'!$L$16"}</definedName>
    <definedName name="dsfh" localSheetId="3" hidden="1">#REF!</definedName>
    <definedName name="dsfh" hidden="1">#REF!</definedName>
    <definedName name="dsfsdf" localSheetId="3" hidden="1">{"'Sheet1'!$L$16"}</definedName>
    <definedName name="dsfsdf" hidden="1">{"'Sheet1'!$L$16"}</definedName>
    <definedName name="dsgfhtyjjt" localSheetId="3" hidden="1">#REF!</definedName>
    <definedName name="dsgfhtyjjt" hidden="1">#REF!</definedName>
    <definedName name="DSGHJ" localSheetId="3" hidden="1">{"'Sheet1'!$L$16"}</definedName>
    <definedName name="DSGHJ" hidden="1">{"'Sheet1'!$L$16"}</definedName>
    <definedName name="dsgsdfgdfshfgh" localSheetId="3" hidden="1">{"'Sheet1'!$L$16"}</definedName>
    <definedName name="dsgsdfgdfshfgh" hidden="1">{"'Sheet1'!$L$16"}</definedName>
    <definedName name="dsgsdg" localSheetId="3" hidden="1">{"'Sheet1'!$L$16"}</definedName>
    <definedName name="dsgsdg" hidden="1">{"'Sheet1'!$L$16"}</definedName>
    <definedName name="dsjk" localSheetId="3" hidden="1">{"'Sheet1'!$L$16"}</definedName>
    <definedName name="dsjk" hidden="1">{"'Sheet1'!$L$16"}</definedName>
    <definedName name="DSJKLDE" localSheetId="3" hidden="1">{#N/A,#N/A,TRUE,"SUM";#N/A,#N/A,TRUE,"EE";#N/A,#N/A,TRUE,"AC";#N/A,#N/A,TRUE,"SN"}</definedName>
    <definedName name="DSJKLDE" hidden="1">{#N/A,#N/A,TRUE,"SUM";#N/A,#N/A,TRUE,"EE";#N/A,#N/A,TRUE,"AC";#N/A,#N/A,TRUE,"SN"}</definedName>
    <definedName name="DTCamau" localSheetId="3" hidden="1">{"'Sheet1'!$L$16"}</definedName>
    <definedName name="DTCamau" hidden="1">{"'Sheet1'!$L$16"}</definedName>
    <definedName name="DTCD" localSheetId="3" hidden="1">{"'Sheet1'!$L$16"}</definedName>
    <definedName name="DTCD" hidden="1">{"'Sheet1'!$L$16"}</definedName>
    <definedName name="DTCT" localSheetId="3" hidden="1">{"'Sheet1'!$L$16"}</definedName>
    <definedName name="DTCT" hidden="1">{"'Sheet1'!$L$16"}</definedName>
    <definedName name="dth" localSheetId="3" hidden="1">{"'Sheet1'!$L$16"}</definedName>
    <definedName name="dth" hidden="1">{"'Sheet1'!$L$16"}</definedName>
    <definedName name="dthft" localSheetId="3" hidden="1">{"'Sheet1'!$L$16"}</definedName>
    <definedName name="dthft" hidden="1">{"'Sheet1'!$L$16"}</definedName>
    <definedName name="DTKT3" localSheetId="3" hidden="1">{"'Sheet1'!$L$16"}</definedName>
    <definedName name="DTKT3" hidden="1">{"'Sheet1'!$L$16"}</definedName>
    <definedName name="DTMG_vumua" localSheetId="3" hidden="1">{#N/A,#N/A,FALSE,"Chi tiÆt"}</definedName>
    <definedName name="DTMG_vumua" hidden="1">{#N/A,#N/A,FALSE,"Chi tiÆt"}</definedName>
    <definedName name="DTTK" localSheetId="3" hidden="1">{"'Sheet1'!$L$16"}</definedName>
    <definedName name="DTTK" hidden="1">{"'Sheet1'!$L$16"}</definedName>
    <definedName name="DTTVGM163" localSheetId="3" hidden="1">{"'Sheet1'!$L$16"}</definedName>
    <definedName name="DTTVGM163" hidden="1">{"'Sheet1'!$L$16"}</definedName>
    <definedName name="Du" localSheetId="3" hidden="1">#REF!</definedName>
    <definedName name="Du" hidden="1">#REF!</definedName>
    <definedName name="duc" localSheetId="3" hidden="1">{"'Sheet1'!$L$16"}</definedName>
    <definedName name="duc" hidden="1">{"'Sheet1'!$L$16"}</definedName>
    <definedName name="duc0" localSheetId="3" hidden="1">{"'Sheet1'!$L$16"}</definedName>
    <definedName name="duc0" hidden="1">{"'Sheet1'!$L$16"}</definedName>
    <definedName name="DucO" localSheetId="3" hidden="1">{"'Sheet1'!$L$16"}</definedName>
    <definedName name="DucO" hidden="1">{"'Sheet1'!$L$16"}</definedName>
    <definedName name="DUCT" localSheetId="3" hidden="1">{#N/A,#N/A,FALSE,"Sheet1"}</definedName>
    <definedName name="DUCT" hidden="1">{#N/A,#N/A,FALSE,"Sheet1"}</definedName>
    <definedName name="dumbwaiter" localSheetId="3" hidden="1">{#N/A,#N/A,FALSE,"Sheet1";#N/A,#N/A,FALSE,"Sheet3";#N/A,#N/A,FALSE,"Sheet5"}</definedName>
    <definedName name="dumbwaiter" hidden="1">{#N/A,#N/A,FALSE,"Sheet1";#N/A,#N/A,FALSE,"Sheet3";#N/A,#N/A,FALSE,"Sheet5"}</definedName>
    <definedName name="dung" localSheetId="3" hidden="1">{"'Sheet1'!$L$16"}</definedName>
    <definedName name="dung" hidden="1">{"'Sheet1'!$L$16"}</definedName>
    <definedName name="Duong1" localSheetId="3" hidden="1">{"'Sheet1'!$L$16"}</definedName>
    <definedName name="Duong1" hidden="1">{"'Sheet1'!$L$16"}</definedName>
    <definedName name="Duong10" localSheetId="3" hidden="1">{"'Sheet1'!$L$16"}</definedName>
    <definedName name="Duong10" hidden="1">{"'Sheet1'!$L$16"}</definedName>
    <definedName name="Duongnaco" localSheetId="3" hidden="1">{"'Sheet1'!$L$16"}</definedName>
    <definedName name="Duongnaco" hidden="1">{"'Sheet1'!$L$16"}</definedName>
    <definedName name="dutoanc2" localSheetId="3" hidden="1">{"'Sheet1'!$L$16"}</definedName>
    <definedName name="dutoanc2" hidden="1">{"'Sheet1'!$L$16"}</definedName>
    <definedName name="dutruchiphi" localSheetId="3" hidden="1">{"NGUYEN QUI THIEP - Personal View",#N/A,FALSE,"XDCB.HT.FUR."}</definedName>
    <definedName name="dutruchiphi" hidden="1">{"NGUYEN QUI THIEP - Personal View",#N/A,FALSE,"XDCB.HT.FUR."}</definedName>
    <definedName name="DUY" localSheetId="3" hidden="1">{"'Sheet1'!$L$16"}</definedName>
    <definedName name="DUY" hidden="1">{"'Sheet1'!$L$16"}</definedName>
    <definedName name="DV" localSheetId="3" hidden="1">{"'Sheet1'!$L$16"}</definedName>
    <definedName name="DV" hidden="1">{"'Sheet1'!$L$16"}</definedName>
    <definedName name="DVGEWVBEW" localSheetId="3" hidden="1">{"'Sheet1'!$L$16"}</definedName>
    <definedName name="DVGEWVBEW" hidden="1">{"'Sheet1'!$L$16"}</definedName>
    <definedName name="DWPRICE" hidden="1">[3]Quantity!#REF!</definedName>
    <definedName name="dwqwq" localSheetId="3" hidden="1">#REF!</definedName>
    <definedName name="dwqwq" hidden="1">#REF!</definedName>
    <definedName name="DX" localSheetId="3" hidden="1">{"'Sheet1'!$L$16"}</definedName>
    <definedName name="DX" hidden="1">{"'Sheet1'!$L$16"}</definedName>
    <definedName name="Dy" localSheetId="3" hidden="1">#REF!</definedName>
    <definedName name="Dy" hidden="1">#REF!</definedName>
    <definedName name="dzfgdfg" localSheetId="3" hidden="1">{"'Sheet1'!$L$16"}</definedName>
    <definedName name="dzfgdfg" hidden="1">{"'Sheet1'!$L$16"}</definedName>
    <definedName name="e" localSheetId="3" hidden="1">{"'Sheet1'!$L$16"}</definedName>
    <definedName name="e" hidden="1">{"'Sheet1'!$L$16"}</definedName>
    <definedName name="Ẻ" localSheetId="3" hidden="1">#REF!</definedName>
    <definedName name="Ẻ" hidden="1">#REF!</definedName>
    <definedName name="eaf" localSheetId="3" hidden="1">{"'Sheet1'!$L$16"}</definedName>
    <definedName name="eaf" hidden="1">{"'Sheet1'!$L$16"}</definedName>
    <definedName name="EAWTKMSEKS" localSheetId="3" hidden="1">{"'Sheet1'!$L$16"}</definedName>
    <definedName name="EAWTKMSEKS" hidden="1">{"'Sheet1'!$L$16"}</definedName>
    <definedName name="ED" localSheetId="3" hidden="1">{#N/A,#N/A,FALSE,"CCTV"}</definedName>
    <definedName name="ED" hidden="1">{#N/A,#N/A,FALSE,"CCTV"}</definedName>
    <definedName name="edds" localSheetId="3" hidden="1">#REF!</definedName>
    <definedName name="edds" hidden="1">#REF!</definedName>
    <definedName name="edwfrhjy" localSheetId="3" hidden="1">#REF!</definedName>
    <definedName name="edwfrhjy" hidden="1">#REF!</definedName>
    <definedName name="edwtgfdsgf" localSheetId="3" hidden="1">{"'Sheet1'!$L$16"}</definedName>
    <definedName name="edwtgfdsgf" hidden="1">{"'Sheet1'!$L$16"}</definedName>
    <definedName name="ee" localSheetId="3" hidden="1">{"'Sheet1'!$L$16"}</definedName>
    <definedName name="ee" hidden="1">{"'Sheet1'!$L$16"}</definedName>
    <definedName name="eee" localSheetId="3" hidden="1">#REF!</definedName>
    <definedName name="eee" hidden="1">#REF!</definedName>
    <definedName name="eeee" localSheetId="3" hidden="1">{"'Sheet1'!$L$16"}</definedName>
    <definedName name="eeee" hidden="1">{"'Sheet1'!$L$16"}</definedName>
    <definedName name="eeeee" localSheetId="3" hidden="1">{#N/A,#N/A,TRUE,"SUM";#N/A,#N/A,TRUE,"EE";#N/A,#N/A,TRUE,"AC";#N/A,#N/A,TRUE,"SN"}</definedName>
    <definedName name="eeeee" hidden="1">{#N/A,#N/A,TRUE,"SUM";#N/A,#N/A,TRUE,"EE";#N/A,#N/A,TRUE,"AC";#N/A,#N/A,TRUE,"SN"}</definedName>
    <definedName name="eef" localSheetId="3" hidden="1">{"'Sheet1'!$L$16"}</definedName>
    <definedName name="eef" hidden="1">{"'Sheet1'!$L$16"}</definedName>
    <definedName name="eerefdg" localSheetId="3" hidden="1">{#N/A,#N/A,FALSE,"CCTV"}</definedName>
    <definedName name="eerefdg" hidden="1">{#N/A,#N/A,FALSE,"CCTV"}</definedName>
    <definedName name="eïhd" localSheetId="3" hidden="1">{"'Sheet1'!$L$16"}</definedName>
    <definedName name="eïhd" hidden="1">{"'Sheet1'!$L$16"}</definedName>
    <definedName name="EK" localSheetId="3" hidden="1">#REF!</definedName>
    <definedName name="EK" hidden="1">#REF!</definedName>
    <definedName name="ELLEN1" localSheetId="3" hidden="1">{#N/A,#N/A,FALSE,"CCTV"}</definedName>
    <definedName name="ELLEN1" hidden="1">{#N/A,#N/A,FALSE,"CCTV"}</definedName>
    <definedName name="ELLEN10" localSheetId="3" hidden="1">{#N/A,#N/A,FALSE,"CCTV"}</definedName>
    <definedName name="ELLEN10" hidden="1">{#N/A,#N/A,FALSE,"CCTV"}</definedName>
    <definedName name="ELLEN11" localSheetId="3" hidden="1">{#N/A,#N/A,FALSE,"CCTV"}</definedName>
    <definedName name="ELLEN11" hidden="1">{#N/A,#N/A,FALSE,"CCTV"}</definedName>
    <definedName name="ELLEN12" localSheetId="3" hidden="1">{#N/A,#N/A,FALSE,"CCTV"}</definedName>
    <definedName name="ELLEN12" hidden="1">{#N/A,#N/A,FALSE,"CCTV"}</definedName>
    <definedName name="ELLEN13" localSheetId="3" hidden="1">{#N/A,#N/A,FALSE,"CCTV"}</definedName>
    <definedName name="ELLEN13" hidden="1">{#N/A,#N/A,FALSE,"CCTV"}</definedName>
    <definedName name="ELLEN14" localSheetId="3" hidden="1">{#N/A,#N/A,FALSE,"CCTV"}</definedName>
    <definedName name="ELLEN14" hidden="1">{#N/A,#N/A,FALSE,"CCTV"}</definedName>
    <definedName name="ELLEN15" localSheetId="3" hidden="1">{#N/A,#N/A,FALSE,"CCTV"}</definedName>
    <definedName name="ELLEN15" hidden="1">{#N/A,#N/A,FALSE,"CCTV"}</definedName>
    <definedName name="ELLEN16" localSheetId="3" hidden="1">{#N/A,#N/A,FALSE,"CCTV"}</definedName>
    <definedName name="ELLEN16" hidden="1">{#N/A,#N/A,FALSE,"CCTV"}</definedName>
    <definedName name="ELLEN17" localSheetId="3" hidden="1">{#N/A,#N/A,FALSE,"CCTV"}</definedName>
    <definedName name="ELLEN17" hidden="1">{#N/A,#N/A,FALSE,"CCTV"}</definedName>
    <definedName name="ELLEN18" localSheetId="3" hidden="1">{#N/A,#N/A,FALSE,"CCTV"}</definedName>
    <definedName name="ELLEN18" hidden="1">{#N/A,#N/A,FALSE,"CCTV"}</definedName>
    <definedName name="ELLEN19" localSheetId="3" hidden="1">{#N/A,#N/A,FALSE,"CCTV"}</definedName>
    <definedName name="ELLEN19" hidden="1">{#N/A,#N/A,FALSE,"CCTV"}</definedName>
    <definedName name="ELLEN2" localSheetId="3" hidden="1">{#N/A,#N/A,FALSE,"CCTV"}</definedName>
    <definedName name="ELLEN2" hidden="1">{#N/A,#N/A,FALSE,"CCTV"}</definedName>
    <definedName name="ELLEN3" localSheetId="3" hidden="1">{#N/A,#N/A,FALSE,"CCTV"}</definedName>
    <definedName name="ELLEN3" hidden="1">{#N/A,#N/A,FALSE,"CCTV"}</definedName>
    <definedName name="ELLEN4" localSheetId="3" hidden="1">{#N/A,#N/A,FALSE,"CCTV"}</definedName>
    <definedName name="ELLEN4" hidden="1">{#N/A,#N/A,FALSE,"CCTV"}</definedName>
    <definedName name="ELLEN5" localSheetId="3" hidden="1">{#N/A,#N/A,FALSE,"CCTV"}</definedName>
    <definedName name="ELLEN5" hidden="1">{#N/A,#N/A,FALSE,"CCTV"}</definedName>
    <definedName name="ELLEN6" localSheetId="3" hidden="1">{#N/A,#N/A,FALSE,"CCTV"}</definedName>
    <definedName name="ELLEN6" hidden="1">{#N/A,#N/A,FALSE,"CCTV"}</definedName>
    <definedName name="ELLEN7" localSheetId="3" hidden="1">{#N/A,#N/A,FALSE,"CCTV"}</definedName>
    <definedName name="ELLEN7" hidden="1">{#N/A,#N/A,FALSE,"CCTV"}</definedName>
    <definedName name="ELLEN8" localSheetId="3" hidden="1">{#N/A,#N/A,FALSE,"CCTV"}</definedName>
    <definedName name="ELLEN8" hidden="1">{#N/A,#N/A,FALSE,"CCTV"}</definedName>
    <definedName name="ELLEN9" localSheetId="3" hidden="1">{#N/A,#N/A,FALSE,"CCTV"}</definedName>
    <definedName name="ELLEN9" hidden="1">{#N/A,#N/A,FALSE,"CCTV"}</definedName>
    <definedName name="eqewqeqweqw" localSheetId="3" hidden="1">{"'Sheet1'!$L$16"}</definedName>
    <definedName name="eqewqeqweqw" hidden="1">{"'Sheet1'!$L$16"}</definedName>
    <definedName name="eqtrwy" localSheetId="3" hidden="1">{"'Sheet1'!$L$16"}</definedName>
    <definedName name="eqtrwy" hidden="1">{"'Sheet1'!$L$16"}</definedName>
    <definedName name="ÊR" localSheetId="3" hidden="1">{"'Sheet1'!$L$16"}</definedName>
    <definedName name="ÊR" hidden="1">{"'Sheet1'!$L$16"}</definedName>
    <definedName name="­erewarqewrqr" localSheetId="3" hidden="1">#REF!</definedName>
    <definedName name="­erewarqewrqr" hidden="1">#REF!</definedName>
    <definedName name="errr" localSheetId="3" hidden="1">{"'Sheet1'!$L$16"}</definedName>
    <definedName name="errr" hidden="1">{"'Sheet1'!$L$16"}</definedName>
    <definedName name="ERT" localSheetId="3" hidden="1">{"'Sheet1'!$L$16"}</definedName>
    <definedName name="ERT" hidden="1">{"'Sheet1'!$L$16"}</definedName>
    <definedName name="erw" localSheetId="3" hidden="1">{0,0,0,0;0,0,0,0;0,0,0,0;0,0,0,0;0,0,0,0;0,0,0,0;0,0,0,0}</definedName>
    <definedName name="erw" hidden="1">{0,0,0,0;0,0,0,0;0,0,0,0;0,0,0,0;0,0,0,0;0,0,0,0;0,0,0,0}</definedName>
    <definedName name="ẺT" localSheetId="3" hidden="1">#REF!</definedName>
    <definedName name="ẺT" hidden="1">#REF!</definedName>
    <definedName name="etqgsg_đhs" localSheetId="3" hidden="1">{"'Sheet1'!$L$16"}</definedName>
    <definedName name="etqgsg_đhs" hidden="1">{"'Sheet1'!$L$16"}</definedName>
    <definedName name="etuiuti" localSheetId="3" hidden="1">{"'Sheet1'!$L$16"}</definedName>
    <definedName name="etuiuti" hidden="1">{"'Sheet1'!$L$16"}</definedName>
    <definedName name="ẺTWTW" localSheetId="3" hidden="1">{"'Sheet1'!$L$16"}</definedName>
    <definedName name="ẺTWTW" hidden="1">{"'Sheet1'!$L$16"}</definedName>
    <definedName name="eûtheí" localSheetId="3" hidden="1">{"'Sheet1'!$L$16"}</definedName>
    <definedName name="eûtheí" hidden="1">{"'Sheet1'!$L$16"}</definedName>
    <definedName name="ew" localSheetId="3" hidden="1">{"'Sheet1'!$L$16"}</definedName>
    <definedName name="ew" hidden="1">{"'Sheet1'!$L$16"}</definedName>
    <definedName name="EWEREWRE" localSheetId="3" hidden="1">{"'Sheet1'!$L$16"}</definedName>
    <definedName name="EWEREWRE" hidden="1">{"'Sheet1'!$L$16"}</definedName>
    <definedName name="ẺWERWE" localSheetId="3" hidden="1">{"'Sheet1'!$L$16"}</definedName>
    <definedName name="ẺWERWE" hidden="1">{"'Sheet1'!$L$16"}</definedName>
    <definedName name="ewewq" localSheetId="3" hidden="1">#REF!</definedName>
    <definedName name="ewewq" hidden="1">#REF!</definedName>
    <definedName name="ewrfqewrrefeqrftr" localSheetId="3" hidden="1">{"'Sheet1'!$L$16"}</definedName>
    <definedName name="ewrfqewrrefeqrftr" hidden="1">{"'Sheet1'!$L$16"}</definedName>
    <definedName name="ewrWRN" localSheetId="3" hidden="1">{"'Sheet1'!$L$16"}</definedName>
    <definedName name="ewrWRN" hidden="1">{"'Sheet1'!$L$16"}</definedName>
    <definedName name="ews" localSheetId="3" hidden="1">{0}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localSheetId="3" hidden="1">{"'Sheet1'!$L$16"}</definedName>
    <definedName name="F15x30" hidden="1">{"'Sheet1'!$L$16"}</definedName>
    <definedName name="faaaaaf" localSheetId="3" hidden="1">{#N/A,#N/A,FALSE,"Sheet1"}</definedName>
    <definedName name="faaaaaf" hidden="1">{#N/A,#N/A,FALSE,"Sheet1"}</definedName>
    <definedName name="fáaafafaf" localSheetId="3" hidden="1">{"'Sheet1'!$L$16"}</definedName>
    <definedName name="fáaafafaf" hidden="1">{"'Sheet1'!$L$16"}</definedName>
    <definedName name="FACTORY" localSheetId="3" hidden="1">{#N/A,#N/A,TRUE,"SUM";#N/A,#N/A,TRUE,"EE";#N/A,#N/A,TRUE,"AC";#N/A,#N/A,TRUE,"SN"}</definedName>
    <definedName name="FACTORY" hidden="1">{#N/A,#N/A,TRUE,"SUM";#N/A,#N/A,TRUE,"EE";#N/A,#N/A,TRUE,"AC";#N/A,#N/A,TRUE,"SN"}</definedName>
    <definedName name="faewewe" localSheetId="3" hidden="1">#REF!</definedName>
    <definedName name="faewewe" hidden="1">#REF!</definedName>
    <definedName name="FAFA" localSheetId="3" hidden="1">{"'Sheet1'!$L$16"}</definedName>
    <definedName name="FAFA" hidden="1">{"'Sheet1'!$L$16"}</definedName>
    <definedName name="FASFA" localSheetId="3" hidden="1">{"'Sheet1'!$L$16"}</definedName>
    <definedName name="FASFA" hidden="1">{"'Sheet1'!$L$16"}</definedName>
    <definedName name="fasfaga" localSheetId="3" hidden="1">{"'Sheet1'!$L$16"}</definedName>
    <definedName name="fasfaga" hidden="1">{"'Sheet1'!$L$16"}</definedName>
    <definedName name="FBSEEBASD" localSheetId="3" hidden="1">{"'Sheet1'!$L$16"}</definedName>
    <definedName name="FBSEEBASD" hidden="1">{"'Sheet1'!$L$16"}</definedName>
    <definedName name="fÇ" localSheetId="3" hidden="1">{"'Sheet1'!$L$16"}</definedName>
    <definedName name="fÇ" hidden="1">{"'Sheet1'!$L$16"}</definedName>
    <definedName name="FCode" localSheetId="3" hidden="1">#REF!</definedName>
    <definedName name="FCode" hidden="1">#REF!</definedName>
    <definedName name="fd" localSheetId="3" hidden="1">{"'Sheet1'!$L$16"}</definedName>
    <definedName name="fd" hidden="1">{"'Sheet1'!$L$16"}</definedName>
    <definedName name="fdf" localSheetId="3" hidden="1">{"'Sheet1'!$L$16"}</definedName>
    <definedName name="fdf" hidden="1">{"'Sheet1'!$L$16"}</definedName>
    <definedName name="fdfd" localSheetId="3" hidden="1">{"'Sheet1'!$L$16"}</definedName>
    <definedName name="fdfd" hidden="1">{"'Sheet1'!$L$16"}</definedName>
    <definedName name="FDFDSF" localSheetId="3" hidden="1">{#N/A,#N/A,TRUE,"SUM";#N/A,#N/A,TRUE,"EE";#N/A,#N/A,TRUE,"AC";#N/A,#N/A,TRUE,"SN"}</definedName>
    <definedName name="FDFDSF" hidden="1">{#N/A,#N/A,TRUE,"SUM";#N/A,#N/A,TRUE,"EE";#N/A,#N/A,TRUE,"AC";#N/A,#N/A,TRUE,"SN"}</definedName>
    <definedName name="fdfg" localSheetId="3" hidden="1">#REF!</definedName>
    <definedName name="fdfg" hidden="1">#REF!</definedName>
    <definedName name="fdfs" localSheetId="3" hidden="1">{#N/A,#N/A,TRUE,"SUM";#N/A,#N/A,TRUE,"EE";#N/A,#N/A,TRUE,"AC";#N/A,#N/A,TRUE,"SN"}</definedName>
    <definedName name="fdfs" hidden="1">{#N/A,#N/A,TRUE,"SUM";#N/A,#N/A,TRUE,"EE";#N/A,#N/A,TRUE,"AC";#N/A,#N/A,TRUE,"SN"}</definedName>
    <definedName name="fdfs2" localSheetId="3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localSheetId="3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localSheetId="3" hidden="1">#REF!</definedName>
    <definedName name="fdfsdfsdf" hidden="1">#REF!</definedName>
    <definedName name="fdfsf" localSheetId="3" hidden="1">{#N/A,#N/A,FALSE,"Chi tiÆt"}</definedName>
    <definedName name="fdfsf" hidden="1">{#N/A,#N/A,FALSE,"Chi tiÆt"}</definedName>
    <definedName name="fdg" localSheetId="3" hidden="1">{"'Sheet1'!$L$16"}</definedName>
    <definedName name="fdg" hidden="1">{"'Sheet1'!$L$16"}</definedName>
    <definedName name="FDGDGDF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localSheetId="3" hidden="1">{"'Sheet1'!$L$16"}</definedName>
    <definedName name="fdgfg" hidden="1">{"'Sheet1'!$L$16"}</definedName>
    <definedName name="fdgfgjghhk" localSheetId="3" hidden="1">#REF!</definedName>
    <definedName name="fdgfgjghhk" hidden="1">#REF!</definedName>
    <definedName name="fdgh" localSheetId="3" hidden="1">{"'Sheet1'!$L$16"}</definedName>
    <definedName name="fdgh" hidden="1">{"'Sheet1'!$L$16"}</definedName>
    <definedName name="fdgsdf" localSheetId="3" hidden="1">{"'Sheet1'!$L$16"}</definedName>
    <definedName name="fdgsdf" hidden="1">{"'Sheet1'!$L$16"}</definedName>
    <definedName name="fdhfg" localSheetId="3" hidden="1">{0}</definedName>
    <definedName name="fdhfg" hidden="1">{0}</definedName>
    <definedName name="fđhh" localSheetId="3" hidden="1">{"'Sheet1'!$L$16"}</definedName>
    <definedName name="fđhh" hidden="1">{"'Sheet1'!$L$16"}</definedName>
    <definedName name="fdsf" localSheetId="3" hidden="1">{"'Sheet1'!$L$16"}</definedName>
    <definedName name="fdsf" hidden="1">{"'Sheet1'!$L$16"}</definedName>
    <definedName name="fdsfds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localSheetId="3" hidden="1">#REF!</definedName>
    <definedName name="fdsfdsfsdf" hidden="1">#REF!</definedName>
    <definedName name="fdsff" localSheetId="3" hidden="1">{"'Sheet1'!$L$16"}</definedName>
    <definedName name="fdsff" hidden="1">{"'Sheet1'!$L$16"}</definedName>
    <definedName name="fdsfsdfd" localSheetId="3" hidden="1">{"'Sheet1'!$L$16"}</definedName>
    <definedName name="fdsfsdfd" hidden="1">{"'Sheet1'!$L$16"}</definedName>
    <definedName name="fdsgds" localSheetId="3" hidden="1">{"'Sheet1'!$L$16"}</definedName>
    <definedName name="fdsgds" hidden="1">{"'Sheet1'!$L$16"}</definedName>
    <definedName name="FEDSBSD" localSheetId="3" hidden="1">{"'Sheet1'!$L$16"}</definedName>
    <definedName name="FEDSBSD" hidden="1">{"'Sheet1'!$L$16"}</definedName>
    <definedName name="fefrefewfe" localSheetId="3" hidden="1">#REF!</definedName>
    <definedName name="fefrefewfe" hidden="1">#REF!</definedName>
    <definedName name="FERQAA" localSheetId="3" hidden="1">{"'Sheet1'!$L$16"}</definedName>
    <definedName name="FERQAA" hidden="1">{"'Sheet1'!$L$16"}</definedName>
    <definedName name="fewfef" localSheetId="3" hidden="1">{"'Sheet1'!$L$16"}</definedName>
    <definedName name="fewfef" hidden="1">{"'Sheet1'!$L$16"}</definedName>
    <definedName name="ff" localSheetId="3" hidden="1">{"'Sheet1'!$L$16"}</definedName>
    <definedName name="ff" hidden="1">{"'Sheet1'!$L$16"}</definedName>
    <definedName name="ffdfd" localSheetId="3" hidden="1">#REF!</definedName>
    <definedName name="ffdfd" hidden="1">#REF!</definedName>
    <definedName name="fff" localSheetId="3" hidden="1">{"'Sheet1'!$L$16"}</definedName>
    <definedName name="fff" hidden="1">{"'Sheet1'!$L$16"}</definedName>
    <definedName name="FFFF" localSheetId="3" hidden="1">{"'Sheet1'!$L$16"}</definedName>
    <definedName name="FFFF" hidden="1">{"'Sheet1'!$L$16"}</definedName>
    <definedName name="ffffd" localSheetId="3" hidden="1">{#N/A,#N/A,TRUE,"SUM";#N/A,#N/A,TRUE,"EE";#N/A,#N/A,TRUE,"AC";#N/A,#N/A,TRUE,"SN"}</definedName>
    <definedName name="ffffd" hidden="1">{#N/A,#N/A,TRUE,"SUM";#N/A,#N/A,TRUE,"EE";#N/A,#N/A,TRUE,"AC";#N/A,#N/A,TRUE,"SN"}</definedName>
    <definedName name="ffffffff" localSheetId="3" hidden="1">#REF!</definedName>
    <definedName name="ffffffff" hidden="1">#REF!</definedName>
    <definedName name="fffffffffffffff" localSheetId="3" hidden="1">{"'Sheet1'!$L$16"}</definedName>
    <definedName name="fffffffffffffff" hidden="1">{"'Sheet1'!$L$16"}</definedName>
    <definedName name="ffgf" localSheetId="3" hidden="1">{"'Sheet1'!$L$16"}</definedName>
    <definedName name="ffgf" hidden="1">{"'Sheet1'!$L$16"}</definedName>
    <definedName name="ffggggggfgf" localSheetId="3" hidden="1">{"'Sheet1'!$L$16"}</definedName>
    <definedName name="ffggggggfgf" hidden="1">{"'Sheet1'!$L$16"}</definedName>
    <definedName name="ffwf" localSheetId="3" hidden="1">#REF!</definedName>
    <definedName name="ffwf" hidden="1">#REF!</definedName>
    <definedName name="fg" localSheetId="3" hidden="1">{"'Sheet1'!$L$16"}</definedName>
    <definedName name="fg" hidden="1">{"'Sheet1'!$L$16"}</definedName>
    <definedName name="fgd" localSheetId="3" hidden="1">{"'Sheet1'!$L$16"}</definedName>
    <definedName name="fgd" hidden="1">{"'Sheet1'!$L$16"}</definedName>
    <definedName name="fgdag" localSheetId="3" hidden="1">{"'Sheet1'!$L$16"}</definedName>
    <definedName name="fgdag" hidden="1">{"'Sheet1'!$L$16"}</definedName>
    <definedName name="FGDFHG" localSheetId="3" hidden="1">{"'Sheet1'!$L$16"}</definedName>
    <definedName name="FGDFHG" hidden="1">{"'Sheet1'!$L$16"}</definedName>
    <definedName name="FGF" localSheetId="3" hidden="1">{#N/A,#N/A,FALSE,"Sheet2";#N/A,#N/A,FALSE,"Sheet4";#N/A,#N/A,FALSE,"Sheet6"}</definedName>
    <definedName name="FGF" hidden="1">{#N/A,#N/A,FALSE,"Sheet2";#N/A,#N/A,FALSE,"Sheet4";#N/A,#N/A,FALSE,"Sheet6"}</definedName>
    <definedName name="fgff" localSheetId="3" hidden="1">{#N/A,#N/A,TRUE,"SUM";#N/A,#N/A,TRUE,"EE";#N/A,#N/A,TRUE,"AC";#N/A,#N/A,TRUE,"SN"}</definedName>
    <definedName name="fgff" hidden="1">{#N/A,#N/A,TRUE,"SUM";#N/A,#N/A,TRUE,"EE";#N/A,#N/A,TRUE,"AC";#N/A,#N/A,TRUE,"SN"}</definedName>
    <definedName name="fgfh" localSheetId="3" hidden="1">#REF!</definedName>
    <definedName name="fgfh" hidden="1">#REF!</definedName>
    <definedName name="fgg" localSheetId="3" hidden="1">{"'Sheet1'!$L$16"}</definedName>
    <definedName name="fgg" hidden="1">{"'Sheet1'!$L$16"}</definedName>
    <definedName name="fgh" localSheetId="3" hidden="1">{"'Sheet1'!$L$16"}</definedName>
    <definedName name="fgh" hidden="1">{"'Sheet1'!$L$16"}</definedName>
    <definedName name="fghbys" localSheetId="3" hidden="1">#REF!</definedName>
    <definedName name="fghbys" hidden="1">#REF!</definedName>
    <definedName name="FGHDGFHDF" localSheetId="3" hidden="1">{"'Sheet1'!$L$16"}</definedName>
    <definedName name="FGHDGFHDF" hidden="1">{"'Sheet1'!$L$16"}</definedName>
    <definedName name="FGHDGHD" localSheetId="3" hidden="1">{"'Sheet1'!$L$16"}</definedName>
    <definedName name="FGHDGHD" hidden="1">{"'Sheet1'!$L$16"}</definedName>
    <definedName name="fghfd" localSheetId="3" hidden="1">{"Offgrid",#N/A,FALSE,"OFFGRID";"Region",#N/A,FALSE,"REGION";"Offgrid -2",#N/A,FALSE,"OFFGRID";"WTP",#N/A,FALSE,"WTP";"WTP -2",#N/A,FALSE,"WTP";"Project",#N/A,FALSE,"PROJECT";"Summary -2",#N/A,FALSE,"SUMMARY"}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localSheetId="3" hidden="1">#REF!</definedName>
    <definedName name="fghfgh­Óyuiuiuivbnbvn" hidden="1">#REF!</definedName>
    <definedName name="fghfjrtytyuuyi" localSheetId="3" hidden="1">#REF!</definedName>
    <definedName name="fghfjrtytyuuyi" hidden="1">#REF!</definedName>
    <definedName name="fghg" localSheetId="3" hidden="1">{"'Sheet1'!$L$16"}</definedName>
    <definedName name="fghg" hidden="1">{"'Sheet1'!$L$16"}</definedName>
    <definedName name="fghhk" localSheetId="3" hidden="1">{0}</definedName>
    <definedName name="fghhk" hidden="1">{0}</definedName>
    <definedName name="FGHRGS" localSheetId="3" hidden="1">{"NGUYEN QUI THIEP - Personal View",#N/A,FALSE,"XDCB.HT.FUR."}</definedName>
    <definedName name="FGHRGS" hidden="1">{"NGUYEN QUI THIEP - Personal View",#N/A,FALSE,"XDCB.HT.FUR."}</definedName>
    <definedName name="FGJ" localSheetId="3" hidden="1">#REF!</definedName>
    <definedName name="FGJ" hidden="1">#REF!</definedName>
    <definedName name="FGJFGH" localSheetId="3" hidden="1">{"'Sheet1'!$L$16"}</definedName>
    <definedName name="FGJFGH" hidden="1">{"'Sheet1'!$L$16"}</definedName>
    <definedName name="fgjj" localSheetId="3" hidden="1">{"'Sheet1'!$L$16"}</definedName>
    <definedName name="fgjj" hidden="1">{"'Sheet1'!$L$16"}</definedName>
    <definedName name="fgn" localSheetId="3" hidden="1">{"'Sheet1'!$L$16"}</definedName>
    <definedName name="fgn" hidden="1">{"'Sheet1'!$L$16"}</definedName>
    <definedName name="FGNFGNFGNF" localSheetId="3" hidden="1">{"NGUYEN QUI THIEP - Personal View",#N/A,FALSE,"XDCB.HT.FUR."}</definedName>
    <definedName name="FGNFGNFGNF" hidden="1">{"NGUYEN QUI THIEP - Personal View",#N/A,FALSE,"XDCB.HT.FUR."}</definedName>
    <definedName name="fh" localSheetId="3" hidden="1">{"'Sheet1'!$L$16"}</definedName>
    <definedName name="fh" hidden="1">{"'Sheet1'!$L$16"}</definedName>
    <definedName name="fhf" localSheetId="3" hidden="1">{"'Sheet1'!$L$16"}</definedName>
    <definedName name="fhf" hidden="1">{"'Sheet1'!$L$16"}</definedName>
    <definedName name="fhhh" localSheetId="3" hidden="1">{"'Sheet1'!$L$16"}</definedName>
    <definedName name="fhhh" hidden="1">{"'Sheet1'!$L$16"}</definedName>
    <definedName name="FHJHJHG" localSheetId="3" hidden="1">{"'Sheet1'!$L$16"}</definedName>
    <definedName name="FHJHJHG" hidden="1">{"'Sheet1'!$L$16"}</definedName>
    <definedName name="fhjjh" localSheetId="3" hidden="1">{"'Sheet1'!$L$16"}</definedName>
    <definedName name="fhjjh" hidden="1">{"'Sheet1'!$L$16"}</definedName>
    <definedName name="fhk" localSheetId="3" hidden="1">{0}</definedName>
    <definedName name="fhk" hidden="1">{0}</definedName>
    <definedName name="FiLL" localSheetId="3" hidden="1">#REF!</definedName>
    <definedName name="FiLL" hidden="1">#REF!</definedName>
    <definedName name="FILLL" localSheetId="3" hidden="1">#REF!</definedName>
    <definedName name="FILLL" hidden="1">#REF!</definedName>
    <definedName name="fjgdhjkhikcvb2345" localSheetId="3" hidden="1">#REF!</definedName>
    <definedName name="fjgdhjkhikcvb2345" hidden="1">#REF!</definedName>
    <definedName name="fkgjk" localSheetId="3" hidden="1">{"'Sheet1'!$L$16"}</definedName>
    <definedName name="fkgjk" hidden="1">{"'Sheet1'!$L$16"}</definedName>
    <definedName name="fldfángonh" localSheetId="3" hidden="1">{"'Sheet1'!$L$16"}</definedName>
    <definedName name="fldfángonh" hidden="1">{"'Sheet1'!$L$16"}</definedName>
    <definedName name="FOR" localSheetId="3" hidden="1">{#N/A,#N/A,FALSE,"CCTV"}</definedName>
    <definedName name="FOR" hidden="1">{#N/A,#N/A,FALSE,"CCTV"}</definedName>
    <definedName name="FORMAT" localSheetId="3" hidden="1">{#N/A,#N/A,FALSE,"CCTV"}</definedName>
    <definedName name="FORMAT" hidden="1">{#N/A,#N/A,FALSE,"CCTV"}</definedName>
    <definedName name="fr" localSheetId="3" hidden="1">{"'Sheet1'!$L$16"}</definedName>
    <definedName name="fr" hidden="1">{"'Sheet1'!$L$16"}</definedName>
    <definedName name="fre" localSheetId="3" hidden="1">{"'Sheet1'!$L$16"}</definedName>
    <definedName name="fre" hidden="1">{"'Sheet1'!$L$16"}</definedName>
    <definedName name="FRWDS" localSheetId="3" hidden="1">{"'Sheet1'!$L$16"}</definedName>
    <definedName name="FRWDS" hidden="1">{"'Sheet1'!$L$16"}</definedName>
    <definedName name="fsa" localSheetId="3" hidden="1">{"'Sheet1'!$L$16"}</definedName>
    <definedName name="fsa" hidden="1">{"'Sheet1'!$L$16"}</definedName>
    <definedName name="fsafsdfsd" localSheetId="3" hidden="1">{"'Sheet1'!$L$16"}</definedName>
    <definedName name="fsafsdfsd" hidden="1">{"'Sheet1'!$L$16"}</definedName>
    <definedName name="fsd" localSheetId="3" hidden="1">#REF!</definedName>
    <definedName name="fsd" hidden="1">#REF!</definedName>
    <definedName name="fsdf" localSheetId="3" hidden="1">#REF!</definedName>
    <definedName name="fsdf" hidden="1">#REF!</definedName>
    <definedName name="fsdfdsf" localSheetId="3" hidden="1">{"'Sheet1'!$L$16"}</definedName>
    <definedName name="fsdfdsf" hidden="1">{"'Sheet1'!$L$16"}</definedName>
    <definedName name="fsdfdssdgfsd" localSheetId="3" hidden="1">#REF!</definedName>
    <definedName name="fsdfdssdgfsd" hidden="1">#REF!</definedName>
    <definedName name="fsdfsd" localSheetId="3" hidden="1">{#N/A,#N/A,FALSE,"Chi tiÆt"}</definedName>
    <definedName name="fsdfsd" hidden="1">{#N/A,#N/A,FALSE,"Chi tiÆt"}</definedName>
    <definedName name="FSDFSDF" localSheetId="3" hidden="1">{#N/A,#N/A,TRUE,"SUM";#N/A,#N/A,TRUE,"EE";#N/A,#N/A,TRUE,"AC";#N/A,#N/A,TRUE,"SN"}</definedName>
    <definedName name="FSDFSDF" hidden="1">{#N/A,#N/A,TRUE,"SUM";#N/A,#N/A,TRUE,"EE";#N/A,#N/A,TRUE,"AC";#N/A,#N/A,TRUE,"SN"}</definedName>
    <definedName name="fsdfsdfsdfs" localSheetId="3" hidden="1">{"'Sheet1'!$L$16"}</definedName>
    <definedName name="fsdfsdfsdfs" hidden="1">{"'Sheet1'!$L$16"}</definedName>
    <definedName name="fsdfsf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localSheetId="3" hidden="1">{"'Sheet1'!$L$16"}</definedName>
    <definedName name="fsf" hidden="1">{"'Sheet1'!$L$16"}</definedName>
    <definedName name="fsfds" localSheetId="3" hidden="1">#REF!</definedName>
    <definedName name="fsfds" hidden="1">#REF!</definedName>
    <definedName name="fsfs" localSheetId="3" hidden="1">{"'Sheet1'!$L$16"}</definedName>
    <definedName name="fsfs" hidden="1">{"'Sheet1'!$L$16"}</definedName>
    <definedName name="fsssfds" localSheetId="3" hidden="1">#REF!</definedName>
    <definedName name="fsssfds" hidden="1">#REF!</definedName>
    <definedName name="ft" localSheetId="3" hidden="1">{"'Sheet1'!$L$16"}</definedName>
    <definedName name="ft" hidden="1">{"'Sheet1'!$L$16"}</definedName>
    <definedName name="fþh" localSheetId="3" hidden="1">#REF!</definedName>
    <definedName name="fþh" hidden="1">#REF!</definedName>
    <definedName name="ftrjk" localSheetId="3" hidden="1">{"'Sheet1'!$L$16"}</definedName>
    <definedName name="ftrjk" hidden="1">{"'Sheet1'!$L$16"}</definedName>
    <definedName name="function" localSheetId="3" hidden="1">{"'Sheet1'!$L$16"}</definedName>
    <definedName name="function" hidden="1">{"'Sheet1'!$L$16"}</definedName>
    <definedName name="fwef" localSheetId="3" hidden="1">#REF!</definedName>
    <definedName name="fwef" hidden="1">#REF!</definedName>
    <definedName name="FXBFXB" localSheetId="3" hidden="1">{"'Sheet1'!$L$16"}</definedName>
    <definedName name="FXBFXB" hidden="1">{"'Sheet1'!$L$16"}</definedName>
    <definedName name="fxdfhxc" localSheetId="3" hidden="1">{"'Sheet1'!$L$16"}</definedName>
    <definedName name="fxdfhxc" hidden="1">{"'Sheet1'!$L$16"}</definedName>
    <definedName name="g" localSheetId="3" hidden="1">{"'Sheet1'!$L$16"}</definedName>
    <definedName name="g" hidden="1">{"'Sheet1'!$L$16"}</definedName>
    <definedName name="ga" localSheetId="3" hidden="1">{"'Sheet1'!$L$16"}</definedName>
    <definedName name="ga" hidden="1">{"'Sheet1'!$L$16"}</definedName>
    <definedName name="gbb" localSheetId="3" hidden="1">{"'Sheet1'!$L$16"}</definedName>
    <definedName name="gbb" hidden="1">{"'Sheet1'!$L$16"}</definedName>
    <definedName name="gcm" localSheetId="3" hidden="1">{"'Sheet1'!$L$16"}</definedName>
    <definedName name="gcm" hidden="1">{"'Sheet1'!$L$16"}</definedName>
    <definedName name="gdafg" localSheetId="3" hidden="1">#REF!</definedName>
    <definedName name="gdafg" hidden="1">#REF!</definedName>
    <definedName name="gdd" localSheetId="3" hidden="1">#REF!</definedName>
    <definedName name="gdd" hidden="1">#REF!</definedName>
    <definedName name="gdfgdfgdf" localSheetId="3" hidden="1">{"'Sheet1'!$L$16"}</definedName>
    <definedName name="gdfgdfgdf" hidden="1">{"'Sheet1'!$L$16"}</definedName>
    <definedName name="GDFHGDFHFG" localSheetId="3" hidden="1">#REF!</definedName>
    <definedName name="GDFHGDFHFG" hidden="1">#REF!</definedName>
    <definedName name="gdg" localSheetId="3" hidden="1">{"'Sheet1'!$L$16"}</definedName>
    <definedName name="gdg" hidden="1">{"'Sheet1'!$L$16"}</definedName>
    <definedName name="gdgdkdfkghlf" localSheetId="3" hidden="1">{"'Sheet1'!$L$16"}</definedName>
    <definedName name="gdgdkdfkghlf" hidden="1">{"'Sheet1'!$L$16"}</definedName>
    <definedName name="gdhgh" localSheetId="3" hidden="1">{"'Sheet1'!$L$16"}</definedName>
    <definedName name="gdhgh" hidden="1">{"'Sheet1'!$L$16"}</definedName>
    <definedName name="gdhgj" localSheetId="3" hidden="1">{"'Sheet1'!$L$16"}</definedName>
    <definedName name="gdhgj" hidden="1">{"'Sheet1'!$L$16"}</definedName>
    <definedName name="gdret" localSheetId="3" hidden="1">{"'Sheet1'!$L$16"}</definedName>
    <definedName name="gdret" hidden="1">{"'Sheet1'!$L$16"}</definedName>
    <definedName name="GDRFHDF" localSheetId="3" hidden="1">{"'Sheet1'!$L$16"}</definedName>
    <definedName name="GDRFHDF" hidden="1">{"'Sheet1'!$L$16"}</definedName>
    <definedName name="GÈGEWG" localSheetId="3" hidden="1">{"'Sheet1'!$L$16"}</definedName>
    <definedName name="GÈGEWG" hidden="1">{"'Sheet1'!$L$16"}</definedName>
    <definedName name="GEWGEW" localSheetId="3" hidden="1">{"'Sheet1'!$L$16"}</definedName>
    <definedName name="GEWGEW" hidden="1">{"'Sheet1'!$L$16"}</definedName>
    <definedName name="gf" localSheetId="3" hidden="1">{"'Sheet1'!$L$16"}</definedName>
    <definedName name="gf" hidden="1">{"'Sheet1'!$L$16"}</definedName>
    <definedName name="gfbb" localSheetId="3" hidden="1">{"'Sheet1'!$L$16"}</definedName>
    <definedName name="gfbb" hidden="1">{"'Sheet1'!$L$16"}</definedName>
    <definedName name="GFBV" localSheetId="3" hidden="1">{"'Sheet1'!$L$16"}</definedName>
    <definedName name="GFBV" hidden="1">{"'Sheet1'!$L$16"}</definedName>
    <definedName name="gfd" localSheetId="3" hidden="1">{"'Sheet1'!$L$16"}</definedName>
    <definedName name="gfd" hidden="1">{"'Sheet1'!$L$16"}</definedName>
    <definedName name="gfdg" localSheetId="3" hidden="1">{"'Sheet1'!$L$16"}</definedName>
    <definedName name="gfdg" hidden="1">{"'Sheet1'!$L$16"}</definedName>
    <definedName name="gfdgd" localSheetId="3" hidden="1">#REF!</definedName>
    <definedName name="gfdgd" hidden="1">#REF!</definedName>
    <definedName name="GFDHG" localSheetId="3" hidden="1">{"NGUYEN QUI THIEP - Personal View",#N/A,FALSE,"XDCB.HT.FUR."}</definedName>
    <definedName name="GFDHG" hidden="1">{"NGUYEN QUI THIEP - Personal View",#N/A,FALSE,"XDCB.HT.FUR."}</definedName>
    <definedName name="gfg" localSheetId="3" hidden="1">{"'Sheet1'!$L$16"}</definedName>
    <definedName name="gfg" hidden="1">{"'Sheet1'!$L$16"}</definedName>
    <definedName name="gfgf" localSheetId="3" hidden="1">#REF!</definedName>
    <definedName name="gfgf" hidden="1">#REF!</definedName>
    <definedName name="gfgfghfh" localSheetId="3" hidden="1">#REF!</definedName>
    <definedName name="gfgfghfh" hidden="1">#REF!</definedName>
    <definedName name="gfh" localSheetId="3" hidden="1">{#N/A,#N/A,FALSE,"Chi tiÆt"}</definedName>
    <definedName name="gfh" hidden="1">{#N/A,#N/A,FALSE,"Chi tiÆt"}</definedName>
    <definedName name="gfhgj" localSheetId="3" hidden="1">{0}</definedName>
    <definedName name="gfhgj" hidden="1">{0}</definedName>
    <definedName name="GFJHJ" localSheetId="3" hidden="1">{"'Sheet1'!$L$16"}</definedName>
    <definedName name="GFJHJ" hidden="1">{"'Sheet1'!$L$16"}</definedName>
    <definedName name="GFSDFSF" localSheetId="3" hidden="1">{"'Sheet1'!$L$16"}</definedName>
    <definedName name="GFSDFSF" hidden="1">{"'Sheet1'!$L$16"}</definedName>
    <definedName name="GG" localSheetId="3" hidden="1">{#N/A,#N/A,TRUE,"SUM";#N/A,#N/A,TRUE,"EE";#N/A,#N/A,TRUE,"AC";#N/A,#N/A,TRUE,"SN"}</definedName>
    <definedName name="GG" hidden="1">{#N/A,#N/A,TRUE,"SUM";#N/A,#N/A,TRUE,"EE";#N/A,#N/A,TRUE,"AC";#N/A,#N/A,TRUE,"SN"}</definedName>
    <definedName name="ggag" localSheetId="3" hidden="1">#REF!</definedName>
    <definedName name="ggag" hidden="1">#REF!</definedName>
    <definedName name="ggdf" localSheetId="3" hidden="1">{"'Sheet1'!$L$16"}</definedName>
    <definedName name="ggdf" hidden="1">{"'Sheet1'!$L$16"}</definedName>
    <definedName name="ggf" localSheetId="3" hidden="1">{"'Sheet1'!$L$16"}</definedName>
    <definedName name="ggf" hidden="1">{"'Sheet1'!$L$16"}</definedName>
    <definedName name="ggg" localSheetId="3" hidden="1">{"'Sheet1'!$L$16"}</definedName>
    <definedName name="ggg" hidden="1">{"'Sheet1'!$L$16"}</definedName>
    <definedName name="GGGG" localSheetId="3" hidden="1">#REF!</definedName>
    <definedName name="GGGG" hidden="1">#REF!</definedName>
    <definedName name="GGGGG" localSheetId="3" hidden="1">{#N/A,#N/A,TRUE,"SUM";#N/A,#N/A,TRUE,"EE";#N/A,#N/A,TRUE,"AC";#N/A,#N/A,TRUE,"SN"}</definedName>
    <definedName name="GGGGG" hidden="1">{#N/A,#N/A,TRUE,"SUM";#N/A,#N/A,TRUE,"EE";#N/A,#N/A,TRUE,"AC";#N/A,#N/A,TRUE,"SN"}</definedName>
    <definedName name="gggggg" localSheetId="3" hidden="1">#REF!</definedName>
    <definedName name="gggggg" hidden="1">#REF!</definedName>
    <definedName name="ggggggggggggg" localSheetId="3" hidden="1">{"'Sheet1'!$L$16"}</definedName>
    <definedName name="ggggggggggggg" hidden="1">{"'Sheet1'!$L$16"}</definedName>
    <definedName name="gggggggggggggg" localSheetId="3" hidden="1">{"'Sheet1'!$L$16"}</definedName>
    <definedName name="gggggggggggggg" hidden="1">{"'Sheet1'!$L$16"}</definedName>
    <definedName name="ggggggggggggggg" localSheetId="3" hidden="1">{"'Sheet1'!$L$16"}</definedName>
    <definedName name="ggggggggggggggg" hidden="1">{"'Sheet1'!$L$16"}</definedName>
    <definedName name="gggggggggggggggg" localSheetId="3" hidden="1">#REF!</definedName>
    <definedName name="gggggggggggggggg" hidden="1">#REF!</definedName>
    <definedName name="ggggggggggggggggg" localSheetId="3" hidden="1">#REF!</definedName>
    <definedName name="ggggggggggggggggg" hidden="1">#REF!</definedName>
    <definedName name="gghh" localSheetId="3" hidden="1">{"'Sheet1'!$L$16"}</definedName>
    <definedName name="gghh" hidden="1">{"'Sheet1'!$L$16"}</definedName>
    <definedName name="gghjh" localSheetId="3" hidden="1">{"'Sheet1'!$L$16"}</definedName>
    <definedName name="gghjh" hidden="1">{"'Sheet1'!$L$16"}</definedName>
    <definedName name="ggsf" localSheetId="3" hidden="1">#REF!</definedName>
    <definedName name="ggsf" hidden="1">#REF!</definedName>
    <definedName name="ggss" localSheetId="3" hidden="1">{"'Sheet1'!$L$16"}</definedName>
    <definedName name="ggss" hidden="1">{"'Sheet1'!$L$16"}</definedName>
    <definedName name="gh" localSheetId="3" hidden="1">{"'Sheet1'!$L$16"}</definedName>
    <definedName name="gh" hidden="1">{"'Sheet1'!$L$16"}</definedName>
    <definedName name="GHDF" localSheetId="3" hidden="1">{"'Sheet1'!$L$16"}</definedName>
    <definedName name="GHDF" hidden="1">{"'Sheet1'!$L$16"}</definedName>
    <definedName name="ghdfghdfg" localSheetId="3" hidden="1">{"'Sheet1'!$L$16"}</definedName>
    <definedName name="ghdfghdfg" hidden="1">{"'Sheet1'!$L$16"}</definedName>
    <definedName name="ghdzsf" localSheetId="3" hidden="1">{"'Sheet1'!$L$16"}</definedName>
    <definedName name="ghdzsf" hidden="1">{"'Sheet1'!$L$16"}</definedName>
    <definedName name="ghfdyds" localSheetId="3" hidden="1">#REF!</definedName>
    <definedName name="ghfdyds" hidden="1">#REF!</definedName>
    <definedName name="ghfhgfh" localSheetId="3" hidden="1">{"'Sheet1'!$L$16"}</definedName>
    <definedName name="ghfhgfh" hidden="1">{"'Sheet1'!$L$16"}</definedName>
    <definedName name="ghg" localSheetId="3" hidden="1">{"'Sheet1'!$L$16"}</definedName>
    <definedName name="ghg" hidden="1">{"'Sheet1'!$L$16"}</definedName>
    <definedName name="ghgh" localSheetId="3" hidden="1">{"'Sheet1'!$L$16"}</definedName>
    <definedName name="ghgh" hidden="1">{"'Sheet1'!$L$16"}</definedName>
    <definedName name="GHGHF" localSheetId="3" hidden="1">#REF!</definedName>
    <definedName name="GHGHF" hidden="1">#REF!</definedName>
    <definedName name="ghgj" localSheetId="3" hidden="1">{0}</definedName>
    <definedName name="ghgj" hidden="1">{0}</definedName>
    <definedName name="ghgk" localSheetId="3" hidden="1">{0}</definedName>
    <definedName name="ghgk" hidden="1">{0}</definedName>
    <definedName name="ghhh" localSheetId="3" hidden="1">{"'Sheet1'!$L$16"}</definedName>
    <definedName name="ghhh" hidden="1">{"'Sheet1'!$L$16"}</definedName>
    <definedName name="ghj" localSheetId="3" hidden="1">{"'Sheet1'!$L$16"}</definedName>
    <definedName name="ghj" hidden="1">{"'Sheet1'!$L$16"}</definedName>
    <definedName name="ghjghjgh" localSheetId="3" hidden="1">#REF!</definedName>
    <definedName name="ghjghjgh" hidden="1">#REF!</definedName>
    <definedName name="ghjgjkhjk" localSheetId="3" hidden="1">#REF!</definedName>
    <definedName name="ghjgjkhjk" hidden="1">#REF!</definedName>
    <definedName name="ghjhgj" localSheetId="3" hidden="1">{"'Sheet1'!$L$16"}</definedName>
    <definedName name="ghjhgj" hidden="1">{"'Sheet1'!$L$16"}</definedName>
    <definedName name="GHJK" localSheetId="3" hidden="1">{"'Sheet1'!$L$16"}</definedName>
    <definedName name="GHJK" hidden="1">{"'Sheet1'!$L$16"}</definedName>
    <definedName name="ghm" localSheetId="3" hidden="1">{#N/A,#N/A,FALSE,"Sheet1";#N/A,#N/A,FALSE,"Sheet1";#N/A,#N/A,FALSE,"Sheet1"}</definedName>
    <definedName name="ghm" hidden="1">{#N/A,#N/A,FALSE,"Sheet1";#N/A,#N/A,FALSE,"Sheet1";#N/A,#N/A,FALSE,"Sheet1"}</definedName>
    <definedName name="GHTY" localSheetId="3" hidden="1">#REF!</definedName>
    <definedName name="GHTY" hidden="1">#REF!</definedName>
    <definedName name="ghû" localSheetId="3" hidden="1">{"'Sheet1'!$L$16"}</definedName>
    <definedName name="ghû" hidden="1">{"'Sheet1'!$L$16"}</definedName>
    <definedName name="gÎ" localSheetId="3" hidden="1">#REF!</definedName>
    <definedName name="gÎ" hidden="1">#REF!</definedName>
    <definedName name="gjgh" localSheetId="3" hidden="1">{"'Sheet1'!$L$16"}</definedName>
    <definedName name="gjgh" hidden="1">{"'Sheet1'!$L$16"}</definedName>
    <definedName name="gjh" localSheetId="3" hidden="1">{"'Sheet1'!$L$16"}</definedName>
    <definedName name="gjh" hidden="1">{"'Sheet1'!$L$16"}</definedName>
    <definedName name="gjhg" localSheetId="3" hidden="1">{"'Sheet1'!$L$16"}</definedName>
    <definedName name="gjhg" hidden="1">{"'Sheet1'!$L$16"}</definedName>
    <definedName name="gjhhn" localSheetId="3" hidden="1">{"'Sheet1'!$L$16"}</definedName>
    <definedName name="gjhhn" hidden="1">{"'Sheet1'!$L$16"}</definedName>
    <definedName name="gjhlk" localSheetId="3" hidden="1">{0}</definedName>
    <definedName name="gjhlk" hidden="1">{0}</definedName>
    <definedName name="GJKHJFG" localSheetId="3" hidden="1">{"'Sheet1'!$L$16"}</definedName>
    <definedName name="GJKHJFG" hidden="1">{"'Sheet1'!$L$16"}</definedName>
    <definedName name="GJKHK" localSheetId="3" hidden="1">{"'Sheet1'!$L$16"}</definedName>
    <definedName name="GJKHK" hidden="1">{"'Sheet1'!$L$16"}</definedName>
    <definedName name="gjkj" localSheetId="3" hidden="1">{"'Sheet1'!$L$16"}</definedName>
    <definedName name="gjkj" hidden="1">{"'Sheet1'!$L$16"}</definedName>
    <definedName name="gjrđjsjs" localSheetId="3" hidden="1">{"'Sheet1'!$L$16"}</definedName>
    <definedName name="gjrđjsjs" hidden="1">{"'Sheet1'!$L$16"}</definedName>
    <definedName name="GKGHJH" localSheetId="3" hidden="1">{#N/A,#N/A,FALSE,"Chi tiÆt"}</definedName>
    <definedName name="GKGHJH" hidden="1">{#N/A,#N/A,FALSE,"Chi tiÆt"}</definedName>
    <definedName name="GKH" localSheetId="3" hidden="1">{#N/A,#N/A,FALSE,"Chi tiÆt"}</definedName>
    <definedName name="GKH" hidden="1">{#N/A,#N/A,FALSE,"Chi tiÆt"}</definedName>
    <definedName name="glhlhl" localSheetId="3" hidden="1">{"'Sheet1'!$L$16"}</definedName>
    <definedName name="glhlhl" hidden="1">{"'Sheet1'!$L$16"}</definedName>
    <definedName name="glllhlh" localSheetId="3" hidden="1">{"'Sheet1'!$L$16"}</definedName>
    <definedName name="glllhlh" hidden="1">{"'Sheet1'!$L$16"}</definedName>
    <definedName name="GNCBN" localSheetId="3" hidden="1">{"NGUYEN QUI THIEP - Personal View",#N/A,FALSE,"XDCB.HT.FUR."}</definedName>
    <definedName name="GNCBN" hidden="1">{"NGUYEN QUI THIEP - Personal View",#N/A,FALSE,"XDCB.HT.FUR."}</definedName>
    <definedName name="gndfd" localSheetId="3" hidden="1">{"'Sheet1'!$L$16"}</definedName>
    <definedName name="gndfd" hidden="1">{"'Sheet1'!$L$16"}</definedName>
    <definedName name="GNFKD" localSheetId="3" hidden="1">{#N/A,#N/A,TRUE,"SUM";#N/A,#N/A,TRUE,"EE";#N/A,#N/A,TRUE,"AC";#N/A,#N/A,TRUE,"SN"}</definedName>
    <definedName name="GNFKD" hidden="1">{#N/A,#N/A,TRUE,"SUM";#N/A,#N/A,TRUE,"EE";#N/A,#N/A,TRUE,"AC";#N/A,#N/A,TRUE,"SN"}</definedName>
    <definedName name="GREG4E" localSheetId="3" hidden="1">{"'Sheet1'!$L$16"}</definedName>
    <definedName name="GREG4E" hidden="1">{"'Sheet1'!$L$16"}</definedName>
    <definedName name="grew" localSheetId="3" hidden="1">#REF!</definedName>
    <definedName name="grew" hidden="1">#REF!</definedName>
    <definedName name="grgr" localSheetId="3" hidden="1">#REF!</definedName>
    <definedName name="grgr" hidden="1">#REF!</definedName>
    <definedName name="GSGSD" localSheetId="3" hidden="1">{"'Sheet1'!$L$16"}</definedName>
    <definedName name="GSGSD" hidden="1">{"'Sheet1'!$L$16"}</definedName>
    <definedName name="gteyhưez" localSheetId="3" hidden="1">{"'Sheet1'!$L$16"}</definedName>
    <definedName name="gteyhưez" hidden="1">{"'Sheet1'!$L$16"}</definedName>
    <definedName name="GTM" localSheetId="3" hidden="1">{"'Sheet1'!$L$16"}</definedName>
    <definedName name="GTM" hidden="1">{"'Sheet1'!$L$16"}</definedName>
    <definedName name="GTOTAL" localSheetId="3" hidden="1">{"'Sheet1'!$L$16"}</definedName>
    <definedName name="GTOTAL" hidden="1">{"'Sheet1'!$L$16"}</definedName>
    <definedName name="gtrfxjmjl" localSheetId="3" hidden="1">{"'Sheet1'!$L$16"}</definedName>
    <definedName name="gtrfxjmjl" hidden="1">{"'Sheet1'!$L$16"}</definedName>
    <definedName name="GƯEGWEGED" localSheetId="3" hidden="1">{"'Sheet1'!$L$16"}</definedName>
    <definedName name="GƯEGWEGED" hidden="1">{"'Sheet1'!$L$16"}</definedName>
    <definedName name="GYGY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localSheetId="3" hidden="1">{"'Sheet1'!$L$16"}</definedName>
    <definedName name="h" hidden="1">{"'Sheet1'!$L$16"}</definedName>
    <definedName name="h_xoa" localSheetId="3" hidden="1">{"'Sheet1'!$L$16"}</definedName>
    <definedName name="h_xoa" hidden="1">{"'Sheet1'!$L$16"}</definedName>
    <definedName name="h_xoa2" localSheetId="3" hidden="1">{"'Sheet1'!$L$16"}</definedName>
    <definedName name="h_xoa2" hidden="1">{"'Sheet1'!$L$16"}</definedName>
    <definedName name="h_xoa3" localSheetId="3" hidden="1">{"'Sheet1'!$L$16"}</definedName>
    <definedName name="h_xoa3" hidden="1">{"'Sheet1'!$L$16"}</definedName>
    <definedName name="hah" localSheetId="3" hidden="1">{"'Sheet1'!$L$16"}</definedName>
    <definedName name="hah" hidden="1">{"'Sheet1'!$L$16"}</definedName>
    <definedName name="hai" localSheetId="3" hidden="1">{"'Sheet1'!$L$16"}</definedName>
    <definedName name="hai" hidden="1">{"'Sheet1'!$L$16"}</definedName>
    <definedName name="halong" localSheetId="3" hidden="1">{"'Sheet1'!$L$16"}</definedName>
    <definedName name="halong" hidden="1">{"'Sheet1'!$L$16"}</definedName>
    <definedName name="HAMTIEØN" localSheetId="3" hidden="1">{"'Sheet1'!$L$16"}</definedName>
    <definedName name="HAMTIEØN" hidden="1">{"'Sheet1'!$L$16"}</definedName>
    <definedName name="han" localSheetId="3" hidden="1">#REF!</definedName>
    <definedName name="han" hidden="1">#REF!</definedName>
    <definedName name="Hanh" localSheetId="3" hidden="1">{"'Sheet1'!$L$16"}</definedName>
    <definedName name="Hanh" hidden="1">{"'Sheet1'!$L$16"}</definedName>
    <definedName name="HAO" localSheetId="3" hidden="1">{#N/A,#N/A,FALSE,"Sheet1"}</definedName>
    <definedName name="HAO" hidden="1">{#N/A,#N/A,FALSE,"Sheet1"}</definedName>
    <definedName name="haq" localSheetId="3" hidden="1">{"'Sheet1'!$L$16"}</definedName>
    <definedName name="haq" hidden="1">{"'Sheet1'!$L$16"}</definedName>
    <definedName name="HCBA" localSheetId="3" hidden="1">{"'Sheet1'!$L$16"}</definedName>
    <definedName name="HCBA" hidden="1">{"'Sheet1'!$L$16"}</definedName>
    <definedName name="HCBE" localSheetId="3" hidden="1">{"'Sheet1'!$L$16"}</definedName>
    <definedName name="HCBE" hidden="1">{"'Sheet1'!$L$16"}</definedName>
    <definedName name="HCBN" localSheetId="3" hidden="1">{"'Sheet1'!$L$16"}</definedName>
    <definedName name="HCBN" hidden="1">{"'Sheet1'!$L$16"}</definedName>
    <definedName name="hchdsvf" localSheetId="3" hidden="1">{"'Sheet1'!$L$16"}</definedName>
    <definedName name="hchdsvf" hidden="1">{"'Sheet1'!$L$16"}</definedName>
    <definedName name="HCNA" localSheetId="3" hidden="1">{"'Sheet1'!$L$16"}</definedName>
    <definedName name="HCNA" hidden="1">{"'Sheet1'!$L$16"}</definedName>
    <definedName name="HDFGHFD" localSheetId="3" hidden="1">{"'Sheet1'!$L$16"}</definedName>
    <definedName name="HDFGHFD" hidden="1">{"'Sheet1'!$L$16"}</definedName>
    <definedName name="hdfhf" localSheetId="3" hidden="1">{"'Sheet1'!$L$16"}</definedName>
    <definedName name="hdfhf" hidden="1">{"'Sheet1'!$L$16"}</definedName>
    <definedName name="hee_opjg" localSheetId="3" hidden="1">{"'Sheet1'!$L$16"}</definedName>
    <definedName name="hee_opjg" hidden="1">{"'Sheet1'!$L$16"}</definedName>
    <definedName name="HEHA" localSheetId="3" hidden="1">{"'Sheet1'!$L$16"}</definedName>
    <definedName name="HEHA" hidden="1">{"'Sheet1'!$L$16"}</definedName>
    <definedName name="HẺHRE" localSheetId="3" hidden="1">{#N/A,#N/A,FALSE,"Chi tiÆt"}</definedName>
    <definedName name="HẺHRE" hidden="1">{#N/A,#N/A,FALSE,"Chi tiÆt"}</definedName>
    <definedName name="HETH" localSheetId="3" hidden="1">{"'Sheet1'!$L$16"}</definedName>
    <definedName name="HETH" hidden="1">{"'Sheet1'!$L$16"}</definedName>
    <definedName name="hethongthoatnuocngoainha" localSheetId="3" hidden="1">#REF!</definedName>
    <definedName name="hethongthoatnuocngoainha" hidden="1">#REF!</definedName>
    <definedName name="hẻy" localSheetId="3" hidden="1">{"'Sheet1'!$L$16"}</definedName>
    <definedName name="hẻy" hidden="1">{"'Sheet1'!$L$16"}</definedName>
    <definedName name="hfgh" localSheetId="3" hidden="1">{"'Sheet1'!$L$16"}</definedName>
    <definedName name="hfgh" hidden="1">{"'Sheet1'!$L$16"}</definedName>
    <definedName name="HFGHFGHDG" localSheetId="3" hidden="1">{"'Sheet1'!$L$16"}</definedName>
    <definedName name="HFGHFGHDG" hidden="1">{"'Sheet1'!$L$16"}</definedName>
    <definedName name="hfgsdf" localSheetId="3" hidden="1">{"'Sheet1'!$L$16"}</definedName>
    <definedName name="hfgsdf" hidden="1">{"'Sheet1'!$L$16"}</definedName>
    <definedName name="hfhrfhf" localSheetId="3" hidden="1">{"'Sheet1'!$L$16"}</definedName>
    <definedName name="hfhrfhf" hidden="1">{"'Sheet1'!$L$16"}</definedName>
    <definedName name="hfjjgjgjg" localSheetId="3" hidden="1">{"'Sheet1'!$L$16"}</definedName>
    <definedName name="hfjjgjgjg" hidden="1">{"'Sheet1'!$L$16"}</definedName>
    <definedName name="hfvg" localSheetId="3" hidden="1">{"'Sheet1'!$L$16"}</definedName>
    <definedName name="hfvg" hidden="1">{"'Sheet1'!$L$16"}</definedName>
    <definedName name="hg" localSheetId="3" hidden="1">{"'Sheet1'!$L$16"}</definedName>
    <definedName name="hg" hidden="1">{"'Sheet1'!$L$16"}</definedName>
    <definedName name="HGDHDFG" localSheetId="3" hidden="1">{"'Sheet1'!$L$16"}</definedName>
    <definedName name="HGDHDFG" hidden="1">{"'Sheet1'!$L$16"}</definedName>
    <definedName name="hgfagl" localSheetId="3" hidden="1">#REF!</definedName>
    <definedName name="hgfagl" hidden="1">#REF!</definedName>
    <definedName name="HGFGJHG" localSheetId="3" hidden="1">{"'Sheet1'!$L$16"}</definedName>
    <definedName name="HGFGJHG" hidden="1">{"'Sheet1'!$L$16"}</definedName>
    <definedName name="HGF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localSheetId="3" hidden="1">{"'Sheet1'!$L$16"}</definedName>
    <definedName name="hgg" hidden="1">{"'Sheet1'!$L$16"}</definedName>
    <definedName name="hggg" localSheetId="3" hidden="1">{"'Sheet1'!$L$16"}</definedName>
    <definedName name="hggg" hidden="1">{"'Sheet1'!$L$16"}</definedName>
    <definedName name="hgggggggggggggg" localSheetId="3" hidden="1">{"'Sheet1'!$L$16"}</definedName>
    <definedName name="hgggggggggggggg" hidden="1">{"'Sheet1'!$L$16"}</definedName>
    <definedName name="hggjgjh" localSheetId="3" hidden="1">#REF!</definedName>
    <definedName name="hggjgjh" hidden="1">#REF!</definedName>
    <definedName name="hgh" localSheetId="3" hidden="1">{"'Sheet1'!$L$16"}</definedName>
    <definedName name="hgh" hidden="1">{"'Sheet1'!$L$16"}</definedName>
    <definedName name="hghg" localSheetId="3" hidden="1">#REF!</definedName>
    <definedName name="hghg" hidden="1">#REF!</definedName>
    <definedName name="hght" localSheetId="3" hidden="1">{"'Sheet1'!$L$16"}</definedName>
    <definedName name="hght" hidden="1">{"'Sheet1'!$L$16"}</definedName>
    <definedName name="hgj" localSheetId="3" hidden="1">{#N/A,#N/A,FALSE,"Chi tiÆt"}</definedName>
    <definedName name="hgj" hidden="1">{#N/A,#N/A,FALSE,"Chi tiÆt"}</definedName>
    <definedName name="hgjhkh" localSheetId="3" hidden="1">{"'Sheet1'!$L$16"}</definedName>
    <definedName name="hgjhkh" hidden="1">{"'Sheet1'!$L$16"}</definedName>
    <definedName name="hgre_zdfhgfd" localSheetId="3" hidden="1">{"'Sheet1'!$L$16"}</definedName>
    <definedName name="hgre_zdfhgfd" hidden="1">{"'Sheet1'!$L$16"}</definedName>
    <definedName name="hgtgftryt" localSheetId="3" hidden="1">{"'Sheet1'!$L$16"}</definedName>
    <definedName name="hgtgftryt" hidden="1">{"'Sheet1'!$L$16"}</definedName>
    <definedName name="hhb" localSheetId="3" hidden="1">{"'Sheet1'!$L$16"}</definedName>
    <definedName name="hhb" hidden="1">{"'Sheet1'!$L$16"}</definedName>
    <definedName name="hhgggggg" localSheetId="3" hidden="1">{"'Sheet1'!$L$16"}</definedName>
    <definedName name="hhgggggg" hidden="1">{"'Sheet1'!$L$16"}</definedName>
    <definedName name="hhh" localSheetId="3" hidden="1">{"'Sheet1'!$L$16"}</definedName>
    <definedName name="hhh" hidden="1">{"'Sheet1'!$L$16"}</definedName>
    <definedName name="hhhhh" localSheetId="3" hidden="1">#REF!</definedName>
    <definedName name="hhhhh" hidden="1">#REF!</definedName>
    <definedName name="HHHHHH" localSheetId="3" hidden="1">{#N/A,#N/A,TRUE,"SUM";#N/A,#N/A,TRUE,"EE";#N/A,#N/A,TRUE,"AC";#N/A,#N/A,TRUE,"SN"}</definedName>
    <definedName name="HHHHHH" hidden="1">{#N/A,#N/A,TRUE,"SUM";#N/A,#N/A,TRUE,"EE";#N/A,#N/A,TRUE,"AC";#N/A,#N/A,TRUE,"SN"}</definedName>
    <definedName name="hhhhhhhhh" localSheetId="3" hidden="1">{"'Sheet1'!$L$16"}</definedName>
    <definedName name="hhhhhhhhh" hidden="1">{"'Sheet1'!$L$16"}</definedName>
    <definedName name="hhhhhhhhhhhhhhhh" localSheetId="3" hidden="1">{"'Sheet1'!$L$16"}</definedName>
    <definedName name="hhhhhhhhhhhhhhhh" hidden="1">{"'Sheet1'!$L$16"}</definedName>
    <definedName name="hhhhhhhhhhhhhhhhhhhh" localSheetId="3" hidden="1">{"'Sheet1'!$L$16"}</definedName>
    <definedName name="hhhhhhhhhhhhhhhhhhhh" hidden="1">{"'Sheet1'!$L$16"}</definedName>
    <definedName name="hhhhhu" localSheetId="3" hidden="1">{"'Sheet1'!$L$16"}</definedName>
    <definedName name="hhhhhu" hidden="1">{"'Sheet1'!$L$16"}</definedName>
    <definedName name="hhhlll" localSheetId="3" hidden="1">{"'Sheet1'!$L$16"}</definedName>
    <definedName name="hhhlll" hidden="1">{"'Sheet1'!$L$16"}</definedName>
    <definedName name="hhjj" localSheetId="3" hidden="1">{"'Sheet1'!$L$16"}</definedName>
    <definedName name="hhjj" hidden="1">{"'Sheet1'!$L$16"}</definedName>
    <definedName name="hhkl" localSheetId="3" hidden="1">{"'Sheet1'!$L$16"}</definedName>
    <definedName name="hhkl" hidden="1">{"'Sheet1'!$L$16"}</definedName>
    <definedName name="HiddenRows" localSheetId="3" hidden="1">#REF!</definedName>
    <definedName name="HiddenRows" hidden="1">#REF!</definedName>
    <definedName name="hiep" localSheetId="3" hidden="1">{"'Sheet1'!$L$16"}</definedName>
    <definedName name="hiep" hidden="1">{"'Sheet1'!$L$16"}</definedName>
    <definedName name="hiept2" localSheetId="3" hidden="1">{"'Sheet1'!$L$16"}</definedName>
    <definedName name="hiept2" hidden="1">{"'Sheet1'!$L$16"}</definedName>
    <definedName name="hj" localSheetId="3" hidden="1">{"'Sheet1'!$L$16"}</definedName>
    <definedName name="hj" hidden="1">{"'Sheet1'!$L$16"}</definedName>
    <definedName name="HJFGHGDH" localSheetId="3" hidden="1">{"NGUYEN QUI THIEP - Personal View",#N/A,FALSE,"XDCB.HT.FUR."}</definedName>
    <definedName name="HJFGHGDH" hidden="1">{"NGUYEN QUI THIEP - Personal View",#N/A,FALSE,"XDCB.HT.FUR."}</definedName>
    <definedName name="HJGH" localSheetId="3" hidden="1">#REF!</definedName>
    <definedName name="HJGH" hidden="1">#REF!</definedName>
    <definedName name="hjh" localSheetId="3" hidden="1">{"'Sheet1'!$L$16"}</definedName>
    <definedName name="hjh" hidden="1">{"'Sheet1'!$L$16"}</definedName>
    <definedName name="HJHH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localSheetId="3" hidden="1">{"'Sheet1'!$L$16"}</definedName>
    <definedName name="HJHHJHHHJ" hidden="1">{"'Sheet1'!$L$16"}</definedName>
    <definedName name="hjhj" localSheetId="3" hidden="1">{#N/A,#N/A,FALSE,"Chi tiÆt"}</definedName>
    <definedName name="hjhj" hidden="1">{#N/A,#N/A,FALSE,"Chi tiÆt"}</definedName>
    <definedName name="HJJ" hidden="1">[3]Quantity!#REF!</definedName>
    <definedName name="hjjkl" localSheetId="3" hidden="1">{"'Sheet1'!$L$16"}</definedName>
    <definedName name="hjjkl" hidden="1">{"'Sheet1'!$L$16"}</definedName>
    <definedName name="hjjpu" localSheetId="3" hidden="1">{"'Sheet1'!$L$16"}</definedName>
    <definedName name="hjjpu" hidden="1">{"'Sheet1'!$L$16"}</definedName>
    <definedName name="hjjþu" localSheetId="3" hidden="1">{"'Sheet1'!$L$16"}</definedName>
    <definedName name="hjjþu" hidden="1">{"'Sheet1'!$L$16"}</definedName>
    <definedName name="hjk" localSheetId="3" hidden="1">{"'Sheet1'!$L$16"}</definedName>
    <definedName name="hjk" hidden="1">{"'Sheet1'!$L$16"}</definedName>
    <definedName name="hjkfy" localSheetId="3" hidden="1">#REF!</definedName>
    <definedName name="hjkfy" hidden="1">#REF!</definedName>
    <definedName name="hjkk" localSheetId="3" hidden="1">{"'Sheet1'!$L$16"}</definedName>
    <definedName name="hjkk" hidden="1">{"'Sheet1'!$L$16"}</definedName>
    <definedName name="hjkl" localSheetId="3" hidden="1">{"'Sheet1'!$L$16"}</definedName>
    <definedName name="hjkl" hidden="1">{"'Sheet1'!$L$16"}</definedName>
    <definedName name="hjkrtyyui" localSheetId="3" hidden="1">#REF!</definedName>
    <definedName name="hjkrtyyui" hidden="1">#REF!</definedName>
    <definedName name="HJTHE" localSheetId="3" hidden="1">{"'Sheet1'!$L$16"}</definedName>
    <definedName name="HJTHE" hidden="1">{"'Sheet1'!$L$16"}</definedName>
    <definedName name="hjuk" localSheetId="3" hidden="1">{"'Sheet1'!$L$16"}</definedName>
    <definedName name="hjuk" hidden="1">{"'Sheet1'!$L$16"}</definedName>
    <definedName name="hkhkllkjkl" localSheetId="3" hidden="1">{"'Sheet1'!$L$16"}</definedName>
    <definedName name="hkhkllkjkl" hidden="1">{"'Sheet1'!$L$16"}</definedName>
    <definedName name="HKJH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localSheetId="3" hidden="1">{"'Sheet1'!$L$16"}</definedName>
    <definedName name="hkkkfd" hidden="1">{"'Sheet1'!$L$16"}</definedName>
    <definedName name="hklhj" localSheetId="3" hidden="1">{"'Sheet1'!$L$16"}</definedName>
    <definedName name="hklhj" hidden="1">{"'Sheet1'!$L$16"}</definedName>
    <definedName name="hllgljl" localSheetId="3" hidden="1">{"'Sheet1'!$L$16"}</definedName>
    <definedName name="hllgljl" hidden="1">{"'Sheet1'!$L$16"}</definedName>
    <definedName name="HMFDFG" localSheetId="3" hidden="1">{"'Sheet1'!$L$16"}</definedName>
    <definedName name="HMFDFG" hidden="1">{"'Sheet1'!$L$16"}</definedName>
    <definedName name="HMFGMFG" localSheetId="3" hidden="1">{"'Sheet1'!$L$16"}</definedName>
    <definedName name="HMFGMFG" hidden="1">{"'Sheet1'!$L$16"}</definedName>
    <definedName name="hmy" localSheetId="3" hidden="1">{"'Sheet1'!$L$16"}</definedName>
    <definedName name="hmy" hidden="1">{"'Sheet1'!$L$16"}</definedName>
    <definedName name="hoa" localSheetId="3" hidden="1">{"'Sheet1'!$L$16"}</definedName>
    <definedName name="hoa" hidden="1">{"'Sheet1'!$L$16"}</definedName>
    <definedName name="hoan" localSheetId="3" hidden="1">{"'Sheet1'!$L$16"}</definedName>
    <definedName name="hoan" hidden="1">{"'Sheet1'!$L$16"}</definedName>
    <definedName name="hoan1" localSheetId="3" hidden="1">{"'Sheet1'!$L$16"}</definedName>
    <definedName name="hoan1" hidden="1">{"'Sheet1'!$L$16"}</definedName>
    <definedName name="hodaoG11" localSheetId="3" hidden="1">{"'Sheet1'!$L$16"}</definedName>
    <definedName name="hodaoG11" hidden="1">{"'Sheet1'!$L$16"}</definedName>
    <definedName name="hong" localSheetId="3" hidden="1">{"'Sheet1'!$L$16"}</definedName>
    <definedName name="hong" hidden="1">{"'Sheet1'!$L$16"}</definedName>
    <definedName name="hp" localSheetId="3" hidden="1">{"'Sheet1'!$L$16"}</definedName>
    <definedName name="hp" hidden="1">{"'Sheet1'!$L$16"}</definedName>
    <definedName name="HREHRE" localSheetId="3" hidden="1">{"'Sheet1'!$L$16"}</definedName>
    <definedName name="HREHRE" hidden="1">{"'Sheet1'!$L$16"}</definedName>
    <definedName name="hsfhfjh" localSheetId="3" hidden="1">#REF!</definedName>
    <definedName name="hsfhfjh" hidden="1">#REF!</definedName>
    <definedName name="hsruj" localSheetId="3" hidden="1">{"'Sheet1'!$L$16"}</definedName>
    <definedName name="hsruj" hidden="1">{"'Sheet1'!$L$16"}</definedName>
    <definedName name="hsss" localSheetId="3" hidden="1">{"'Sheet1'!$L$16"}</definedName>
    <definedName name="hsss" hidden="1">{"'Sheet1'!$L$16"}</definedName>
    <definedName name="hsu" localSheetId="3" hidden="1">{"'Sheet1'!$L$16"}</definedName>
    <definedName name="hsu" hidden="1">{"'Sheet1'!$L$16"}</definedName>
    <definedName name="hte" localSheetId="3" hidden="1">{"'Sheet1'!$L$16"}</definedName>
    <definedName name="hte" hidden="1">{"'Sheet1'!$L$16"}</definedName>
    <definedName name="htfrju" localSheetId="3" hidden="1">{"'Sheet1'!$L$16"}</definedName>
    <definedName name="htfrju" hidden="1">{"'Sheet1'!$L$16"}</definedName>
    <definedName name="hþ" localSheetId="3" hidden="1">{"'Sheet1'!$L$16"}</definedName>
    <definedName name="hþ" hidden="1">{"'Sheet1'!$L$16"}</definedName>
    <definedName name="HTHTR" localSheetId="3" hidden="1">{"'Sheet1'!$L$16"}</definedName>
    <definedName name="HTHTR" hidden="1">{"'Sheet1'!$L$16"}</definedName>
    <definedName name="hþwr" localSheetId="3" hidden="1">{"'Sheet1'!$L$16"}</definedName>
    <definedName name="hþwr" hidden="1">{"'Sheet1'!$L$16"}</definedName>
    <definedName name="htlm" localSheetId="3" hidden="1">{"'Sheet1'!$L$16"}</definedName>
    <definedName name="htlm" hidden="1">{"'Sheet1'!$L$16"}</definedName>
    <definedName name="htlm1" localSheetId="3" hidden="1">{"'Sheet1'!$L$16"}</definedName>
    <definedName name="htlm1" hidden="1">{"'Sheet1'!$L$16"}</definedName>
    <definedName name="html" localSheetId="3" hidden="1">{"'Sheet1'!$L$16"}</definedName>
    <definedName name="html" hidden="1">{"'Sheet1'!$L$16"}</definedName>
    <definedName name="HTML_C" localSheetId="3" hidden="1">{"'Sheet1'!$L$16"}</definedName>
    <definedName name="HTML_C" hidden="1">{"'Sheet1'!$L$16"}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Control_1" localSheetId="3" hidden="1">{"'Sheet1'!$L$16"}</definedName>
    <definedName name="HTML_Control_1" hidden="1">{"'Sheet1'!$L$16"}</definedName>
    <definedName name="html_control_xoa2" localSheetId="3" hidden="1">{"'Sheet1'!$L$16"}</definedName>
    <definedName name="html_control_xoa2" hidden="1">{"'Sheet1'!$L$16"}</definedName>
    <definedName name="HTML_Control1" localSheetId="3" hidden="1">{"'Sheet1'!$L$16"}</definedName>
    <definedName name="HTML_Control1" hidden="1">{"'Sheet1'!$L$16"}</definedName>
    <definedName name="HTML_Controlmoi" localSheetId="3" hidden="1">{"'Sheet1'!$L$16"}</definedName>
    <definedName name="HTML_Controlmoi" hidden="1">{"'Sheet1'!$L$16"}</definedName>
    <definedName name="HTML_D" localSheetId="3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localSheetId="3" hidden="1">{"'Sheet1'!$L$16"}</definedName>
    <definedName name="html2" hidden="1">{"'Sheet1'!$L$16"}</definedName>
    <definedName name="HTMLcpnmtrol" localSheetId="3" hidden="1">{"'Sheet1'!$L$16"}</definedName>
    <definedName name="HTMLcpnmtrol" hidden="1">{"'Sheet1'!$L$16"}</definedName>
    <definedName name="htmll" localSheetId="3" hidden="1">{"'Sheet1'!$L$16"}</definedName>
    <definedName name="htmll" hidden="1">{"'Sheet1'!$L$16"}</definedName>
    <definedName name="HTMLmoi" localSheetId="3" hidden="1">{"'Sheet1'!$L$16"}</definedName>
    <definedName name="HTMLmoi" hidden="1">{"'Sheet1'!$L$16"}</definedName>
    <definedName name="htrdi" localSheetId="3" hidden="1">{"'Sheet1'!$L$16"}</definedName>
    <definedName name="htrdi" hidden="1">{"'Sheet1'!$L$16"}</definedName>
    <definedName name="htrhrt" localSheetId="3" hidden="1">{"'Sheet1'!$L$16"}</definedName>
    <definedName name="htrhrt" hidden="1">{"'Sheet1'!$L$16"}</definedName>
    <definedName name="hu" localSheetId="3" hidden="1">{"'Sheet1'!$L$16"}</definedName>
    <definedName name="hu" hidden="1">{"'Sheet1'!$L$16"}</definedName>
    <definedName name="hue" localSheetId="3" hidden="1">{"'Sheet1'!$L$16"}</definedName>
    <definedName name="hue" hidden="1">{"'Sheet1'!$L$16"}</definedName>
    <definedName name="HU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localSheetId="3" hidden="1">{"'Sheet1'!$L$16"}</definedName>
    <definedName name="hui" hidden="1">{"'Sheet1'!$L$16"}</definedName>
    <definedName name="hung" localSheetId="3" hidden="1">{"'Sheet1'!$L$16"}</definedName>
    <definedName name="hung" hidden="1">{"'Sheet1'!$L$16"}</definedName>
    <definedName name="hung118" localSheetId="3" hidden="1">{"'Sheet1'!$L$16"}</definedName>
    <definedName name="hung118" hidden="1">{"'Sheet1'!$L$16"}</definedName>
    <definedName name="hung3" localSheetId="3" hidden="1">{"'Sheet1'!$L$16"}</definedName>
    <definedName name="hung3" hidden="1">{"'Sheet1'!$L$16"}</definedName>
    <definedName name="huong" localSheetId="3" hidden="1">{"'Sheet1'!$L$16"}</definedName>
    <definedName name="huong" hidden="1">{"'Sheet1'!$L$16"}</definedName>
    <definedName name="huu" localSheetId="3" hidden="1">{"'Sheet1'!$L$16"}</definedName>
    <definedName name="huu" hidden="1">{"'Sheet1'!$L$16"}</definedName>
    <definedName name="huuu" localSheetId="3" hidden="1">{"'Sheet1'!$L$16"}</definedName>
    <definedName name="huuu" hidden="1">{"'Sheet1'!$L$16"}</definedName>
    <definedName name="huy" localSheetId="3" hidden="1">{"'Sheet1'!$L$16"}</definedName>
    <definedName name="huy" hidden="1">{"'Sheet1'!$L$16"}</definedName>
    <definedName name="huy_1" localSheetId="3" hidden="1">{"'Sheet1'!$L$16"}</definedName>
    <definedName name="huy_1" hidden="1">{"'Sheet1'!$L$16"}</definedName>
    <definedName name="huy_xoa" localSheetId="3" hidden="1">{"'Sheet1'!$L$16"}</definedName>
    <definedName name="huy_xoa" hidden="1">{"'Sheet1'!$L$16"}</definedName>
    <definedName name="huy_xoa2" localSheetId="3" hidden="1">{"'Sheet1'!$L$16"}</definedName>
    <definedName name="huy_xoa2" hidden="1">{"'Sheet1'!$L$16"}</definedName>
    <definedName name="huy1moi" localSheetId="3" hidden="1">{"'Sheet1'!$L$16"}</definedName>
    <definedName name="huy1moi" hidden="1">{"'Sheet1'!$L$16"}</definedName>
    <definedName name="huyen" localSheetId="3" hidden="1">{"'Sheet1'!$L$16"}</definedName>
    <definedName name="huyen" hidden="1">{"'Sheet1'!$L$16"}</definedName>
    <definedName name="huyhu" localSheetId="3" hidden="1">{"'Sheet1'!$L$16"}</definedName>
    <definedName name="huyhu" hidden="1">{"'Sheet1'!$L$16"}</definedName>
    <definedName name="huymoi" localSheetId="3" hidden="1">{"'Sheet1'!$L$16"}</definedName>
    <definedName name="huymoi" hidden="1">{"'Sheet1'!$L$16"}</definedName>
    <definedName name="huynh76" localSheetId="3" hidden="1">{"'Sheet1'!$L$16"}</definedName>
    <definedName name="huynh76" hidden="1">{"'Sheet1'!$L$16"}</definedName>
    <definedName name="HUYØ" localSheetId="3" hidden="1">{"'Sheet1'!$L$16"}</definedName>
    <definedName name="HUYØ" hidden="1">{"'Sheet1'!$L$16"}</definedName>
    <definedName name="hy" localSheetId="3" hidden="1">{"'Sheet1'!$L$16"}</definedName>
    <definedName name="hy" hidden="1">{"'Sheet1'!$L$16"}</definedName>
    <definedName name="hy." localSheetId="3" hidden="1">{"'Sheet1'!$L$16"}</definedName>
    <definedName name="hy." hidden="1">{"'Sheet1'!$L$16"}</definedName>
    <definedName name="I" localSheetId="3" hidden="1">#REF!</definedName>
    <definedName name="I" hidden="1">#REF!</definedName>
    <definedName name="Ìag" localSheetId="3" hidden="1">{"'Sheet1'!$L$16"}</definedName>
    <definedName name="Ìag" hidden="1">{"'Sheet1'!$L$16"}</definedName>
    <definedName name="Îe" localSheetId="3" hidden="1">{"Offgrid",#N/A,FALSE,"OFFGRID";"Region",#N/A,FALSE,"REGION";"Offgrid -2",#N/A,FALSE,"OFFGRID";"WTP",#N/A,FALSE,"WTP";"WTP -2",#N/A,FALSE,"WTP";"Project",#N/A,FALSE,"PROJECT";"Summary -2",#N/A,FALSE,"SUMMARY"}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localSheetId="3" hidden="1">{"'Sheet1'!$L$16"}</definedName>
    <definedName name="iEN" hidden="1">{"'Sheet1'!$L$16"}</definedName>
    <definedName name="ïgvghj" localSheetId="3" hidden="1">{"'Sheet1'!$L$16"}</definedName>
    <definedName name="ïgvghj" hidden="1">{"'Sheet1'!$L$16"}</definedName>
    <definedName name="III" localSheetId="3" hidden="1">{"'Sheet1'!$L$16"}</definedName>
    <definedName name="III" hidden="1">{"'Sheet1'!$L$16"}</definedName>
    <definedName name="ijhgfddffth" localSheetId="3" hidden="1">{"'Sheet1'!$L$16"}</definedName>
    <definedName name="ijhgfddffth" hidden="1">{"'Sheet1'!$L$16"}</definedName>
    <definedName name="ik" localSheetId="3" hidden="1">{"'Sheet1'!$L$16"}</definedName>
    <definedName name="ik" hidden="1">{"'Sheet1'!$L$16"}</definedName>
    <definedName name="INDIRECT_COST" localSheetId="3" hidden="1">#REF!</definedName>
    <definedName name="INDIRECT_COST" hidden="1">#REF!</definedName>
    <definedName name="ioi" localSheetId="3" hidden="1">{"'Sheet1'!$L$16"}</definedName>
    <definedName name="ioi" hidden="1">{"'Sheet1'!$L$16"}</definedName>
    <definedName name="ipoi" localSheetId="3" hidden="1">{"'Sheet1'!$L$16"}</definedName>
    <definedName name="ipoi" hidden="1">{"'Sheet1'!$L$16"}</definedName>
    <definedName name="it" localSheetId="3" hidden="1">{"'Sheet1'!$L$16"}</definedName>
    <definedName name="it" hidden="1">{"'Sheet1'!$L$16"}</definedName>
    <definedName name="­Îtfyuh678" localSheetId="3" hidden="1">#REF!</definedName>
    <definedName name="­Îtfyuh678" hidden="1">#REF!</definedName>
    <definedName name="ịth" localSheetId="3" hidden="1">{"'Sheet1'!$L$16"}</definedName>
    <definedName name="ịth" hidden="1">{"'Sheet1'!$L$16"}</definedName>
    <definedName name="iuliupoui" localSheetId="3" hidden="1">{"'Sheet1'!$L$16"}</definedName>
    <definedName name="iuliupoui" hidden="1">{"'Sheet1'!$L$16"}</definedName>
    <definedName name="iwer" localSheetId="3" hidden="1">{"'Sheet1'!$L$16"}</definedName>
    <definedName name="iwer" hidden="1">{"'Sheet1'!$L$16"}</definedName>
    <definedName name="iylryi" localSheetId="3" hidden="1">{"'Sheet1'!$L$16"}</definedName>
    <definedName name="iylryi" hidden="1">{"'Sheet1'!$L$16"}</definedName>
    <definedName name="J" localSheetId="3" hidden="1">#REF!</definedName>
    <definedName name="J" hidden="1">#REF!</definedName>
    <definedName name="jæít" localSheetId="3" hidden="1">{"'Sheet1'!$L$16"}</definedName>
    <definedName name="jæít" hidden="1">{"'Sheet1'!$L$16"}</definedName>
    <definedName name="JDFHDH" localSheetId="3" hidden="1">{"'Sheet1'!$L$16"}</definedName>
    <definedName name="JDFHDH" hidden="1">{"'Sheet1'!$L$16"}</definedName>
    <definedName name="JDJDJ" localSheetId="3" hidden="1">{"Offgrid",#N/A,FALSE,"OFFGRID";"Region",#N/A,FALSE,"REGION";"Offgrid -2",#N/A,FALSE,"OFFGRID";"WTP",#N/A,FALSE,"WTP";"WTP -2",#N/A,FALSE,"WTP";"Project",#N/A,FALSE,"PROJECT";"Summary -2",#N/A,FALSE,"SUMMARY"}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localSheetId="3" hidden="1">{"'Sheet1'!$L$16"}</definedName>
    <definedName name="jdk" hidden="1">{"'Sheet1'!$L$16"}</definedName>
    <definedName name="jfgsdf" localSheetId="3" hidden="1">{"'Sheet1'!$L$16"}</definedName>
    <definedName name="jfgsdf" hidden="1">{"'Sheet1'!$L$16"}</definedName>
    <definedName name="JF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localSheetId="3" hidden="1">{"'Sheet1'!$L$16"}</definedName>
    <definedName name="JFJFGHG" hidden="1">{"'Sheet1'!$L$16"}</definedName>
    <definedName name="jgdhj" localSheetId="3" hidden="1">#REF!</definedName>
    <definedName name="jgdhj" hidden="1">#REF!</definedName>
    <definedName name="jggui78" localSheetId="3" hidden="1">{"'Sheet1'!$L$16"}</definedName>
    <definedName name="jggui78" hidden="1">{"'Sheet1'!$L$16"}</definedName>
    <definedName name="JGHJFHJJ" localSheetId="3" hidden="1">{"'Sheet1'!$L$16"}</definedName>
    <definedName name="JGHJFHJJ" hidden="1">{"'Sheet1'!$L$16"}</definedName>
    <definedName name="jght" localSheetId="3" hidden="1">{"'Sheet1'!$L$16"}</definedName>
    <definedName name="jght" hidden="1">{"'Sheet1'!$L$16"}</definedName>
    <definedName name="JH" localSheetId="3" hidden="1">{"'Sheet1'!$L$16"}</definedName>
    <definedName name="JH" hidden="1">{"'Sheet1'!$L$16"}</definedName>
    <definedName name="jh." localSheetId="3" hidden="1">{"'Sheet1'!$L$16"}</definedName>
    <definedName name="jh." hidden="1">{"'Sheet1'!$L$16"}</definedName>
    <definedName name="jhfgh" localSheetId="3" hidden="1">{0,0,0,0;0,0,0,0;0,0,0,0;0,0,0,0;0,0,0,0;0,0,0,0;0,0,0,0}</definedName>
    <definedName name="jhfgh" hidden="1">{0,0,0,0;0,0,0,0;0,0,0,0;0,0,0,0;0,0,0,0;0,0,0,0;0,0,0,0}</definedName>
    <definedName name="JHG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localSheetId="3" hidden="1">{"'Sheet1'!$L$16"}</definedName>
    <definedName name="JHJ" hidden="1">{"'Sheet1'!$L$16"}</definedName>
    <definedName name="jhk" localSheetId="3" hidden="1">{"'Sheet1'!$L$16"}</definedName>
    <definedName name="jhk" hidden="1">{"'Sheet1'!$L$16"}</definedName>
    <definedName name="jhkj" localSheetId="3" hidden="1">{#N/A,#N/A,FALSE,"Chi tiÆt"}</definedName>
    <definedName name="jhkj" hidden="1">{#N/A,#N/A,FALSE,"Chi tiÆt"}</definedName>
    <definedName name="jhn" localSheetId="3" hidden="1">{"'Sheet1'!$L$16"}</definedName>
    <definedName name="jhn" hidden="1">{"'Sheet1'!$L$16"}</definedName>
    <definedName name="jjj" localSheetId="3" hidden="1">{#N/A,#N/A,FALSE,"Sheet1"}</definedName>
    <definedName name="jjj" hidden="1">{#N/A,#N/A,FALSE,"Sheet1"}</definedName>
    <definedName name="jjjjj" localSheetId="3" hidden="1">{"'Sheet1'!$L$16"}</definedName>
    <definedName name="jjjjj" hidden="1">{"'Sheet1'!$L$16"}</definedName>
    <definedName name="jjjjjjj" localSheetId="3" hidden="1">{"'Sheet1'!$L$16"}</definedName>
    <definedName name="jjjjjjj" hidden="1">{"'Sheet1'!$L$16"}</definedName>
    <definedName name="jjjjjjjjj" localSheetId="3" hidden="1">{0}</definedName>
    <definedName name="jjjjjjjjj" hidden="1">{0}</definedName>
    <definedName name="jjjjjjjjjjjjj" localSheetId="3" hidden="1">{"'Sheet1'!$L$16"}</definedName>
    <definedName name="jjjjjjjjjjjjj" hidden="1">{"'Sheet1'!$L$16"}</definedName>
    <definedName name="JJJJJJJJJJJJJJJJJJJJ" localSheetId="3" hidden="1">#REF!</definedName>
    <definedName name="JJJJJJJJJJJJJJJJJJJJ" hidden="1">#REF!</definedName>
    <definedName name="jjkk" localSheetId="3" hidden="1">{"'Sheet1'!$L$16"}</definedName>
    <definedName name="jjkk" hidden="1">{"'Sheet1'!$L$16"}</definedName>
    <definedName name="JKDFSJCSDKJ" localSheetId="3" hidden="1">{#N/A,#N/A,TRUE,"SUM";#N/A,#N/A,TRUE,"EE";#N/A,#N/A,TRUE,"AC";#N/A,#N/A,TRUE,"SN"}</definedName>
    <definedName name="JKDFSJCSDKJ" hidden="1">{#N/A,#N/A,TRUE,"SUM";#N/A,#N/A,TRUE,"EE";#N/A,#N/A,TRUE,"AC";#N/A,#N/A,TRUE,"SN"}</definedName>
    <definedName name="jkgjkhk" localSheetId="3" hidden="1">{"'Sheet1'!$L$16"}</definedName>
    <definedName name="jkgjkhk" hidden="1">{"'Sheet1'!$L$16"}</definedName>
    <definedName name="JKH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localSheetId="3" hidden="1">{"'Sheet1'!$L$16"}</definedName>
    <definedName name="jkij7899" hidden="1">{"'Sheet1'!$L$16"}</definedName>
    <definedName name="jkjhk" localSheetId="3" hidden="1">{"'Sheet1'!$L$16"}</definedName>
    <definedName name="jkjhk" hidden="1">{"'Sheet1'!$L$16"}</definedName>
    <definedName name="JKJK" localSheetId="3" hidden="1">{"'Sheet1'!$L$16"}</definedName>
    <definedName name="JKJK" hidden="1">{"'Sheet1'!$L$16"}</definedName>
    <definedName name="jkjkj" localSheetId="3" hidden="1">{"'Sheet1'!$L$16"}</definedName>
    <definedName name="jkjkj" hidden="1">{"'Sheet1'!$L$16"}</definedName>
    <definedName name="jkkk" localSheetId="3" hidden="1">{"'Sheet1'!$L$16"}</definedName>
    <definedName name="jkkk" hidden="1">{"'Sheet1'!$L$16"}</definedName>
    <definedName name="jkl" localSheetId="3" hidden="1">{"'Sheet1'!$L$16"}</definedName>
    <definedName name="jkl" hidden="1">{"'Sheet1'!$L$16"}</definedName>
    <definedName name="jkljk" localSheetId="3" hidden="1">{"'Sheet1'!$L$16"}</definedName>
    <definedName name="jkljk" hidden="1">{"'Sheet1'!$L$16"}</definedName>
    <definedName name="jkljkl" localSheetId="3" hidden="1">#REF!</definedName>
    <definedName name="jkljkl" hidden="1">#REF!</definedName>
    <definedName name="JLJKL" localSheetId="3" hidden="1">{"'Sheet1'!$L$16"}</definedName>
    <definedName name="JLJKL" hidden="1">{"'Sheet1'!$L$16"}</definedName>
    <definedName name="jljl" localSheetId="3" hidden="1">{"'Sheet1'!$L$16"}</definedName>
    <definedName name="jljl" hidden="1">{"'Sheet1'!$L$16"}</definedName>
    <definedName name="jo" localSheetId="3" hidden="1">{"'Sheet1'!$L$16"}</definedName>
    <definedName name="jo" hidden="1">{"'Sheet1'!$L$16"}</definedName>
    <definedName name="jrd" localSheetId="3" hidden="1">{"'Sheet1'!$L$16"}</definedName>
    <definedName name="jrd" hidden="1">{"'Sheet1'!$L$16"}</definedName>
    <definedName name="JRY" localSheetId="3" hidden="1">{"'Sheet1'!$L$16"}</definedName>
    <definedName name="JRY" hidden="1">{"'Sheet1'!$L$16"}</definedName>
    <definedName name="jsdh" localSheetId="3" hidden="1">{"'Sheet1'!$L$16"}</definedName>
    <definedName name="jsdh" hidden="1">{"'Sheet1'!$L$16"}</definedName>
    <definedName name="jsdjs" localSheetId="3" hidden="1">{"'Sheet1'!$L$16"}</definedName>
    <definedName name="jsdjs" hidden="1">{"'Sheet1'!$L$16"}</definedName>
    <definedName name="jsryj" localSheetId="3" hidden="1">{"'Sheet1'!$L$16"}</definedName>
    <definedName name="jsryj" hidden="1">{"'Sheet1'!$L$16"}</definedName>
    <definedName name="jt" localSheetId="3" hidden="1">{"'Sheet1'!$L$16"}</definedName>
    <definedName name="jt" hidden="1">{"'Sheet1'!$L$16"}</definedName>
    <definedName name="JTDEYW" localSheetId="3" hidden="1">{"'Sheet1'!$L$16"}</definedName>
    <definedName name="JTDEYW" hidden="1">{"'Sheet1'!$L$16"}</definedName>
    <definedName name="jtru" localSheetId="3" hidden="1">{"'Sheet1'!$L$16"}</definedName>
    <definedName name="jtru" hidden="1">{"'Sheet1'!$L$16"}</definedName>
    <definedName name="jtyk" localSheetId="3" hidden="1">{"'Sheet1'!$L$16"}</definedName>
    <definedName name="jtyk" hidden="1">{"'Sheet1'!$L$16"}</definedName>
    <definedName name="jufyk" localSheetId="3" hidden="1">{"'Sheet1'!$L$16"}</definedName>
    <definedName name="jufyk" hidden="1">{"'Sheet1'!$L$16"}</definedName>
    <definedName name="JYJYTJYT" localSheetId="3" hidden="1">{"NGUYEN QUI THIEP - Personal View",#N/A,FALSE,"XDCB.HT.FUR."}</definedName>
    <definedName name="JYJYTJYT" hidden="1">{"NGUYEN QUI THIEP - Personal View",#N/A,FALSE,"XDCB.HT.FUR."}</definedName>
    <definedName name="jyu" localSheetId="3" hidden="1">{"'Sheet1'!$L$16"}</definedName>
    <definedName name="jyu" hidden="1">{"'Sheet1'!$L$16"}</definedName>
    <definedName name="jyuk" localSheetId="3" hidden="1">{"'Sheet1'!$L$16"}</definedName>
    <definedName name="jyuk" hidden="1">{"'Sheet1'!$L$16"}</definedName>
    <definedName name="jýỵy" localSheetId="3" hidden="1">{"'Sheet1'!$L$16"}</definedName>
    <definedName name="jýỵy" hidden="1">{"'Sheet1'!$L$16"}</definedName>
    <definedName name="K.viecBAHUNG" localSheetId="3" hidden="1">{"'Sheet1'!$L$16"}</definedName>
    <definedName name="K.viecBAHUNG" hidden="1">{"'Sheet1'!$L$16"}</definedName>
    <definedName name="k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localSheetId="3" hidden="1">{"'Sheet1'!$L$16"}</definedName>
    <definedName name="kb" hidden="1">{"'Sheet1'!$L$16"}</definedName>
    <definedName name="KCThep" localSheetId="3" hidden="1">{"'Sheet1'!$L$16"}</definedName>
    <definedName name="KCThep" hidden="1">{"'Sheet1'!$L$16"}</definedName>
    <definedName name="kdkk" localSheetId="3" hidden="1">{"'Sheet1'!$L$16"}</definedName>
    <definedName name="kdkk" hidden="1">{"'Sheet1'!$L$16"}</definedName>
    <definedName name="ke" localSheetId="3" hidden="1">#REF!</definedName>
    <definedName name="ke" hidden="1">#REF!</definedName>
    <definedName name="kehoachkhoiluong05" localSheetId="3" hidden="1">{"'Sheet1'!$L$16"}</definedName>
    <definedName name="kehoachkhoiluong05" hidden="1">{"'Sheet1'!$L$16"}</definedName>
    <definedName name="kfrl" localSheetId="3" hidden="1">{"'Sheet1'!$L$16"}</definedName>
    <definedName name="kfrl" hidden="1">{"'Sheet1'!$L$16"}</definedName>
    <definedName name="KFTCGN" localSheetId="3" hidden="1">{"'Sheet1'!$L$16"}</definedName>
    <definedName name="KFTCGN" hidden="1">{"'Sheet1'!$L$16"}</definedName>
    <definedName name="kg_m2" localSheetId="3" hidden="1">#REF!</definedName>
    <definedName name="kg_m2" hidden="1">#REF!</definedName>
    <definedName name="khang" localSheetId="3" hidden="1">{"'Sheet1'!$L$16"}</definedName>
    <definedName name="khang" hidden="1">{"'Sheet1'!$L$16"}</definedName>
    <definedName name="khanh" localSheetId="3" hidden="1">{"'Sheet1'!$L$16"}</definedName>
    <definedName name="khanh" hidden="1">{"'Sheet1'!$L$16"}</definedName>
    <definedName name="KHANHKHUNG" localSheetId="3" hidden="1">{"'Sheet1'!$L$16"}</definedName>
    <definedName name="KHANHKHUNG" hidden="1">{"'Sheet1'!$L$16"}</definedName>
    <definedName name="KHBTsua" localSheetId="3" hidden="1">{"'Sheet1'!$L$16"}</definedName>
    <definedName name="KHBTsua" hidden="1">{"'Sheet1'!$L$16"}</definedName>
    <definedName name="khin" localSheetId="3" hidden="1">{"'Sheet1'!$L$16"}</definedName>
    <definedName name="khin" hidden="1">{"'Sheet1'!$L$16"}</definedName>
    <definedName name="KHJ" localSheetId="3" hidden="1">#REF!</definedName>
    <definedName name="KHJ" hidden="1">#REF!</definedName>
    <definedName name="khkh" localSheetId="3" hidden="1">{"'Sheet1'!$L$16"}</definedName>
    <definedName name="khkh" hidden="1">{"'Sheet1'!$L$16"}</definedName>
    <definedName name="khkttt" localSheetId="3" hidden="1">{"'Sheet1'!$L$16"}</definedName>
    <definedName name="khkttt" hidden="1">{"'Sheet1'!$L$16"}</definedName>
    <definedName name="KhongCT" localSheetId="3" hidden="1">{"'Sheet1'!$L$16"}</definedName>
    <definedName name="KhongCT" hidden="1">{"'Sheet1'!$L$16"}</definedName>
    <definedName name="khongtruotgia" localSheetId="3" hidden="1">{"'Sheet1'!$L$16"}</definedName>
    <definedName name="khongtruotgia" hidden="1">{"'Sheet1'!$L$16"}</definedName>
    <definedName name="khuyen" localSheetId="3" hidden="1">{"'Sheet1'!$L$16"}</definedName>
    <definedName name="khuyen" hidden="1">{"'Sheet1'!$L$16"}</definedName>
    <definedName name="ki" localSheetId="3" hidden="1">{"'Sheet1'!$L$16"}</definedName>
    <definedName name="ki" hidden="1">{"'Sheet1'!$L$16"}</definedName>
    <definedName name="kiyddfdr" localSheetId="3" hidden="1">{"'Sheet1'!$L$16"}</definedName>
    <definedName name="kiyddfdr" hidden="1">{"'Sheet1'!$L$16"}</definedName>
    <definedName name="kjhh2" localSheetId="3" hidden="1">{"'Sheet1'!$L$16"}</definedName>
    <definedName name="kjhh2" hidden="1">{"'Sheet1'!$L$16"}</definedName>
    <definedName name="kjjkjgg" localSheetId="3" hidden="1">{"'Sheet1'!$L$16"}</definedName>
    <definedName name="kjjkjgg" hidden="1">{"'Sheet1'!$L$16"}</definedName>
    <definedName name="kjjlll" localSheetId="3" hidden="1">{"'Sheet1'!$L$16"}</definedName>
    <definedName name="kjjlll" hidden="1">{"'Sheet1'!$L$16"}</definedName>
    <definedName name="kjk" localSheetId="3" hidden="1">{"'Sheet1'!$L$16"}</definedName>
    <definedName name="kjk" hidden="1">{"'Sheet1'!$L$16"}</definedName>
    <definedName name="KJYJ" localSheetId="3" hidden="1">#REF!</definedName>
    <definedName name="KJYJ" hidden="1">#REF!</definedName>
    <definedName name="kkgdss" localSheetId="3" hidden="1">{"'Sheet1'!$L$16"}</definedName>
    <definedName name="kkgdss" hidden="1">{"'Sheet1'!$L$16"}</definedName>
    <definedName name="kkk" localSheetId="3" hidden="1">{#N/A,#N/A,FALSE,"特殊室（ＢＱ表）"}</definedName>
    <definedName name="kkk" hidden="1">{#N/A,#N/A,FALSE,"特殊室（ＢＱ表）"}</definedName>
    <definedName name="ｋｋｋ" localSheetId="3" hidden="1">{"'Sheet1'!$L$16"}</definedName>
    <definedName name="ｋｋｋ" hidden="1">{"'Sheet1'!$L$16"}</definedName>
    <definedName name="kkkk" localSheetId="3" hidden="1">{"'Sheet1'!$L$16"}</definedName>
    <definedName name="kkkk" hidden="1">{"'Sheet1'!$L$16"}</definedName>
    <definedName name="kkkkk" localSheetId="3" hidden="1">{"'Sheet1'!$L$16"}</definedName>
    <definedName name="kkkkk" hidden="1">{"'Sheet1'!$L$16"}</definedName>
    <definedName name="kkkkkkkkkk" localSheetId="3" hidden="1">{0}</definedName>
    <definedName name="kkkkkkkkkk" hidden="1">{0}</definedName>
    <definedName name="kkkl" localSheetId="3" hidden="1">{"'Sheet1'!$L$16"}</definedName>
    <definedName name="kkkl" hidden="1">{"'Sheet1'!$L$16"}</definedName>
    <definedName name="kkl" localSheetId="3" hidden="1">{"'Sheet1'!$L$16"}</definedName>
    <definedName name="kkl" hidden="1">{"'Sheet1'!$L$16"}</definedName>
    <definedName name="kkll" localSheetId="3" hidden="1">{"'Sheet1'!$L$16"}</definedName>
    <definedName name="kkll" hidden="1">{"'Sheet1'!$L$16"}</definedName>
    <definedName name="kklll" localSheetId="3" hidden="1">{"'Sheet1'!$L$16"}</definedName>
    <definedName name="kklll" hidden="1">{"'Sheet1'!$L$16"}</definedName>
    <definedName name="kks.t10" localSheetId="3" hidden="1">{"'Sheet1'!$L$16"}</definedName>
    <definedName name="kks.t10" hidden="1">{"'Sheet1'!$L$16"}</definedName>
    <definedName name="KKS.T12" localSheetId="3" hidden="1">{"'Sheet1'!$L$16"}</definedName>
    <definedName name="KKS.T12" hidden="1">{"'Sheet1'!$L$16"}</definedName>
    <definedName name="KL_Cong" localSheetId="3" hidden="1">{"'Sheet1'!$L$16"}</definedName>
    <definedName name="KL_Cong" hidden="1">{"'Sheet1'!$L$16"}</definedName>
    <definedName name="klcn2" localSheetId="3" hidden="1">{"'Sheet1'!$L$16"}</definedName>
    <definedName name="klcn2" hidden="1">{"'Sheet1'!$L$16"}</definedName>
    <definedName name="KLDDII" localSheetId="3" hidden="1">{#N/A,#N/A,FALSE,"Sheet1"}</definedName>
    <definedName name="KLDDII" hidden="1">{#N/A,#N/A,FALSE,"Sheet1"}</definedName>
    <definedName name="KLduonggiaods" localSheetId="3" hidden="1">{"'Sheet1'!$L$16"}</definedName>
    <definedName name="KLduonggiaods" hidden="1">{"'Sheet1'!$L$16"}</definedName>
    <definedName name="klhkl" localSheetId="3" hidden="1">{#N/A,#N/A,FALSE,"CCTV"}</definedName>
    <definedName name="klhkl" hidden="1">{#N/A,#N/A,FALSE,"CCTV"}</definedName>
    <definedName name="klkkj" localSheetId="3" hidden="1">{"'Sheet1'!$L$16"}</definedName>
    <definedName name="klkkj" hidden="1">{"'Sheet1'!$L$16"}</definedName>
    <definedName name="klkklk" localSheetId="3" hidden="1">{#N/A,#N/A,FALSE,"Sheet1";#N/A,#N/A,FALSE,"Sheet3";#N/A,#N/A,FALSE,"Sheet5"}</definedName>
    <definedName name="klkklk" hidden="1">{#N/A,#N/A,FALSE,"Sheet1";#N/A,#N/A,FALSE,"Sheet3";#N/A,#N/A,FALSE,"Sheet5"}</definedName>
    <definedName name="KLLT" localSheetId="3" hidden="1">#REF!</definedName>
    <definedName name="KLLT" hidden="1">#REF!</definedName>
    <definedName name="klm" localSheetId="3" hidden="1">{"'Sheet1'!$L$16"}</definedName>
    <definedName name="klm" hidden="1">{"'Sheet1'!$L$16"}</definedName>
    <definedName name="klmoithau" localSheetId="3" hidden="1">{"Offgrid",#N/A,FALSE,"OFFGRID";"Region",#N/A,FALSE,"REGION";"Offgrid -2",#N/A,FALSE,"OFFGRID";"WTP",#N/A,FALSE,"WTP";"WTP -2",#N/A,FALSE,"WTP";"Project",#N/A,FALSE,"PROJECT";"Summary -2",#N/A,FALSE,"SUMMARY"}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localSheetId="3" hidden="1">{"'Sheet1'!$L$16"}</definedName>
    <definedName name="klmt" hidden="1">{"'Sheet1'!$L$16"}</definedName>
    <definedName name="kltn3" localSheetId="3" hidden="1">{"'Sheet1'!$L$16"}</definedName>
    <definedName name="kltn3" hidden="1">{"'Sheet1'!$L$16"}</definedName>
    <definedName name="Km" localSheetId="3" hidden="1">{"'Sheet1'!$L$16"}</definedName>
    <definedName name="Km" hidden="1">{"'Sheet1'!$L$16"}</definedName>
    <definedName name="KNDAT_CHUA_SU_DUNG" localSheetId="3" hidden="1">#REF!</definedName>
    <definedName name="KNDAT_CHUA_SU_DUNG" hidden="1">#REF!</definedName>
    <definedName name="KP_DBGT_Dang" localSheetId="3" hidden="1">{"'Sheet1'!$L$16"}</definedName>
    <definedName name="KP_DBGT_Dang" hidden="1">{"'Sheet1'!$L$16"}</definedName>
    <definedName name="ks" localSheetId="3" hidden="1">{"'Sheet1'!$L$16"}</definedName>
    <definedName name="ks" hidden="1">{"'Sheet1'!$L$16"}</definedName>
    <definedName name="ksbn" localSheetId="3" hidden="1">{"'Sheet1'!$L$16"}</definedName>
    <definedName name="ksbn" hidden="1">{"'Sheet1'!$L$16"}</definedName>
    <definedName name="KSDA" localSheetId="3" hidden="1">{"'Sheet1'!$L$16"}</definedName>
    <definedName name="KSDA" hidden="1">{"'Sheet1'!$L$16"}</definedName>
    <definedName name="kshn" localSheetId="3" hidden="1">{"'Sheet1'!$L$16"}</definedName>
    <definedName name="kshn" hidden="1">{"'Sheet1'!$L$16"}</definedName>
    <definedName name="ksls" localSheetId="3" hidden="1">{"'Sheet1'!$L$16"}</definedName>
    <definedName name="ksls" hidden="1">{"'Sheet1'!$L$16"}</definedName>
    <definedName name="kstk2" localSheetId="3" hidden="1">{"'Sheet1'!$L$16"}</definedName>
    <definedName name="kstk2" hidden="1">{"'Sheet1'!$L$16"}</definedName>
    <definedName name="KUK" localSheetId="3" hidden="1">#REF!</definedName>
    <definedName name="KUK" hidden="1">#REF!</definedName>
    <definedName name="kukek" localSheetId="3" hidden="1">{"'Sheet1'!$L$16"}</definedName>
    <definedName name="kukek" hidden="1">{"'Sheet1'!$L$16"}</definedName>
    <definedName name="kuklk" localSheetId="3" hidden="1">{"'Sheet1'!$L$16"}</definedName>
    <definedName name="kuklk" hidden="1">{"'Sheet1'!$L$16"}</definedName>
    <definedName name="kutkuk" localSheetId="3" hidden="1">{"'Sheet1'!$L$16"}</definedName>
    <definedName name="kutkuk" hidden="1">{"'Sheet1'!$L$16"}</definedName>
    <definedName name="Kye" localSheetId="3" hidden="1">#REF!</definedName>
    <definedName name="Kye" hidden="1">#REF!</definedName>
    <definedName name="kyk" localSheetId="3" hidden="1">#REF!</definedName>
    <definedName name="kyk" hidden="1">#REF!</definedName>
    <definedName name="KYUKGH" localSheetId="3" hidden="1">{"'Sheet1'!$L$16"}</definedName>
    <definedName name="KYUKGH" hidden="1">{"'Sheet1'!$L$16"}</definedName>
    <definedName name="Lai" localSheetId="3" hidden="1">{"'Sheet1'!$L$16"}</definedName>
    <definedName name="Lai" hidden="1">{"'Sheet1'!$L$16"}</definedName>
    <definedName name="lam" localSheetId="3" hidden="1">{"'Sheet1'!$L$16"}</definedName>
    <definedName name="lam" hidden="1">{"'Sheet1'!$L$16"}</definedName>
    <definedName name="lamduong1" localSheetId="3" hidden="1">{"'Sheet1'!$L$16"}</definedName>
    <definedName name="lamduong1" hidden="1">{"'Sheet1'!$L$16"}</definedName>
    <definedName name="langson" localSheetId="3" hidden="1">{"'Sheet1'!$L$16"}</definedName>
    <definedName name="langson" hidden="1">{"'Sheet1'!$L$16"}</definedName>
    <definedName name="latxay" localSheetId="3" hidden="1">{"'Sheet1'!$L$16"}</definedName>
    <definedName name="latxay" hidden="1">{"'Sheet1'!$L$16"}</definedName>
    <definedName name="le" localSheetId="3" hidden="1">{"'Sheet1'!$L$16"}</definedName>
    <definedName name="le" hidden="1">{"'Sheet1'!$L$16"}</definedName>
    <definedName name="LEEEE" localSheetId="3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localSheetId="3" hidden="1">{"'Sheet1'!$L$16"}</definedName>
    <definedName name="lieu" hidden="1">{"'Sheet1'!$L$16"}</definedName>
    <definedName name="lïhïe" localSheetId="3" hidden="1">{"'Sheet1'!$L$16"}</definedName>
    <definedName name="lïhïe" hidden="1">{"'Sheet1'!$L$16"}</definedName>
    <definedName name="limcount" hidden="1">13</definedName>
    <definedName name="linh" localSheetId="3" hidden="1">{"'Sheet1'!$L$16"}</definedName>
    <definedName name="linh" hidden="1">{"'Sheet1'!$L$16"}</definedName>
    <definedName name="LINHTINH" localSheetId="3" hidden="1">{"'Sheet1'!$L$16"}</definedName>
    <definedName name="LINHTINH" hidden="1">{"'Sheet1'!$L$16"}</definedName>
    <definedName name="ljh" localSheetId="3" hidden="1">{#N/A,#N/A,FALSE,"Chi tiÆt"}</definedName>
    <definedName name="ljh" hidden="1">{#N/A,#N/A,FALSE,"Chi tiÆt"}</definedName>
    <definedName name="ljhghg" localSheetId="3" hidden="1">{"'Sheet1'!$L$16"}</definedName>
    <definedName name="ljhghg" hidden="1">{"'Sheet1'!$L$16"}</definedName>
    <definedName name="LJHMN" localSheetId="3" hidden="1">{"'Sheet1'!$L$16"}</definedName>
    <definedName name="LJHMN" hidden="1">{"'Sheet1'!$L$16"}</definedName>
    <definedName name="ljj" localSheetId="3" hidden="1">{"'Sheet1'!$L$16"}</definedName>
    <definedName name="ljj" hidden="1">{"'Sheet1'!$L$16"}</definedName>
    <definedName name="ljkhg" localSheetId="3" hidden="1">{"'Sheet1'!$L$16"}</definedName>
    <definedName name="ljkhg" hidden="1">{"'Sheet1'!$L$16"}</definedName>
    <definedName name="ljkl" localSheetId="3" hidden="1">{"'Sheet1'!$L$16"}</definedName>
    <definedName name="ljkl" hidden="1">{"'Sheet1'!$L$16"}</definedName>
    <definedName name="ljklk" localSheetId="3" hidden="1">{"'Sheet1'!$L$16"}</definedName>
    <definedName name="ljklk" hidden="1">{"'Sheet1'!$L$16"}</definedName>
    <definedName name="LJL" localSheetId="3" hidden="1">{#N/A,#N/A,FALSE,"Chi tiÆt"}</definedName>
    <definedName name="LJL" hidden="1">{#N/A,#N/A,FALSE,"Chi tiÆt"}</definedName>
    <definedName name="lk" localSheetId="3" hidden="1">{"'Sheet1'!$L$16"}</definedName>
    <definedName name="lk" hidden="1">{"'Sheet1'!$L$16"}</definedName>
    <definedName name="lkjg" localSheetId="3" hidden="1">{"'Sheet1'!$L$16"}</definedName>
    <definedName name="lkjg" hidden="1">{"'Sheet1'!$L$16"}</definedName>
    <definedName name="lkklll" localSheetId="3" hidden="1">{"'Sheet1'!$L$16"}</definedName>
    <definedName name="lkklll" hidden="1">{"'Sheet1'!$L$16"}</definedName>
    <definedName name="lkl" localSheetId="3" hidden="1">{#N/A,#N/A,FALSE,"Chi tiÆt"}</definedName>
    <definedName name="lkl" hidden="1">{#N/A,#N/A,FALSE,"Chi tiÆt"}</definedName>
    <definedName name="lklkhh" localSheetId="3" hidden="1">{"'Sheet1'!$L$16"}</definedName>
    <definedName name="lklkhh" hidden="1">{"'Sheet1'!$L$16"}</definedName>
    <definedName name="LLEE" localSheetId="3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localSheetId="3" hidden="1">{"Offgrid",#N/A,FALSE,"OFFGRID";"Region",#N/A,FALSE,"REGION";"Offgrid -2",#N/A,FALSE,"OFFGRID";"WTP",#N/A,FALSE,"WTP";"WTP -2",#N/A,FALSE,"WTP";"Project",#N/A,FALSE,"PROJECT";"Summary -2",#N/A,FALSE,"SUMMARY"}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localSheetId="3" hidden="1">{#N/A,#N/A,FALSE,"特殊室（ＢＱ表）"}</definedName>
    <definedName name="lll" hidden="1">{#N/A,#N/A,FALSE,"特殊室（ＢＱ表）"}</definedName>
    <definedName name="lllj" localSheetId="3" hidden="1">{"'Sheet1'!$L$16"}</definedName>
    <definedName name="lllj" hidden="1">{"'Sheet1'!$L$16"}</definedName>
    <definedName name="llllllllll" localSheetId="3" hidden="1">{0}</definedName>
    <definedName name="llllllllll" hidden="1">{0}</definedName>
    <definedName name="lllllllllllllllllllllllll" localSheetId="3" hidden="1">{0}</definedName>
    <definedName name="lllllllllllllllllllllllll" hidden="1">{0}</definedName>
    <definedName name="lmn" localSheetId="3" hidden="1">{"'Sheet1'!$L$16"}</definedName>
    <definedName name="lmn" hidden="1">{"'Sheet1'!$L$16"}</definedName>
    <definedName name="lôa33BT5" localSheetId="3" hidden="1">{"'Sheet1'!$L$16"}</definedName>
    <definedName name="lôa33BT5" hidden="1">{"'Sheet1'!$L$16"}</definedName>
    <definedName name="loan" localSheetId="3" hidden="1">{"Offgrid",#N/A,FALSE,"OFFGRID";"Region",#N/A,FALSE,"REGION";"Offgrid -2",#N/A,FALSE,"OFFGRID";"WTP",#N/A,FALSE,"WTP";"WTP -2",#N/A,FALSE,"WTP";"Project",#N/A,FALSE,"PROJECT";"Summary -2",#N/A,FALSE,"SUMMARY"}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localSheetId="3" hidden="1">{"'Sheet1'!$L$16"}</definedName>
    <definedName name="LOCO" hidden="1">{"'Sheet1'!$L$16"}</definedName>
    <definedName name="LOCO2" localSheetId="3" hidden="1">{"'Sheet1'!$L$16"}</definedName>
    <definedName name="LOCO2" hidden="1">{"'Sheet1'!$L$16"}</definedName>
    <definedName name="lon" localSheetId="3" hidden="1">{"'Sheet1'!$L$16"}</definedName>
    <definedName name="lon" hidden="1">{"'Sheet1'!$L$16"}</definedName>
    <definedName name="Long" localSheetId="3" hidden="1">{"'Sheet1'!$L$16"}</definedName>
    <definedName name="Long" hidden="1">{"'Sheet1'!$L$16"}</definedName>
    <definedName name="luan" localSheetId="3" hidden="1">{"'Sheet1'!$L$16"}</definedName>
    <definedName name="luan" hidden="1">{"'Sheet1'!$L$16"}</definedName>
    <definedName name="luc" localSheetId="3" hidden="1">{"'Sheet1'!$L$16"}</definedName>
    <definedName name="luc" hidden="1">{"'Sheet1'!$L$16"}</definedName>
    <definedName name="luong" localSheetId="3" hidden="1">{"'Sheet1'!$L$16"}</definedName>
    <definedName name="luong" hidden="1">{"'Sheet1'!$L$16"}</definedName>
    <definedName name="M" localSheetId="3" hidden="1">#REF!</definedName>
    <definedName name="M" hidden="1">#REF!</definedName>
    <definedName name="M10." localSheetId="3" hidden="1">{"'Sheet1'!$L$16"}</definedName>
    <definedName name="M10." hidden="1">{"'Sheet1'!$L$16"}</definedName>
    <definedName name="mäc" localSheetId="3" hidden="1">{"'Sheet1'!$L$16"}</definedName>
    <definedName name="mäc" hidden="1">{"'Sheet1'!$L$16"}</definedName>
    <definedName name="mai" localSheetId="3" hidden="1">{"'Sheet1'!$L$16"}</definedName>
    <definedName name="mai" hidden="1">{"'Sheet1'!$L$16"}</definedName>
    <definedName name="man_sched" localSheetId="3" hidden="1">{"'Sheet1'!$L$16"}</definedName>
    <definedName name="man_sched" hidden="1">{"'Sheet1'!$L$16"}</definedName>
    <definedName name="MANH" localSheetId="3" hidden="1">{"'Sheet1'!$L$16"}</definedName>
    <definedName name="MANH" hidden="1">{"'Sheet1'!$L$16"}</definedName>
    <definedName name="matbang" localSheetId="3" hidden="1">{"'Sheet1'!$L$16"}</definedName>
    <definedName name="matbang" hidden="1">{"'Sheet1'!$L$16"}</definedName>
    <definedName name="MAU" localSheetId="3" hidden="1">{"'Sheet1'!$L$16"}</definedName>
    <definedName name="MAU" hidden="1">{"'Sheet1'!$L$16"}</definedName>
    <definedName name="mccb" localSheetId="3" hidden="1">{#N/A,#N/A,FALSE,"CCTV"}</definedName>
    <definedName name="mccb" hidden="1">{#N/A,#N/A,FALSE,"CCTV"}</definedName>
    <definedName name="MCCO" localSheetId="3" hidden="1">{#N/A,#N/A,FALSE,"CCTV"}</definedName>
    <definedName name="MCCO" hidden="1">{#N/A,#N/A,FALSE,"CCTV"}</definedName>
    <definedName name="MCCO10" localSheetId="3" hidden="1">{#N/A,#N/A,FALSE,"CCTV"}</definedName>
    <definedName name="MCCO10" hidden="1">{#N/A,#N/A,FALSE,"CCTV"}</definedName>
    <definedName name="MCCO11" localSheetId="3" hidden="1">{#N/A,#N/A,FALSE,"CCTV"}</definedName>
    <definedName name="MCCO11" hidden="1">{#N/A,#N/A,FALSE,"CCTV"}</definedName>
    <definedName name="MCCO12" localSheetId="3" hidden="1">{#N/A,#N/A,FALSE,"CCTV"}</definedName>
    <definedName name="MCCO12" hidden="1">{#N/A,#N/A,FALSE,"CCTV"}</definedName>
    <definedName name="MCCO13" localSheetId="3" hidden="1">{#N/A,#N/A,FALSE,"CCTV"}</definedName>
    <definedName name="MCCO13" hidden="1">{#N/A,#N/A,FALSE,"CCTV"}</definedName>
    <definedName name="MCCO3" localSheetId="3" hidden="1">{#N/A,#N/A,FALSE,"CCTV"}</definedName>
    <definedName name="MCCO3" hidden="1">{#N/A,#N/A,FALSE,"CCTV"}</definedName>
    <definedName name="MCCO4" localSheetId="3" hidden="1">{#N/A,#N/A,FALSE,"CCTV"}</definedName>
    <definedName name="MCCO4" hidden="1">{#N/A,#N/A,FALSE,"CCTV"}</definedName>
    <definedName name="MCCO5" localSheetId="3" hidden="1">{#N/A,#N/A,FALSE,"CCTV"}</definedName>
    <definedName name="MCCO5" hidden="1">{#N/A,#N/A,FALSE,"CCTV"}</definedName>
    <definedName name="MCCO6" localSheetId="3" hidden="1">{#N/A,#N/A,FALSE,"CCTV"}</definedName>
    <definedName name="MCCO6" hidden="1">{#N/A,#N/A,FALSE,"CCTV"}</definedName>
    <definedName name="MCCO7" localSheetId="3" hidden="1">{#N/A,#N/A,FALSE,"CCTV"}</definedName>
    <definedName name="MCCO7" hidden="1">{#N/A,#N/A,FALSE,"CCTV"}</definedName>
    <definedName name="MCCO8" localSheetId="3" hidden="1">{#N/A,#N/A,FALSE,"CCTV"}</definedName>
    <definedName name="MCCO8" hidden="1">{#N/A,#N/A,FALSE,"CCTV"}</definedName>
    <definedName name="MCCO9" localSheetId="3" hidden="1">{#N/A,#N/A,FALSE,"CCTV"}</definedName>
    <definedName name="MCCO9" hidden="1">{#N/A,#N/A,FALSE,"CCTV"}</definedName>
    <definedName name="MCCOÙ" localSheetId="3" hidden="1">{#N/A,#N/A,FALSE,"CCTV"}</definedName>
    <definedName name="MCCOÙ" hidden="1">{#N/A,#N/A,FALSE,"CCTV"}</definedName>
    <definedName name="mck" localSheetId="3" hidden="1">{#N/A,#N/A,FALSE,"Chi tiÆt"}</definedName>
    <definedName name="mck" hidden="1">{#N/A,#N/A,FALSE,"Chi tiÆt"}</definedName>
    <definedName name="MFGND" localSheetId="3" hidden="1">{"'Sheet1'!$L$16"}</definedName>
    <definedName name="MFGND" hidden="1">{"'Sheet1'!$L$16"}</definedName>
    <definedName name="MFHMFGNG" localSheetId="3" hidden="1">{"'Sheet1'!$L$16"}</definedName>
    <definedName name="MFHMFGNG" hidden="1">{"'Sheet1'!$L$16"}</definedName>
    <definedName name="mh" localSheetId="3" hidden="1">{"'Sheet1'!$L$16"}</definedName>
    <definedName name="mh" hidden="1">{"'Sheet1'!$L$16"}</definedName>
    <definedName name="minh" localSheetId="3" hidden="1">{"'Sheet1'!$L$16"}</definedName>
    <definedName name="minh" hidden="1">{"'Sheet1'!$L$16"}</definedName>
    <definedName name="miyu" localSheetId="3" hidden="1">{"'Sheet1'!$L$16"}</definedName>
    <definedName name="miyu" hidden="1">{"'Sheet1'!$L$16"}</definedName>
    <definedName name="mjh" localSheetId="3" hidden="1">{"'Sheet1'!$L$16"}</definedName>
    <definedName name="mjh" hidden="1">{"'Sheet1'!$L$16"}</definedName>
    <definedName name="ｍｍｍ" localSheetId="3" hidden="1">{"'Sheet1'!$L$16"}</definedName>
    <definedName name="ｍｍｍ" hidden="1">{"'Sheet1'!$L$16"}</definedName>
    <definedName name="ｍｍｍｍ" localSheetId="3" hidden="1">{"'Sheet1'!$L$16"}</definedName>
    <definedName name="ｍｍｍｍ" hidden="1">{"'Sheet1'!$L$16"}</definedName>
    <definedName name="mmmmmmmmm" localSheetId="3" hidden="1">{0}</definedName>
    <definedName name="mmmmmmmmm" hidden="1">{0}</definedName>
    <definedName name="mo" localSheetId="3" hidden="1">{"'Sheet1'!$L$16"}</definedName>
    <definedName name="mo" hidden="1">{"'Sheet1'!$L$16"}</definedName>
    <definedName name="moi" localSheetId="3" hidden="1">{"'Sheet1'!$L$16"}</definedName>
    <definedName name="moi" hidden="1">{"'Sheet1'!$L$16"}</definedName>
    <definedName name="MTYMYTMY" localSheetId="3" hidden="1">{"'Sheet1'!$L$16"}</definedName>
    <definedName name="MTYMYTMY" hidden="1">{"'Sheet1'!$L$16"}</definedName>
    <definedName name="MV" localSheetId="3" hidden="1">{#N/A,#N/A,FALSE,"Sheet1";#N/A,#N/A,FALSE,"Sheet3";#N/A,#N/A,FALSE,"Sheet5"}</definedName>
    <definedName name="MV" hidden="1">{#N/A,#N/A,FALSE,"Sheet1";#N/A,#N/A,FALSE,"Sheet3";#N/A,#N/A,FALSE,"Sheet5"}</definedName>
    <definedName name="mvac" localSheetId="3" hidden="1">{"'Sheet1'!$L$16"}</definedName>
    <definedName name="mvac" hidden="1">{"'Sheet1'!$L$16"}</definedName>
    <definedName name="MVBNMVB" localSheetId="3" hidden="1">{"NGUYEN QUI THIEP - Personal View",#N/A,FALSE,"XDCB.HT.FUR."}</definedName>
    <definedName name="MVBNMVB" hidden="1">{"NGUYEN QUI THIEP - Personal View",#N/A,FALSE,"XDCB.HT.FUR."}</definedName>
    <definedName name="my" localSheetId="3" hidden="1">{"'Sheet1'!$L$16"}</definedName>
    <definedName name="my" hidden="1">{"'Sheet1'!$L$16"}</definedName>
    <definedName name="n" localSheetId="3" hidden="1">{"'Sheet1'!$L$16"}</definedName>
    <definedName name="n" hidden="1">{"'Sheet1'!$L$16"}</definedName>
    <definedName name="Na" localSheetId="3" hidden="1">{"'Sheet1'!$L$16"}</definedName>
    <definedName name="Na" hidden="1">{"'Sheet1'!$L$16"}</definedName>
    <definedName name="nam" localSheetId="3" hidden="1">{"'Sheet1'!$L$16"}</definedName>
    <definedName name="nam" hidden="1">{"'Sheet1'!$L$16"}</definedName>
    <definedName name="NAME" localSheetId="3" hidden="1">{#N/A,#N/A,TRUE,"SUM";#N/A,#N/A,TRUE,"EE";#N/A,#N/A,TRUE,"AC";#N/A,#N/A,TRUE,"SN"}</definedName>
    <definedName name="NAME" hidden="1">{#N/A,#N/A,TRUE,"SUM";#N/A,#N/A,TRUE,"EE";#N/A,#N/A,TRUE,"AC";#N/A,#N/A,TRUE,"SN"}</definedName>
    <definedName name="name_gia" hidden="1">[2]Control!#REF!</definedName>
    <definedName name="name3" localSheetId="3" hidden="1">#REF!</definedName>
    <definedName name="name3" hidden="1">#REF!</definedName>
    <definedName name="NB" localSheetId="3" hidden="1">{#N/A,#N/A,FALSE,"Sheet2";#N/A,#N/A,FALSE,"Sheet4";#N/A,#N/A,FALSE,"Sheet6"}</definedName>
    <definedName name="NB" hidden="1">{#N/A,#N/A,FALSE,"Sheet2";#N/A,#N/A,FALSE,"Sheet4";#N/A,#N/A,FALSE,"Sheet6"}</definedName>
    <definedName name="nbfđ" localSheetId="3" hidden="1">{"'Sheet1'!$L$16"}</definedName>
    <definedName name="nbfđ" hidden="1">{"'Sheet1'!$L$16"}</definedName>
    <definedName name="nbv" localSheetId="3" hidden="1">{"'Sheet1'!$L$16"}</definedName>
    <definedName name="nbv" hidden="1">{"'Sheet1'!$L$16"}</definedName>
    <definedName name="NCVBXVCB" localSheetId="3" hidden="1">{"'Sheet1'!$L$16"}</definedName>
    <definedName name="NCVBXVCB" hidden="1">{"'Sheet1'!$L$16"}</definedName>
    <definedName name="NDF" localSheetId="3" hidden="1">#REF!</definedName>
    <definedName name="NDF" hidden="1">#REF!</definedName>
    <definedName name="NDFNDF" localSheetId="3" hidden="1">{"'Sheet1'!$L$16"}</definedName>
    <definedName name="NDFNDF" hidden="1">{"'Sheet1'!$L$16"}</definedName>
    <definedName name="NDFNDFB" localSheetId="3" hidden="1">{"'Sheet1'!$L$16"}</definedName>
    <definedName name="NDFNDFB" hidden="1">{"'Sheet1'!$L$16"}</definedName>
    <definedName name="NDFNDN" localSheetId="3" hidden="1">{"'Sheet1'!$L$16"}</definedName>
    <definedName name="NDFNDN" hidden="1">{"'Sheet1'!$L$16"}</definedName>
    <definedName name="NDFNSF" localSheetId="3" hidden="1">{"'Sheet1'!$L$16"}</definedName>
    <definedName name="NDFNSF" hidden="1">{"'Sheet1'!$L$16"}</definedName>
    <definedName name="NDGFD" localSheetId="3" hidden="1">{"'Sheet1'!$L$16"}</definedName>
    <definedName name="NDGFD" hidden="1">{"'Sheet1'!$L$16"}</definedName>
    <definedName name="NDGNFGNG" localSheetId="3" hidden="1">{"'Sheet1'!$L$16"}</definedName>
    <definedName name="NDGNFGNG" hidden="1">{"'Sheet1'!$L$16"}</definedName>
    <definedName name="NDNSBS" localSheetId="3" hidden="1">{"'Sheet1'!$L$16"}</definedName>
    <definedName name="NDNSBS" hidden="1">{"'Sheet1'!$L$16"}</definedName>
    <definedName name="Ne" localSheetId="3" hidden="1">{"'Sheet1'!$L$16"}</definedName>
    <definedName name="Ne" hidden="1">{"'Sheet1'!$L$16"}</definedName>
    <definedName name="nego검토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localSheetId="3" hidden="1">{#N/A,#N/A,FALSE,"Chi tiÆt"}</definedName>
    <definedName name="nepcua" hidden="1">{#N/A,#N/A,FALSE,"Chi tiÆt"}</definedName>
    <definedName name="NEW" localSheetId="3" hidden="1">{#N/A,#N/A,FALSE,"Chi tiÆt"}</definedName>
    <definedName name="NEW" hidden="1">{#N/A,#N/A,FALSE,"Chi tiÆt"}</definedName>
    <definedName name="NEWNAME" localSheetId="3" hidden="1">{#N/A,#N/A,FALSE,"CCTV"}</definedName>
    <definedName name="NEWNAME" hidden="1">{#N/A,#N/A,FALSE,"CCTV"}</definedName>
    <definedName name="NF" localSheetId="3" hidden="1">#REF!</definedName>
    <definedName name="NF" hidden="1">#REF!</definedName>
    <definedName name="NFDBDB" localSheetId="3" hidden="1">{"'Sheet1'!$L$16"}</definedName>
    <definedName name="NFDBDB" hidden="1">{"'Sheet1'!$L$16"}</definedName>
    <definedName name="NFDNDF" localSheetId="3" hidden="1">{"'Sheet1'!$L$16"}</definedName>
    <definedName name="NFDNDF" hidden="1">{"'Sheet1'!$L$16"}</definedName>
    <definedName name="NFGJH" localSheetId="3" hidden="1">{"'Sheet1'!$L$16"}</definedName>
    <definedName name="NFGJH" hidden="1">{"'Sheet1'!$L$16"}</definedName>
    <definedName name="NFGMGF" localSheetId="3" hidden="1">{"'Sheet1'!$L$16"}</definedName>
    <definedName name="NFGMGF" hidden="1">{"'Sheet1'!$L$16"}</definedName>
    <definedName name="NFGNDBDF" localSheetId="3" hidden="1">{"'Sheet1'!$L$16"}</definedName>
    <definedName name="NFGNDBDF" hidden="1">{"'Sheet1'!$L$16"}</definedName>
    <definedName name="NFHJYFF" localSheetId="3" hidden="1">{"'Sheet1'!$L$16"}</definedName>
    <definedName name="NFHJYFF" hidden="1">{"'Sheet1'!$L$16"}</definedName>
    <definedName name="NFNGFH" localSheetId="3" hidden="1">{"'Sheet1'!$L$16"}</definedName>
    <definedName name="NFNGFH" hidden="1">{"'Sheet1'!$L$16"}</definedName>
    <definedName name="ng" localSheetId="3" hidden="1">{"'Sheet1'!$L$16"}</definedName>
    <definedName name="ng" hidden="1">{"'Sheet1'!$L$16"}</definedName>
    <definedName name="ngan" localSheetId="3" hidden="1">{"'Sheet1'!$L$16"}</definedName>
    <definedName name="ngan" hidden="1">{"'Sheet1'!$L$16"}</definedName>
    <definedName name="ngay14" localSheetId="3" hidden="1">{"'Sheet1'!$L$16"}</definedName>
    <definedName name="ngay14" hidden="1">{"'Sheet1'!$L$16"}</definedName>
    <definedName name="NGFN" localSheetId="3" hidden="1">{"'Sheet1'!$L$16"}</definedName>
    <definedName name="NGFN" hidden="1">{"'Sheet1'!$L$16"}</definedName>
    <definedName name="NGHETINH1" localSheetId="3" hidden="1">{"'Sheet1'!$L$16"}</definedName>
    <definedName name="NGHETINH1" hidden="1">{"'Sheet1'!$L$16"}</definedName>
    <definedName name="nghgh" localSheetId="3" hidden="1">{"'Sheet1'!$L$16"}</definedName>
    <definedName name="nghgh" hidden="1">{"'Sheet1'!$L$16"}</definedName>
    <definedName name="ngljlj" localSheetId="3" hidden="1">{"'Sheet1'!$L$16"}</definedName>
    <definedName name="ngljlj" hidden="1">{"'Sheet1'!$L$16"}</definedName>
    <definedName name="ngu" localSheetId="3" hidden="1">{"'Sheet1'!$L$16"}</definedName>
    <definedName name="ngu" hidden="1">{"'Sheet1'!$L$16"}</definedName>
    <definedName name="NguyenDiep" localSheetId="3" hidden="1">{"'Sheet1'!$L$16"}</definedName>
    <definedName name="NguyenDiep" hidden="1">{"'Sheet1'!$L$16"}</definedName>
    <definedName name="NHANH2_CG4" localSheetId="3" hidden="1">{"'Sheet1'!$L$16"}</definedName>
    <definedName name="NHANH2_CG4" hidden="1">{"'Sheet1'!$L$16"}</definedName>
    <definedName name="nhanuoc" localSheetId="3" hidden="1">{"'Sheet1'!$L$16"}</definedName>
    <definedName name="nhanuoc" hidden="1">{"'Sheet1'!$L$16"}</definedName>
    <definedName name="nhappppppppp" localSheetId="3" hidden="1">{"'Sheet1'!$L$16"}</definedName>
    <definedName name="nhappppppppp" hidden="1">{"'Sheet1'!$L$16"}</definedName>
    <definedName name="nharac" localSheetId="3" hidden="1">{#N/A,#N/A,FALSE,"Chi tiÆt"}</definedName>
    <definedName name="nharac" hidden="1">{#N/A,#N/A,FALSE,"Chi tiÆt"}</definedName>
    <definedName name="Nhiem" localSheetId="3" hidden="1">{"'Sheet1'!$L$16"}</definedName>
    <definedName name="Nhiem" hidden="1">{"'Sheet1'!$L$16"}</definedName>
    <definedName name="NHTTCT" localSheetId="3" hidden="1">{"'Sheet1'!$L$16"}</definedName>
    <definedName name="NHTTCT" hidden="1">{"'Sheet1'!$L$16"}</definedName>
    <definedName name="NNL" localSheetId="3" hidden="1">{"'boi duong nang nhoc'!$A$1"}</definedName>
    <definedName name="NNL" hidden="1">{"'boi duong nang nhoc'!$A$1"}</definedName>
    <definedName name="nnn" localSheetId="3" hidden="1">{"'Sheet1'!$L$16"}</definedName>
    <definedName name="nnn" hidden="1">{"'Sheet1'!$L$16"}</definedName>
    <definedName name="nnnnn" localSheetId="3" hidden="1">{"'Sheet1'!$L$16"}</definedName>
    <definedName name="nnnnn" hidden="1">{"'Sheet1'!$L$16"}</definedName>
    <definedName name="nnnnnnnnnnnnnn" localSheetId="3" hidden="1">{0}</definedName>
    <definedName name="nnnnnnnnnnnnnn" hidden="1">{0}</definedName>
    <definedName name="No.10" localSheetId="3" hidden="1">{"'Sheet1'!$L$16"}</definedName>
    <definedName name="No.10" hidden="1">{"'Sheet1'!$L$16"}</definedName>
    <definedName name="No.9" localSheetId="3" hidden="1">{"'Sheet1'!$L$16"}</definedName>
    <definedName name="No.9" hidden="1">{"'Sheet1'!$L$16"}</definedName>
    <definedName name="NRBFD" localSheetId="3" hidden="1">{"'Sheet1'!$L$16"}</definedName>
    <definedName name="NRBFD" hidden="1">{"'Sheet1'!$L$16"}</definedName>
    <definedName name="NRMTYM" localSheetId="3" hidden="1">{"NGUYEN QUI THIEP - Personal View",#N/A,FALSE,"XDCB.HT.FUR."}</definedName>
    <definedName name="NRMTYM" hidden="1">{"NGUYEN QUI THIEP - Personal View",#N/A,FALSE,"XDCB.HT.FUR."}</definedName>
    <definedName name="NRNRD" localSheetId="3" hidden="1">{"'Sheet1'!$L$16"}</definedName>
    <definedName name="NRNRD" hidden="1">{"'Sheet1'!$L$16"}</definedName>
    <definedName name="NTB" localSheetId="3" hidden="1">{#N/A,#N/A,FALSE,"Chi tiÆt"}</definedName>
    <definedName name="NTB" hidden="1">{#N/A,#N/A,FALSE,"Chi tiÆt"}</definedName>
    <definedName name="NUOCHKHOAN" localSheetId="3" hidden="1">{"'Sheet1'!$L$16"}</definedName>
    <definedName name="NUOCHKHOAN" hidden="1">{"'Sheet1'!$L$16"}</definedName>
    <definedName name="NUOCHKHOANMOI" localSheetId="3" hidden="1">{"'Sheet1'!$L$16"}</definedName>
    <definedName name="NUOCHKHOANMOI" hidden="1">{"'Sheet1'!$L$16"}</definedName>
    <definedName name="NUTGIAOK22" localSheetId="3" hidden="1">{#N/A,#N/A,FALSE,"Sheet1";#N/A,#N/A,FALSE,"Sheet1";#N/A,#N/A,FALSE,"Sheet1"}</definedName>
    <definedName name="NUTGIAOK22" hidden="1">{#N/A,#N/A,FALSE,"Sheet1";#N/A,#N/A,FALSE,"Sheet1";#N/A,#N/A,FALSE,"Sheet1"}</definedName>
    <definedName name="NVBNBNV" localSheetId="3" hidden="1">{#N/A,#N/A,FALSE,"Chi tiÆt"}</definedName>
    <definedName name="NVBNBNV" hidden="1">{#N/A,#N/A,FALSE,"Chi tiÆt"}</definedName>
    <definedName name="NVCB" localSheetId="3" hidden="1">{"'Sheet1'!$L$16"}</definedName>
    <definedName name="NVCB" hidden="1">{"'Sheet1'!$L$16"}</definedName>
    <definedName name="o" localSheetId="3" hidden="1">{"'Sheet1'!$L$16"}</definedName>
    <definedName name="o" hidden="1">{"'Sheet1'!$L$16"}</definedName>
    <definedName name="oa" localSheetId="3" hidden="1">#REF!</definedName>
    <definedName name="oa" hidden="1">#REF!</definedName>
    <definedName name="oanh" localSheetId="3" hidden="1">{"'Sheet1'!$L$16"}</definedName>
    <definedName name="oanh" hidden="1">{"'Sheet1'!$L$16"}</definedName>
    <definedName name="öªttyty568" localSheetId="3" hidden="1">#REF!</definedName>
    <definedName name="öªttyty568" hidden="1">#REF!</definedName>
    <definedName name="OC" localSheetId="3" hidden="1">{"'Sheet1'!$L$16"}</definedName>
    <definedName name="OC" hidden="1">{"'Sheet1'!$L$16"}</definedName>
    <definedName name="öe" localSheetId="3" hidden="1">{"'Sheet1'!$L$16"}</definedName>
    <definedName name="öe" hidden="1">{"'Sheet1'!$L$16"}</definedName>
    <definedName name="OIJYED" localSheetId="3" hidden="1">{"'Sheet1'!$L$16"}</definedName>
    <definedName name="OIJYED" hidden="1">{"'Sheet1'!$L$16"}</definedName>
    <definedName name="ok" localSheetId="3" hidden="1">{"'Sheet1'!$L$16"}</definedName>
    <definedName name="ok" hidden="1">{"'Sheet1'!$L$16"}</definedName>
    <definedName name="okei" localSheetId="3" hidden="1">{"'Sheet1'!$L$16"}</definedName>
    <definedName name="okei" hidden="1">{"'Sheet1'!$L$16"}</definedName>
    <definedName name="opy3kl" localSheetId="3" hidden="1">{"'Sheet1'!$L$16"}</definedName>
    <definedName name="opy3kl" hidden="1">{"'Sheet1'!$L$16"}</definedName>
    <definedName name="opykl" localSheetId="3" hidden="1">{"'Sheet1'!$L$16"}</definedName>
    <definedName name="opykl" hidden="1">{"'Sheet1'!$L$16"}</definedName>
    <definedName name="öqw" localSheetId="3" hidden="1">{"'Sheet1'!$L$16"}</definedName>
    <definedName name="öqw" hidden="1">{"'Sheet1'!$L$16"}</definedName>
    <definedName name="OrderTable" localSheetId="3" hidden="1">#REF!</definedName>
    <definedName name="OrderTable" hidden="1">#REF!</definedName>
    <definedName name="ouioyoigoigyiyugi" localSheetId="3" hidden="1">#REF!</definedName>
    <definedName name="ouioyoigoigyiyugi" hidden="1">#REF!</definedName>
    <definedName name="PA1.2" localSheetId="3" hidden="1">{"'Sheet1'!$L$16"}</definedName>
    <definedName name="PA1.2" hidden="1">{"'Sheet1'!$L$16"}</definedName>
    <definedName name="PAIII_" localSheetId="3" hidden="1">{"'Sheet1'!$L$16"}</definedName>
    <definedName name="PAIII_" hidden="1">{"'Sheet1'!$L$16"}</definedName>
    <definedName name="Panel" localSheetId="3" hidden="1">{#N/A,#N/A,TRUE,"SUM";#N/A,#N/A,TRUE,"EE";#N/A,#N/A,TRUE,"AC";#N/A,#N/A,TRUE,"SN"}</definedName>
    <definedName name="Panel" hidden="1">{#N/A,#N/A,TRUE,"SUM";#N/A,#N/A,TRUE,"EE";#N/A,#N/A,TRUE,"AC";#N/A,#N/A,TRUE,"SN"}</definedName>
    <definedName name="patrickk" localSheetId="3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localSheetId="3" hidden="1">{"'Sheet1'!$L$16"}</definedName>
    <definedName name="ph" hidden="1">{"'Sheet1'!$L$16"}</definedName>
    <definedName name="phai" localSheetId="3" hidden="1">{"'Sheet1'!$L$16"}</definedName>
    <definedName name="phai" hidden="1">{"'Sheet1'!$L$16"}</definedName>
    <definedName name="phantich3" localSheetId="3" hidden="1">{"'Sheet1'!$L$16"}</definedName>
    <definedName name="phantich3" hidden="1">{"'Sheet1'!$L$16"}</definedName>
    <definedName name="phñto2" localSheetId="3" hidden="1">{"'Sheet1'!$L$16"}</definedName>
    <definedName name="phñto2" hidden="1">{"'Sheet1'!$L$16"}</definedName>
    <definedName name="phongve12KmTN" localSheetId="3" hidden="1">{"'Sheet1'!$L$16"}</definedName>
    <definedName name="phongve12KmTN" hidden="1">{"'Sheet1'!$L$16"}</definedName>
    <definedName name="phongve12KmTN1" localSheetId="3" hidden="1">{"'Sheet1'!$L$16"}</definedName>
    <definedName name="phongve12KmTN1" hidden="1">{"'Sheet1'!$L$16"}</definedName>
    <definedName name="Phßng" localSheetId="3" hidden="1">{"'Sheet1'!$L$16"}</definedName>
    <definedName name="Phßng" hidden="1">{"'Sheet1'!$L$16"}</definedName>
    <definedName name="phuluc" localSheetId="3" hidden="1">{"'Sheet1'!$L$16"}</definedName>
    <definedName name="phuluc" hidden="1">{"'Sheet1'!$L$16"}</definedName>
    <definedName name="phuluc2" localSheetId="3" hidden="1">{"'Sheet1'!$L$16"}</definedName>
    <definedName name="phuluc2" hidden="1">{"'Sheet1'!$L$16"}</definedName>
    <definedName name="phuoc" localSheetId="3" hidden="1">{"'Sheet1'!$L$16"}</definedName>
    <definedName name="phuoc" hidden="1">{"'Sheet1'!$L$16"}</definedName>
    <definedName name="Phuong" localSheetId="3" hidden="1">{"'Sheet1'!$L$16"}</definedName>
    <definedName name="Phuong" hidden="1">{"'Sheet1'!$L$16"}</definedName>
    <definedName name="Pipe" localSheetId="3" hidden="1">{#N/A,#N/A,FALSE,"CCTV"}</definedName>
    <definedName name="Pipe" hidden="1">{#N/A,#N/A,FALSE,"CCTV"}</definedName>
    <definedName name="PKTN." localSheetId="3" hidden="1">{"'Sheet1'!$L$16"}</definedName>
    <definedName name="PKTN." hidden="1">{"'Sheet1'!$L$16"}</definedName>
    <definedName name="PL" localSheetId="3" hidden="1">{"'Sheet1'!$L$16"}</definedName>
    <definedName name="PL" hidden="1">{"'Sheet1'!$L$16"}</definedName>
    <definedName name="plkl" localSheetId="3" hidden="1">{"'Sheet1'!$L$16"}</definedName>
    <definedName name="plkl" hidden="1">{"'Sheet1'!$L$16"}</definedName>
    <definedName name="PLL" localSheetId="3" hidden="1">{"'Sheet1'!$L$16"}</definedName>
    <definedName name="PLL" hidden="1">{"'Sheet1'!$L$16"}</definedName>
    <definedName name="PlucBcaoTD" localSheetId="3" hidden="1">{"'Sheet1'!$L$16"}</definedName>
    <definedName name="PlucBcaoTD" hidden="1">{"'Sheet1'!$L$16"}</definedName>
    <definedName name="PMS" localSheetId="3" hidden="1">{"'Sheet1'!$L$16"}</definedName>
    <definedName name="PMS" hidden="1">{"'Sheet1'!$L$16"}</definedName>
    <definedName name="po" localSheetId="3" hidden="1">{"'Sheet1'!$L$16"}</definedName>
    <definedName name="po" hidden="1">{"'Sheet1'!$L$16"}</definedName>
    <definedName name="pope" localSheetId="3" hidden="1">{"'Sheet1'!$L$16"}</definedName>
    <definedName name="pope" hidden="1">{"'Sheet1'!$L$16"}</definedName>
    <definedName name="Port1" localSheetId="3" hidden="1">{#N/A,#N/A,FALSE,"特殊室（ＢＱ表）"}</definedName>
    <definedName name="Port1" hidden="1">{#N/A,#N/A,FALSE,"特殊室（ＢＱ表）"}</definedName>
    <definedName name="port11" localSheetId="3" hidden="1">{#N/A,#N/A,FALSE,"特殊室（ＢＱ表）"}</definedName>
    <definedName name="port11" hidden="1">{#N/A,#N/A,FALSE,"特殊室（ＢＱ表）"}</definedName>
    <definedName name="pp" localSheetId="3" hidden="1">{#N/A,#N/A,FALSE,"OUTPUT SHEET "}</definedName>
    <definedName name="pp" hidden="1">{#N/A,#N/A,FALSE,"OUTPUT SHEET "}</definedName>
    <definedName name="PPPP" localSheetId="3" hidden="1">{"'Sheet1'!$L$16"}</definedName>
    <definedName name="PPPP" hidden="1">{"'Sheet1'!$L$16"}</definedName>
    <definedName name="ｐｐｐｐ" localSheetId="3" hidden="1">{"'Sheet1'!$L$16"}</definedName>
    <definedName name="ｐｐｐｐ" hidden="1">{"'Sheet1'!$L$16"}</definedName>
    <definedName name="preparation" localSheetId="3" hidden="1">{"'Sheet1'!$L$16"}</definedName>
    <definedName name="preparation" hidden="1">{"'Sheet1'!$L$16"}</definedName>
    <definedName name="pri" localSheetId="3" hidden="1">{#N/A,#N/A,TRUE,"Str.";#N/A,#N/A,TRUE,"Steel &amp; Roof";#N/A,#N/A,TRUE,"Arc.";#N/A,#N/A,TRUE,"Preliminary";#N/A,#N/A,TRUE,"Sum_Prelim"}</definedName>
    <definedName name="pri" hidden="1">{#N/A,#N/A,TRUE,"Str.";#N/A,#N/A,TRUE,"Steel &amp; Roof";#N/A,#N/A,TRUE,"Arc.";#N/A,#N/A,TRUE,"Preliminary";#N/A,#N/A,TRUE,"Sum_Prelim"}</definedName>
    <definedName name="_xlnm.Print_Area" localSheetId="0">'124+900 '!$A$1:$AA$583</definedName>
    <definedName name="_xlnm.Print_Area" localSheetId="1">'BC.124+900 '!$A$7:$AB$198</definedName>
    <definedName name="_xlnm.Print_Area" localSheetId="3">'IN 124+900'!$A$1:$O$45</definedName>
    <definedName name="_xlnm.Print_Area" localSheetId="2">'SL.124+900 '!$A$1:$O$137</definedName>
    <definedName name="_xlnm.Print_Titles" localSheetId="1">'BC.124+900 '!$7:$12</definedName>
    <definedName name="_xlnm.Print_Titles" localSheetId="3">'IN 124+900'!$4:$13</definedName>
    <definedName name="_xlnm.Print_Titles" localSheetId="2">'SL.124+900 '!$1:$13</definedName>
    <definedName name="ProdForm" localSheetId="3" hidden="1">#REF!</definedName>
    <definedName name="ProdForm" hidden="1">#REF!</definedName>
    <definedName name="prodForm1" localSheetId="3" hidden="1">#REF!</definedName>
    <definedName name="prodForm1" hidden="1">#REF!</definedName>
    <definedName name="Product" localSheetId="3" hidden="1">#REF!</definedName>
    <definedName name="Product" hidden="1">#REF!</definedName>
    <definedName name="PS" localSheetId="3" hidden="1">{"'Sheet1'!$L$16"}</definedName>
    <definedName name="PS" hidden="1">{"'Sheet1'!$L$16"}</definedName>
    <definedName name="psm" localSheetId="3" hidden="1">{"'Sheet1'!$L$16"}</definedName>
    <definedName name="psm" hidden="1">{"'Sheet1'!$L$16"}</definedName>
    <definedName name="pst" localSheetId="3" hidden="1">{"'Sheet1'!$L$16"}</definedName>
    <definedName name="pst" hidden="1">{"'Sheet1'!$L$16"}</definedName>
    <definedName name="pth" localSheetId="3" hidden="1">{"'Sheet1'!$L$16"}</definedName>
    <definedName name="pth" hidden="1">{"'Sheet1'!$L$16"}</definedName>
    <definedName name="ptich3" localSheetId="3" hidden="1">{"'Sheet1'!$L$16"}</definedName>
    <definedName name="ptich3" hidden="1">{"'Sheet1'!$L$16"}</definedName>
    <definedName name="ptvtgiam" localSheetId="3" hidden="1">{"'Sheet1'!$L$16"}</definedName>
    <definedName name="ptvtgiam" hidden="1">{"'Sheet1'!$L$16"}</definedName>
    <definedName name="q" localSheetId="3" hidden="1">{"'Sheet1'!$L$16"}</definedName>
    <definedName name="q" hidden="1">{"'Sheet1'!$L$16"}</definedName>
    <definedName name="QA" localSheetId="3" hidden="1">{"'Sheet1'!$L$16"}</definedName>
    <definedName name="QA" hidden="1">{"'Sheet1'!$L$16"}</definedName>
    <definedName name="qd10_gt" localSheetId="3" hidden="1">{"'Sheet1'!$L$16"}</definedName>
    <definedName name="qd10_gt" hidden="1">{"'Sheet1'!$L$16"}</definedName>
    <definedName name="qd10_gt1" localSheetId="3" hidden="1">{"'Sheet1'!$L$16"}</definedName>
    <definedName name="qd10_gt1" hidden="1">{"'Sheet1'!$L$16"}</definedName>
    <definedName name="qềqg" localSheetId="3" hidden="1">{"'Sheet1'!$L$16"}</definedName>
    <definedName name="qềqg" hidden="1">{"'Sheet1'!$L$16"}</definedName>
    <definedName name="q­ewrtti" localSheetId="3" hidden="1">#REF!</definedName>
    <definedName name="q­ewrtti" hidden="1">#REF!</definedName>
    <definedName name="QGFADB" localSheetId="3" hidden="1">{"'Sheet1'!$L$16"}</definedName>
    <definedName name="QGFADB" hidden="1">{"'Sheet1'!$L$16"}</definedName>
    <definedName name="qncjstkdehdwhrud" localSheetId="3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öeqwerqwereq" localSheetId="3" hidden="1">#REF!</definedName>
    <definedName name="qöeqwerqwereq" hidden="1">#REF!</definedName>
    <definedName name="qqq" localSheetId="3" hidden="1">{"'Sheet1'!$L$16"}</definedName>
    <definedName name="qqq" hidden="1">{"'Sheet1'!$L$16"}</definedName>
    <definedName name="ｑｑｑ" localSheetId="3" hidden="1">{"'Sheet1'!$L$16"}</definedName>
    <definedName name="ｑｑｑ" hidden="1">{"'Sheet1'!$L$16"}</definedName>
    <definedName name="ｑｑｑｑ" localSheetId="3" hidden="1">{"'Sheet1'!$L$16"}</definedName>
    <definedName name="ｑｑｑｑ" hidden="1">{"'Sheet1'!$L$16"}</definedName>
    <definedName name="qqqqqqqq" localSheetId="3" hidden="1">{"'Sheet1'!$L$16"}</definedName>
    <definedName name="qqqqqqqq" hidden="1">{"'Sheet1'!$L$16"}</definedName>
    <definedName name="qrw" localSheetId="3" hidden="1">{#N/A,#N/A,FALSE,"Sheet2";#N/A,#N/A,FALSE,"Sheet4";#N/A,#N/A,FALSE,"Sheet6"}</definedName>
    <definedName name="qrw" hidden="1">{#N/A,#N/A,FALSE,"Sheet2";#N/A,#N/A,FALSE,"Sheet4";#N/A,#N/A,FALSE,"Sheet6"}</definedName>
    <definedName name="qt" localSheetId="3" hidden="1">{"'Sheet1'!$L$16"}</definedName>
    <definedName name="qt" hidden="1">{"'Sheet1'!$L$16"}</definedName>
    <definedName name="qtrwey" localSheetId="3" hidden="1">{"'Sheet1'!$L$16"}</definedName>
    <definedName name="qtrwey" hidden="1">{"'Sheet1'!$L$16"}</definedName>
    <definedName name="quan" localSheetId="3" hidden="1">{"'Sheet1'!$L$16"}</definedName>
    <definedName name="quan" hidden="1">{"'Sheet1'!$L$16"}</definedName>
    <definedName name="quan.P12" localSheetId="3" hidden="1">{"'Sheet1'!$L$16"}</definedName>
    <definedName name="quan.P12" hidden="1">{"'Sheet1'!$L$16"}</definedName>
    <definedName name="quang" localSheetId="3" hidden="1">{"'Sheet1'!$L$16"}</definedName>
    <definedName name="quang" hidden="1">{"'Sheet1'!$L$16"}</definedName>
    <definedName name="quang03" localSheetId="3" hidden="1">{"'Sheet1'!$L$16"}</definedName>
    <definedName name="quang03" hidden="1">{"'Sheet1'!$L$16"}</definedName>
    <definedName name="QUATANG" localSheetId="3" hidden="1">{"'Sheet1'!$L$16"}</definedName>
    <definedName name="QUATANG" hidden="1">{"'Sheet1'!$L$16"}</definedName>
    <definedName name="qưdqưdqưd" localSheetId="3" hidden="1">{"'Sheet1'!$L$16"}</definedName>
    <definedName name="qưdqưdqưd" hidden="1">{"'Sheet1'!$L$16"}</definedName>
    <definedName name="qưqw" localSheetId="3" hidden="1">#REF!</definedName>
    <definedName name="qưqw" hidden="1">#REF!</definedName>
    <definedName name="Quynh20" localSheetId="3" hidden="1">{"'Sheet1'!$L$16"}</definedName>
    <definedName name="Quynh20" hidden="1">{"'Sheet1'!$L$16"}</definedName>
    <definedName name="qw" localSheetId="3" hidden="1">{#N/A,#N/A,FALSE,"단가표지"}</definedName>
    <definedName name="qw" hidden="1">{#N/A,#N/A,FALSE,"단가표지"}</definedName>
    <definedName name="qwaz" localSheetId="3" hidden="1">{"'Sheet1'!$L$16"}</definedName>
    <definedName name="qwaz" hidden="1">{"'Sheet1'!$L$16"}</definedName>
    <definedName name="qwdd" localSheetId="3" hidden="1">{"'Sheet1'!$L$16"}</definedName>
    <definedName name="qwdd" hidden="1">{"'Sheet1'!$L$16"}</definedName>
    <definedName name="QWEQW" localSheetId="3" hidden="1">#REF!</definedName>
    <definedName name="QWEQW" hidden="1">#REF!</definedName>
    <definedName name="qwer" localSheetId="3" hidden="1">{"'Sheet1'!$L$16"}</definedName>
    <definedName name="qwer" hidden="1">{"'Sheet1'!$L$16"}</definedName>
    <definedName name="qwertet" localSheetId="3" hidden="1">{"'Sheet1'!$L$16"}</definedName>
    <definedName name="qwertet" hidden="1">{"'Sheet1'!$L$16"}</definedName>
    <definedName name="qwwqe" localSheetId="3" hidden="1">{"'Sheet1'!$L$16"}</definedName>
    <definedName name="qwwqe" hidden="1">{"'Sheet1'!$L$16"}</definedName>
    <definedName name="ranh" localSheetId="3" hidden="1">{"'Sheet1'!$L$16"}</definedName>
    <definedName name="ranh" hidden="1">{"'Sheet1'!$L$16"}</definedName>
    <definedName name="Ranhphancach" localSheetId="3" hidden="1">{"'Sheet1'!$L$16"}</definedName>
    <definedName name="Ranhphancach" hidden="1">{"'Sheet1'!$L$16"}</definedName>
    <definedName name="ranhtrai" localSheetId="3" hidden="1">{"'Sheet1'!$L$16"}</definedName>
    <definedName name="ranhtrai" hidden="1">{"'Sheet1'!$L$16"}</definedName>
    <definedName name="Ranhxay" localSheetId="3" hidden="1">{"'Sheet1'!$L$16"}</definedName>
    <definedName name="Ranhxay" hidden="1">{"'Sheet1'!$L$16"}</definedName>
    <definedName name="rbsr" localSheetId="3" hidden="1">{"'Sheet1'!$L$16"}</definedName>
    <definedName name="rbsr" hidden="1">{"'Sheet1'!$L$16"}</definedName>
    <definedName name="RCArea" localSheetId="3" hidden="1">#REF!</definedName>
    <definedName name="RCArea" hidden="1">#REF!</definedName>
    <definedName name="rd" localSheetId="3" hidden="1">{"'Sheet1'!$L$16"}</definedName>
    <definedName name="rd" hidden="1">{"'Sheet1'!$L$16"}</definedName>
    <definedName name="_xlnm.Recorder" localSheetId="3" hidden="1">#REF!</definedName>
    <definedName name="_xlnm.Recorder" hidden="1">#REF!</definedName>
    <definedName name="report1" localSheetId="3" hidden="1">{#N/A,#N/A,FALSE,"特殊室（ＢＱ表）"}</definedName>
    <definedName name="report1" hidden="1">{#N/A,#N/A,FALSE,"特殊室（ＢＱ表）"}</definedName>
    <definedName name="report2" localSheetId="3" hidden="1">{#N/A,#N/A,FALSE,"特殊室（ＢＱ表）"}</definedName>
    <definedName name="report2" hidden="1">{#N/A,#N/A,FALSE,"特殊室（ＢＱ表）"}</definedName>
    <definedName name="rer" localSheetId="3" hidden="1">{"Offgrid",#N/A,FALSE,"OFFGRID";"Region",#N/A,FALSE,"REGION";"Offgrid -2",#N/A,FALSE,"OFFGRID";"WTP",#N/A,FALSE,"WTP";"WTP -2",#N/A,FALSE,"WTP";"Project",#N/A,FALSE,"PROJECT";"Summary -2",#N/A,FALSE,"SUMMARY"}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localSheetId="3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localSheetId="3" hidden="1">#REF!</definedName>
    <definedName name="rêrwerrwererew" hidden="1">#REF!</definedName>
    <definedName name="Result21" localSheetId="3" hidden="1">{"'Sheet1'!$L$16"}</definedName>
    <definedName name="Result21" hidden="1">{"'Sheet1'!$L$16"}</definedName>
    <definedName name="rett" localSheetId="3" hidden="1">{"'Sheet1'!$L$16"}</definedName>
    <definedName name="rett" hidden="1">{"'Sheet1'!$L$16"}</definedName>
    <definedName name="rewr" localSheetId="3" hidden="1">{"'Sheet1'!$L$16"}</definedName>
    <definedName name="rewr" hidden="1">{"'Sheet1'!$L$16"}</definedName>
    <definedName name="rgdf" localSheetId="3" hidden="1">{"'Sheet1'!$L$16"}</definedName>
    <definedName name="rgdf" hidden="1">{"'Sheet1'!$L$16"}</definedName>
    <definedName name="rggsg" localSheetId="3" hidden="1">{"'Sheet1'!$L$16"}</definedName>
    <definedName name="rggsg" hidden="1">{"'Sheet1'!$L$16"}</definedName>
    <definedName name="rhgrs" localSheetId="3" hidden="1">{"'Sheet1'!$L$16"}</definedName>
    <definedName name="rhgrs" hidden="1">{"'Sheet1'!$L$16"}</definedName>
    <definedName name="RHODIA" localSheetId="3" hidden="1">{"'DocTypeCode'!$A$142:$A$226"}</definedName>
    <definedName name="RHODIA" hidden="1">{"'DocTypeCode'!$A$142:$A$226"}</definedName>
    <definedName name="rits" localSheetId="3" hidden="1">{"'Sheet1'!$L$16"}</definedName>
    <definedName name="rits" hidden="1">{"'Sheet1'!$L$16"}</definedName>
    <definedName name="rkd" localSheetId="3" hidden="1">{#N/A,#N/A,FALSE,"CCTV"}</definedName>
    <definedName name="rkd" hidden="1">{#N/A,#N/A,FALSE,"CCTV"}</definedName>
    <definedName name="rnhum" localSheetId="3" hidden="1">{"'Sheet1'!$L$16"}</definedName>
    <definedName name="rnhum" hidden="1">{"'Sheet1'!$L$16"}</definedName>
    <definedName name="Road" localSheetId="3" hidden="1">{"'Sheet1'!$L$16"}</definedName>
    <definedName name="Road" hidden="1">{"'Sheet1'!$L$16"}</definedName>
    <definedName name="Roundabout2030" localSheetId="3" hidden="1">{"'Sheet1'!$L$16"}</definedName>
    <definedName name="Roundabout2030" hidden="1">{"'Sheet1'!$L$16"}</definedName>
    <definedName name="row" localSheetId="3" hidden="1">#REF!</definedName>
    <definedName name="row" hidden="1">#REF!</definedName>
    <definedName name="RPLA" localSheetId="3" hidden="1">{"'Sheet1'!$L$16"}</definedName>
    <definedName name="RPLA" hidden="1">{"'Sheet1'!$L$16"}</definedName>
    <definedName name="rr" localSheetId="3" hidden="1">{"'Sheet1'!$L$16"}</definedName>
    <definedName name="rr" hidden="1">{"'Sheet1'!$L$16"}</definedName>
    <definedName name="rrr" localSheetId="3" hidden="1">{"'Sheet1'!$L$16"}</definedName>
    <definedName name="rrr" hidden="1">{"'Sheet1'!$L$16"}</definedName>
    <definedName name="rrrr" localSheetId="3" hidden="1">{"'Sheet1'!$L$16"}</definedName>
    <definedName name="rrrr" hidden="1">{"'Sheet1'!$L$16"}</definedName>
    <definedName name="ｒｒｒｒ" localSheetId="3" hidden="1">{"'Sheet1'!$L$16"}</definedName>
    <definedName name="ｒｒｒｒ" hidden="1">{"'Sheet1'!$L$16"}</definedName>
    <definedName name="rsls" localSheetId="3" hidden="1">{"'Sheet1'!$L$16"}</definedName>
    <definedName name="rsls" hidden="1">{"'Sheet1'!$L$16"}</definedName>
    <definedName name="rtÎ" localSheetId="3" hidden="1">{#N/A,#N/A,FALSE,"Chi tiÆt"}</definedName>
    <definedName name="rtÎ" hidden="1">{#N/A,#N/A,FALSE,"Chi tiÆt"}</definedName>
    <definedName name="RTJR" localSheetId="3" hidden="1">{"'Sheet1'!$L$16"}</definedName>
    <definedName name="RTJR" hidden="1">{"'Sheet1'!$L$16"}</definedName>
    <definedName name="rtr" localSheetId="3" hidden="1">{"'Sheet1'!$L$16"}</definedName>
    <definedName name="rtr" hidden="1">{"'Sheet1'!$L$16"}</definedName>
    <definedName name="RTWR" localSheetId="3" hidden="1">{"'Sheet1'!$L$16"}</definedName>
    <definedName name="RTWR" hidden="1">{"'Sheet1'!$L$16"}</definedName>
    <definedName name="rtyrtyt" localSheetId="3" hidden="1">#REF!</definedName>
    <definedName name="rtyrtyt" hidden="1">#REF!</definedName>
    <definedName name="rtytiu×ghfgh" localSheetId="3" hidden="1">#REF!</definedName>
    <definedName name="rtytiu×ghfgh" hidden="1">#REF!</definedName>
    <definedName name="rtytry" localSheetId="3" hidden="1">#REF!</definedName>
    <definedName name="rtytry" hidden="1">#REF!</definedName>
    <definedName name="rtytyïgh­345w567hj" localSheetId="3" hidden="1">#REF!</definedName>
    <definedName name="rtytyïgh­345w567hj" hidden="1">#REF!</definedName>
    <definedName name="RỬ" localSheetId="3" hidden="1">#REF!</definedName>
    <definedName name="RỬ" hidden="1">#REF!</definedName>
    <definedName name="RƯET" localSheetId="3" hidden="1">{"'Sheet1'!$L$16"}</definedName>
    <definedName name="RƯET" hidden="1">{"'Sheet1'!$L$16"}</definedName>
    <definedName name="RƯT4WTW" localSheetId="3" hidden="1">{"'Sheet1'!$L$16"}</definedName>
    <definedName name="RƯT4WTW" hidden="1">{"'Sheet1'!$L$16"}</definedName>
    <definedName name="ruteyiuyui456467" localSheetId="3" hidden="1">#REF!</definedName>
    <definedName name="ruteyiuyui456467" hidden="1">#REF!</definedName>
    <definedName name="ry" localSheetId="3" hidden="1">{"'Sheet1'!$L$16"}</definedName>
    <definedName name="ry" hidden="1">{"'Sheet1'!$L$16"}</definedName>
    <definedName name="sa" localSheetId="3" hidden="1">{"'Sheet1'!$L$16"}</definedName>
    <definedName name="sa" hidden="1">{"'Sheet1'!$L$16"}</definedName>
    <definedName name="sa?fà" localSheetId="3" hidden="1">{"'Sheet1'!$L$16"}</definedName>
    <definedName name="sa?fà" hidden="1">{"'Sheet1'!$L$16"}</definedName>
    <definedName name="saa" localSheetId="3" hidden="1">{#N/A,#N/A,FALSE,"Sheet2";#N/A,#N/A,FALSE,"Sheet4";#N/A,#N/A,FALSE,"Sheet6"}</definedName>
    <definedName name="saa" hidden="1">{#N/A,#N/A,FALSE,"Sheet2";#N/A,#N/A,FALSE,"Sheet4";#N/A,#N/A,FALSE,"Sheet6"}</definedName>
    <definedName name="saas" localSheetId="3" hidden="1">#REF!</definedName>
    <definedName name="saas" hidden="1">#REF!</definedName>
    <definedName name="sach" localSheetId="3" hidden="1">{"'Sheet1'!$L$16"}</definedName>
    <definedName name="sach" hidden="1">{"'Sheet1'!$L$16"}</definedName>
    <definedName name="sad" localSheetId="3" hidden="1">{"'Sheet1'!$L$16"}</definedName>
    <definedName name="sad" hidden="1">{"'Sheet1'!$L$16"}</definedName>
    <definedName name="sadasdadsad" localSheetId="3" hidden="1">#REF!</definedName>
    <definedName name="sadasdadsad" hidden="1">#REF!</definedName>
    <definedName name="sadasdasda" localSheetId="3" hidden="1">#REF!</definedName>
    <definedName name="sadasdasda" hidden="1">#REF!</definedName>
    <definedName name="sadSa" localSheetId="3" hidden="1">{#N/A,#N/A,FALSE,"Chi tiÆt"}</definedName>
    <definedName name="sadSa" hidden="1">{#N/A,#N/A,FALSE,"Chi tiÆt"}</definedName>
    <definedName name="sadsad" localSheetId="3" hidden="1">#REF!</definedName>
    <definedName name="sadsad" hidden="1">#REF!</definedName>
    <definedName name="sadsgfjhkhluiluil" localSheetId="3" hidden="1">#REF!</definedName>
    <definedName name="sadsgfjhkhluiluil" hidden="1">#REF!</definedName>
    <definedName name="sagawa" localSheetId="3" hidden="1">#REF!</definedName>
    <definedName name="sagawa" hidden="1">#REF!</definedName>
    <definedName name="sahdfjdgjds" localSheetId="3" hidden="1">{"'Sheet1'!$L$16"}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localSheetId="3" hidden="1">{"'Sheet1'!$L$16"}</definedName>
    <definedName name="sas" hidden="1">{"'Sheet1'!$L$16"}</definedName>
    <definedName name="sasa" localSheetId="3" hidden="1">{#N/A,#N/A,FALSE,"Sheet1";#N/A,#N/A,FALSE,"Sheet3";#N/A,#N/A,FALSE,"Sheet5"}</definedName>
    <definedName name="sasa" hidden="1">{#N/A,#N/A,FALSE,"Sheet1";#N/A,#N/A,FALSE,"Sheet3";#N/A,#N/A,FALSE,"Sheet5"}</definedName>
    <definedName name="sasas" localSheetId="3" hidden="1">{"'Sheet1'!$L$16"}</definedName>
    <definedName name="sasas" hidden="1">{"'Sheet1'!$L$16"}</definedName>
    <definedName name="SBSDGBRS" localSheetId="3" hidden="1">{"'Sheet1'!$L$16"}</definedName>
    <definedName name="SBSDGBRS" hidden="1">{"'Sheet1'!$L$16"}</definedName>
    <definedName name="scẪ" localSheetId="3" hidden="1">{"'Sheet1'!$L$16"}</definedName>
    <definedName name="scẪ" hidden="1">{"'Sheet1'!$L$16"}</definedName>
    <definedName name="scÂC" localSheetId="3" hidden="1">{"'Sheet1'!$L$16"}</definedName>
    <definedName name="scÂC" hidden="1">{"'Sheet1'!$L$16"}</definedName>
    <definedName name="schedule" localSheetId="3" hidden="1">{"'Sheet1'!$L$16"}</definedName>
    <definedName name="schedule" hidden="1">{"'Sheet1'!$L$16"}</definedName>
    <definedName name="sCol" localSheetId="3" hidden="1">zIsDgiaCTiet_Gia.VTu*2+3</definedName>
    <definedName name="sCol" hidden="1">zIsDgiaCTiet_Gia.VTu*2+3</definedName>
    <definedName name="SD" localSheetId="3" hidden="1">{"'ELEC'!$A$2:$H$216","'ELEC'!$C$2:$D$2"}</definedName>
    <definedName name="SD" hidden="1">{"'ELEC'!$A$2:$H$216","'ELEC'!$C$2:$D$2"}</definedName>
    <definedName name="sdcsd" localSheetId="3" hidden="1">{"'Sheet1'!$L$16"}</definedName>
    <definedName name="sdcsd" hidden="1">{"'Sheet1'!$L$16"}</definedName>
    <definedName name="sdd" localSheetId="3" hidden="1">{"'Sheet1'!$L$16"}</definedName>
    <definedName name="sdd" hidden="1">{"'Sheet1'!$L$16"}</definedName>
    <definedName name="sdf" localSheetId="3" hidden="1">{"'Sheet1'!$L$16"}</definedName>
    <definedName name="sdf" hidden="1">{"'Sheet1'!$L$16"}</definedName>
    <definedName name="sđfá" localSheetId="3" hidden="1">{"'Sheet1'!$L$16"}</definedName>
    <definedName name="sđfá" hidden="1">{"'Sheet1'!$L$16"}</definedName>
    <definedName name="sdfasd" localSheetId="3" hidden="1">{0}</definedName>
    <definedName name="sdfasd" hidden="1">{0}</definedName>
    <definedName name="SDFASFSA" localSheetId="3" hidden="1">{"'Sheet1'!$L$16"}</definedName>
    <definedName name="SDFASFSA" hidden="1">{"'Sheet1'!$L$16"}</definedName>
    <definedName name="sdfastgawtwqetr" localSheetId="3" hidden="1">#REF!</definedName>
    <definedName name="sdfastgawtwqetr" hidden="1">#REF!</definedName>
    <definedName name="sdfcvbkytw34576578" localSheetId="3" hidden="1">#REF!</definedName>
    <definedName name="sdfcvbkytw34576578" hidden="1">#REF!</definedName>
    <definedName name="sdfd" localSheetId="3" hidden="1">{"'Sheet1'!$L$16"}</definedName>
    <definedName name="sdfd" hidden="1">{"'Sheet1'!$L$16"}</definedName>
    <definedName name="sdfda" localSheetId="3" hidden="1">{"'Sheet1'!$L$16"}</definedName>
    <definedName name="sdfda" hidden="1">{"'Sheet1'!$L$16"}</definedName>
    <definedName name="sdfdf" localSheetId="3" hidden="1">#REF!</definedName>
    <definedName name="sdfdf" hidden="1">#REF!</definedName>
    <definedName name="sdfdfghfjhghjkhjk" localSheetId="3" hidden="1">#REF!</definedName>
    <definedName name="sdfdfghfjhghjkhjk" hidden="1">#REF!</definedName>
    <definedName name="sdfdsf" localSheetId="3" hidden="1">{#N/A,#N/A,FALSE,"Chi tiÆt"}</definedName>
    <definedName name="sdfdsf" hidden="1">{#N/A,#N/A,FALSE,"Chi tiÆt"}</definedName>
    <definedName name="sdfdsfdsf" localSheetId="3" hidden="1">#REF!</definedName>
    <definedName name="sdfdsfdsf" hidden="1">#REF!</definedName>
    <definedName name="sdfg­ªtyeutui" localSheetId="3" hidden="1">#REF!</definedName>
    <definedName name="sdfg­ªtyeutui" hidden="1">#REF!</definedName>
    <definedName name="SDFGRB" localSheetId="3" hidden="1">#REF!</definedName>
    <definedName name="SDFGRB" hidden="1">#REF!</definedName>
    <definedName name="sđfgs" localSheetId="3" hidden="1">{"'Sheet1'!$L$16"}</definedName>
    <definedName name="sđfgs" hidden="1">{"'Sheet1'!$L$16"}</definedName>
    <definedName name="sdfÎge" localSheetId="3" hidden="1">{"'Sheet1'!$L$16"}</definedName>
    <definedName name="sdfÎge" hidden="1">{"'Sheet1'!$L$16"}</definedName>
    <definedName name="sdfsdf" localSheetId="3" hidden="1">{"'Sheet1'!$L$16"}</definedName>
    <definedName name="sdfsdf" hidden="1">{"'Sheet1'!$L$16"}</definedName>
    <definedName name="sdfsdfsd" localSheetId="3" hidden="1">{"'Sheet1'!$L$16"}</definedName>
    <definedName name="sdfsdfsd" hidden="1">{"'Sheet1'!$L$16"}</definedName>
    <definedName name="sdfsdfsfsd" localSheetId="3" hidden="1">{"'Sheet1'!$L$16"}</definedName>
    <definedName name="sdfsdfsfsd" hidden="1">{"'Sheet1'!$L$16"}</definedName>
    <definedName name="SDFSDGD" localSheetId="3" hidden="1">{"'Sheet1'!$L$16"}</definedName>
    <definedName name="SDFSDGD" hidden="1">{"'Sheet1'!$L$16"}</definedName>
    <definedName name="SDFSDGF" localSheetId="3" hidden="1">{"'Sheet1'!$L$16"}</definedName>
    <definedName name="SDFSDGF" hidden="1">{"'Sheet1'!$L$16"}</definedName>
    <definedName name="SDFSE" localSheetId="3" hidden="1">{"'Sheet1'!$L$16"}</definedName>
    <definedName name="SDFSE" hidden="1">{"'Sheet1'!$L$16"}</definedName>
    <definedName name="SDG" localSheetId="3" hidden="1">{"'Sheet1'!$L$16"}</definedName>
    <definedName name="SDG" hidden="1">{"'Sheet1'!$L$16"}</definedName>
    <definedName name="sdgdsg" localSheetId="3" hidden="1">{"'Sheet1'!$L$16"}</definedName>
    <definedName name="sdgdsg" hidden="1">{"'Sheet1'!$L$16"}</definedName>
    <definedName name="sdgfjhfj" localSheetId="3" hidden="1">{"'Sheet1'!$L$16"}</definedName>
    <definedName name="sdgfjhfj" hidden="1">{"'Sheet1'!$L$16"}</definedName>
    <definedName name="SDGSDG" localSheetId="3" hidden="1">{"'Sheet1'!$L$16"}</definedName>
    <definedName name="SDGSDG" hidden="1">{"'Sheet1'!$L$16"}</definedName>
    <definedName name="SDGSDHET" localSheetId="3" hidden="1">{"'Sheet1'!$L$16"}</definedName>
    <definedName name="SDGSDHET" hidden="1">{"'Sheet1'!$L$16"}</definedName>
    <definedName name="SDGWRSRWG" localSheetId="3" hidden="1">{"'Sheet1'!$L$16"}</definedName>
    <definedName name="SDGWRSRWG" hidden="1">{"'Sheet1'!$L$16"}</definedName>
    <definedName name="sds" localSheetId="3" hidden="1">{"'Sheet1'!$L$16"}</definedName>
    <definedName name="sds" hidden="1">{"'Sheet1'!$L$16"}</definedName>
    <definedName name="sdsad" localSheetId="3" hidden="1">#REF!</definedName>
    <definedName name="sdsad" hidden="1">#REF!</definedName>
    <definedName name="sdsadasdasd" localSheetId="3" hidden="1">{#N/A,#N/A,TRUE,"BT M200 da 10x20"}</definedName>
    <definedName name="sdsadasdasd" hidden="1">{#N/A,#N/A,TRUE,"BT M200 da 10x20"}</definedName>
    <definedName name="SDSD" localSheetId="3" hidden="1">{#N/A,#N/A,FALSE,"Sheet1";#N/A,#N/A,FALSE,"Sheet3";#N/A,#N/A,FALSE,"Sheet5"}</definedName>
    <definedName name="SDSD" hidden="1">{#N/A,#N/A,FALSE,"Sheet1";#N/A,#N/A,FALSE,"Sheet3";#N/A,#N/A,FALSE,"Sheet5"}</definedName>
    <definedName name="SDSDS" localSheetId="3" hidden="1">#REF!</definedName>
    <definedName name="SDSDS" hidden="1">#REF!</definedName>
    <definedName name="SDSDSD" localSheetId="3" hidden="1">#REF!</definedName>
    <definedName name="SDSDSD" hidden="1">#REF!</definedName>
    <definedName name="sdsdwdwdd" localSheetId="3" hidden="1">#REF!</definedName>
    <definedName name="sdsdwdwdd" hidden="1">#REF!</definedName>
    <definedName name="sdsf" localSheetId="3" hidden="1">#REF!</definedName>
    <definedName name="sdsf" hidden="1">#REF!</definedName>
    <definedName name="SDTB" localSheetId="3" hidden="1">#REF!</definedName>
    <definedName name="SDTB" hidden="1">#REF!</definedName>
    <definedName name="sdvcxvcvxc" localSheetId="3" hidden="1">#REF!</definedName>
    <definedName name="sdvcxvcvxc" hidden="1">#REF!</definedName>
    <definedName name="sdz" localSheetId="3" hidden="1">{"'Sheet1'!$L$16"}</definedName>
    <definedName name="sdz" hidden="1">{"'Sheet1'!$L$16"}</definedName>
    <definedName name="SEC.C1" localSheetId="3" hidden="1">#REF!</definedName>
    <definedName name="SEC.C1" hidden="1">#REF!</definedName>
    <definedName name="seet2" localSheetId="3" hidden="1">{"'Sheet1'!$L$16"}</definedName>
    <definedName name="seet2" hidden="1">{"'Sheet1'!$L$16"}</definedName>
    <definedName name="sẻewr" localSheetId="3" hidden="1">#REF!</definedName>
    <definedName name="sẻewr" hidden="1">#REF!</definedName>
    <definedName name="SEGSD" localSheetId="3" hidden="1">{"NGUYEN QUI THIEP - Personal View",#N/A,FALSE,"XDCB.HT.FUR."}</definedName>
    <definedName name="SEGSD" hidden="1">{"NGUYEN QUI THIEP - Personal View",#N/A,FALSE,"XDCB.HT.FUR."}</definedName>
    <definedName name="sencount" hidden="1">1</definedName>
    <definedName name="seytru" localSheetId="3" hidden="1">{"'Sheet1'!$L$16"}</definedName>
    <definedName name="seytru" hidden="1">{"'Sheet1'!$L$16"}</definedName>
    <definedName name="sf" localSheetId="3" hidden="1">{"'Sheet1'!$L$16"}</definedName>
    <definedName name="sf" hidden="1">{"'Sheet1'!$L$16"}</definedName>
    <definedName name="SFA" localSheetId="3" hidden="1">#REF!</definedName>
    <definedName name="SFA" hidden="1">#REF!</definedName>
    <definedName name="SFasfa" localSheetId="3" hidden="1">{"'Sheet1'!$L$16"}</definedName>
    <definedName name="SFasfa" hidden="1">{"'Sheet1'!$L$16"}</definedName>
    <definedName name="SFBAS" localSheetId="3" hidden="1">{"'Sheet1'!$L$16"}</definedName>
    <definedName name="SFBAS" hidden="1">{"'Sheet1'!$L$16"}</definedName>
    <definedName name="sfdgdfgfhgjgjgjghj" localSheetId="3" hidden="1">#REF!</definedName>
    <definedName name="sfdgdfgfhgjgjgjghj" hidden="1">#REF!</definedName>
    <definedName name="sfdgn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localSheetId="3" hidden="1">{"'Sheet1'!$L$16"}</definedName>
    <definedName name="SFEFSG" hidden="1">{"'Sheet1'!$L$16"}</definedName>
    <definedName name="sfgjh" localSheetId="3" hidden="1">#REF!</definedName>
    <definedName name="sfgjh" hidden="1">#REF!</definedName>
    <definedName name="sfs" localSheetId="3" hidden="1">#REF!</definedName>
    <definedName name="sfs" hidden="1">#REF!</definedName>
    <definedName name="sfsd" localSheetId="3" hidden="1">{"'Sheet1'!$L$16"}</definedName>
    <definedName name="sfsd" hidden="1">{"'Sheet1'!$L$16"}</definedName>
    <definedName name="sfsdg" localSheetId="3" hidden="1">{"'Sheet1'!$L$16"}</definedName>
    <definedName name="sfsdg" hidden="1">{"'Sheet1'!$L$16"}</definedName>
    <definedName name="sgfg" localSheetId="3" hidden="1">{#N/A,#N/A,FALSE,"Chi tiÆt"}</definedName>
    <definedName name="sgfg" hidden="1">{#N/A,#N/A,FALSE,"Chi tiÆt"}</definedName>
    <definedName name="sgfhsdhe" localSheetId="3" hidden="1">{"'Sheet1'!$L$16"}</definedName>
    <definedName name="sgfhsdhe" hidden="1">{"'Sheet1'!$L$16"}</definedName>
    <definedName name="SGG" localSheetId="3" hidden="1">{"'Sheet1'!$L$16"}</definedName>
    <definedName name="SGG" hidden="1">{"'Sheet1'!$L$16"}</definedName>
    <definedName name="sgjhk" localSheetId="3" hidden="1">{"'Sheet1'!$L$16"}</definedName>
    <definedName name="sgjhk" hidden="1">{"'Sheet1'!$L$16"}</definedName>
    <definedName name="sgsdg" localSheetId="3" hidden="1">{"'Sheet1'!$L$16"}</definedName>
    <definedName name="sgsdg" hidden="1">{"'Sheet1'!$L$16"}</definedName>
    <definedName name="sgsr" localSheetId="3" hidden="1">{"'Sheet1'!$L$16"}</definedName>
    <definedName name="sgsr" hidden="1">{"'Sheet1'!$L$16"}</definedName>
    <definedName name="shdf" localSheetId="3" hidden="1">#REF!</definedName>
    <definedName name="shdf" hidden="1">#REF!</definedName>
    <definedName name="sheet" localSheetId="3" hidden="1">{"'Sheet1'!$L$16"}</definedName>
    <definedName name="sheet" hidden="1">{"'Sheet1'!$L$16"}</definedName>
    <definedName name="sheet2" localSheetId="3" hidden="1">{"'Sheet1'!$L$16"}</definedName>
    <definedName name="sheet2" hidden="1">{"'Sheet1'!$L$16"}</definedName>
    <definedName name="sheet3" localSheetId="3" hidden="1">{"NGUYEN QUI THIEP - Personal View",#N/A,FALSE,"XDCB.HT.FUR."}</definedName>
    <definedName name="sheet3" hidden="1">{"NGUYEN QUI THIEP - Personal View",#N/A,FALSE,"XDCB.HT.FUR."}</definedName>
    <definedName name="sheet4" localSheetId="3" hidden="1">{"NGUYEN QUI THIEP - Personal View",#N/A,FALSE,"XDCB.HT.FUR."}</definedName>
    <definedName name="sheet4" hidden="1">{"NGUYEN QUI THIEP - Personal View",#N/A,FALSE,"XDCB.HT.FUR."}</definedName>
    <definedName name="Sheûet" localSheetId="3" hidden="1">{"'Sheet1'!$L$16"}</definedName>
    <definedName name="Sheûet" hidden="1">{"'Sheet1'!$L$16"}</definedName>
    <definedName name="Sheûet_1" localSheetId="3" hidden="1">{"'Sheet1'!$L$16"}</definedName>
    <definedName name="Sheûet_1" hidden="1">{"'Sheet1'!$L$16"}</definedName>
    <definedName name="shfgskfj" localSheetId="3" hidden="1">{"'Sheet1'!$L$16"}</definedName>
    <definedName name="shfgskfj" hidden="1">{"'Sheet1'!$L$16"}</definedName>
    <definedName name="SHGREGER" localSheetId="3" hidden="1">{"NGUYEN QUI THIEP - Personal View",#N/A,FALSE,"XDCB.HT.FUR."}</definedName>
    <definedName name="SHGREGER" hidden="1">{"NGUYEN QUI THIEP - Personal View",#N/A,FALSE,"XDCB.HT.FUR."}</definedName>
    <definedName name="shsrhtr" localSheetId="3" hidden="1">{"'Sheet1'!$L$16"}</definedName>
    <definedName name="shsrhtr" hidden="1">{"'Sheet1'!$L$16"}</definedName>
    <definedName name="sÎee" localSheetId="3" hidden="1">{"'Sheet1'!$L$16"}</definedName>
    <definedName name="sÎee" hidden="1">{"'Sheet1'!$L$16"}</definedName>
    <definedName name="sinh" localSheetId="3" hidden="1">{"'Sheet1'!$L$16"}</definedName>
    <definedName name="sinh" hidden="1">{"'Sheet1'!$L$16"}</definedName>
    <definedName name="sinh1" localSheetId="3" hidden="1">{"'Sheet1'!$L$16"}</definedName>
    <definedName name="sinh1" hidden="1">{"'Sheet1'!$L$16"}</definedName>
    <definedName name="SITE_EXPENSE" localSheetId="3" hidden="1">#REF!</definedName>
    <definedName name="SITE_EXPENSE" hidden="1">#REF!</definedName>
    <definedName name="site1" localSheetId="3" hidden="1">#REF!</definedName>
    <definedName name="site1" hidden="1">#REF!</definedName>
    <definedName name="SLT" localSheetId="3" hidden="1">{"'Sheet1'!$L$16"}</definedName>
    <definedName name="SLT" hidden="1">{"'Sheet1'!$L$16"}</definedName>
    <definedName name="sodu" localSheetId="3" hidden="1">{"'Sheet1'!$L$16"}</definedName>
    <definedName name="sodu" hidden="1">{"'Sheet1'!$L$16"}</definedName>
    <definedName name="Sosanh2" localSheetId="3" hidden="1">{"'Sheet1'!$L$16"}</definedName>
    <definedName name="Sosanh2" hidden="1">{"'Sheet1'!$L$16"}</definedName>
    <definedName name="SpecialPrice" localSheetId="3" hidden="1">#REF!</definedName>
    <definedName name="SpecialPrice" hidden="1">#REF!</definedName>
    <definedName name="SRTWER" localSheetId="3" hidden="1">{"'Sheet1'!$L$16"}</definedName>
    <definedName name="SRTWER" hidden="1">{"'Sheet1'!$L$16"}</definedName>
    <definedName name="srtynetu6e7u" localSheetId="3" hidden="1">{"'Sheet1'!$L$16"}</definedName>
    <definedName name="srtynetu6e7u" hidden="1">{"'Sheet1'!$L$16"}</definedName>
    <definedName name="SS" localSheetId="3" hidden="1">{"'Sheet1'!$L$16"}</definedName>
    <definedName name="SS" hidden="1">{"'Sheet1'!$L$16"}</definedName>
    <definedName name="sss" localSheetId="3" hidden="1">{"'Sheet1'!$L$16"}</definedName>
    <definedName name="sss" hidden="1">{"'Sheet1'!$L$16"}</definedName>
    <definedName name="ssss" localSheetId="3" hidden="1">#REF!</definedName>
    <definedName name="ssss" hidden="1">#REF!</definedName>
    <definedName name="ssssssss" localSheetId="3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localSheetId="3" hidden="1">{"'Sheet1'!$L$16"}</definedName>
    <definedName name="STHHHH" hidden="1">{"'Sheet1'!$L$16"}</definedName>
    <definedName name="styb5y57u" localSheetId="3" hidden="1">{"'Sheet1'!$L$16"}</definedName>
    <definedName name="styb5y57u" hidden="1">{"'Sheet1'!$L$16"}</definedName>
    <definedName name="sumimasenn" localSheetId="3" hidden="1">{"'Sheet1'!$L$16"}</definedName>
    <definedName name="sumimasenn" hidden="1">{"'Sheet1'!$L$16"}</definedName>
    <definedName name="summar" localSheetId="3" hidden="1">{#N/A,#N/A,TRUE,"SUM";#N/A,#N/A,TRUE,"EE";#N/A,#N/A,TRUE,"AC";#N/A,#N/A,TRUE,"SN"}</definedName>
    <definedName name="summar" hidden="1">{#N/A,#N/A,TRUE,"SUM";#N/A,#N/A,TRUE,"EE";#N/A,#N/A,TRUE,"AC";#N/A,#N/A,TRUE,"SN"}</definedName>
    <definedName name="SumNo.5" localSheetId="3" hidden="1">{"'Sheet1'!$L$16"}</definedName>
    <definedName name="SumNo.5" hidden="1">{"'Sheet1'!$L$16"}</definedName>
    <definedName name="SUOIDOI2" localSheetId="3" hidden="1">{"'Sheet1'!$L$16"}</definedName>
    <definedName name="SUOIDOI2" hidden="1">{"'Sheet1'!$L$16"}</definedName>
    <definedName name="T" localSheetId="3" hidden="1">#REF!</definedName>
    <definedName name="T" hidden="1">#REF!</definedName>
    <definedName name="T.3" localSheetId="3" hidden="1">{"'Sheet1'!$L$16"}</definedName>
    <definedName name="T.3" hidden="1">{"'Sheet1'!$L$16"}</definedName>
    <definedName name="T18TL2" localSheetId="3" hidden="1">{"'Sheet1'!$L$16"}</definedName>
    <definedName name="T18TL2" hidden="1">{"'Sheet1'!$L$16"}</definedName>
    <definedName name="T1PC" localSheetId="3" hidden="1">{"'Sheet1'!$L$16"}</definedName>
    <definedName name="T1PC" hidden="1">{"'Sheet1'!$L$16"}</definedName>
    <definedName name="T7Q3" localSheetId="3" hidden="1">{"'Sheet1'!$L$16"}</definedName>
    <definedName name="T7Q3" hidden="1">{"'Sheet1'!$L$16"}</definedName>
    <definedName name="TamdanTB" localSheetId="3" hidden="1">{"'Sheet1'!$L$16"}</definedName>
    <definedName name="TamdanTB" hidden="1">{"'Sheet1'!$L$16"}</definedName>
    <definedName name="tamm" localSheetId="3" hidden="1">{"'Sheet1'!$L$16"}</definedName>
    <definedName name="tamm" hidden="1">{"'Sheet1'!$L$16"}</definedName>
    <definedName name="tammm" localSheetId="3" hidden="1">{"'Sheet1'!$L$16"}</definedName>
    <definedName name="tammm" hidden="1">{"'Sheet1'!$L$16"}</definedName>
    <definedName name="tammmm" localSheetId="3" hidden="1">{#N/A,#N/A,FALSE,"Chi tiÆt"}</definedName>
    <definedName name="tammmm" hidden="1">{#N/A,#N/A,FALSE,"Chi tiÆt"}</definedName>
    <definedName name="tan" localSheetId="3" hidden="1">{"'Sheet1'!$L$16"}</definedName>
    <definedName name="tan" hidden="1">{"'Sheet1'!$L$16"}</definedName>
    <definedName name="Tang" localSheetId="3" hidden="1">{"'Sheet1'!$L$16"}</definedName>
    <definedName name="Tang" hidden="1">{"'Sheet1'!$L$16"}</definedName>
    <definedName name="tbao" localSheetId="3" hidden="1">{"'Sheet1'!$L$16"}</definedName>
    <definedName name="tbao" hidden="1">{"'Sheet1'!$L$16"}</definedName>
    <definedName name="TBC" localSheetId="3" hidden="1">{"'Sheet1'!$L$16"}</definedName>
    <definedName name="TBC" hidden="1">{"'Sheet1'!$L$16"}</definedName>
    <definedName name="tbl_ProdInfo" localSheetId="3" hidden="1">#REF!</definedName>
    <definedName name="tbl_ProdInfo" hidden="1">#REF!</definedName>
    <definedName name="TBO장비기초단가" localSheetId="3" hidden="1">{"'Sheet1'!$L$16"}</definedName>
    <definedName name="TBO장비기초단가" hidden="1">{"'Sheet1'!$L$16"}</definedName>
    <definedName name="TCC" localSheetId="3" hidden="1">{"'Sheet1'!$L$16"}</definedName>
    <definedName name="TCC" hidden="1">{"'Sheet1'!$L$16"}</definedName>
    <definedName name="TCCQ" localSheetId="3" hidden="1">{"'Sheet1'!$L$16"}</definedName>
    <definedName name="TCCQ" hidden="1">{"'Sheet1'!$L$16"}</definedName>
    <definedName name="TCCq3" localSheetId="3" hidden="1">{"'Sheet1'!$L$16"}</definedName>
    <definedName name="TCCq3" hidden="1">{"'Sheet1'!$L$16"}</definedName>
    <definedName name="tecco" localSheetId="3" hidden="1">{"'Sheet1'!$L$16"}</definedName>
    <definedName name="tecco" hidden="1">{"'Sheet1'!$L$16"}</definedName>
    <definedName name="technical" localSheetId="3" hidden="1">#REF!</definedName>
    <definedName name="technical" hidden="1">#REF!</definedName>
    <definedName name="ten_tab" hidden="1">[2]Control!#REF!</definedName>
    <definedName name="tetrwererw" localSheetId="3" hidden="1">#REF!</definedName>
    <definedName name="tetrwererw" hidden="1">#REF!</definedName>
    <definedName name="tfg" localSheetId="3" hidden="1">{"'Sheet1'!$L$16"}</definedName>
    <definedName name="tfg" hidden="1">{"'Sheet1'!$L$16"}</definedName>
    <definedName name="tfgs" localSheetId="3" hidden="1">{"Offgrid",#N/A,FALSE,"OFFGRID";"Region",#N/A,FALSE,"REGION";"Offgrid -2",#N/A,FALSE,"OFFGRID";"WTP",#N/A,FALSE,"WTP";"WTP -2",#N/A,FALSE,"WTP";"Project",#N/A,FALSE,"PROJECT";"Summary -2",#N/A,FALSE,"SUMMARY"}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localSheetId="3" hidden="1">{"'Sheet1'!$L$16"}</definedName>
    <definedName name="tghj" hidden="1">{"'Sheet1'!$L$16"}</definedName>
    <definedName name="tgưgz" localSheetId="3" hidden="1">{"'Sheet1'!$L$16"}</definedName>
    <definedName name="tgưgz" hidden="1">{"'Sheet1'!$L$16"}</definedName>
    <definedName name="th.xls" localSheetId="3" hidden="1">{"'Sheet1'!$L$16"}</definedName>
    <definedName name="th.xls" hidden="1">{"'Sheet1'!$L$16"}</definedName>
    <definedName name="TH7SP" localSheetId="3" hidden="1">{"'Sheet1'!$L$16"}</definedName>
    <definedName name="TH7SP" hidden="1">{"'Sheet1'!$L$16"}</definedName>
    <definedName name="tha" localSheetId="3" hidden="1">{"'Sheet1'!$L$16"}</definedName>
    <definedName name="tha" hidden="1">{"'Sheet1'!$L$16"}</definedName>
    <definedName name="THAERG" localSheetId="3" hidden="1">{"'Sheet1'!$L$16"}</definedName>
    <definedName name="THAERG" hidden="1">{"'Sheet1'!$L$16"}</definedName>
    <definedName name="thai" localSheetId="3" hidden="1">{"'Sheet1'!$L$16"}</definedName>
    <definedName name="thai" hidden="1">{"'Sheet1'!$L$16"}</definedName>
    <definedName name="Thang" localSheetId="3" hidden="1">{"'Sheet1'!$L$16"}</definedName>
    <definedName name="Thang" hidden="1">{"'Sheet1'!$L$16"}</definedName>
    <definedName name="Thang1" localSheetId="3" hidden="1">{"'Sheet1'!$L$16"}</definedName>
    <definedName name="Thang1" hidden="1">{"'Sheet1'!$L$16"}</definedName>
    <definedName name="thang10" localSheetId="3" hidden="1">{"'Sheet1'!$L$16"}</definedName>
    <definedName name="thang10" hidden="1">{"'Sheet1'!$L$16"}</definedName>
    <definedName name="thang10.d3" localSheetId="3" hidden="1">{"'Sheet1'!$L$16"}</definedName>
    <definedName name="thang10.d3" hidden="1">{"'Sheet1'!$L$16"}</definedName>
    <definedName name="Thang12" localSheetId="3" hidden="1">{"'Sheet1'!$L$16"}</definedName>
    <definedName name="Thang12" hidden="1">{"'Sheet1'!$L$16"}</definedName>
    <definedName name="Thang2" localSheetId="3" hidden="1">{"'Sheet1'!$L$16"}</definedName>
    <definedName name="Thang2" hidden="1">{"'Sheet1'!$L$16"}</definedName>
    <definedName name="THANH" localSheetId="3" hidden="1">{"'Sheet1'!$L$16"}</definedName>
    <definedName name="THANH" hidden="1">{"'Sheet1'!$L$16"}</definedName>
    <definedName name="thao" localSheetId="3" hidden="1">{"'Sheet1'!$L$16"}</definedName>
    <definedName name="thao" hidden="1">{"'Sheet1'!$L$16"}</definedName>
    <definedName name="THC" localSheetId="3" hidden="1">{"'Sheet1'!$L$16"}</definedName>
    <definedName name="THC" hidden="1">{"'Sheet1'!$L$16"}</definedName>
    <definedName name="thcc" localSheetId="3" hidden="1">{"'Sheet1'!$L$16"}</definedName>
    <definedName name="thcc" hidden="1">{"'Sheet1'!$L$16"}</definedName>
    <definedName name="THcong" localSheetId="3" hidden="1">{"'Sheet1'!$L$16"}</definedName>
    <definedName name="THcong" hidden="1">{"'Sheet1'!$L$16"}</definedName>
    <definedName name="THCP2" localSheetId="3" hidden="1">{"'Sheet1'!$L$16"}</definedName>
    <definedName name="THCP2" hidden="1">{"'Sheet1'!$L$16"}</definedName>
    <definedName name="THCPCTD" localSheetId="3" hidden="1">{"'Sheet1'!$L$16"}</definedName>
    <definedName name="THCPCTD" hidden="1">{"'Sheet1'!$L$16"}</definedName>
    <definedName name="THCT" localSheetId="3" hidden="1">{"'Sheet1'!$L$16"}</definedName>
    <definedName name="THCT" hidden="1">{"'Sheet1'!$L$16"}</definedName>
    <definedName name="them01" localSheetId="3" hidden="1">#REF!</definedName>
    <definedName name="them01" hidden="1">#REF!</definedName>
    <definedName name="Thepsan" localSheetId="3" hidden="1">{"'Sheet1'!$L$16"}</definedName>
    <definedName name="Thepsan" hidden="1">{"'Sheet1'!$L$16"}</definedName>
    <definedName name="thepsan2" localSheetId="3" hidden="1">{"'Sheet1'!$L$16"}</definedName>
    <definedName name="thepsan2" hidden="1">{"'Sheet1'!$L$16"}</definedName>
    <definedName name="THHD" localSheetId="3" hidden="1">{"'Sheet1'!$L$16"}</definedName>
    <definedName name="THHD" hidden="1">{"'Sheet1'!$L$16"}</definedName>
    <definedName name="THHVT" localSheetId="3" hidden="1">{"'Sheet1'!$L$16"}</definedName>
    <definedName name="THHVT" hidden="1">{"'Sheet1'!$L$16"}</definedName>
    <definedName name="Thietbi" localSheetId="3" hidden="1">{"'Sheet1'!$L$16"}</definedName>
    <definedName name="Thietbi" hidden="1">{"'Sheet1'!$L$16"}</definedName>
    <definedName name="thkl" localSheetId="3" hidden="1">#REF!</definedName>
    <definedName name="thkl" hidden="1">#REF!</definedName>
    <definedName name="thkl2" localSheetId="3" hidden="1">{"'Sheet1'!$L$16"}</definedName>
    <definedName name="thkl2" hidden="1">{"'Sheet1'!$L$16"}</definedName>
    <definedName name="thkl3" localSheetId="3" hidden="1">{"'Sheet1'!$L$16"}</definedName>
    <definedName name="thkl3" hidden="1">{"'Sheet1'!$L$16"}</definedName>
    <definedName name="THKLPSM" localSheetId="3" hidden="1">{"'Sheet1'!$L$16"}</definedName>
    <definedName name="THKLPSM" hidden="1">{"'Sheet1'!$L$16"}</definedName>
    <definedName name="THKP" localSheetId="3" hidden="1">{"'Sheet1'!$L$16"}</definedName>
    <definedName name="THKP" hidden="1">{"'Sheet1'!$L$16"}</definedName>
    <definedName name="THKP1" localSheetId="3" hidden="1">{"'Sheet1'!$L$16"}</definedName>
    <definedName name="THKP1" hidden="1">{"'Sheet1'!$L$16"}</definedName>
    <definedName name="THKP7YT" localSheetId="3" hidden="1">{"'Sheet1'!$L$16"}</definedName>
    <definedName name="THKP7YT" hidden="1">{"'Sheet1'!$L$16"}</definedName>
    <definedName name="THKPM8" localSheetId="3" hidden="1">{"'Sheet1'!$L$16"}</definedName>
    <definedName name="THKPM8" hidden="1">{"'Sheet1'!$L$16"}</definedName>
    <definedName name="THLeloi" localSheetId="3" hidden="1">{"'Sheet1'!$L$16"}</definedName>
    <definedName name="THLeloi" hidden="1">{"'Sheet1'!$L$16"}</definedName>
    <definedName name="THNgHue" localSheetId="3" hidden="1">{"'Sheet1'!$L$16"}</definedName>
    <definedName name="THNgHue" hidden="1">{"'Sheet1'!$L$16"}</definedName>
    <definedName name="THNgThHoc" localSheetId="3" hidden="1">{"'Sheet1'!$L$16"}</definedName>
    <definedName name="THNgThHoc" hidden="1">{"'Sheet1'!$L$16"}</definedName>
    <definedName name="THQT" localSheetId="3" hidden="1">{#N/A,#N/A,FALSE,"Chi tiÆt"}</definedName>
    <definedName name="THQT" hidden="1">{#N/A,#N/A,FALSE,"Chi tiÆt"}</definedName>
    <definedName name="thqtpsg" localSheetId="3" hidden="1">{"'Sheet1'!$L$16"}</definedName>
    <definedName name="thqtpsg" hidden="1">{"'Sheet1'!$L$16"}</definedName>
    <definedName name="THQuiCapChan" localSheetId="3" hidden="1">{"'Sheet1'!$L$16"}</definedName>
    <definedName name="THQuiCapChan" hidden="1">{"'Sheet1'!$L$16"}</definedName>
    <definedName name="thQuicaple" localSheetId="3" hidden="1">{"'Sheet1'!$L$16"}</definedName>
    <definedName name="thQuicaple" hidden="1">{"'Sheet1'!$L$16"}</definedName>
    <definedName name="THTranPhu" localSheetId="3" hidden="1">{"'Sheet1'!$L$16"}</definedName>
    <definedName name="THTranPhu" hidden="1">{"'Sheet1'!$L$16"}</definedName>
    <definedName name="thtyhyjyjyjyjjjyujyj" localSheetId="3" hidden="1">#REF!</definedName>
    <definedName name="thtyhyjyjyjyjjjyujyj" hidden="1">#REF!</definedName>
    <definedName name="thu" localSheetId="3" hidden="1">{"'Sheet1'!$L$16"}</definedName>
    <definedName name="thu" hidden="1">{"'Sheet1'!$L$16"}</definedName>
    <definedName name="Thuan" localSheetId="3" hidden="1">{"'Sheet1'!$L$16"}</definedName>
    <definedName name="Thuan" hidden="1">{"'Sheet1'!$L$16"}</definedName>
    <definedName name="thuû" localSheetId="3" hidden="1">{"'Sheet1'!$L$16"}</definedName>
    <definedName name="thuû" hidden="1">{"'Sheet1'!$L$16"}</definedName>
    <definedName name="thuy" localSheetId="3" hidden="1">{"'Sheet1'!$L$16"}</definedName>
    <definedName name="thuy" hidden="1">{"'Sheet1'!$L$16"}</definedName>
    <definedName name="thvlmoi" localSheetId="3" hidden="1">{"'Sheet1'!$L$16"}</definedName>
    <definedName name="thvlmoi" hidden="1">{"'Sheet1'!$L$16"}</definedName>
    <definedName name="thvlmoimoi" localSheetId="3" hidden="1">{"'Sheet1'!$L$16"}</definedName>
    <definedName name="thvlmoimoi" hidden="1">{"'Sheet1'!$L$16"}</definedName>
    <definedName name="THXD2" localSheetId="3" hidden="1">{"'Sheet1'!$L$16"}</definedName>
    <definedName name="THXD2" hidden="1">{"'Sheet1'!$L$16"}</definedName>
    <definedName name="TIENDOGIAINGAN" localSheetId="3" hidden="1">#REF!</definedName>
    <definedName name="TIENDOGIAINGAN" hidden="1">#REF!</definedName>
    <definedName name="tieude2" localSheetId="3" hidden="1">{"'Sheet1'!$L$16"}</definedName>
    <definedName name="tieude2" hidden="1">{"'Sheet1'!$L$16"}</definedName>
    <definedName name="TIM" localSheetId="3" hidden="1">{"'Sheet1'!$L$16"}</definedName>
    <definedName name="TIM" hidden="1">{"'Sheet1'!$L$16"}</definedName>
    <definedName name="TINH" localSheetId="3" hidden="1">{#N/A,#N/A,FALSE,"CCTV"}</definedName>
    <definedName name="TINH" hidden="1">{#N/A,#N/A,FALSE,"CCTV"}</definedName>
    <definedName name="tinhlun" localSheetId="3" hidden="1">{"'Sheet1'!$L$16"}</definedName>
    <definedName name="tinhlun" hidden="1">{"'Sheet1'!$L$16"}</definedName>
    <definedName name="tjhtrjntrsjnsr" localSheetId="3" hidden="1">{"'Sheet1'!$L$16"}</definedName>
    <definedName name="tjhtrjntrsjnsr" hidden="1">{"'Sheet1'!$L$16"}</definedName>
    <definedName name="TKCT1" localSheetId="3" hidden="1">{"'Sheet1'!$L$16"}</definedName>
    <definedName name="TKCT1" hidden="1">{"'Sheet1'!$L$16"}</definedName>
    <definedName name="TKHKIIKT30C1" localSheetId="3" hidden="1">{"'Sheet1'!$L$16"}</definedName>
    <definedName name="TKHKIIKT30C1" hidden="1">{"'Sheet1'!$L$16"}</definedName>
    <definedName name="tlc" localSheetId="3" hidden="1">{"'Sheet1'!$L$16"}</definedName>
    <definedName name="tlc" hidden="1">{"'Sheet1'!$L$16"}</definedName>
    <definedName name="TLP" localSheetId="3" hidden="1">{#N/A,#N/A,FALSE,"Chi tiÆt"}</definedName>
    <definedName name="TLP" hidden="1">{#N/A,#N/A,FALSE,"Chi tiÆt"}</definedName>
    <definedName name="TLPMG" localSheetId="3" hidden="1">{"'Sheet1'!$L$16"}</definedName>
    <definedName name="TLPMG" hidden="1">{"'Sheet1'!$L$16"}</definedName>
    <definedName name="tLRANH1" localSheetId="3" hidden="1">{"'Sheet1'!$L$16"}</definedName>
    <definedName name="tLRANH1" hidden="1">{"'Sheet1'!$L$16"}</definedName>
    <definedName name="tls" localSheetId="3" hidden="1">{"'Sheet1'!$L$16"}</definedName>
    <definedName name="tls" hidden="1">{"'Sheet1'!$L$16"}</definedName>
    <definedName name="TLVL" localSheetId="3" hidden="1">{"'Sheet1'!$L$16"}</definedName>
    <definedName name="TLVL" hidden="1">{"'Sheet1'!$L$16"}</definedName>
    <definedName name="TM" localSheetId="3" hidden="1">{"'Sheet1'!$L$16"}</definedName>
    <definedName name="TM" hidden="1">{"'Sheet1'!$L$16"}</definedName>
    <definedName name="tnclt9.2" localSheetId="3" hidden="1">{"'Sheet1'!$L$16"}</definedName>
    <definedName name="tnclt9.2" hidden="1">{"'Sheet1'!$L$16"}</definedName>
    <definedName name="to" localSheetId="3" hidden="1">{"'Sheet1'!$L$16"}</definedName>
    <definedName name="to" hidden="1">{"'Sheet1'!$L$16"}</definedName>
    <definedName name="toan" localSheetId="3" hidden="1">{"'Sheet1'!$L$16"}</definedName>
    <definedName name="toan" hidden="1">{"'Sheet1'!$L$16"}</definedName>
    <definedName name="tong2" localSheetId="3" hidden="1">{"'Sheet1'!$L$16"}</definedName>
    <definedName name="tong2" hidden="1">{"'Sheet1'!$L$16"}</definedName>
    <definedName name="tphuoc" localSheetId="3" hidden="1">{"'Sheet1'!$L$16"}</definedName>
    <definedName name="tphuoc" hidden="1">{"'Sheet1'!$L$16"}</definedName>
    <definedName name="TR" localSheetId="3" hidden="1">#REF!</definedName>
    <definedName name="TR" hidden="1">#REF!</definedName>
    <definedName name="Tram" localSheetId="3" hidden="1">{"'Sheet1'!$L$16"}</definedName>
    <definedName name="Tram" hidden="1">{"'Sheet1'!$L$16"}</definedName>
    <definedName name="trd" localSheetId="3" hidden="1">{"'Sheet1'!$L$16"}</definedName>
    <definedName name="trd" hidden="1">{"'Sheet1'!$L$16"}</definedName>
    <definedName name="TREIJ" localSheetId="3" hidden="1">#REF!</definedName>
    <definedName name="TREIJ" hidden="1">#REF!</definedName>
    <definedName name="trgy" localSheetId="3" hidden="1">{"'Sheet1'!$L$16"}</definedName>
    <definedName name="trgy" hidden="1">{"'Sheet1'!$L$16"}</definedName>
    <definedName name="TRHEH" localSheetId="3" hidden="1">{"'Sheet1'!$L$16"}</definedName>
    <definedName name="TRHEH" hidden="1">{"'Sheet1'!$L$16"}</definedName>
    <definedName name="Trong" localSheetId="3" hidden="1">{"'Sheet1'!$L$16"}</definedName>
    <definedName name="Trong" hidden="1">{"'Sheet1'!$L$16"}</definedName>
    <definedName name="trrh" localSheetId="3" hidden="1">{"'Sheet1'!$L$16"}</definedName>
    <definedName name="trrh" hidden="1">{"'Sheet1'!$L$16"}</definedName>
    <definedName name="trtr" localSheetId="3" hidden="1">{"'Sheet1'!$L$16"}</definedName>
    <definedName name="trtr" hidden="1">{"'Sheet1'!$L$16"}</definedName>
    <definedName name="TRUNGNGUYEN" localSheetId="3" hidden="1">{#N/A,#N/A,FALSE,"Chi tiÆt"}</definedName>
    <definedName name="TRUNGNGUYEN" hidden="1">{#N/A,#N/A,FALSE,"Chi tiÆt"}</definedName>
    <definedName name="Truong" localSheetId="3" hidden="1">{#N/A,#N/A,FALSE,"Chi tiÆt"}</definedName>
    <definedName name="Truong" hidden="1">{#N/A,#N/A,FALSE,"Chi tiÆt"}</definedName>
    <definedName name="TRY" localSheetId="3" hidden="1">#REF!</definedName>
    <definedName name="TRY" hidden="1">#REF!</definedName>
    <definedName name="TTSC" localSheetId="3" hidden="1">{"'Sheet1'!$L$16"}</definedName>
    <definedName name="TTSC" hidden="1">{"'Sheet1'!$L$16"}</definedName>
    <definedName name="ttt" localSheetId="3" hidden="1">{"'Sheet1'!$L$16"}</definedName>
    <definedName name="ttt" hidden="1">{"'Sheet1'!$L$16"}</definedName>
    <definedName name="ttttt" localSheetId="3" hidden="1">#REF!</definedName>
    <definedName name="ttttt" hidden="1">#REF!</definedName>
    <definedName name="ｔｔｔｔｔ" localSheetId="3" hidden="1">{"'Sheet1'!$L$16"}</definedName>
    <definedName name="ｔｔｔｔｔ" hidden="1">{"'Sheet1'!$L$16"}</definedName>
    <definedName name="TU" localSheetId="3" hidden="1">{"'Sheet1'!$L$16"}</definedName>
    <definedName name="TU" hidden="1">{"'Sheet1'!$L$16"}</definedName>
    <definedName name="tuam" localSheetId="3" hidden="1">{"'Sheet1'!$L$16"}</definedName>
    <definedName name="tuam" hidden="1">{"'Sheet1'!$L$16"}</definedName>
    <definedName name="tuan" localSheetId="3" hidden="1">{"'Sheet1'!$L$16"}</definedName>
    <definedName name="tuan" hidden="1">{"'Sheet1'!$L$16"}</definedName>
    <definedName name="tuan03" localSheetId="3" hidden="1">{"'Sheet1'!$L$16"}</definedName>
    <definedName name="tuan03" hidden="1">{"'Sheet1'!$L$16"}</definedName>
    <definedName name="tuan2" localSheetId="3" hidden="1">{"'Sheet1'!$L$16"}</definedName>
    <definedName name="tuan2" hidden="1">{"'Sheet1'!$L$16"}</definedName>
    <definedName name="tuan47" localSheetId="3" hidden="1">{"'Sheet1'!$L$16"}</definedName>
    <definedName name="tuan47" hidden="1">{"'Sheet1'!$L$16"}</definedName>
    <definedName name="tuan48" localSheetId="3" hidden="1">{"'Sheet1'!$L$16"}</definedName>
    <definedName name="tuan48" hidden="1">{"'Sheet1'!$L$16"}</definedName>
    <definedName name="Tuan49" localSheetId="3" hidden="1">{"'Sheet1'!$L$16"}</definedName>
    <definedName name="Tuan49" hidden="1">{"'Sheet1'!$L$16"}</definedName>
    <definedName name="tuan52" localSheetId="3" hidden="1">{"'Sheet1'!$L$16"}</definedName>
    <definedName name="tuan52" hidden="1">{"'Sheet1'!$L$16"}</definedName>
    <definedName name="tuan53" localSheetId="3" hidden="1">{"'Sheet1'!$L$16"}</definedName>
    <definedName name="tuan53" hidden="1">{"'Sheet1'!$L$16"}</definedName>
    <definedName name="tuan55" localSheetId="3" hidden="1">{"'Sheet1'!$L$16"}</definedName>
    <definedName name="tuan55" hidden="1">{"'Sheet1'!$L$16"}</definedName>
    <definedName name="tuan57" localSheetId="3" hidden="1">{"'Sheet1'!$L$16"}</definedName>
    <definedName name="tuan57" hidden="1">{"'Sheet1'!$L$16"}</definedName>
    <definedName name="TUANKHANHTUYET45" localSheetId="3" hidden="1">{0}</definedName>
    <definedName name="TUANKHANHTUYET45" hidden="1">{0}</definedName>
    <definedName name="TUKHKJT" localSheetId="3" hidden="1">{"'Sheet1'!$L$16"}</definedName>
    <definedName name="TUKHKJT" hidden="1">{"'Sheet1'!$L$16"}</definedName>
    <definedName name="tuyen" localSheetId="3" hidden="1">{"'Sheet1'!$L$16"}</definedName>
    <definedName name="tuyen" hidden="1">{"'Sheet1'!$L$16"}</definedName>
    <definedName name="tuyennhanh" localSheetId="3" hidden="1">{"'Sheet1'!$L$16"}</definedName>
    <definedName name="tuyennhanh" hidden="1">{"'Sheet1'!$L$16"}</definedName>
    <definedName name="tuyennhanh6" localSheetId="3" hidden="1">{"'Sheet1'!$L$16"}</definedName>
    <definedName name="tuyennhanh6" hidden="1">{"'Sheet1'!$L$16"}</definedName>
    <definedName name="tuynen" localSheetId="3" hidden="1">{"'Sheet1'!$L$16"}</definedName>
    <definedName name="tuynen" hidden="1">{"'Sheet1'!$L$16"}</definedName>
    <definedName name="ty" localSheetId="3" hidden="1">{"'Sheet1'!$L$16"}</definedName>
    <definedName name="ty" hidden="1">{"'Sheet1'!$L$16"}</definedName>
    <definedName name="tyu" localSheetId="3" hidden="1">{"'Sheet1'!$L$16"}</definedName>
    <definedName name="tyu" hidden="1">{"'Sheet1'!$L$16"}</definedName>
    <definedName name="tyutuii" localSheetId="3" hidden="1">#REF!</definedName>
    <definedName name="tyutuii" hidden="1">#REF!</definedName>
    <definedName name="tyututeyu" localSheetId="3" hidden="1">#REF!</definedName>
    <definedName name="tyututeyu" hidden="1">#REF!</definedName>
    <definedName name="ư" localSheetId="3" hidden="1">{"'Sheet1'!$L$16"}</definedName>
    <definedName name="ư" hidden="1">{"'Sheet1'!$L$16"}</definedName>
    <definedName name="ự" localSheetId="3" hidden="1">{"'Sheet1'!$L$16"}</definedName>
    <definedName name="ự" hidden="1">{"'Sheet1'!$L$16"}</definedName>
    <definedName name="ư3435" localSheetId="3" hidden="1">#REF!</definedName>
    <definedName name="ư3435" hidden="1">#REF!</definedName>
    <definedName name="uassw_sh" localSheetId="3" hidden="1">{"'Sheet1'!$L$16"}</definedName>
    <definedName name="uassw_sh" hidden="1">{"'Sheet1'!$L$16"}</definedName>
    <definedName name="UBDT" localSheetId="3" hidden="1">{"'Sheet1'!$L$16"}</definedName>
    <definedName name="UBDT" hidden="1">{"'Sheet1'!$L$16"}</definedName>
    <definedName name="Ud" localSheetId="3" hidden="1">#REF!</definedName>
    <definedName name="Ud" hidden="1">#REF!</definedName>
    <definedName name="ừd" localSheetId="3" hidden="1">{"'Sheet1'!$L$16"}</definedName>
    <definedName name="ừd" hidden="1">{"'Sheet1'!$L$16"}</definedName>
    <definedName name="úengg" localSheetId="3" hidden="1">{"'Sheet1'!$L$16"}</definedName>
    <definedName name="úengg" hidden="1">{"'Sheet1'!$L$16"}</definedName>
    <definedName name="ƯERWER" localSheetId="3" hidden="1">{"'Sheet1'!$L$16"}</definedName>
    <definedName name="ƯERWER" hidden="1">{"'Sheet1'!$L$16"}</definedName>
    <definedName name="ưerwerewr" localSheetId="3" hidden="1">{"'Sheet1'!$L$16"}</definedName>
    <definedName name="ưerwerewr" hidden="1">{"'Sheet1'!$L$16"}</definedName>
    <definedName name="ukluy" localSheetId="3" hidden="1">{"'Sheet1'!$L$16"}</definedName>
    <definedName name="ukluy" hidden="1">{"'Sheet1'!$L$16"}</definedName>
    <definedName name="UL" localSheetId="3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localSheetId="3" hidden="1">#REF!</definedName>
    <definedName name="UNIT" hidden="1">#REF!</definedName>
    <definedName name="unk" localSheetId="3" hidden="1">{"'Sheet1'!$L$16"}</definedName>
    <definedName name="unk" hidden="1">{"'Sheet1'!$L$16"}</definedName>
    <definedName name="ủnt" localSheetId="3" hidden="1">{"'Sheet1'!$L$16"}</definedName>
    <definedName name="ủnt" hidden="1">{"'Sheet1'!$L$16"}</definedName>
    <definedName name="ưqwqewq" localSheetId="3" hidden="1">#REF!</definedName>
    <definedName name="ưqwqewq" hidden="1">#REF!</definedName>
    <definedName name="UTWER" localSheetId="3" hidden="1">{"'Sheet1'!$L$16"}</definedName>
    <definedName name="UTWER" hidden="1">{"'Sheet1'!$L$16"}</definedName>
    <definedName name="UU" localSheetId="3" hidden="1">{"'Sheet1'!$L$16"}</definedName>
    <definedName name="UU" hidden="1">{"'Sheet1'!$L$16"}</definedName>
    <definedName name="Uy" localSheetId="3" hidden="1">#REF!</definedName>
    <definedName name="Uy" hidden="1">#REF!</definedName>
    <definedName name="uyi" localSheetId="3" hidden="1">{"'Sheet1'!$L$16"}</definedName>
    <definedName name="uyi" hidden="1">{"'Sheet1'!$L$16"}</definedName>
    <definedName name="ủytỉt" localSheetId="3" hidden="1">{"'Sheet1'!$L$16"}</definedName>
    <definedName name="ủytỉt" hidden="1">{"'Sheet1'!$L$16"}</definedName>
    <definedName name="uytjhtdjtj" localSheetId="3" hidden="1">{"'Sheet1'!$L$16"}</definedName>
    <definedName name="uytjhtdjtj" hidden="1">{"'Sheet1'!$L$16"}</definedName>
    <definedName name="v" localSheetId="3" hidden="1">{"'Sheet1'!$L$16"}</definedName>
    <definedName name="v" hidden="1">{"'Sheet1'!$L$16"}</definedName>
    <definedName name="V.clvl3" localSheetId="3" hidden="1">{"'Sheet1'!$L$16"}</definedName>
    <definedName name="V.clvl3" hidden="1">{"'Sheet1'!$L$16"}</definedName>
    <definedName name="V8.Refresh" localSheetId="3" hidden="1">{"NGUYEN QUI THIEP - Personal View",#N/A,FALSE,"XDCB.HT.FUR."}</definedName>
    <definedName name="V8.Refresh" hidden="1">{"NGUYEN QUI THIEP - Personal View",#N/A,FALSE,"XDCB.HT.FUR."}</definedName>
    <definedName name="VaDate" localSheetId="3" hidden="1">#REF!</definedName>
    <definedName name="VaDate" hidden="1">#REF!</definedName>
    <definedName name="vadvsa" localSheetId="3" hidden="1">{"'Sheet1'!$L$16"}</definedName>
    <definedName name="vadvsa" hidden="1">{"'Sheet1'!$L$16"}</definedName>
    <definedName name="Valve" localSheetId="3" hidden="1">{"'Sheet1'!$L$16"}</definedName>
    <definedName name="Valve" hidden="1">{"'Sheet1'!$L$16"}</definedName>
    <definedName name="van" localSheetId="3" hidden="1">{#N/A,#N/A,FALSE,"Chi tiÆt"}</definedName>
    <definedName name="van" hidden="1">{#N/A,#N/A,FALSE,"Chi tiÆt"}</definedName>
    <definedName name="Vanphong" localSheetId="3" hidden="1">{"'Sheet1'!$L$16"}</definedName>
    <definedName name="Vanphong" hidden="1">{"'Sheet1'!$L$16"}</definedName>
    <definedName name="VarDate" localSheetId="3" hidden="1">#REF!</definedName>
    <definedName name="VarDate" hidden="1">#REF!</definedName>
    <definedName name="VATM" localSheetId="3" hidden="1">{"'Sheet1'!$L$16"}</definedName>
    <definedName name="VATM" hidden="1">{"'Sheet1'!$L$16"}</definedName>
    <definedName name="vb" localSheetId="3" hidden="1">{"'Sheet1'!$L$16"}</definedName>
    <definedName name="vb" hidden="1">{"'Sheet1'!$L$16"}</definedName>
    <definedName name="vbc" localSheetId="3" hidden="1">{"'Sheet1'!$L$16"}</definedName>
    <definedName name="vbc" hidden="1">{"'Sheet1'!$L$16"}</definedName>
    <definedName name="vc" localSheetId="3" hidden="1">{"'Sheet1'!$L$16"}</definedName>
    <definedName name="vc" hidden="1">{"'Sheet1'!$L$16"}</definedName>
    <definedName name="vcbo1" localSheetId="3" hidden="1">{"'Sheet1'!$L$16"}</definedName>
    <definedName name="vcbo1" hidden="1">{"'Sheet1'!$L$16"}</definedName>
    <definedName name="vcoto" localSheetId="3" hidden="1">{"'Sheet1'!$L$16"}</definedName>
    <definedName name="vcoto" hidden="1">{"'Sheet1'!$L$16"}</definedName>
    <definedName name="VCVL" localSheetId="3" hidden="1">{"'Sheet1'!$L$16"}</definedName>
    <definedName name="VCVL" hidden="1">{"'Sheet1'!$L$16"}</definedName>
    <definedName name="vcxvxsdfd" localSheetId="3" hidden="1">#REF!</definedName>
    <definedName name="vcxvxsdfd" hidden="1">#REF!</definedName>
    <definedName name="vdb" localSheetId="3" hidden="1">{"'Sheet1'!$L$16"}</definedName>
    <definedName name="vdb" hidden="1">{"'Sheet1'!$L$16"}</definedName>
    <definedName name="VEN" localSheetId="3" hidden="1">{#N/A,#N/A,TRUE,"SUM";#N/A,#N/A,TRUE,"EE";#N/A,#N/A,TRUE,"AC";#N/A,#N/A,TRUE,"SN"}</definedName>
    <definedName name="VEN" hidden="1">{#N/A,#N/A,TRUE,"SUM";#N/A,#N/A,TRUE,"EE";#N/A,#N/A,TRUE,"AC";#N/A,#N/A,TRUE,"SN"}</definedName>
    <definedName name="vetbun" localSheetId="3" hidden="1">{"'Sheet1'!$L$16"}</definedName>
    <definedName name="vetbun" hidden="1">{"'Sheet1'!$L$16"}</definedName>
    <definedName name="vfdg" localSheetId="3" hidden="1">#REF!</definedName>
    <definedName name="vfdg" hidden="1">#REF!</definedName>
    <definedName name="vgb" localSheetId="3" hidden="1">{"'Sheet1'!$L$16"}</definedName>
    <definedName name="vgb" hidden="1">{"'Sheet1'!$L$16"}</definedName>
    <definedName name="vgho" localSheetId="3" hidden="1">{"'Sheet1'!$L$16"}</definedName>
    <definedName name="vgho" hidden="1">{"'Sheet1'!$L$16"}</definedName>
    <definedName name="vgxghhj" localSheetId="3" hidden="1">{"'Sheet1'!$L$16"}</definedName>
    <definedName name="vgxghhj" hidden="1">{"'Sheet1'!$L$16"}</definedName>
    <definedName name="viet" localSheetId="3" hidden="1">{"'Sheet1'!$L$16"}</definedName>
    <definedName name="viet" hidden="1">{"'Sheet1'!$L$16"}</definedName>
    <definedName name="vinavico" localSheetId="3" hidden="1">{"'Sheet1'!$L$16"}</definedName>
    <definedName name="vinavico" hidden="1">{"'Sheet1'!$L$16"}</definedName>
    <definedName name="vip" localSheetId="3" hidden="1">{"'Sheet1'!$L$16"}</definedName>
    <definedName name="vip" hidden="1">{"'Sheet1'!$L$16"}</definedName>
    <definedName name="vlct" localSheetId="3" hidden="1">{"'Sheet1'!$L$16"}</definedName>
    <definedName name="vlct" hidden="1">{"'Sheet1'!$L$16"}</definedName>
    <definedName name="VLP" localSheetId="3" hidden="1">{"'Sheet1'!$L$16"}</definedName>
    <definedName name="VLP" hidden="1">{"'Sheet1'!$L$16"}</definedName>
    <definedName name="vnd_list" localSheetId="3" hidden="1">{"một";"hai";"ba";"bốn";"năm";"sáu";"bảy";"tám";"chín";"mười";"mươi";"mốt";"lăm";"trăm";"nghìn";"triệu";"tỷ";"lẻ";"không trăm";"Bằng chử : 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localSheetId="3" hidden="1">{#N/A,#N/A,FALSE,"Sheet1";#N/A,#N/A,FALSE,"Sheet3";#N/A,#N/A,FALSE,"Sheet5"}</definedName>
    <definedName name="VOLTAGE" hidden="1">{#N/A,#N/A,FALSE,"Sheet1";#N/A,#N/A,FALSE,"Sheet3";#N/A,#N/A,FALSE,"Sheet5"}</definedName>
    <definedName name="VTPS_T" hidden="1">[2]THVATTU!#REF!</definedName>
    <definedName name="VTT" localSheetId="3" hidden="1">#REF!</definedName>
    <definedName name="VTT" hidden="1">#REF!</definedName>
    <definedName name="vttc2" localSheetId="3" hidden="1">{#N/A,#N/A,FALSE,"Sheet1";#N/A,#N/A,FALSE,"Sheet1";#N/A,#N/A,FALSE,"Sheet1"}</definedName>
    <definedName name="vttc2" hidden="1">{#N/A,#N/A,FALSE,"Sheet1";#N/A,#N/A,FALSE,"Sheet1";#N/A,#N/A,FALSE,"Sheet1"}</definedName>
    <definedName name="vv" localSheetId="3" hidden="1">{"'Sheet1'!$L$16"}</definedName>
    <definedName name="vv" hidden="1">{"'Sheet1'!$L$16"}</definedName>
    <definedName name="vvb" localSheetId="3" hidden="1">#REF!</definedName>
    <definedName name="vvb" hidden="1">#REF!</definedName>
    <definedName name="vvffg" localSheetId="3" hidden="1">#REF!</definedName>
    <definedName name="vvffg" hidden="1">#REF!</definedName>
    <definedName name="ｖｖｖ" localSheetId="3" hidden="1">{"'Sheet1'!$L$16"}</definedName>
    <definedName name="ｖｖｖ" hidden="1">{"'Sheet1'!$L$16"}</definedName>
    <definedName name="ｖｖｖｖｖ" localSheetId="3" hidden="1">{"'Sheet1'!$L$16"}</definedName>
    <definedName name="ｖｖｖｖｖ" hidden="1">{"'Sheet1'!$L$16"}</definedName>
    <definedName name="VVVVVV" localSheetId="3" hidden="1">{"'Sheet1'!$L$16"}</definedName>
    <definedName name="VVVVVV" hidden="1">{"'Sheet1'!$L$16"}</definedName>
    <definedName name="vvvvvvv" localSheetId="3" hidden="1">{#N/A,#N/A,FALSE,"Chi tiÆt"}</definedName>
    <definedName name="vvvvvvv" hidden="1">{#N/A,#N/A,FALSE,"Chi tiÆt"}</definedName>
    <definedName name="vvvvvvvvvvvvvv" localSheetId="3" hidden="1">{0}</definedName>
    <definedName name="vvvvvvvvvvvvvv" hidden="1">{0}</definedName>
    <definedName name="vxfsđs" localSheetId="3" hidden="1">{"'Sheet1'!$L$16"}</definedName>
    <definedName name="vxfsđs" hidden="1">{"'Sheet1'!$L$16"}</definedName>
    <definedName name="VZDVA" localSheetId="3" hidden="1">{"'Sheet1'!$L$16"}</definedName>
    <definedName name="VZDVA" hidden="1">{"'Sheet1'!$L$16"}</definedName>
    <definedName name="vzdxvd" localSheetId="3" hidden="1">{"'Sheet1'!$L$16"}</definedName>
    <definedName name="vzdxvd" hidden="1">{"'Sheet1'!$L$16"}</definedName>
    <definedName name="VZVZD" localSheetId="3" hidden="1">{"'Sheet1'!$L$16"}</definedName>
    <definedName name="VZVZD" hidden="1">{"'Sheet1'!$L$16"}</definedName>
    <definedName name="VZVZXCZ" localSheetId="3" hidden="1">{"'Sheet1'!$L$16"}</definedName>
    <definedName name="VZVZXCZ" hidden="1">{"'Sheet1'!$L$16"}</definedName>
    <definedName name="waddwwqe" localSheetId="3" hidden="1">#REF!</definedName>
    <definedName name="waddwwqe" hidden="1">#REF!</definedName>
    <definedName name="wafef" localSheetId="3" hidden="1">{"'Sheet1'!$L$16"}</definedName>
    <definedName name="wafef" hidden="1">{"'Sheet1'!$L$16"}</definedName>
    <definedName name="walkway" localSheetId="3" hidden="1">{"'Sheet1'!$L$16"}</definedName>
    <definedName name="walkway" hidden="1">{"'Sheet1'!$L$16"}</definedName>
    <definedName name="wd" localSheetId="3" hidden="1">{"'Sheet1'!$L$16"}</definedName>
    <definedName name="wd" hidden="1">{"'Sheet1'!$L$16"}</definedName>
    <definedName name="werar" localSheetId="3" hidden="1">{"'Sheet1'!$L$16"}</definedName>
    <definedName name="werar" hidden="1">{"'Sheet1'!$L$16"}</definedName>
    <definedName name="werwer" localSheetId="3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localSheetId="3" hidden="1">{"'Sheet1'!$L$16"}</definedName>
    <definedName name="wgyw" hidden="1">{"'Sheet1'!$L$16"}</definedName>
    <definedName name="window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localSheetId="3" hidden="1">{"'Sheet1'!$L$16"}</definedName>
    <definedName name="wipoi" hidden="1">{"'Sheet1'!$L$16"}</definedName>
    <definedName name="wis" localSheetId="3" hidden="1">#REF!</definedName>
    <definedName name="wis" hidden="1">#REF!</definedName>
    <definedName name="wjsr" localSheetId="3" hidden="1">#REF!</definedName>
    <definedName name="wjsr" hidden="1">#REF!</definedName>
    <definedName name="wm.조골재1" localSheetId="3" hidden="1">{#N/A,#N/A,FALSE,"조골재"}</definedName>
    <definedName name="wm.조골재1" hidden="1">{#N/A,#N/A,FALSE,"조골재"}</definedName>
    <definedName name="WQ" localSheetId="3" hidden="1">{"'Sheet1'!$L$16"}</definedName>
    <definedName name="WQ" hidden="1">{"'Sheet1'!$L$16"}</definedName>
    <definedName name="WRITE" localSheetId="3" hidden="1">{#N/A,#N/A,FALSE,"CCTV"}</definedName>
    <definedName name="WRITE" hidden="1">{#N/A,#N/A,FALSE,"CCTV"}</definedName>
    <definedName name="WRN" localSheetId="3" hidden="1">{#N/A,#N/A,FALSE,"CCTV"}</definedName>
    <definedName name="WRN" hidden="1">{#N/A,#N/A,FALSE,"CCTV"}</definedName>
    <definedName name="wrn.2번." localSheetId="3" hidden="1">{#N/A,#N/A,FALSE,"2~8번"}</definedName>
    <definedName name="wrn.2번." hidden="1">{#N/A,#N/A,FALSE,"2~8번"}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." localSheetId="3" hidden="1">{#N/A,#N/A,TRUE,"SUM";#N/A,#N/A,TRUE,"EE";#N/A,#N/A,TRUE,"AC";#N/A,#N/A,TRUE,"SN"}</definedName>
    <definedName name="wrn.A." hidden="1">{#N/A,#N/A,TRUE,"SUM";#N/A,#N/A,TRUE,"EE";#N/A,#N/A,TRUE,"AC";#N/A,#N/A,TRUE,"SN"}</definedName>
    <definedName name="wrn.aaa" localSheetId="3" hidden="1">{#N/A,#N/A,FALSE,"Sheet1";#N/A,#N/A,FALSE,"Sheet1";#N/A,#N/A,FALSE,"Sheet1"}</definedName>
    <definedName name="wrn.aaa" hidden="1">{#N/A,#N/A,FALSE,"Sheet1";#N/A,#N/A,FALSE,"Sheet1";#N/A,#N/A,FALSE,"Sheet1"}</definedName>
    <definedName name="wrn.aaa." localSheetId="3" hidden="1">{#N/A,#N/A,FALSE,"Sheet1";#N/A,#N/A,FALSE,"Sheet1";#N/A,#N/A,FALSE,"Sheet1"}</definedName>
    <definedName name="wrn.aaa." hidden="1">{#N/A,#N/A,FALSE,"Sheet1";#N/A,#N/A,FALSE,"Sheet1";#N/A,#N/A,FALSE,"Sheet1"}</definedName>
    <definedName name="wrn.aaa.1" localSheetId="3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localSheetId="3" hidden="1">{#N/A,#N/A,FALSE,"Ke khai NH"}</definedName>
    <definedName name="wrn.Bang._.ke._.nhan._.hang." hidden="1">{#N/A,#N/A,FALSE,"Ke khai NH"}</definedName>
    <definedName name="wrn.BAOCAO." localSheetId="3" hidden="1">{#N/A,#N/A,FALSE,"sum";#N/A,#N/A,FALSE,"MARTV";#N/A,#N/A,FALSE,"APRTV"}</definedName>
    <definedName name="wrn.BAOCAO." hidden="1">{#N/A,#N/A,FALSE,"sum";#N/A,#N/A,FALSE,"MARTV";#N/A,#N/A,FALSE,"APRTV"}</definedName>
    <definedName name="wrn.BIDSUM." localSheetId="3" hidden="1">{#N/A,#N/A,TRUE,"SUMMARY";#N/A,#N/A,TRUE,"ISBL";#N/A,#N/A,TRUE,"OSBL";#N/A,#N/A,TRUE,"OFFSITE";#N/A,#N/A,TRUE,"STEAM"}</definedName>
    <definedName name="wrn.BIDSUM." hidden="1">{#N/A,#N/A,TRUE,"SUMMARY";#N/A,#N/A,TRUE,"ISBL";#N/A,#N/A,TRUE,"OSBL";#N/A,#N/A,TRUE,"OFFSITE";#N/A,#N/A,TRUE,"STEAM"}</definedName>
    <definedName name="wrn.BILLS._.OF._.QUANTITY." localSheetId="3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3" hidden="1">{#N/A,#N/A,FALSE,"CCTV"}</definedName>
    <definedName name="wrn.BM." hidden="1">{#N/A,#N/A,FALSE,"CCTV"}</definedName>
    <definedName name="wrn.Che._.do._.duoc._.huong." localSheetId="3" hidden="1">{#N/A,#N/A,FALSE,"BN (2)"}</definedName>
    <definedName name="wrn.Che._.do._.duoc._.huong." hidden="1">{#N/A,#N/A,FALSE,"BN (2)"}</definedName>
    <definedName name="wrn.chi._.tiÆt." localSheetId="3" hidden="1">{#N/A,#N/A,FALSE,"Chi tiÆt"}</definedName>
    <definedName name="wrn.chi._.tiÆt." hidden="1">{#N/A,#N/A,FALSE,"Chi tiÆt"}</definedName>
    <definedName name="wrn.chi._.tiÆt._1" localSheetId="3" hidden="1">{#N/A,#N/A,FALSE,"Chi tiÆt"}</definedName>
    <definedName name="wrn.chi._.tiÆt._1" hidden="1">{#N/A,#N/A,FALSE,"Chi tiÆt"}</definedName>
    <definedName name="wrn.cong." localSheetId="3" hidden="1">{#N/A,#N/A,FALSE,"Sheet1"}</definedName>
    <definedName name="wrn.cong." hidden="1">{#N/A,#N/A,FALSE,"Sheet1"}</definedName>
    <definedName name="wrn.DIRLABR." localSheetId="3" hidden="1">{#N/A,#N/A,TRUE,"CS&amp;SS(AG)";#N/A,#N/A,TRUE,"CS(UG)";#N/A,#N/A,TRUE,"CSCL(UG)";#N/A,#N/A,TRUE,"KYNAR";#N/A,#N/A,TRUE,"ALLOY904";#N/A,#N/A,TRUE,"TITANIUM";#N/A,#N/A,TRUE,"STMTRACE"}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localSheetId="3" hidden="1">{#N/A,#N/A,TRUE,"B";#N/A,#N/A,TRUE,"ND"}</definedName>
    <definedName name="wrn.Du._.toan." hidden="1">{#N/A,#N/A,TRUE,"B";#N/A,#N/A,TRUE,"ND"}</definedName>
    <definedName name="wrn.étude._.de._.coût." localSheetId="3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localSheetId="3" hidden="1">{#N/A,#N/A,FALSE,"BN"}</definedName>
    <definedName name="wrn.Giáy._.bao._.no." hidden="1">{#N/A,#N/A,FALSE,"BN"}</definedName>
    <definedName name="wrn.hgjh." localSheetId="3" hidden="1">{#N/A,#N/A,FALSE,"Sheet1"}</definedName>
    <definedName name="wrn.hgjh." hidden="1">{#N/A,#N/A,FALSE,"Sheet1"}</definedName>
    <definedName name="wrn.INDIRCOS." localSheetId="3" hidden="1">{#N/A,#N/A,TRUE,"FIELDOFF";#N/A,#N/A,TRUE,"SCAFF";#N/A,#N/A,TRUE,"CONSTEQP";#N/A,#N/A,TRUE,"FUELUBE";#N/A,#N/A,TRUE,"CONSUME";#N/A,#N/A,TRUE,"FIELDEXP";#N/A,#N/A,TRUE,"MANPLAN";#N/A,#N/A,TRUE,"EQPLAN"}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localSheetId="3" hidden="1">{#N/A,#N/A,FALSE,"Sheet2"}</definedName>
    <definedName name="wrn.L." hidden="1">{#N/A,#N/A,FALSE,"Sheet2"}</definedName>
    <definedName name="wrn.mai._.khanh." localSheetId="3" hidden="1">{"NGUYEN QUI THIEP - Personal View",#N/A,FALSE,"XDCB.HT.FUR."}</definedName>
    <definedName name="wrn.mai._.khanh." hidden="1">{"NGUYEN QUI THIEP - Personal View",#N/A,FALSE,"XDCB.HT.FUR."}</definedName>
    <definedName name="wrn.Monthly._.Statement." localSheetId="3" hidden="1">{#N/A,#N/A,FALSE,"Tabelle2";#N/A,#N/A,FALSE,"Tabelle1"}</definedName>
    <definedName name="wrn.Monthly._.Statement." hidden="1">{#N/A,#N/A,FALSE,"Tabelle2";#N/A,#N/A,FALSE,"Tabelle1"}</definedName>
    <definedName name="wrn.MTD1." localSheetId="3" hidden="1">{#N/A,#N/A,FALSE,"Sheet1";#N/A,#N/A,FALSE,"Sheet3";#N/A,#N/A,FALSE,"Sheet5"}</definedName>
    <definedName name="wrn.MTD1." hidden="1">{#N/A,#N/A,FALSE,"Sheet1";#N/A,#N/A,FALSE,"Sheet3";#N/A,#N/A,FALSE,"Sheet5"}</definedName>
    <definedName name="wrn.MTD2." localSheetId="3" hidden="1">{#N/A,#N/A,FALSE,"Sheet2";#N/A,#N/A,FALSE,"Sheet4";#N/A,#N/A,FALSE,"Sheet6"}</definedName>
    <definedName name="wrn.MTD2." hidden="1">{#N/A,#N/A,FALSE,"Sheet2";#N/A,#N/A,FALSE,"Sheet4";#N/A,#N/A,FALSE,"Sheet6"}</definedName>
    <definedName name="wrn.Print._.Output." localSheetId="3" hidden="1">{#N/A,#N/A,FALSE,"OUTPUT SHEET "}</definedName>
    <definedName name="wrn.Print._.Output." hidden="1">{#N/A,#N/A,FALSE,"OUTPUT SHEET "}</definedName>
    <definedName name="wrn.re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3" hidden="1">{#N/A,#N/A,FALSE,"特殊室（ＢＱ表）"}</definedName>
    <definedName name="wrn.report1." hidden="1">{#N/A,#N/A,FALSE,"特殊室（ＢＱ表）"}</definedName>
    <definedName name="wrn.Residential.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localSheetId="3" hidden="1">{#N/A,#N/A,FALSE,"Expenses";#N/A,#N/A,FALSE,"Expenses"}</definedName>
    <definedName name="wrn.Site._.expenses." hidden="1">{#N/A,#N/A,FALSE,"Expenses";#N/A,#N/A,FALSE,"Expenses"}</definedName>
    <definedName name="wrn.vd." localSheetId="3" hidden="1">{#N/A,#N/A,TRUE,"BT M200 da 10x20"}</definedName>
    <definedName name="wrn.vd." hidden="1">{#N/A,#N/A,TRUE,"BT M200 da 10x20"}</definedName>
    <definedName name="WRN.VOLTAGE." localSheetId="3" hidden="1">{#N/A,#N/A,FALSE,"Sheet2";#N/A,#N/A,FALSE,"Sheet4";#N/A,#N/A,FALSE,"Sheet6"}</definedName>
    <definedName name="WRN.VOLTAGE." hidden="1">{#N/A,#N/A,FALSE,"Sheet2";#N/A,#N/A,FALSE,"Sheet4";#N/A,#N/A,FALSE,"Sheet6"}</definedName>
    <definedName name="wrn.Work._.Report." localSheetId="3" hidden="1">{"accomplishment",#N/A,FALSE,"Summary Week 3"}</definedName>
    <definedName name="wrn.Work._.Report." hidden="1">{"accomplishment",#N/A,FALSE,"Summary Week 3"}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3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3" hidden="1">{#N/A,#N/A,FALSE,"전력간선"}</definedName>
    <definedName name="wrn.교육청." hidden="1">{#N/A,#N/A,FALSE,"전력간선"}</definedName>
    <definedName name="wrn.교육청.1" localSheetId="3" hidden="1">{#N/A,#N/A,FALSE,"전력간선"}</definedName>
    <definedName name="wrn.교육청.1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단가표지." localSheetId="3" hidden="1">{#N/A,#N/A,FALSE,"단가표지"}</definedName>
    <definedName name="wrn.단가표지." hidden="1">{#N/A,#N/A,FALSE,"단가표지"}</definedName>
    <definedName name="wrn.담배인삼공사._.실행품의." localSheetId="3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실행품의." localSheetId="3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3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hidden="1">{#N/A,#N/A,FALSE,"이정표"}</definedName>
    <definedName name="wrn.조골재." localSheetId="3" hidden="1">{#N/A,#N/A,FALSE,"조골재"}</definedName>
    <definedName name="wrn.조골재." hidden="1">{#N/A,#N/A,FALSE,"조골재"}</definedName>
    <definedName name="wrn.진각빌딩." localSheetId="3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localSheetId="3" hidden="1">{#N/A,#N/A,FALSE,"Sheet1"}</definedName>
    <definedName name="wrn.철골집계표._.5칸." hidden="1">{#N/A,#N/A,FALSE,"Sheet1"}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표지." localSheetId="3" hidden="1">{#N/A,#N/A,FALSE,"표지"}</definedName>
    <definedName name="wrn.표지." hidden="1">{#N/A,#N/A,FALSE,"표지"}</definedName>
    <definedName name="wrn.표지목차." localSheetId="3" hidden="1">{#N/A,#N/A,FALSE,"표지목차"}</definedName>
    <definedName name="wrn.표지목차." hidden="1">{#N/A,#N/A,FALSE,"표지목차"}</definedName>
    <definedName name="wrn.혼합골재." localSheetId="3" hidden="1">{#N/A,#N/A,FALSE,"혼합골재"}</definedName>
    <definedName name="wrn.혼합골재." hidden="1">{#N/A,#N/A,FALSE,"혼합골재"}</definedName>
    <definedName name="wrn_xoa2" localSheetId="3" hidden="1">{#N/A,#N/A,FALSE,"Chi tiÆt"}</definedName>
    <definedName name="wrn_xoa2" hidden="1">{#N/A,#N/A,FALSE,"Chi tiÆt"}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localSheetId="3" hidden="1">{"'Sheet1'!$L$16"}</definedName>
    <definedName name="WRTWE" hidden="1">{"'Sheet1'!$L$16"}</definedName>
    <definedName name="wvu.박경희." localSheetId="3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localSheetId="3" hidden="1">{#N/A,#N/A,FALSE,"Sheet2";#N/A,#N/A,FALSE,"Sheet4";#N/A,#N/A,FALSE,"Sheet6"}</definedName>
    <definedName name="ww" hidden="1">{#N/A,#N/A,FALSE,"Sheet2";#N/A,#N/A,FALSE,"Sheet4";#N/A,#N/A,FALSE,"Sheet6"}</definedName>
    <definedName name="ｗｗ" localSheetId="3" hidden="1">{"'Sheet1'!$L$16"}</definedName>
    <definedName name="ｗｗ" hidden="1">{"'Sheet1'!$L$16"}</definedName>
    <definedName name="wwhwhwrh" localSheetId="3" hidden="1">{"'Sheet1'!$L$16"}</definedName>
    <definedName name="wwhwhwrh" hidden="1">{"'Sheet1'!$L$16"}</definedName>
    <definedName name="www" localSheetId="3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localSheetId="3" hidden="1">{"'Sheet1'!$L$16"}</definedName>
    <definedName name="ｗｗｗｗ" hidden="1">{"'Sheet1'!$L$16"}</definedName>
    <definedName name="wwwwwww" localSheetId="3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localSheetId="3" hidden="1">{"'Sheet1'!$L$16"}</definedName>
    <definedName name="wwwwwwwwwwwwwwwwwwwwwwwwwwwww" hidden="1">{"'Sheet1'!$L$16"}</definedName>
    <definedName name="XAY" localSheetId="3" hidden="1">{"'Sheet1'!$L$16"}</definedName>
    <definedName name="XAY" hidden="1">{"'Sheet1'!$L$16"}</definedName>
    <definedName name="XCB" localSheetId="3" hidden="1">#REF!</definedName>
    <definedName name="XCB" hidden="1">#REF!</definedName>
    <definedName name="xcvbfyôtui" localSheetId="3" hidden="1">#REF!</definedName>
    <definedName name="xcvbfyôtui" hidden="1">#REF!</definedName>
    <definedName name="xddddd" localSheetId="3" hidden="1">{"'Sheet1'!$L$16"}</definedName>
    <definedName name="xddddd" hidden="1">{"'Sheet1'!$L$16"}</definedName>
    <definedName name="XDKT" localSheetId="3" hidden="1">{"NGUYEN QUI THIEP - Personal View",#N/A,FALSE,"XDCB.HT.FUR."}</definedName>
    <definedName name="XDKT" hidden="1">{"NGUYEN QUI THIEP - Personal View",#N/A,FALSE,"XDCB.HT.FUR."}</definedName>
    <definedName name="Xeduc" localSheetId="3" hidden="1">{"'Sheet1'!$L$16"}</definedName>
    <definedName name="Xeduc" hidden="1">{"'Sheet1'!$L$16"}</definedName>
    <definedName name="xekaman" localSheetId="3" hidden="1">{"'Sheet1'!$L$16"}</definedName>
    <definedName name="xekaman" hidden="1">{"'Sheet1'!$L$16"}</definedName>
    <definedName name="XFBDSBSB" localSheetId="3" hidden="1">{"'Sheet1'!$L$16"}</definedName>
    <definedName name="XFBDSBSB" hidden="1">{"'Sheet1'!$L$16"}</definedName>
    <definedName name="XFHGHTD" localSheetId="3" hidden="1">{"'Sheet1'!$L$16"}</definedName>
    <definedName name="XFHGHTD" hidden="1">{"'Sheet1'!$L$16"}</definedName>
    <definedName name="xls" localSheetId="3" hidden="1">{"'Sheet1'!$L$16"}</definedName>
    <definedName name="xls" hidden="1">{"'Sheet1'!$L$16"}</definedName>
    <definedName name="xlttbninh" localSheetId="3" hidden="1">{"'Sheet1'!$L$16"}</definedName>
    <definedName name="xlttbninh" hidden="1">{"'Sheet1'!$L$16"}</definedName>
    <definedName name="XN908nam2003" localSheetId="3" hidden="1">{"'Sheet1'!$L$16"}</definedName>
    <definedName name="XN908nam2003" hidden="1">{"'Sheet1'!$L$16"}</definedName>
    <definedName name="XNDMCV" localSheetId="3" hidden="1">#REF!</definedName>
    <definedName name="XNDMCV" hidden="1">#REF!</definedName>
    <definedName name="xoa_tab" hidden="1">[2]Control!#REF!</definedName>
    <definedName name="xoa1" localSheetId="3" hidden="1">{"'Sheet1'!$L$16"}</definedName>
    <definedName name="xoa1" hidden="1">{"'Sheet1'!$L$16"}</definedName>
    <definedName name="xoa2" localSheetId="3" hidden="1">{#N/A,#N/A,FALSE,"Chi tiÆt"}</definedName>
    <definedName name="xoa2" hidden="1">{#N/A,#N/A,FALSE,"Chi tiÆt"}</definedName>
    <definedName name="xoa3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localSheetId="3" hidden="1">{"'Sheet1'!$L$16"}</definedName>
    <definedName name="XUONG" hidden="1">{"'Sheet1'!$L$16"}</definedName>
    <definedName name="xvxcvxc" localSheetId="3" hidden="1">{"'Sheet1'!$L$16"}</definedName>
    <definedName name="xvxcvxc" hidden="1">{"'Sheet1'!$L$16"}</definedName>
    <definedName name="xx" localSheetId="3" hidden="1">#REF!</definedName>
    <definedName name="xx" hidden="1">#REF!</definedName>
    <definedName name="xxx" localSheetId="3" hidden="1">#REF!</definedName>
    <definedName name="xxx" hidden="1">#REF!</definedName>
    <definedName name="ｘｘｘ" localSheetId="3" hidden="1">{"'Sheet1'!$L$16"}</definedName>
    <definedName name="ｘｘｘ" hidden="1">{"'Sheet1'!$L$16"}</definedName>
    <definedName name="XXXAAAA" localSheetId="3" hidden="1">{"'Sheet1'!$L$16"}</definedName>
    <definedName name="XXXAAAA" hidden="1">{"'Sheet1'!$L$16"}</definedName>
    <definedName name="ｘｘｘｘ" localSheetId="3" hidden="1">{"'Sheet1'!$L$16"}</definedName>
    <definedName name="ｘｘｘｘ" hidden="1">{"'Sheet1'!$L$16"}</definedName>
    <definedName name="ｘｘｘｘｘ" localSheetId="3" hidden="1">{"'Sheet1'!$L$16"}</definedName>
    <definedName name="ｘｘｘｘｘ" hidden="1">{"'Sheet1'!$L$16"}</definedName>
    <definedName name="xzfa" localSheetId="3" hidden="1">{"'Sheet1'!$L$16"}</definedName>
    <definedName name="xzfa" hidden="1">{"'Sheet1'!$L$16"}</definedName>
    <definedName name="Y" localSheetId="3" hidden="1">#REF!</definedName>
    <definedName name="Y" hidden="1">#REF!</definedName>
    <definedName name="Y5T45" localSheetId="3" hidden="1">{"'Sheet1'!$L$16"}</definedName>
    <definedName name="Y5T45" hidden="1">{"'Sheet1'!$L$16"}</definedName>
    <definedName name="y6ytyjtyjytjtyj" localSheetId="3" hidden="1">#REF!</definedName>
    <definedName name="y6ytyjtyjytjtyj" hidden="1">#REF!</definedName>
    <definedName name="Yd" localSheetId="3" hidden="1">#REF!</definedName>
    <definedName name="Yd" hidden="1">#REF!</definedName>
    <definedName name="ỳdhgg" localSheetId="3" hidden="1">{"'Sheet1'!$L$16"}</definedName>
    <definedName name="ỳdhgg" hidden="1">{"'Sheet1'!$L$16"}</definedName>
    <definedName name="ỶE" localSheetId="3" hidden="1">#REF!</definedName>
    <definedName name="ỶE" hidden="1">#REF!</definedName>
    <definedName name="yen" localSheetId="3" hidden="1">{"'Sheet1'!$L$16"}</definedName>
    <definedName name="yen" hidden="1">{"'Sheet1'!$L$16"}</definedName>
    <definedName name="ýenda" localSheetId="3" hidden="1">{"'Sheet1'!$L$16"}</definedName>
    <definedName name="ýenda" hidden="1">{"'Sheet1'!$L$16"}</definedName>
    <definedName name="yeryt" localSheetId="3" hidden="1">{"'Sheet1'!$L$16"}</definedName>
    <definedName name="yeryt" hidden="1">{"'Sheet1'!$L$16"}</definedName>
    <definedName name="yeu" localSheetId="3" hidden="1">{"'Sheet1'!$L$16"}</definedName>
    <definedName name="yeu" hidden="1">{"'Sheet1'!$L$16"}</definedName>
    <definedName name="yhhyhy" localSheetId="3" hidden="1">#REF!</definedName>
    <definedName name="yhhyhy" hidden="1">#REF!</definedName>
    <definedName name="YI7I" localSheetId="3" hidden="1">{"'Sheet1'!$L$16"}</definedName>
    <definedName name="YI7I" hidden="1">{"'Sheet1'!$L$16"}</definedName>
    <definedName name="yiuti" localSheetId="3" hidden="1">{"'Sheet1'!$L$16"}</definedName>
    <definedName name="yiuti" hidden="1">{"'Sheet1'!$L$16"}</definedName>
    <definedName name="YJ" localSheetId="3" hidden="1">#REF!</definedName>
    <definedName name="YJ" hidden="1">#REF!</definedName>
    <definedName name="YSY" localSheetId="3" hidden="1">{#N/A,#N/A,FALSE,"Sheet2";#N/A,#N/A,FALSE,"Sheet4";#N/A,#N/A,FALSE,"Sheet6"}</definedName>
    <definedName name="YSY" hidden="1">{#N/A,#N/A,FALSE,"Sheet2";#N/A,#N/A,FALSE,"Sheet4";#N/A,#N/A,FALSE,"Sheet6"}</definedName>
    <definedName name="ytri" localSheetId="3" hidden="1">{"'Sheet1'!$L$16"}</definedName>
    <definedName name="ytri" hidden="1">{"'Sheet1'!$L$16"}</definedName>
    <definedName name="ytru" localSheetId="3" hidden="1">{"'Sheet1'!$L$16"}</definedName>
    <definedName name="ytru" hidden="1">{"'Sheet1'!$L$16"}</definedName>
    <definedName name="Yu" localSheetId="3" hidden="1">#REF!</definedName>
    <definedName name="Yu" hidden="1">#REF!</definedName>
    <definedName name="ỵu" localSheetId="3" hidden="1">{"'Sheet1'!$L$16"}</definedName>
    <definedName name="ỵu" hidden="1">{"'Sheet1'!$L$16"}</definedName>
    <definedName name="yuiyÎtdghgjkjgkl" localSheetId="3" hidden="1">#REF!</definedName>
    <definedName name="yuiyÎtdghgjkjgkl" hidden="1">#REF!</definedName>
    <definedName name="YUJYI" localSheetId="3" hidden="1">#REF!</definedName>
    <definedName name="YUJYI" hidden="1">#REF!</definedName>
    <definedName name="yuo" localSheetId="3" hidden="1">#REF!</definedName>
    <definedName name="yuo" hidden="1">#REF!</definedName>
    <definedName name="yyjy_ukyu" localSheetId="3" hidden="1">{"'Sheet1'!$L$16"}</definedName>
    <definedName name="yyjy_ukyu" hidden="1">{"'Sheet1'!$L$16"}</definedName>
    <definedName name="ｙｙｙ" localSheetId="3" hidden="1">{"'Sheet1'!$L$16"}</definedName>
    <definedName name="ｙｙｙ" hidden="1">{"'Sheet1'!$L$16"}</definedName>
    <definedName name="yyyyy" localSheetId="3" hidden="1">{"'Sheet1'!$L$16"}</definedName>
    <definedName name="yyyyy" hidden="1">{"'Sheet1'!$L$16"}</definedName>
    <definedName name="yyyyyyy" localSheetId="3" hidden="1">{"'Sheet1'!$L$16"}</definedName>
    <definedName name="yyyyyyy" hidden="1">{"'Sheet1'!$L$16"}</definedName>
    <definedName name="Z_2BD578FA_E2CB_4B2F_9A88_B148DA6298A5_.wvu.Cols" localSheetId="3" hidden="1">#REF!</definedName>
    <definedName name="Z_2BD578FA_E2CB_4B2F_9A88_B148DA6298A5_.wvu.Cols" hidden="1">#REF!</definedName>
    <definedName name="Z_2BD578FA_E2CB_4B2F_9A88_B148DA6298A5_.wvu.PrintArea" localSheetId="3" hidden="1">#REF!</definedName>
    <definedName name="Z_2BD578FA_E2CB_4B2F_9A88_B148DA6298A5_.wvu.PrintArea" hidden="1">#REF!</definedName>
    <definedName name="Z_7D2E7434_5FC2_40F9_8019_5682C7C89786_.wvu.Rows" localSheetId="0" hidden="1">'124+900 '!$345:$583</definedName>
    <definedName name="Z_B6D82DE0_6701_11DA_9820_00304F1E4471_.wvu.Cols" localSheetId="3" hidden="1">#REF!</definedName>
    <definedName name="Z_B6D82DE0_6701_11DA_9820_00304F1E4471_.wvu.Cols" hidden="1">#REF!</definedName>
    <definedName name="zcg" localSheetId="3" hidden="1">{"'Sheet1'!$L$16"}</definedName>
    <definedName name="zcg" hidden="1">{"'Sheet1'!$L$16"}</definedName>
    <definedName name="zcgxf" localSheetId="3" hidden="1">{"'Sheet1'!$L$16"}</definedName>
    <definedName name="zcgxf" hidden="1">{"'Sheet1'!$L$16"}</definedName>
    <definedName name="ZCZXC" localSheetId="3" hidden="1">{"'Sheet1'!$L$16"}</definedName>
    <definedName name="ZCZXC" hidden="1">{"'Sheet1'!$L$16"}</definedName>
    <definedName name="zdfer" localSheetId="3" hidden="1">{"'Sheet1'!$L$16"}</definedName>
    <definedName name="zdfer" hidden="1">{"'Sheet1'!$L$16"}</definedName>
    <definedName name="zDT_End" localSheetId="3" hidden="1">#REF!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localSheetId="3" hidden="1">{"'Sheet1'!$L$16"}</definedName>
    <definedName name="zKm2" hidden="1">{"'Sheet1'!$L$16"}</definedName>
    <definedName name="ZXzX" localSheetId="3" hidden="1">{"'Sheet1'!$L$16"}</definedName>
    <definedName name="ZXzX" hidden="1">{"'Sheet1'!$L$16"}</definedName>
    <definedName name="ｚｚｚｚｚ" localSheetId="3" hidden="1">{"'Sheet1'!$L$16"}</definedName>
    <definedName name="ｚｚｚｚｚ" hidden="1">{"'Sheet1'!$L$16"}</definedName>
    <definedName name="ｚｚｚｚｚｚ" localSheetId="3" hidden="1">{"'Sheet1'!$L$16"}</definedName>
    <definedName name="ｚｚｚｚｚｚ" hidden="1">{"'Sheet1'!$L$16"}</definedName>
    <definedName name="zzzzzzzzzzz" localSheetId="3" hidden="1">{0,#N/A,FALSE,0;0,#N/A,FALSE,0;0,#N/A,FALSE,0;0,#N/A,FALSE,0;0,#N/A,FALSE,0;0,#N/A,FALSE,0;0,#N/A,FALSE,0}</definedName>
    <definedName name="zzzzzzzzzzz" hidden="1">{0,#N/A,FALSE,0;0,#N/A,FALSE,0;0,#N/A,FALSE,0;0,#N/A,FALSE,0;0,#N/A,FALSE,0;0,#N/A,FALSE,0;0,#N/A,FALSE,0}</definedName>
    <definedName name="あ" localSheetId="3" hidden="1">{"'Sheet1'!$L$16"}</definedName>
    <definedName name="あ" hidden="1">{"'Sheet1'!$L$16"}</definedName>
    <definedName name="ああ" localSheetId="3" hidden="1">{"'Sheet1'!$L$16"}</definedName>
    <definedName name="ああ" hidden="1">{"'Sheet1'!$L$16"}</definedName>
    <definedName name="あああ" localSheetId="3" hidden="1">{"'Sheet1'!$L$16"}</definedName>
    <definedName name="あああ" hidden="1">{"'Sheet1'!$L$16"}</definedName>
    <definedName name="ああああ" localSheetId="3" hidden="1">{"'Sheet1'!$L$16"}</definedName>
    <definedName name="ああああ" hidden="1">{"'Sheet1'!$L$16"}</definedName>
    <definedName name="あああああ" localSheetId="3" hidden="1">{"'Sheet1'!$L$16"}</definedName>
    <definedName name="あああああ" hidden="1">{"'Sheet1'!$L$16"}</definedName>
    <definedName name="ううう" localSheetId="3" hidden="1">{"'Sheet1'!$L$16"}</definedName>
    <definedName name="ううう" hidden="1">{"'Sheet1'!$L$16"}</definedName>
    <definedName name="えええ" localSheetId="3" hidden="1">{"'Sheet1'!$L$16"}</definedName>
    <definedName name="えええ" hidden="1">{"'Sheet1'!$L$16"}</definedName>
    <definedName name="っｋ" localSheetId="3" hidden="1">#REF!</definedName>
    <definedName name="っｋ" hidden="1">#REF!</definedName>
    <definedName name="んｎ" localSheetId="3" hidden="1">{"'Sheet1'!$L$16"}</definedName>
    <definedName name="んｎ" hidden="1">{"'Sheet1'!$L$16"}</definedName>
    <definedName name="んんｎ" localSheetId="3" hidden="1">{"'Sheet1'!$L$16"}</definedName>
    <definedName name="んんｎ" hidden="1">{"'Sheet1'!$L$16"}</definedName>
    <definedName name="ㄱㅈㅎ" localSheetId="3" hidden="1">#REF!</definedName>
    <definedName name="ㄱㅈㅎ" hidden="1">#REF!</definedName>
    <definedName name="간접비" localSheetId="3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3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localSheetId="3" hidden="1">#REF!</definedName>
    <definedName name="갑지" hidden="1">#REF!</definedName>
    <definedName name="건축비목집계" localSheetId="3" hidden="1">{#N/A,#N/A,FALSE,"표지"}</definedName>
    <definedName name="건축비목집계" hidden="1">{#N/A,#N/A,FALSE,"표지"}</definedName>
    <definedName name="견적" localSheetId="3" hidden="1">{#N/A,#N/A,FALSE,"CCTV"}</definedName>
    <definedName name="견적" hidden="1">{#N/A,#N/A,FALSE,"CCTV"}</definedName>
    <definedName name="견적2" localSheetId="3" hidden="1">{#N/A,#N/A,FALSE,"CCTV"}</definedName>
    <definedName name="견적2" hidden="1">{#N/A,#N/A,FALSE,"CCTV"}</definedName>
    <definedName name="견적SHEET" localSheetId="3" hidden="1">{#N/A,#N/A,FALSE,"CCTV"}</definedName>
    <definedName name="견적SHEET" hidden="1">{#N/A,#N/A,FALSE,"CCTV"}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localSheetId="3" hidden="1">{#N/A,#N/A,FALSE,"Sheet1"}</definedName>
    <definedName name="공" hidden="1">{#N/A,#N/A,FALSE,"Sheet1"}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localSheetId="3" hidden="1">{#N/A,#N/A,FALSE,"전력간선"}</definedName>
    <definedName name="공사비" hidden="1">{#N/A,#N/A,FALSE,"전력간선"}</definedName>
    <definedName name="공사비분석" localSheetId="3" hidden="1">#REF!</definedName>
    <definedName name="공사비분석" hidden="1">#REF!</definedName>
    <definedName name="공종별집계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localSheetId="3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근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localSheetId="3" hidden="1">{#N/A,#N/A,FALSE,"CCTV"}</definedName>
    <definedName name="기계주차" hidden="1">{#N/A,#N/A,FALSE,"CCTV"}</definedName>
    <definedName name="ㄴㄱㄹ" localSheetId="3" hidden="1">#REF!</definedName>
    <definedName name="ㄴㄱㄹ" hidden="1">#REF!</definedName>
    <definedName name="ㄴㄷㄹ" localSheetId="3" hidden="1">{#N/A,#N/A,FALSE,"Sheet1"}</definedName>
    <definedName name="ㄴㄷㄹ" hidden="1">{#N/A,#N/A,FALSE,"Sheet1"}</definedName>
    <definedName name="ㄴㅁ" localSheetId="3" hidden="1">#REF!</definedName>
    <definedName name="ㄴㅁ" hidden="1">#REF!</definedName>
    <definedName name="내역산출근거" localSheetId="3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3" hidden="1">{#N/A,#N/A,FALSE,"Sheet1"}</definedName>
    <definedName name="ㄷㄳ" hidden="1">{#N/A,#N/A,FALSE,"Sheet1"}</definedName>
    <definedName name="단ㄱ" localSheetId="3" hidden="1">{#N/A,#N/A,FALSE,"전력간선"}</definedName>
    <definedName name="단ㄱ" hidden="1">{#N/A,#N/A,FALSE,"전력간선"}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localSheetId="3" hidden="1">{#N/A,#N/A,FALSE,"전력간선"}</definedName>
    <definedName name="동구연숩" hidden="1">{#N/A,#N/A,FALSE,"전력간선"}</definedName>
    <definedName name="동명공통가설관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#REF!</definedName>
    <definedName name="ㄹㄹㄹ" hidden="1">#REF!</definedName>
    <definedName name="ㄹ호" localSheetId="3" hidden="1">#REF!</definedName>
    <definedName name="ㄹ호" hidden="1">#REF!</definedName>
    <definedName name="래그" localSheetId="3" hidden="1">{#N/A,#N/A,FALSE,"CCTV"}</definedName>
    <definedName name="래그" hidden="1">{#N/A,#N/A,FALSE,"CCTV"}</definedName>
    <definedName name="려ㅛ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3" hidden="1">#REF!</definedName>
    <definedName name="ㅁㄴ" hidden="1">#REF!</definedName>
    <definedName name="ㅁㄴㄹ" localSheetId="3" hidden="1">{#N/A,#N/A,FALSE,"전력간선"}</definedName>
    <definedName name="ㅁㄴㄹ" hidden="1">{#N/A,#N/A,FALSE,"전력간선"}</definedName>
    <definedName name="ㅁㄻ" localSheetId="3" hidden="1">{#N/A,#N/A,FALSE,"Sheet1"}</definedName>
    <definedName name="ㅁㄻ" hidden="1">{#N/A,#N/A,FALSE,"Sheet1"}</definedName>
    <definedName name="ㅁㅁㅁ" localSheetId="3" hidden="1">#REF!</definedName>
    <definedName name="ㅁㅁㅁ" hidden="1">#REF!</definedName>
    <definedName name="ㅁㅁㅁㅁㅁㅁ" localSheetId="3" hidden="1">#REF!</definedName>
    <definedName name="ㅁㅁㅁㅁㅁㅁ" hidden="1">#REF!</definedName>
    <definedName name="ㅁㅎㅁ" localSheetId="3" hidden="1">{#N/A,#N/A,FALSE,"Sheet1"}</definedName>
    <definedName name="ㅁㅎㅁ" hidden="1">{#N/A,#N/A,FALSE,"Sheet1"}</definedName>
    <definedName name="모" localSheetId="3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ㅂㅂ" localSheetId="3" hidden="1">{#N/A,#N/A,FALSE,"표지"}</definedName>
    <definedName name="ㅂㅂ" hidden="1">{#N/A,#N/A,FALSE,"표지"}</definedName>
    <definedName name="ㅂㅈ" localSheetId="3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바붕" localSheetId="3" hidden="1">{#N/A,#N/A,FALSE,"전력간선"}</definedName>
    <definedName name="바붕" hidden="1">{#N/A,#N/A,FALSE,"전력간선"}</definedName>
    <definedName name="배기덕트공사" localSheetId="3" hidden="1">{#N/A,#N/A,FALSE,"CCTV"}</definedName>
    <definedName name="배기덕트공사" hidden="1">{#N/A,#N/A,FALSE,"CCTV"}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localSheetId="3" hidden="1">#REF!</definedName>
    <definedName name="복지" hidden="1">#REF!</definedName>
    <definedName name="부대원본" localSheetId="3" hidden="1">{#N/A,#N/A,FALSE,"토공2"}</definedName>
    <definedName name="부대원본" hidden="1">{#N/A,#N/A,FALSE,"토공2"}</definedName>
    <definedName name="부천상동조경" localSheetId="3" hidden="1">{#N/A,#N/A,FALSE,"표지"}</definedName>
    <definedName name="부천상동조경" hidden="1">{#N/A,#N/A,FALSE,"표지"}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사" localSheetId="3" hidden="1">#REF!</definedName>
    <definedName name="사" hidden="1">#REF!</definedName>
    <definedName name="샘풀카피" localSheetId="3" hidden="1">{#N/A,#N/A,FALSE,"CCTV"}</definedName>
    <definedName name="샘풀카피" hidden="1">{#N/A,#N/A,FALSE,"CCTV"}</definedName>
    <definedName name="샘플카피2" localSheetId="3" hidden="1">{#N/A,#N/A,FALSE,"CCTV"}</definedName>
    <definedName name="샘플카피2" hidden="1">{#N/A,#N/A,FALSE,"CCTV"}</definedName>
    <definedName name="샘플카피3" localSheetId="3" hidden="1">{#N/A,#N/A,FALSE,"CCTV"}</definedName>
    <definedName name="샘플카피3" hidden="1">{#N/A,#N/A,FALSE,"CCTV"}</definedName>
    <definedName name="석재받은의뢰업체" hidden="1">255</definedName>
    <definedName name="수" localSheetId="3" hidden="1">#REF!</definedName>
    <definedName name="수" hidden="1">#REF!</definedName>
    <definedName name="수량산출근거" localSheetId="3" hidden="1">{#N/A,#N/A,FALSE,"표지"}</definedName>
    <definedName name="수량산출근거" hidden="1">{#N/A,#N/A,FALSE,"표지"}</definedName>
    <definedName name="ㅇㄴㄹ" localSheetId="3" hidden="1">{#N/A,#N/A,FALSE,"Sheet1"}</definedName>
    <definedName name="ㅇㄴㄹ" hidden="1">{#N/A,#N/A,FALSE,"Sheet1"}</definedName>
    <definedName name="ㅇㄴㄿ" localSheetId="3" hidden="1">{#N/A,#N/A,FALSE,"CCTV"}</definedName>
    <definedName name="ㅇㄴㄿ" hidden="1">{#N/A,#N/A,FALSE,"CCTV"}</definedName>
    <definedName name="ㅇㄹ" localSheetId="3" hidden="1">#REF!</definedName>
    <definedName name="ㅇㄹ" hidden="1">#REF!</definedName>
    <definedName name="ㅇㄹㄹ" localSheetId="3" hidden="1">#REF!</definedName>
    <definedName name="ㅇㄹㄹ" hidden="1">#REF!</definedName>
    <definedName name="아싸" localSheetId="3" hidden="1">{#N/A,#N/A,FALSE,"CCTV"}</definedName>
    <definedName name="아싸" hidden="1">{#N/A,#N/A,FALSE,"CCTV"}</definedName>
    <definedName name="억이상" localSheetId="3" hidden="1">{#N/A,#N/A,FALSE,"2~8번"}</definedName>
    <definedName name="억이상" hidden="1">{#N/A,#N/A,FALSE,"2~8번"}</definedName>
    <definedName name="업체" localSheetId="3" hidden="1">#REF!</definedName>
    <definedName name="업체" hidden="1">#REF!</definedName>
    <definedName name="원가" localSheetId="3" hidden="1">{#N/A,#N/A,FALSE,"운반시간"}</definedName>
    <definedName name="원가" hidden="1">{#N/A,#N/A,FALSE,"운반시간"}</definedName>
    <definedName name="의" localSheetId="3" hidden="1">{#N/A,#N/A,FALSE,"운반시간"}</definedName>
    <definedName name="의" hidden="1">{#N/A,#N/A,FALSE,"운반시간"}</definedName>
    <definedName name="이릉" localSheetId="3" hidden="1">#REF!</definedName>
    <definedName name="이릉" hidden="1">#REF!</definedName>
    <definedName name="이천순복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localSheetId="3" hidden="1">#REF!</definedName>
    <definedName name="자재단가근거" hidden="1">#REF!</definedName>
    <definedName name="장비TBO" localSheetId="3" hidden="1">{"'Sheet1'!$L$16"}</definedName>
    <definedName name="장비TBO" hidden="1">{"'Sheet1'!$L$16"}</definedName>
    <definedName name="전기산출" localSheetId="3" hidden="1">#REF!</definedName>
    <definedName name="전기산출" hidden="1">#REF!</definedName>
    <definedName name="전기산출내역" localSheetId="3" hidden="1">#REF!</definedName>
    <definedName name="전기산출내역" hidden="1">#REF!</definedName>
    <definedName name="조경공사" localSheetId="3" hidden="1">{#N/A,#N/A,FALSE,"표지"}</definedName>
    <definedName name="조경공사" hidden="1">{#N/A,#N/A,FALSE,"표지"}</definedName>
    <definedName name="조경사본" localSheetId="3" hidden="1">{#N/A,#N/A,FALSE,"표지"}</definedName>
    <definedName name="조경사본" hidden="1">{#N/A,#N/A,FALSE,"표지"}</definedName>
    <definedName name="조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localSheetId="3" hidden="1">{#N/A,#N/A,FALSE,"표지"}</definedName>
    <definedName name="주차장" hidden="1">{#N/A,#N/A,FALSE,"표지"}</definedName>
    <definedName name="철근량" localSheetId="3" hidden="1">{#N/A,#N/A,FALSE,"전력간선"}</definedName>
    <definedName name="철근량" hidden="1">{#N/A,#N/A,FALSE,"전력간선"}</definedName>
    <definedName name="철콘부대외" localSheetId="3" hidden="1">{#N/A,#N/A,FALSE,"Sheet1"}</definedName>
    <definedName name="철콘부대외" hidden="1">{#N/A,#N/A,FALSE,"Sheet1"}</definedName>
    <definedName name="총공사비2" localSheetId="3" hidden="1">{#N/A,#N/A,FALSE,"전력간선"}</definedName>
    <definedName name="총공사비2" hidden="1">{#N/A,#N/A,FALSE,"전력간선"}</definedName>
    <definedName name="총괄제출2차" localSheetId="3" hidden="1">#REF!</definedName>
    <definedName name="총괄제출2차" hidden="1">#REF!</definedName>
    <definedName name="추가옵션01" localSheetId="3" hidden="1">#REF!</definedName>
    <definedName name="추가옵션01" hidden="1">#REF!</definedName>
    <definedName name="켐온건축" localSheetId="3" hidden="1">{#N/A,#N/A,FALSE,"CCTV"}</definedName>
    <definedName name="켐온건축" hidden="1">{#N/A,#N/A,FALSE,"CCTV"}</definedName>
    <definedName name="토" localSheetId="3" hidden="1">#REF!</definedName>
    <definedName name="토" hidden="1">#REF!</definedName>
    <definedName name="토목" localSheetId="3" hidden="1">{#N/A,#N/A,FALSE,"CCTV"}</definedName>
    <definedName name="토목" hidden="1">{#N/A,#N/A,FALSE,"CCTV"}</definedName>
    <definedName name="토목설계" localSheetId="3" hidden="1">{#N/A,#N/A,FALSE,"골재소요량";#N/A,#N/A,FALSE,"골재소요량"}</definedName>
    <definedName name="토목설계" hidden="1">{#N/A,#N/A,FALSE,"골재소요량";#N/A,#N/A,FALSE,"골재소요량"}</definedName>
    <definedName name="팔" localSheetId="3" hidden="1">#REF!</definedName>
    <definedName name="팔" hidden="1">#REF!</definedName>
    <definedName name="평당견적" localSheetId="3" hidden="1">#REF!</definedName>
    <definedName name="평당견적" hidden="1">#REF!</definedName>
    <definedName name="표지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localSheetId="3" hidden="1">#REF!</definedName>
    <definedName name="한" hidden="1">#REF!</definedName>
    <definedName name="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localSheetId="3" hidden="1">{"'Sheet1'!$L$16"}</definedName>
    <definedName name="実行" hidden="1">{"'Sheet1'!$L$16"}</definedName>
    <definedName name="岡田" localSheetId="3" hidden="1">{#N/A,#N/A,TRUE,"SUM";#N/A,#N/A,TRUE,"EE";#N/A,#N/A,TRUE,"AC";#N/A,#N/A,TRUE,"SN"}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" i="7" l="1"/>
  <c r="B14" i="5"/>
  <c r="D14" i="5"/>
  <c r="B15" i="5"/>
  <c r="D15" i="5"/>
  <c r="B16" i="5"/>
  <c r="D16" i="5"/>
  <c r="D13" i="5"/>
  <c r="B13" i="5"/>
  <c r="B8" i="8" l="1"/>
  <c r="B9" i="8"/>
  <c r="C8" i="7"/>
  <c r="C9" i="7"/>
  <c r="B13" i="7"/>
  <c r="A13" i="8" s="1"/>
  <c r="D13" i="7"/>
  <c r="D14" i="7" s="1"/>
  <c r="Z13" i="7"/>
  <c r="AA13" i="7"/>
  <c r="A15" i="7"/>
  <c r="A16" i="7" s="1"/>
  <c r="A17" i="7" s="1"/>
  <c r="A18" i="7" s="1"/>
  <c r="A19" i="7" s="1"/>
  <c r="A20" i="7" s="1"/>
  <c r="B174" i="7"/>
  <c r="B175" i="7"/>
  <c r="C175" i="7" s="1"/>
  <c r="B176" i="7"/>
  <c r="B177" i="7"/>
  <c r="B178" i="7"/>
  <c r="C178" i="7" s="1"/>
  <c r="B179" i="7"/>
  <c r="C179" i="7" s="1"/>
  <c r="B180" i="7"/>
  <c r="B181" i="7"/>
  <c r="B182" i="7"/>
  <c r="B183" i="7"/>
  <c r="C183" i="7"/>
  <c r="B184" i="7"/>
  <c r="B185" i="7"/>
  <c r="B186" i="7"/>
  <c r="B187" i="7"/>
  <c r="C187" i="7" s="1"/>
  <c r="B188" i="7"/>
  <c r="C188" i="7" s="1"/>
  <c r="B189" i="7"/>
  <c r="C189" i="7" s="1"/>
  <c r="B190" i="7"/>
  <c r="C190" i="7" s="1"/>
  <c r="B191" i="7"/>
  <c r="C191" i="7"/>
  <c r="B192" i="7"/>
  <c r="B193" i="7"/>
  <c r="B194" i="7"/>
  <c r="C194" i="7" s="1"/>
  <c r="B195" i="7"/>
  <c r="C195" i="7" s="1"/>
  <c r="B196" i="7"/>
  <c r="C196" i="7" s="1"/>
  <c r="B197" i="7"/>
  <c r="C197" i="7"/>
  <c r="B198" i="7"/>
  <c r="C198" i="7"/>
  <c r="B199" i="7"/>
  <c r="C199" i="7"/>
  <c r="E199" i="7"/>
  <c r="B200" i="7"/>
  <c r="C200" i="7" s="1"/>
  <c r="E200" i="7"/>
  <c r="B201" i="7"/>
  <c r="B202" i="7"/>
  <c r="C202" i="7" s="1"/>
  <c r="B203" i="7"/>
  <c r="B204" i="7"/>
  <c r="C204" i="7" s="1"/>
  <c r="E204" i="7"/>
  <c r="B205" i="7"/>
  <c r="C205" i="7"/>
  <c r="B206" i="7"/>
  <c r="C206" i="7"/>
  <c r="B207" i="7"/>
  <c r="C207" i="7" s="1"/>
  <c r="B208" i="7"/>
  <c r="C208" i="7" s="1"/>
  <c r="B209" i="7"/>
  <c r="B210" i="7"/>
  <c r="C210" i="7"/>
  <c r="E210" i="7"/>
  <c r="B211" i="7"/>
  <c r="B212" i="7"/>
  <c r="C212" i="7" s="1"/>
  <c r="M8" i="6"/>
  <c r="N8" i="7" s="1"/>
  <c r="M8" i="8" s="1"/>
  <c r="M9" i="6"/>
  <c r="G13" i="6"/>
  <c r="T13" i="7" s="1"/>
  <c r="H13" i="6"/>
  <c r="E13" i="6" s="1"/>
  <c r="H13" i="7" s="1"/>
  <c r="I13" i="6"/>
  <c r="F13" i="6" s="1"/>
  <c r="N13" i="7" s="1"/>
  <c r="J13" i="6"/>
  <c r="T13" i="6"/>
  <c r="U13" i="6"/>
  <c r="V13" i="6"/>
  <c r="M13" i="7" s="1"/>
  <c r="C13" i="8" s="1"/>
  <c r="W13" i="6"/>
  <c r="S13" i="7" s="1"/>
  <c r="B14" i="6"/>
  <c r="C14" i="6"/>
  <c r="H14" i="6"/>
  <c r="E14" i="6" s="1"/>
  <c r="K14" i="6"/>
  <c r="K15" i="6" s="1"/>
  <c r="L14" i="6"/>
  <c r="I14" i="6" s="1"/>
  <c r="F14" i="6" s="1"/>
  <c r="M14" i="6"/>
  <c r="M15" i="6" s="1"/>
  <c r="N14" i="6"/>
  <c r="O14" i="6"/>
  <c r="O15" i="6" s="1"/>
  <c r="P14" i="6"/>
  <c r="V14" i="6"/>
  <c r="V15" i="6" s="1"/>
  <c r="C15" i="6"/>
  <c r="L15" i="6"/>
  <c r="L16" i="6" s="1"/>
  <c r="N15" i="6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C16" i="6"/>
  <c r="K16" i="6"/>
  <c r="U29" i="6"/>
  <c r="U30" i="6" s="1"/>
  <c r="V29" i="6"/>
  <c r="W29" i="6"/>
  <c r="W30" i="6" s="1"/>
  <c r="V30" i="6"/>
  <c r="U32" i="6"/>
  <c r="V32" i="6"/>
  <c r="V33" i="6" s="1"/>
  <c r="W32" i="6"/>
  <c r="W33" i="6" s="1"/>
  <c r="U33" i="6"/>
  <c r="U35" i="6"/>
  <c r="U36" i="6" s="1"/>
  <c r="V35" i="6"/>
  <c r="W35" i="6"/>
  <c r="W36" i="6" s="1"/>
  <c r="V36" i="6"/>
  <c r="U38" i="6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V38" i="6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W38" i="6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U53" i="6"/>
  <c r="V53" i="6"/>
  <c r="W53" i="6"/>
  <c r="W54" i="6" s="1"/>
  <c r="W55" i="6" s="1"/>
  <c r="W56" i="6" s="1"/>
  <c r="W57" i="6" s="1"/>
  <c r="W58" i="6" s="1"/>
  <c r="W59" i="6" s="1"/>
  <c r="U54" i="6"/>
  <c r="V54" i="6"/>
  <c r="V55" i="6" s="1"/>
  <c r="V56" i="6" s="1"/>
  <c r="V57" i="6" s="1"/>
  <c r="V58" i="6" s="1"/>
  <c r="V59" i="6" s="1"/>
  <c r="U55" i="6"/>
  <c r="U56" i="6" s="1"/>
  <c r="U57" i="6" s="1"/>
  <c r="U58" i="6" s="1"/>
  <c r="U59" i="6" s="1"/>
  <c r="U61" i="6"/>
  <c r="U62" i="6" s="1"/>
  <c r="U63" i="6" s="1"/>
  <c r="U64" i="6" s="1"/>
  <c r="V61" i="6"/>
  <c r="V62" i="6" s="1"/>
  <c r="V63" i="6" s="1"/>
  <c r="V64" i="6" s="1"/>
  <c r="V65" i="6" s="1"/>
  <c r="V66" i="6" s="1"/>
  <c r="V67" i="6" s="1"/>
  <c r="V68" i="6" s="1"/>
  <c r="W61" i="6"/>
  <c r="W62" i="6" s="1"/>
  <c r="W63" i="6" s="1"/>
  <c r="W64" i="6" s="1"/>
  <c r="W65" i="6" s="1"/>
  <c r="W66" i="6" s="1"/>
  <c r="W67" i="6" s="1"/>
  <c r="W68" i="6" s="1"/>
  <c r="U65" i="6"/>
  <c r="U66" i="6" s="1"/>
  <c r="U67" i="6" s="1"/>
  <c r="U68" i="6" s="1"/>
  <c r="U70" i="6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U98" i="6" s="1"/>
  <c r="U99" i="6" s="1"/>
  <c r="U100" i="6" s="1"/>
  <c r="U101" i="6" s="1"/>
  <c r="U102" i="6" s="1"/>
  <c r="U103" i="6" s="1"/>
  <c r="U104" i="6" s="1"/>
  <c r="U105" i="6" s="1"/>
  <c r="U106" i="6" s="1"/>
  <c r="U107" i="6" s="1"/>
  <c r="U108" i="6" s="1"/>
  <c r="U109" i="6" s="1"/>
  <c r="U110" i="6" s="1"/>
  <c r="U111" i="6" s="1"/>
  <c r="V70" i="6"/>
  <c r="V71" i="6" s="1"/>
  <c r="V72" i="6" s="1"/>
  <c r="V73" i="6" s="1"/>
  <c r="W70" i="6"/>
  <c r="W71" i="6" s="1"/>
  <c r="W72" i="6" s="1"/>
  <c r="W73" i="6" s="1"/>
  <c r="V74" i="6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V93" i="6" s="1"/>
  <c r="V94" i="6" s="1"/>
  <c r="V95" i="6" s="1"/>
  <c r="V96" i="6" s="1"/>
  <c r="V97" i="6" s="1"/>
  <c r="V98" i="6" s="1"/>
  <c r="V99" i="6" s="1"/>
  <c r="V100" i="6" s="1"/>
  <c r="V101" i="6" s="1"/>
  <c r="V102" i="6" s="1"/>
  <c r="V103" i="6" s="1"/>
  <c r="V104" i="6" s="1"/>
  <c r="V105" i="6" s="1"/>
  <c r="V106" i="6" s="1"/>
  <c r="V107" i="6" s="1"/>
  <c r="V108" i="6" s="1"/>
  <c r="V109" i="6" s="1"/>
  <c r="V110" i="6" s="1"/>
  <c r="V111" i="6" s="1"/>
  <c r="W74" i="6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W93" i="6" s="1"/>
  <c r="W94" i="6" s="1"/>
  <c r="W95" i="6" s="1"/>
  <c r="W96" i="6" s="1"/>
  <c r="W97" i="6" s="1"/>
  <c r="W98" i="6" s="1"/>
  <c r="W99" i="6" s="1"/>
  <c r="W100" i="6" s="1"/>
  <c r="W101" i="6" s="1"/>
  <c r="W102" i="6" s="1"/>
  <c r="W103" i="6" s="1"/>
  <c r="W104" i="6" s="1"/>
  <c r="W105" i="6" s="1"/>
  <c r="W106" i="6" s="1"/>
  <c r="W107" i="6" s="1"/>
  <c r="W108" i="6" s="1"/>
  <c r="W109" i="6" s="1"/>
  <c r="W110" i="6" s="1"/>
  <c r="W111" i="6" s="1"/>
  <c r="U113" i="6"/>
  <c r="V113" i="6"/>
  <c r="W113" i="6"/>
  <c r="U115" i="6"/>
  <c r="V115" i="6"/>
  <c r="V116" i="6" s="1"/>
  <c r="W115" i="6"/>
  <c r="U116" i="6"/>
  <c r="W116" i="6"/>
  <c r="U118" i="6"/>
  <c r="V118" i="6"/>
  <c r="W118" i="6"/>
  <c r="W119" i="6" s="1"/>
  <c r="U119" i="6"/>
  <c r="V119" i="6"/>
  <c r="U121" i="6"/>
  <c r="U122" i="6" s="1"/>
  <c r="V121" i="6"/>
  <c r="V122" i="6" s="1"/>
  <c r="W121" i="6"/>
  <c r="W122" i="6" s="1"/>
  <c r="U124" i="6"/>
  <c r="V124" i="6"/>
  <c r="W124" i="6"/>
  <c r="U126" i="6"/>
  <c r="U127" i="6" s="1"/>
  <c r="V126" i="6"/>
  <c r="W126" i="6"/>
  <c r="V127" i="6"/>
  <c r="W127" i="6"/>
  <c r="U129" i="6"/>
  <c r="U130" i="6" s="1"/>
  <c r="V129" i="6"/>
  <c r="V130" i="6" s="1"/>
  <c r="W129" i="6"/>
  <c r="W130" i="6" s="1"/>
  <c r="U132" i="6"/>
  <c r="V132" i="6"/>
  <c r="V133" i="6" s="1"/>
  <c r="V134" i="6" s="1"/>
  <c r="V135" i="6" s="1"/>
  <c r="W132" i="6"/>
  <c r="U133" i="6"/>
  <c r="U134" i="6" s="1"/>
  <c r="U135" i="6" s="1"/>
  <c r="W133" i="6"/>
  <c r="W134" i="6" s="1"/>
  <c r="W135" i="6" s="1"/>
  <c r="U137" i="6"/>
  <c r="U138" i="6" s="1"/>
  <c r="V137" i="6"/>
  <c r="V138" i="6" s="1"/>
  <c r="V139" i="6" s="1"/>
  <c r="W137" i="6"/>
  <c r="W138" i="6" s="1"/>
  <c r="W139" i="6" s="1"/>
  <c r="U139" i="6"/>
  <c r="U141" i="6"/>
  <c r="U142" i="6" s="1"/>
  <c r="V141" i="6"/>
  <c r="V142" i="6" s="1"/>
  <c r="W141" i="6"/>
  <c r="W142" i="6" s="1"/>
  <c r="U144" i="6"/>
  <c r="U145" i="6" s="1"/>
  <c r="U146" i="6" s="1"/>
  <c r="U147" i="6" s="1"/>
  <c r="U148" i="6" s="1"/>
  <c r="U149" i="6" s="1"/>
  <c r="U150" i="6" s="1"/>
  <c r="U151" i="6" s="1"/>
  <c r="U152" i="6" s="1"/>
  <c r="U153" i="6" s="1"/>
  <c r="U154" i="6" s="1"/>
  <c r="U155" i="6" s="1"/>
  <c r="U156" i="6" s="1"/>
  <c r="U157" i="6" s="1"/>
  <c r="U158" i="6" s="1"/>
  <c r="U159" i="6" s="1"/>
  <c r="U160" i="6" s="1"/>
  <c r="U161" i="6" s="1"/>
  <c r="U162" i="6" s="1"/>
  <c r="U163" i="6" s="1"/>
  <c r="U164" i="6" s="1"/>
  <c r="U165" i="6" s="1"/>
  <c r="U166" i="6" s="1"/>
  <c r="U167" i="6" s="1"/>
  <c r="U168" i="6" s="1"/>
  <c r="U169" i="6" s="1"/>
  <c r="U170" i="6" s="1"/>
  <c r="U171" i="6" s="1"/>
  <c r="U172" i="6" s="1"/>
  <c r="U173" i="6" s="1"/>
  <c r="V144" i="6"/>
  <c r="W144" i="6"/>
  <c r="V145" i="6"/>
  <c r="V146" i="6" s="1"/>
  <c r="W145" i="6"/>
  <c r="W146" i="6" s="1"/>
  <c r="W147" i="6" s="1"/>
  <c r="W148" i="6" s="1"/>
  <c r="W149" i="6" s="1"/>
  <c r="W150" i="6" s="1"/>
  <c r="W151" i="6" s="1"/>
  <c r="W152" i="6" s="1"/>
  <c r="W153" i="6" s="1"/>
  <c r="W154" i="6" s="1"/>
  <c r="W155" i="6" s="1"/>
  <c r="W156" i="6" s="1"/>
  <c r="W157" i="6" s="1"/>
  <c r="W158" i="6" s="1"/>
  <c r="W159" i="6" s="1"/>
  <c r="W160" i="6" s="1"/>
  <c r="W161" i="6" s="1"/>
  <c r="W162" i="6" s="1"/>
  <c r="W163" i="6" s="1"/>
  <c r="W164" i="6" s="1"/>
  <c r="W165" i="6" s="1"/>
  <c r="W166" i="6" s="1"/>
  <c r="W167" i="6" s="1"/>
  <c r="W168" i="6" s="1"/>
  <c r="W169" i="6" s="1"/>
  <c r="W170" i="6" s="1"/>
  <c r="W171" i="6" s="1"/>
  <c r="W172" i="6" s="1"/>
  <c r="W173" i="6" s="1"/>
  <c r="V147" i="6"/>
  <c r="V148" i="6" s="1"/>
  <c r="V149" i="6" s="1"/>
  <c r="V150" i="6" s="1"/>
  <c r="V151" i="6" s="1"/>
  <c r="V152" i="6" s="1"/>
  <c r="V153" i="6" s="1"/>
  <c r="V154" i="6" s="1"/>
  <c r="V155" i="6" s="1"/>
  <c r="V156" i="6" s="1"/>
  <c r="V157" i="6" s="1"/>
  <c r="V158" i="6" s="1"/>
  <c r="V159" i="6" s="1"/>
  <c r="V160" i="6" s="1"/>
  <c r="V161" i="6" s="1"/>
  <c r="V162" i="6" s="1"/>
  <c r="V163" i="6" s="1"/>
  <c r="V164" i="6" s="1"/>
  <c r="V165" i="6" s="1"/>
  <c r="V166" i="6" s="1"/>
  <c r="V167" i="6" s="1"/>
  <c r="V168" i="6" s="1"/>
  <c r="V169" i="6" s="1"/>
  <c r="V170" i="6" s="1"/>
  <c r="V171" i="6" s="1"/>
  <c r="V172" i="6" s="1"/>
  <c r="V173" i="6" s="1"/>
  <c r="X313" i="6"/>
  <c r="Q314" i="6"/>
  <c r="T313" i="6" s="1"/>
  <c r="R314" i="6"/>
  <c r="V313" i="6" s="1"/>
  <c r="S314" i="6"/>
  <c r="D436" i="6"/>
  <c r="D445" i="6"/>
  <c r="D455" i="6"/>
  <c r="D457" i="6"/>
  <c r="E457" i="6"/>
  <c r="E458" i="6" s="1"/>
  <c r="F457" i="6"/>
  <c r="F458" i="6" s="1"/>
  <c r="F496" i="6" s="1"/>
  <c r="F535" i="6" s="1"/>
  <c r="F570" i="6" s="1"/>
  <c r="D458" i="6"/>
  <c r="D495" i="6"/>
  <c r="D496" i="6" s="1"/>
  <c r="D535" i="6" s="1"/>
  <c r="D570" i="6" s="1"/>
  <c r="E495" i="6"/>
  <c r="F495" i="6"/>
  <c r="D534" i="6"/>
  <c r="E534" i="6"/>
  <c r="F534" i="6"/>
  <c r="D569" i="6"/>
  <c r="E569" i="6"/>
  <c r="F569" i="6"/>
  <c r="C582" i="6"/>
  <c r="D582" i="6"/>
  <c r="E582" i="6"/>
  <c r="C583" i="6"/>
  <c r="D583" i="6"/>
  <c r="E583" i="6"/>
  <c r="D472" i="6" l="1"/>
  <c r="E496" i="6"/>
  <c r="D484" i="6"/>
  <c r="E208" i="7"/>
  <c r="E212" i="7"/>
  <c r="E207" i="7"/>
  <c r="C13" i="5"/>
  <c r="E13" i="5"/>
  <c r="E202" i="7"/>
  <c r="C201" i="7"/>
  <c r="E201" i="7"/>
  <c r="M16" i="6"/>
  <c r="E205" i="7"/>
  <c r="L17" i="6"/>
  <c r="T15" i="6"/>
  <c r="V16" i="6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H16" i="6"/>
  <c r="K17" i="6"/>
  <c r="T14" i="6"/>
  <c r="C192" i="7"/>
  <c r="J14" i="6"/>
  <c r="G14" i="6" s="1"/>
  <c r="P15" i="6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E203" i="7"/>
  <c r="C203" i="7"/>
  <c r="E16" i="6"/>
  <c r="O16" i="6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I15" i="6"/>
  <c r="F15" i="6" s="1"/>
  <c r="E211" i="7"/>
  <c r="C211" i="7"/>
  <c r="C177" i="7"/>
  <c r="C17" i="6"/>
  <c r="B14" i="7"/>
  <c r="B15" i="6"/>
  <c r="C193" i="7"/>
  <c r="C184" i="7"/>
  <c r="C182" i="7"/>
  <c r="H15" i="6"/>
  <c r="E15" i="6" s="1"/>
  <c r="G13" i="7"/>
  <c r="U14" i="6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C209" i="7"/>
  <c r="E209" i="7"/>
  <c r="C176" i="7"/>
  <c r="C181" i="7"/>
  <c r="E206" i="7"/>
  <c r="C186" i="7"/>
  <c r="C174" i="7"/>
  <c r="W14" i="6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C185" i="7"/>
  <c r="C180" i="7"/>
  <c r="D15" i="7"/>
  <c r="D13" i="8"/>
  <c r="P13" i="7"/>
  <c r="I13" i="8" s="1"/>
  <c r="M13" i="8" s="1"/>
  <c r="E13" i="8" s="1"/>
  <c r="E13" i="7"/>
  <c r="F13" i="7" s="1"/>
  <c r="M9" i="8"/>
  <c r="V13" i="7"/>
  <c r="K13" i="8" s="1"/>
  <c r="N13" i="8" s="1"/>
  <c r="J13" i="7"/>
  <c r="G13" i="8" s="1"/>
  <c r="N9" i="7"/>
  <c r="L13" i="8" l="1"/>
  <c r="G13" i="5"/>
  <c r="L13" i="5" s="1"/>
  <c r="K13" i="5"/>
  <c r="N13" i="5" s="1"/>
  <c r="J15" i="6"/>
  <c r="G15" i="6" s="1"/>
  <c r="I13" i="5"/>
  <c r="M13" i="5" s="1"/>
  <c r="D513" i="6"/>
  <c r="E535" i="6"/>
  <c r="I13" i="7"/>
  <c r="F13" i="8" s="1"/>
  <c r="F13" i="5" s="1"/>
  <c r="U13" i="7"/>
  <c r="J13" i="8" s="1"/>
  <c r="J13" i="5" s="1"/>
  <c r="O13" i="7"/>
  <c r="H13" i="8" s="1"/>
  <c r="H13" i="5" s="1"/>
  <c r="A14" i="8"/>
  <c r="N14" i="7"/>
  <c r="V14" i="7"/>
  <c r="W14" i="7" s="1"/>
  <c r="X14" i="7" s="1"/>
  <c r="G14" i="7"/>
  <c r="J14" i="7"/>
  <c r="K14" i="7" s="1"/>
  <c r="L14" i="7" s="1"/>
  <c r="C14" i="7"/>
  <c r="S14" i="7"/>
  <c r="E14" i="7"/>
  <c r="F14" i="7" s="1"/>
  <c r="H14" i="7"/>
  <c r="M14" i="7"/>
  <c r="P14" i="7"/>
  <c r="Q14" i="7" s="1"/>
  <c r="R14" i="7" s="1"/>
  <c r="T14" i="7"/>
  <c r="C18" i="6"/>
  <c r="T17" i="6"/>
  <c r="L18" i="6"/>
  <c r="I17" i="6"/>
  <c r="F17" i="6" s="1"/>
  <c r="I16" i="6"/>
  <c r="F16" i="6" s="1"/>
  <c r="T16" i="6"/>
  <c r="H17" i="6"/>
  <c r="E17" i="6" s="1"/>
  <c r="K18" i="6"/>
  <c r="D16" i="7"/>
  <c r="B15" i="7"/>
  <c r="B16" i="6"/>
  <c r="J16" i="6"/>
  <c r="G16" i="6" s="1"/>
  <c r="M17" i="6"/>
  <c r="D564" i="6" l="1"/>
  <c r="D548" i="6"/>
  <c r="E570" i="6"/>
  <c r="L19" i="6"/>
  <c r="I18" i="6"/>
  <c r="M18" i="6"/>
  <c r="J17" i="6"/>
  <c r="G17" i="6" s="1"/>
  <c r="C14" i="8"/>
  <c r="Y14" i="7"/>
  <c r="Z14" i="7" s="1"/>
  <c r="AA14" i="7" s="1"/>
  <c r="AB14" i="7"/>
  <c r="B16" i="7"/>
  <c r="B17" i="6"/>
  <c r="K19" i="6"/>
  <c r="H18" i="6"/>
  <c r="E18" i="6" s="1"/>
  <c r="I14" i="8"/>
  <c r="M14" i="8" s="1"/>
  <c r="K14" i="8"/>
  <c r="N14" i="8" s="1"/>
  <c r="F14" i="8"/>
  <c r="G14" i="8"/>
  <c r="L14" i="8" s="1"/>
  <c r="A15" i="8"/>
  <c r="C15" i="7"/>
  <c r="S15" i="7"/>
  <c r="N15" i="7"/>
  <c r="V15" i="7"/>
  <c r="W15" i="7" s="1"/>
  <c r="X15" i="7" s="1"/>
  <c r="G15" i="7"/>
  <c r="J15" i="7"/>
  <c r="K15" i="7" s="1"/>
  <c r="L15" i="7" s="1"/>
  <c r="P15" i="7"/>
  <c r="Q15" i="7" s="1"/>
  <c r="R15" i="7" s="1"/>
  <c r="T15" i="7"/>
  <c r="E15" i="7"/>
  <c r="F15" i="7" s="1"/>
  <c r="M15" i="7"/>
  <c r="H15" i="7"/>
  <c r="O14" i="7"/>
  <c r="H14" i="8" s="1"/>
  <c r="U14" i="7"/>
  <c r="J14" i="8" s="1"/>
  <c r="I14" i="7"/>
  <c r="D17" i="7"/>
  <c r="F18" i="6"/>
  <c r="C19" i="6"/>
  <c r="T18" i="6"/>
  <c r="H19" i="6" l="1"/>
  <c r="K20" i="6"/>
  <c r="B17" i="7"/>
  <c r="B18" i="6"/>
  <c r="J18" i="6"/>
  <c r="G18" i="6" s="1"/>
  <c r="M19" i="6"/>
  <c r="C15" i="8"/>
  <c r="E15" i="8" s="1"/>
  <c r="Y15" i="7"/>
  <c r="Z15" i="7" s="1"/>
  <c r="AB15" i="7"/>
  <c r="A16" i="8"/>
  <c r="G16" i="7"/>
  <c r="C16" i="7"/>
  <c r="S16" i="7"/>
  <c r="H16" i="7"/>
  <c r="T16" i="7"/>
  <c r="V16" i="7"/>
  <c r="W16" i="7" s="1"/>
  <c r="X16" i="7" s="1"/>
  <c r="M16" i="7"/>
  <c r="E16" i="7"/>
  <c r="F16" i="7" s="1"/>
  <c r="J16" i="7"/>
  <c r="K16" i="7" s="1"/>
  <c r="L16" i="7" s="1"/>
  <c r="N16" i="7"/>
  <c r="P16" i="7"/>
  <c r="Q16" i="7" s="1"/>
  <c r="R16" i="7" s="1"/>
  <c r="O15" i="7"/>
  <c r="H15" i="8" s="1"/>
  <c r="I15" i="7"/>
  <c r="F15" i="8" s="1"/>
  <c r="U15" i="7"/>
  <c r="G15" i="8"/>
  <c r="L15" i="8" s="1"/>
  <c r="I15" i="8"/>
  <c r="M15" i="8" s="1"/>
  <c r="J15" i="8"/>
  <c r="K15" i="8"/>
  <c r="N15" i="8" s="1"/>
  <c r="D14" i="8"/>
  <c r="AA15" i="7"/>
  <c r="D18" i="7"/>
  <c r="E19" i="6"/>
  <c r="C20" i="6"/>
  <c r="T19" i="6"/>
  <c r="E14" i="8"/>
  <c r="I19" i="6"/>
  <c r="F19" i="6" s="1"/>
  <c r="L20" i="6"/>
  <c r="A17" i="8" l="1"/>
  <c r="C17" i="7"/>
  <c r="H17" i="7"/>
  <c r="P17" i="7"/>
  <c r="Q17" i="7" s="1"/>
  <c r="R17" i="7" s="1"/>
  <c r="J17" i="7"/>
  <c r="K17" i="7" s="1"/>
  <c r="L17" i="7" s="1"/>
  <c r="T17" i="7"/>
  <c r="E17" i="7"/>
  <c r="F17" i="7" s="1"/>
  <c r="M17" i="7"/>
  <c r="S17" i="7"/>
  <c r="G17" i="7"/>
  <c r="V17" i="7"/>
  <c r="W17" i="7" s="1"/>
  <c r="X17" i="7" s="1"/>
  <c r="N17" i="7"/>
  <c r="J19" i="6"/>
  <c r="G19" i="6" s="1"/>
  <c r="M20" i="6"/>
  <c r="H20" i="6"/>
  <c r="K21" i="6"/>
  <c r="B18" i="7"/>
  <c r="B19" i="6"/>
  <c r="O16" i="7"/>
  <c r="H16" i="8" s="1"/>
  <c r="I16" i="7"/>
  <c r="F16" i="8" s="1"/>
  <c r="U16" i="7"/>
  <c r="J16" i="8" s="1"/>
  <c r="G16" i="8"/>
  <c r="L16" i="8" s="1"/>
  <c r="I16" i="8"/>
  <c r="M16" i="8" s="1"/>
  <c r="K16" i="8"/>
  <c r="N16" i="8" s="1"/>
  <c r="D15" i="8"/>
  <c r="C16" i="8"/>
  <c r="E16" i="8" s="1"/>
  <c r="AB16" i="7"/>
  <c r="Y16" i="7"/>
  <c r="Z16" i="7" s="1"/>
  <c r="AA16" i="7" s="1"/>
  <c r="T20" i="6"/>
  <c r="C21" i="6"/>
  <c r="E20" i="6"/>
  <c r="I20" i="6"/>
  <c r="F20" i="6" s="1"/>
  <c r="L21" i="6"/>
  <c r="D19" i="7"/>
  <c r="D16" i="8" l="1"/>
  <c r="L22" i="6"/>
  <c r="I21" i="6"/>
  <c r="F21" i="6" s="1"/>
  <c r="K17" i="8"/>
  <c r="N17" i="8" s="1"/>
  <c r="G17" i="8"/>
  <c r="L17" i="8" s="1"/>
  <c r="I17" i="8"/>
  <c r="M17" i="8" s="1"/>
  <c r="B19" i="7"/>
  <c r="B20" i="6"/>
  <c r="H21" i="6"/>
  <c r="E21" i="6" s="1"/>
  <c r="K22" i="6"/>
  <c r="A18" i="8"/>
  <c r="T18" i="7"/>
  <c r="E18" i="7"/>
  <c r="F18" i="7" s="1"/>
  <c r="M18" i="7"/>
  <c r="N18" i="7"/>
  <c r="V18" i="7"/>
  <c r="W18" i="7" s="1"/>
  <c r="X18" i="7" s="1"/>
  <c r="H18" i="7"/>
  <c r="P18" i="7"/>
  <c r="Q18" i="7" s="1"/>
  <c r="R18" i="7" s="1"/>
  <c r="J18" i="7"/>
  <c r="K18" i="7" s="1"/>
  <c r="L18" i="7" s="1"/>
  <c r="S18" i="7"/>
  <c r="C18" i="7"/>
  <c r="G18" i="7"/>
  <c r="I17" i="7"/>
  <c r="F17" i="8" s="1"/>
  <c r="U17" i="7"/>
  <c r="J17" i="8" s="1"/>
  <c r="O17" i="7"/>
  <c r="H17" i="8" s="1"/>
  <c r="C17" i="8"/>
  <c r="E17" i="8" s="1"/>
  <c r="Y17" i="7"/>
  <c r="Z17" i="7" s="1"/>
  <c r="AA17" i="7" s="1"/>
  <c r="AB17" i="7"/>
  <c r="C22" i="6"/>
  <c r="T21" i="6"/>
  <c r="D20" i="7"/>
  <c r="J20" i="6"/>
  <c r="G20" i="6" s="1"/>
  <c r="M21" i="6"/>
  <c r="D17" i="8" l="1"/>
  <c r="B20" i="7"/>
  <c r="B21" i="6"/>
  <c r="A19" i="8"/>
  <c r="H19" i="7"/>
  <c r="P19" i="7"/>
  <c r="Q19" i="7" s="1"/>
  <c r="R19" i="7" s="1"/>
  <c r="J19" i="7"/>
  <c r="K19" i="7" s="1"/>
  <c r="L19" i="7" s="1"/>
  <c r="T19" i="7"/>
  <c r="E19" i="7"/>
  <c r="F19" i="7" s="1"/>
  <c r="M19" i="7"/>
  <c r="C19" i="7"/>
  <c r="N19" i="7"/>
  <c r="G19" i="7"/>
  <c r="S19" i="7"/>
  <c r="V19" i="7"/>
  <c r="W19" i="7" s="1"/>
  <c r="X19" i="7" s="1"/>
  <c r="G18" i="8"/>
  <c r="L18" i="8" s="1"/>
  <c r="I18" i="8"/>
  <c r="M18" i="8" s="1"/>
  <c r="K18" i="8"/>
  <c r="N18" i="8" s="1"/>
  <c r="C18" i="8"/>
  <c r="E18" i="8" s="1"/>
  <c r="AB18" i="7"/>
  <c r="Y18" i="7"/>
  <c r="Z18" i="7" s="1"/>
  <c r="AA18" i="7" s="1"/>
  <c r="K23" i="6"/>
  <c r="H22" i="6"/>
  <c r="E22" i="6" s="1"/>
  <c r="D21" i="7"/>
  <c r="C23" i="6"/>
  <c r="T22" i="6"/>
  <c r="L23" i="6"/>
  <c r="I22" i="6"/>
  <c r="F22" i="6" s="1"/>
  <c r="M22" i="6"/>
  <c r="J21" i="6"/>
  <c r="G21" i="6" s="1"/>
  <c r="U18" i="7"/>
  <c r="J18" i="8" s="1"/>
  <c r="I18" i="7"/>
  <c r="F18" i="8" s="1"/>
  <c r="O18" i="7"/>
  <c r="H18" i="8" s="1"/>
  <c r="D18" i="8" l="1"/>
  <c r="I19" i="8"/>
  <c r="M19" i="8" s="1"/>
  <c r="K19" i="8"/>
  <c r="N19" i="8" s="1"/>
  <c r="G19" i="8"/>
  <c r="L19" i="8" s="1"/>
  <c r="B21" i="7"/>
  <c r="B22" i="6"/>
  <c r="T23" i="6"/>
  <c r="E23" i="6"/>
  <c r="C24" i="6"/>
  <c r="A20" i="8"/>
  <c r="T20" i="7"/>
  <c r="E20" i="7"/>
  <c r="F20" i="7" s="1"/>
  <c r="M20" i="7"/>
  <c r="N20" i="7"/>
  <c r="V20" i="7"/>
  <c r="W20" i="7" s="1"/>
  <c r="X20" i="7" s="1"/>
  <c r="H20" i="7"/>
  <c r="P20" i="7"/>
  <c r="Q20" i="7" s="1"/>
  <c r="R20" i="7" s="1"/>
  <c r="S20" i="7"/>
  <c r="C20" i="7"/>
  <c r="G20" i="7"/>
  <c r="J20" i="7"/>
  <c r="K20" i="7" s="1"/>
  <c r="L20" i="7" s="1"/>
  <c r="C19" i="8"/>
  <c r="E19" i="8" s="1"/>
  <c r="Y19" i="7"/>
  <c r="Z19" i="7" s="1"/>
  <c r="AA19" i="7" s="1"/>
  <c r="AB19" i="7"/>
  <c r="I19" i="7"/>
  <c r="F19" i="8" s="1"/>
  <c r="U19" i="7"/>
  <c r="J19" i="8" s="1"/>
  <c r="O19" i="7"/>
  <c r="H19" i="8" s="1"/>
  <c r="J22" i="6"/>
  <c r="G22" i="6" s="1"/>
  <c r="M23" i="6"/>
  <c r="D22" i="7"/>
  <c r="H23" i="6"/>
  <c r="K24" i="6"/>
  <c r="I23" i="6"/>
  <c r="F23" i="6" s="1"/>
  <c r="L24" i="6"/>
  <c r="D19" i="8" l="1"/>
  <c r="K20" i="8"/>
  <c r="N20" i="8" s="1"/>
  <c r="G20" i="8"/>
  <c r="L20" i="8" s="1"/>
  <c r="I20" i="8"/>
  <c r="M20" i="8" s="1"/>
  <c r="H24" i="6"/>
  <c r="K25" i="6"/>
  <c r="D23" i="7"/>
  <c r="I24" i="6"/>
  <c r="F24" i="6" s="1"/>
  <c r="L25" i="6"/>
  <c r="T24" i="6"/>
  <c r="C25" i="6"/>
  <c r="E24" i="6"/>
  <c r="B22" i="7"/>
  <c r="B23" i="6"/>
  <c r="J23" i="6"/>
  <c r="G23" i="6" s="1"/>
  <c r="M24" i="6"/>
  <c r="A21" i="8"/>
  <c r="J21" i="7"/>
  <c r="K21" i="7" s="1"/>
  <c r="L21" i="7" s="1"/>
  <c r="C21" i="7"/>
  <c r="S21" i="7"/>
  <c r="E21" i="7"/>
  <c r="F21" i="7" s="1"/>
  <c r="M21" i="7"/>
  <c r="N21" i="7"/>
  <c r="V21" i="7"/>
  <c r="W21" i="7" s="1"/>
  <c r="X21" i="7" s="1"/>
  <c r="T21" i="7"/>
  <c r="G21" i="7"/>
  <c r="H21" i="7"/>
  <c r="P21" i="7"/>
  <c r="Q21" i="7" s="1"/>
  <c r="R21" i="7" s="1"/>
  <c r="C20" i="8"/>
  <c r="E20" i="8" s="1"/>
  <c r="AB20" i="7"/>
  <c r="Y20" i="7"/>
  <c r="Z20" i="7" s="1"/>
  <c r="AA20" i="7" s="1"/>
  <c r="U20" i="7"/>
  <c r="J20" i="8" s="1"/>
  <c r="I20" i="7"/>
  <c r="F20" i="8" s="1"/>
  <c r="O20" i="7"/>
  <c r="H20" i="8" s="1"/>
  <c r="D20" i="8" l="1"/>
  <c r="B23" i="7"/>
  <c r="B24" i="6"/>
  <c r="G21" i="8"/>
  <c r="L21" i="8" s="1"/>
  <c r="I21" i="8"/>
  <c r="M21" i="8" s="1"/>
  <c r="K21" i="8"/>
  <c r="N21" i="8" s="1"/>
  <c r="A22" i="8"/>
  <c r="N22" i="7"/>
  <c r="V22" i="7"/>
  <c r="W22" i="7" s="1"/>
  <c r="X22" i="7" s="1"/>
  <c r="G22" i="7"/>
  <c r="H22" i="7"/>
  <c r="P22" i="7"/>
  <c r="Q22" i="7" s="1"/>
  <c r="R22" i="7" s="1"/>
  <c r="J22" i="7"/>
  <c r="K22" i="7" s="1"/>
  <c r="L22" i="7" s="1"/>
  <c r="C22" i="7"/>
  <c r="S22" i="7"/>
  <c r="E22" i="7"/>
  <c r="F22" i="7" s="1"/>
  <c r="M22" i="7"/>
  <c r="T22" i="7"/>
  <c r="D24" i="7"/>
  <c r="H25" i="6"/>
  <c r="E25" i="6" s="1"/>
  <c r="K26" i="6"/>
  <c r="C21" i="8"/>
  <c r="E21" i="8" s="1"/>
  <c r="Y21" i="7"/>
  <c r="Z21" i="7" s="1"/>
  <c r="AA21" i="7" s="1"/>
  <c r="AB21" i="7"/>
  <c r="C26" i="6"/>
  <c r="T25" i="6"/>
  <c r="I21" i="7"/>
  <c r="F21" i="8" s="1"/>
  <c r="U21" i="7"/>
  <c r="J21" i="8" s="1"/>
  <c r="O21" i="7"/>
  <c r="H21" i="8" s="1"/>
  <c r="J24" i="6"/>
  <c r="G24" i="6" s="1"/>
  <c r="M25" i="6"/>
  <c r="L26" i="6"/>
  <c r="I25" i="6"/>
  <c r="F25" i="6" s="1"/>
  <c r="D21" i="8" l="1"/>
  <c r="K27" i="6"/>
  <c r="H26" i="6"/>
  <c r="E26" i="6" s="1"/>
  <c r="B24" i="7"/>
  <c r="B25" i="6"/>
  <c r="F26" i="6"/>
  <c r="C27" i="6"/>
  <c r="T26" i="6"/>
  <c r="O22" i="7"/>
  <c r="I22" i="7"/>
  <c r="F22" i="8" s="1"/>
  <c r="U22" i="7"/>
  <c r="J22" i="8" s="1"/>
  <c r="I22" i="8"/>
  <c r="M22" i="8" s="1"/>
  <c r="K22" i="8"/>
  <c r="N22" i="8" s="1"/>
  <c r="G22" i="8"/>
  <c r="L22" i="8" s="1"/>
  <c r="H22" i="8"/>
  <c r="L27" i="6"/>
  <c r="I26" i="6"/>
  <c r="M26" i="6"/>
  <c r="J25" i="6"/>
  <c r="G25" i="6" s="1"/>
  <c r="D25" i="7"/>
  <c r="A23" i="8"/>
  <c r="C23" i="7"/>
  <c r="S23" i="7"/>
  <c r="T23" i="7"/>
  <c r="E23" i="7"/>
  <c r="F23" i="7" s="1"/>
  <c r="M23" i="7"/>
  <c r="G23" i="7"/>
  <c r="H23" i="7"/>
  <c r="P23" i="7"/>
  <c r="Q23" i="7" s="1"/>
  <c r="R23" i="7" s="1"/>
  <c r="V23" i="7"/>
  <c r="W23" i="7" s="1"/>
  <c r="X23" i="7" s="1"/>
  <c r="J23" i="7"/>
  <c r="K23" i="7" s="1"/>
  <c r="L23" i="7" s="1"/>
  <c r="N23" i="7"/>
  <c r="C22" i="8"/>
  <c r="AB22" i="7"/>
  <c r="Y22" i="7"/>
  <c r="Z22" i="7" s="1"/>
  <c r="AA22" i="7" s="1"/>
  <c r="E22" i="8" l="1"/>
  <c r="X24" i="7"/>
  <c r="D22" i="8"/>
  <c r="A24" i="8"/>
  <c r="H24" i="7"/>
  <c r="P24" i="7"/>
  <c r="Q24" i="7" s="1"/>
  <c r="R24" i="7" s="1"/>
  <c r="J24" i="7"/>
  <c r="K24" i="7" s="1"/>
  <c r="L24" i="7" s="1"/>
  <c r="T24" i="7"/>
  <c r="E24" i="7"/>
  <c r="F24" i="7" s="1"/>
  <c r="M24" i="7"/>
  <c r="S24" i="7"/>
  <c r="C24" i="7"/>
  <c r="G24" i="7"/>
  <c r="N24" i="7"/>
  <c r="V24" i="7"/>
  <c r="W24" i="7" s="1"/>
  <c r="H27" i="6"/>
  <c r="K28" i="6"/>
  <c r="G23" i="8"/>
  <c r="L23" i="8" s="1"/>
  <c r="I23" i="8"/>
  <c r="M23" i="8" s="1"/>
  <c r="J23" i="8"/>
  <c r="K23" i="8"/>
  <c r="N23" i="8" s="1"/>
  <c r="D26" i="7"/>
  <c r="T27" i="6"/>
  <c r="C28" i="6"/>
  <c r="E27" i="6"/>
  <c r="I27" i="6"/>
  <c r="F27" i="6" s="1"/>
  <c r="L28" i="6"/>
  <c r="J26" i="6"/>
  <c r="G26" i="6" s="1"/>
  <c r="M27" i="6"/>
  <c r="C23" i="8"/>
  <c r="AB23" i="7"/>
  <c r="Y23" i="7"/>
  <c r="Z23" i="7" s="1"/>
  <c r="AA23" i="7" s="1"/>
  <c r="U23" i="7"/>
  <c r="O23" i="7"/>
  <c r="H23" i="8" s="1"/>
  <c r="I23" i="7"/>
  <c r="F23" i="8" s="1"/>
  <c r="B25" i="7"/>
  <c r="B26" i="6"/>
  <c r="D23" i="8" l="1"/>
  <c r="T28" i="6"/>
  <c r="C29" i="6"/>
  <c r="G24" i="8"/>
  <c r="L24" i="8" s="1"/>
  <c r="I24" i="8"/>
  <c r="M24" i="8" s="1"/>
  <c r="K24" i="8"/>
  <c r="N24" i="8" s="1"/>
  <c r="E23" i="8"/>
  <c r="B26" i="7"/>
  <c r="B27" i="6"/>
  <c r="J27" i="6"/>
  <c r="G27" i="6" s="1"/>
  <c r="M28" i="6"/>
  <c r="C24" i="8"/>
  <c r="Y24" i="7"/>
  <c r="Z24" i="7" s="1"/>
  <c r="AA24" i="7" s="1"/>
  <c r="AB24" i="7"/>
  <c r="A25" i="8"/>
  <c r="E25" i="7"/>
  <c r="F25" i="7" s="1"/>
  <c r="M25" i="7"/>
  <c r="N25" i="7"/>
  <c r="V25" i="7"/>
  <c r="W25" i="7" s="1"/>
  <c r="G25" i="7"/>
  <c r="J25" i="7"/>
  <c r="K25" i="7" s="1"/>
  <c r="L25" i="7" s="1"/>
  <c r="S25" i="7"/>
  <c r="T25" i="7"/>
  <c r="C25" i="7"/>
  <c r="H25" i="7"/>
  <c r="P25" i="7"/>
  <c r="Q25" i="7" s="1"/>
  <c r="R25" i="7" s="1"/>
  <c r="I24" i="7"/>
  <c r="F24" i="8" s="1"/>
  <c r="U24" i="7"/>
  <c r="J24" i="8" s="1"/>
  <c r="O24" i="7"/>
  <c r="H24" i="8" s="1"/>
  <c r="D27" i="7"/>
  <c r="H28" i="6"/>
  <c r="E28" i="6" s="1"/>
  <c r="K29" i="6"/>
  <c r="I28" i="6"/>
  <c r="F28" i="6" s="1"/>
  <c r="L29" i="6"/>
  <c r="X25" i="7"/>
  <c r="E24" i="8" l="1"/>
  <c r="D24" i="8"/>
  <c r="D28" i="7"/>
  <c r="K25" i="8"/>
  <c r="N25" i="8" s="1"/>
  <c r="G25" i="8"/>
  <c r="L25" i="8" s="1"/>
  <c r="I25" i="8"/>
  <c r="M25" i="8" s="1"/>
  <c r="I29" i="6"/>
  <c r="F29" i="6" s="1"/>
  <c r="L30" i="6"/>
  <c r="J28" i="6"/>
  <c r="G28" i="6" s="1"/>
  <c r="M29" i="6"/>
  <c r="H29" i="6"/>
  <c r="K30" i="6"/>
  <c r="C25" i="8"/>
  <c r="Y25" i="7"/>
  <c r="Z25" i="7" s="1"/>
  <c r="AA25" i="7" s="1"/>
  <c r="AB25" i="7"/>
  <c r="B27" i="7"/>
  <c r="B28" i="6"/>
  <c r="U25" i="7"/>
  <c r="J25" i="8" s="1"/>
  <c r="O25" i="7"/>
  <c r="H25" i="8" s="1"/>
  <c r="I25" i="7"/>
  <c r="F25" i="8" s="1"/>
  <c r="A26" i="8"/>
  <c r="J26" i="7"/>
  <c r="K26" i="7" s="1"/>
  <c r="L26" i="7" s="1"/>
  <c r="C26" i="7"/>
  <c r="S26" i="7"/>
  <c r="T26" i="7"/>
  <c r="N26" i="7"/>
  <c r="V26" i="7"/>
  <c r="W26" i="7" s="1"/>
  <c r="X26" i="7" s="1"/>
  <c r="G26" i="7"/>
  <c r="E26" i="7"/>
  <c r="F26" i="7" s="1"/>
  <c r="H26" i="7"/>
  <c r="M26" i="7"/>
  <c r="P26" i="7"/>
  <c r="Q26" i="7" s="1"/>
  <c r="R26" i="7" s="1"/>
  <c r="T29" i="6"/>
  <c r="C30" i="6"/>
  <c r="E29" i="6"/>
  <c r="E25" i="8" l="1"/>
  <c r="D25" i="8"/>
  <c r="D29" i="7"/>
  <c r="A27" i="8"/>
  <c r="G27" i="7"/>
  <c r="H27" i="7"/>
  <c r="P27" i="7"/>
  <c r="Q27" i="7" s="1"/>
  <c r="R27" i="7" s="1"/>
  <c r="C27" i="7"/>
  <c r="S27" i="7"/>
  <c r="T27" i="7"/>
  <c r="V27" i="7"/>
  <c r="W27" i="7" s="1"/>
  <c r="X27" i="7" s="1"/>
  <c r="J27" i="7"/>
  <c r="K27" i="7" s="1"/>
  <c r="L27" i="7" s="1"/>
  <c r="M27" i="7"/>
  <c r="E27" i="7"/>
  <c r="F27" i="7" s="1"/>
  <c r="N27" i="7"/>
  <c r="T30" i="6"/>
  <c r="F30" i="6"/>
  <c r="C31" i="6"/>
  <c r="I30" i="6"/>
  <c r="L31" i="6"/>
  <c r="O26" i="7"/>
  <c r="H26" i="8" s="1"/>
  <c r="I26" i="7"/>
  <c r="F26" i="8" s="1"/>
  <c r="U26" i="7"/>
  <c r="J26" i="8" s="1"/>
  <c r="G26" i="8"/>
  <c r="L26" i="8" s="1"/>
  <c r="I26" i="8"/>
  <c r="M26" i="8" s="1"/>
  <c r="K26" i="8"/>
  <c r="N26" i="8" s="1"/>
  <c r="B28" i="7"/>
  <c r="B29" i="6"/>
  <c r="C26" i="8"/>
  <c r="AB26" i="7"/>
  <c r="Y26" i="7"/>
  <c r="Z26" i="7" s="1"/>
  <c r="AA26" i="7" s="1"/>
  <c r="H30" i="6"/>
  <c r="E30" i="6" s="1"/>
  <c r="K31" i="6"/>
  <c r="J29" i="6"/>
  <c r="G29" i="6" s="1"/>
  <c r="M30" i="6"/>
  <c r="E26" i="8" l="1"/>
  <c r="D26" i="8"/>
  <c r="C32" i="6"/>
  <c r="T31" i="6"/>
  <c r="D30" i="7"/>
  <c r="I27" i="8"/>
  <c r="M27" i="8" s="1"/>
  <c r="K27" i="8"/>
  <c r="N27" i="8" s="1"/>
  <c r="F27" i="8"/>
  <c r="G27" i="8"/>
  <c r="L27" i="8" s="1"/>
  <c r="M31" i="6"/>
  <c r="J30" i="6"/>
  <c r="G30" i="6" s="1"/>
  <c r="A28" i="8"/>
  <c r="T28" i="7"/>
  <c r="E28" i="7"/>
  <c r="F28" i="7" s="1"/>
  <c r="M28" i="7"/>
  <c r="N28" i="7"/>
  <c r="V28" i="7"/>
  <c r="W28" i="7" s="1"/>
  <c r="X28" i="7" s="1"/>
  <c r="H28" i="7"/>
  <c r="P28" i="7"/>
  <c r="Q28" i="7" s="1"/>
  <c r="R28" i="7" s="1"/>
  <c r="C28" i="7"/>
  <c r="G28" i="7"/>
  <c r="S28" i="7"/>
  <c r="J28" i="7"/>
  <c r="K28" i="7" s="1"/>
  <c r="L28" i="7" s="1"/>
  <c r="L32" i="6"/>
  <c r="I31" i="6"/>
  <c r="F31" i="6" s="1"/>
  <c r="O27" i="7"/>
  <c r="H27" i="8" s="1"/>
  <c r="I27" i="7"/>
  <c r="U27" i="7"/>
  <c r="J27" i="8" s="1"/>
  <c r="B29" i="7"/>
  <c r="B30" i="6"/>
  <c r="H31" i="6"/>
  <c r="E31" i="6" s="1"/>
  <c r="K32" i="6"/>
  <c r="C27" i="8"/>
  <c r="Y27" i="7"/>
  <c r="Z27" i="7" s="1"/>
  <c r="AA27" i="7" s="1"/>
  <c r="AB27" i="7"/>
  <c r="D27" i="8" l="1"/>
  <c r="C33" i="6"/>
  <c r="T32" i="6"/>
  <c r="B30" i="7"/>
  <c r="B31" i="6"/>
  <c r="K28" i="8"/>
  <c r="N28" i="8" s="1"/>
  <c r="F28" i="8"/>
  <c r="G28" i="8"/>
  <c r="L28" i="8" s="1"/>
  <c r="I28" i="8"/>
  <c r="M28" i="8" s="1"/>
  <c r="C28" i="8"/>
  <c r="AB28" i="7"/>
  <c r="Y28" i="7"/>
  <c r="Z28" i="7" s="1"/>
  <c r="AA28" i="7" s="1"/>
  <c r="U28" i="7"/>
  <c r="J28" i="8" s="1"/>
  <c r="I28" i="7"/>
  <c r="O28" i="7"/>
  <c r="H28" i="8" s="1"/>
  <c r="J31" i="6"/>
  <c r="G31" i="6" s="1"/>
  <c r="M32" i="6"/>
  <c r="D31" i="7"/>
  <c r="A29" i="8"/>
  <c r="J29" i="7"/>
  <c r="K29" i="7" s="1"/>
  <c r="L29" i="7" s="1"/>
  <c r="C29" i="7"/>
  <c r="S29" i="7"/>
  <c r="E29" i="7"/>
  <c r="F29" i="7" s="1"/>
  <c r="M29" i="7"/>
  <c r="N29" i="7"/>
  <c r="V29" i="7"/>
  <c r="W29" i="7" s="1"/>
  <c r="X29" i="7" s="1"/>
  <c r="H29" i="7"/>
  <c r="P29" i="7"/>
  <c r="Q29" i="7" s="1"/>
  <c r="R29" i="7" s="1"/>
  <c r="T29" i="7"/>
  <c r="G29" i="7"/>
  <c r="E27" i="8"/>
  <c r="H32" i="6"/>
  <c r="E32" i="6" s="1"/>
  <c r="K33" i="6"/>
  <c r="L33" i="6"/>
  <c r="I32" i="6"/>
  <c r="F32" i="6" s="1"/>
  <c r="C34" i="6" l="1"/>
  <c r="T33" i="6"/>
  <c r="G29" i="8"/>
  <c r="L29" i="8" s="1"/>
  <c r="I29" i="8"/>
  <c r="M29" i="8" s="1"/>
  <c r="J29" i="8"/>
  <c r="K29" i="8"/>
  <c r="N29" i="8" s="1"/>
  <c r="D32" i="7"/>
  <c r="B31" i="7"/>
  <c r="B32" i="6"/>
  <c r="C29" i="8"/>
  <c r="Y29" i="7"/>
  <c r="Z29" i="7" s="1"/>
  <c r="AA29" i="7" s="1"/>
  <c r="AB29" i="7"/>
  <c r="I33" i="6"/>
  <c r="F33" i="6" s="1"/>
  <c r="L34" i="6"/>
  <c r="K34" i="6"/>
  <c r="H33" i="6"/>
  <c r="E33" i="6" s="1"/>
  <c r="E28" i="8"/>
  <c r="A30" i="8"/>
  <c r="N30" i="7"/>
  <c r="V30" i="7"/>
  <c r="W30" i="7" s="1"/>
  <c r="X30" i="7" s="1"/>
  <c r="G30" i="7"/>
  <c r="H30" i="7"/>
  <c r="P30" i="7"/>
  <c r="Q30" i="7" s="1"/>
  <c r="R30" i="7" s="1"/>
  <c r="J30" i="7"/>
  <c r="K30" i="7" s="1"/>
  <c r="L30" i="7" s="1"/>
  <c r="C30" i="7"/>
  <c r="S30" i="7"/>
  <c r="E30" i="7"/>
  <c r="F30" i="7" s="1"/>
  <c r="M30" i="7"/>
  <c r="T30" i="7"/>
  <c r="M33" i="6"/>
  <c r="J32" i="6"/>
  <c r="G32" i="6" s="1"/>
  <c r="D28" i="8"/>
  <c r="I29" i="7"/>
  <c r="F29" i="8" s="1"/>
  <c r="U29" i="7"/>
  <c r="O29" i="7"/>
  <c r="H29" i="8" s="1"/>
  <c r="D29" i="8" l="1"/>
  <c r="K35" i="6"/>
  <c r="H34" i="6"/>
  <c r="E34" i="6" s="1"/>
  <c r="L35" i="6"/>
  <c r="I34" i="6"/>
  <c r="D33" i="7"/>
  <c r="O30" i="7"/>
  <c r="U30" i="7"/>
  <c r="J30" i="8" s="1"/>
  <c r="I30" i="7"/>
  <c r="F30" i="8" s="1"/>
  <c r="I30" i="8"/>
  <c r="M30" i="8" s="1"/>
  <c r="K30" i="8"/>
  <c r="N30" i="8" s="1"/>
  <c r="G30" i="8"/>
  <c r="L30" i="8" s="1"/>
  <c r="H30" i="8"/>
  <c r="C30" i="8"/>
  <c r="Y30" i="7"/>
  <c r="Z30" i="7" s="1"/>
  <c r="AA30" i="7" s="1"/>
  <c r="AB30" i="7"/>
  <c r="C35" i="6"/>
  <c r="F34" i="6"/>
  <c r="T34" i="6"/>
  <c r="E29" i="8"/>
  <c r="B32" i="7"/>
  <c r="B33" i="6"/>
  <c r="M34" i="6"/>
  <c r="J33" i="6"/>
  <c r="G33" i="6" s="1"/>
  <c r="A31" i="8"/>
  <c r="C31" i="7"/>
  <c r="S31" i="7"/>
  <c r="T31" i="7"/>
  <c r="E31" i="7"/>
  <c r="F31" i="7" s="1"/>
  <c r="M31" i="7"/>
  <c r="G31" i="7"/>
  <c r="H31" i="7"/>
  <c r="P31" i="7"/>
  <c r="Q31" i="7" s="1"/>
  <c r="R31" i="7" s="1"/>
  <c r="V31" i="7"/>
  <c r="W31" i="7" s="1"/>
  <c r="X31" i="7" s="1"/>
  <c r="J31" i="7"/>
  <c r="K31" i="7" s="1"/>
  <c r="L31" i="7" s="1"/>
  <c r="N31" i="7"/>
  <c r="D30" i="8" l="1"/>
  <c r="J34" i="6"/>
  <c r="G34" i="6" s="1"/>
  <c r="M35" i="6"/>
  <c r="B33" i="7"/>
  <c r="B34" i="6"/>
  <c r="C36" i="6"/>
  <c r="T35" i="6"/>
  <c r="A32" i="8"/>
  <c r="H32" i="7"/>
  <c r="P32" i="7"/>
  <c r="Q32" i="7" s="1"/>
  <c r="R32" i="7" s="1"/>
  <c r="J32" i="7"/>
  <c r="K32" i="7" s="1"/>
  <c r="L32" i="7" s="1"/>
  <c r="T32" i="7"/>
  <c r="E32" i="7"/>
  <c r="F32" i="7" s="1"/>
  <c r="M32" i="7"/>
  <c r="N32" i="7"/>
  <c r="V32" i="7"/>
  <c r="W32" i="7" s="1"/>
  <c r="X32" i="7" s="1"/>
  <c r="C32" i="7"/>
  <c r="S32" i="7"/>
  <c r="G32" i="7"/>
  <c r="H35" i="6"/>
  <c r="E35" i="6" s="1"/>
  <c r="K36" i="6"/>
  <c r="E30" i="8"/>
  <c r="U31" i="7"/>
  <c r="J31" i="8" s="1"/>
  <c r="O31" i="7"/>
  <c r="I31" i="7"/>
  <c r="F31" i="8" s="1"/>
  <c r="D34" i="7"/>
  <c r="I35" i="6"/>
  <c r="F35" i="6" s="1"/>
  <c r="L36" i="6"/>
  <c r="G31" i="8"/>
  <c r="L31" i="8" s="1"/>
  <c r="H31" i="8"/>
  <c r="I31" i="8"/>
  <c r="M31" i="8" s="1"/>
  <c r="K31" i="8"/>
  <c r="N31" i="8" s="1"/>
  <c r="C31" i="8"/>
  <c r="AB31" i="7"/>
  <c r="Y31" i="7"/>
  <c r="Z31" i="7" s="1"/>
  <c r="AA31" i="7" s="1"/>
  <c r="D31" i="8" l="1"/>
  <c r="G32" i="8"/>
  <c r="L32" i="8" s="1"/>
  <c r="I32" i="8"/>
  <c r="M32" i="8" s="1"/>
  <c r="K32" i="8"/>
  <c r="N32" i="8" s="1"/>
  <c r="J35" i="6"/>
  <c r="G35" i="6" s="1"/>
  <c r="M36" i="6"/>
  <c r="A33" i="8"/>
  <c r="E33" i="7"/>
  <c r="F33" i="7" s="1"/>
  <c r="M33" i="7"/>
  <c r="N33" i="7"/>
  <c r="V33" i="7"/>
  <c r="W33" i="7" s="1"/>
  <c r="X33" i="7" s="1"/>
  <c r="G33" i="7"/>
  <c r="J33" i="7"/>
  <c r="K33" i="7" s="1"/>
  <c r="L33" i="7" s="1"/>
  <c r="H33" i="7"/>
  <c r="P33" i="7"/>
  <c r="Q33" i="7" s="1"/>
  <c r="R33" i="7" s="1"/>
  <c r="S33" i="7"/>
  <c r="T33" i="7"/>
  <c r="C33" i="7"/>
  <c r="I36" i="6"/>
  <c r="L37" i="6"/>
  <c r="H36" i="6"/>
  <c r="K37" i="6"/>
  <c r="I32" i="7"/>
  <c r="F32" i="8" s="1"/>
  <c r="U32" i="7"/>
  <c r="J32" i="8" s="1"/>
  <c r="O32" i="7"/>
  <c r="H32" i="8" s="1"/>
  <c r="C32" i="8"/>
  <c r="E32" i="8" s="1"/>
  <c r="Y32" i="7"/>
  <c r="Z32" i="7" s="1"/>
  <c r="AA32" i="7" s="1"/>
  <c r="AB32" i="7"/>
  <c r="E31" i="8"/>
  <c r="D35" i="7"/>
  <c r="T36" i="6"/>
  <c r="C37" i="6"/>
  <c r="E36" i="6"/>
  <c r="F36" i="6"/>
  <c r="B34" i="7"/>
  <c r="B35" i="6"/>
  <c r="D32" i="8" l="1"/>
  <c r="C33" i="8"/>
  <c r="Y33" i="7"/>
  <c r="Z33" i="7" s="1"/>
  <c r="AA33" i="7" s="1"/>
  <c r="AB33" i="7"/>
  <c r="U33" i="7"/>
  <c r="J33" i="8" s="1"/>
  <c r="O33" i="7"/>
  <c r="I33" i="7"/>
  <c r="H37" i="6"/>
  <c r="K38" i="6"/>
  <c r="A34" i="8"/>
  <c r="J34" i="7"/>
  <c r="K34" i="7" s="1"/>
  <c r="L34" i="7" s="1"/>
  <c r="C34" i="7"/>
  <c r="S34" i="7"/>
  <c r="T34" i="7"/>
  <c r="N34" i="7"/>
  <c r="G34" i="7"/>
  <c r="V34" i="7"/>
  <c r="W34" i="7" s="1"/>
  <c r="X34" i="7" s="1"/>
  <c r="E34" i="7"/>
  <c r="F34" i="7" s="1"/>
  <c r="M34" i="7"/>
  <c r="P34" i="7"/>
  <c r="Q34" i="7" s="1"/>
  <c r="R34" i="7" s="1"/>
  <c r="H34" i="7"/>
  <c r="J36" i="6"/>
  <c r="G36" i="6" s="1"/>
  <c r="M37" i="6"/>
  <c r="C38" i="6"/>
  <c r="E37" i="6"/>
  <c r="F37" i="6"/>
  <c r="T37" i="6"/>
  <c r="B35" i="7"/>
  <c r="B36" i="6"/>
  <c r="D36" i="7"/>
  <c r="K33" i="8"/>
  <c r="N33" i="8" s="1"/>
  <c r="F33" i="8"/>
  <c r="G33" i="8"/>
  <c r="L33" i="8" s="1"/>
  <c r="H33" i="8"/>
  <c r="I33" i="8"/>
  <c r="M33" i="8" s="1"/>
  <c r="L38" i="6"/>
  <c r="I37" i="6"/>
  <c r="D33" i="8" l="1"/>
  <c r="C34" i="8"/>
  <c r="AB34" i="7"/>
  <c r="Y34" i="7"/>
  <c r="Z34" i="7" s="1"/>
  <c r="AA34" i="7" s="1"/>
  <c r="A35" i="8"/>
  <c r="G35" i="7"/>
  <c r="H35" i="7"/>
  <c r="P35" i="7"/>
  <c r="Q35" i="7" s="1"/>
  <c r="R35" i="7" s="1"/>
  <c r="T35" i="7"/>
  <c r="M35" i="7"/>
  <c r="C35" i="7"/>
  <c r="S35" i="7"/>
  <c r="E35" i="7"/>
  <c r="F35" i="7" s="1"/>
  <c r="J35" i="7"/>
  <c r="K35" i="7" s="1"/>
  <c r="L35" i="7" s="1"/>
  <c r="N35" i="7"/>
  <c r="V35" i="7"/>
  <c r="W35" i="7" s="1"/>
  <c r="X35" i="7" s="1"/>
  <c r="K39" i="6"/>
  <c r="H38" i="6"/>
  <c r="E38" i="6" s="1"/>
  <c r="O34" i="7"/>
  <c r="I34" i="7"/>
  <c r="F34" i="8" s="1"/>
  <c r="U34" i="7"/>
  <c r="J34" i="8" s="1"/>
  <c r="G34" i="8"/>
  <c r="L34" i="8" s="1"/>
  <c r="H34" i="8"/>
  <c r="I34" i="8"/>
  <c r="M34" i="8" s="1"/>
  <c r="K34" i="8"/>
  <c r="N34" i="8" s="1"/>
  <c r="E33" i="8"/>
  <c r="C39" i="6"/>
  <c r="T38" i="6"/>
  <c r="L39" i="6"/>
  <c r="I38" i="6"/>
  <c r="F38" i="6" s="1"/>
  <c r="D37" i="7"/>
  <c r="M38" i="6"/>
  <c r="J37" i="6"/>
  <c r="G37" i="6" s="1"/>
  <c r="B36" i="7"/>
  <c r="B37" i="6"/>
  <c r="D34" i="8" l="1"/>
  <c r="L40" i="6"/>
  <c r="I39" i="6"/>
  <c r="C35" i="8"/>
  <c r="Y35" i="7"/>
  <c r="Z35" i="7" s="1"/>
  <c r="AA35" i="7" s="1"/>
  <c r="AB35" i="7"/>
  <c r="E34" i="8"/>
  <c r="B37" i="7"/>
  <c r="B38" i="6"/>
  <c r="A36" i="8"/>
  <c r="T36" i="7"/>
  <c r="E36" i="7"/>
  <c r="F36" i="7" s="1"/>
  <c r="M36" i="7"/>
  <c r="N36" i="7"/>
  <c r="V36" i="7"/>
  <c r="W36" i="7" s="1"/>
  <c r="X36" i="7" s="1"/>
  <c r="P36" i="7"/>
  <c r="Q36" i="7" s="1"/>
  <c r="R36" i="7" s="1"/>
  <c r="G36" i="7"/>
  <c r="H36" i="7"/>
  <c r="J36" i="7"/>
  <c r="K36" i="7" s="1"/>
  <c r="L36" i="7" s="1"/>
  <c r="S36" i="7"/>
  <c r="C36" i="7"/>
  <c r="K40" i="6"/>
  <c r="H39" i="6"/>
  <c r="E39" i="6" s="1"/>
  <c r="F39" i="6"/>
  <c r="C40" i="6"/>
  <c r="T39" i="6"/>
  <c r="M39" i="6"/>
  <c r="J38" i="6"/>
  <c r="G38" i="6" s="1"/>
  <c r="D38" i="7"/>
  <c r="O35" i="7"/>
  <c r="I35" i="7"/>
  <c r="F35" i="8" s="1"/>
  <c r="U35" i="7"/>
  <c r="J35" i="8" s="1"/>
  <c r="H35" i="8"/>
  <c r="I35" i="8"/>
  <c r="M35" i="8" s="1"/>
  <c r="K35" i="8"/>
  <c r="N35" i="8" s="1"/>
  <c r="G35" i="8"/>
  <c r="L35" i="8" s="1"/>
  <c r="I36" i="7" l="1"/>
  <c r="F36" i="8" s="1"/>
  <c r="U36" i="7"/>
  <c r="J36" i="8" s="1"/>
  <c r="O36" i="7"/>
  <c r="E35" i="8"/>
  <c r="T40" i="6"/>
  <c r="C41" i="6"/>
  <c r="K36" i="8"/>
  <c r="N36" i="8" s="1"/>
  <c r="G36" i="8"/>
  <c r="L36" i="8" s="1"/>
  <c r="H36" i="8"/>
  <c r="I36" i="8"/>
  <c r="M36" i="8" s="1"/>
  <c r="I40" i="6"/>
  <c r="F40" i="6" s="1"/>
  <c r="L41" i="6"/>
  <c r="B38" i="7"/>
  <c r="B39" i="6"/>
  <c r="D35" i="8"/>
  <c r="A37" i="8"/>
  <c r="H37" i="7"/>
  <c r="P37" i="7"/>
  <c r="Q37" i="7" s="1"/>
  <c r="R37" i="7" s="1"/>
  <c r="C37" i="7"/>
  <c r="S37" i="7"/>
  <c r="T37" i="7"/>
  <c r="E37" i="7"/>
  <c r="F37" i="7" s="1"/>
  <c r="M37" i="7"/>
  <c r="J37" i="7"/>
  <c r="K37" i="7" s="1"/>
  <c r="L37" i="7" s="1"/>
  <c r="N37" i="7"/>
  <c r="V37" i="7"/>
  <c r="W37" i="7" s="1"/>
  <c r="X37" i="7" s="1"/>
  <c r="G37" i="7"/>
  <c r="D39" i="7"/>
  <c r="H40" i="6"/>
  <c r="E40" i="6" s="1"/>
  <c r="K41" i="6"/>
  <c r="J39" i="6"/>
  <c r="G39" i="6" s="1"/>
  <c r="M40" i="6"/>
  <c r="C36" i="8"/>
  <c r="AB36" i="7"/>
  <c r="Y36" i="7"/>
  <c r="Z36" i="7" s="1"/>
  <c r="AA36" i="7" s="1"/>
  <c r="I37" i="7" l="1"/>
  <c r="U37" i="7"/>
  <c r="O37" i="7"/>
  <c r="H41" i="6"/>
  <c r="K42" i="6"/>
  <c r="D36" i="8"/>
  <c r="D40" i="7"/>
  <c r="B39" i="7"/>
  <c r="B40" i="6"/>
  <c r="A38" i="8"/>
  <c r="E38" i="7"/>
  <c r="F38" i="7" s="1"/>
  <c r="M38" i="7"/>
  <c r="N38" i="7"/>
  <c r="V38" i="7"/>
  <c r="W38" i="7" s="1"/>
  <c r="X38" i="7" s="1"/>
  <c r="H38" i="7"/>
  <c r="P38" i="7"/>
  <c r="Q38" i="7" s="1"/>
  <c r="R38" i="7" s="1"/>
  <c r="J38" i="7"/>
  <c r="K38" i="7" s="1"/>
  <c r="L38" i="7" s="1"/>
  <c r="G38" i="7"/>
  <c r="S38" i="7"/>
  <c r="C38" i="7"/>
  <c r="T38" i="7"/>
  <c r="L42" i="6"/>
  <c r="I41" i="6"/>
  <c r="C37" i="8"/>
  <c r="Y37" i="7"/>
  <c r="Z37" i="7" s="1"/>
  <c r="AA37" i="7" s="1"/>
  <c r="AB37" i="7"/>
  <c r="E36" i="8"/>
  <c r="J40" i="6"/>
  <c r="G40" i="6" s="1"/>
  <c r="M41" i="6"/>
  <c r="F37" i="8"/>
  <c r="G37" i="8"/>
  <c r="L37" i="8" s="1"/>
  <c r="H37" i="8"/>
  <c r="I37" i="8"/>
  <c r="M37" i="8" s="1"/>
  <c r="J37" i="8"/>
  <c r="K37" i="8"/>
  <c r="N37" i="8" s="1"/>
  <c r="F41" i="6"/>
  <c r="C42" i="6"/>
  <c r="T41" i="6"/>
  <c r="E41" i="6"/>
  <c r="D37" i="8" l="1"/>
  <c r="I38" i="8"/>
  <c r="M38" i="8" s="1"/>
  <c r="K38" i="8"/>
  <c r="N38" i="8" s="1"/>
  <c r="G38" i="8"/>
  <c r="L38" i="8" s="1"/>
  <c r="H38" i="8"/>
  <c r="A39" i="8"/>
  <c r="J39" i="7"/>
  <c r="K39" i="7" s="1"/>
  <c r="L39" i="7" s="1"/>
  <c r="C39" i="7"/>
  <c r="S39" i="7"/>
  <c r="E39" i="7"/>
  <c r="F39" i="7" s="1"/>
  <c r="M39" i="7"/>
  <c r="N39" i="7"/>
  <c r="V39" i="7"/>
  <c r="W39" i="7" s="1"/>
  <c r="X39" i="7" s="1"/>
  <c r="G39" i="7"/>
  <c r="T39" i="7"/>
  <c r="H39" i="7"/>
  <c r="P39" i="7"/>
  <c r="Q39" i="7" s="1"/>
  <c r="R39" i="7" s="1"/>
  <c r="U38" i="7"/>
  <c r="J38" i="8" s="1"/>
  <c r="I38" i="7"/>
  <c r="F38" i="8" s="1"/>
  <c r="O38" i="7"/>
  <c r="D41" i="7"/>
  <c r="B40" i="7"/>
  <c r="B41" i="6"/>
  <c r="E37" i="8"/>
  <c r="L43" i="6"/>
  <c r="I42" i="6"/>
  <c r="F42" i="6" s="1"/>
  <c r="C43" i="6"/>
  <c r="T42" i="6"/>
  <c r="M42" i="6"/>
  <c r="J41" i="6"/>
  <c r="G41" i="6" s="1"/>
  <c r="K43" i="6"/>
  <c r="H42" i="6"/>
  <c r="E42" i="6" s="1"/>
  <c r="C38" i="8"/>
  <c r="E38" i="8" s="1"/>
  <c r="Y38" i="7"/>
  <c r="Z38" i="7" s="1"/>
  <c r="AA38" i="7" s="1"/>
  <c r="AB38" i="7"/>
  <c r="D38" i="8" l="1"/>
  <c r="U39" i="7"/>
  <c r="O39" i="7"/>
  <c r="I39" i="7"/>
  <c r="F39" i="8" s="1"/>
  <c r="L44" i="6"/>
  <c r="I43" i="6"/>
  <c r="M43" i="6"/>
  <c r="J42" i="6"/>
  <c r="G42" i="6" s="1"/>
  <c r="B41" i="7"/>
  <c r="B42" i="6"/>
  <c r="A40" i="8"/>
  <c r="G40" i="7"/>
  <c r="H40" i="7"/>
  <c r="P40" i="7"/>
  <c r="Q40" i="7" s="1"/>
  <c r="R40" i="7" s="1"/>
  <c r="J40" i="7"/>
  <c r="K40" i="7" s="1"/>
  <c r="L40" i="7" s="1"/>
  <c r="C40" i="7"/>
  <c r="S40" i="7"/>
  <c r="T40" i="7"/>
  <c r="N40" i="7"/>
  <c r="V40" i="7"/>
  <c r="W40" i="7" s="1"/>
  <c r="X40" i="7" s="1"/>
  <c r="E40" i="7"/>
  <c r="F40" i="7" s="1"/>
  <c r="M40" i="7"/>
  <c r="G39" i="8"/>
  <c r="L39" i="8" s="1"/>
  <c r="H39" i="8"/>
  <c r="I39" i="8"/>
  <c r="M39" i="8" s="1"/>
  <c r="J39" i="8"/>
  <c r="K39" i="8"/>
  <c r="N39" i="8" s="1"/>
  <c r="F43" i="6"/>
  <c r="C44" i="6"/>
  <c r="T43" i="6"/>
  <c r="D42" i="7"/>
  <c r="K44" i="6"/>
  <c r="H43" i="6"/>
  <c r="E43" i="6" s="1"/>
  <c r="C39" i="8"/>
  <c r="Y39" i="7"/>
  <c r="Z39" i="7" s="1"/>
  <c r="AA39" i="7" s="1"/>
  <c r="AB39" i="7"/>
  <c r="D39" i="8" l="1"/>
  <c r="G40" i="8"/>
  <c r="L40" i="8" s="1"/>
  <c r="I40" i="8"/>
  <c r="M40" i="8" s="1"/>
  <c r="K40" i="8"/>
  <c r="N40" i="8" s="1"/>
  <c r="B42" i="7"/>
  <c r="B43" i="6"/>
  <c r="A41" i="8"/>
  <c r="T41" i="7"/>
  <c r="E41" i="7"/>
  <c r="F41" i="7" s="1"/>
  <c r="M41" i="7"/>
  <c r="G41" i="7"/>
  <c r="H41" i="7"/>
  <c r="P41" i="7"/>
  <c r="Q41" i="7" s="1"/>
  <c r="R41" i="7" s="1"/>
  <c r="J41" i="7"/>
  <c r="K41" i="7" s="1"/>
  <c r="L41" i="7" s="1"/>
  <c r="N41" i="7"/>
  <c r="S41" i="7"/>
  <c r="V41" i="7"/>
  <c r="W41" i="7" s="1"/>
  <c r="X41" i="7" s="1"/>
  <c r="C41" i="7"/>
  <c r="H44" i="6"/>
  <c r="E44" i="6" s="1"/>
  <c r="K45" i="6"/>
  <c r="T44" i="6"/>
  <c r="C45" i="6"/>
  <c r="J43" i="6"/>
  <c r="G43" i="6" s="1"/>
  <c r="M44" i="6"/>
  <c r="E39" i="8"/>
  <c r="C40" i="8"/>
  <c r="AB40" i="7"/>
  <c r="Y40" i="7"/>
  <c r="Z40" i="7" s="1"/>
  <c r="AA40" i="7" s="1"/>
  <c r="D43" i="7"/>
  <c r="O40" i="7"/>
  <c r="H40" i="8" s="1"/>
  <c r="U40" i="7"/>
  <c r="J40" i="8" s="1"/>
  <c r="I40" i="7"/>
  <c r="F40" i="8" s="1"/>
  <c r="I44" i="6"/>
  <c r="F44" i="6" s="1"/>
  <c r="L45" i="6"/>
  <c r="D40" i="8" l="1"/>
  <c r="U41" i="7"/>
  <c r="O41" i="7"/>
  <c r="I41" i="7"/>
  <c r="F41" i="8" s="1"/>
  <c r="C46" i="6"/>
  <c r="T45" i="6"/>
  <c r="D44" i="7"/>
  <c r="J41" i="8"/>
  <c r="K41" i="8"/>
  <c r="N41" i="8" s="1"/>
  <c r="G41" i="8"/>
  <c r="L41" i="8" s="1"/>
  <c r="H41" i="8"/>
  <c r="I41" i="8"/>
  <c r="M41" i="8" s="1"/>
  <c r="L46" i="6"/>
  <c r="I45" i="6"/>
  <c r="F45" i="6" s="1"/>
  <c r="E40" i="8"/>
  <c r="B43" i="7"/>
  <c r="B44" i="6"/>
  <c r="C41" i="8"/>
  <c r="AB41" i="7"/>
  <c r="Y41" i="7"/>
  <c r="Z41" i="7" s="1"/>
  <c r="AA41" i="7" s="1"/>
  <c r="H45" i="6"/>
  <c r="E45" i="6" s="1"/>
  <c r="K46" i="6"/>
  <c r="A42" i="8"/>
  <c r="J42" i="7"/>
  <c r="K42" i="7" s="1"/>
  <c r="L42" i="7" s="1"/>
  <c r="T42" i="7"/>
  <c r="E42" i="7"/>
  <c r="F42" i="7" s="1"/>
  <c r="M42" i="7"/>
  <c r="N42" i="7"/>
  <c r="V42" i="7"/>
  <c r="W42" i="7" s="1"/>
  <c r="X42" i="7" s="1"/>
  <c r="C42" i="7"/>
  <c r="G42" i="7"/>
  <c r="H42" i="7"/>
  <c r="P42" i="7"/>
  <c r="Q42" i="7" s="1"/>
  <c r="R42" i="7" s="1"/>
  <c r="S42" i="7"/>
  <c r="J44" i="6"/>
  <c r="G44" i="6" s="1"/>
  <c r="M45" i="6"/>
  <c r="D41" i="8" l="1"/>
  <c r="K47" i="6"/>
  <c r="H46" i="6"/>
  <c r="D45" i="7"/>
  <c r="L47" i="6"/>
  <c r="I46" i="6"/>
  <c r="G42" i="8"/>
  <c r="L42" i="8" s="1"/>
  <c r="I42" i="8"/>
  <c r="M42" i="8" s="1"/>
  <c r="K42" i="8"/>
  <c r="N42" i="8" s="1"/>
  <c r="M46" i="6"/>
  <c r="J45" i="6"/>
  <c r="G45" i="6" s="1"/>
  <c r="C42" i="8"/>
  <c r="Y42" i="7"/>
  <c r="Z42" i="7" s="1"/>
  <c r="AA42" i="7" s="1"/>
  <c r="AB42" i="7"/>
  <c r="I42" i="7"/>
  <c r="F42" i="8" s="1"/>
  <c r="U42" i="7"/>
  <c r="J42" i="8" s="1"/>
  <c r="O42" i="7"/>
  <c r="H42" i="8" s="1"/>
  <c r="E41" i="8"/>
  <c r="B44" i="7"/>
  <c r="B45" i="6"/>
  <c r="E46" i="6"/>
  <c r="F46" i="6"/>
  <c r="C47" i="6"/>
  <c r="T46" i="6"/>
  <c r="A43" i="8"/>
  <c r="N43" i="7"/>
  <c r="V43" i="7"/>
  <c r="W43" i="7" s="1"/>
  <c r="X43" i="7" s="1"/>
  <c r="G43" i="7"/>
  <c r="J43" i="7"/>
  <c r="K43" i="7" s="1"/>
  <c r="L43" i="7" s="1"/>
  <c r="C43" i="7"/>
  <c r="S43" i="7"/>
  <c r="T43" i="7"/>
  <c r="E43" i="7"/>
  <c r="F43" i="7" s="1"/>
  <c r="H43" i="7"/>
  <c r="M43" i="7"/>
  <c r="P43" i="7"/>
  <c r="Q43" i="7" s="1"/>
  <c r="R43" i="7" s="1"/>
  <c r="D42" i="8" l="1"/>
  <c r="C48" i="6"/>
  <c r="T47" i="6"/>
  <c r="K48" i="6"/>
  <c r="H47" i="6"/>
  <c r="E47" i="6" s="1"/>
  <c r="C43" i="8"/>
  <c r="Y43" i="7"/>
  <c r="Z43" i="7" s="1"/>
  <c r="AA43" i="7" s="1"/>
  <c r="AB43" i="7"/>
  <c r="B45" i="7"/>
  <c r="B46" i="6"/>
  <c r="E42" i="8"/>
  <c r="A44" i="8"/>
  <c r="C44" i="7"/>
  <c r="S44" i="7"/>
  <c r="T44" i="7"/>
  <c r="N44" i="7"/>
  <c r="V44" i="7"/>
  <c r="W44" i="7" s="1"/>
  <c r="X44" i="7" s="1"/>
  <c r="G44" i="7"/>
  <c r="H44" i="7"/>
  <c r="P44" i="7"/>
  <c r="Q44" i="7" s="1"/>
  <c r="R44" i="7" s="1"/>
  <c r="M44" i="7"/>
  <c r="E44" i="7"/>
  <c r="F44" i="7" s="1"/>
  <c r="J44" i="7"/>
  <c r="K44" i="7" s="1"/>
  <c r="L44" i="7" s="1"/>
  <c r="O43" i="7"/>
  <c r="H43" i="8" s="1"/>
  <c r="I43" i="7"/>
  <c r="F43" i="8" s="1"/>
  <c r="U43" i="7"/>
  <c r="J43" i="8" s="1"/>
  <c r="I43" i="8"/>
  <c r="M43" i="8" s="1"/>
  <c r="K43" i="8"/>
  <c r="N43" i="8" s="1"/>
  <c r="G43" i="8"/>
  <c r="L43" i="8" s="1"/>
  <c r="M47" i="6"/>
  <c r="J46" i="6"/>
  <c r="G46" i="6" s="1"/>
  <c r="L48" i="6"/>
  <c r="I47" i="6"/>
  <c r="F47" i="6" s="1"/>
  <c r="D46" i="7"/>
  <c r="D43" i="8" l="1"/>
  <c r="T48" i="6"/>
  <c r="C49" i="6"/>
  <c r="E43" i="8"/>
  <c r="C44" i="8"/>
  <c r="AB44" i="7"/>
  <c r="Y44" i="7"/>
  <c r="Z44" i="7" s="1"/>
  <c r="AA44" i="7" s="1"/>
  <c r="A45" i="8"/>
  <c r="H45" i="7"/>
  <c r="P45" i="7"/>
  <c r="Q45" i="7" s="1"/>
  <c r="R45" i="7" s="1"/>
  <c r="C45" i="7"/>
  <c r="S45" i="7"/>
  <c r="T45" i="7"/>
  <c r="E45" i="7"/>
  <c r="F45" i="7" s="1"/>
  <c r="M45" i="7"/>
  <c r="G45" i="7"/>
  <c r="J45" i="7"/>
  <c r="K45" i="7" s="1"/>
  <c r="L45" i="7" s="1"/>
  <c r="N45" i="7"/>
  <c r="V45" i="7"/>
  <c r="W45" i="7" s="1"/>
  <c r="X45" i="7" s="1"/>
  <c r="K44" i="8"/>
  <c r="N44" i="8" s="1"/>
  <c r="G44" i="8"/>
  <c r="L44" i="8" s="1"/>
  <c r="I44" i="8"/>
  <c r="M44" i="8" s="1"/>
  <c r="H48" i="6"/>
  <c r="E48" i="6" s="1"/>
  <c r="K49" i="6"/>
  <c r="J47" i="6"/>
  <c r="G47" i="6" s="1"/>
  <c r="M48" i="6"/>
  <c r="O44" i="7"/>
  <c r="H44" i="8" s="1"/>
  <c r="U44" i="7"/>
  <c r="J44" i="8" s="1"/>
  <c r="I44" i="7"/>
  <c r="F44" i="8" s="1"/>
  <c r="D47" i="7"/>
  <c r="I48" i="6"/>
  <c r="F48" i="6" s="1"/>
  <c r="L49" i="6"/>
  <c r="B46" i="7"/>
  <c r="B47" i="6"/>
  <c r="D44" i="8" l="1"/>
  <c r="G45" i="8"/>
  <c r="L45" i="8" s="1"/>
  <c r="I45" i="8"/>
  <c r="M45" i="8" s="1"/>
  <c r="K45" i="8"/>
  <c r="N45" i="8" s="1"/>
  <c r="C50" i="6"/>
  <c r="T49" i="6"/>
  <c r="C45" i="8"/>
  <c r="Y45" i="7"/>
  <c r="Z45" i="7" s="1"/>
  <c r="AA45" i="7" s="1"/>
  <c r="AB45" i="7"/>
  <c r="B47" i="7"/>
  <c r="B48" i="6"/>
  <c r="I45" i="7"/>
  <c r="F45" i="8" s="1"/>
  <c r="U45" i="7"/>
  <c r="J45" i="8" s="1"/>
  <c r="O45" i="7"/>
  <c r="H45" i="8" s="1"/>
  <c r="A46" i="8"/>
  <c r="E46" i="7"/>
  <c r="F46" i="7" s="1"/>
  <c r="M46" i="7"/>
  <c r="N46" i="7"/>
  <c r="V46" i="7"/>
  <c r="W46" i="7" s="1"/>
  <c r="X46" i="7" s="1"/>
  <c r="H46" i="7"/>
  <c r="P46" i="7"/>
  <c r="Q46" i="7" s="1"/>
  <c r="R46" i="7" s="1"/>
  <c r="J46" i="7"/>
  <c r="K46" i="7" s="1"/>
  <c r="L46" i="7" s="1"/>
  <c r="C46" i="7"/>
  <c r="G46" i="7"/>
  <c r="T46" i="7"/>
  <c r="S46" i="7"/>
  <c r="J48" i="6"/>
  <c r="G48" i="6" s="1"/>
  <c r="M49" i="6"/>
  <c r="E44" i="8"/>
  <c r="L50" i="6"/>
  <c r="I49" i="6"/>
  <c r="F49" i="6" s="1"/>
  <c r="H49" i="6"/>
  <c r="E49" i="6" s="1"/>
  <c r="K50" i="6"/>
  <c r="D48" i="7"/>
  <c r="D45" i="8" l="1"/>
  <c r="E45" i="8"/>
  <c r="M50" i="6"/>
  <c r="J49" i="6"/>
  <c r="G49" i="6" s="1"/>
  <c r="D49" i="7"/>
  <c r="B48" i="7"/>
  <c r="B49" i="6"/>
  <c r="F50" i="6"/>
  <c r="C51" i="6"/>
  <c r="T50" i="6"/>
  <c r="L51" i="6"/>
  <c r="I50" i="6"/>
  <c r="K51" i="6"/>
  <c r="H50" i="6"/>
  <c r="E50" i="6" s="1"/>
  <c r="C46" i="8"/>
  <c r="Y46" i="7"/>
  <c r="Z46" i="7" s="1"/>
  <c r="AA46" i="7" s="1"/>
  <c r="AB46" i="7"/>
  <c r="A47" i="8"/>
  <c r="J47" i="7"/>
  <c r="K47" i="7" s="1"/>
  <c r="L47" i="7" s="1"/>
  <c r="C47" i="7"/>
  <c r="S47" i="7"/>
  <c r="E47" i="7"/>
  <c r="F47" i="7" s="1"/>
  <c r="M47" i="7"/>
  <c r="N47" i="7"/>
  <c r="V47" i="7"/>
  <c r="W47" i="7" s="1"/>
  <c r="X47" i="7" s="1"/>
  <c r="G47" i="7"/>
  <c r="T47" i="7"/>
  <c r="H47" i="7"/>
  <c r="P47" i="7"/>
  <c r="Q47" i="7" s="1"/>
  <c r="R47" i="7" s="1"/>
  <c r="U46" i="7"/>
  <c r="J46" i="8" s="1"/>
  <c r="I46" i="7"/>
  <c r="F46" i="8" s="1"/>
  <c r="O46" i="7"/>
  <c r="H46" i="8" s="1"/>
  <c r="I46" i="8"/>
  <c r="M46" i="8" s="1"/>
  <c r="K46" i="8"/>
  <c r="N46" i="8" s="1"/>
  <c r="G46" i="8"/>
  <c r="L46" i="8" s="1"/>
  <c r="D46" i="8" l="1"/>
  <c r="D50" i="7"/>
  <c r="C52" i="6"/>
  <c r="T51" i="6"/>
  <c r="C47" i="8"/>
  <c r="Y47" i="7"/>
  <c r="Z47" i="7" s="1"/>
  <c r="AA47" i="7" s="1"/>
  <c r="AB47" i="7"/>
  <c r="E46" i="8"/>
  <c r="M51" i="6"/>
  <c r="J50" i="6"/>
  <c r="G50" i="6" s="1"/>
  <c r="U47" i="7"/>
  <c r="O47" i="7"/>
  <c r="I47" i="7"/>
  <c r="K52" i="6"/>
  <c r="H51" i="6"/>
  <c r="E51" i="6" s="1"/>
  <c r="B49" i="7"/>
  <c r="B50" i="6"/>
  <c r="A48" i="8"/>
  <c r="G48" i="7"/>
  <c r="H48" i="7"/>
  <c r="P48" i="7"/>
  <c r="Q48" i="7" s="1"/>
  <c r="R48" i="7" s="1"/>
  <c r="J48" i="7"/>
  <c r="K48" i="7" s="1"/>
  <c r="L48" i="7" s="1"/>
  <c r="C48" i="7"/>
  <c r="S48" i="7"/>
  <c r="T48" i="7"/>
  <c r="M48" i="7"/>
  <c r="N48" i="7"/>
  <c r="V48" i="7"/>
  <c r="W48" i="7" s="1"/>
  <c r="X48" i="7" s="1"/>
  <c r="E48" i="7"/>
  <c r="F48" i="7" s="1"/>
  <c r="L52" i="6"/>
  <c r="I51" i="6"/>
  <c r="F51" i="6" s="1"/>
  <c r="F47" i="8"/>
  <c r="G47" i="8"/>
  <c r="L47" i="8" s="1"/>
  <c r="I47" i="8"/>
  <c r="M47" i="8" s="1"/>
  <c r="H47" i="8"/>
  <c r="J47" i="8"/>
  <c r="K47" i="8"/>
  <c r="N47" i="8" s="1"/>
  <c r="D47" i="8" l="1"/>
  <c r="A49" i="8"/>
  <c r="T49" i="7"/>
  <c r="E49" i="7"/>
  <c r="F49" i="7" s="1"/>
  <c r="M49" i="7"/>
  <c r="G49" i="7"/>
  <c r="H49" i="7"/>
  <c r="P49" i="7"/>
  <c r="Q49" i="7" s="1"/>
  <c r="R49" i="7" s="1"/>
  <c r="J49" i="7"/>
  <c r="K49" i="7" s="1"/>
  <c r="L49" i="7" s="1"/>
  <c r="N49" i="7"/>
  <c r="S49" i="7"/>
  <c r="C49" i="7"/>
  <c r="V49" i="7"/>
  <c r="W49" i="7" s="1"/>
  <c r="X49" i="7" s="1"/>
  <c r="I52" i="6"/>
  <c r="F52" i="6" s="1"/>
  <c r="L53" i="6"/>
  <c r="H52" i="6"/>
  <c r="K53" i="6"/>
  <c r="D51" i="7"/>
  <c r="E47" i="8"/>
  <c r="C48" i="8"/>
  <c r="AB48" i="7"/>
  <c r="Y48" i="7"/>
  <c r="Z48" i="7" s="1"/>
  <c r="AA48" i="7" s="1"/>
  <c r="G48" i="8"/>
  <c r="L48" i="8" s="1"/>
  <c r="I48" i="8"/>
  <c r="M48" i="8" s="1"/>
  <c r="K48" i="8"/>
  <c r="N48" i="8" s="1"/>
  <c r="T52" i="6"/>
  <c r="C53" i="6"/>
  <c r="E52" i="6"/>
  <c r="O48" i="7"/>
  <c r="H48" i="8" s="1"/>
  <c r="U48" i="7"/>
  <c r="J48" i="8" s="1"/>
  <c r="I48" i="7"/>
  <c r="F48" i="8" s="1"/>
  <c r="B50" i="7"/>
  <c r="B51" i="6"/>
  <c r="J51" i="6"/>
  <c r="G51" i="6" s="1"/>
  <c r="M52" i="6"/>
  <c r="D48" i="8" l="1"/>
  <c r="D52" i="7"/>
  <c r="K49" i="8"/>
  <c r="N49" i="8" s="1"/>
  <c r="G49" i="8"/>
  <c r="L49" i="8" s="1"/>
  <c r="I49" i="8"/>
  <c r="M49" i="8" s="1"/>
  <c r="B51" i="7"/>
  <c r="B52" i="6"/>
  <c r="I53" i="6"/>
  <c r="F53" i="6" s="1"/>
  <c r="L54" i="6"/>
  <c r="T53" i="6"/>
  <c r="C54" i="6"/>
  <c r="A50" i="8"/>
  <c r="J50" i="7"/>
  <c r="K50" i="7" s="1"/>
  <c r="L50" i="7" s="1"/>
  <c r="T50" i="7"/>
  <c r="E50" i="7"/>
  <c r="F50" i="7" s="1"/>
  <c r="M50" i="7"/>
  <c r="N50" i="7"/>
  <c r="V50" i="7"/>
  <c r="W50" i="7" s="1"/>
  <c r="X50" i="7" s="1"/>
  <c r="C50" i="7"/>
  <c r="G50" i="7"/>
  <c r="H50" i="7"/>
  <c r="P50" i="7"/>
  <c r="Q50" i="7" s="1"/>
  <c r="R50" i="7" s="1"/>
  <c r="S50" i="7"/>
  <c r="U49" i="7"/>
  <c r="J49" i="8" s="1"/>
  <c r="O49" i="7"/>
  <c r="H49" i="8" s="1"/>
  <c r="I49" i="7"/>
  <c r="F49" i="8" s="1"/>
  <c r="J52" i="6"/>
  <c r="G52" i="6" s="1"/>
  <c r="M53" i="6"/>
  <c r="K54" i="6"/>
  <c r="H53" i="6"/>
  <c r="E53" i="6" s="1"/>
  <c r="E48" i="8"/>
  <c r="C49" i="8"/>
  <c r="E49" i="8" s="1"/>
  <c r="AB49" i="7"/>
  <c r="Y49" i="7"/>
  <c r="Z49" i="7" s="1"/>
  <c r="AA49" i="7" s="1"/>
  <c r="D49" i="8" l="1"/>
  <c r="G50" i="8"/>
  <c r="L50" i="8" s="1"/>
  <c r="I50" i="8"/>
  <c r="M50" i="8" s="1"/>
  <c r="K50" i="8"/>
  <c r="N50" i="8" s="1"/>
  <c r="J53" i="6"/>
  <c r="G53" i="6" s="1"/>
  <c r="M54" i="6"/>
  <c r="B52" i="7"/>
  <c r="B53" i="6"/>
  <c r="T54" i="6"/>
  <c r="C55" i="6"/>
  <c r="A51" i="8"/>
  <c r="N51" i="7"/>
  <c r="V51" i="7"/>
  <c r="W51" i="7" s="1"/>
  <c r="X51" i="7" s="1"/>
  <c r="G51" i="7"/>
  <c r="J51" i="7"/>
  <c r="K51" i="7" s="1"/>
  <c r="L51" i="7" s="1"/>
  <c r="C51" i="7"/>
  <c r="S51" i="7"/>
  <c r="P51" i="7"/>
  <c r="Q51" i="7" s="1"/>
  <c r="R51" i="7" s="1"/>
  <c r="T51" i="7"/>
  <c r="E51" i="7"/>
  <c r="F51" i="7" s="1"/>
  <c r="H51" i="7"/>
  <c r="M51" i="7"/>
  <c r="D53" i="7"/>
  <c r="H54" i="6"/>
  <c r="E54" i="6" s="1"/>
  <c r="K55" i="6"/>
  <c r="C50" i="8"/>
  <c r="E50" i="8" s="1"/>
  <c r="Y50" i="7"/>
  <c r="Z50" i="7" s="1"/>
  <c r="AA50" i="7" s="1"/>
  <c r="AB50" i="7"/>
  <c r="I50" i="7"/>
  <c r="F50" i="8" s="1"/>
  <c r="U50" i="7"/>
  <c r="J50" i="8" s="1"/>
  <c r="O50" i="7"/>
  <c r="H50" i="8" s="1"/>
  <c r="I54" i="6"/>
  <c r="F54" i="6" s="1"/>
  <c r="L55" i="6"/>
  <c r="D50" i="8" l="1"/>
  <c r="C51" i="8"/>
  <c r="Y51" i="7"/>
  <c r="Z51" i="7" s="1"/>
  <c r="AA51" i="7" s="1"/>
  <c r="AB51" i="7"/>
  <c r="I51" i="8"/>
  <c r="M51" i="8" s="1"/>
  <c r="K51" i="8"/>
  <c r="N51" i="8" s="1"/>
  <c r="F51" i="8"/>
  <c r="G51" i="8"/>
  <c r="L51" i="8" s="1"/>
  <c r="M55" i="6"/>
  <c r="J54" i="6"/>
  <c r="G54" i="6" s="1"/>
  <c r="C56" i="6"/>
  <c r="T55" i="6"/>
  <c r="O51" i="7"/>
  <c r="H51" i="8" s="1"/>
  <c r="I51" i="7"/>
  <c r="U51" i="7"/>
  <c r="J51" i="8" s="1"/>
  <c r="A52" i="8"/>
  <c r="C52" i="7"/>
  <c r="S52" i="7"/>
  <c r="T52" i="7"/>
  <c r="N52" i="7"/>
  <c r="V52" i="7"/>
  <c r="W52" i="7" s="1"/>
  <c r="X52" i="7" s="1"/>
  <c r="G52" i="7"/>
  <c r="H52" i="7"/>
  <c r="P52" i="7"/>
  <c r="Q52" i="7" s="1"/>
  <c r="R52" i="7" s="1"/>
  <c r="J52" i="7"/>
  <c r="K52" i="7" s="1"/>
  <c r="L52" i="7" s="1"/>
  <c r="M52" i="7"/>
  <c r="E52" i="7"/>
  <c r="F52" i="7" s="1"/>
  <c r="L56" i="6"/>
  <c r="I55" i="6"/>
  <c r="F55" i="6" s="1"/>
  <c r="K56" i="6"/>
  <c r="H55" i="6"/>
  <c r="E55" i="6" s="1"/>
  <c r="D54" i="7"/>
  <c r="B53" i="7"/>
  <c r="B54" i="6"/>
  <c r="E51" i="8" l="1"/>
  <c r="D51" i="8"/>
  <c r="K57" i="6"/>
  <c r="H56" i="6"/>
  <c r="E56" i="6" s="1"/>
  <c r="M56" i="6"/>
  <c r="J55" i="6"/>
  <c r="G55" i="6" s="1"/>
  <c r="L57" i="6"/>
  <c r="I56" i="6"/>
  <c r="F56" i="6" s="1"/>
  <c r="B54" i="7"/>
  <c r="B55" i="6"/>
  <c r="A53" i="8"/>
  <c r="H53" i="7"/>
  <c r="P53" i="7"/>
  <c r="Q53" i="7" s="1"/>
  <c r="R53" i="7" s="1"/>
  <c r="C53" i="7"/>
  <c r="S53" i="7"/>
  <c r="T53" i="7"/>
  <c r="E53" i="7"/>
  <c r="F53" i="7" s="1"/>
  <c r="M53" i="7"/>
  <c r="G53" i="7"/>
  <c r="J53" i="7"/>
  <c r="K53" i="7" s="1"/>
  <c r="L53" i="7" s="1"/>
  <c r="N53" i="7"/>
  <c r="V53" i="7"/>
  <c r="W53" i="7" s="1"/>
  <c r="X53" i="7" s="1"/>
  <c r="C57" i="6"/>
  <c r="T56" i="6"/>
  <c r="O52" i="7"/>
  <c r="H52" i="8" s="1"/>
  <c r="U52" i="7"/>
  <c r="J52" i="8" s="1"/>
  <c r="I52" i="7"/>
  <c r="D55" i="7"/>
  <c r="C52" i="8"/>
  <c r="AB52" i="7"/>
  <c r="Y52" i="7"/>
  <c r="Z52" i="7" s="1"/>
  <c r="AA52" i="7" s="1"/>
  <c r="K52" i="8"/>
  <c r="N52" i="8" s="1"/>
  <c r="F52" i="8"/>
  <c r="G52" i="8"/>
  <c r="L52" i="8" s="1"/>
  <c r="I52" i="8"/>
  <c r="M52" i="8" s="1"/>
  <c r="D52" i="8" l="1"/>
  <c r="M57" i="6"/>
  <c r="J56" i="6"/>
  <c r="G56" i="6" s="1"/>
  <c r="F53" i="8"/>
  <c r="G53" i="8"/>
  <c r="L53" i="8" s="1"/>
  <c r="I53" i="8"/>
  <c r="M53" i="8" s="1"/>
  <c r="K53" i="8"/>
  <c r="N53" i="8" s="1"/>
  <c r="K58" i="6"/>
  <c r="H57" i="6"/>
  <c r="C53" i="8"/>
  <c r="Y53" i="7"/>
  <c r="Z53" i="7" s="1"/>
  <c r="AA53" i="7" s="1"/>
  <c r="AB53" i="7"/>
  <c r="B55" i="7"/>
  <c r="B56" i="6"/>
  <c r="I53" i="7"/>
  <c r="U53" i="7"/>
  <c r="J53" i="8" s="1"/>
  <c r="O53" i="7"/>
  <c r="H53" i="8" s="1"/>
  <c r="A54" i="8"/>
  <c r="E54" i="7"/>
  <c r="F54" i="7" s="1"/>
  <c r="M54" i="7"/>
  <c r="N54" i="7"/>
  <c r="V54" i="7"/>
  <c r="W54" i="7" s="1"/>
  <c r="X54" i="7" s="1"/>
  <c r="H54" i="7"/>
  <c r="P54" i="7"/>
  <c r="Q54" i="7" s="1"/>
  <c r="R54" i="7" s="1"/>
  <c r="J54" i="7"/>
  <c r="K54" i="7" s="1"/>
  <c r="L54" i="7" s="1"/>
  <c r="T54" i="7"/>
  <c r="C54" i="7"/>
  <c r="G54" i="7"/>
  <c r="S54" i="7"/>
  <c r="D56" i="7"/>
  <c r="T57" i="6"/>
  <c r="E57" i="6"/>
  <c r="C58" i="6"/>
  <c r="I57" i="6"/>
  <c r="F57" i="6" s="1"/>
  <c r="L58" i="6"/>
  <c r="E52" i="8"/>
  <c r="E53" i="8" l="1"/>
  <c r="H58" i="6"/>
  <c r="K59" i="6"/>
  <c r="J57" i="6"/>
  <c r="G57" i="6" s="1"/>
  <c r="M58" i="6"/>
  <c r="I54" i="8"/>
  <c r="M54" i="8" s="1"/>
  <c r="K54" i="8"/>
  <c r="N54" i="8" s="1"/>
  <c r="G54" i="8"/>
  <c r="L54" i="8" s="1"/>
  <c r="D57" i="7"/>
  <c r="B56" i="7"/>
  <c r="B57" i="6"/>
  <c r="T58" i="6"/>
  <c r="C59" i="6"/>
  <c r="E58" i="6"/>
  <c r="D53" i="8"/>
  <c r="A55" i="8"/>
  <c r="J55" i="7"/>
  <c r="K55" i="7" s="1"/>
  <c r="L55" i="7" s="1"/>
  <c r="C55" i="7"/>
  <c r="S55" i="7"/>
  <c r="E55" i="7"/>
  <c r="F55" i="7" s="1"/>
  <c r="M55" i="7"/>
  <c r="N55" i="7"/>
  <c r="V55" i="7"/>
  <c r="W55" i="7" s="1"/>
  <c r="X55" i="7" s="1"/>
  <c r="G55" i="7"/>
  <c r="P55" i="7"/>
  <c r="Q55" i="7" s="1"/>
  <c r="R55" i="7" s="1"/>
  <c r="T55" i="7"/>
  <c r="H55" i="7"/>
  <c r="C54" i="8"/>
  <c r="Y54" i="7"/>
  <c r="Z54" i="7" s="1"/>
  <c r="AA54" i="7" s="1"/>
  <c r="AB54" i="7"/>
  <c r="I58" i="6"/>
  <c r="F58" i="6" s="1"/>
  <c r="L59" i="6"/>
  <c r="U54" i="7"/>
  <c r="J54" i="8" s="1"/>
  <c r="I54" i="7"/>
  <c r="F54" i="8" s="1"/>
  <c r="O54" i="7"/>
  <c r="H54" i="8" s="1"/>
  <c r="A56" i="8" l="1"/>
  <c r="G56" i="7"/>
  <c r="H56" i="7"/>
  <c r="P56" i="7"/>
  <c r="Q56" i="7" s="1"/>
  <c r="R56" i="7" s="1"/>
  <c r="J56" i="7"/>
  <c r="K56" i="7" s="1"/>
  <c r="L56" i="7" s="1"/>
  <c r="C56" i="7"/>
  <c r="S56" i="7"/>
  <c r="T56" i="7"/>
  <c r="M56" i="7"/>
  <c r="N56" i="7"/>
  <c r="V56" i="7"/>
  <c r="W56" i="7" s="1"/>
  <c r="X56" i="7" s="1"/>
  <c r="E56" i="7"/>
  <c r="F56" i="7" s="1"/>
  <c r="M59" i="6"/>
  <c r="J58" i="6"/>
  <c r="G58" i="6" s="1"/>
  <c r="D54" i="8"/>
  <c r="C55" i="8"/>
  <c r="Y55" i="7"/>
  <c r="Z55" i="7" s="1"/>
  <c r="AA55" i="7" s="1"/>
  <c r="AB55" i="7"/>
  <c r="D58" i="7"/>
  <c r="C60" i="6"/>
  <c r="T59" i="6"/>
  <c r="U55" i="7"/>
  <c r="J55" i="8" s="1"/>
  <c r="O55" i="7"/>
  <c r="H55" i="8" s="1"/>
  <c r="I55" i="7"/>
  <c r="F55" i="8" s="1"/>
  <c r="K60" i="6"/>
  <c r="H59" i="6"/>
  <c r="E59" i="6" s="1"/>
  <c r="E54" i="8"/>
  <c r="L60" i="6"/>
  <c r="I59" i="6"/>
  <c r="F59" i="6" s="1"/>
  <c r="G55" i="8"/>
  <c r="L55" i="8" s="1"/>
  <c r="I55" i="8"/>
  <c r="M55" i="8" s="1"/>
  <c r="K55" i="8"/>
  <c r="N55" i="8" s="1"/>
  <c r="B57" i="7"/>
  <c r="B58" i="6"/>
  <c r="D55" i="8" l="1"/>
  <c r="O56" i="7"/>
  <c r="I56" i="7"/>
  <c r="U56" i="7"/>
  <c r="J56" i="8" s="1"/>
  <c r="L61" i="6"/>
  <c r="I60" i="6"/>
  <c r="E55" i="8"/>
  <c r="C56" i="8"/>
  <c r="E56" i="8" s="1"/>
  <c r="AB56" i="7"/>
  <c r="Y56" i="7"/>
  <c r="Z56" i="7" s="1"/>
  <c r="AA56" i="7" s="1"/>
  <c r="G56" i="8"/>
  <c r="L56" i="8" s="1"/>
  <c r="H56" i="8"/>
  <c r="I56" i="8"/>
  <c r="M56" i="8" s="1"/>
  <c r="K56" i="8"/>
  <c r="N56" i="8" s="1"/>
  <c r="F56" i="8"/>
  <c r="M60" i="6"/>
  <c r="J59" i="6"/>
  <c r="G59" i="6" s="1"/>
  <c r="D59" i="7"/>
  <c r="C61" i="6"/>
  <c r="F60" i="6"/>
  <c r="T60" i="6"/>
  <c r="A57" i="8"/>
  <c r="T57" i="7"/>
  <c r="E57" i="7"/>
  <c r="F57" i="7" s="1"/>
  <c r="M57" i="7"/>
  <c r="G57" i="7"/>
  <c r="H57" i="7"/>
  <c r="P57" i="7"/>
  <c r="Q57" i="7" s="1"/>
  <c r="R57" i="7" s="1"/>
  <c r="C57" i="7"/>
  <c r="J57" i="7"/>
  <c r="K57" i="7" s="1"/>
  <c r="L57" i="7" s="1"/>
  <c r="N57" i="7"/>
  <c r="V57" i="7"/>
  <c r="W57" i="7" s="1"/>
  <c r="X57" i="7" s="1"/>
  <c r="S57" i="7"/>
  <c r="B58" i="7"/>
  <c r="B59" i="6"/>
  <c r="H60" i="6"/>
  <c r="E60" i="6" s="1"/>
  <c r="K61" i="6"/>
  <c r="D56" i="8" l="1"/>
  <c r="K57" i="8"/>
  <c r="N57" i="8" s="1"/>
  <c r="G57" i="8"/>
  <c r="L57" i="8" s="1"/>
  <c r="I57" i="8"/>
  <c r="M57" i="8" s="1"/>
  <c r="K62" i="6"/>
  <c r="H61" i="6"/>
  <c r="M61" i="6"/>
  <c r="J60" i="6"/>
  <c r="G60" i="6" s="1"/>
  <c r="U57" i="7"/>
  <c r="J57" i="8" s="1"/>
  <c r="O57" i="7"/>
  <c r="H57" i="8" s="1"/>
  <c r="I57" i="7"/>
  <c r="F57" i="8" s="1"/>
  <c r="B59" i="7"/>
  <c r="B60" i="6"/>
  <c r="A58" i="8"/>
  <c r="J58" i="7"/>
  <c r="K58" i="7" s="1"/>
  <c r="L58" i="7" s="1"/>
  <c r="T58" i="7"/>
  <c r="E58" i="7"/>
  <c r="F58" i="7" s="1"/>
  <c r="M58" i="7"/>
  <c r="N58" i="7"/>
  <c r="V58" i="7"/>
  <c r="W58" i="7" s="1"/>
  <c r="X58" i="7" s="1"/>
  <c r="S58" i="7"/>
  <c r="C58" i="7"/>
  <c r="G58" i="7"/>
  <c r="H58" i="7"/>
  <c r="P58" i="7"/>
  <c r="Q58" i="7" s="1"/>
  <c r="R58" i="7" s="1"/>
  <c r="D60" i="7"/>
  <c r="C57" i="8"/>
  <c r="E57" i="8" s="1"/>
  <c r="AB57" i="7"/>
  <c r="Y57" i="7"/>
  <c r="Z57" i="7" s="1"/>
  <c r="AA57" i="7" s="1"/>
  <c r="E61" i="6"/>
  <c r="C62" i="6"/>
  <c r="T61" i="6"/>
  <c r="L62" i="6"/>
  <c r="I61" i="6"/>
  <c r="F61" i="6" s="1"/>
  <c r="D57" i="8" l="1"/>
  <c r="I58" i="7"/>
  <c r="U58" i="7"/>
  <c r="J58" i="8" s="1"/>
  <c r="O58" i="7"/>
  <c r="H58" i="8" s="1"/>
  <c r="M62" i="6"/>
  <c r="J61" i="6"/>
  <c r="G61" i="6" s="1"/>
  <c r="B60" i="7"/>
  <c r="B61" i="6"/>
  <c r="K63" i="6"/>
  <c r="H62" i="6"/>
  <c r="F58" i="8"/>
  <c r="G58" i="8"/>
  <c r="L58" i="8" s="1"/>
  <c r="K58" i="8"/>
  <c r="N58" i="8" s="1"/>
  <c r="I58" i="8"/>
  <c r="M58" i="8" s="1"/>
  <c r="A59" i="8"/>
  <c r="N59" i="7"/>
  <c r="V59" i="7"/>
  <c r="W59" i="7" s="1"/>
  <c r="X59" i="7" s="1"/>
  <c r="G59" i="7"/>
  <c r="J59" i="7"/>
  <c r="K59" i="7" s="1"/>
  <c r="L59" i="7" s="1"/>
  <c r="C59" i="7"/>
  <c r="S59" i="7"/>
  <c r="M59" i="7"/>
  <c r="P59" i="7"/>
  <c r="Q59" i="7" s="1"/>
  <c r="R59" i="7" s="1"/>
  <c r="T59" i="7"/>
  <c r="E59" i="7"/>
  <c r="F59" i="7" s="1"/>
  <c r="H59" i="7"/>
  <c r="D61" i="7"/>
  <c r="E62" i="6"/>
  <c r="F62" i="6"/>
  <c r="C63" i="6"/>
  <c r="T62" i="6"/>
  <c r="L63" i="6"/>
  <c r="I62" i="6"/>
  <c r="C58" i="8"/>
  <c r="Y58" i="7"/>
  <c r="Z58" i="7" s="1"/>
  <c r="AA58" i="7" s="1"/>
  <c r="AB58" i="7"/>
  <c r="D58" i="8" l="1"/>
  <c r="O59" i="7"/>
  <c r="I59" i="7"/>
  <c r="F59" i="8" s="1"/>
  <c r="U59" i="7"/>
  <c r="J59" i="8" s="1"/>
  <c r="C59" i="8"/>
  <c r="Y59" i="7"/>
  <c r="Z59" i="7" s="1"/>
  <c r="AA59" i="7" s="1"/>
  <c r="AB59" i="7"/>
  <c r="B61" i="7"/>
  <c r="B62" i="6"/>
  <c r="H59" i="8"/>
  <c r="I59" i="8"/>
  <c r="M59" i="8" s="1"/>
  <c r="K59" i="8"/>
  <c r="N59" i="8" s="1"/>
  <c r="G59" i="8"/>
  <c r="L59" i="8" s="1"/>
  <c r="A60" i="8"/>
  <c r="C60" i="7"/>
  <c r="S60" i="7"/>
  <c r="T60" i="7"/>
  <c r="N60" i="7"/>
  <c r="V60" i="7"/>
  <c r="W60" i="7" s="1"/>
  <c r="X60" i="7" s="1"/>
  <c r="G60" i="7"/>
  <c r="H60" i="7"/>
  <c r="P60" i="7"/>
  <c r="Q60" i="7" s="1"/>
  <c r="R60" i="7" s="1"/>
  <c r="J60" i="7"/>
  <c r="K60" i="7" s="1"/>
  <c r="L60" i="7" s="1"/>
  <c r="M60" i="7"/>
  <c r="E60" i="7"/>
  <c r="F60" i="7" s="1"/>
  <c r="T63" i="6"/>
  <c r="C64" i="6"/>
  <c r="F63" i="6"/>
  <c r="H63" i="6"/>
  <c r="E63" i="6" s="1"/>
  <c r="K64" i="6"/>
  <c r="E58" i="8"/>
  <c r="D62" i="7"/>
  <c r="I63" i="6"/>
  <c r="L64" i="6"/>
  <c r="J62" i="6"/>
  <c r="G62" i="6" s="1"/>
  <c r="M63" i="6"/>
  <c r="D59" i="8" l="1"/>
  <c r="K60" i="8"/>
  <c r="N60" i="8" s="1"/>
  <c r="G60" i="8"/>
  <c r="L60" i="8" s="1"/>
  <c r="I60" i="8"/>
  <c r="M60" i="8" s="1"/>
  <c r="A61" i="8"/>
  <c r="H61" i="7"/>
  <c r="P61" i="7"/>
  <c r="Q61" i="7" s="1"/>
  <c r="R61" i="7" s="1"/>
  <c r="C61" i="7"/>
  <c r="S61" i="7"/>
  <c r="T61" i="7"/>
  <c r="E61" i="7"/>
  <c r="F61" i="7" s="1"/>
  <c r="M61" i="7"/>
  <c r="G61" i="7"/>
  <c r="J61" i="7"/>
  <c r="K61" i="7" s="1"/>
  <c r="L61" i="7" s="1"/>
  <c r="N61" i="7"/>
  <c r="V61" i="7"/>
  <c r="W61" i="7" s="1"/>
  <c r="X61" i="7" s="1"/>
  <c r="H64" i="6"/>
  <c r="E64" i="6" s="1"/>
  <c r="K65" i="6"/>
  <c r="B62" i="7"/>
  <c r="B63" i="6"/>
  <c r="O60" i="7"/>
  <c r="H60" i="8" s="1"/>
  <c r="I60" i="7"/>
  <c r="F60" i="8" s="1"/>
  <c r="U60" i="7"/>
  <c r="J60" i="8" s="1"/>
  <c r="J63" i="6"/>
  <c r="G63" i="6" s="1"/>
  <c r="M64" i="6"/>
  <c r="L65" i="6"/>
  <c r="I64" i="6"/>
  <c r="F64" i="6" s="1"/>
  <c r="C60" i="8"/>
  <c r="E60" i="8" s="1"/>
  <c r="AB60" i="7"/>
  <c r="Y60" i="7"/>
  <c r="Z60" i="7" s="1"/>
  <c r="AA60" i="7" s="1"/>
  <c r="D63" i="7"/>
  <c r="C65" i="6"/>
  <c r="T64" i="6"/>
  <c r="E59" i="8"/>
  <c r="D60" i="8" l="1"/>
  <c r="K66" i="6"/>
  <c r="H65" i="6"/>
  <c r="E65" i="6" s="1"/>
  <c r="G61" i="8"/>
  <c r="L61" i="8" s="1"/>
  <c r="I61" i="8"/>
  <c r="M61" i="8" s="1"/>
  <c r="K61" i="8"/>
  <c r="N61" i="8" s="1"/>
  <c r="L66" i="6"/>
  <c r="I65" i="6"/>
  <c r="F65" i="6" s="1"/>
  <c r="M65" i="6"/>
  <c r="J64" i="6"/>
  <c r="G64" i="6" s="1"/>
  <c r="B63" i="7"/>
  <c r="B64" i="6"/>
  <c r="C61" i="8"/>
  <c r="E61" i="8" s="1"/>
  <c r="Y61" i="7"/>
  <c r="Z61" i="7" s="1"/>
  <c r="AA61" i="7" s="1"/>
  <c r="AB61" i="7"/>
  <c r="D64" i="7"/>
  <c r="C66" i="6"/>
  <c r="T65" i="6"/>
  <c r="A62" i="8"/>
  <c r="E62" i="7"/>
  <c r="F62" i="7" s="1"/>
  <c r="M62" i="7"/>
  <c r="N62" i="7"/>
  <c r="V62" i="7"/>
  <c r="W62" i="7" s="1"/>
  <c r="X62" i="7" s="1"/>
  <c r="H62" i="7"/>
  <c r="P62" i="7"/>
  <c r="Q62" i="7" s="1"/>
  <c r="R62" i="7" s="1"/>
  <c r="J62" i="7"/>
  <c r="K62" i="7" s="1"/>
  <c r="L62" i="7" s="1"/>
  <c r="S62" i="7"/>
  <c r="T62" i="7"/>
  <c r="C62" i="7"/>
  <c r="G62" i="7"/>
  <c r="I61" i="7"/>
  <c r="F61" i="8" s="1"/>
  <c r="U61" i="7"/>
  <c r="J61" i="8" s="1"/>
  <c r="O61" i="7"/>
  <c r="H61" i="8" s="1"/>
  <c r="D61" i="8" l="1"/>
  <c r="U62" i="7"/>
  <c r="J62" i="8" s="1"/>
  <c r="I62" i="7"/>
  <c r="F62" i="8" s="1"/>
  <c r="O62" i="7"/>
  <c r="H62" i="8" s="1"/>
  <c r="I62" i="8"/>
  <c r="M62" i="8" s="1"/>
  <c r="K62" i="8"/>
  <c r="N62" i="8" s="1"/>
  <c r="G62" i="8"/>
  <c r="L62" i="8" s="1"/>
  <c r="L67" i="6"/>
  <c r="I66" i="6"/>
  <c r="K67" i="6"/>
  <c r="H66" i="6"/>
  <c r="D65" i="7"/>
  <c r="M66" i="6"/>
  <c r="J65" i="6"/>
  <c r="G65" i="6" s="1"/>
  <c r="E66" i="6"/>
  <c r="F66" i="6"/>
  <c r="C67" i="6"/>
  <c r="T66" i="6"/>
  <c r="B64" i="7"/>
  <c r="B65" i="6"/>
  <c r="C62" i="8"/>
  <c r="Y62" i="7"/>
  <c r="Z62" i="7" s="1"/>
  <c r="AA62" i="7" s="1"/>
  <c r="AB62" i="7"/>
  <c r="A63" i="8"/>
  <c r="J63" i="7"/>
  <c r="K63" i="7" s="1"/>
  <c r="L63" i="7" s="1"/>
  <c r="C63" i="7"/>
  <c r="S63" i="7"/>
  <c r="E63" i="7"/>
  <c r="F63" i="7" s="1"/>
  <c r="M63" i="7"/>
  <c r="N63" i="7"/>
  <c r="V63" i="7"/>
  <c r="W63" i="7" s="1"/>
  <c r="X63" i="7" s="1"/>
  <c r="G63" i="7"/>
  <c r="P63" i="7"/>
  <c r="Q63" i="7" s="1"/>
  <c r="R63" i="7" s="1"/>
  <c r="T63" i="7"/>
  <c r="H63" i="7"/>
  <c r="D62" i="8" l="1"/>
  <c r="H67" i="6"/>
  <c r="K68" i="6"/>
  <c r="I67" i="6"/>
  <c r="F67" i="6" s="1"/>
  <c r="L68" i="6"/>
  <c r="C63" i="8"/>
  <c r="Y63" i="7"/>
  <c r="Z63" i="7" s="1"/>
  <c r="AA63" i="7" s="1"/>
  <c r="AB63" i="7"/>
  <c r="U63" i="7"/>
  <c r="O63" i="7"/>
  <c r="I63" i="7"/>
  <c r="B65" i="7"/>
  <c r="B66" i="6"/>
  <c r="J66" i="6"/>
  <c r="G66" i="6" s="1"/>
  <c r="M67" i="6"/>
  <c r="A64" i="8"/>
  <c r="G64" i="7"/>
  <c r="H64" i="7"/>
  <c r="P64" i="7"/>
  <c r="Q64" i="7" s="1"/>
  <c r="R64" i="7" s="1"/>
  <c r="J64" i="7"/>
  <c r="K64" i="7" s="1"/>
  <c r="L64" i="7" s="1"/>
  <c r="C64" i="7"/>
  <c r="S64" i="7"/>
  <c r="T64" i="7"/>
  <c r="M64" i="7"/>
  <c r="N64" i="7"/>
  <c r="E64" i="7"/>
  <c r="F64" i="7" s="1"/>
  <c r="V64" i="7"/>
  <c r="W64" i="7" s="1"/>
  <c r="X64" i="7" s="1"/>
  <c r="G63" i="8"/>
  <c r="L63" i="8" s="1"/>
  <c r="I63" i="8"/>
  <c r="M63" i="8" s="1"/>
  <c r="K63" i="8"/>
  <c r="N63" i="8" s="1"/>
  <c r="H63" i="8"/>
  <c r="F63" i="8"/>
  <c r="J63" i="8"/>
  <c r="T67" i="6"/>
  <c r="C68" i="6"/>
  <c r="E67" i="6"/>
  <c r="D66" i="7"/>
  <c r="E62" i="8"/>
  <c r="D63" i="8" l="1"/>
  <c r="H68" i="6"/>
  <c r="E68" i="6" s="1"/>
  <c r="K69" i="6"/>
  <c r="O64" i="7"/>
  <c r="H64" i="8" s="1"/>
  <c r="I64" i="7"/>
  <c r="U64" i="7"/>
  <c r="C64" i="8"/>
  <c r="AB64" i="7"/>
  <c r="Y64" i="7"/>
  <c r="Z64" i="7" s="1"/>
  <c r="AA64" i="7" s="1"/>
  <c r="G64" i="8"/>
  <c r="L64" i="8" s="1"/>
  <c r="J64" i="8"/>
  <c r="F64" i="8"/>
  <c r="K64" i="8"/>
  <c r="N64" i="8" s="1"/>
  <c r="I64" i="8"/>
  <c r="M64" i="8" s="1"/>
  <c r="A65" i="8"/>
  <c r="T65" i="7"/>
  <c r="E65" i="7"/>
  <c r="F65" i="7" s="1"/>
  <c r="M65" i="7"/>
  <c r="G65" i="7"/>
  <c r="H65" i="7"/>
  <c r="P65" i="7"/>
  <c r="Q65" i="7" s="1"/>
  <c r="R65" i="7" s="1"/>
  <c r="V65" i="7"/>
  <c r="W65" i="7" s="1"/>
  <c r="X65" i="7" s="1"/>
  <c r="C65" i="7"/>
  <c r="J65" i="7"/>
  <c r="K65" i="7" s="1"/>
  <c r="L65" i="7" s="1"/>
  <c r="N65" i="7"/>
  <c r="S65" i="7"/>
  <c r="D67" i="7"/>
  <c r="J67" i="6"/>
  <c r="G67" i="6" s="1"/>
  <c r="M68" i="6"/>
  <c r="E63" i="8"/>
  <c r="C69" i="6"/>
  <c r="T68" i="6"/>
  <c r="B66" i="7"/>
  <c r="B67" i="6"/>
  <c r="L69" i="6"/>
  <c r="I68" i="6"/>
  <c r="F68" i="6" s="1"/>
  <c r="D64" i="8" l="1"/>
  <c r="H69" i="6"/>
  <c r="E69" i="6" s="1"/>
  <c r="K70" i="6"/>
  <c r="C65" i="8"/>
  <c r="AB65" i="7"/>
  <c r="Y65" i="7"/>
  <c r="Z65" i="7" s="1"/>
  <c r="AA65" i="7" s="1"/>
  <c r="I69" i="6"/>
  <c r="F69" i="6" s="1"/>
  <c r="L70" i="6"/>
  <c r="I65" i="8"/>
  <c r="M65" i="8" s="1"/>
  <c r="J65" i="8"/>
  <c r="K65" i="8"/>
  <c r="N65" i="8" s="1"/>
  <c r="G65" i="8"/>
  <c r="L65" i="8" s="1"/>
  <c r="T69" i="6"/>
  <c r="C70" i="6"/>
  <c r="E64" i="8"/>
  <c r="U65" i="7"/>
  <c r="O65" i="7"/>
  <c r="H65" i="8" s="1"/>
  <c r="I65" i="7"/>
  <c r="F65" i="8" s="1"/>
  <c r="A66" i="8"/>
  <c r="J66" i="7"/>
  <c r="K66" i="7" s="1"/>
  <c r="L66" i="7" s="1"/>
  <c r="T66" i="7"/>
  <c r="E66" i="7"/>
  <c r="F66" i="7" s="1"/>
  <c r="M66" i="7"/>
  <c r="N66" i="7"/>
  <c r="V66" i="7"/>
  <c r="W66" i="7" s="1"/>
  <c r="X66" i="7" s="1"/>
  <c r="P66" i="7"/>
  <c r="Q66" i="7" s="1"/>
  <c r="R66" i="7" s="1"/>
  <c r="S66" i="7"/>
  <c r="C66" i="7"/>
  <c r="G66" i="7"/>
  <c r="H66" i="7"/>
  <c r="B67" i="7"/>
  <c r="B68" i="6"/>
  <c r="M69" i="6"/>
  <c r="J68" i="6"/>
  <c r="G68" i="6" s="1"/>
  <c r="D68" i="7"/>
  <c r="E65" i="8" l="1"/>
  <c r="K71" i="6"/>
  <c r="H70" i="6"/>
  <c r="I66" i="7"/>
  <c r="U66" i="7"/>
  <c r="O66" i="7"/>
  <c r="H66" i="8" s="1"/>
  <c r="D65" i="8"/>
  <c r="Y66" i="7"/>
  <c r="Z66" i="7" s="1"/>
  <c r="AA66" i="7" s="1"/>
  <c r="C66" i="8"/>
  <c r="AB66" i="7"/>
  <c r="D69" i="7"/>
  <c r="F66" i="8"/>
  <c r="G66" i="8"/>
  <c r="L66" i="8" s="1"/>
  <c r="J66" i="8"/>
  <c r="I66" i="8"/>
  <c r="M66" i="8" s="1"/>
  <c r="K66" i="8"/>
  <c r="N66" i="8" s="1"/>
  <c r="L71" i="6"/>
  <c r="I70" i="6"/>
  <c r="A67" i="8"/>
  <c r="N67" i="7"/>
  <c r="V67" i="7"/>
  <c r="W67" i="7" s="1"/>
  <c r="X67" i="7" s="1"/>
  <c r="G67" i="7"/>
  <c r="J67" i="7"/>
  <c r="K67" i="7" s="1"/>
  <c r="L67" i="7" s="1"/>
  <c r="C67" i="7"/>
  <c r="S67" i="7"/>
  <c r="M67" i="7"/>
  <c r="P67" i="7"/>
  <c r="Q67" i="7" s="1"/>
  <c r="R67" i="7" s="1"/>
  <c r="T67" i="7"/>
  <c r="H67" i="7"/>
  <c r="E67" i="7"/>
  <c r="F67" i="7" s="1"/>
  <c r="E70" i="6"/>
  <c r="F70" i="6"/>
  <c r="C71" i="6"/>
  <c r="T70" i="6"/>
  <c r="M70" i="6"/>
  <c r="J69" i="6"/>
  <c r="G69" i="6" s="1"/>
  <c r="B68" i="7"/>
  <c r="B69" i="6"/>
  <c r="D66" i="8" l="1"/>
  <c r="C67" i="8"/>
  <c r="Y67" i="7"/>
  <c r="Z67" i="7" s="1"/>
  <c r="AA67" i="7" s="1"/>
  <c r="AB67" i="7"/>
  <c r="D70" i="7"/>
  <c r="T71" i="6"/>
  <c r="C72" i="6"/>
  <c r="I71" i="6"/>
  <c r="F71" i="6" s="1"/>
  <c r="L72" i="6"/>
  <c r="E66" i="8"/>
  <c r="K72" i="6"/>
  <c r="H71" i="6"/>
  <c r="E71" i="6" s="1"/>
  <c r="O67" i="7"/>
  <c r="H67" i="8" s="1"/>
  <c r="I67" i="7"/>
  <c r="F67" i="8" s="1"/>
  <c r="U67" i="7"/>
  <c r="J67" i="8" s="1"/>
  <c r="G67" i="8"/>
  <c r="L67" i="8" s="1"/>
  <c r="I67" i="8"/>
  <c r="M67" i="8" s="1"/>
  <c r="K67" i="8"/>
  <c r="N67" i="8" s="1"/>
  <c r="B69" i="7"/>
  <c r="B70" i="6"/>
  <c r="A68" i="8"/>
  <c r="C68" i="7"/>
  <c r="S68" i="7"/>
  <c r="T68" i="7"/>
  <c r="N68" i="7"/>
  <c r="V68" i="7"/>
  <c r="W68" i="7" s="1"/>
  <c r="X68" i="7" s="1"/>
  <c r="G68" i="7"/>
  <c r="H68" i="7"/>
  <c r="P68" i="7"/>
  <c r="Q68" i="7" s="1"/>
  <c r="R68" i="7" s="1"/>
  <c r="E68" i="7"/>
  <c r="F68" i="7" s="1"/>
  <c r="J68" i="7"/>
  <c r="K68" i="7" s="1"/>
  <c r="L68" i="7" s="1"/>
  <c r="M68" i="7"/>
  <c r="M71" i="6"/>
  <c r="J70" i="6"/>
  <c r="G70" i="6" s="1"/>
  <c r="E67" i="8" l="1"/>
  <c r="D67" i="8"/>
  <c r="B70" i="7"/>
  <c r="B71" i="6"/>
  <c r="T72" i="6"/>
  <c r="C73" i="6"/>
  <c r="K68" i="8"/>
  <c r="N68" i="8" s="1"/>
  <c r="F68" i="8"/>
  <c r="G68" i="8"/>
  <c r="L68" i="8" s="1"/>
  <c r="I68" i="8"/>
  <c r="M68" i="8" s="1"/>
  <c r="A69" i="8"/>
  <c r="H69" i="7"/>
  <c r="P69" i="7"/>
  <c r="Q69" i="7" s="1"/>
  <c r="R69" i="7" s="1"/>
  <c r="C69" i="7"/>
  <c r="S69" i="7"/>
  <c r="T69" i="7"/>
  <c r="E69" i="7"/>
  <c r="F69" i="7" s="1"/>
  <c r="M69" i="7"/>
  <c r="V69" i="7"/>
  <c r="W69" i="7" s="1"/>
  <c r="X69" i="7" s="1"/>
  <c r="G69" i="7"/>
  <c r="J69" i="7"/>
  <c r="K69" i="7" s="1"/>
  <c r="L69" i="7" s="1"/>
  <c r="N69" i="7"/>
  <c r="C68" i="8"/>
  <c r="E68" i="8" s="1"/>
  <c r="AB68" i="7"/>
  <c r="Y68" i="7"/>
  <c r="Z68" i="7" s="1"/>
  <c r="AA68" i="7" s="1"/>
  <c r="K73" i="6"/>
  <c r="H72" i="6"/>
  <c r="E72" i="6" s="1"/>
  <c r="D71" i="7"/>
  <c r="M72" i="6"/>
  <c r="J71" i="6"/>
  <c r="G71" i="6" s="1"/>
  <c r="O68" i="7"/>
  <c r="H68" i="8" s="1"/>
  <c r="I68" i="7"/>
  <c r="U68" i="7"/>
  <c r="J68" i="8" s="1"/>
  <c r="I72" i="6"/>
  <c r="F72" i="6" s="1"/>
  <c r="L73" i="6"/>
  <c r="D68" i="8" l="1"/>
  <c r="B71" i="7"/>
  <c r="B72" i="6"/>
  <c r="A70" i="8"/>
  <c r="E70" i="7"/>
  <c r="F70" i="7" s="1"/>
  <c r="M70" i="7"/>
  <c r="N70" i="7"/>
  <c r="V70" i="7"/>
  <c r="W70" i="7" s="1"/>
  <c r="X70" i="7" s="1"/>
  <c r="H70" i="7"/>
  <c r="P70" i="7"/>
  <c r="Q70" i="7" s="1"/>
  <c r="R70" i="7" s="1"/>
  <c r="J70" i="7"/>
  <c r="K70" i="7" s="1"/>
  <c r="L70" i="7" s="1"/>
  <c r="S70" i="7"/>
  <c r="T70" i="7"/>
  <c r="C70" i="7"/>
  <c r="G70" i="7"/>
  <c r="J72" i="6"/>
  <c r="G72" i="6" s="1"/>
  <c r="M73" i="6"/>
  <c r="D72" i="7"/>
  <c r="I73" i="6"/>
  <c r="F73" i="6" s="1"/>
  <c r="L74" i="6"/>
  <c r="G69" i="8"/>
  <c r="L69" i="8" s="1"/>
  <c r="I69" i="8"/>
  <c r="M69" i="8" s="1"/>
  <c r="K69" i="8"/>
  <c r="N69" i="8" s="1"/>
  <c r="J69" i="8"/>
  <c r="T73" i="6"/>
  <c r="C74" i="6"/>
  <c r="H73" i="6"/>
  <c r="E73" i="6" s="1"/>
  <c r="K74" i="6"/>
  <c r="C69" i="8"/>
  <c r="Y69" i="7"/>
  <c r="Z69" i="7" s="1"/>
  <c r="AA69" i="7" s="1"/>
  <c r="AB69" i="7"/>
  <c r="I69" i="7"/>
  <c r="F69" i="8" s="1"/>
  <c r="U69" i="7"/>
  <c r="O69" i="7"/>
  <c r="H69" i="8" s="1"/>
  <c r="D69" i="8" l="1"/>
  <c r="D73" i="7"/>
  <c r="B72" i="7"/>
  <c r="B73" i="6"/>
  <c r="A71" i="8"/>
  <c r="J71" i="7"/>
  <c r="K71" i="7" s="1"/>
  <c r="L71" i="7" s="1"/>
  <c r="C71" i="7"/>
  <c r="S71" i="7"/>
  <c r="E71" i="7"/>
  <c r="F71" i="7" s="1"/>
  <c r="N71" i="7"/>
  <c r="V71" i="7"/>
  <c r="W71" i="7" s="1"/>
  <c r="X71" i="7" s="1"/>
  <c r="G71" i="7"/>
  <c r="M71" i="7"/>
  <c r="P71" i="7"/>
  <c r="Q71" i="7" s="1"/>
  <c r="R71" i="7" s="1"/>
  <c r="T71" i="7"/>
  <c r="H71" i="7"/>
  <c r="M74" i="6"/>
  <c r="J73" i="6"/>
  <c r="G73" i="6" s="1"/>
  <c r="E69" i="8"/>
  <c r="C75" i="6"/>
  <c r="T74" i="6"/>
  <c r="C70" i="8"/>
  <c r="E70" i="8" s="1"/>
  <c r="Y70" i="7"/>
  <c r="Z70" i="7" s="1"/>
  <c r="AA70" i="7" s="1"/>
  <c r="AB70" i="7"/>
  <c r="I70" i="8"/>
  <c r="M70" i="8" s="1"/>
  <c r="K70" i="8"/>
  <c r="N70" i="8" s="1"/>
  <c r="F70" i="8"/>
  <c r="G70" i="8"/>
  <c r="L70" i="8" s="1"/>
  <c r="K75" i="6"/>
  <c r="H74" i="6"/>
  <c r="E74" i="6" s="1"/>
  <c r="L75" i="6"/>
  <c r="I74" i="6"/>
  <c r="F74" i="6" s="1"/>
  <c r="U70" i="7"/>
  <c r="J70" i="8" s="1"/>
  <c r="I70" i="7"/>
  <c r="O70" i="7"/>
  <c r="H70" i="8" s="1"/>
  <c r="D70" i="8" l="1"/>
  <c r="K76" i="6"/>
  <c r="H75" i="6"/>
  <c r="M75" i="6"/>
  <c r="J74" i="6"/>
  <c r="G74" i="6" s="1"/>
  <c r="O71" i="7"/>
  <c r="I71" i="7"/>
  <c r="U71" i="7"/>
  <c r="J71" i="8" s="1"/>
  <c r="D74" i="7"/>
  <c r="A72" i="8"/>
  <c r="G72" i="7"/>
  <c r="H72" i="7"/>
  <c r="P72" i="7"/>
  <c r="Q72" i="7" s="1"/>
  <c r="R72" i="7" s="1"/>
  <c r="C72" i="7"/>
  <c r="S72" i="7"/>
  <c r="T72" i="7"/>
  <c r="N72" i="7"/>
  <c r="E72" i="7"/>
  <c r="F72" i="7" s="1"/>
  <c r="V72" i="7"/>
  <c r="W72" i="7" s="1"/>
  <c r="X72" i="7" s="1"/>
  <c r="M72" i="7"/>
  <c r="J72" i="7"/>
  <c r="K72" i="7" s="1"/>
  <c r="L72" i="7" s="1"/>
  <c r="C71" i="8"/>
  <c r="Y71" i="7"/>
  <c r="Z71" i="7" s="1"/>
  <c r="AA71" i="7" s="1"/>
  <c r="AB71" i="7"/>
  <c r="K71" i="8"/>
  <c r="N71" i="8" s="1"/>
  <c r="F71" i="8"/>
  <c r="G71" i="8"/>
  <c r="L71" i="8" s="1"/>
  <c r="I71" i="8"/>
  <c r="M71" i="8" s="1"/>
  <c r="H71" i="8"/>
  <c r="E75" i="6"/>
  <c r="T75" i="6"/>
  <c r="C76" i="6"/>
  <c r="I75" i="6"/>
  <c r="F75" i="6" s="1"/>
  <c r="L76" i="6"/>
  <c r="B73" i="7"/>
  <c r="B74" i="6"/>
  <c r="D71" i="8" l="1"/>
  <c r="O72" i="7"/>
  <c r="H72" i="8" s="1"/>
  <c r="U72" i="7"/>
  <c r="I72" i="7"/>
  <c r="F72" i="8" s="1"/>
  <c r="G72" i="8"/>
  <c r="L72" i="8" s="1"/>
  <c r="I72" i="8"/>
  <c r="M72" i="8" s="1"/>
  <c r="J72" i="8"/>
  <c r="K72" i="8"/>
  <c r="N72" i="8" s="1"/>
  <c r="D75" i="7"/>
  <c r="K77" i="6"/>
  <c r="H76" i="6"/>
  <c r="T76" i="6"/>
  <c r="E76" i="6"/>
  <c r="F76" i="6"/>
  <c r="C77" i="6"/>
  <c r="M76" i="6"/>
  <c r="J75" i="6"/>
  <c r="G75" i="6" s="1"/>
  <c r="B74" i="7"/>
  <c r="B75" i="6"/>
  <c r="A73" i="8"/>
  <c r="E73" i="7"/>
  <c r="F73" i="7" s="1"/>
  <c r="M73" i="7"/>
  <c r="H73" i="7"/>
  <c r="P73" i="7"/>
  <c r="Q73" i="7" s="1"/>
  <c r="R73" i="7" s="1"/>
  <c r="C73" i="7"/>
  <c r="S73" i="7"/>
  <c r="G73" i="7"/>
  <c r="T73" i="7"/>
  <c r="J73" i="7"/>
  <c r="K73" i="7" s="1"/>
  <c r="L73" i="7" s="1"/>
  <c r="V73" i="7"/>
  <c r="W73" i="7" s="1"/>
  <c r="X73" i="7" s="1"/>
  <c r="N73" i="7"/>
  <c r="E71" i="8"/>
  <c r="I76" i="6"/>
  <c r="L77" i="6"/>
  <c r="C72" i="8"/>
  <c r="AB72" i="7"/>
  <c r="Y72" i="7"/>
  <c r="Z72" i="7" s="1"/>
  <c r="AA72" i="7" s="1"/>
  <c r="E72" i="8" l="1"/>
  <c r="D72" i="8"/>
  <c r="D76" i="7"/>
  <c r="T77" i="6"/>
  <c r="C78" i="6"/>
  <c r="J76" i="6"/>
  <c r="G76" i="6" s="1"/>
  <c r="M77" i="6"/>
  <c r="U73" i="7"/>
  <c r="J73" i="8" s="1"/>
  <c r="I73" i="7"/>
  <c r="F73" i="8" s="1"/>
  <c r="O73" i="7"/>
  <c r="B75" i="7"/>
  <c r="B76" i="6"/>
  <c r="C73" i="8"/>
  <c r="Y73" i="7"/>
  <c r="Z73" i="7" s="1"/>
  <c r="AA73" i="7" s="1"/>
  <c r="AB73" i="7"/>
  <c r="I73" i="8"/>
  <c r="M73" i="8" s="1"/>
  <c r="K73" i="8"/>
  <c r="N73" i="8" s="1"/>
  <c r="G73" i="8"/>
  <c r="L73" i="8" s="1"/>
  <c r="H73" i="8"/>
  <c r="A74" i="8"/>
  <c r="J74" i="7"/>
  <c r="K74" i="7" s="1"/>
  <c r="L74" i="7" s="1"/>
  <c r="N74" i="7"/>
  <c r="V74" i="7"/>
  <c r="W74" i="7" s="1"/>
  <c r="X74" i="7" s="1"/>
  <c r="C74" i="7"/>
  <c r="M74" i="7"/>
  <c r="E74" i="7"/>
  <c r="F74" i="7" s="1"/>
  <c r="P74" i="7"/>
  <c r="Q74" i="7" s="1"/>
  <c r="R74" i="7" s="1"/>
  <c r="G74" i="7"/>
  <c r="H74" i="7"/>
  <c r="S74" i="7"/>
  <c r="T74" i="7"/>
  <c r="I77" i="6"/>
  <c r="F77" i="6" s="1"/>
  <c r="L78" i="6"/>
  <c r="H77" i="6"/>
  <c r="E77" i="6" s="1"/>
  <c r="K78" i="6"/>
  <c r="D73" i="8" l="1"/>
  <c r="M78" i="6"/>
  <c r="J77" i="6"/>
  <c r="G77" i="6" s="1"/>
  <c r="D77" i="7"/>
  <c r="G74" i="8"/>
  <c r="L74" i="8" s="1"/>
  <c r="J74" i="8"/>
  <c r="I74" i="8"/>
  <c r="M74" i="8" s="1"/>
  <c r="K74" i="8"/>
  <c r="N74" i="8" s="1"/>
  <c r="E73" i="8"/>
  <c r="C79" i="6"/>
  <c r="T78" i="6"/>
  <c r="B76" i="7"/>
  <c r="B77" i="6"/>
  <c r="K79" i="6"/>
  <c r="H78" i="6"/>
  <c r="E78" i="6" s="1"/>
  <c r="C74" i="8"/>
  <c r="Y74" i="7"/>
  <c r="Z74" i="7" s="1"/>
  <c r="AA74" i="7" s="1"/>
  <c r="AB74" i="7"/>
  <c r="A75" i="8"/>
  <c r="G75" i="7"/>
  <c r="C75" i="7"/>
  <c r="S75" i="7"/>
  <c r="H75" i="7"/>
  <c r="T75" i="7"/>
  <c r="J75" i="7"/>
  <c r="K75" i="7" s="1"/>
  <c r="L75" i="7" s="1"/>
  <c r="V75" i="7"/>
  <c r="W75" i="7" s="1"/>
  <c r="X75" i="7" s="1"/>
  <c r="M75" i="7"/>
  <c r="N75" i="7"/>
  <c r="E75" i="7"/>
  <c r="F75" i="7" s="1"/>
  <c r="P75" i="7"/>
  <c r="Q75" i="7" s="1"/>
  <c r="R75" i="7" s="1"/>
  <c r="O74" i="7"/>
  <c r="H74" i="8" s="1"/>
  <c r="I74" i="7"/>
  <c r="F74" i="8" s="1"/>
  <c r="U74" i="7"/>
  <c r="L79" i="6"/>
  <c r="I78" i="6"/>
  <c r="F78" i="6" s="1"/>
  <c r="D74" i="8" l="1"/>
  <c r="K80" i="6"/>
  <c r="H79" i="6"/>
  <c r="E79" i="6" s="1"/>
  <c r="M79" i="6"/>
  <c r="J78" i="6"/>
  <c r="G78" i="6" s="1"/>
  <c r="C75" i="8"/>
  <c r="Y75" i="7"/>
  <c r="Z75" i="7" s="1"/>
  <c r="AA75" i="7" s="1"/>
  <c r="AB75" i="7"/>
  <c r="O75" i="7"/>
  <c r="I75" i="7"/>
  <c r="U75" i="7"/>
  <c r="B77" i="7"/>
  <c r="B78" i="6"/>
  <c r="T79" i="6"/>
  <c r="C80" i="6"/>
  <c r="D78" i="7"/>
  <c r="A76" i="8"/>
  <c r="T76" i="7"/>
  <c r="C76" i="7"/>
  <c r="M76" i="7"/>
  <c r="V76" i="7"/>
  <c r="W76" i="7" s="1"/>
  <c r="X76" i="7" s="1"/>
  <c r="E76" i="7"/>
  <c r="F76" i="7" s="1"/>
  <c r="N76" i="7"/>
  <c r="G76" i="7"/>
  <c r="P76" i="7"/>
  <c r="Q76" i="7" s="1"/>
  <c r="R76" i="7" s="1"/>
  <c r="H76" i="7"/>
  <c r="J76" i="7"/>
  <c r="K76" i="7" s="1"/>
  <c r="L76" i="7" s="1"/>
  <c r="S76" i="7"/>
  <c r="G75" i="8"/>
  <c r="L75" i="8" s="1"/>
  <c r="H75" i="8"/>
  <c r="I75" i="8"/>
  <c r="M75" i="8" s="1"/>
  <c r="J75" i="8"/>
  <c r="K75" i="8"/>
  <c r="N75" i="8" s="1"/>
  <c r="F75" i="8"/>
  <c r="E74" i="8"/>
  <c r="L80" i="6"/>
  <c r="I79" i="6"/>
  <c r="F79" i="6" s="1"/>
  <c r="M80" i="6" l="1"/>
  <c r="J79" i="6"/>
  <c r="G79" i="6" s="1"/>
  <c r="U76" i="7"/>
  <c r="O76" i="7"/>
  <c r="I76" i="7"/>
  <c r="T80" i="6"/>
  <c r="C81" i="6"/>
  <c r="E80" i="6"/>
  <c r="H80" i="6"/>
  <c r="K81" i="6"/>
  <c r="D75" i="8"/>
  <c r="D79" i="7"/>
  <c r="C76" i="8"/>
  <c r="Y76" i="7"/>
  <c r="Z76" i="7" s="1"/>
  <c r="AA76" i="7" s="1"/>
  <c r="AB76" i="7"/>
  <c r="I80" i="6"/>
  <c r="F80" i="6" s="1"/>
  <c r="L81" i="6"/>
  <c r="A77" i="8"/>
  <c r="J77" i="7"/>
  <c r="K77" i="7" s="1"/>
  <c r="L77" i="7" s="1"/>
  <c r="C77" i="7"/>
  <c r="S77" i="7"/>
  <c r="T77" i="7"/>
  <c r="E77" i="7"/>
  <c r="F77" i="7" s="1"/>
  <c r="M77" i="7"/>
  <c r="N77" i="7"/>
  <c r="V77" i="7"/>
  <c r="W77" i="7" s="1"/>
  <c r="X77" i="7" s="1"/>
  <c r="G77" i="7"/>
  <c r="H77" i="7"/>
  <c r="P77" i="7"/>
  <c r="Q77" i="7" s="1"/>
  <c r="R77" i="7" s="1"/>
  <c r="E75" i="8"/>
  <c r="J76" i="8"/>
  <c r="K76" i="8"/>
  <c r="N76" i="8" s="1"/>
  <c r="F76" i="8"/>
  <c r="H76" i="8"/>
  <c r="G76" i="8"/>
  <c r="L76" i="8" s="1"/>
  <c r="I76" i="8"/>
  <c r="M76" i="8" s="1"/>
  <c r="B78" i="7"/>
  <c r="B79" i="6"/>
  <c r="D76" i="8" l="1"/>
  <c r="C77" i="8"/>
  <c r="AB77" i="7"/>
  <c r="Y77" i="7"/>
  <c r="Z77" i="7" s="1"/>
  <c r="AA77" i="7" s="1"/>
  <c r="H81" i="6"/>
  <c r="K82" i="6"/>
  <c r="U77" i="7"/>
  <c r="O77" i="7"/>
  <c r="H77" i="8" s="1"/>
  <c r="I77" i="7"/>
  <c r="I81" i="6"/>
  <c r="L82" i="6"/>
  <c r="B79" i="7"/>
  <c r="B80" i="6"/>
  <c r="A78" i="8"/>
  <c r="G78" i="7"/>
  <c r="H78" i="7"/>
  <c r="P78" i="7"/>
  <c r="Q78" i="7" s="1"/>
  <c r="R78" i="7" s="1"/>
  <c r="J78" i="7"/>
  <c r="K78" i="7" s="1"/>
  <c r="L78" i="7" s="1"/>
  <c r="C78" i="7"/>
  <c r="S78" i="7"/>
  <c r="T78" i="7"/>
  <c r="V78" i="7"/>
  <c r="W78" i="7" s="1"/>
  <c r="X78" i="7" s="1"/>
  <c r="E78" i="7"/>
  <c r="F78" i="7" s="1"/>
  <c r="M78" i="7"/>
  <c r="N78" i="7"/>
  <c r="E76" i="8"/>
  <c r="J80" i="6"/>
  <c r="G80" i="6" s="1"/>
  <c r="M81" i="6"/>
  <c r="D80" i="7"/>
  <c r="T81" i="6"/>
  <c r="E81" i="6"/>
  <c r="F81" i="6"/>
  <c r="C82" i="6"/>
  <c r="F77" i="8"/>
  <c r="G77" i="8"/>
  <c r="L77" i="8" s="1"/>
  <c r="I77" i="8"/>
  <c r="M77" i="8" s="1"/>
  <c r="K77" i="8"/>
  <c r="N77" i="8" s="1"/>
  <c r="J77" i="8"/>
  <c r="D77" i="8" l="1"/>
  <c r="M82" i="6"/>
  <c r="J81" i="6"/>
  <c r="G81" i="6" s="1"/>
  <c r="A79" i="8"/>
  <c r="T79" i="7"/>
  <c r="E79" i="7"/>
  <c r="F79" i="7" s="1"/>
  <c r="M79" i="7"/>
  <c r="N79" i="7"/>
  <c r="V79" i="7"/>
  <c r="W79" i="7" s="1"/>
  <c r="X79" i="7" s="1"/>
  <c r="G79" i="7"/>
  <c r="H79" i="7"/>
  <c r="P79" i="7"/>
  <c r="Q79" i="7" s="1"/>
  <c r="R79" i="7" s="1"/>
  <c r="S79" i="7"/>
  <c r="C79" i="7"/>
  <c r="J79" i="7"/>
  <c r="K79" i="7" s="1"/>
  <c r="L79" i="7" s="1"/>
  <c r="F82" i="6"/>
  <c r="C83" i="6"/>
  <c r="T82" i="6"/>
  <c r="L83" i="6"/>
  <c r="I82" i="6"/>
  <c r="E77" i="8"/>
  <c r="C78" i="8"/>
  <c r="Y78" i="7"/>
  <c r="Z78" i="7" s="1"/>
  <c r="AA78" i="7" s="1"/>
  <c r="AB78" i="7"/>
  <c r="O78" i="7"/>
  <c r="I78" i="7"/>
  <c r="U78" i="7"/>
  <c r="D81" i="7"/>
  <c r="H78" i="8"/>
  <c r="I78" i="8"/>
  <c r="M78" i="8" s="1"/>
  <c r="J78" i="8"/>
  <c r="K78" i="8"/>
  <c r="N78" i="8" s="1"/>
  <c r="F78" i="8"/>
  <c r="G78" i="8"/>
  <c r="L78" i="8" s="1"/>
  <c r="K83" i="6"/>
  <c r="H82" i="6"/>
  <c r="E82" i="6" s="1"/>
  <c r="B80" i="7"/>
  <c r="B81" i="6"/>
  <c r="D78" i="8" l="1"/>
  <c r="K79" i="8"/>
  <c r="N79" i="8" s="1"/>
  <c r="G79" i="8"/>
  <c r="L79" i="8" s="1"/>
  <c r="I79" i="8"/>
  <c r="M79" i="8" s="1"/>
  <c r="C84" i="6"/>
  <c r="T83" i="6"/>
  <c r="M83" i="6"/>
  <c r="J82" i="6"/>
  <c r="G82" i="6" s="1"/>
  <c r="B81" i="7"/>
  <c r="B82" i="6"/>
  <c r="E78" i="8"/>
  <c r="A80" i="8"/>
  <c r="J80" i="7"/>
  <c r="K80" i="7" s="1"/>
  <c r="L80" i="7" s="1"/>
  <c r="C80" i="7"/>
  <c r="S80" i="7"/>
  <c r="T80" i="7"/>
  <c r="E80" i="7"/>
  <c r="F80" i="7" s="1"/>
  <c r="M80" i="7"/>
  <c r="N80" i="7"/>
  <c r="V80" i="7"/>
  <c r="W80" i="7" s="1"/>
  <c r="X80" i="7" s="1"/>
  <c r="H80" i="7"/>
  <c r="G80" i="7"/>
  <c r="P80" i="7"/>
  <c r="Q80" i="7" s="1"/>
  <c r="R80" i="7" s="1"/>
  <c r="D82" i="7"/>
  <c r="C79" i="8"/>
  <c r="E79" i="8" s="1"/>
  <c r="AB79" i="7"/>
  <c r="Y79" i="7"/>
  <c r="Z79" i="7" s="1"/>
  <c r="AA79" i="7" s="1"/>
  <c r="K84" i="6"/>
  <c r="H83" i="6"/>
  <c r="E83" i="6" s="1"/>
  <c r="U79" i="7"/>
  <c r="J79" i="8" s="1"/>
  <c r="O79" i="7"/>
  <c r="H79" i="8" s="1"/>
  <c r="I79" i="7"/>
  <c r="F79" i="8" s="1"/>
  <c r="I83" i="6"/>
  <c r="F83" i="6" s="1"/>
  <c r="L84" i="6"/>
  <c r="D79" i="8" l="1"/>
  <c r="K85" i="6"/>
  <c r="H84" i="6"/>
  <c r="E84" i="6" s="1"/>
  <c r="G80" i="8"/>
  <c r="L80" i="8" s="1"/>
  <c r="I80" i="8"/>
  <c r="M80" i="8" s="1"/>
  <c r="J80" i="8"/>
  <c r="K80" i="8"/>
  <c r="N80" i="8" s="1"/>
  <c r="T84" i="6"/>
  <c r="C85" i="6"/>
  <c r="I84" i="6"/>
  <c r="F84" i="6" s="1"/>
  <c r="L85" i="6"/>
  <c r="C80" i="8"/>
  <c r="E80" i="8" s="1"/>
  <c r="Y80" i="7"/>
  <c r="Z80" i="7" s="1"/>
  <c r="AA80" i="7" s="1"/>
  <c r="AB80" i="7"/>
  <c r="B82" i="7"/>
  <c r="B83" i="6"/>
  <c r="I80" i="7"/>
  <c r="F80" i="8" s="1"/>
  <c r="U80" i="7"/>
  <c r="O80" i="7"/>
  <c r="H80" i="8" s="1"/>
  <c r="A81" i="8"/>
  <c r="N81" i="7"/>
  <c r="V81" i="7"/>
  <c r="W81" i="7" s="1"/>
  <c r="X81" i="7" s="1"/>
  <c r="G81" i="7"/>
  <c r="H81" i="7"/>
  <c r="P81" i="7"/>
  <c r="Q81" i="7" s="1"/>
  <c r="R81" i="7" s="1"/>
  <c r="J81" i="7"/>
  <c r="K81" i="7" s="1"/>
  <c r="L81" i="7" s="1"/>
  <c r="C81" i="7"/>
  <c r="S81" i="7"/>
  <c r="E81" i="7"/>
  <c r="F81" i="7" s="1"/>
  <c r="T81" i="7"/>
  <c r="M81" i="7"/>
  <c r="D83" i="7"/>
  <c r="J83" i="6"/>
  <c r="G83" i="6" s="1"/>
  <c r="M84" i="6"/>
  <c r="D80" i="8" l="1"/>
  <c r="O81" i="7"/>
  <c r="I81" i="7"/>
  <c r="U81" i="7"/>
  <c r="H85" i="6"/>
  <c r="E85" i="6" s="1"/>
  <c r="K86" i="6"/>
  <c r="J84" i="6"/>
  <c r="G84" i="6" s="1"/>
  <c r="M85" i="6"/>
  <c r="I85" i="6"/>
  <c r="L86" i="6"/>
  <c r="I81" i="8"/>
  <c r="M81" i="8" s="1"/>
  <c r="J81" i="8"/>
  <c r="K81" i="8"/>
  <c r="N81" i="8" s="1"/>
  <c r="G81" i="8"/>
  <c r="L81" i="8" s="1"/>
  <c r="F81" i="8"/>
  <c r="H81" i="8"/>
  <c r="C81" i="8"/>
  <c r="Y81" i="7"/>
  <c r="Z81" i="7" s="1"/>
  <c r="AA81" i="7" s="1"/>
  <c r="AB81" i="7"/>
  <c r="D84" i="7"/>
  <c r="T85" i="6"/>
  <c r="C86" i="6"/>
  <c r="F85" i="6"/>
  <c r="A82" i="8"/>
  <c r="C82" i="7"/>
  <c r="S82" i="7"/>
  <c r="T82" i="7"/>
  <c r="E82" i="7"/>
  <c r="F82" i="7" s="1"/>
  <c r="M82" i="7"/>
  <c r="N82" i="7"/>
  <c r="V82" i="7"/>
  <c r="W82" i="7" s="1"/>
  <c r="X82" i="7" s="1"/>
  <c r="G82" i="7"/>
  <c r="H82" i="7"/>
  <c r="P82" i="7"/>
  <c r="Q82" i="7" s="1"/>
  <c r="R82" i="7" s="1"/>
  <c r="J82" i="7"/>
  <c r="K82" i="7" s="1"/>
  <c r="L82" i="7" s="1"/>
  <c r="B83" i="7"/>
  <c r="B84" i="6"/>
  <c r="D81" i="8" l="1"/>
  <c r="L87" i="6"/>
  <c r="I86" i="6"/>
  <c r="F86" i="6" s="1"/>
  <c r="E81" i="8"/>
  <c r="B84" i="7"/>
  <c r="B85" i="6"/>
  <c r="C82" i="8"/>
  <c r="AB82" i="7"/>
  <c r="Y82" i="7"/>
  <c r="Z82" i="7" s="1"/>
  <c r="AA82" i="7" s="1"/>
  <c r="C87" i="6"/>
  <c r="T86" i="6"/>
  <c r="M86" i="6"/>
  <c r="J85" i="6"/>
  <c r="G85" i="6" s="1"/>
  <c r="A83" i="8"/>
  <c r="H83" i="7"/>
  <c r="P83" i="7"/>
  <c r="Q83" i="7" s="1"/>
  <c r="R83" i="7" s="1"/>
  <c r="J83" i="7"/>
  <c r="K83" i="7" s="1"/>
  <c r="L83" i="7" s="1"/>
  <c r="C83" i="7"/>
  <c r="S83" i="7"/>
  <c r="T83" i="7"/>
  <c r="E83" i="7"/>
  <c r="F83" i="7" s="1"/>
  <c r="M83" i="7"/>
  <c r="N83" i="7"/>
  <c r="V83" i="7"/>
  <c r="W83" i="7" s="1"/>
  <c r="X83" i="7" s="1"/>
  <c r="G83" i="7"/>
  <c r="U82" i="7"/>
  <c r="O82" i="7"/>
  <c r="I82" i="7"/>
  <c r="F82" i="8"/>
  <c r="G82" i="8"/>
  <c r="L82" i="8" s="1"/>
  <c r="H82" i="8"/>
  <c r="J82" i="8"/>
  <c r="I82" i="8"/>
  <c r="M82" i="8" s="1"/>
  <c r="K82" i="8"/>
  <c r="N82" i="8" s="1"/>
  <c r="D85" i="7"/>
  <c r="K87" i="6"/>
  <c r="H86" i="6"/>
  <c r="E86" i="6" s="1"/>
  <c r="D82" i="8" l="1"/>
  <c r="T87" i="6"/>
  <c r="C88" i="6"/>
  <c r="L88" i="6"/>
  <c r="I87" i="6"/>
  <c r="F87" i="6" s="1"/>
  <c r="C83" i="8"/>
  <c r="Y83" i="7"/>
  <c r="Z83" i="7" s="1"/>
  <c r="AA83" i="7" s="1"/>
  <c r="AB83" i="7"/>
  <c r="G83" i="8"/>
  <c r="L83" i="8" s="1"/>
  <c r="I83" i="8"/>
  <c r="M83" i="8" s="1"/>
  <c r="J83" i="8"/>
  <c r="K83" i="8"/>
  <c r="N83" i="8" s="1"/>
  <c r="K88" i="6"/>
  <c r="H87" i="6"/>
  <c r="E87" i="6" s="1"/>
  <c r="I83" i="7"/>
  <c r="F83" i="8" s="1"/>
  <c r="U83" i="7"/>
  <c r="O83" i="7"/>
  <c r="H83" i="8" s="1"/>
  <c r="D86" i="7"/>
  <c r="M87" i="6"/>
  <c r="J86" i="6"/>
  <c r="G86" i="6" s="1"/>
  <c r="E82" i="8"/>
  <c r="B85" i="7"/>
  <c r="B86" i="6"/>
  <c r="A84" i="8"/>
  <c r="E84" i="7"/>
  <c r="F84" i="7" s="1"/>
  <c r="M84" i="7"/>
  <c r="N84" i="7"/>
  <c r="V84" i="7"/>
  <c r="W84" i="7" s="1"/>
  <c r="X84" i="7" s="1"/>
  <c r="G84" i="7"/>
  <c r="H84" i="7"/>
  <c r="P84" i="7"/>
  <c r="Q84" i="7" s="1"/>
  <c r="R84" i="7" s="1"/>
  <c r="J84" i="7"/>
  <c r="K84" i="7" s="1"/>
  <c r="L84" i="7" s="1"/>
  <c r="T84" i="7"/>
  <c r="C84" i="7"/>
  <c r="S84" i="7"/>
  <c r="E83" i="8" l="1"/>
  <c r="D83" i="8"/>
  <c r="H88" i="6"/>
  <c r="K89" i="6"/>
  <c r="J87" i="6"/>
  <c r="G87" i="6" s="1"/>
  <c r="M88" i="6"/>
  <c r="C84" i="8"/>
  <c r="Y84" i="7"/>
  <c r="Z84" i="7" s="1"/>
  <c r="AA84" i="7" s="1"/>
  <c r="AB84" i="7"/>
  <c r="D87" i="7"/>
  <c r="U84" i="7"/>
  <c r="J84" i="8" s="1"/>
  <c r="O84" i="7"/>
  <c r="H84" i="8" s="1"/>
  <c r="I84" i="7"/>
  <c r="F84" i="8" s="1"/>
  <c r="I88" i="6"/>
  <c r="L89" i="6"/>
  <c r="K84" i="8"/>
  <c r="N84" i="8" s="1"/>
  <c r="G84" i="8"/>
  <c r="L84" i="8" s="1"/>
  <c r="I84" i="8"/>
  <c r="M84" i="8" s="1"/>
  <c r="A85" i="8"/>
  <c r="J85" i="7"/>
  <c r="K85" i="7" s="1"/>
  <c r="L85" i="7" s="1"/>
  <c r="C85" i="7"/>
  <c r="S85" i="7"/>
  <c r="E85" i="7"/>
  <c r="F85" i="7" s="1"/>
  <c r="M85" i="7"/>
  <c r="N85" i="7"/>
  <c r="V85" i="7"/>
  <c r="W85" i="7" s="1"/>
  <c r="X85" i="7" s="1"/>
  <c r="G85" i="7"/>
  <c r="H85" i="7"/>
  <c r="T85" i="7"/>
  <c r="P85" i="7"/>
  <c r="Q85" i="7" s="1"/>
  <c r="R85" i="7" s="1"/>
  <c r="B86" i="7"/>
  <c r="B87" i="6"/>
  <c r="T88" i="6"/>
  <c r="F88" i="6"/>
  <c r="C89" i="6"/>
  <c r="E88" i="6"/>
  <c r="C85" i="8" l="1"/>
  <c r="Y85" i="7"/>
  <c r="Z85" i="7" s="1"/>
  <c r="AB85" i="7"/>
  <c r="H89" i="6"/>
  <c r="E89" i="6" s="1"/>
  <c r="K90" i="6"/>
  <c r="U85" i="7"/>
  <c r="O85" i="7"/>
  <c r="I85" i="7"/>
  <c r="D88" i="7"/>
  <c r="D84" i="8"/>
  <c r="AA85" i="7"/>
  <c r="B87" i="7"/>
  <c r="B88" i="6"/>
  <c r="I89" i="6"/>
  <c r="L90" i="6"/>
  <c r="A86" i="8"/>
  <c r="G86" i="7"/>
  <c r="H86" i="7"/>
  <c r="P86" i="7"/>
  <c r="Q86" i="7" s="1"/>
  <c r="R86" i="7" s="1"/>
  <c r="J86" i="7"/>
  <c r="K86" i="7" s="1"/>
  <c r="L86" i="7" s="1"/>
  <c r="C86" i="7"/>
  <c r="S86" i="7"/>
  <c r="T86" i="7"/>
  <c r="M86" i="7"/>
  <c r="V86" i="7"/>
  <c r="W86" i="7" s="1"/>
  <c r="X86" i="7" s="1"/>
  <c r="E86" i="7"/>
  <c r="F86" i="7" s="1"/>
  <c r="N86" i="7"/>
  <c r="T89" i="6"/>
  <c r="F89" i="6"/>
  <c r="C90" i="6"/>
  <c r="F85" i="8"/>
  <c r="G85" i="8"/>
  <c r="L85" i="8" s="1"/>
  <c r="H85" i="8"/>
  <c r="I85" i="8"/>
  <c r="M85" i="8" s="1"/>
  <c r="K85" i="8"/>
  <c r="N85" i="8" s="1"/>
  <c r="J85" i="8"/>
  <c r="E84" i="8"/>
  <c r="J88" i="6"/>
  <c r="G88" i="6" s="1"/>
  <c r="M89" i="6"/>
  <c r="D85" i="8" l="1"/>
  <c r="M90" i="6"/>
  <c r="J89" i="6"/>
  <c r="G89" i="6" s="1"/>
  <c r="C86" i="8"/>
  <c r="AB86" i="7"/>
  <c r="Y86" i="7"/>
  <c r="Z86" i="7" s="1"/>
  <c r="AA86" i="7" s="1"/>
  <c r="I86" i="8"/>
  <c r="M86" i="8" s="1"/>
  <c r="K86" i="8"/>
  <c r="N86" i="8" s="1"/>
  <c r="G86" i="8"/>
  <c r="L86" i="8" s="1"/>
  <c r="D89" i="7"/>
  <c r="E85" i="8"/>
  <c r="K91" i="6"/>
  <c r="H90" i="6"/>
  <c r="E90" i="6"/>
  <c r="F90" i="6"/>
  <c r="C91" i="6"/>
  <c r="T90" i="6"/>
  <c r="L91" i="6"/>
  <c r="I90" i="6"/>
  <c r="O86" i="7"/>
  <c r="H86" i="8" s="1"/>
  <c r="U86" i="7"/>
  <c r="J86" i="8" s="1"/>
  <c r="I86" i="7"/>
  <c r="F86" i="8" s="1"/>
  <c r="A87" i="8"/>
  <c r="T87" i="7"/>
  <c r="E87" i="7"/>
  <c r="F87" i="7" s="1"/>
  <c r="M87" i="7"/>
  <c r="G87" i="7"/>
  <c r="H87" i="7"/>
  <c r="P87" i="7"/>
  <c r="Q87" i="7" s="1"/>
  <c r="R87" i="7" s="1"/>
  <c r="S87" i="7"/>
  <c r="V87" i="7"/>
  <c r="W87" i="7" s="1"/>
  <c r="X87" i="7" s="1"/>
  <c r="J87" i="7"/>
  <c r="K87" i="7" s="1"/>
  <c r="L87" i="7" s="1"/>
  <c r="N87" i="7"/>
  <c r="C87" i="7"/>
  <c r="B88" i="7"/>
  <c r="B89" i="6"/>
  <c r="E86" i="8" l="1"/>
  <c r="T91" i="6"/>
  <c r="C92" i="6"/>
  <c r="M91" i="6"/>
  <c r="J90" i="6"/>
  <c r="G90" i="6" s="1"/>
  <c r="B89" i="7"/>
  <c r="B90" i="6"/>
  <c r="D86" i="8"/>
  <c r="K87" i="8"/>
  <c r="N87" i="8" s="1"/>
  <c r="G87" i="8"/>
  <c r="L87" i="8" s="1"/>
  <c r="I87" i="8"/>
  <c r="M87" i="8" s="1"/>
  <c r="K92" i="6"/>
  <c r="H91" i="6"/>
  <c r="E91" i="6" s="1"/>
  <c r="C87" i="8"/>
  <c r="AB87" i="7"/>
  <c r="Y87" i="7"/>
  <c r="Z87" i="7" s="1"/>
  <c r="AA87" i="7" s="1"/>
  <c r="L92" i="6"/>
  <c r="I91" i="6"/>
  <c r="F91" i="6" s="1"/>
  <c r="U87" i="7"/>
  <c r="J87" i="8" s="1"/>
  <c r="O87" i="7"/>
  <c r="H87" i="8" s="1"/>
  <c r="I87" i="7"/>
  <c r="F87" i="8" s="1"/>
  <c r="D90" i="7"/>
  <c r="A88" i="8"/>
  <c r="T88" i="7"/>
  <c r="E88" i="7"/>
  <c r="F88" i="7" s="1"/>
  <c r="N88" i="7"/>
  <c r="V88" i="7"/>
  <c r="W88" i="7" s="1"/>
  <c r="X88" i="7" s="1"/>
  <c r="P88" i="7"/>
  <c r="Q88" i="7" s="1"/>
  <c r="R88" i="7" s="1"/>
  <c r="M88" i="7"/>
  <c r="G88" i="7"/>
  <c r="H88" i="7"/>
  <c r="J88" i="7"/>
  <c r="K88" i="7" s="1"/>
  <c r="L88" i="7" s="1"/>
  <c r="S88" i="7"/>
  <c r="C88" i="7"/>
  <c r="E87" i="8" l="1"/>
  <c r="D87" i="8"/>
  <c r="D91" i="7"/>
  <c r="K93" i="6"/>
  <c r="H92" i="6"/>
  <c r="B90" i="7"/>
  <c r="B91" i="6"/>
  <c r="C88" i="8"/>
  <c r="Y88" i="7"/>
  <c r="Z88" i="7" s="1"/>
  <c r="AA88" i="7" s="1"/>
  <c r="AB88" i="7"/>
  <c r="I88" i="7"/>
  <c r="O88" i="7"/>
  <c r="U88" i="7"/>
  <c r="A89" i="8"/>
  <c r="N89" i="7"/>
  <c r="V89" i="7"/>
  <c r="W89" i="7" s="1"/>
  <c r="X89" i="7" s="1"/>
  <c r="C89" i="7"/>
  <c r="S89" i="7"/>
  <c r="M89" i="7"/>
  <c r="P89" i="7"/>
  <c r="Q89" i="7" s="1"/>
  <c r="R89" i="7" s="1"/>
  <c r="E89" i="7"/>
  <c r="F89" i="7" s="1"/>
  <c r="T89" i="7"/>
  <c r="H89" i="7"/>
  <c r="J89" i="7"/>
  <c r="K89" i="7" s="1"/>
  <c r="L89" i="7" s="1"/>
  <c r="G89" i="7"/>
  <c r="T92" i="6"/>
  <c r="E92" i="6"/>
  <c r="C93" i="6"/>
  <c r="I92" i="6"/>
  <c r="F92" i="6" s="1"/>
  <c r="L93" i="6"/>
  <c r="F88" i="8"/>
  <c r="G88" i="8"/>
  <c r="L88" i="8" s="1"/>
  <c r="H88" i="8"/>
  <c r="I88" i="8"/>
  <c r="M88" i="8" s="1"/>
  <c r="J88" i="8"/>
  <c r="K88" i="8"/>
  <c r="N88" i="8" s="1"/>
  <c r="M92" i="6"/>
  <c r="J91" i="6"/>
  <c r="G91" i="6" s="1"/>
  <c r="D88" i="8" l="1"/>
  <c r="C89" i="8"/>
  <c r="Y89" i="7"/>
  <c r="Z89" i="7" s="1"/>
  <c r="AA89" i="7" s="1"/>
  <c r="AB89" i="7"/>
  <c r="D92" i="7"/>
  <c r="E88" i="8"/>
  <c r="J92" i="6"/>
  <c r="G92" i="6" s="1"/>
  <c r="M93" i="6"/>
  <c r="B91" i="7"/>
  <c r="B92" i="6"/>
  <c r="H93" i="6"/>
  <c r="K94" i="6"/>
  <c r="I93" i="6"/>
  <c r="L94" i="6"/>
  <c r="I89" i="8"/>
  <c r="M89" i="8" s="1"/>
  <c r="K89" i="8"/>
  <c r="N89" i="8" s="1"/>
  <c r="G89" i="8"/>
  <c r="L89" i="8" s="1"/>
  <c r="A90" i="8"/>
  <c r="C90" i="7"/>
  <c r="S90" i="7"/>
  <c r="N90" i="7"/>
  <c r="V90" i="7"/>
  <c r="W90" i="7" s="1"/>
  <c r="X90" i="7" s="1"/>
  <c r="H90" i="7"/>
  <c r="P90" i="7"/>
  <c r="Q90" i="7" s="1"/>
  <c r="R90" i="7" s="1"/>
  <c r="M90" i="7"/>
  <c r="E90" i="7"/>
  <c r="F90" i="7" s="1"/>
  <c r="T90" i="7"/>
  <c r="G90" i="7"/>
  <c r="J90" i="7"/>
  <c r="K90" i="7" s="1"/>
  <c r="L90" i="7" s="1"/>
  <c r="T93" i="6"/>
  <c r="E93" i="6"/>
  <c r="F93" i="6"/>
  <c r="C94" i="6"/>
  <c r="I89" i="7"/>
  <c r="F89" i="8" s="1"/>
  <c r="O89" i="7"/>
  <c r="H89" i="8" s="1"/>
  <c r="U89" i="7"/>
  <c r="J89" i="8" s="1"/>
  <c r="D89" i="8" l="1"/>
  <c r="B92" i="7"/>
  <c r="B93" i="6"/>
  <c r="A91" i="8"/>
  <c r="H91" i="7"/>
  <c r="P91" i="7"/>
  <c r="Q91" i="7" s="1"/>
  <c r="R91" i="7" s="1"/>
  <c r="C91" i="7"/>
  <c r="S91" i="7"/>
  <c r="E91" i="7"/>
  <c r="F91" i="7" s="1"/>
  <c r="M91" i="7"/>
  <c r="T91" i="7"/>
  <c r="G91" i="7"/>
  <c r="V91" i="7"/>
  <c r="W91" i="7" s="1"/>
  <c r="X91" i="7" s="1"/>
  <c r="N91" i="7"/>
  <c r="J91" i="7"/>
  <c r="K91" i="7" s="1"/>
  <c r="L91" i="7" s="1"/>
  <c r="E89" i="8"/>
  <c r="M94" i="6"/>
  <c r="J93" i="6"/>
  <c r="G93" i="6" s="1"/>
  <c r="L95" i="6"/>
  <c r="I94" i="6"/>
  <c r="F94" i="6" s="1"/>
  <c r="C95" i="6"/>
  <c r="T94" i="6"/>
  <c r="U90" i="7"/>
  <c r="J90" i="8" s="1"/>
  <c r="I90" i="7"/>
  <c r="F90" i="8" s="1"/>
  <c r="O90" i="7"/>
  <c r="H90" i="8" s="1"/>
  <c r="G90" i="8"/>
  <c r="L90" i="8" s="1"/>
  <c r="I90" i="8"/>
  <c r="M90" i="8" s="1"/>
  <c r="K90" i="8"/>
  <c r="N90" i="8" s="1"/>
  <c r="D93" i="7"/>
  <c r="C90" i="8"/>
  <c r="Y90" i="7"/>
  <c r="Z90" i="7" s="1"/>
  <c r="AA90" i="7" s="1"/>
  <c r="AB90" i="7"/>
  <c r="K95" i="6"/>
  <c r="H94" i="6"/>
  <c r="E94" i="6" s="1"/>
  <c r="D90" i="8" l="1"/>
  <c r="G91" i="8"/>
  <c r="L91" i="8" s="1"/>
  <c r="I91" i="8"/>
  <c r="M91" i="8" s="1"/>
  <c r="K91" i="8"/>
  <c r="N91" i="8" s="1"/>
  <c r="I95" i="6"/>
  <c r="L96" i="6"/>
  <c r="B93" i="7"/>
  <c r="B94" i="6"/>
  <c r="C91" i="8"/>
  <c r="E91" i="8" s="1"/>
  <c r="Y91" i="7"/>
  <c r="Z91" i="7" s="1"/>
  <c r="AA91" i="7" s="1"/>
  <c r="AB91" i="7"/>
  <c r="A92" i="8"/>
  <c r="E92" i="7"/>
  <c r="F92" i="7" s="1"/>
  <c r="M92" i="7"/>
  <c r="H92" i="7"/>
  <c r="P92" i="7"/>
  <c r="Q92" i="7" s="1"/>
  <c r="R92" i="7" s="1"/>
  <c r="J92" i="7"/>
  <c r="K92" i="7" s="1"/>
  <c r="L92" i="7" s="1"/>
  <c r="T92" i="7"/>
  <c r="G92" i="7"/>
  <c r="V92" i="7"/>
  <c r="W92" i="7" s="1"/>
  <c r="X92" i="7" s="1"/>
  <c r="S92" i="7"/>
  <c r="C92" i="7"/>
  <c r="N92" i="7"/>
  <c r="M95" i="6"/>
  <c r="J94" i="6"/>
  <c r="G94" i="6" s="1"/>
  <c r="U91" i="7"/>
  <c r="J91" i="8" s="1"/>
  <c r="I91" i="7"/>
  <c r="F91" i="8" s="1"/>
  <c r="O91" i="7"/>
  <c r="H91" i="8" s="1"/>
  <c r="K96" i="6"/>
  <c r="H95" i="6"/>
  <c r="E95" i="6" s="1"/>
  <c r="C96" i="6"/>
  <c r="F95" i="6"/>
  <c r="T95" i="6"/>
  <c r="D94" i="7"/>
  <c r="E90" i="8"/>
  <c r="D91" i="8" l="1"/>
  <c r="B94" i="7"/>
  <c r="B95" i="6"/>
  <c r="A93" i="8"/>
  <c r="J93" i="7"/>
  <c r="K93" i="7" s="1"/>
  <c r="L93" i="7" s="1"/>
  <c r="E93" i="7"/>
  <c r="F93" i="7" s="1"/>
  <c r="M93" i="7"/>
  <c r="G93" i="7"/>
  <c r="V93" i="7"/>
  <c r="W93" i="7" s="1"/>
  <c r="X93" i="7" s="1"/>
  <c r="H93" i="7"/>
  <c r="N93" i="7"/>
  <c r="C93" i="7"/>
  <c r="S93" i="7"/>
  <c r="P93" i="7"/>
  <c r="Q93" i="7" s="1"/>
  <c r="R93" i="7" s="1"/>
  <c r="T93" i="7"/>
  <c r="K97" i="6"/>
  <c r="H96" i="6"/>
  <c r="E96" i="6" s="1"/>
  <c r="C92" i="8"/>
  <c r="Y92" i="7"/>
  <c r="Z92" i="7" s="1"/>
  <c r="AA92" i="7" s="1"/>
  <c r="AB92" i="7"/>
  <c r="I96" i="6"/>
  <c r="L97" i="6"/>
  <c r="J95" i="6"/>
  <c r="G95" i="6" s="1"/>
  <c r="M96" i="6"/>
  <c r="U92" i="7"/>
  <c r="I92" i="7"/>
  <c r="F92" i="8" s="1"/>
  <c r="O92" i="7"/>
  <c r="T96" i="6"/>
  <c r="F96" i="6"/>
  <c r="C97" i="6"/>
  <c r="D95" i="7"/>
  <c r="J92" i="8"/>
  <c r="K92" i="8"/>
  <c r="N92" i="8" s="1"/>
  <c r="H92" i="8"/>
  <c r="G92" i="8"/>
  <c r="L92" i="8" s="1"/>
  <c r="I92" i="8"/>
  <c r="M92" i="8" s="1"/>
  <c r="D92" i="8" l="1"/>
  <c r="B95" i="7"/>
  <c r="B96" i="6"/>
  <c r="E92" i="8"/>
  <c r="A94" i="8"/>
  <c r="G94" i="7"/>
  <c r="J94" i="7"/>
  <c r="K94" i="7" s="1"/>
  <c r="L94" i="7" s="1"/>
  <c r="T94" i="7"/>
  <c r="H94" i="7"/>
  <c r="M94" i="7"/>
  <c r="N94" i="7"/>
  <c r="P94" i="7"/>
  <c r="Q94" i="7" s="1"/>
  <c r="R94" i="7" s="1"/>
  <c r="E94" i="7"/>
  <c r="F94" i="7" s="1"/>
  <c r="S94" i="7"/>
  <c r="C94" i="7"/>
  <c r="V94" i="7"/>
  <c r="W94" i="7" s="1"/>
  <c r="X94" i="7" s="1"/>
  <c r="D96" i="7"/>
  <c r="T97" i="6"/>
  <c r="C98" i="6"/>
  <c r="J96" i="6"/>
  <c r="G96" i="6" s="1"/>
  <c r="M97" i="6"/>
  <c r="H97" i="6"/>
  <c r="E97" i="6" s="1"/>
  <c r="K98" i="6"/>
  <c r="C93" i="8"/>
  <c r="Y93" i="7"/>
  <c r="Z93" i="7" s="1"/>
  <c r="AA93" i="7" s="1"/>
  <c r="AB93" i="7"/>
  <c r="I97" i="6"/>
  <c r="F97" i="6" s="1"/>
  <c r="L98" i="6"/>
  <c r="U93" i="7"/>
  <c r="O93" i="7"/>
  <c r="H93" i="8" s="1"/>
  <c r="I93" i="7"/>
  <c r="F93" i="8"/>
  <c r="G93" i="8"/>
  <c r="L93" i="8" s="1"/>
  <c r="I93" i="8"/>
  <c r="M93" i="8" s="1"/>
  <c r="J93" i="8"/>
  <c r="K93" i="8"/>
  <c r="N93" i="8" s="1"/>
  <c r="E93" i="8" l="1"/>
  <c r="D93" i="8"/>
  <c r="K99" i="6"/>
  <c r="H98" i="6"/>
  <c r="B96" i="7"/>
  <c r="B97" i="6"/>
  <c r="D97" i="7"/>
  <c r="C94" i="8"/>
  <c r="AB94" i="7"/>
  <c r="Y94" i="7"/>
  <c r="Z94" i="7" s="1"/>
  <c r="AA94" i="7" s="1"/>
  <c r="A95" i="8"/>
  <c r="T95" i="7"/>
  <c r="G95" i="7"/>
  <c r="S95" i="7"/>
  <c r="M95" i="7"/>
  <c r="N95" i="7"/>
  <c r="P95" i="7"/>
  <c r="Q95" i="7" s="1"/>
  <c r="R95" i="7" s="1"/>
  <c r="C95" i="7"/>
  <c r="H95" i="7"/>
  <c r="V95" i="7"/>
  <c r="W95" i="7" s="1"/>
  <c r="X95" i="7" s="1"/>
  <c r="E95" i="7"/>
  <c r="F95" i="7" s="1"/>
  <c r="J95" i="7"/>
  <c r="K95" i="7" s="1"/>
  <c r="L95" i="7" s="1"/>
  <c r="M98" i="6"/>
  <c r="J97" i="6"/>
  <c r="G97" i="6" s="1"/>
  <c r="L99" i="6"/>
  <c r="I98" i="6"/>
  <c r="E98" i="6"/>
  <c r="F98" i="6"/>
  <c r="C99" i="6"/>
  <c r="T98" i="6"/>
  <c r="O94" i="7"/>
  <c r="H94" i="8" s="1"/>
  <c r="U94" i="7"/>
  <c r="J94" i="8" s="1"/>
  <c r="I94" i="7"/>
  <c r="I94" i="8"/>
  <c r="M94" i="8" s="1"/>
  <c r="K94" i="8"/>
  <c r="N94" i="8" s="1"/>
  <c r="F94" i="8"/>
  <c r="G94" i="8"/>
  <c r="L94" i="8" s="1"/>
  <c r="D94" i="8" l="1"/>
  <c r="A96" i="8"/>
  <c r="C96" i="7"/>
  <c r="J96" i="7"/>
  <c r="K96" i="7" s="1"/>
  <c r="L96" i="7" s="1"/>
  <c r="T96" i="7"/>
  <c r="V96" i="7"/>
  <c r="W96" i="7" s="1"/>
  <c r="X96" i="7" s="1"/>
  <c r="M96" i="7"/>
  <c r="N96" i="7"/>
  <c r="P96" i="7"/>
  <c r="Q96" i="7" s="1"/>
  <c r="R96" i="7" s="1"/>
  <c r="S96" i="7"/>
  <c r="H96" i="7"/>
  <c r="E96" i="7"/>
  <c r="F96" i="7" s="1"/>
  <c r="G96" i="7"/>
  <c r="K95" i="8"/>
  <c r="N95" i="8" s="1"/>
  <c r="G95" i="8"/>
  <c r="L95" i="8" s="1"/>
  <c r="I95" i="8"/>
  <c r="M95" i="8" s="1"/>
  <c r="K100" i="6"/>
  <c r="H99" i="6"/>
  <c r="L100" i="6"/>
  <c r="I99" i="6"/>
  <c r="F99" i="6" s="1"/>
  <c r="E94" i="8"/>
  <c r="M99" i="6"/>
  <c r="J98" i="6"/>
  <c r="G98" i="6" s="1"/>
  <c r="C95" i="8"/>
  <c r="AB95" i="7"/>
  <c r="Y95" i="7"/>
  <c r="Z95" i="7" s="1"/>
  <c r="AA95" i="7" s="1"/>
  <c r="D98" i="7"/>
  <c r="E99" i="6"/>
  <c r="T99" i="6"/>
  <c r="C100" i="6"/>
  <c r="O95" i="7"/>
  <c r="H95" i="8" s="1"/>
  <c r="I95" i="7"/>
  <c r="F95" i="8" s="1"/>
  <c r="U95" i="7"/>
  <c r="J95" i="8" s="1"/>
  <c r="B97" i="7"/>
  <c r="B98" i="6"/>
  <c r="D95" i="8" l="1"/>
  <c r="G96" i="8"/>
  <c r="L96" i="8" s="1"/>
  <c r="I96" i="8"/>
  <c r="M96" i="8" s="1"/>
  <c r="K96" i="8"/>
  <c r="N96" i="8" s="1"/>
  <c r="T100" i="6"/>
  <c r="C101" i="6"/>
  <c r="H100" i="6"/>
  <c r="E100" i="6" s="1"/>
  <c r="K101" i="6"/>
  <c r="B98" i="7"/>
  <c r="B99" i="6"/>
  <c r="D99" i="7"/>
  <c r="C96" i="8"/>
  <c r="E96" i="8" s="1"/>
  <c r="Y96" i="7"/>
  <c r="Z96" i="7" s="1"/>
  <c r="AA96" i="7" s="1"/>
  <c r="AB96" i="7"/>
  <c r="I96" i="7"/>
  <c r="F96" i="8" s="1"/>
  <c r="U96" i="7"/>
  <c r="J96" i="8" s="1"/>
  <c r="O96" i="7"/>
  <c r="H96" i="8" s="1"/>
  <c r="M100" i="6"/>
  <c r="J99" i="6"/>
  <c r="G99" i="6" s="1"/>
  <c r="I100" i="6"/>
  <c r="F100" i="6" s="1"/>
  <c r="L101" i="6"/>
  <c r="E95" i="8"/>
  <c r="A97" i="8"/>
  <c r="N97" i="7"/>
  <c r="V97" i="7"/>
  <c r="W97" i="7" s="1"/>
  <c r="X97" i="7" s="1"/>
  <c r="C97" i="7"/>
  <c r="E97" i="7"/>
  <c r="F97" i="7" s="1"/>
  <c r="P97" i="7"/>
  <c r="Q97" i="7" s="1"/>
  <c r="R97" i="7" s="1"/>
  <c r="G97" i="7"/>
  <c r="H97" i="7"/>
  <c r="J97" i="7"/>
  <c r="K97" i="7" s="1"/>
  <c r="L97" i="7" s="1"/>
  <c r="T97" i="7"/>
  <c r="S97" i="7"/>
  <c r="M97" i="7"/>
  <c r="D96" i="8" l="1"/>
  <c r="U97" i="7"/>
  <c r="O97" i="7"/>
  <c r="I97" i="7"/>
  <c r="F97" i="8" s="1"/>
  <c r="T101" i="6"/>
  <c r="C102" i="6"/>
  <c r="B99" i="7"/>
  <c r="B100" i="6"/>
  <c r="I101" i="6"/>
  <c r="F101" i="6" s="1"/>
  <c r="L102" i="6"/>
  <c r="D100" i="7"/>
  <c r="A98" i="8"/>
  <c r="C98" i="7"/>
  <c r="S98" i="7"/>
  <c r="M98" i="7"/>
  <c r="V98" i="7"/>
  <c r="W98" i="7" s="1"/>
  <c r="X98" i="7" s="1"/>
  <c r="H98" i="7"/>
  <c r="T98" i="7"/>
  <c r="J98" i="7"/>
  <c r="K98" i="7" s="1"/>
  <c r="L98" i="7" s="1"/>
  <c r="E98" i="7"/>
  <c r="F98" i="7" s="1"/>
  <c r="N98" i="7"/>
  <c r="G98" i="7"/>
  <c r="P98" i="7"/>
  <c r="Q98" i="7" s="1"/>
  <c r="R98" i="7" s="1"/>
  <c r="I97" i="8"/>
  <c r="M97" i="8" s="1"/>
  <c r="J97" i="8"/>
  <c r="K97" i="8"/>
  <c r="N97" i="8" s="1"/>
  <c r="G97" i="8"/>
  <c r="L97" i="8" s="1"/>
  <c r="H97" i="8"/>
  <c r="H101" i="6"/>
  <c r="E101" i="6" s="1"/>
  <c r="K102" i="6"/>
  <c r="C97" i="8"/>
  <c r="Y97" i="7"/>
  <c r="Z97" i="7" s="1"/>
  <c r="AA97" i="7" s="1"/>
  <c r="AB97" i="7"/>
  <c r="J100" i="6"/>
  <c r="G100" i="6" s="1"/>
  <c r="M101" i="6"/>
  <c r="C98" i="8" l="1"/>
  <c r="Y98" i="7"/>
  <c r="Z98" i="7" s="1"/>
  <c r="AA98" i="7" s="1"/>
  <c r="AB98" i="7"/>
  <c r="B100" i="7"/>
  <c r="B101" i="6"/>
  <c r="E97" i="8"/>
  <c r="A99" i="8"/>
  <c r="H99" i="7"/>
  <c r="P99" i="7"/>
  <c r="Q99" i="7" s="1"/>
  <c r="R99" i="7" s="1"/>
  <c r="M99" i="7"/>
  <c r="V99" i="7"/>
  <c r="W99" i="7" s="1"/>
  <c r="X99" i="7" s="1"/>
  <c r="C99" i="7"/>
  <c r="N99" i="7"/>
  <c r="E99" i="7"/>
  <c r="F99" i="7" s="1"/>
  <c r="S99" i="7"/>
  <c r="T99" i="7"/>
  <c r="G99" i="7"/>
  <c r="J99" i="7"/>
  <c r="K99" i="7" s="1"/>
  <c r="L99" i="7" s="1"/>
  <c r="I98" i="7"/>
  <c r="F98" i="8" s="1"/>
  <c r="U98" i="7"/>
  <c r="O98" i="7"/>
  <c r="H98" i="8" s="1"/>
  <c r="G98" i="8"/>
  <c r="L98" i="8" s="1"/>
  <c r="I98" i="8"/>
  <c r="M98" i="8" s="1"/>
  <c r="J98" i="8"/>
  <c r="K98" i="8"/>
  <c r="N98" i="8" s="1"/>
  <c r="F102" i="6"/>
  <c r="C103" i="6"/>
  <c r="T102" i="6"/>
  <c r="M102" i="6"/>
  <c r="J101" i="6"/>
  <c r="G101" i="6" s="1"/>
  <c r="D101" i="7"/>
  <c r="K103" i="6"/>
  <c r="H102" i="6"/>
  <c r="E102" i="6" s="1"/>
  <c r="D97" i="8"/>
  <c r="L103" i="6"/>
  <c r="I102" i="6"/>
  <c r="D98" i="8" l="1"/>
  <c r="B101" i="7"/>
  <c r="B102" i="6"/>
  <c r="A100" i="8"/>
  <c r="E100" i="7"/>
  <c r="F100" i="7" s="1"/>
  <c r="M100" i="7"/>
  <c r="N100" i="7"/>
  <c r="G100" i="7"/>
  <c r="H100" i="7"/>
  <c r="S100" i="7"/>
  <c r="J100" i="7"/>
  <c r="K100" i="7" s="1"/>
  <c r="L100" i="7" s="1"/>
  <c r="T100" i="7"/>
  <c r="V100" i="7"/>
  <c r="W100" i="7" s="1"/>
  <c r="X100" i="7" s="1"/>
  <c r="C100" i="7"/>
  <c r="P100" i="7"/>
  <c r="Q100" i="7" s="1"/>
  <c r="R100" i="7" s="1"/>
  <c r="C99" i="8"/>
  <c r="Y99" i="7"/>
  <c r="Z99" i="7" s="1"/>
  <c r="AA99" i="7" s="1"/>
  <c r="AB99" i="7"/>
  <c r="E98" i="8"/>
  <c r="I103" i="6"/>
  <c r="F103" i="6" s="1"/>
  <c r="L104" i="6"/>
  <c r="M103" i="6"/>
  <c r="J102" i="6"/>
  <c r="G102" i="6" s="1"/>
  <c r="G99" i="8"/>
  <c r="L99" i="8" s="1"/>
  <c r="I99" i="8"/>
  <c r="M99" i="8" s="1"/>
  <c r="K99" i="8"/>
  <c r="N99" i="8" s="1"/>
  <c r="F99" i="8"/>
  <c r="K104" i="6"/>
  <c r="H103" i="6"/>
  <c r="E103" i="6" s="1"/>
  <c r="D102" i="7"/>
  <c r="T103" i="6"/>
  <c r="C104" i="6"/>
  <c r="O99" i="7"/>
  <c r="H99" i="8" s="1"/>
  <c r="I99" i="7"/>
  <c r="U99" i="7"/>
  <c r="J99" i="8" s="1"/>
  <c r="D99" i="8" l="1"/>
  <c r="B102" i="7"/>
  <c r="B103" i="6"/>
  <c r="A101" i="8"/>
  <c r="J101" i="7"/>
  <c r="K101" i="7" s="1"/>
  <c r="L101" i="7" s="1"/>
  <c r="E101" i="7"/>
  <c r="F101" i="7" s="1"/>
  <c r="N101" i="7"/>
  <c r="V101" i="7"/>
  <c r="W101" i="7" s="1"/>
  <c r="X101" i="7" s="1"/>
  <c r="C101" i="7"/>
  <c r="M101" i="7"/>
  <c r="G101" i="7"/>
  <c r="T101" i="7"/>
  <c r="P101" i="7"/>
  <c r="Q101" i="7" s="1"/>
  <c r="R101" i="7" s="1"/>
  <c r="H101" i="7"/>
  <c r="S101" i="7"/>
  <c r="E99" i="8"/>
  <c r="D103" i="7"/>
  <c r="K100" i="8"/>
  <c r="N100" i="8" s="1"/>
  <c r="F100" i="8"/>
  <c r="G100" i="8"/>
  <c r="L100" i="8" s="1"/>
  <c r="I100" i="8"/>
  <c r="M100" i="8" s="1"/>
  <c r="T104" i="6"/>
  <c r="E104" i="6"/>
  <c r="C105" i="6"/>
  <c r="K105" i="6"/>
  <c r="H104" i="6"/>
  <c r="M104" i="6"/>
  <c r="J103" i="6"/>
  <c r="G103" i="6" s="1"/>
  <c r="C100" i="8"/>
  <c r="AB100" i="7"/>
  <c r="Y100" i="7"/>
  <c r="Z100" i="7" s="1"/>
  <c r="AA100" i="7" s="1"/>
  <c r="I104" i="6"/>
  <c r="F104" i="6" s="1"/>
  <c r="L105" i="6"/>
  <c r="U100" i="7"/>
  <c r="J100" i="8" s="1"/>
  <c r="I100" i="7"/>
  <c r="O100" i="7"/>
  <c r="H100" i="8" s="1"/>
  <c r="E100" i="8" l="1"/>
  <c r="D100" i="8"/>
  <c r="G101" i="8"/>
  <c r="L101" i="8" s="1"/>
  <c r="I101" i="8"/>
  <c r="M101" i="8" s="1"/>
  <c r="K101" i="8"/>
  <c r="N101" i="8" s="1"/>
  <c r="B103" i="7"/>
  <c r="B104" i="6"/>
  <c r="C101" i="8"/>
  <c r="Y101" i="7"/>
  <c r="Z101" i="7" s="1"/>
  <c r="AA101" i="7" s="1"/>
  <c r="AB101" i="7"/>
  <c r="A102" i="8"/>
  <c r="G102" i="7"/>
  <c r="E102" i="7"/>
  <c r="F102" i="7" s="1"/>
  <c r="N102" i="7"/>
  <c r="P102" i="7"/>
  <c r="Q102" i="7" s="1"/>
  <c r="R102" i="7" s="1"/>
  <c r="H102" i="7"/>
  <c r="S102" i="7"/>
  <c r="V102" i="7"/>
  <c r="W102" i="7" s="1"/>
  <c r="X102" i="7" s="1"/>
  <c r="C102" i="7"/>
  <c r="M102" i="7"/>
  <c r="J102" i="7"/>
  <c r="K102" i="7" s="1"/>
  <c r="L102" i="7" s="1"/>
  <c r="T102" i="7"/>
  <c r="D104" i="7"/>
  <c r="J104" i="6"/>
  <c r="G104" i="6" s="1"/>
  <c r="M105" i="6"/>
  <c r="T105" i="6"/>
  <c r="C106" i="6"/>
  <c r="I105" i="6"/>
  <c r="F105" i="6" s="1"/>
  <c r="L106" i="6"/>
  <c r="H105" i="6"/>
  <c r="E105" i="6" s="1"/>
  <c r="K106" i="6"/>
  <c r="U101" i="7"/>
  <c r="J101" i="8" s="1"/>
  <c r="O101" i="7"/>
  <c r="H101" i="8" s="1"/>
  <c r="I101" i="7"/>
  <c r="F101" i="8" s="1"/>
  <c r="E101" i="8" l="1"/>
  <c r="D101" i="8"/>
  <c r="M106" i="6"/>
  <c r="J105" i="6"/>
  <c r="G105" i="6" s="1"/>
  <c r="B104" i="7"/>
  <c r="B105" i="6"/>
  <c r="C107" i="6"/>
  <c r="T106" i="6"/>
  <c r="A103" i="8"/>
  <c r="T103" i="7"/>
  <c r="S103" i="7"/>
  <c r="J103" i="7"/>
  <c r="K103" i="7" s="1"/>
  <c r="L103" i="7" s="1"/>
  <c r="V103" i="7"/>
  <c r="W103" i="7" s="1"/>
  <c r="X103" i="7" s="1"/>
  <c r="M103" i="7"/>
  <c r="E103" i="7"/>
  <c r="F103" i="7" s="1"/>
  <c r="P103" i="7"/>
  <c r="Q103" i="7" s="1"/>
  <c r="R103" i="7" s="1"/>
  <c r="C103" i="7"/>
  <c r="G103" i="7"/>
  <c r="H103" i="7"/>
  <c r="N103" i="7"/>
  <c r="O102" i="7"/>
  <c r="I102" i="7"/>
  <c r="U102" i="7"/>
  <c r="L107" i="6"/>
  <c r="I106" i="6"/>
  <c r="F106" i="6" s="1"/>
  <c r="D105" i="7"/>
  <c r="C102" i="8"/>
  <c r="AB102" i="7"/>
  <c r="Y102" i="7"/>
  <c r="Z102" i="7" s="1"/>
  <c r="AA102" i="7" s="1"/>
  <c r="K107" i="6"/>
  <c r="H106" i="6"/>
  <c r="E106" i="6" s="1"/>
  <c r="H102" i="8"/>
  <c r="I102" i="8"/>
  <c r="M102" i="8" s="1"/>
  <c r="K102" i="8"/>
  <c r="N102" i="8" s="1"/>
  <c r="F102" i="8"/>
  <c r="G102" i="8"/>
  <c r="L102" i="8" s="1"/>
  <c r="J102" i="8"/>
  <c r="D102" i="8" l="1"/>
  <c r="K103" i="8"/>
  <c r="N103" i="8" s="1"/>
  <c r="F103" i="8"/>
  <c r="G103" i="8"/>
  <c r="L103" i="8" s="1"/>
  <c r="I103" i="8"/>
  <c r="M103" i="8" s="1"/>
  <c r="O103" i="7"/>
  <c r="H103" i="8" s="1"/>
  <c r="I103" i="7"/>
  <c r="U103" i="7"/>
  <c r="J103" i="8" s="1"/>
  <c r="A104" i="8"/>
  <c r="C104" i="7"/>
  <c r="M104" i="7"/>
  <c r="N104" i="7"/>
  <c r="E104" i="7"/>
  <c r="F104" i="7" s="1"/>
  <c r="P104" i="7"/>
  <c r="Q104" i="7" s="1"/>
  <c r="R104" i="7" s="1"/>
  <c r="G104" i="7"/>
  <c r="J104" i="7"/>
  <c r="K104" i="7" s="1"/>
  <c r="L104" i="7" s="1"/>
  <c r="T104" i="7"/>
  <c r="V104" i="7"/>
  <c r="W104" i="7" s="1"/>
  <c r="X104" i="7" s="1"/>
  <c r="H104" i="7"/>
  <c r="S104" i="7"/>
  <c r="C103" i="8"/>
  <c r="E103" i="8" s="1"/>
  <c r="AB103" i="7"/>
  <c r="Y103" i="7"/>
  <c r="Z103" i="7" s="1"/>
  <c r="AA103" i="7" s="1"/>
  <c r="F107" i="6"/>
  <c r="T107" i="6"/>
  <c r="C108" i="6"/>
  <c r="M107" i="6"/>
  <c r="J106" i="6"/>
  <c r="G106" i="6" s="1"/>
  <c r="I107" i="6"/>
  <c r="L108" i="6"/>
  <c r="K108" i="6"/>
  <c r="H107" i="6"/>
  <c r="E107" i="6" s="1"/>
  <c r="E102" i="8"/>
  <c r="D106" i="7"/>
  <c r="B105" i="7"/>
  <c r="B106" i="6"/>
  <c r="D103" i="8" l="1"/>
  <c r="G104" i="8"/>
  <c r="L104" i="8" s="1"/>
  <c r="I104" i="8"/>
  <c r="M104" i="8" s="1"/>
  <c r="K104" i="8"/>
  <c r="N104" i="8" s="1"/>
  <c r="B106" i="7"/>
  <c r="B107" i="6"/>
  <c r="H108" i="6"/>
  <c r="K109" i="6"/>
  <c r="I108" i="6"/>
  <c r="F108" i="6" s="1"/>
  <c r="L109" i="6"/>
  <c r="A105" i="8"/>
  <c r="N105" i="7"/>
  <c r="V105" i="7"/>
  <c r="W105" i="7" s="1"/>
  <c r="X105" i="7" s="1"/>
  <c r="G105" i="7"/>
  <c r="P105" i="7"/>
  <c r="Q105" i="7" s="1"/>
  <c r="R105" i="7" s="1"/>
  <c r="H105" i="7"/>
  <c r="S105" i="7"/>
  <c r="J105" i="7"/>
  <c r="K105" i="7" s="1"/>
  <c r="L105" i="7" s="1"/>
  <c r="T105" i="7"/>
  <c r="C105" i="7"/>
  <c r="M105" i="7"/>
  <c r="E105" i="7"/>
  <c r="F105" i="7" s="1"/>
  <c r="D107" i="7"/>
  <c r="J107" i="6"/>
  <c r="G107" i="6" s="1"/>
  <c r="M108" i="6"/>
  <c r="I104" i="7"/>
  <c r="F104" i="8" s="1"/>
  <c r="O104" i="7"/>
  <c r="H104" i="8" s="1"/>
  <c r="U104" i="7"/>
  <c r="J104" i="8" s="1"/>
  <c r="T108" i="6"/>
  <c r="E108" i="6"/>
  <c r="C109" i="6"/>
  <c r="C104" i="8"/>
  <c r="Y104" i="7"/>
  <c r="Z104" i="7" s="1"/>
  <c r="AA104" i="7" s="1"/>
  <c r="AB104" i="7"/>
  <c r="D104" i="8" l="1"/>
  <c r="H109" i="6"/>
  <c r="K110" i="6"/>
  <c r="I105" i="7"/>
  <c r="U105" i="7"/>
  <c r="O105" i="7"/>
  <c r="B107" i="7"/>
  <c r="B108" i="6"/>
  <c r="C105" i="8"/>
  <c r="Y105" i="7"/>
  <c r="Z105" i="7" s="1"/>
  <c r="AA105" i="7" s="1"/>
  <c r="AB105" i="7"/>
  <c r="A106" i="8"/>
  <c r="C106" i="7"/>
  <c r="S106" i="7"/>
  <c r="G106" i="7"/>
  <c r="P106" i="7"/>
  <c r="Q106" i="7" s="1"/>
  <c r="R106" i="7" s="1"/>
  <c r="V106" i="7"/>
  <c r="W106" i="7" s="1"/>
  <c r="X106" i="7" s="1"/>
  <c r="M106" i="7"/>
  <c r="N106" i="7"/>
  <c r="E106" i="7"/>
  <c r="F106" i="7" s="1"/>
  <c r="H106" i="7"/>
  <c r="T106" i="7"/>
  <c r="J106" i="7"/>
  <c r="K106" i="7" s="1"/>
  <c r="L106" i="7" s="1"/>
  <c r="E104" i="8"/>
  <c r="I105" i="8"/>
  <c r="M105" i="8" s="1"/>
  <c r="J105" i="8"/>
  <c r="K105" i="8"/>
  <c r="N105" i="8" s="1"/>
  <c r="F105" i="8"/>
  <c r="G105" i="8"/>
  <c r="L105" i="8" s="1"/>
  <c r="H105" i="8"/>
  <c r="D108" i="7"/>
  <c r="T109" i="6"/>
  <c r="E109" i="6"/>
  <c r="F109" i="6"/>
  <c r="C110" i="6"/>
  <c r="J108" i="6"/>
  <c r="G108" i="6" s="1"/>
  <c r="M109" i="6"/>
  <c r="I109" i="6"/>
  <c r="L110" i="6"/>
  <c r="D105" i="8" l="1"/>
  <c r="K111" i="6"/>
  <c r="H110" i="6"/>
  <c r="C106" i="8"/>
  <c r="Y106" i="7"/>
  <c r="Z106" i="7" s="1"/>
  <c r="AA106" i="7" s="1"/>
  <c r="AB106" i="7"/>
  <c r="O106" i="7"/>
  <c r="H106" i="8" s="1"/>
  <c r="I106" i="7"/>
  <c r="U106" i="7"/>
  <c r="E105" i="8"/>
  <c r="F106" i="8"/>
  <c r="G106" i="8"/>
  <c r="L106" i="8" s="1"/>
  <c r="I106" i="8"/>
  <c r="M106" i="8" s="1"/>
  <c r="J106" i="8"/>
  <c r="K106" i="8"/>
  <c r="N106" i="8" s="1"/>
  <c r="L111" i="6"/>
  <c r="I110" i="6"/>
  <c r="D109" i="7"/>
  <c r="B108" i="7"/>
  <c r="B109" i="6"/>
  <c r="A107" i="8"/>
  <c r="N107" i="7"/>
  <c r="V107" i="7"/>
  <c r="W107" i="7" s="1"/>
  <c r="X107" i="7" s="1"/>
  <c r="M107" i="7"/>
  <c r="E107" i="7"/>
  <c r="F107" i="7" s="1"/>
  <c r="G107" i="7"/>
  <c r="P107" i="7"/>
  <c r="Q107" i="7" s="1"/>
  <c r="R107" i="7" s="1"/>
  <c r="H107" i="7"/>
  <c r="J107" i="7"/>
  <c r="K107" i="7" s="1"/>
  <c r="L107" i="7" s="1"/>
  <c r="S107" i="7"/>
  <c r="C107" i="7"/>
  <c r="T107" i="7"/>
  <c r="M110" i="6"/>
  <c r="J109" i="6"/>
  <c r="G109" i="6" s="1"/>
  <c r="E110" i="6"/>
  <c r="F110" i="6"/>
  <c r="C111" i="6"/>
  <c r="T110" i="6"/>
  <c r="E106" i="8" l="1"/>
  <c r="D110" i="7"/>
  <c r="M111" i="6"/>
  <c r="J110" i="6"/>
  <c r="G110" i="6" s="1"/>
  <c r="C107" i="8"/>
  <c r="Y107" i="7"/>
  <c r="Z107" i="7" s="1"/>
  <c r="AB107" i="7"/>
  <c r="K112" i="6"/>
  <c r="H111" i="6"/>
  <c r="O107" i="7"/>
  <c r="U107" i="7"/>
  <c r="I107" i="7"/>
  <c r="F107" i="8" s="1"/>
  <c r="L112" i="6"/>
  <c r="I111" i="6"/>
  <c r="D106" i="8"/>
  <c r="AA107" i="7"/>
  <c r="G107" i="8"/>
  <c r="L107" i="8" s="1"/>
  <c r="H107" i="8"/>
  <c r="I107" i="8"/>
  <c r="M107" i="8" s="1"/>
  <c r="J107" i="8"/>
  <c r="K107" i="8"/>
  <c r="N107" i="8" s="1"/>
  <c r="B109" i="7"/>
  <c r="B110" i="6"/>
  <c r="E111" i="6"/>
  <c r="F111" i="6"/>
  <c r="T111" i="6"/>
  <c r="C112" i="6"/>
  <c r="A108" i="8"/>
  <c r="C108" i="7"/>
  <c r="S108" i="7"/>
  <c r="E108" i="7"/>
  <c r="F108" i="7" s="1"/>
  <c r="N108" i="7"/>
  <c r="G108" i="7"/>
  <c r="P108" i="7"/>
  <c r="Q108" i="7" s="1"/>
  <c r="R108" i="7" s="1"/>
  <c r="H108" i="7"/>
  <c r="J108" i="7"/>
  <c r="K108" i="7" s="1"/>
  <c r="L108" i="7" s="1"/>
  <c r="T108" i="7"/>
  <c r="V108" i="7"/>
  <c r="W108" i="7" s="1"/>
  <c r="X108" i="7" s="1"/>
  <c r="M108" i="7"/>
  <c r="E107" i="8" l="1"/>
  <c r="M112" i="6"/>
  <c r="J111" i="6"/>
  <c r="G111" i="6" s="1"/>
  <c r="D111" i="7"/>
  <c r="T112" i="6"/>
  <c r="C113" i="6"/>
  <c r="I112" i="6"/>
  <c r="F112" i="6" s="1"/>
  <c r="L113" i="6"/>
  <c r="O108" i="7"/>
  <c r="U108" i="7"/>
  <c r="I108" i="7"/>
  <c r="B110" i="7"/>
  <c r="B111" i="6"/>
  <c r="D107" i="8"/>
  <c r="K113" i="6"/>
  <c r="H112" i="6"/>
  <c r="E112" i="6" s="1"/>
  <c r="A109" i="8"/>
  <c r="H109" i="7"/>
  <c r="P109" i="7"/>
  <c r="Q109" i="7" s="1"/>
  <c r="R109" i="7" s="1"/>
  <c r="E109" i="7"/>
  <c r="F109" i="7" s="1"/>
  <c r="N109" i="7"/>
  <c r="G109" i="7"/>
  <c r="T109" i="7"/>
  <c r="S109" i="7"/>
  <c r="V109" i="7"/>
  <c r="W109" i="7" s="1"/>
  <c r="X109" i="7" s="1"/>
  <c r="C109" i="7"/>
  <c r="J109" i="7"/>
  <c r="K109" i="7" s="1"/>
  <c r="L109" i="7" s="1"/>
  <c r="M109" i="7"/>
  <c r="C108" i="8"/>
  <c r="Y108" i="7"/>
  <c r="Z108" i="7" s="1"/>
  <c r="AA108" i="7" s="1"/>
  <c r="AB108" i="7"/>
  <c r="J108" i="8"/>
  <c r="K108" i="8"/>
  <c r="N108" i="8" s="1"/>
  <c r="F108" i="8"/>
  <c r="G108" i="8"/>
  <c r="L108" i="8" s="1"/>
  <c r="H108" i="8"/>
  <c r="I108" i="8"/>
  <c r="M108" i="8" s="1"/>
  <c r="D108" i="8" l="1"/>
  <c r="D112" i="7"/>
  <c r="G109" i="8"/>
  <c r="L109" i="8" s="1"/>
  <c r="I109" i="8"/>
  <c r="M109" i="8" s="1"/>
  <c r="K109" i="8"/>
  <c r="N109" i="8" s="1"/>
  <c r="K114" i="6"/>
  <c r="H113" i="6"/>
  <c r="E113" i="6" s="1"/>
  <c r="E108" i="8"/>
  <c r="J112" i="6"/>
  <c r="G112" i="6" s="1"/>
  <c r="M113" i="6"/>
  <c r="C109" i="8"/>
  <c r="E109" i="8" s="1"/>
  <c r="Y109" i="7"/>
  <c r="Z109" i="7" s="1"/>
  <c r="AA109" i="7" s="1"/>
  <c r="AB109" i="7"/>
  <c r="O109" i="7"/>
  <c r="H109" i="8" s="1"/>
  <c r="I109" i="7"/>
  <c r="F109" i="8" s="1"/>
  <c r="U109" i="7"/>
  <c r="J109" i="8" s="1"/>
  <c r="B111" i="7"/>
  <c r="B112" i="6"/>
  <c r="A110" i="8"/>
  <c r="E110" i="7"/>
  <c r="F110" i="7" s="1"/>
  <c r="M110" i="7"/>
  <c r="G110" i="7"/>
  <c r="P110" i="7"/>
  <c r="Q110" i="7" s="1"/>
  <c r="R110" i="7" s="1"/>
  <c r="H110" i="7"/>
  <c r="T110" i="7"/>
  <c r="N110" i="7"/>
  <c r="S110" i="7"/>
  <c r="V110" i="7"/>
  <c r="W110" i="7" s="1"/>
  <c r="X110" i="7" s="1"/>
  <c r="J110" i="7"/>
  <c r="K110" i="7" s="1"/>
  <c r="L110" i="7" s="1"/>
  <c r="C110" i="7"/>
  <c r="L114" i="6"/>
  <c r="I113" i="6"/>
  <c r="F113" i="6" s="1"/>
  <c r="C114" i="6"/>
  <c r="T113" i="6"/>
  <c r="D109" i="8" l="1"/>
  <c r="I114" i="6"/>
  <c r="F114" i="6" s="1"/>
  <c r="L115" i="6"/>
  <c r="D113" i="7"/>
  <c r="C110" i="8"/>
  <c r="Y110" i="7"/>
  <c r="Z110" i="7" s="1"/>
  <c r="AA110" i="7" s="1"/>
  <c r="AB110" i="7"/>
  <c r="H114" i="6"/>
  <c r="K115" i="6"/>
  <c r="I110" i="8"/>
  <c r="M110" i="8" s="1"/>
  <c r="K110" i="8"/>
  <c r="N110" i="8" s="1"/>
  <c r="G110" i="8"/>
  <c r="L110" i="8" s="1"/>
  <c r="B112" i="7"/>
  <c r="B113" i="6"/>
  <c r="J113" i="6"/>
  <c r="G113" i="6" s="1"/>
  <c r="M114" i="6"/>
  <c r="U110" i="7"/>
  <c r="J110" i="8" s="1"/>
  <c r="O110" i="7"/>
  <c r="H110" i="8" s="1"/>
  <c r="I110" i="7"/>
  <c r="F110" i="8" s="1"/>
  <c r="T114" i="6"/>
  <c r="E114" i="6"/>
  <c r="C115" i="6"/>
  <c r="A111" i="8"/>
  <c r="J111" i="7"/>
  <c r="K111" i="7" s="1"/>
  <c r="L111" i="7" s="1"/>
  <c r="G111" i="7"/>
  <c r="P111" i="7"/>
  <c r="Q111" i="7" s="1"/>
  <c r="R111" i="7" s="1"/>
  <c r="H111" i="7"/>
  <c r="S111" i="7"/>
  <c r="C111" i="7"/>
  <c r="M111" i="7"/>
  <c r="N111" i="7"/>
  <c r="T111" i="7"/>
  <c r="V111" i="7"/>
  <c r="W111" i="7" s="1"/>
  <c r="X111" i="7" s="1"/>
  <c r="E111" i="7"/>
  <c r="F111" i="7" s="1"/>
  <c r="J114" i="6" l="1"/>
  <c r="G114" i="6" s="1"/>
  <c r="M115" i="6"/>
  <c r="I115" i="6"/>
  <c r="F115" i="6" s="1"/>
  <c r="L116" i="6"/>
  <c r="D114" i="7"/>
  <c r="H115" i="6"/>
  <c r="K116" i="6"/>
  <c r="A112" i="8"/>
  <c r="G112" i="7"/>
  <c r="P112" i="7"/>
  <c r="Q112" i="7" s="1"/>
  <c r="R112" i="7" s="1"/>
  <c r="H112" i="7"/>
  <c r="J112" i="7"/>
  <c r="K112" i="7" s="1"/>
  <c r="L112" i="7" s="1"/>
  <c r="S112" i="7"/>
  <c r="C112" i="7"/>
  <c r="M112" i="7"/>
  <c r="N112" i="7"/>
  <c r="T112" i="7"/>
  <c r="V112" i="7"/>
  <c r="W112" i="7" s="1"/>
  <c r="X112" i="7" s="1"/>
  <c r="E112" i="7"/>
  <c r="F112" i="7" s="1"/>
  <c r="D110" i="8"/>
  <c r="B113" i="7"/>
  <c r="B114" i="6"/>
  <c r="C111" i="8"/>
  <c r="Y111" i="7"/>
  <c r="Z111" i="7" s="1"/>
  <c r="AA111" i="7" s="1"/>
  <c r="AB111" i="7"/>
  <c r="E110" i="8"/>
  <c r="T115" i="6"/>
  <c r="C116" i="6"/>
  <c r="E115" i="6"/>
  <c r="O111" i="7"/>
  <c r="I111" i="7"/>
  <c r="F111" i="8" s="1"/>
  <c r="U111" i="7"/>
  <c r="J111" i="8" s="1"/>
  <c r="K111" i="8"/>
  <c r="N111" i="8" s="1"/>
  <c r="G111" i="8"/>
  <c r="L111" i="8" s="1"/>
  <c r="H111" i="8"/>
  <c r="I111" i="8"/>
  <c r="M111" i="8" s="1"/>
  <c r="D111" i="8" l="1"/>
  <c r="O112" i="7"/>
  <c r="H112" i="8" s="1"/>
  <c r="I112" i="7"/>
  <c r="U112" i="7"/>
  <c r="J112" i="8" s="1"/>
  <c r="I116" i="6"/>
  <c r="L117" i="6"/>
  <c r="J115" i="6"/>
  <c r="G115" i="6" s="1"/>
  <c r="M116" i="6"/>
  <c r="F112" i="8"/>
  <c r="G112" i="8"/>
  <c r="L112" i="8" s="1"/>
  <c r="I112" i="8"/>
  <c r="M112" i="8" s="1"/>
  <c r="K112" i="8"/>
  <c r="N112" i="8" s="1"/>
  <c r="B114" i="7"/>
  <c r="B115" i="6"/>
  <c r="C112" i="8"/>
  <c r="Y112" i="7"/>
  <c r="Z112" i="7" s="1"/>
  <c r="AA112" i="7" s="1"/>
  <c r="AB112" i="7"/>
  <c r="H116" i="6"/>
  <c r="E116" i="6" s="1"/>
  <c r="K117" i="6"/>
  <c r="E111" i="8"/>
  <c r="T116" i="6"/>
  <c r="C117" i="6"/>
  <c r="F116" i="6"/>
  <c r="A113" i="8"/>
  <c r="T113" i="7"/>
  <c r="G113" i="7"/>
  <c r="P113" i="7"/>
  <c r="Q113" i="7" s="1"/>
  <c r="R113" i="7" s="1"/>
  <c r="H113" i="7"/>
  <c r="J113" i="7"/>
  <c r="K113" i="7" s="1"/>
  <c r="L113" i="7" s="1"/>
  <c r="S113" i="7"/>
  <c r="E113" i="7"/>
  <c r="F113" i="7" s="1"/>
  <c r="M113" i="7"/>
  <c r="C113" i="7"/>
  <c r="N113" i="7"/>
  <c r="V113" i="7"/>
  <c r="W113" i="7" s="1"/>
  <c r="X113" i="7" s="1"/>
  <c r="D115" i="7"/>
  <c r="D112" i="8" l="1"/>
  <c r="C113" i="8"/>
  <c r="AB113" i="7"/>
  <c r="Y113" i="7"/>
  <c r="Z113" i="7" s="1"/>
  <c r="AA113" i="7" s="1"/>
  <c r="I113" i="8"/>
  <c r="M113" i="8" s="1"/>
  <c r="K113" i="8"/>
  <c r="N113" i="8" s="1"/>
  <c r="G113" i="8"/>
  <c r="L113" i="8" s="1"/>
  <c r="H113" i="8"/>
  <c r="E112" i="8"/>
  <c r="D116" i="7"/>
  <c r="B115" i="7"/>
  <c r="B116" i="6"/>
  <c r="M117" i="6"/>
  <c r="J116" i="6"/>
  <c r="G116" i="6" s="1"/>
  <c r="A114" i="8"/>
  <c r="G114" i="7"/>
  <c r="P114" i="7"/>
  <c r="Q114" i="7" s="1"/>
  <c r="R114" i="7" s="1"/>
  <c r="H114" i="7"/>
  <c r="J114" i="7"/>
  <c r="K114" i="7" s="1"/>
  <c r="L114" i="7" s="1"/>
  <c r="S114" i="7"/>
  <c r="T114" i="7"/>
  <c r="N114" i="7"/>
  <c r="C114" i="7"/>
  <c r="V114" i="7"/>
  <c r="W114" i="7" s="1"/>
  <c r="X114" i="7" s="1"/>
  <c r="M114" i="7"/>
  <c r="E114" i="7"/>
  <c r="F114" i="7" s="1"/>
  <c r="I117" i="6"/>
  <c r="L118" i="6"/>
  <c r="I113" i="7"/>
  <c r="F113" i="8" s="1"/>
  <c r="U113" i="7"/>
  <c r="J113" i="8" s="1"/>
  <c r="O113" i="7"/>
  <c r="E117" i="6"/>
  <c r="F117" i="6"/>
  <c r="C118" i="6"/>
  <c r="T117" i="6"/>
  <c r="H117" i="6"/>
  <c r="K118" i="6"/>
  <c r="E113" i="8" l="1"/>
  <c r="D113" i="8"/>
  <c r="J117" i="6"/>
  <c r="G117" i="6" s="1"/>
  <c r="M118" i="6"/>
  <c r="H118" i="6"/>
  <c r="E118" i="6" s="1"/>
  <c r="K119" i="6"/>
  <c r="L119" i="6"/>
  <c r="I118" i="6"/>
  <c r="F118" i="6" s="1"/>
  <c r="B116" i="7"/>
  <c r="B117" i="6"/>
  <c r="C114" i="8"/>
  <c r="Y114" i="7"/>
  <c r="Z114" i="7" s="1"/>
  <c r="AA114" i="7" s="1"/>
  <c r="AB114" i="7"/>
  <c r="C119" i="6"/>
  <c r="T118" i="6"/>
  <c r="A115" i="8"/>
  <c r="N115" i="7"/>
  <c r="V115" i="7"/>
  <c r="W115" i="7" s="1"/>
  <c r="X115" i="7" s="1"/>
  <c r="H115" i="7"/>
  <c r="J115" i="7"/>
  <c r="K115" i="7" s="1"/>
  <c r="L115" i="7" s="1"/>
  <c r="S115" i="7"/>
  <c r="T115" i="7"/>
  <c r="E115" i="7"/>
  <c r="F115" i="7" s="1"/>
  <c r="G115" i="7"/>
  <c r="M115" i="7"/>
  <c r="C115" i="7"/>
  <c r="P115" i="7"/>
  <c r="Q115" i="7" s="1"/>
  <c r="R115" i="7" s="1"/>
  <c r="G114" i="8"/>
  <c r="L114" i="8" s="1"/>
  <c r="H114" i="8"/>
  <c r="I114" i="8"/>
  <c r="M114" i="8" s="1"/>
  <c r="J114" i="8"/>
  <c r="K114" i="8"/>
  <c r="N114" i="8" s="1"/>
  <c r="I114" i="7"/>
  <c r="F114" i="8" s="1"/>
  <c r="O114" i="7"/>
  <c r="U114" i="7"/>
  <c r="D117" i="7"/>
  <c r="D114" i="8" l="1"/>
  <c r="C115" i="8"/>
  <c r="AB115" i="7"/>
  <c r="Y115" i="7"/>
  <c r="Z115" i="7" s="1"/>
  <c r="AA115" i="7" s="1"/>
  <c r="M119" i="6"/>
  <c r="J118" i="6"/>
  <c r="G118" i="6" s="1"/>
  <c r="E114" i="8"/>
  <c r="I115" i="7"/>
  <c r="F115" i="8" s="1"/>
  <c r="U115" i="7"/>
  <c r="O115" i="7"/>
  <c r="B117" i="7"/>
  <c r="B118" i="6"/>
  <c r="A116" i="8"/>
  <c r="C116" i="7"/>
  <c r="S116" i="7"/>
  <c r="H116" i="7"/>
  <c r="J116" i="7"/>
  <c r="K116" i="7" s="1"/>
  <c r="L116" i="7" s="1"/>
  <c r="T116" i="7"/>
  <c r="M116" i="7"/>
  <c r="N116" i="7"/>
  <c r="P116" i="7"/>
  <c r="Q116" i="7" s="1"/>
  <c r="R116" i="7" s="1"/>
  <c r="G116" i="7"/>
  <c r="V116" i="7"/>
  <c r="W116" i="7" s="1"/>
  <c r="X116" i="7" s="1"/>
  <c r="E116" i="7"/>
  <c r="F116" i="7" s="1"/>
  <c r="G115" i="8"/>
  <c r="L115" i="8" s="1"/>
  <c r="H115" i="8"/>
  <c r="I115" i="8"/>
  <c r="M115" i="8" s="1"/>
  <c r="J115" i="8"/>
  <c r="K115" i="8"/>
  <c r="N115" i="8" s="1"/>
  <c r="F119" i="6"/>
  <c r="C120" i="6"/>
  <c r="T119" i="6"/>
  <c r="L120" i="6"/>
  <c r="I119" i="6"/>
  <c r="D118" i="7"/>
  <c r="K120" i="6"/>
  <c r="H119" i="6"/>
  <c r="E119" i="6" s="1"/>
  <c r="D115" i="8" l="1"/>
  <c r="C116" i="8"/>
  <c r="AB116" i="7"/>
  <c r="Y116" i="7"/>
  <c r="Z116" i="7" s="1"/>
  <c r="AA116" i="7" s="1"/>
  <c r="A117" i="8"/>
  <c r="H117" i="7"/>
  <c r="P117" i="7"/>
  <c r="Q117" i="7" s="1"/>
  <c r="R117" i="7" s="1"/>
  <c r="J117" i="7"/>
  <c r="K117" i="7" s="1"/>
  <c r="L117" i="7" s="1"/>
  <c r="S117" i="7"/>
  <c r="T117" i="7"/>
  <c r="M117" i="7"/>
  <c r="C117" i="7"/>
  <c r="N117" i="7"/>
  <c r="G117" i="7"/>
  <c r="V117" i="7"/>
  <c r="W117" i="7" s="1"/>
  <c r="X117" i="7" s="1"/>
  <c r="E117" i="7"/>
  <c r="F117" i="7" s="1"/>
  <c r="I116" i="7"/>
  <c r="O116" i="7"/>
  <c r="H116" i="8" s="1"/>
  <c r="U116" i="7"/>
  <c r="L121" i="6"/>
  <c r="I120" i="6"/>
  <c r="C121" i="6"/>
  <c r="E120" i="6"/>
  <c r="F120" i="6"/>
  <c r="T120" i="6"/>
  <c r="B118" i="7"/>
  <c r="B119" i="6"/>
  <c r="E115" i="8"/>
  <c r="K121" i="6"/>
  <c r="H120" i="6"/>
  <c r="D119" i="7"/>
  <c r="J116" i="8"/>
  <c r="K116" i="8"/>
  <c r="N116" i="8" s="1"/>
  <c r="F116" i="8"/>
  <c r="G116" i="8"/>
  <c r="L116" i="8" s="1"/>
  <c r="I116" i="8"/>
  <c r="M116" i="8" s="1"/>
  <c r="M120" i="6"/>
  <c r="J119" i="6"/>
  <c r="G119" i="6" s="1"/>
  <c r="D116" i="8" l="1"/>
  <c r="A118" i="8"/>
  <c r="E118" i="7"/>
  <c r="F118" i="7" s="1"/>
  <c r="M118" i="7"/>
  <c r="J118" i="7"/>
  <c r="K118" i="7" s="1"/>
  <c r="L118" i="7" s="1"/>
  <c r="S118" i="7"/>
  <c r="T118" i="7"/>
  <c r="H118" i="7"/>
  <c r="V118" i="7"/>
  <c r="W118" i="7" s="1"/>
  <c r="X118" i="7" s="1"/>
  <c r="N118" i="7"/>
  <c r="C118" i="7"/>
  <c r="G118" i="7"/>
  <c r="P118" i="7"/>
  <c r="Q118" i="7" s="1"/>
  <c r="R118" i="7" s="1"/>
  <c r="C117" i="8"/>
  <c r="AB117" i="7"/>
  <c r="Y117" i="7"/>
  <c r="Z117" i="7" s="1"/>
  <c r="AA117" i="7" s="1"/>
  <c r="E116" i="8"/>
  <c r="D120" i="7"/>
  <c r="B119" i="7"/>
  <c r="B120" i="6"/>
  <c r="L122" i="6"/>
  <c r="I121" i="6"/>
  <c r="F121" i="6" s="1"/>
  <c r="O117" i="7"/>
  <c r="H117" i="8" s="1"/>
  <c r="U117" i="7"/>
  <c r="I117" i="7"/>
  <c r="J120" i="6"/>
  <c r="G120" i="6" s="1"/>
  <c r="M121" i="6"/>
  <c r="T121" i="6"/>
  <c r="C122" i="6"/>
  <c r="K122" i="6"/>
  <c r="H121" i="6"/>
  <c r="E121" i="6" s="1"/>
  <c r="F117" i="8"/>
  <c r="G117" i="8"/>
  <c r="L117" i="8" s="1"/>
  <c r="I117" i="8"/>
  <c r="M117" i="8" s="1"/>
  <c r="J117" i="8"/>
  <c r="K117" i="8"/>
  <c r="N117" i="8" s="1"/>
  <c r="D117" i="8" l="1"/>
  <c r="A119" i="8"/>
  <c r="J119" i="7"/>
  <c r="K119" i="7" s="1"/>
  <c r="L119" i="7" s="1"/>
  <c r="T119" i="7"/>
  <c r="C119" i="7"/>
  <c r="G119" i="7"/>
  <c r="S119" i="7"/>
  <c r="H119" i="7"/>
  <c r="V119" i="7"/>
  <c r="W119" i="7" s="1"/>
  <c r="X119" i="7" s="1"/>
  <c r="E119" i="7"/>
  <c r="F119" i="7" s="1"/>
  <c r="M119" i="7"/>
  <c r="N119" i="7"/>
  <c r="P119" i="7"/>
  <c r="Q119" i="7" s="1"/>
  <c r="R119" i="7" s="1"/>
  <c r="D121" i="7"/>
  <c r="U118" i="7"/>
  <c r="I118" i="7"/>
  <c r="F118" i="8" s="1"/>
  <c r="O118" i="7"/>
  <c r="H118" i="8"/>
  <c r="I118" i="8"/>
  <c r="M118" i="8" s="1"/>
  <c r="J118" i="8"/>
  <c r="K118" i="8"/>
  <c r="N118" i="8" s="1"/>
  <c r="G118" i="8"/>
  <c r="L118" i="8" s="1"/>
  <c r="T122" i="6"/>
  <c r="C123" i="6"/>
  <c r="C118" i="8"/>
  <c r="AB118" i="7"/>
  <c r="Y118" i="7"/>
  <c r="Z118" i="7" s="1"/>
  <c r="AA118" i="7" s="1"/>
  <c r="I122" i="6"/>
  <c r="F122" i="6" s="1"/>
  <c r="L123" i="6"/>
  <c r="E117" i="8"/>
  <c r="M122" i="6"/>
  <c r="J121" i="6"/>
  <c r="G121" i="6" s="1"/>
  <c r="H122" i="6"/>
  <c r="E122" i="6" s="1"/>
  <c r="K123" i="6"/>
  <c r="B120" i="7"/>
  <c r="B121" i="6"/>
  <c r="D118" i="8" l="1"/>
  <c r="J122" i="6"/>
  <c r="G122" i="6" s="1"/>
  <c r="M123" i="6"/>
  <c r="C119" i="8"/>
  <c r="Y119" i="7"/>
  <c r="Z119" i="7" s="1"/>
  <c r="AA119" i="7" s="1"/>
  <c r="AB119" i="7"/>
  <c r="U119" i="7"/>
  <c r="J119" i="8" s="1"/>
  <c r="I119" i="7"/>
  <c r="O119" i="7"/>
  <c r="H119" i="8" s="1"/>
  <c r="K119" i="8"/>
  <c r="N119" i="8" s="1"/>
  <c r="F119" i="8"/>
  <c r="G119" i="8"/>
  <c r="L119" i="8" s="1"/>
  <c r="I119" i="8"/>
  <c r="M119" i="8" s="1"/>
  <c r="T123" i="6"/>
  <c r="C124" i="6"/>
  <c r="A120" i="8"/>
  <c r="G120" i="7"/>
  <c r="C120" i="7"/>
  <c r="N120" i="7"/>
  <c r="E120" i="7"/>
  <c r="F120" i="7" s="1"/>
  <c r="P120" i="7"/>
  <c r="Q120" i="7" s="1"/>
  <c r="R120" i="7" s="1"/>
  <c r="H120" i="7"/>
  <c r="J120" i="7"/>
  <c r="K120" i="7" s="1"/>
  <c r="L120" i="7" s="1"/>
  <c r="M120" i="7"/>
  <c r="S120" i="7"/>
  <c r="V120" i="7"/>
  <c r="W120" i="7" s="1"/>
  <c r="X120" i="7" s="1"/>
  <c r="T120" i="7"/>
  <c r="I123" i="6"/>
  <c r="F123" i="6" s="1"/>
  <c r="L124" i="6"/>
  <c r="B122" i="6"/>
  <c r="B121" i="7"/>
  <c r="H123" i="6"/>
  <c r="E123" i="6" s="1"/>
  <c r="K124" i="6"/>
  <c r="E118" i="8"/>
  <c r="D122" i="7"/>
  <c r="E119" i="8" l="1"/>
  <c r="T124" i="6"/>
  <c r="C125" i="6"/>
  <c r="J123" i="6"/>
  <c r="G123" i="6" s="1"/>
  <c r="M124" i="6"/>
  <c r="O120" i="7"/>
  <c r="U120" i="7"/>
  <c r="J120" i="8" s="1"/>
  <c r="I120" i="7"/>
  <c r="I124" i="6"/>
  <c r="F124" i="6" s="1"/>
  <c r="L125" i="6"/>
  <c r="D123" i="7"/>
  <c r="H124" i="6"/>
  <c r="E124" i="6" s="1"/>
  <c r="K125" i="6"/>
  <c r="D119" i="8"/>
  <c r="A121" i="8"/>
  <c r="T121" i="7"/>
  <c r="G121" i="7"/>
  <c r="P121" i="7"/>
  <c r="Q121" i="7" s="1"/>
  <c r="R121" i="7" s="1"/>
  <c r="H121" i="7"/>
  <c r="C121" i="7"/>
  <c r="M121" i="7"/>
  <c r="V121" i="7"/>
  <c r="W121" i="7" s="1"/>
  <c r="X121" i="7" s="1"/>
  <c r="E121" i="7"/>
  <c r="F121" i="7" s="1"/>
  <c r="J121" i="7"/>
  <c r="K121" i="7" s="1"/>
  <c r="L121" i="7" s="1"/>
  <c r="N121" i="7"/>
  <c r="S121" i="7"/>
  <c r="B122" i="7"/>
  <c r="B123" i="6"/>
  <c r="C120" i="8"/>
  <c r="Y120" i="7"/>
  <c r="Z120" i="7" s="1"/>
  <c r="AA120" i="7" s="1"/>
  <c r="AB120" i="7"/>
  <c r="F120" i="8"/>
  <c r="G120" i="8"/>
  <c r="L120" i="8" s="1"/>
  <c r="H120" i="8"/>
  <c r="I120" i="8"/>
  <c r="M120" i="8" s="1"/>
  <c r="K120" i="8"/>
  <c r="N120" i="8" s="1"/>
  <c r="D120" i="8" l="1"/>
  <c r="I125" i="6"/>
  <c r="F125" i="6" s="1"/>
  <c r="L126" i="6"/>
  <c r="O121" i="7"/>
  <c r="I121" i="7"/>
  <c r="U121" i="7"/>
  <c r="I121" i="8"/>
  <c r="M121" i="8" s="1"/>
  <c r="J121" i="8"/>
  <c r="K121" i="8"/>
  <c r="N121" i="8" s="1"/>
  <c r="F121" i="8"/>
  <c r="G121" i="8"/>
  <c r="L121" i="8" s="1"/>
  <c r="H121" i="8"/>
  <c r="C121" i="8"/>
  <c r="AB121" i="7"/>
  <c r="Y121" i="7"/>
  <c r="Z121" i="7" s="1"/>
  <c r="AA121" i="7" s="1"/>
  <c r="E120" i="8"/>
  <c r="B123" i="7"/>
  <c r="B124" i="6"/>
  <c r="H125" i="6"/>
  <c r="E125" i="6" s="1"/>
  <c r="K126" i="6"/>
  <c r="T125" i="6"/>
  <c r="C126" i="6"/>
  <c r="A122" i="8"/>
  <c r="G122" i="7"/>
  <c r="P122" i="7"/>
  <c r="Q122" i="7" s="1"/>
  <c r="R122" i="7" s="1"/>
  <c r="H122" i="7"/>
  <c r="J122" i="7"/>
  <c r="K122" i="7" s="1"/>
  <c r="L122" i="7" s="1"/>
  <c r="S122" i="7"/>
  <c r="M122" i="7"/>
  <c r="V122" i="7"/>
  <c r="W122" i="7" s="1"/>
  <c r="X122" i="7" s="1"/>
  <c r="C122" i="7"/>
  <c r="E122" i="7"/>
  <c r="F122" i="7" s="1"/>
  <c r="N122" i="7"/>
  <c r="T122" i="7"/>
  <c r="J124" i="6"/>
  <c r="G124" i="6" s="1"/>
  <c r="M125" i="6"/>
  <c r="D124" i="7"/>
  <c r="D121" i="8" l="1"/>
  <c r="I122" i="7"/>
  <c r="F122" i="8" s="1"/>
  <c r="O122" i="7"/>
  <c r="U122" i="7"/>
  <c r="J122" i="8" s="1"/>
  <c r="I126" i="6"/>
  <c r="L127" i="6"/>
  <c r="G122" i="8"/>
  <c r="L122" i="8" s="1"/>
  <c r="H122" i="8"/>
  <c r="I122" i="8"/>
  <c r="M122" i="8" s="1"/>
  <c r="K122" i="8"/>
  <c r="N122" i="8" s="1"/>
  <c r="B124" i="7"/>
  <c r="B125" i="6"/>
  <c r="D125" i="7"/>
  <c r="T126" i="6"/>
  <c r="E126" i="6"/>
  <c r="F126" i="6"/>
  <c r="C127" i="6"/>
  <c r="A123" i="8"/>
  <c r="N123" i="7"/>
  <c r="V123" i="7"/>
  <c r="W123" i="7" s="1"/>
  <c r="X123" i="7" s="1"/>
  <c r="G123" i="7"/>
  <c r="P123" i="7"/>
  <c r="Q123" i="7" s="1"/>
  <c r="R123" i="7" s="1"/>
  <c r="H123" i="7"/>
  <c r="J123" i="7"/>
  <c r="K123" i="7" s="1"/>
  <c r="L123" i="7" s="1"/>
  <c r="S123" i="7"/>
  <c r="M123" i="7"/>
  <c r="C123" i="7"/>
  <c r="E123" i="7"/>
  <c r="F123" i="7" s="1"/>
  <c r="T123" i="7"/>
  <c r="C122" i="8"/>
  <c r="E122" i="8" s="1"/>
  <c r="Y122" i="7"/>
  <c r="Z122" i="7" s="1"/>
  <c r="AA122" i="7" s="1"/>
  <c r="AB122" i="7"/>
  <c r="H126" i="6"/>
  <c r="K127" i="6"/>
  <c r="J125" i="6"/>
  <c r="G125" i="6" s="1"/>
  <c r="M126" i="6"/>
  <c r="E121" i="8"/>
  <c r="D122" i="8" l="1"/>
  <c r="M127" i="6"/>
  <c r="J126" i="6"/>
  <c r="G126" i="6" s="1"/>
  <c r="I123" i="7"/>
  <c r="F123" i="8" s="1"/>
  <c r="U123" i="7"/>
  <c r="O123" i="7"/>
  <c r="D126" i="7"/>
  <c r="K128" i="6"/>
  <c r="H127" i="6"/>
  <c r="C123" i="8"/>
  <c r="Y123" i="7"/>
  <c r="Z123" i="7" s="1"/>
  <c r="AA123" i="7" s="1"/>
  <c r="AB123" i="7"/>
  <c r="G123" i="8"/>
  <c r="L123" i="8" s="1"/>
  <c r="H123" i="8"/>
  <c r="I123" i="8"/>
  <c r="M123" i="8" s="1"/>
  <c r="J123" i="8"/>
  <c r="K123" i="8"/>
  <c r="N123" i="8" s="1"/>
  <c r="B125" i="7"/>
  <c r="B126" i="6"/>
  <c r="L128" i="6"/>
  <c r="I127" i="6"/>
  <c r="E127" i="6"/>
  <c r="F127" i="6"/>
  <c r="C128" i="6"/>
  <c r="T127" i="6"/>
  <c r="A124" i="8"/>
  <c r="C124" i="7"/>
  <c r="S124" i="7"/>
  <c r="G124" i="7"/>
  <c r="P124" i="7"/>
  <c r="Q124" i="7" s="1"/>
  <c r="R124" i="7" s="1"/>
  <c r="H124" i="7"/>
  <c r="J124" i="7"/>
  <c r="K124" i="7" s="1"/>
  <c r="L124" i="7" s="1"/>
  <c r="T124" i="7"/>
  <c r="E124" i="7"/>
  <c r="F124" i="7" s="1"/>
  <c r="N124" i="7"/>
  <c r="V124" i="7"/>
  <c r="W124" i="7" s="1"/>
  <c r="X124" i="7" s="1"/>
  <c r="M124" i="7"/>
  <c r="D123" i="8" l="1"/>
  <c r="E123" i="8"/>
  <c r="C129" i="6"/>
  <c r="T128" i="6"/>
  <c r="M128" i="6"/>
  <c r="J127" i="6"/>
  <c r="G127" i="6" s="1"/>
  <c r="H128" i="6"/>
  <c r="E128" i="6" s="1"/>
  <c r="K129" i="6"/>
  <c r="A125" i="8"/>
  <c r="H125" i="7"/>
  <c r="P125" i="7"/>
  <c r="Q125" i="7" s="1"/>
  <c r="R125" i="7" s="1"/>
  <c r="G125" i="7"/>
  <c r="J125" i="7"/>
  <c r="K125" i="7" s="1"/>
  <c r="L125" i="7" s="1"/>
  <c r="S125" i="7"/>
  <c r="T125" i="7"/>
  <c r="E125" i="7"/>
  <c r="F125" i="7" s="1"/>
  <c r="N125" i="7"/>
  <c r="V125" i="7"/>
  <c r="W125" i="7" s="1"/>
  <c r="X125" i="7" s="1"/>
  <c r="C125" i="7"/>
  <c r="M125" i="7"/>
  <c r="C124" i="8"/>
  <c r="Y124" i="7"/>
  <c r="Z124" i="7" s="1"/>
  <c r="AA124" i="7" s="1"/>
  <c r="AB124" i="7"/>
  <c r="D127" i="7"/>
  <c r="L129" i="6"/>
  <c r="I128" i="6"/>
  <c r="F128" i="6" s="1"/>
  <c r="I124" i="7"/>
  <c r="O124" i="7"/>
  <c r="U124" i="7"/>
  <c r="J124" i="8"/>
  <c r="F124" i="8"/>
  <c r="G124" i="8"/>
  <c r="L124" i="8" s="1"/>
  <c r="H124" i="8"/>
  <c r="I124" i="8"/>
  <c r="M124" i="8" s="1"/>
  <c r="K124" i="8"/>
  <c r="N124" i="8" s="1"/>
  <c r="B126" i="7"/>
  <c r="B127" i="6"/>
  <c r="D124" i="8" l="1"/>
  <c r="I125" i="7"/>
  <c r="U125" i="7"/>
  <c r="O125" i="7"/>
  <c r="H125" i="8" s="1"/>
  <c r="K130" i="6"/>
  <c r="H129" i="6"/>
  <c r="E129" i="6"/>
  <c r="C130" i="6"/>
  <c r="T129" i="6"/>
  <c r="D128" i="7"/>
  <c r="G125" i="8"/>
  <c r="L125" i="8" s="1"/>
  <c r="J125" i="8"/>
  <c r="I125" i="8"/>
  <c r="M125" i="8" s="1"/>
  <c r="K125" i="8"/>
  <c r="N125" i="8" s="1"/>
  <c r="F125" i="8"/>
  <c r="B127" i="7"/>
  <c r="B128" i="6"/>
  <c r="A126" i="8"/>
  <c r="E126" i="7"/>
  <c r="F126" i="7" s="1"/>
  <c r="M126" i="7"/>
  <c r="H126" i="7"/>
  <c r="J126" i="7"/>
  <c r="K126" i="7" s="1"/>
  <c r="L126" i="7" s="1"/>
  <c r="S126" i="7"/>
  <c r="T126" i="7"/>
  <c r="P126" i="7"/>
  <c r="Q126" i="7" s="1"/>
  <c r="R126" i="7" s="1"/>
  <c r="V126" i="7"/>
  <c r="W126" i="7" s="1"/>
  <c r="X126" i="7" s="1"/>
  <c r="C126" i="7"/>
  <c r="G126" i="7"/>
  <c r="N126" i="7"/>
  <c r="E124" i="8"/>
  <c r="M129" i="6"/>
  <c r="J128" i="6"/>
  <c r="G128" i="6" s="1"/>
  <c r="C125" i="8"/>
  <c r="AB125" i="7"/>
  <c r="Y125" i="7"/>
  <c r="Z125" i="7" s="1"/>
  <c r="AA125" i="7" s="1"/>
  <c r="L130" i="6"/>
  <c r="I129" i="6"/>
  <c r="F129" i="6" s="1"/>
  <c r="D125" i="8" l="1"/>
  <c r="T130" i="6"/>
  <c r="C131" i="6"/>
  <c r="M130" i="6"/>
  <c r="J129" i="6"/>
  <c r="G129" i="6" s="1"/>
  <c r="C126" i="8"/>
  <c r="AB126" i="7"/>
  <c r="Y126" i="7"/>
  <c r="Z126" i="7" s="1"/>
  <c r="AA126" i="7" s="1"/>
  <c r="U126" i="7"/>
  <c r="J126" i="8" s="1"/>
  <c r="I126" i="7"/>
  <c r="O126" i="7"/>
  <c r="A127" i="8"/>
  <c r="J127" i="7"/>
  <c r="K127" i="7" s="1"/>
  <c r="L127" i="7" s="1"/>
  <c r="H127" i="7"/>
  <c r="S127" i="7"/>
  <c r="T127" i="7"/>
  <c r="C127" i="7"/>
  <c r="N127" i="7"/>
  <c r="P127" i="7"/>
  <c r="Q127" i="7" s="1"/>
  <c r="R127" i="7" s="1"/>
  <c r="V127" i="7"/>
  <c r="W127" i="7" s="1"/>
  <c r="X127" i="7" s="1"/>
  <c r="G127" i="7"/>
  <c r="E127" i="7"/>
  <c r="F127" i="7" s="1"/>
  <c r="M127" i="7"/>
  <c r="L131" i="6"/>
  <c r="I130" i="6"/>
  <c r="F130" i="6" s="1"/>
  <c r="H126" i="8"/>
  <c r="K126" i="8"/>
  <c r="N126" i="8" s="1"/>
  <c r="F126" i="8"/>
  <c r="G126" i="8"/>
  <c r="L126" i="8" s="1"/>
  <c r="I126" i="8"/>
  <c r="M126" i="8" s="1"/>
  <c r="E125" i="8"/>
  <c r="B128" i="7"/>
  <c r="B129" i="6"/>
  <c r="D129" i="7"/>
  <c r="K131" i="6"/>
  <c r="H130" i="6"/>
  <c r="E130" i="6" s="1"/>
  <c r="D126" i="8" l="1"/>
  <c r="A128" i="8"/>
  <c r="G128" i="7"/>
  <c r="J128" i="7"/>
  <c r="K128" i="7" s="1"/>
  <c r="L128" i="7" s="1"/>
  <c r="S128" i="7"/>
  <c r="T128" i="7"/>
  <c r="C128" i="7"/>
  <c r="P128" i="7"/>
  <c r="Q128" i="7" s="1"/>
  <c r="R128" i="7" s="1"/>
  <c r="M128" i="7"/>
  <c r="N128" i="7"/>
  <c r="V128" i="7"/>
  <c r="W128" i="7" s="1"/>
  <c r="X128" i="7" s="1"/>
  <c r="E128" i="7"/>
  <c r="F128" i="7" s="1"/>
  <c r="H128" i="7"/>
  <c r="I131" i="6"/>
  <c r="L132" i="6"/>
  <c r="C127" i="8"/>
  <c r="AB127" i="7"/>
  <c r="Y127" i="7"/>
  <c r="Z127" i="7" s="1"/>
  <c r="AA127" i="7" s="1"/>
  <c r="I127" i="7"/>
  <c r="U127" i="7"/>
  <c r="J127" i="8" s="1"/>
  <c r="O127" i="7"/>
  <c r="E126" i="8"/>
  <c r="H131" i="6"/>
  <c r="K132" i="6"/>
  <c r="K127" i="8"/>
  <c r="N127" i="8" s="1"/>
  <c r="F127" i="8"/>
  <c r="H127" i="8"/>
  <c r="G127" i="8"/>
  <c r="L127" i="8" s="1"/>
  <c r="I127" i="8"/>
  <c r="M127" i="8" s="1"/>
  <c r="J130" i="6"/>
  <c r="G130" i="6" s="1"/>
  <c r="M131" i="6"/>
  <c r="D130" i="7"/>
  <c r="B129" i="7"/>
  <c r="B130" i="6"/>
  <c r="T131" i="6"/>
  <c r="F131" i="6"/>
  <c r="C132" i="6"/>
  <c r="E131" i="6"/>
  <c r="D127" i="8" l="1"/>
  <c r="B130" i="7"/>
  <c r="B131" i="6"/>
  <c r="C128" i="8"/>
  <c r="AB128" i="7"/>
  <c r="Y128" i="7"/>
  <c r="Z128" i="7" s="1"/>
  <c r="AA128" i="7" s="1"/>
  <c r="O128" i="7"/>
  <c r="H128" i="8" s="1"/>
  <c r="I128" i="7"/>
  <c r="U128" i="7"/>
  <c r="F128" i="8"/>
  <c r="I128" i="8"/>
  <c r="M128" i="8" s="1"/>
  <c r="K128" i="8"/>
  <c r="N128" i="8" s="1"/>
  <c r="G128" i="8"/>
  <c r="L128" i="8" s="1"/>
  <c r="J128" i="8"/>
  <c r="D131" i="7"/>
  <c r="T132" i="6"/>
  <c r="C133" i="6"/>
  <c r="J131" i="6"/>
  <c r="G131" i="6" s="1"/>
  <c r="M132" i="6"/>
  <c r="K133" i="6"/>
  <c r="H132" i="6"/>
  <c r="E132" i="6" s="1"/>
  <c r="E127" i="8"/>
  <c r="I132" i="6"/>
  <c r="F132" i="6" s="1"/>
  <c r="L133" i="6"/>
  <c r="A129" i="8"/>
  <c r="T129" i="7"/>
  <c r="J129" i="7"/>
  <c r="K129" i="7" s="1"/>
  <c r="L129" i="7" s="1"/>
  <c r="S129" i="7"/>
  <c r="C129" i="7"/>
  <c r="M129" i="7"/>
  <c r="V129" i="7"/>
  <c r="W129" i="7" s="1"/>
  <c r="X129" i="7" s="1"/>
  <c r="G129" i="7"/>
  <c r="P129" i="7"/>
  <c r="Q129" i="7" s="1"/>
  <c r="R129" i="7" s="1"/>
  <c r="H129" i="7"/>
  <c r="N129" i="7"/>
  <c r="E129" i="7"/>
  <c r="F129" i="7" s="1"/>
  <c r="C129" i="8" l="1"/>
  <c r="AB129" i="7"/>
  <c r="Y129" i="7"/>
  <c r="Z129" i="7" s="1"/>
  <c r="AA129" i="7" s="1"/>
  <c r="B131" i="7"/>
  <c r="B132" i="6"/>
  <c r="I129" i="7"/>
  <c r="U129" i="7"/>
  <c r="O129" i="7"/>
  <c r="H133" i="6"/>
  <c r="K134" i="6"/>
  <c r="D128" i="8"/>
  <c r="E128" i="8"/>
  <c r="J132" i="6"/>
  <c r="G132" i="6" s="1"/>
  <c r="M133" i="6"/>
  <c r="D132" i="7"/>
  <c r="A130" i="8"/>
  <c r="J130" i="7"/>
  <c r="K130" i="7" s="1"/>
  <c r="L130" i="7" s="1"/>
  <c r="S130" i="7"/>
  <c r="T130" i="7"/>
  <c r="C130" i="7"/>
  <c r="M130" i="7"/>
  <c r="V130" i="7"/>
  <c r="W130" i="7" s="1"/>
  <c r="X130" i="7" s="1"/>
  <c r="G130" i="7"/>
  <c r="P130" i="7"/>
  <c r="Q130" i="7" s="1"/>
  <c r="R130" i="7" s="1"/>
  <c r="H130" i="7"/>
  <c r="N130" i="7"/>
  <c r="E130" i="7"/>
  <c r="F130" i="7" s="1"/>
  <c r="I129" i="8"/>
  <c r="M129" i="8" s="1"/>
  <c r="K129" i="8"/>
  <c r="N129" i="8" s="1"/>
  <c r="F129" i="8"/>
  <c r="G129" i="8"/>
  <c r="L129" i="8" s="1"/>
  <c r="H129" i="8"/>
  <c r="J129" i="8"/>
  <c r="T133" i="6"/>
  <c r="C134" i="6"/>
  <c r="E133" i="6"/>
  <c r="I133" i="6"/>
  <c r="F133" i="6" s="1"/>
  <c r="L134" i="6"/>
  <c r="D129" i="8" l="1"/>
  <c r="A131" i="8"/>
  <c r="N131" i="7"/>
  <c r="V131" i="7"/>
  <c r="W131" i="7" s="1"/>
  <c r="X131" i="7" s="1"/>
  <c r="J131" i="7"/>
  <c r="K131" i="7" s="1"/>
  <c r="L131" i="7" s="1"/>
  <c r="S131" i="7"/>
  <c r="T131" i="7"/>
  <c r="C131" i="7"/>
  <c r="M131" i="7"/>
  <c r="H131" i="7"/>
  <c r="E131" i="7"/>
  <c r="F131" i="7" s="1"/>
  <c r="G131" i="7"/>
  <c r="P131" i="7"/>
  <c r="Q131" i="7" s="1"/>
  <c r="R131" i="7" s="1"/>
  <c r="G130" i="8"/>
  <c r="L130" i="8" s="1"/>
  <c r="I130" i="8"/>
  <c r="M130" i="8" s="1"/>
  <c r="H130" i="8"/>
  <c r="K130" i="8"/>
  <c r="N130" i="8" s="1"/>
  <c r="K135" i="6"/>
  <c r="H134" i="6"/>
  <c r="E134" i="6" s="1"/>
  <c r="L135" i="6"/>
  <c r="I134" i="6"/>
  <c r="F134" i="6" s="1"/>
  <c r="D133" i="7"/>
  <c r="E129" i="8"/>
  <c r="I130" i="7"/>
  <c r="F130" i="8" s="1"/>
  <c r="U130" i="7"/>
  <c r="J130" i="8" s="1"/>
  <c r="O130" i="7"/>
  <c r="B132" i="7"/>
  <c r="B133" i="6"/>
  <c r="C130" i="8"/>
  <c r="Y130" i="7"/>
  <c r="Z130" i="7" s="1"/>
  <c r="AA130" i="7" s="1"/>
  <c r="AB130" i="7"/>
  <c r="M134" i="6"/>
  <c r="J133" i="6"/>
  <c r="G133" i="6" s="1"/>
  <c r="C135" i="6"/>
  <c r="T134" i="6"/>
  <c r="E130" i="8" l="1"/>
  <c r="D130" i="8"/>
  <c r="U131" i="7"/>
  <c r="I131" i="7"/>
  <c r="O131" i="7"/>
  <c r="H131" i="8" s="1"/>
  <c r="K136" i="6"/>
  <c r="H135" i="6"/>
  <c r="C131" i="8"/>
  <c r="AB131" i="7"/>
  <c r="Y131" i="7"/>
  <c r="Z131" i="7" s="1"/>
  <c r="AA131" i="7" s="1"/>
  <c r="D134" i="7"/>
  <c r="B133" i="7"/>
  <c r="B134" i="6"/>
  <c r="M135" i="6"/>
  <c r="J134" i="6"/>
  <c r="G134" i="6" s="1"/>
  <c r="G131" i="8"/>
  <c r="L131" i="8" s="1"/>
  <c r="I131" i="8"/>
  <c r="M131" i="8" s="1"/>
  <c r="J131" i="8"/>
  <c r="K131" i="8"/>
  <c r="N131" i="8" s="1"/>
  <c r="F131" i="8"/>
  <c r="E135" i="6"/>
  <c r="C136" i="6"/>
  <c r="T135" i="6"/>
  <c r="A132" i="8"/>
  <c r="C132" i="7"/>
  <c r="S132" i="7"/>
  <c r="J132" i="7"/>
  <c r="K132" i="7" s="1"/>
  <c r="L132" i="7" s="1"/>
  <c r="T132" i="7"/>
  <c r="M132" i="7"/>
  <c r="V132" i="7"/>
  <c r="W132" i="7" s="1"/>
  <c r="X132" i="7" s="1"/>
  <c r="E132" i="7"/>
  <c r="F132" i="7" s="1"/>
  <c r="N132" i="7"/>
  <c r="H132" i="7"/>
  <c r="G132" i="7"/>
  <c r="P132" i="7"/>
  <c r="Q132" i="7" s="1"/>
  <c r="R132" i="7" s="1"/>
  <c r="L136" i="6"/>
  <c r="I135" i="6"/>
  <c r="F135" i="6" s="1"/>
  <c r="D131" i="8" l="1"/>
  <c r="U132" i="7"/>
  <c r="J132" i="8" s="1"/>
  <c r="I132" i="7"/>
  <c r="O132" i="7"/>
  <c r="H132" i="8" s="1"/>
  <c r="D135" i="7"/>
  <c r="A133" i="8"/>
  <c r="H133" i="7"/>
  <c r="P133" i="7"/>
  <c r="Q133" i="7" s="1"/>
  <c r="R133" i="7" s="1"/>
  <c r="T133" i="7"/>
  <c r="C133" i="7"/>
  <c r="M133" i="7"/>
  <c r="V133" i="7"/>
  <c r="W133" i="7" s="1"/>
  <c r="X133" i="7" s="1"/>
  <c r="E133" i="7"/>
  <c r="F133" i="7" s="1"/>
  <c r="N133" i="7"/>
  <c r="G133" i="7"/>
  <c r="S133" i="7"/>
  <c r="J133" i="7"/>
  <c r="K133" i="7" s="1"/>
  <c r="L133" i="7" s="1"/>
  <c r="G132" i="8"/>
  <c r="L132" i="8" s="1"/>
  <c r="F132" i="8"/>
  <c r="I132" i="8"/>
  <c r="M132" i="8" s="1"/>
  <c r="K132" i="8"/>
  <c r="N132" i="8" s="1"/>
  <c r="C132" i="8"/>
  <c r="Y132" i="7"/>
  <c r="Z132" i="7" s="1"/>
  <c r="AA132" i="7" s="1"/>
  <c r="AB132" i="7"/>
  <c r="I136" i="6"/>
  <c r="F136" i="6" s="1"/>
  <c r="L137" i="6"/>
  <c r="T136" i="6"/>
  <c r="C137" i="6"/>
  <c r="E136" i="6"/>
  <c r="E131" i="8"/>
  <c r="J135" i="6"/>
  <c r="G135" i="6" s="1"/>
  <c r="M136" i="6"/>
  <c r="B134" i="7"/>
  <c r="B135" i="6"/>
  <c r="K137" i="6"/>
  <c r="H136" i="6"/>
  <c r="E132" i="8" l="1"/>
  <c r="D132" i="8"/>
  <c r="C133" i="8"/>
  <c r="Y133" i="7"/>
  <c r="Z133" i="7" s="1"/>
  <c r="AA133" i="7" s="1"/>
  <c r="AB133" i="7"/>
  <c r="T137" i="6"/>
  <c r="C138" i="6"/>
  <c r="G133" i="8"/>
  <c r="L133" i="8" s="1"/>
  <c r="J133" i="8"/>
  <c r="I133" i="8"/>
  <c r="M133" i="8" s="1"/>
  <c r="K133" i="8"/>
  <c r="N133" i="8" s="1"/>
  <c r="U133" i="7"/>
  <c r="I133" i="7"/>
  <c r="F133" i="8" s="1"/>
  <c r="O133" i="7"/>
  <c r="H133" i="8" s="1"/>
  <c r="K138" i="6"/>
  <c r="H137" i="6"/>
  <c r="E137" i="6" s="1"/>
  <c r="B135" i="7"/>
  <c r="B136" i="6"/>
  <c r="A134" i="8"/>
  <c r="E134" i="7"/>
  <c r="F134" i="7" s="1"/>
  <c r="M134" i="7"/>
  <c r="T134" i="7"/>
  <c r="C134" i="7"/>
  <c r="V134" i="7"/>
  <c r="W134" i="7" s="1"/>
  <c r="X134" i="7" s="1"/>
  <c r="N134" i="7"/>
  <c r="S134" i="7"/>
  <c r="G134" i="7"/>
  <c r="P134" i="7"/>
  <c r="Q134" i="7" s="1"/>
  <c r="R134" i="7" s="1"/>
  <c r="H134" i="7"/>
  <c r="J134" i="7"/>
  <c r="K134" i="7" s="1"/>
  <c r="L134" i="7" s="1"/>
  <c r="J136" i="6"/>
  <c r="G136" i="6" s="1"/>
  <c r="M137" i="6"/>
  <c r="L138" i="6"/>
  <c r="I137" i="6"/>
  <c r="F137" i="6" s="1"/>
  <c r="D136" i="7"/>
  <c r="E133" i="8" l="1"/>
  <c r="D133" i="8"/>
  <c r="H138" i="6"/>
  <c r="K139" i="6"/>
  <c r="C134" i="8"/>
  <c r="Y134" i="7"/>
  <c r="Z134" i="7" s="1"/>
  <c r="AA134" i="7" s="1"/>
  <c r="AB134" i="7"/>
  <c r="T138" i="6"/>
  <c r="C139" i="6"/>
  <c r="E138" i="6"/>
  <c r="U134" i="7"/>
  <c r="J134" i="8" s="1"/>
  <c r="O134" i="7"/>
  <c r="I134" i="7"/>
  <c r="H134" i="8"/>
  <c r="F134" i="8"/>
  <c r="G134" i="8"/>
  <c r="L134" i="8" s="1"/>
  <c r="I134" i="8"/>
  <c r="M134" i="8" s="1"/>
  <c r="K134" i="8"/>
  <c r="N134" i="8" s="1"/>
  <c r="J137" i="6"/>
  <c r="G137" i="6" s="1"/>
  <c r="M138" i="6"/>
  <c r="B136" i="7"/>
  <c r="B137" i="6"/>
  <c r="D137" i="7"/>
  <c r="I138" i="6"/>
  <c r="F138" i="6" s="1"/>
  <c r="L139" i="6"/>
  <c r="A135" i="8"/>
  <c r="J135" i="7"/>
  <c r="K135" i="7" s="1"/>
  <c r="L135" i="7" s="1"/>
  <c r="C135" i="7"/>
  <c r="M135" i="7"/>
  <c r="V135" i="7"/>
  <c r="W135" i="7" s="1"/>
  <c r="X135" i="7" s="1"/>
  <c r="E135" i="7"/>
  <c r="F135" i="7" s="1"/>
  <c r="N135" i="7"/>
  <c r="S135" i="7"/>
  <c r="T135" i="7"/>
  <c r="H135" i="7"/>
  <c r="P135" i="7"/>
  <c r="Q135" i="7" s="1"/>
  <c r="R135" i="7" s="1"/>
  <c r="G135" i="7"/>
  <c r="E134" i="8" l="1"/>
  <c r="L140" i="6"/>
  <c r="I139" i="6"/>
  <c r="H139" i="6"/>
  <c r="E139" i="6" s="1"/>
  <c r="K140" i="6"/>
  <c r="F139" i="6"/>
  <c r="C140" i="6"/>
  <c r="T139" i="6"/>
  <c r="U135" i="7"/>
  <c r="O135" i="7"/>
  <c r="I135" i="7"/>
  <c r="F135" i="8" s="1"/>
  <c r="D134" i="8"/>
  <c r="C135" i="8"/>
  <c r="AB135" i="7"/>
  <c r="Y135" i="7"/>
  <c r="Z135" i="7" s="1"/>
  <c r="AA135" i="7" s="1"/>
  <c r="B137" i="7"/>
  <c r="B138" i="6"/>
  <c r="A136" i="8"/>
  <c r="G136" i="7"/>
  <c r="C136" i="7"/>
  <c r="M136" i="7"/>
  <c r="V136" i="7"/>
  <c r="W136" i="7" s="1"/>
  <c r="X136" i="7" s="1"/>
  <c r="E136" i="7"/>
  <c r="F136" i="7" s="1"/>
  <c r="N136" i="7"/>
  <c r="P136" i="7"/>
  <c r="Q136" i="7" s="1"/>
  <c r="R136" i="7" s="1"/>
  <c r="J136" i="7"/>
  <c r="K136" i="7" s="1"/>
  <c r="L136" i="7" s="1"/>
  <c r="S136" i="7"/>
  <c r="T136" i="7"/>
  <c r="H136" i="7"/>
  <c r="J138" i="6"/>
  <c r="G138" i="6" s="1"/>
  <c r="M139" i="6"/>
  <c r="D138" i="7"/>
  <c r="K135" i="8"/>
  <c r="N135" i="8" s="1"/>
  <c r="H135" i="8"/>
  <c r="G135" i="8"/>
  <c r="L135" i="8" s="1"/>
  <c r="I135" i="8"/>
  <c r="M135" i="8" s="1"/>
  <c r="J135" i="8"/>
  <c r="D135" i="8" l="1"/>
  <c r="K136" i="8"/>
  <c r="N136" i="8" s="1"/>
  <c r="G136" i="8"/>
  <c r="L136" i="8" s="1"/>
  <c r="I136" i="8"/>
  <c r="M136" i="8" s="1"/>
  <c r="K141" i="6"/>
  <c r="H140" i="6"/>
  <c r="E140" i="6" s="1"/>
  <c r="B138" i="7"/>
  <c r="B139" i="6"/>
  <c r="D139" i="7"/>
  <c r="A137" i="8"/>
  <c r="T137" i="7"/>
  <c r="C137" i="7"/>
  <c r="M137" i="7"/>
  <c r="V137" i="7"/>
  <c r="W137" i="7" s="1"/>
  <c r="X137" i="7" s="1"/>
  <c r="E137" i="7"/>
  <c r="F137" i="7" s="1"/>
  <c r="N137" i="7"/>
  <c r="G137" i="7"/>
  <c r="P137" i="7"/>
  <c r="Q137" i="7" s="1"/>
  <c r="R137" i="7" s="1"/>
  <c r="J137" i="7"/>
  <c r="K137" i="7" s="1"/>
  <c r="L137" i="7" s="1"/>
  <c r="S137" i="7"/>
  <c r="H137" i="7"/>
  <c r="M140" i="6"/>
  <c r="J139" i="6"/>
  <c r="G139" i="6" s="1"/>
  <c r="O136" i="7"/>
  <c r="H136" i="8" s="1"/>
  <c r="U136" i="7"/>
  <c r="J136" i="8" s="1"/>
  <c r="I136" i="7"/>
  <c r="F136" i="8" s="1"/>
  <c r="I140" i="6"/>
  <c r="F140" i="6" s="1"/>
  <c r="L141" i="6"/>
  <c r="C136" i="8"/>
  <c r="E136" i="8" s="1"/>
  <c r="Y136" i="7"/>
  <c r="Z136" i="7" s="1"/>
  <c r="AA136" i="7" s="1"/>
  <c r="AB136" i="7"/>
  <c r="E135" i="8"/>
  <c r="T140" i="6"/>
  <c r="C141" i="6"/>
  <c r="D136" i="8" l="1"/>
  <c r="D140" i="7"/>
  <c r="M141" i="6"/>
  <c r="J140" i="6"/>
  <c r="G140" i="6" s="1"/>
  <c r="A138" i="8"/>
  <c r="M138" i="7"/>
  <c r="V138" i="7"/>
  <c r="W138" i="7" s="1"/>
  <c r="X138" i="7" s="1"/>
  <c r="E138" i="7"/>
  <c r="F138" i="7" s="1"/>
  <c r="N138" i="7"/>
  <c r="G138" i="7"/>
  <c r="P138" i="7"/>
  <c r="Q138" i="7" s="1"/>
  <c r="R138" i="7" s="1"/>
  <c r="T138" i="7"/>
  <c r="J138" i="7"/>
  <c r="K138" i="7" s="1"/>
  <c r="L138" i="7" s="1"/>
  <c r="S138" i="7"/>
  <c r="C138" i="7"/>
  <c r="H138" i="7"/>
  <c r="O137" i="7"/>
  <c r="U137" i="7"/>
  <c r="I137" i="7"/>
  <c r="C137" i="8"/>
  <c r="AB137" i="7"/>
  <c r="Y137" i="7"/>
  <c r="Z137" i="7" s="1"/>
  <c r="AA137" i="7" s="1"/>
  <c r="K142" i="6"/>
  <c r="H141" i="6"/>
  <c r="E141" i="6" s="1"/>
  <c r="C142" i="6"/>
  <c r="T141" i="6"/>
  <c r="L142" i="6"/>
  <c r="I141" i="6"/>
  <c r="F141" i="6" s="1"/>
  <c r="I137" i="8"/>
  <c r="M137" i="8" s="1"/>
  <c r="K137" i="8"/>
  <c r="N137" i="8" s="1"/>
  <c r="F137" i="8"/>
  <c r="G137" i="8"/>
  <c r="L137" i="8" s="1"/>
  <c r="H137" i="8"/>
  <c r="J137" i="8"/>
  <c r="B139" i="7"/>
  <c r="B140" i="6"/>
  <c r="D137" i="8" l="1"/>
  <c r="D141" i="7"/>
  <c r="I138" i="7"/>
  <c r="F138" i="8" s="1"/>
  <c r="O138" i="7"/>
  <c r="U138" i="7"/>
  <c r="B140" i="7"/>
  <c r="B141" i="6"/>
  <c r="K143" i="6"/>
  <c r="H142" i="6"/>
  <c r="E142" i="6" s="1"/>
  <c r="L143" i="6"/>
  <c r="I142" i="6"/>
  <c r="F142" i="6" s="1"/>
  <c r="C138" i="8"/>
  <c r="Y138" i="7"/>
  <c r="Z138" i="7" s="1"/>
  <c r="AA138" i="7" s="1"/>
  <c r="AB138" i="7"/>
  <c r="I138" i="8"/>
  <c r="M138" i="8" s="1"/>
  <c r="G138" i="8"/>
  <c r="L138" i="8" s="1"/>
  <c r="H138" i="8"/>
  <c r="J138" i="8"/>
  <c r="K138" i="8"/>
  <c r="N138" i="8" s="1"/>
  <c r="T142" i="6"/>
  <c r="C143" i="6"/>
  <c r="M142" i="6"/>
  <c r="J141" i="6"/>
  <c r="G141" i="6" s="1"/>
  <c r="A139" i="8"/>
  <c r="N139" i="7"/>
  <c r="V139" i="7"/>
  <c r="W139" i="7" s="1"/>
  <c r="X139" i="7" s="1"/>
  <c r="M139" i="7"/>
  <c r="E139" i="7"/>
  <c r="F139" i="7" s="1"/>
  <c r="G139" i="7"/>
  <c r="P139" i="7"/>
  <c r="Q139" i="7" s="1"/>
  <c r="R139" i="7" s="1"/>
  <c r="H139" i="7"/>
  <c r="T139" i="7"/>
  <c r="J139" i="7"/>
  <c r="K139" i="7" s="1"/>
  <c r="L139" i="7" s="1"/>
  <c r="C139" i="7"/>
  <c r="S139" i="7"/>
  <c r="E137" i="8"/>
  <c r="D138" i="8" l="1"/>
  <c r="M143" i="6"/>
  <c r="J142" i="6"/>
  <c r="G142" i="6" s="1"/>
  <c r="I143" i="6"/>
  <c r="F143" i="6" s="1"/>
  <c r="L144" i="6"/>
  <c r="D142" i="7"/>
  <c r="T143" i="6"/>
  <c r="C144" i="6"/>
  <c r="O139" i="7"/>
  <c r="I139" i="7"/>
  <c r="U139" i="7"/>
  <c r="K144" i="6"/>
  <c r="H143" i="6"/>
  <c r="E143" i="6" s="1"/>
  <c r="B141" i="7"/>
  <c r="B142" i="6"/>
  <c r="C139" i="8"/>
  <c r="Y139" i="7"/>
  <c r="Z139" i="7" s="1"/>
  <c r="AA139" i="7" s="1"/>
  <c r="AB139" i="7"/>
  <c r="A140" i="8"/>
  <c r="C140" i="7"/>
  <c r="S140" i="7"/>
  <c r="E140" i="7"/>
  <c r="F140" i="7" s="1"/>
  <c r="N140" i="7"/>
  <c r="G140" i="7"/>
  <c r="P140" i="7"/>
  <c r="Q140" i="7" s="1"/>
  <c r="R140" i="7" s="1"/>
  <c r="H140" i="7"/>
  <c r="J140" i="7"/>
  <c r="K140" i="7" s="1"/>
  <c r="L140" i="7" s="1"/>
  <c r="M140" i="7"/>
  <c r="V140" i="7"/>
  <c r="W140" i="7" s="1"/>
  <c r="X140" i="7" s="1"/>
  <c r="T140" i="7"/>
  <c r="G139" i="8"/>
  <c r="L139" i="8" s="1"/>
  <c r="I139" i="8"/>
  <c r="M139" i="8" s="1"/>
  <c r="F139" i="8"/>
  <c r="H139" i="8"/>
  <c r="J139" i="8"/>
  <c r="K139" i="8"/>
  <c r="N139" i="8" s="1"/>
  <c r="E138" i="8"/>
  <c r="D139" i="8" l="1"/>
  <c r="E139" i="8"/>
  <c r="B142" i="7"/>
  <c r="B143" i="6"/>
  <c r="O140" i="7"/>
  <c r="U140" i="7"/>
  <c r="I140" i="7"/>
  <c r="A141" i="8"/>
  <c r="H141" i="7"/>
  <c r="P141" i="7"/>
  <c r="Q141" i="7" s="1"/>
  <c r="R141" i="7" s="1"/>
  <c r="E141" i="7"/>
  <c r="F141" i="7" s="1"/>
  <c r="N141" i="7"/>
  <c r="G141" i="7"/>
  <c r="C141" i="7"/>
  <c r="J141" i="7"/>
  <c r="K141" i="7" s="1"/>
  <c r="L141" i="7" s="1"/>
  <c r="T141" i="7"/>
  <c r="M141" i="7"/>
  <c r="S141" i="7"/>
  <c r="V141" i="7"/>
  <c r="W141" i="7" s="1"/>
  <c r="X141" i="7" s="1"/>
  <c r="J143" i="6"/>
  <c r="G143" i="6" s="1"/>
  <c r="M144" i="6"/>
  <c r="C145" i="6"/>
  <c r="T144" i="6"/>
  <c r="C140" i="8"/>
  <c r="Y140" i="7"/>
  <c r="Z140" i="7" s="1"/>
  <c r="AA140" i="7" s="1"/>
  <c r="AB140" i="7"/>
  <c r="K145" i="6"/>
  <c r="H144" i="6"/>
  <c r="E144" i="6" s="1"/>
  <c r="J140" i="8"/>
  <c r="G140" i="8"/>
  <c r="L140" i="8" s="1"/>
  <c r="F140" i="8"/>
  <c r="H140" i="8"/>
  <c r="I140" i="8"/>
  <c r="M140" i="8" s="1"/>
  <c r="K140" i="8"/>
  <c r="N140" i="8" s="1"/>
  <c r="D143" i="7"/>
  <c r="L145" i="6"/>
  <c r="I144" i="6"/>
  <c r="F144" i="6" s="1"/>
  <c r="D140" i="8" l="1"/>
  <c r="O141" i="7"/>
  <c r="I141" i="7"/>
  <c r="U141" i="7"/>
  <c r="J141" i="8" s="1"/>
  <c r="A142" i="8"/>
  <c r="E142" i="7"/>
  <c r="F142" i="7" s="1"/>
  <c r="M142" i="7"/>
  <c r="G142" i="7"/>
  <c r="P142" i="7"/>
  <c r="Q142" i="7" s="1"/>
  <c r="R142" i="7" s="1"/>
  <c r="H142" i="7"/>
  <c r="C142" i="7"/>
  <c r="V142" i="7"/>
  <c r="W142" i="7" s="1"/>
  <c r="X142" i="7" s="1"/>
  <c r="J142" i="7"/>
  <c r="K142" i="7" s="1"/>
  <c r="L142" i="7" s="1"/>
  <c r="S142" i="7"/>
  <c r="N142" i="7"/>
  <c r="T142" i="7"/>
  <c r="B143" i="7"/>
  <c r="B144" i="6"/>
  <c r="G141" i="8"/>
  <c r="L141" i="8" s="1"/>
  <c r="F141" i="8"/>
  <c r="H141" i="8"/>
  <c r="I141" i="8"/>
  <c r="M141" i="8" s="1"/>
  <c r="K141" i="8"/>
  <c r="N141" i="8" s="1"/>
  <c r="C141" i="8"/>
  <c r="Y141" i="7"/>
  <c r="Z141" i="7" s="1"/>
  <c r="AA141" i="7" s="1"/>
  <c r="AB141" i="7"/>
  <c r="I145" i="6"/>
  <c r="F145" i="6" s="1"/>
  <c r="L146" i="6"/>
  <c r="E140" i="8"/>
  <c r="T145" i="6"/>
  <c r="C146" i="6"/>
  <c r="D144" i="7"/>
  <c r="H145" i="6"/>
  <c r="E145" i="6" s="1"/>
  <c r="K146" i="6"/>
  <c r="J144" i="6"/>
  <c r="G144" i="6" s="1"/>
  <c r="M145" i="6"/>
  <c r="E141" i="8" l="1"/>
  <c r="B144" i="7"/>
  <c r="B145" i="6"/>
  <c r="J145" i="6"/>
  <c r="G145" i="6" s="1"/>
  <c r="M146" i="6"/>
  <c r="A143" i="8"/>
  <c r="J143" i="7"/>
  <c r="K143" i="7" s="1"/>
  <c r="L143" i="7" s="1"/>
  <c r="G143" i="7"/>
  <c r="P143" i="7"/>
  <c r="Q143" i="7" s="1"/>
  <c r="R143" i="7" s="1"/>
  <c r="H143" i="7"/>
  <c r="S143" i="7"/>
  <c r="M143" i="7"/>
  <c r="V143" i="7"/>
  <c r="W143" i="7" s="1"/>
  <c r="X143" i="7" s="1"/>
  <c r="C143" i="7"/>
  <c r="E143" i="7"/>
  <c r="F143" i="7" s="1"/>
  <c r="N143" i="7"/>
  <c r="T143" i="7"/>
  <c r="D141" i="8"/>
  <c r="C147" i="6"/>
  <c r="T146" i="6"/>
  <c r="H146" i="6"/>
  <c r="E146" i="6" s="1"/>
  <c r="K147" i="6"/>
  <c r="C142" i="8"/>
  <c r="Y142" i="7"/>
  <c r="Z142" i="7" s="1"/>
  <c r="AA142" i="7" s="1"/>
  <c r="AB142" i="7"/>
  <c r="U142" i="7"/>
  <c r="J142" i="8" s="1"/>
  <c r="O142" i="7"/>
  <c r="I142" i="7"/>
  <c r="D145" i="7"/>
  <c r="L147" i="6"/>
  <c r="I146" i="6"/>
  <c r="F146" i="6" s="1"/>
  <c r="H142" i="8"/>
  <c r="I142" i="8"/>
  <c r="M142" i="8" s="1"/>
  <c r="K142" i="8"/>
  <c r="N142" i="8" s="1"/>
  <c r="F142" i="8"/>
  <c r="G142" i="8"/>
  <c r="L142" i="8" s="1"/>
  <c r="K143" i="8" l="1"/>
  <c r="N143" i="8" s="1"/>
  <c r="F143" i="8"/>
  <c r="G143" i="8"/>
  <c r="L143" i="8" s="1"/>
  <c r="I143" i="8"/>
  <c r="M143" i="8" s="1"/>
  <c r="C148" i="6"/>
  <c r="T147" i="6"/>
  <c r="M147" i="6"/>
  <c r="J146" i="6"/>
  <c r="G146" i="6" s="1"/>
  <c r="C143" i="8"/>
  <c r="Y143" i="7"/>
  <c r="Z143" i="7" s="1"/>
  <c r="AA143" i="7" s="1"/>
  <c r="AB143" i="7"/>
  <c r="L148" i="6"/>
  <c r="I147" i="6"/>
  <c r="F147" i="6" s="1"/>
  <c r="E142" i="8"/>
  <c r="D142" i="8"/>
  <c r="B145" i="7"/>
  <c r="B146" i="6"/>
  <c r="K148" i="6"/>
  <c r="H147" i="6"/>
  <c r="E147" i="6" s="1"/>
  <c r="A144" i="8"/>
  <c r="G144" i="7"/>
  <c r="P144" i="7"/>
  <c r="Q144" i="7" s="1"/>
  <c r="R144" i="7" s="1"/>
  <c r="H144" i="7"/>
  <c r="J144" i="7"/>
  <c r="K144" i="7" s="1"/>
  <c r="L144" i="7" s="1"/>
  <c r="S144" i="7"/>
  <c r="M144" i="7"/>
  <c r="V144" i="7"/>
  <c r="W144" i="7" s="1"/>
  <c r="X144" i="7" s="1"/>
  <c r="T144" i="7"/>
  <c r="C144" i="7"/>
  <c r="E144" i="7"/>
  <c r="F144" i="7" s="1"/>
  <c r="N144" i="7"/>
  <c r="D146" i="7"/>
  <c r="O143" i="7"/>
  <c r="H143" i="8" s="1"/>
  <c r="I143" i="7"/>
  <c r="U143" i="7"/>
  <c r="J143" i="8" s="1"/>
  <c r="O144" i="7" l="1"/>
  <c r="I144" i="7"/>
  <c r="F144" i="8" s="1"/>
  <c r="U144" i="7"/>
  <c r="J147" i="6"/>
  <c r="G147" i="6" s="1"/>
  <c r="M148" i="6"/>
  <c r="L149" i="6"/>
  <c r="I148" i="6"/>
  <c r="F148" i="6" s="1"/>
  <c r="T148" i="6"/>
  <c r="C149" i="6"/>
  <c r="C144" i="8"/>
  <c r="Y144" i="7"/>
  <c r="Z144" i="7" s="1"/>
  <c r="AA144" i="7" s="1"/>
  <c r="AB144" i="7"/>
  <c r="K149" i="6"/>
  <c r="H148" i="6"/>
  <c r="E148" i="6" s="1"/>
  <c r="B146" i="7"/>
  <c r="B147" i="6"/>
  <c r="D143" i="8"/>
  <c r="J144" i="8"/>
  <c r="K144" i="8"/>
  <c r="N144" i="8" s="1"/>
  <c r="G144" i="8"/>
  <c r="L144" i="8" s="1"/>
  <c r="H144" i="8"/>
  <c r="I144" i="8"/>
  <c r="M144" i="8" s="1"/>
  <c r="D147" i="7"/>
  <c r="A145" i="8"/>
  <c r="T145" i="7"/>
  <c r="G145" i="7"/>
  <c r="P145" i="7"/>
  <c r="Q145" i="7" s="1"/>
  <c r="R145" i="7" s="1"/>
  <c r="H145" i="7"/>
  <c r="J145" i="7"/>
  <c r="K145" i="7" s="1"/>
  <c r="L145" i="7" s="1"/>
  <c r="S145" i="7"/>
  <c r="E145" i="7"/>
  <c r="F145" i="7" s="1"/>
  <c r="N145" i="7"/>
  <c r="V145" i="7"/>
  <c r="W145" i="7" s="1"/>
  <c r="X145" i="7" s="1"/>
  <c r="M145" i="7"/>
  <c r="C145" i="7"/>
  <c r="E143" i="8"/>
  <c r="E144" i="8" l="1"/>
  <c r="M149" i="6"/>
  <c r="J148" i="6"/>
  <c r="G148" i="6" s="1"/>
  <c r="I145" i="7"/>
  <c r="O145" i="7"/>
  <c r="U145" i="7"/>
  <c r="B147" i="7"/>
  <c r="B148" i="6"/>
  <c r="D148" i="7"/>
  <c r="C145" i="8"/>
  <c r="AB145" i="7"/>
  <c r="Y145" i="7"/>
  <c r="Z145" i="7" s="1"/>
  <c r="AA145" i="7" s="1"/>
  <c r="K150" i="6"/>
  <c r="H149" i="6"/>
  <c r="D144" i="8"/>
  <c r="A146" i="8"/>
  <c r="G146" i="7"/>
  <c r="P146" i="7"/>
  <c r="Q146" i="7" s="1"/>
  <c r="R146" i="7" s="1"/>
  <c r="H146" i="7"/>
  <c r="J146" i="7"/>
  <c r="K146" i="7" s="1"/>
  <c r="L146" i="7" s="1"/>
  <c r="S146" i="7"/>
  <c r="T146" i="7"/>
  <c r="E146" i="7"/>
  <c r="F146" i="7" s="1"/>
  <c r="N146" i="7"/>
  <c r="M146" i="7"/>
  <c r="V146" i="7"/>
  <c r="W146" i="7" s="1"/>
  <c r="X146" i="7" s="1"/>
  <c r="C146" i="7"/>
  <c r="T149" i="6"/>
  <c r="C150" i="6"/>
  <c r="E149" i="6"/>
  <c r="I145" i="8"/>
  <c r="M145" i="8" s="1"/>
  <c r="F145" i="8"/>
  <c r="G145" i="8"/>
  <c r="L145" i="8" s="1"/>
  <c r="H145" i="8"/>
  <c r="J145" i="8"/>
  <c r="K145" i="8"/>
  <c r="N145" i="8" s="1"/>
  <c r="I149" i="6"/>
  <c r="F149" i="6" s="1"/>
  <c r="L150" i="6"/>
  <c r="D145" i="8" l="1"/>
  <c r="H150" i="6"/>
  <c r="K151" i="6"/>
  <c r="E145" i="8"/>
  <c r="L151" i="6"/>
  <c r="I150" i="6"/>
  <c r="K146" i="8"/>
  <c r="N146" i="8" s="1"/>
  <c r="G146" i="8"/>
  <c r="L146" i="8" s="1"/>
  <c r="I146" i="8"/>
  <c r="M146" i="8" s="1"/>
  <c r="J146" i="8"/>
  <c r="D149" i="7"/>
  <c r="J149" i="6"/>
  <c r="G149" i="6" s="1"/>
  <c r="M150" i="6"/>
  <c r="C146" i="8"/>
  <c r="E146" i="8" s="1"/>
  <c r="Y146" i="7"/>
  <c r="Z146" i="7" s="1"/>
  <c r="AA146" i="7" s="1"/>
  <c r="AB146" i="7"/>
  <c r="I146" i="7"/>
  <c r="F146" i="8" s="1"/>
  <c r="O146" i="7"/>
  <c r="H146" i="8" s="1"/>
  <c r="U146" i="7"/>
  <c r="B148" i="7"/>
  <c r="B149" i="6"/>
  <c r="E150" i="6"/>
  <c r="T150" i="6"/>
  <c r="F150" i="6"/>
  <c r="C151" i="6"/>
  <c r="A147" i="8"/>
  <c r="N147" i="7"/>
  <c r="V147" i="7"/>
  <c r="W147" i="7" s="1"/>
  <c r="X147" i="7" s="1"/>
  <c r="H147" i="7"/>
  <c r="J147" i="7"/>
  <c r="K147" i="7" s="1"/>
  <c r="L147" i="7" s="1"/>
  <c r="S147" i="7"/>
  <c r="T147" i="7"/>
  <c r="E147" i="7"/>
  <c r="F147" i="7" s="1"/>
  <c r="M147" i="7"/>
  <c r="P147" i="7"/>
  <c r="Q147" i="7" s="1"/>
  <c r="R147" i="7" s="1"/>
  <c r="G147" i="7"/>
  <c r="C147" i="7"/>
  <c r="D146" i="8" l="1"/>
  <c r="K152" i="6"/>
  <c r="H151" i="6"/>
  <c r="B149" i="7"/>
  <c r="B150" i="6"/>
  <c r="M151" i="6"/>
  <c r="J150" i="6"/>
  <c r="G150" i="6" s="1"/>
  <c r="A148" i="8"/>
  <c r="C148" i="7"/>
  <c r="S148" i="7"/>
  <c r="H148" i="7"/>
  <c r="J148" i="7"/>
  <c r="K148" i="7" s="1"/>
  <c r="L148" i="7" s="1"/>
  <c r="T148" i="7"/>
  <c r="G148" i="7"/>
  <c r="M148" i="7"/>
  <c r="N148" i="7"/>
  <c r="V148" i="7"/>
  <c r="W148" i="7" s="1"/>
  <c r="X148" i="7" s="1"/>
  <c r="E148" i="7"/>
  <c r="F148" i="7" s="1"/>
  <c r="P148" i="7"/>
  <c r="Q148" i="7" s="1"/>
  <c r="R148" i="7" s="1"/>
  <c r="C147" i="8"/>
  <c r="AB147" i="7"/>
  <c r="Y147" i="7"/>
  <c r="Z147" i="7" s="1"/>
  <c r="AA147" i="7" s="1"/>
  <c r="G147" i="8"/>
  <c r="L147" i="8" s="1"/>
  <c r="H147" i="8"/>
  <c r="I147" i="8"/>
  <c r="M147" i="8" s="1"/>
  <c r="J147" i="8"/>
  <c r="K147" i="8"/>
  <c r="N147" i="8" s="1"/>
  <c r="F147" i="8"/>
  <c r="D150" i="7"/>
  <c r="I147" i="7"/>
  <c r="O147" i="7"/>
  <c r="U147" i="7"/>
  <c r="E151" i="6"/>
  <c r="F151" i="6"/>
  <c r="C152" i="6"/>
  <c r="T151" i="6"/>
  <c r="L152" i="6"/>
  <c r="I151" i="6"/>
  <c r="D147" i="8" l="1"/>
  <c r="A149" i="8"/>
  <c r="H149" i="7"/>
  <c r="P149" i="7"/>
  <c r="Q149" i="7" s="1"/>
  <c r="R149" i="7" s="1"/>
  <c r="J149" i="7"/>
  <c r="K149" i="7" s="1"/>
  <c r="L149" i="7" s="1"/>
  <c r="S149" i="7"/>
  <c r="T149" i="7"/>
  <c r="C149" i="7"/>
  <c r="V149" i="7"/>
  <c r="W149" i="7" s="1"/>
  <c r="X149" i="7" s="1"/>
  <c r="E149" i="7"/>
  <c r="F149" i="7" s="1"/>
  <c r="M149" i="7"/>
  <c r="G149" i="7"/>
  <c r="N149" i="7"/>
  <c r="I148" i="7"/>
  <c r="U148" i="7"/>
  <c r="O148" i="7"/>
  <c r="K153" i="6"/>
  <c r="H152" i="6"/>
  <c r="J148" i="8"/>
  <c r="F148" i="8"/>
  <c r="G148" i="8"/>
  <c r="L148" i="8" s="1"/>
  <c r="H148" i="8"/>
  <c r="I148" i="8"/>
  <c r="M148" i="8" s="1"/>
  <c r="K148" i="8"/>
  <c r="N148" i="8" s="1"/>
  <c r="C148" i="8"/>
  <c r="AB148" i="7"/>
  <c r="Y148" i="7"/>
  <c r="Z148" i="7" s="1"/>
  <c r="AA148" i="7" s="1"/>
  <c r="I152" i="6"/>
  <c r="F152" i="6" s="1"/>
  <c r="L153" i="6"/>
  <c r="M152" i="6"/>
  <c r="J151" i="6"/>
  <c r="G151" i="6" s="1"/>
  <c r="D151" i="7"/>
  <c r="C153" i="6"/>
  <c r="T152" i="6"/>
  <c r="E152" i="6"/>
  <c r="E147" i="8"/>
  <c r="B150" i="7"/>
  <c r="B151" i="6"/>
  <c r="E148" i="8" l="1"/>
  <c r="D148" i="8"/>
  <c r="C149" i="8"/>
  <c r="AB149" i="7"/>
  <c r="Y149" i="7"/>
  <c r="Z149" i="7" s="1"/>
  <c r="AA149" i="7" s="1"/>
  <c r="B151" i="7"/>
  <c r="B152" i="6"/>
  <c r="T153" i="6"/>
  <c r="C154" i="6"/>
  <c r="I149" i="7"/>
  <c r="U149" i="7"/>
  <c r="O149" i="7"/>
  <c r="I149" i="8"/>
  <c r="M149" i="8" s="1"/>
  <c r="J149" i="8"/>
  <c r="K149" i="8"/>
  <c r="N149" i="8" s="1"/>
  <c r="F149" i="8"/>
  <c r="G149" i="8"/>
  <c r="L149" i="8" s="1"/>
  <c r="H149" i="8"/>
  <c r="K154" i="6"/>
  <c r="H153" i="6"/>
  <c r="E153" i="6" s="1"/>
  <c r="A150" i="8"/>
  <c r="E150" i="7"/>
  <c r="F150" i="7" s="1"/>
  <c r="M150" i="7"/>
  <c r="J150" i="7"/>
  <c r="K150" i="7" s="1"/>
  <c r="L150" i="7" s="1"/>
  <c r="S150" i="7"/>
  <c r="T150" i="7"/>
  <c r="C150" i="7"/>
  <c r="V150" i="7"/>
  <c r="W150" i="7" s="1"/>
  <c r="X150" i="7" s="1"/>
  <c r="G150" i="7"/>
  <c r="H150" i="7"/>
  <c r="N150" i="7"/>
  <c r="P150" i="7"/>
  <c r="Q150" i="7" s="1"/>
  <c r="R150" i="7" s="1"/>
  <c r="D152" i="7"/>
  <c r="M153" i="6"/>
  <c r="J152" i="6"/>
  <c r="G152" i="6" s="1"/>
  <c r="I153" i="6"/>
  <c r="F153" i="6" s="1"/>
  <c r="L154" i="6"/>
  <c r="D149" i="8" l="1"/>
  <c r="E149" i="8"/>
  <c r="C150" i="8"/>
  <c r="AB150" i="7"/>
  <c r="Y150" i="7"/>
  <c r="Z150" i="7" s="1"/>
  <c r="AA150" i="7" s="1"/>
  <c r="T154" i="6"/>
  <c r="C155" i="6"/>
  <c r="G150" i="8"/>
  <c r="L150" i="8" s="1"/>
  <c r="I150" i="8"/>
  <c r="M150" i="8" s="1"/>
  <c r="K150" i="8"/>
  <c r="N150" i="8" s="1"/>
  <c r="J153" i="6"/>
  <c r="G153" i="6" s="1"/>
  <c r="M154" i="6"/>
  <c r="H154" i="6"/>
  <c r="E154" i="6" s="1"/>
  <c r="K155" i="6"/>
  <c r="I154" i="6"/>
  <c r="F154" i="6" s="1"/>
  <c r="L155" i="6"/>
  <c r="B152" i="7"/>
  <c r="B153" i="6"/>
  <c r="U150" i="7"/>
  <c r="J150" i="8" s="1"/>
  <c r="I150" i="7"/>
  <c r="F150" i="8" s="1"/>
  <c r="O150" i="7"/>
  <c r="H150" i="8" s="1"/>
  <c r="D153" i="7"/>
  <c r="A151" i="8"/>
  <c r="J151" i="7"/>
  <c r="K151" i="7" s="1"/>
  <c r="L151" i="7" s="1"/>
  <c r="S151" i="7"/>
  <c r="T151" i="7"/>
  <c r="C151" i="7"/>
  <c r="M151" i="7"/>
  <c r="V151" i="7"/>
  <c r="W151" i="7" s="1"/>
  <c r="X151" i="7" s="1"/>
  <c r="P151" i="7"/>
  <c r="Q151" i="7" s="1"/>
  <c r="R151" i="7" s="1"/>
  <c r="E151" i="7"/>
  <c r="F151" i="7" s="1"/>
  <c r="N151" i="7"/>
  <c r="G151" i="7"/>
  <c r="H151" i="7"/>
  <c r="K156" i="6" l="1"/>
  <c r="H155" i="6"/>
  <c r="E155" i="6" s="1"/>
  <c r="E150" i="8"/>
  <c r="M155" i="6"/>
  <c r="J154" i="6"/>
  <c r="G154" i="6" s="1"/>
  <c r="C156" i="6"/>
  <c r="T155" i="6"/>
  <c r="I151" i="7"/>
  <c r="F151" i="8" s="1"/>
  <c r="U151" i="7"/>
  <c r="O151" i="7"/>
  <c r="K151" i="8"/>
  <c r="N151" i="8" s="1"/>
  <c r="J151" i="8"/>
  <c r="G151" i="8"/>
  <c r="L151" i="8" s="1"/>
  <c r="H151" i="8"/>
  <c r="I151" i="8"/>
  <c r="M151" i="8" s="1"/>
  <c r="B153" i="7"/>
  <c r="B154" i="6"/>
  <c r="A152" i="8"/>
  <c r="G152" i="7"/>
  <c r="J152" i="7"/>
  <c r="K152" i="7" s="1"/>
  <c r="L152" i="7" s="1"/>
  <c r="S152" i="7"/>
  <c r="T152" i="7"/>
  <c r="C152" i="7"/>
  <c r="M152" i="7"/>
  <c r="V152" i="7"/>
  <c r="W152" i="7" s="1"/>
  <c r="X152" i="7" s="1"/>
  <c r="H152" i="7"/>
  <c r="N152" i="7"/>
  <c r="P152" i="7"/>
  <c r="Q152" i="7" s="1"/>
  <c r="R152" i="7" s="1"/>
  <c r="E152" i="7"/>
  <c r="F152" i="7" s="1"/>
  <c r="D150" i="8"/>
  <c r="D154" i="7"/>
  <c r="L156" i="6"/>
  <c r="I155" i="6"/>
  <c r="F155" i="6" s="1"/>
  <c r="C151" i="8"/>
  <c r="AB151" i="7"/>
  <c r="Y151" i="7"/>
  <c r="Z151" i="7" s="1"/>
  <c r="AA151" i="7" s="1"/>
  <c r="E151" i="8" l="1"/>
  <c r="G152" i="8"/>
  <c r="L152" i="8" s="1"/>
  <c r="I152" i="8"/>
  <c r="M152" i="8" s="1"/>
  <c r="K152" i="8"/>
  <c r="N152" i="8" s="1"/>
  <c r="T156" i="6"/>
  <c r="C157" i="6"/>
  <c r="H156" i="6"/>
  <c r="E156" i="6" s="1"/>
  <c r="K157" i="6"/>
  <c r="D155" i="7"/>
  <c r="C152" i="8"/>
  <c r="AB152" i="7"/>
  <c r="Y152" i="7"/>
  <c r="Z152" i="7" s="1"/>
  <c r="AA152" i="7" s="1"/>
  <c r="I156" i="6"/>
  <c r="F156" i="6" s="1"/>
  <c r="L157" i="6"/>
  <c r="D151" i="8"/>
  <c r="B154" i="7"/>
  <c r="B155" i="6"/>
  <c r="O152" i="7"/>
  <c r="H152" i="8" s="1"/>
  <c r="U152" i="7"/>
  <c r="J152" i="8" s="1"/>
  <c r="I152" i="7"/>
  <c r="F152" i="8" s="1"/>
  <c r="A153" i="8"/>
  <c r="T153" i="7"/>
  <c r="J153" i="7"/>
  <c r="K153" i="7" s="1"/>
  <c r="L153" i="7" s="1"/>
  <c r="S153" i="7"/>
  <c r="C153" i="7"/>
  <c r="M153" i="7"/>
  <c r="V153" i="7"/>
  <c r="W153" i="7" s="1"/>
  <c r="X153" i="7" s="1"/>
  <c r="E153" i="7"/>
  <c r="F153" i="7" s="1"/>
  <c r="N153" i="7"/>
  <c r="G153" i="7"/>
  <c r="P153" i="7"/>
  <c r="Q153" i="7" s="1"/>
  <c r="R153" i="7" s="1"/>
  <c r="H153" i="7"/>
  <c r="M156" i="6"/>
  <c r="J155" i="6"/>
  <c r="G155" i="6" s="1"/>
  <c r="D152" i="8" l="1"/>
  <c r="I157" i="6"/>
  <c r="L158" i="6"/>
  <c r="M157" i="6"/>
  <c r="J156" i="6"/>
  <c r="G156" i="6" s="1"/>
  <c r="B155" i="7"/>
  <c r="B156" i="6"/>
  <c r="E152" i="8"/>
  <c r="T157" i="6"/>
  <c r="F157" i="6"/>
  <c r="C158" i="6"/>
  <c r="A154" i="8"/>
  <c r="T154" i="7"/>
  <c r="C154" i="7"/>
  <c r="M154" i="7"/>
  <c r="V154" i="7"/>
  <c r="W154" i="7" s="1"/>
  <c r="X154" i="7" s="1"/>
  <c r="E154" i="7"/>
  <c r="F154" i="7" s="1"/>
  <c r="N154" i="7"/>
  <c r="H154" i="7"/>
  <c r="J154" i="7"/>
  <c r="K154" i="7" s="1"/>
  <c r="L154" i="7" s="1"/>
  <c r="P154" i="7"/>
  <c r="Q154" i="7" s="1"/>
  <c r="R154" i="7" s="1"/>
  <c r="S154" i="7"/>
  <c r="G154" i="7"/>
  <c r="U153" i="7"/>
  <c r="J153" i="8" s="1"/>
  <c r="O153" i="7"/>
  <c r="I153" i="7"/>
  <c r="D156" i="7"/>
  <c r="C153" i="8"/>
  <c r="AB153" i="7"/>
  <c r="Y153" i="7"/>
  <c r="Z153" i="7" s="1"/>
  <c r="AA153" i="7" s="1"/>
  <c r="I153" i="8"/>
  <c r="M153" i="8" s="1"/>
  <c r="F153" i="8"/>
  <c r="G153" i="8"/>
  <c r="L153" i="8" s="1"/>
  <c r="H153" i="8"/>
  <c r="K153" i="8"/>
  <c r="N153" i="8" s="1"/>
  <c r="K158" i="6"/>
  <c r="H157" i="6"/>
  <c r="E157" i="6" s="1"/>
  <c r="E153" i="8" l="1"/>
  <c r="D153" i="8"/>
  <c r="J157" i="6"/>
  <c r="G157" i="6" s="1"/>
  <c r="M158" i="6"/>
  <c r="C159" i="6"/>
  <c r="T158" i="6"/>
  <c r="I158" i="6"/>
  <c r="F158" i="6" s="1"/>
  <c r="L159" i="6"/>
  <c r="I154" i="8"/>
  <c r="M154" i="8" s="1"/>
  <c r="K154" i="8"/>
  <c r="N154" i="8" s="1"/>
  <c r="F154" i="8"/>
  <c r="G154" i="8"/>
  <c r="L154" i="8" s="1"/>
  <c r="I154" i="7"/>
  <c r="U154" i="7"/>
  <c r="J154" i="8" s="1"/>
  <c r="O154" i="7"/>
  <c r="H154" i="8" s="1"/>
  <c r="D157" i="7"/>
  <c r="C154" i="8"/>
  <c r="Y154" i="7"/>
  <c r="Z154" i="7" s="1"/>
  <c r="AA154" i="7" s="1"/>
  <c r="AB154" i="7"/>
  <c r="B156" i="7"/>
  <c r="B157" i="6"/>
  <c r="H158" i="6"/>
  <c r="E158" i="6" s="1"/>
  <c r="K159" i="6"/>
  <c r="A155" i="8"/>
  <c r="N155" i="7"/>
  <c r="V155" i="7"/>
  <c r="W155" i="7" s="1"/>
  <c r="X155" i="7" s="1"/>
  <c r="T155" i="7"/>
  <c r="C155" i="7"/>
  <c r="M155" i="7"/>
  <c r="E155" i="7"/>
  <c r="F155" i="7" s="1"/>
  <c r="S155" i="7"/>
  <c r="G155" i="7"/>
  <c r="H155" i="7"/>
  <c r="P155" i="7"/>
  <c r="Q155" i="7" s="1"/>
  <c r="R155" i="7" s="1"/>
  <c r="J155" i="7"/>
  <c r="K155" i="7" s="1"/>
  <c r="L155" i="7" s="1"/>
  <c r="D154" i="8" l="1"/>
  <c r="J158" i="6"/>
  <c r="G158" i="6" s="1"/>
  <c r="M159" i="6"/>
  <c r="B157" i="7"/>
  <c r="B158" i="6"/>
  <c r="L160" i="6"/>
  <c r="I159" i="6"/>
  <c r="F159" i="6" s="1"/>
  <c r="C155" i="8"/>
  <c r="Y155" i="7"/>
  <c r="Z155" i="7" s="1"/>
  <c r="AA155" i="7" s="1"/>
  <c r="AB155" i="7"/>
  <c r="A156" i="8"/>
  <c r="C156" i="7"/>
  <c r="S156" i="7"/>
  <c r="M156" i="7"/>
  <c r="V156" i="7"/>
  <c r="W156" i="7" s="1"/>
  <c r="X156" i="7" s="1"/>
  <c r="E156" i="7"/>
  <c r="F156" i="7" s="1"/>
  <c r="N156" i="7"/>
  <c r="J156" i="7"/>
  <c r="K156" i="7" s="1"/>
  <c r="L156" i="7" s="1"/>
  <c r="P156" i="7"/>
  <c r="Q156" i="7" s="1"/>
  <c r="R156" i="7" s="1"/>
  <c r="G156" i="7"/>
  <c r="H156" i="7"/>
  <c r="T156" i="7"/>
  <c r="D158" i="7"/>
  <c r="K155" i="8"/>
  <c r="N155" i="8" s="1"/>
  <c r="G155" i="8"/>
  <c r="L155" i="8" s="1"/>
  <c r="H155" i="8"/>
  <c r="I155" i="8"/>
  <c r="M155" i="8" s="1"/>
  <c r="H159" i="6"/>
  <c r="E159" i="6" s="1"/>
  <c r="K160" i="6"/>
  <c r="E154" i="8"/>
  <c r="C160" i="6"/>
  <c r="T159" i="6"/>
  <c r="U155" i="7"/>
  <c r="J155" i="8" s="1"/>
  <c r="O155" i="7"/>
  <c r="I155" i="7"/>
  <c r="F155" i="8" s="1"/>
  <c r="D155" i="8" l="1"/>
  <c r="A157" i="8"/>
  <c r="H157" i="7"/>
  <c r="P157" i="7"/>
  <c r="Q157" i="7" s="1"/>
  <c r="R157" i="7" s="1"/>
  <c r="C157" i="7"/>
  <c r="M157" i="7"/>
  <c r="V157" i="7"/>
  <c r="W157" i="7" s="1"/>
  <c r="X157" i="7" s="1"/>
  <c r="E157" i="7"/>
  <c r="F157" i="7" s="1"/>
  <c r="N157" i="7"/>
  <c r="S157" i="7"/>
  <c r="T157" i="7"/>
  <c r="G157" i="7"/>
  <c r="J157" i="7"/>
  <c r="K157" i="7" s="1"/>
  <c r="L157" i="7" s="1"/>
  <c r="C156" i="8"/>
  <c r="AB156" i="7"/>
  <c r="Y156" i="7"/>
  <c r="Z156" i="7" s="1"/>
  <c r="AA156" i="7" s="1"/>
  <c r="I160" i="6"/>
  <c r="F160" i="6" s="1"/>
  <c r="L161" i="6"/>
  <c r="J159" i="6"/>
  <c r="G159" i="6" s="1"/>
  <c r="M160" i="6"/>
  <c r="T160" i="6"/>
  <c r="C161" i="6"/>
  <c r="D159" i="7"/>
  <c r="F156" i="8"/>
  <c r="G156" i="8"/>
  <c r="L156" i="8" s="1"/>
  <c r="I156" i="8"/>
  <c r="M156" i="8" s="1"/>
  <c r="K156" i="8"/>
  <c r="N156" i="8" s="1"/>
  <c r="H160" i="6"/>
  <c r="E160" i="6" s="1"/>
  <c r="K161" i="6"/>
  <c r="U156" i="7"/>
  <c r="J156" i="8" s="1"/>
  <c r="O156" i="7"/>
  <c r="H156" i="8" s="1"/>
  <c r="I156" i="7"/>
  <c r="E155" i="8"/>
  <c r="B158" i="7"/>
  <c r="B159" i="6"/>
  <c r="D156" i="8" l="1"/>
  <c r="J160" i="6"/>
  <c r="G160" i="6" s="1"/>
  <c r="M161" i="6"/>
  <c r="H161" i="6"/>
  <c r="E161" i="6" s="1"/>
  <c r="K162" i="6"/>
  <c r="B159" i="7"/>
  <c r="B160" i="6"/>
  <c r="D160" i="7"/>
  <c r="L162" i="6"/>
  <c r="I161" i="6"/>
  <c r="F161" i="6" s="1"/>
  <c r="I157" i="8"/>
  <c r="M157" i="8" s="1"/>
  <c r="K157" i="8"/>
  <c r="N157" i="8" s="1"/>
  <c r="G157" i="8"/>
  <c r="L157" i="8" s="1"/>
  <c r="C162" i="6"/>
  <c r="T161" i="6"/>
  <c r="U157" i="7"/>
  <c r="J157" i="8" s="1"/>
  <c r="O157" i="7"/>
  <c r="H157" i="8" s="1"/>
  <c r="I157" i="7"/>
  <c r="F157" i="8" s="1"/>
  <c r="E156" i="8"/>
  <c r="C157" i="8"/>
  <c r="Y157" i="7"/>
  <c r="Z157" i="7" s="1"/>
  <c r="AA157" i="7" s="1"/>
  <c r="AB157" i="7"/>
  <c r="A158" i="8"/>
  <c r="E158" i="7"/>
  <c r="F158" i="7" s="1"/>
  <c r="M158" i="7"/>
  <c r="C158" i="7"/>
  <c r="V158" i="7"/>
  <c r="W158" i="7" s="1"/>
  <c r="X158" i="7" s="1"/>
  <c r="N158" i="7"/>
  <c r="G158" i="7"/>
  <c r="P158" i="7"/>
  <c r="Q158" i="7" s="1"/>
  <c r="R158" i="7" s="1"/>
  <c r="J158" i="7"/>
  <c r="K158" i="7" s="1"/>
  <c r="L158" i="7" s="1"/>
  <c r="H158" i="7"/>
  <c r="T158" i="7"/>
  <c r="S158" i="7"/>
  <c r="D157" i="8" l="1"/>
  <c r="J161" i="6"/>
  <c r="G161" i="6" s="1"/>
  <c r="M162" i="6"/>
  <c r="C158" i="8"/>
  <c r="Y158" i="7"/>
  <c r="Z158" i="7" s="1"/>
  <c r="AA158" i="7" s="1"/>
  <c r="AB158" i="7"/>
  <c r="G158" i="8"/>
  <c r="L158" i="8" s="1"/>
  <c r="I158" i="8"/>
  <c r="M158" i="8" s="1"/>
  <c r="J158" i="8"/>
  <c r="K158" i="8"/>
  <c r="N158" i="8" s="1"/>
  <c r="U158" i="7"/>
  <c r="O158" i="7"/>
  <c r="H158" i="8" s="1"/>
  <c r="I158" i="7"/>
  <c r="F158" i="8" s="1"/>
  <c r="E157" i="8"/>
  <c r="T162" i="6"/>
  <c r="C163" i="6"/>
  <c r="B160" i="7"/>
  <c r="B161" i="6"/>
  <c r="D161" i="7"/>
  <c r="I162" i="6"/>
  <c r="F162" i="6" s="1"/>
  <c r="L163" i="6"/>
  <c r="A159" i="8"/>
  <c r="J159" i="7"/>
  <c r="K159" i="7" s="1"/>
  <c r="L159" i="7" s="1"/>
  <c r="M159" i="7"/>
  <c r="V159" i="7"/>
  <c r="W159" i="7" s="1"/>
  <c r="X159" i="7" s="1"/>
  <c r="E159" i="7"/>
  <c r="F159" i="7" s="1"/>
  <c r="N159" i="7"/>
  <c r="G159" i="7"/>
  <c r="P159" i="7"/>
  <c r="Q159" i="7" s="1"/>
  <c r="R159" i="7" s="1"/>
  <c r="T159" i="7"/>
  <c r="C159" i="7"/>
  <c r="H159" i="7"/>
  <c r="S159" i="7"/>
  <c r="H162" i="6"/>
  <c r="E162" i="6" s="1"/>
  <c r="K163" i="6"/>
  <c r="E158" i="8" l="1"/>
  <c r="J162" i="6"/>
  <c r="G162" i="6" s="1"/>
  <c r="M163" i="6"/>
  <c r="O159" i="7"/>
  <c r="H159" i="8" s="1"/>
  <c r="U159" i="7"/>
  <c r="I159" i="7"/>
  <c r="F159" i="8" s="1"/>
  <c r="G159" i="8"/>
  <c r="L159" i="8" s="1"/>
  <c r="I159" i="8"/>
  <c r="M159" i="8" s="1"/>
  <c r="J159" i="8"/>
  <c r="K159" i="8"/>
  <c r="N159" i="8" s="1"/>
  <c r="D158" i="8"/>
  <c r="B161" i="7"/>
  <c r="B162" i="6"/>
  <c r="A160" i="8"/>
  <c r="G160" i="7"/>
  <c r="M160" i="7"/>
  <c r="V160" i="7"/>
  <c r="W160" i="7" s="1"/>
  <c r="X160" i="7" s="1"/>
  <c r="E160" i="7"/>
  <c r="F160" i="7" s="1"/>
  <c r="N160" i="7"/>
  <c r="P160" i="7"/>
  <c r="Q160" i="7" s="1"/>
  <c r="R160" i="7" s="1"/>
  <c r="J160" i="7"/>
  <c r="K160" i="7" s="1"/>
  <c r="L160" i="7" s="1"/>
  <c r="H160" i="7"/>
  <c r="T160" i="7"/>
  <c r="S160" i="7"/>
  <c r="C160" i="7"/>
  <c r="D162" i="7"/>
  <c r="C159" i="8"/>
  <c r="Y159" i="7"/>
  <c r="Z159" i="7" s="1"/>
  <c r="AA159" i="7" s="1"/>
  <c r="AB159" i="7"/>
  <c r="L164" i="6"/>
  <c r="I163" i="6"/>
  <c r="H163" i="6"/>
  <c r="E163" i="6" s="1"/>
  <c r="K164" i="6"/>
  <c r="F163" i="6"/>
  <c r="C164" i="6"/>
  <c r="T163" i="6"/>
  <c r="E159" i="8" l="1"/>
  <c r="D159" i="8"/>
  <c r="K160" i="8"/>
  <c r="N160" i="8" s="1"/>
  <c r="F160" i="8"/>
  <c r="G160" i="8"/>
  <c r="L160" i="8" s="1"/>
  <c r="I160" i="8"/>
  <c r="M160" i="8" s="1"/>
  <c r="H160" i="8"/>
  <c r="J163" i="6"/>
  <c r="G163" i="6" s="1"/>
  <c r="M164" i="6"/>
  <c r="L165" i="6"/>
  <c r="I164" i="6"/>
  <c r="F164" i="6" s="1"/>
  <c r="C165" i="6"/>
  <c r="T164" i="6"/>
  <c r="O160" i="7"/>
  <c r="U160" i="7"/>
  <c r="J160" i="8" s="1"/>
  <c r="I160" i="7"/>
  <c r="D163" i="7"/>
  <c r="H164" i="6"/>
  <c r="E164" i="6" s="1"/>
  <c r="K165" i="6"/>
  <c r="B162" i="7"/>
  <c r="B163" i="6"/>
  <c r="C160" i="8"/>
  <c r="E160" i="8" s="1"/>
  <c r="Y160" i="7"/>
  <c r="Z160" i="7" s="1"/>
  <c r="AA160" i="7" s="1"/>
  <c r="AB160" i="7"/>
  <c r="A161" i="8"/>
  <c r="T161" i="7"/>
  <c r="E161" i="7"/>
  <c r="F161" i="7" s="1"/>
  <c r="N161" i="7"/>
  <c r="G161" i="7"/>
  <c r="P161" i="7"/>
  <c r="Q161" i="7" s="1"/>
  <c r="R161" i="7" s="1"/>
  <c r="M161" i="7"/>
  <c r="V161" i="7"/>
  <c r="W161" i="7" s="1"/>
  <c r="X161" i="7" s="1"/>
  <c r="C161" i="7"/>
  <c r="S161" i="7"/>
  <c r="H161" i="7"/>
  <c r="J161" i="7"/>
  <c r="K161" i="7" s="1"/>
  <c r="L161" i="7" s="1"/>
  <c r="D160" i="8" l="1"/>
  <c r="L166" i="6"/>
  <c r="I165" i="6"/>
  <c r="F161" i="8"/>
  <c r="G161" i="8"/>
  <c r="L161" i="8" s="1"/>
  <c r="I161" i="8"/>
  <c r="M161" i="8" s="1"/>
  <c r="K161" i="8"/>
  <c r="N161" i="8" s="1"/>
  <c r="B163" i="7"/>
  <c r="B164" i="6"/>
  <c r="J164" i="6"/>
  <c r="G164" i="6" s="1"/>
  <c r="M165" i="6"/>
  <c r="A162" i="8"/>
  <c r="E162" i="7"/>
  <c r="F162" i="7" s="1"/>
  <c r="N162" i="7"/>
  <c r="G162" i="7"/>
  <c r="M162" i="7"/>
  <c r="P162" i="7"/>
  <c r="Q162" i="7" s="1"/>
  <c r="R162" i="7" s="1"/>
  <c r="C162" i="7"/>
  <c r="S162" i="7"/>
  <c r="V162" i="7"/>
  <c r="W162" i="7" s="1"/>
  <c r="X162" i="7" s="1"/>
  <c r="H162" i="7"/>
  <c r="J162" i="7"/>
  <c r="K162" i="7" s="1"/>
  <c r="L162" i="7" s="1"/>
  <c r="T162" i="7"/>
  <c r="F165" i="6"/>
  <c r="C166" i="6"/>
  <c r="T165" i="6"/>
  <c r="C161" i="8"/>
  <c r="E161" i="8" s="1"/>
  <c r="AB161" i="7"/>
  <c r="Y161" i="7"/>
  <c r="Z161" i="7" s="1"/>
  <c r="AA161" i="7" s="1"/>
  <c r="H165" i="6"/>
  <c r="E165" i="6" s="1"/>
  <c r="K166" i="6"/>
  <c r="O161" i="7"/>
  <c r="H161" i="8" s="1"/>
  <c r="I161" i="7"/>
  <c r="U161" i="7"/>
  <c r="J161" i="8" s="1"/>
  <c r="D164" i="7"/>
  <c r="D161" i="8" l="1"/>
  <c r="I162" i="7"/>
  <c r="O162" i="7"/>
  <c r="H162" i="8" s="1"/>
  <c r="U162" i="7"/>
  <c r="I162" i="8"/>
  <c r="M162" i="8" s="1"/>
  <c r="J162" i="8"/>
  <c r="K162" i="8"/>
  <c r="N162" i="8" s="1"/>
  <c r="F162" i="8"/>
  <c r="G162" i="8"/>
  <c r="L162" i="8" s="1"/>
  <c r="A163" i="8"/>
  <c r="N163" i="7"/>
  <c r="V163" i="7"/>
  <c r="W163" i="7" s="1"/>
  <c r="X163" i="7" s="1"/>
  <c r="H163" i="7"/>
  <c r="J163" i="7"/>
  <c r="K163" i="7" s="1"/>
  <c r="L163" i="7" s="1"/>
  <c r="S163" i="7"/>
  <c r="T163" i="7"/>
  <c r="E163" i="7"/>
  <c r="F163" i="7" s="1"/>
  <c r="G163" i="7"/>
  <c r="M163" i="7"/>
  <c r="C163" i="7"/>
  <c r="P163" i="7"/>
  <c r="Q163" i="7" s="1"/>
  <c r="R163" i="7" s="1"/>
  <c r="I166" i="6"/>
  <c r="F166" i="6" s="1"/>
  <c r="L167" i="6"/>
  <c r="B164" i="7"/>
  <c r="B165" i="6"/>
  <c r="J165" i="6"/>
  <c r="G165" i="6" s="1"/>
  <c r="M166" i="6"/>
  <c r="C162" i="8"/>
  <c r="E162" i="8" s="1"/>
  <c r="Y162" i="7"/>
  <c r="Z162" i="7" s="1"/>
  <c r="AA162" i="7" s="1"/>
  <c r="AB162" i="7"/>
  <c r="H166" i="6"/>
  <c r="E166" i="6" s="1"/>
  <c r="K167" i="6"/>
  <c r="T166" i="6"/>
  <c r="C167" i="6"/>
  <c r="D165" i="7"/>
  <c r="D162" i="8" l="1"/>
  <c r="B165" i="7"/>
  <c r="B166" i="6"/>
  <c r="I163" i="7"/>
  <c r="O163" i="7"/>
  <c r="U163" i="7"/>
  <c r="K163" i="8"/>
  <c r="N163" i="8" s="1"/>
  <c r="F163" i="8"/>
  <c r="G163" i="8"/>
  <c r="L163" i="8" s="1"/>
  <c r="H163" i="8"/>
  <c r="I163" i="8"/>
  <c r="M163" i="8" s="1"/>
  <c r="J163" i="8"/>
  <c r="C168" i="6"/>
  <c r="T167" i="6"/>
  <c r="D166" i="7"/>
  <c r="A164" i="8"/>
  <c r="C164" i="7"/>
  <c r="S164" i="7"/>
  <c r="H164" i="7"/>
  <c r="J164" i="7"/>
  <c r="K164" i="7" s="1"/>
  <c r="L164" i="7" s="1"/>
  <c r="T164" i="7"/>
  <c r="E164" i="7"/>
  <c r="F164" i="7" s="1"/>
  <c r="G164" i="7"/>
  <c r="M164" i="7"/>
  <c r="V164" i="7"/>
  <c r="W164" i="7" s="1"/>
  <c r="X164" i="7" s="1"/>
  <c r="N164" i="7"/>
  <c r="P164" i="7"/>
  <c r="Q164" i="7" s="1"/>
  <c r="R164" i="7" s="1"/>
  <c r="L168" i="6"/>
  <c r="I167" i="6"/>
  <c r="F167" i="6" s="1"/>
  <c r="J166" i="6"/>
  <c r="G166" i="6" s="1"/>
  <c r="M167" i="6"/>
  <c r="K168" i="6"/>
  <c r="H167" i="6"/>
  <c r="E167" i="6" s="1"/>
  <c r="C163" i="8"/>
  <c r="E163" i="8" s="1"/>
  <c r="AB163" i="7"/>
  <c r="Y163" i="7"/>
  <c r="Z163" i="7" s="1"/>
  <c r="AA163" i="7" s="1"/>
  <c r="D163" i="8" l="1"/>
  <c r="A165" i="8"/>
  <c r="H165" i="7"/>
  <c r="P165" i="7"/>
  <c r="Q165" i="7" s="1"/>
  <c r="R165" i="7" s="1"/>
  <c r="J165" i="7"/>
  <c r="K165" i="7" s="1"/>
  <c r="L165" i="7" s="1"/>
  <c r="S165" i="7"/>
  <c r="T165" i="7"/>
  <c r="C165" i="7"/>
  <c r="E165" i="7"/>
  <c r="F165" i="7" s="1"/>
  <c r="G165" i="7"/>
  <c r="M165" i="7"/>
  <c r="N165" i="7"/>
  <c r="V165" i="7"/>
  <c r="W165" i="7" s="1"/>
  <c r="X165" i="7" s="1"/>
  <c r="C169" i="6"/>
  <c r="T168" i="6"/>
  <c r="I164" i="7"/>
  <c r="F164" i="8" s="1"/>
  <c r="U164" i="7"/>
  <c r="O164" i="7"/>
  <c r="B166" i="7"/>
  <c r="B167" i="6"/>
  <c r="I168" i="6"/>
  <c r="F168" i="6" s="1"/>
  <c r="L169" i="6"/>
  <c r="C164" i="8"/>
  <c r="AB164" i="7"/>
  <c r="Y164" i="7"/>
  <c r="Z164" i="7" s="1"/>
  <c r="AA164" i="7" s="1"/>
  <c r="G164" i="8"/>
  <c r="L164" i="8" s="1"/>
  <c r="H164" i="8"/>
  <c r="I164" i="8"/>
  <c r="M164" i="8" s="1"/>
  <c r="J164" i="8"/>
  <c r="K164" i="8"/>
  <c r="N164" i="8" s="1"/>
  <c r="H168" i="6"/>
  <c r="E168" i="6" s="1"/>
  <c r="K169" i="6"/>
  <c r="J167" i="6"/>
  <c r="G167" i="6" s="1"/>
  <c r="M168" i="6"/>
  <c r="D167" i="7"/>
  <c r="E164" i="8" l="1"/>
  <c r="D164" i="8"/>
  <c r="I165" i="7"/>
  <c r="U165" i="7"/>
  <c r="O165" i="7"/>
  <c r="B167" i="7"/>
  <c r="B168" i="6"/>
  <c r="D168" i="7"/>
  <c r="I165" i="8"/>
  <c r="M165" i="8" s="1"/>
  <c r="J165" i="8"/>
  <c r="K165" i="8"/>
  <c r="N165" i="8" s="1"/>
  <c r="F165" i="8"/>
  <c r="G165" i="8"/>
  <c r="L165" i="8" s="1"/>
  <c r="H165" i="8"/>
  <c r="J168" i="6"/>
  <c r="G168" i="6" s="1"/>
  <c r="M169" i="6"/>
  <c r="H169" i="6"/>
  <c r="K170" i="6"/>
  <c r="A166" i="8"/>
  <c r="E166" i="7"/>
  <c r="F166" i="7" s="1"/>
  <c r="M166" i="7"/>
  <c r="J166" i="7"/>
  <c r="K166" i="7" s="1"/>
  <c r="L166" i="7" s="1"/>
  <c r="S166" i="7"/>
  <c r="T166" i="7"/>
  <c r="C166" i="7"/>
  <c r="V166" i="7"/>
  <c r="W166" i="7" s="1"/>
  <c r="X166" i="7" s="1"/>
  <c r="G166" i="7"/>
  <c r="P166" i="7"/>
  <c r="Q166" i="7" s="1"/>
  <c r="R166" i="7" s="1"/>
  <c r="H166" i="7"/>
  <c r="N166" i="7"/>
  <c r="C170" i="6"/>
  <c r="E169" i="6"/>
  <c r="T169" i="6"/>
  <c r="L170" i="6"/>
  <c r="I169" i="6"/>
  <c r="F169" i="6" s="1"/>
  <c r="C165" i="8"/>
  <c r="E165" i="8" s="1"/>
  <c r="AB165" i="7"/>
  <c r="Y165" i="7"/>
  <c r="Z165" i="7" s="1"/>
  <c r="AA165" i="7" s="1"/>
  <c r="D165" i="8" l="1"/>
  <c r="H170" i="6"/>
  <c r="E170" i="6" s="1"/>
  <c r="K171" i="6"/>
  <c r="C171" i="6"/>
  <c r="T170" i="6"/>
  <c r="J169" i="6"/>
  <c r="G169" i="6" s="1"/>
  <c r="M170" i="6"/>
  <c r="D169" i="7"/>
  <c r="C166" i="8"/>
  <c r="AB166" i="7"/>
  <c r="Y166" i="7"/>
  <c r="Z166" i="7" s="1"/>
  <c r="AA166" i="7" s="1"/>
  <c r="B168" i="7"/>
  <c r="B169" i="6"/>
  <c r="I170" i="6"/>
  <c r="F170" i="6" s="1"/>
  <c r="L171" i="6"/>
  <c r="U166" i="7"/>
  <c r="I166" i="7"/>
  <c r="O166" i="7"/>
  <c r="A167" i="8"/>
  <c r="J167" i="7"/>
  <c r="K167" i="7" s="1"/>
  <c r="L167" i="7" s="1"/>
  <c r="S167" i="7"/>
  <c r="T167" i="7"/>
  <c r="C167" i="7"/>
  <c r="M167" i="7"/>
  <c r="V167" i="7"/>
  <c r="W167" i="7" s="1"/>
  <c r="X167" i="7" s="1"/>
  <c r="G167" i="7"/>
  <c r="P167" i="7"/>
  <c r="Q167" i="7" s="1"/>
  <c r="R167" i="7" s="1"/>
  <c r="E167" i="7"/>
  <c r="F167" i="7" s="1"/>
  <c r="N167" i="7"/>
  <c r="H167" i="7"/>
  <c r="F166" i="8"/>
  <c r="G166" i="8"/>
  <c r="L166" i="8" s="1"/>
  <c r="H166" i="8"/>
  <c r="I166" i="8"/>
  <c r="M166" i="8" s="1"/>
  <c r="J166" i="8"/>
  <c r="K166" i="8"/>
  <c r="N166" i="8" s="1"/>
  <c r="D166" i="8" l="1"/>
  <c r="I167" i="7"/>
  <c r="U167" i="7"/>
  <c r="J167" i="8" s="1"/>
  <c r="O167" i="7"/>
  <c r="H167" i="8" s="1"/>
  <c r="G167" i="8"/>
  <c r="L167" i="8" s="1"/>
  <c r="I167" i="8"/>
  <c r="M167" i="8" s="1"/>
  <c r="K167" i="8"/>
  <c r="N167" i="8" s="1"/>
  <c r="F167" i="8"/>
  <c r="D170" i="7"/>
  <c r="H171" i="6"/>
  <c r="K172" i="6"/>
  <c r="C172" i="6"/>
  <c r="E171" i="6"/>
  <c r="T171" i="6"/>
  <c r="J170" i="6"/>
  <c r="G170" i="6" s="1"/>
  <c r="M171" i="6"/>
  <c r="B169" i="7"/>
  <c r="B170" i="6"/>
  <c r="C167" i="8"/>
  <c r="AB167" i="7"/>
  <c r="Y167" i="7"/>
  <c r="Z167" i="7" s="1"/>
  <c r="AA167" i="7" s="1"/>
  <c r="A168" i="8"/>
  <c r="G168" i="7"/>
  <c r="J168" i="7"/>
  <c r="K168" i="7" s="1"/>
  <c r="L168" i="7" s="1"/>
  <c r="S168" i="7"/>
  <c r="T168" i="7"/>
  <c r="C168" i="7"/>
  <c r="M168" i="7"/>
  <c r="V168" i="7"/>
  <c r="W168" i="7" s="1"/>
  <c r="X168" i="7" s="1"/>
  <c r="H168" i="7"/>
  <c r="P168" i="7"/>
  <c r="Q168" i="7" s="1"/>
  <c r="R168" i="7" s="1"/>
  <c r="E168" i="7"/>
  <c r="F168" i="7" s="1"/>
  <c r="N168" i="7"/>
  <c r="L172" i="6"/>
  <c r="I171" i="6"/>
  <c r="F171" i="6" s="1"/>
  <c r="E166" i="8"/>
  <c r="E167" i="8" l="1"/>
  <c r="D167" i="8"/>
  <c r="C168" i="8"/>
  <c r="AB168" i="7"/>
  <c r="Y168" i="7"/>
  <c r="Z168" i="7" s="1"/>
  <c r="AA168" i="7" s="1"/>
  <c r="D171" i="7"/>
  <c r="T172" i="6"/>
  <c r="C173" i="6"/>
  <c r="I172" i="6"/>
  <c r="F172" i="6" s="1"/>
  <c r="L173" i="6"/>
  <c r="I173" i="6" s="1"/>
  <c r="O168" i="7"/>
  <c r="U168" i="7"/>
  <c r="I168" i="7"/>
  <c r="B170" i="7"/>
  <c r="B171" i="6"/>
  <c r="A169" i="8"/>
  <c r="T169" i="7"/>
  <c r="J169" i="7"/>
  <c r="K169" i="7" s="1"/>
  <c r="L169" i="7" s="1"/>
  <c r="S169" i="7"/>
  <c r="C169" i="7"/>
  <c r="M169" i="7"/>
  <c r="V169" i="7"/>
  <c r="W169" i="7" s="1"/>
  <c r="X169" i="7" s="1"/>
  <c r="E169" i="7"/>
  <c r="F169" i="7" s="1"/>
  <c r="N169" i="7"/>
  <c r="H169" i="7"/>
  <c r="P169" i="7"/>
  <c r="Q169" i="7" s="1"/>
  <c r="R169" i="7" s="1"/>
  <c r="G169" i="7"/>
  <c r="H172" i="6"/>
  <c r="E172" i="6" s="1"/>
  <c r="K173" i="6"/>
  <c r="H173" i="6" s="1"/>
  <c r="J168" i="8"/>
  <c r="K168" i="8"/>
  <c r="N168" i="8" s="1"/>
  <c r="F168" i="8"/>
  <c r="G168" i="8"/>
  <c r="L168" i="8" s="1"/>
  <c r="H168" i="8"/>
  <c r="I168" i="8"/>
  <c r="M168" i="8" s="1"/>
  <c r="J171" i="6"/>
  <c r="G171" i="6" s="1"/>
  <c r="M172" i="6"/>
  <c r="D168" i="8" l="1"/>
  <c r="B171" i="7"/>
  <c r="B172" i="6"/>
  <c r="E168" i="8"/>
  <c r="U169" i="7"/>
  <c r="O169" i="7"/>
  <c r="I169" i="7"/>
  <c r="A170" i="8"/>
  <c r="T170" i="7"/>
  <c r="C170" i="7"/>
  <c r="M170" i="7"/>
  <c r="V170" i="7"/>
  <c r="W170" i="7" s="1"/>
  <c r="X170" i="7" s="1"/>
  <c r="E170" i="7"/>
  <c r="F170" i="7" s="1"/>
  <c r="N170" i="7"/>
  <c r="H170" i="7"/>
  <c r="J170" i="7"/>
  <c r="K170" i="7" s="1"/>
  <c r="L170" i="7" s="1"/>
  <c r="P170" i="7"/>
  <c r="Q170" i="7" s="1"/>
  <c r="R170" i="7" s="1"/>
  <c r="S170" i="7"/>
  <c r="G170" i="7"/>
  <c r="C169" i="8"/>
  <c r="AB169" i="7"/>
  <c r="Y169" i="7"/>
  <c r="Z169" i="7" s="1"/>
  <c r="AA169" i="7" s="1"/>
  <c r="J172" i="6"/>
  <c r="G172" i="6" s="1"/>
  <c r="M173" i="6"/>
  <c r="J173" i="6" s="1"/>
  <c r="G173" i="6" s="1"/>
  <c r="F173" i="6"/>
  <c r="E173" i="6"/>
  <c r="T173" i="6"/>
  <c r="F169" i="8"/>
  <c r="G169" i="8"/>
  <c r="L169" i="8" s="1"/>
  <c r="H169" i="8"/>
  <c r="I169" i="8"/>
  <c r="M169" i="8" s="1"/>
  <c r="J169" i="8"/>
  <c r="K169" i="8"/>
  <c r="N169" i="8" s="1"/>
  <c r="D172" i="7"/>
  <c r="D169" i="8" l="1"/>
  <c r="I170" i="8"/>
  <c r="M170" i="8" s="1"/>
  <c r="K170" i="8"/>
  <c r="N170" i="8" s="1"/>
  <c r="G170" i="8"/>
  <c r="L170" i="8" s="1"/>
  <c r="A171" i="8"/>
  <c r="N171" i="7"/>
  <c r="V171" i="7"/>
  <c r="W171" i="7" s="1"/>
  <c r="X171" i="7" s="1"/>
  <c r="T171" i="7"/>
  <c r="C171" i="7"/>
  <c r="M171" i="7"/>
  <c r="E171" i="7"/>
  <c r="F171" i="7" s="1"/>
  <c r="H171" i="7"/>
  <c r="J171" i="7"/>
  <c r="K171" i="7" s="1"/>
  <c r="L171" i="7" s="1"/>
  <c r="P171" i="7"/>
  <c r="Q171" i="7" s="1"/>
  <c r="R171" i="7" s="1"/>
  <c r="G171" i="7"/>
  <c r="S171" i="7"/>
  <c r="I170" i="7"/>
  <c r="F170" i="8" s="1"/>
  <c r="U170" i="7"/>
  <c r="J170" i="8" s="1"/>
  <c r="O170" i="7"/>
  <c r="H170" i="8" s="1"/>
  <c r="D173" i="7"/>
  <c r="P203" i="7"/>
  <c r="T200" i="7"/>
  <c r="G209" i="7"/>
  <c r="V177" i="7"/>
  <c r="M185" i="7"/>
  <c r="V181" i="7"/>
  <c r="S185" i="7"/>
  <c r="P204" i="7"/>
  <c r="S190" i="7"/>
  <c r="S181" i="7"/>
  <c r="N198" i="7"/>
  <c r="S182" i="7"/>
  <c r="H181" i="7"/>
  <c r="H199" i="7"/>
  <c r="V211" i="7"/>
  <c r="H193" i="7"/>
  <c r="N179" i="7"/>
  <c r="T196" i="7"/>
  <c r="V203" i="7"/>
  <c r="G203" i="7"/>
  <c r="S180" i="7"/>
  <c r="P190" i="7"/>
  <c r="H196" i="7"/>
  <c r="T188" i="7"/>
  <c r="J211" i="7"/>
  <c r="H175" i="7"/>
  <c r="V179" i="7"/>
  <c r="E177" i="7"/>
  <c r="E175" i="7"/>
  <c r="E185" i="7"/>
  <c r="E183" i="7"/>
  <c r="E169" i="8"/>
  <c r="C170" i="8"/>
  <c r="E170" i="8" s="1"/>
  <c r="Y170" i="7"/>
  <c r="Z170" i="7" s="1"/>
  <c r="AA170" i="7" s="1"/>
  <c r="AB170" i="7"/>
  <c r="B172" i="7"/>
  <c r="B173" i="6"/>
  <c r="T198" i="7" s="1"/>
  <c r="E193" i="7"/>
  <c r="E194" i="7"/>
  <c r="E184" i="7" l="1"/>
  <c r="J209" i="7"/>
  <c r="G186" i="7"/>
  <c r="G177" i="7"/>
  <c r="H204" i="7"/>
  <c r="J179" i="7"/>
  <c r="H211" i="7"/>
  <c r="V207" i="7"/>
  <c r="W207" i="7" s="1"/>
  <c r="V187" i="7"/>
  <c r="H182" i="7"/>
  <c r="N201" i="7"/>
  <c r="V184" i="7"/>
  <c r="H212" i="7"/>
  <c r="V201" i="7"/>
  <c r="H174" i="7"/>
  <c r="S208" i="7"/>
  <c r="H206" i="7"/>
  <c r="G202" i="7"/>
  <c r="T183" i="7"/>
  <c r="J212" i="7"/>
  <c r="K212" i="7" s="1"/>
  <c r="P196" i="7"/>
  <c r="J189" i="7"/>
  <c r="P209" i="7"/>
  <c r="G194" i="7"/>
  <c r="P201" i="7"/>
  <c r="E181" i="7"/>
  <c r="V174" i="7"/>
  <c r="M207" i="7"/>
  <c r="H183" i="7"/>
  <c r="N209" i="7"/>
  <c r="P212" i="7"/>
  <c r="G211" i="7"/>
  <c r="H179" i="7"/>
  <c r="J184" i="7"/>
  <c r="V188" i="7"/>
  <c r="G193" i="7"/>
  <c r="N190" i="7"/>
  <c r="T190" i="7"/>
  <c r="S192" i="7"/>
  <c r="H200" i="7"/>
  <c r="P177" i="7"/>
  <c r="S174" i="7"/>
  <c r="S177" i="7"/>
  <c r="N211" i="7"/>
  <c r="N199" i="7"/>
  <c r="P184" i="7"/>
  <c r="P182" i="7"/>
  <c r="M198" i="7"/>
  <c r="G179" i="7"/>
  <c r="E176" i="7"/>
  <c r="T195" i="7"/>
  <c r="V198" i="7"/>
  <c r="M177" i="7"/>
  <c r="G212" i="7"/>
  <c r="J175" i="7"/>
  <c r="H188" i="7"/>
  <c r="M212" i="7"/>
  <c r="M186" i="7"/>
  <c r="H192" i="7"/>
  <c r="V183" i="7"/>
  <c r="M179" i="7"/>
  <c r="V192" i="7"/>
  <c r="Q204" i="7"/>
  <c r="E195" i="7"/>
  <c r="E191" i="7"/>
  <c r="M210" i="7"/>
  <c r="H187" i="7"/>
  <c r="S189" i="7"/>
  <c r="S176" i="7"/>
  <c r="G198" i="7"/>
  <c r="G183" i="7"/>
  <c r="S179" i="7"/>
  <c r="M183" i="7"/>
  <c r="G190" i="7"/>
  <c r="J207" i="7"/>
  <c r="G207" i="7"/>
  <c r="V205" i="7"/>
  <c r="T192" i="7"/>
  <c r="D170" i="8"/>
  <c r="S205" i="7"/>
  <c r="P176" i="7"/>
  <c r="G206" i="7"/>
  <c r="G175" i="7"/>
  <c r="N177" i="7"/>
  <c r="M174" i="7"/>
  <c r="H194" i="7"/>
  <c r="M187" i="7"/>
  <c r="S209" i="7"/>
  <c r="S188" i="7"/>
  <c r="H197" i="7"/>
  <c r="T197" i="7"/>
  <c r="G185" i="7"/>
  <c r="G208" i="7"/>
  <c r="S191" i="7"/>
  <c r="H186" i="7"/>
  <c r="G187" i="7"/>
  <c r="G197" i="7"/>
  <c r="G200" i="7"/>
  <c r="J174" i="7"/>
  <c r="T201" i="7"/>
  <c r="V190" i="7"/>
  <c r="S193" i="7"/>
  <c r="M182" i="7"/>
  <c r="T185" i="7"/>
  <c r="P183" i="7"/>
  <c r="Q183" i="7" s="1"/>
  <c r="H201" i="7"/>
  <c r="T177" i="7"/>
  <c r="T194" i="7"/>
  <c r="S203" i="7"/>
  <c r="N192" i="7"/>
  <c r="S184" i="7"/>
  <c r="J180" i="7"/>
  <c r="K180" i="7" s="1"/>
  <c r="E197" i="7"/>
  <c r="E189" i="7"/>
  <c r="E182" i="7"/>
  <c r="E174" i="7"/>
  <c r="T212" i="7"/>
  <c r="G191" i="7"/>
  <c r="V204" i="7"/>
  <c r="W204" i="7" s="1"/>
  <c r="T203" i="7"/>
  <c r="H198" i="7"/>
  <c r="V194" i="7"/>
  <c r="V176" i="7"/>
  <c r="J187" i="7"/>
  <c r="M208" i="7"/>
  <c r="T176" i="7"/>
  <c r="H208" i="7"/>
  <c r="M188" i="7"/>
  <c r="N182" i="7"/>
  <c r="S175" i="7"/>
  <c r="N191" i="7"/>
  <c r="H185" i="7"/>
  <c r="N194" i="7"/>
  <c r="P195" i="7"/>
  <c r="J199" i="7"/>
  <c r="V193" i="7"/>
  <c r="W193" i="7" s="1"/>
  <c r="N210" i="7"/>
  <c r="N180" i="7"/>
  <c r="P179" i="7"/>
  <c r="V210" i="7"/>
  <c r="W210" i="7" s="1"/>
  <c r="V209" i="7"/>
  <c r="N181" i="7"/>
  <c r="N184" i="7"/>
  <c r="N186" i="7"/>
  <c r="S187" i="7"/>
  <c r="H202" i="7"/>
  <c r="P193" i="7"/>
  <c r="P188" i="7"/>
  <c r="Q188" i="7" s="1"/>
  <c r="P210" i="7"/>
  <c r="Q210" i="7" s="1"/>
  <c r="P187" i="7"/>
  <c r="N195" i="7"/>
  <c r="G178" i="7"/>
  <c r="P205" i="7"/>
  <c r="Q205" i="7" s="1"/>
  <c r="T210" i="7"/>
  <c r="N175" i="7"/>
  <c r="M201" i="7"/>
  <c r="S201" i="7"/>
  <c r="T186" i="7"/>
  <c r="P207" i="7"/>
  <c r="K171" i="8"/>
  <c r="N171" i="8" s="1"/>
  <c r="G171" i="8"/>
  <c r="L171" i="8" s="1"/>
  <c r="I171" i="8"/>
  <c r="M171" i="8" s="1"/>
  <c r="Y183" i="7"/>
  <c r="Z183" i="7" s="1"/>
  <c r="W188" i="7"/>
  <c r="J200" i="7"/>
  <c r="P194" i="7"/>
  <c r="P178" i="7"/>
  <c r="Q178" i="7" s="1"/>
  <c r="S210" i="7"/>
  <c r="T205" i="7"/>
  <c r="P206" i="7"/>
  <c r="Q206" i="7" s="1"/>
  <c r="T202" i="7"/>
  <c r="M209" i="7"/>
  <c r="Y210" i="7" s="1"/>
  <c r="Z210" i="7" s="1"/>
  <c r="N189" i="7"/>
  <c r="M184" i="7"/>
  <c r="V197" i="7"/>
  <c r="W198" i="7" s="1"/>
  <c r="G195" i="7"/>
  <c r="M189" i="7"/>
  <c r="T189" i="7"/>
  <c r="T208" i="7"/>
  <c r="V200" i="7"/>
  <c r="T184" i="7"/>
  <c r="H180" i="7"/>
  <c r="N208" i="7"/>
  <c r="P191" i="7"/>
  <c r="Q191" i="7" s="1"/>
  <c r="V191" i="7"/>
  <c r="W191" i="7" s="1"/>
  <c r="P175" i="7"/>
  <c r="H207" i="7"/>
  <c r="N196" i="7"/>
  <c r="P186" i="7"/>
  <c r="G189" i="7"/>
  <c r="V195" i="7"/>
  <c r="W195" i="7" s="1"/>
  <c r="T204" i="7"/>
  <c r="G199" i="7"/>
  <c r="P211" i="7"/>
  <c r="Q211" i="7" s="1"/>
  <c r="J183" i="7"/>
  <c r="K184" i="7" s="1"/>
  <c r="M206" i="7"/>
  <c r="J204" i="7"/>
  <c r="N203" i="7"/>
  <c r="T178" i="7"/>
  <c r="S207" i="7"/>
  <c r="H189" i="7"/>
  <c r="G201" i="7"/>
  <c r="V175" i="7"/>
  <c r="W175" i="7" s="1"/>
  <c r="M178" i="7"/>
  <c r="S183" i="7"/>
  <c r="J188" i="7"/>
  <c r="K188" i="7" s="1"/>
  <c r="S186" i="7"/>
  <c r="T206" i="7"/>
  <c r="D174" i="7"/>
  <c r="E196" i="7"/>
  <c r="Q184" i="7"/>
  <c r="W192" i="7"/>
  <c r="Q177" i="7"/>
  <c r="E186" i="7"/>
  <c r="E180" i="7"/>
  <c r="M204" i="7"/>
  <c r="P189" i="7"/>
  <c r="Q189" i="7" s="1"/>
  <c r="N187" i="7"/>
  <c r="V189" i="7"/>
  <c r="W189" i="7" s="1"/>
  <c r="H178" i="7"/>
  <c r="H184" i="7"/>
  <c r="J178" i="7"/>
  <c r="J206" i="7"/>
  <c r="K207" i="7" s="1"/>
  <c r="H190" i="7"/>
  <c r="G184" i="7"/>
  <c r="G192" i="7"/>
  <c r="N176" i="7"/>
  <c r="H191" i="7"/>
  <c r="V212" i="7"/>
  <c r="W212" i="7" s="1"/>
  <c r="M176" i="7"/>
  <c r="Y177" i="7" s="1"/>
  <c r="Z177" i="7" s="1"/>
  <c r="M196" i="7"/>
  <c r="S206" i="7"/>
  <c r="T191" i="7"/>
  <c r="N188" i="7"/>
  <c r="M192" i="7"/>
  <c r="H203" i="7"/>
  <c r="T199" i="7"/>
  <c r="S202" i="7"/>
  <c r="S196" i="7"/>
  <c r="N207" i="7"/>
  <c r="T209" i="7"/>
  <c r="V182" i="7"/>
  <c r="W182" i="7" s="1"/>
  <c r="P197" i="7"/>
  <c r="Q197" i="7" s="1"/>
  <c r="S178" i="7"/>
  <c r="N205" i="7"/>
  <c r="J192" i="7"/>
  <c r="T207" i="7"/>
  <c r="T187" i="7"/>
  <c r="M202" i="7"/>
  <c r="G174" i="7"/>
  <c r="M180" i="7"/>
  <c r="S204" i="7"/>
  <c r="J177" i="7"/>
  <c r="N183" i="7"/>
  <c r="P202" i="7"/>
  <c r="Q202" i="7" s="1"/>
  <c r="N200" i="7"/>
  <c r="H176" i="7"/>
  <c r="M211" i="7"/>
  <c r="U171" i="7"/>
  <c r="J171" i="8" s="1"/>
  <c r="O171" i="7"/>
  <c r="H171" i="8" s="1"/>
  <c r="I171" i="7"/>
  <c r="F171" i="8" s="1"/>
  <c r="Y207" i="7"/>
  <c r="Z207" i="7" s="1"/>
  <c r="K175" i="7"/>
  <c r="Y186" i="7"/>
  <c r="Z186" i="7" s="1"/>
  <c r="Y179" i="7"/>
  <c r="Z179" i="7" s="1"/>
  <c r="W201" i="7"/>
  <c r="B173" i="7"/>
  <c r="E198" i="7"/>
  <c r="E190" i="7"/>
  <c r="A172" i="8"/>
  <c r="C172" i="7"/>
  <c r="S172" i="7"/>
  <c r="M172" i="7"/>
  <c r="V172" i="7"/>
  <c r="W172" i="7" s="1"/>
  <c r="X172" i="7" s="1"/>
  <c r="E172" i="7"/>
  <c r="F172" i="7" s="1"/>
  <c r="N172" i="7"/>
  <c r="G172" i="7"/>
  <c r="H172" i="7"/>
  <c r="J172" i="7"/>
  <c r="K172" i="7" s="1"/>
  <c r="L172" i="7" s="1"/>
  <c r="P172" i="7"/>
  <c r="Q172" i="7" s="1"/>
  <c r="R172" i="7" s="1"/>
  <c r="T172" i="7"/>
  <c r="E188" i="7"/>
  <c r="E179" i="7"/>
  <c r="J194" i="7"/>
  <c r="G182" i="7"/>
  <c r="J190" i="7"/>
  <c r="K190" i="7" s="1"/>
  <c r="J195" i="7"/>
  <c r="T180" i="7"/>
  <c r="J191" i="7"/>
  <c r="K191" i="7" s="1"/>
  <c r="P200" i="7"/>
  <c r="Q200" i="7" s="1"/>
  <c r="P199" i="7"/>
  <c r="S194" i="7"/>
  <c r="V186" i="7"/>
  <c r="V196" i="7"/>
  <c r="N174" i="7"/>
  <c r="P198" i="7"/>
  <c r="Q198" i="7" s="1"/>
  <c r="N178" i="7"/>
  <c r="T174" i="7"/>
  <c r="T182" i="7"/>
  <c r="V199" i="7"/>
  <c r="W199" i="7" s="1"/>
  <c r="P192" i="7"/>
  <c r="Q192" i="7" s="1"/>
  <c r="S200" i="7"/>
  <c r="M193" i="7"/>
  <c r="S211" i="7"/>
  <c r="G176" i="7"/>
  <c r="M199" i="7"/>
  <c r="V206" i="7"/>
  <c r="W206" i="7" s="1"/>
  <c r="M175" i="7"/>
  <c r="V208" i="7"/>
  <c r="N185" i="7"/>
  <c r="J202" i="7"/>
  <c r="P208" i="7"/>
  <c r="J193" i="7"/>
  <c r="J208" i="7"/>
  <c r="K208" i="7" s="1"/>
  <c r="J198" i="7"/>
  <c r="M203" i="7"/>
  <c r="N204" i="7"/>
  <c r="G210" i="7"/>
  <c r="G188" i="7"/>
  <c r="N206" i="7"/>
  <c r="V185" i="7"/>
  <c r="W185" i="7" s="1"/>
  <c r="H195" i="7"/>
  <c r="S197" i="7"/>
  <c r="J205" i="7"/>
  <c r="K205" i="7" s="1"/>
  <c r="J203" i="7"/>
  <c r="K203" i="7" s="1"/>
  <c r="J196" i="7"/>
  <c r="K196" i="7" s="1"/>
  <c r="H210" i="7"/>
  <c r="C171" i="8"/>
  <c r="E171" i="8" s="1"/>
  <c r="AB171" i="7"/>
  <c r="Y171" i="7"/>
  <c r="Z171" i="7" s="1"/>
  <c r="AA171" i="7" s="1"/>
  <c r="W211" i="7"/>
  <c r="K179" i="7"/>
  <c r="W184" i="7"/>
  <c r="E187" i="7"/>
  <c r="E178" i="7"/>
  <c r="T211" i="7"/>
  <c r="J176" i="7"/>
  <c r="K176" i="7" s="1"/>
  <c r="T181" i="7"/>
  <c r="S195" i="7"/>
  <c r="M200" i="7"/>
  <c r="N202" i="7"/>
  <c r="N197" i="7"/>
  <c r="M197" i="7"/>
  <c r="V178" i="7"/>
  <c r="W178" i="7" s="1"/>
  <c r="V202" i="7"/>
  <c r="W202" i="7" s="1"/>
  <c r="G180" i="7"/>
  <c r="G204" i="7"/>
  <c r="G181" i="7"/>
  <c r="P174" i="7"/>
  <c r="S199" i="7"/>
  <c r="T179" i="7"/>
  <c r="S212" i="7"/>
  <c r="T193" i="7"/>
  <c r="M181" i="7"/>
  <c r="M195" i="7"/>
  <c r="S198" i="7"/>
  <c r="J181" i="7"/>
  <c r="P180" i="7"/>
  <c r="Q180" i="7" s="1"/>
  <c r="M191" i="7"/>
  <c r="G196" i="7"/>
  <c r="H177" i="7"/>
  <c r="J186" i="7"/>
  <c r="J210" i="7"/>
  <c r="K210" i="7" s="1"/>
  <c r="J185" i="7"/>
  <c r="K185" i="7" s="1"/>
  <c r="N212" i="7"/>
  <c r="H209" i="7"/>
  <c r="T175" i="7"/>
  <c r="V180" i="7"/>
  <c r="W180" i="7" s="1"/>
  <c r="J197" i="7"/>
  <c r="M194" i="7"/>
  <c r="M205" i="7"/>
  <c r="N193" i="7"/>
  <c r="P185" i="7"/>
  <c r="Q185" i="7" s="1"/>
  <c r="H205" i="7"/>
  <c r="P181" i="7"/>
  <c r="G205" i="7"/>
  <c r="M190" i="7"/>
  <c r="J182" i="7"/>
  <c r="K182" i="7" s="1"/>
  <c r="J201" i="7"/>
  <c r="K201" i="7" s="1"/>
  <c r="Q196" i="7"/>
  <c r="Y185" i="7"/>
  <c r="Z185" i="7" s="1"/>
  <c r="Y198" i="7"/>
  <c r="Z198" i="7" s="1"/>
  <c r="W177" i="7"/>
  <c r="Q201" i="7"/>
  <c r="Q203" i="7"/>
  <c r="E192" i="7"/>
  <c r="K177" i="7" l="1"/>
  <c r="Q194" i="7"/>
  <c r="K200" i="7"/>
  <c r="K197" i="7"/>
  <c r="K193" i="7"/>
  <c r="Q208" i="7"/>
  <c r="Q181" i="7"/>
  <c r="Q175" i="7"/>
  <c r="W196" i="7"/>
  <c r="K181" i="7"/>
  <c r="W208" i="7"/>
  <c r="W186" i="7"/>
  <c r="D171" i="8"/>
  <c r="Y194" i="7"/>
  <c r="Z194" i="7" s="1"/>
  <c r="K186" i="7"/>
  <c r="Y181" i="7"/>
  <c r="Z181" i="7" s="1"/>
  <c r="W179" i="7"/>
  <c r="Y203" i="7"/>
  <c r="Z203" i="7" s="1"/>
  <c r="Y175" i="7"/>
  <c r="Z175" i="7" s="1"/>
  <c r="K194" i="7"/>
  <c r="K209" i="7"/>
  <c r="D175" i="7"/>
  <c r="F174" i="7"/>
  <c r="Y189" i="7"/>
  <c r="Z189" i="7" s="1"/>
  <c r="Q207" i="7"/>
  <c r="K199" i="7"/>
  <c r="W203" i="7"/>
  <c r="Q182" i="7"/>
  <c r="Y205" i="7"/>
  <c r="Z205" i="7" s="1"/>
  <c r="Y190" i="7"/>
  <c r="Z190" i="7" s="1"/>
  <c r="K198" i="7"/>
  <c r="Q199" i="7"/>
  <c r="U172" i="7"/>
  <c r="O172" i="7"/>
  <c r="I172" i="7"/>
  <c r="A173" i="8"/>
  <c r="H173" i="7"/>
  <c r="P173" i="7"/>
  <c r="Q173" i="7" s="1"/>
  <c r="R173" i="7" s="1"/>
  <c r="C173" i="7"/>
  <c r="M173" i="7"/>
  <c r="V173" i="7"/>
  <c r="E173" i="7"/>
  <c r="F173" i="7" s="1"/>
  <c r="N173" i="7"/>
  <c r="J173" i="7"/>
  <c r="K173" i="7" s="1"/>
  <c r="L173" i="7" s="1"/>
  <c r="S173" i="7"/>
  <c r="G173" i="7"/>
  <c r="T173" i="7"/>
  <c r="Y180" i="7"/>
  <c r="Z180" i="7" s="1"/>
  <c r="Y192" i="7"/>
  <c r="Z192" i="7" s="1"/>
  <c r="K189" i="7"/>
  <c r="Q187" i="7"/>
  <c r="Q195" i="7"/>
  <c r="Q190" i="7"/>
  <c r="Y199" i="7"/>
  <c r="Z199" i="7" s="1"/>
  <c r="Y211" i="7"/>
  <c r="Z211" i="7" s="1"/>
  <c r="W197" i="7"/>
  <c r="W209" i="7"/>
  <c r="Y208" i="7"/>
  <c r="Z208" i="7" s="1"/>
  <c r="Q176" i="7"/>
  <c r="Y191" i="7"/>
  <c r="Z191" i="7" s="1"/>
  <c r="Y197" i="7"/>
  <c r="Z197" i="7" s="1"/>
  <c r="C172" i="8"/>
  <c r="AB172" i="7"/>
  <c r="Y172" i="7"/>
  <c r="Z172" i="7" s="1"/>
  <c r="AA172" i="7" s="1"/>
  <c r="Y202" i="7"/>
  <c r="Z202" i="7" s="1"/>
  <c r="Y184" i="7"/>
  <c r="Z184" i="7" s="1"/>
  <c r="Y201" i="7"/>
  <c r="Z201" i="7" s="1"/>
  <c r="K187" i="7"/>
  <c r="Q209" i="7"/>
  <c r="Y204" i="7"/>
  <c r="Z204" i="7" s="1"/>
  <c r="Q212" i="7"/>
  <c r="K204" i="7"/>
  <c r="Q186" i="7"/>
  <c r="Q193" i="7"/>
  <c r="Q179" i="7"/>
  <c r="W176" i="7"/>
  <c r="Y182" i="7"/>
  <c r="Z182" i="7" s="1"/>
  <c r="Y187" i="7"/>
  <c r="Z187" i="7" s="1"/>
  <c r="W205" i="7"/>
  <c r="Y188" i="7"/>
  <c r="Z188" i="7" s="1"/>
  <c r="W181" i="7"/>
  <c r="K202" i="7"/>
  <c r="Y193" i="7"/>
  <c r="Z193" i="7" s="1"/>
  <c r="K195" i="7"/>
  <c r="Y196" i="7"/>
  <c r="Z196" i="7" s="1"/>
  <c r="K206" i="7"/>
  <c r="Y178" i="7"/>
  <c r="Z178" i="7" s="1"/>
  <c r="Y206" i="7"/>
  <c r="Z206" i="7" s="1"/>
  <c r="W200" i="7"/>
  <c r="Y209" i="7"/>
  <c r="Z209" i="7" s="1"/>
  <c r="K211" i="7"/>
  <c r="W194" i="7"/>
  <c r="W183" i="7"/>
  <c r="Y195" i="7"/>
  <c r="Z195" i="7" s="1"/>
  <c r="Y200" i="7"/>
  <c r="Z200" i="7" s="1"/>
  <c r="W187" i="7"/>
  <c r="F172" i="8"/>
  <c r="G172" i="8"/>
  <c r="L172" i="8" s="1"/>
  <c r="H172" i="8"/>
  <c r="I172" i="8"/>
  <c r="M172" i="8" s="1"/>
  <c r="J172" i="8"/>
  <c r="K172" i="8"/>
  <c r="N172" i="8" s="1"/>
  <c r="K192" i="7"/>
  <c r="Y176" i="7"/>
  <c r="Z176" i="7" s="1"/>
  <c r="K178" i="7"/>
  <c r="K183" i="7"/>
  <c r="W190" i="7"/>
  <c r="Y212" i="7"/>
  <c r="Z212" i="7" s="1"/>
  <c r="Q174" i="7" l="1"/>
  <c r="R174" i="7" s="1"/>
  <c r="D172" i="8"/>
  <c r="E172" i="8"/>
  <c r="I173" i="8"/>
  <c r="M173" i="8" s="1"/>
  <c r="J173" i="8"/>
  <c r="K173" i="8"/>
  <c r="N173" i="8" s="1"/>
  <c r="F173" i="8"/>
  <c r="G173" i="8"/>
  <c r="L173" i="8" s="1"/>
  <c r="C173" i="8"/>
  <c r="Y173" i="7"/>
  <c r="Z173" i="7" s="1"/>
  <c r="AA173" i="7" s="1"/>
  <c r="AB173" i="7"/>
  <c r="U174" i="7"/>
  <c r="O174" i="7"/>
  <c r="I174" i="7"/>
  <c r="U173" i="7"/>
  <c r="O173" i="7"/>
  <c r="H173" i="8" s="1"/>
  <c r="I173" i="7"/>
  <c r="D176" i="7"/>
  <c r="F175" i="7"/>
  <c r="Y174" i="7"/>
  <c r="Z174" i="7" s="1"/>
  <c r="W173" i="7"/>
  <c r="X173" i="7" s="1"/>
  <c r="W174" i="7"/>
  <c r="K174" i="7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R175" i="7" l="1"/>
  <c r="AB174" i="7"/>
  <c r="J14" i="5"/>
  <c r="K15" i="5"/>
  <c r="N15" i="5" s="1"/>
  <c r="E14" i="5"/>
  <c r="F16" i="5"/>
  <c r="I15" i="5"/>
  <c r="M15" i="5" s="1"/>
  <c r="H16" i="5"/>
  <c r="H15" i="5"/>
  <c r="H14" i="5"/>
  <c r="C14" i="5"/>
  <c r="C15" i="5"/>
  <c r="F14" i="5"/>
  <c r="C16" i="5"/>
  <c r="J15" i="5"/>
  <c r="I14" i="5"/>
  <c r="M14" i="5" s="1"/>
  <c r="G16" i="5"/>
  <c r="L16" i="5" s="1"/>
  <c r="G15" i="5"/>
  <c r="L15" i="5" s="1"/>
  <c r="F15" i="5"/>
  <c r="K16" i="5"/>
  <c r="N16" i="5" s="1"/>
  <c r="E15" i="5"/>
  <c r="I16" i="5"/>
  <c r="M16" i="5" s="1"/>
  <c r="G14" i="5"/>
  <c r="L14" i="5" s="1"/>
  <c r="J16" i="5"/>
  <c r="K14" i="5"/>
  <c r="N14" i="5" s="1"/>
  <c r="D173" i="8"/>
  <c r="AA174" i="7"/>
  <c r="AA175" i="7" s="1"/>
  <c r="AA176" i="7" s="1"/>
  <c r="AA177" i="7" s="1"/>
  <c r="AA178" i="7" s="1"/>
  <c r="AA179" i="7" s="1"/>
  <c r="AA180" i="7" s="1"/>
  <c r="AA181" i="7" s="1"/>
  <c r="AA182" i="7" s="1"/>
  <c r="AA183" i="7" s="1"/>
  <c r="AA184" i="7" s="1"/>
  <c r="AA185" i="7" s="1"/>
  <c r="AA186" i="7" s="1"/>
  <c r="AA187" i="7" s="1"/>
  <c r="AA188" i="7" s="1"/>
  <c r="AA189" i="7" s="1"/>
  <c r="AA190" i="7" s="1"/>
  <c r="AA191" i="7" s="1"/>
  <c r="AA192" i="7" s="1"/>
  <c r="AA193" i="7" s="1"/>
  <c r="AA194" i="7" s="1"/>
  <c r="AA195" i="7" s="1"/>
  <c r="AA196" i="7" s="1"/>
  <c r="AA197" i="7" s="1"/>
  <c r="AA198" i="7" s="1"/>
  <c r="AA199" i="7" s="1"/>
  <c r="AA200" i="7" s="1"/>
  <c r="AA201" i="7" s="1"/>
  <c r="AA202" i="7" s="1"/>
  <c r="AA203" i="7" s="1"/>
  <c r="AA204" i="7" s="1"/>
  <c r="AA205" i="7" s="1"/>
  <c r="AA206" i="7" s="1"/>
  <c r="AA207" i="7" s="1"/>
  <c r="AA208" i="7" s="1"/>
  <c r="AA209" i="7" s="1"/>
  <c r="AA210" i="7" s="1"/>
  <c r="AA211" i="7" s="1"/>
  <c r="AA212" i="7" s="1"/>
  <c r="E173" i="8"/>
  <c r="E16" i="5" s="1"/>
  <c r="R176" i="7"/>
  <c r="AB175" i="7"/>
  <c r="U175" i="7"/>
  <c r="O175" i="7"/>
  <c r="I175" i="7"/>
  <c r="D177" i="7"/>
  <c r="F176" i="7"/>
  <c r="X174" i="7"/>
  <c r="X175" i="7" s="1"/>
  <c r="X176" i="7" s="1"/>
  <c r="X177" i="7" s="1"/>
  <c r="X178" i="7" s="1"/>
  <c r="X179" i="7" s="1"/>
  <c r="X180" i="7" s="1"/>
  <c r="X181" i="7" s="1"/>
  <c r="X182" i="7" s="1"/>
  <c r="X183" i="7" s="1"/>
  <c r="X184" i="7" s="1"/>
  <c r="X185" i="7" s="1"/>
  <c r="X186" i="7" s="1"/>
  <c r="X187" i="7" s="1"/>
  <c r="X188" i="7" s="1"/>
  <c r="X189" i="7" s="1"/>
  <c r="X190" i="7" s="1"/>
  <c r="X191" i="7" s="1"/>
  <c r="X192" i="7" s="1"/>
  <c r="X193" i="7" s="1"/>
  <c r="X194" i="7" s="1"/>
  <c r="X195" i="7" s="1"/>
  <c r="X196" i="7" s="1"/>
  <c r="X197" i="7" s="1"/>
  <c r="X198" i="7" s="1"/>
  <c r="X199" i="7" s="1"/>
  <c r="X200" i="7" s="1"/>
  <c r="X201" i="7" s="1"/>
  <c r="X202" i="7" s="1"/>
  <c r="X203" i="7" s="1"/>
  <c r="X204" i="7" s="1"/>
  <c r="X205" i="7" s="1"/>
  <c r="X206" i="7" s="1"/>
  <c r="X207" i="7" s="1"/>
  <c r="X208" i="7" s="1"/>
  <c r="X209" i="7" s="1"/>
  <c r="X210" i="7" s="1"/>
  <c r="X211" i="7" s="1"/>
  <c r="X212" i="7" s="1"/>
  <c r="R177" i="7" l="1"/>
  <c r="AB176" i="7"/>
  <c r="O176" i="7"/>
  <c r="U176" i="7"/>
  <c r="I176" i="7"/>
  <c r="D178" i="7"/>
  <c r="F177" i="7"/>
  <c r="D179" i="7" l="1"/>
  <c r="F178" i="7"/>
  <c r="O177" i="7"/>
  <c r="U177" i="7"/>
  <c r="I177" i="7"/>
  <c r="R178" i="7"/>
  <c r="AB177" i="7"/>
  <c r="R179" i="7" l="1"/>
  <c r="AB178" i="7"/>
  <c r="I178" i="7"/>
  <c r="O178" i="7"/>
  <c r="U178" i="7"/>
  <c r="F179" i="7"/>
  <c r="D180" i="7"/>
  <c r="F180" i="7" l="1"/>
  <c r="D181" i="7"/>
  <c r="O179" i="7"/>
  <c r="I179" i="7"/>
  <c r="U179" i="7"/>
  <c r="R180" i="7"/>
  <c r="AB179" i="7"/>
  <c r="R181" i="7" l="1"/>
  <c r="AB180" i="7"/>
  <c r="F181" i="7"/>
  <c r="D182" i="7"/>
  <c r="O180" i="7"/>
  <c r="U180" i="7"/>
  <c r="I180" i="7"/>
  <c r="F182" i="7" l="1"/>
  <c r="D183" i="7"/>
  <c r="O181" i="7"/>
  <c r="I181" i="7"/>
  <c r="U181" i="7"/>
  <c r="R182" i="7"/>
  <c r="AB181" i="7"/>
  <c r="F183" i="7" l="1"/>
  <c r="D184" i="7"/>
  <c r="R183" i="7"/>
  <c r="AB182" i="7"/>
  <c r="U182" i="7"/>
  <c r="O182" i="7"/>
  <c r="I182" i="7"/>
  <c r="D185" i="7" l="1"/>
  <c r="F184" i="7"/>
  <c r="R184" i="7"/>
  <c r="AB183" i="7"/>
  <c r="O183" i="7"/>
  <c r="U183" i="7"/>
  <c r="I183" i="7"/>
  <c r="O184" i="7" l="1"/>
  <c r="I184" i="7"/>
  <c r="U184" i="7"/>
  <c r="R185" i="7"/>
  <c r="AB184" i="7"/>
  <c r="F185" i="7"/>
  <c r="D186" i="7"/>
  <c r="F186" i="7" l="1"/>
  <c r="D187" i="7"/>
  <c r="O185" i="7"/>
  <c r="I185" i="7"/>
  <c r="U185" i="7"/>
  <c r="R186" i="7"/>
  <c r="AB185" i="7"/>
  <c r="D188" i="7" l="1"/>
  <c r="F187" i="7"/>
  <c r="R187" i="7"/>
  <c r="AB186" i="7"/>
  <c r="U186" i="7"/>
  <c r="O186" i="7"/>
  <c r="I186" i="7"/>
  <c r="U187" i="7" l="1"/>
  <c r="I187" i="7"/>
  <c r="O187" i="7"/>
  <c r="R188" i="7"/>
  <c r="AB187" i="7"/>
  <c r="D189" i="7"/>
  <c r="F188" i="7"/>
  <c r="D190" i="7" l="1"/>
  <c r="F189" i="7"/>
  <c r="R189" i="7"/>
  <c r="AB188" i="7"/>
  <c r="O188" i="7"/>
  <c r="U188" i="7"/>
  <c r="I188" i="7"/>
  <c r="U189" i="7" l="1"/>
  <c r="O189" i="7"/>
  <c r="I189" i="7"/>
  <c r="R190" i="7"/>
  <c r="AB189" i="7"/>
  <c r="F190" i="7"/>
  <c r="D191" i="7"/>
  <c r="F191" i="7" l="1"/>
  <c r="D192" i="7"/>
  <c r="I190" i="7"/>
  <c r="O190" i="7"/>
  <c r="U190" i="7"/>
  <c r="R191" i="7"/>
  <c r="AB190" i="7"/>
  <c r="F192" i="7" l="1"/>
  <c r="D193" i="7"/>
  <c r="R192" i="7"/>
  <c r="AB191" i="7"/>
  <c r="O191" i="7"/>
  <c r="I191" i="7"/>
  <c r="U191" i="7"/>
  <c r="R193" i="7" l="1"/>
  <c r="AB192" i="7"/>
  <c r="F193" i="7"/>
  <c r="D194" i="7"/>
  <c r="U192" i="7"/>
  <c r="I192" i="7"/>
  <c r="O192" i="7"/>
  <c r="D195" i="7" l="1"/>
  <c r="F194" i="7"/>
  <c r="I193" i="7"/>
  <c r="U193" i="7"/>
  <c r="O193" i="7"/>
  <c r="R194" i="7"/>
  <c r="AB193" i="7"/>
  <c r="U194" i="7" l="1"/>
  <c r="O194" i="7"/>
  <c r="I194" i="7"/>
  <c r="R195" i="7"/>
  <c r="AB194" i="7"/>
  <c r="F195" i="7"/>
  <c r="D196" i="7"/>
  <c r="U195" i="7" l="1"/>
  <c r="O195" i="7"/>
  <c r="I195" i="7"/>
  <c r="R196" i="7"/>
  <c r="AB195" i="7"/>
  <c r="F196" i="7"/>
  <c r="D197" i="7"/>
  <c r="U196" i="7" l="1"/>
  <c r="I196" i="7"/>
  <c r="O196" i="7"/>
  <c r="R197" i="7"/>
  <c r="AB196" i="7"/>
  <c r="D198" i="7"/>
  <c r="F197" i="7"/>
  <c r="O197" i="7" l="1"/>
  <c r="I197" i="7"/>
  <c r="U197" i="7"/>
  <c r="F198" i="7"/>
  <c r="D199" i="7"/>
  <c r="R198" i="7"/>
  <c r="AB197" i="7"/>
  <c r="R199" i="7" l="1"/>
  <c r="AB198" i="7"/>
  <c r="U198" i="7"/>
  <c r="O198" i="7"/>
  <c r="I198" i="7"/>
  <c r="D200" i="7"/>
  <c r="F199" i="7"/>
  <c r="F200" i="7" l="1"/>
  <c r="D201" i="7"/>
  <c r="I199" i="7"/>
  <c r="O199" i="7"/>
  <c r="U199" i="7"/>
  <c r="R200" i="7"/>
  <c r="AB199" i="7"/>
  <c r="R201" i="7" l="1"/>
  <c r="AB200" i="7"/>
  <c r="F201" i="7"/>
  <c r="D202" i="7"/>
  <c r="O200" i="7"/>
  <c r="I200" i="7"/>
  <c r="U200" i="7"/>
  <c r="F202" i="7" l="1"/>
  <c r="D203" i="7"/>
  <c r="U201" i="7"/>
  <c r="I201" i="7"/>
  <c r="O201" i="7"/>
  <c r="R202" i="7"/>
  <c r="AB201" i="7"/>
  <c r="R203" i="7" l="1"/>
  <c r="AB202" i="7"/>
  <c r="F203" i="7"/>
  <c r="D204" i="7"/>
  <c r="I202" i="7"/>
  <c r="O202" i="7"/>
  <c r="U202" i="7"/>
  <c r="D205" i="7" l="1"/>
  <c r="F204" i="7"/>
  <c r="U203" i="7"/>
  <c r="O203" i="7"/>
  <c r="I203" i="7"/>
  <c r="R204" i="7"/>
  <c r="AB203" i="7"/>
  <c r="O204" i="7" l="1"/>
  <c r="U204" i="7"/>
  <c r="I204" i="7"/>
  <c r="R205" i="7"/>
  <c r="AB204" i="7"/>
  <c r="D206" i="7"/>
  <c r="F205" i="7"/>
  <c r="O205" i="7" l="1"/>
  <c r="I205" i="7"/>
  <c r="U205" i="7"/>
  <c r="F206" i="7"/>
  <c r="D207" i="7"/>
  <c r="R206" i="7"/>
  <c r="AB205" i="7"/>
  <c r="U206" i="7" l="1"/>
  <c r="I206" i="7"/>
  <c r="O206" i="7"/>
  <c r="R207" i="7"/>
  <c r="AB206" i="7"/>
  <c r="D208" i="7"/>
  <c r="F207" i="7"/>
  <c r="I207" i="7" l="1"/>
  <c r="O207" i="7"/>
  <c r="U207" i="7"/>
  <c r="F208" i="7"/>
  <c r="D209" i="7"/>
  <c r="R208" i="7"/>
  <c r="AB207" i="7"/>
  <c r="R209" i="7" l="1"/>
  <c r="AB208" i="7"/>
  <c r="F209" i="7"/>
  <c r="D210" i="7"/>
  <c r="O208" i="7"/>
  <c r="U208" i="7"/>
  <c r="I208" i="7"/>
  <c r="U209" i="7" l="1"/>
  <c r="I209" i="7"/>
  <c r="O209" i="7"/>
  <c r="F210" i="7"/>
  <c r="D211" i="7"/>
  <c r="R210" i="7"/>
  <c r="AB209" i="7"/>
  <c r="F211" i="7" l="1"/>
  <c r="D212" i="7"/>
  <c r="F212" i="7" s="1"/>
  <c r="I210" i="7"/>
  <c r="U210" i="7"/>
  <c r="O210" i="7"/>
  <c r="R211" i="7"/>
  <c r="AB210" i="7"/>
  <c r="R212" i="7" l="1"/>
  <c r="AB212" i="7" s="1"/>
  <c r="AB211" i="7"/>
  <c r="O212" i="7"/>
  <c r="U212" i="7"/>
  <c r="I212" i="7"/>
  <c r="U211" i="7"/>
  <c r="O211" i="7"/>
  <c r="I2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6459CFB4-EB63-4ADE-A079-022A4501359E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65BA43C-86FE-48A3-94A1-7F911FC25BE7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99EC178C-08BE-4809-BB81-9FA2C94CD33B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722D1488-B44E-40F2-A9C2-787376823273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<sst xmlns="http://schemas.openxmlformats.org/spreadsheetml/2006/main" count="194" uniqueCount="90">
  <si>
    <t>L1.1 k95</t>
  </si>
  <si>
    <t>L2.1 k95</t>
  </si>
  <si>
    <t>lún luỹ kế</t>
  </si>
  <si>
    <t>L3.1 k95</t>
  </si>
  <si>
    <t>L4.1 k95</t>
  </si>
  <si>
    <t>L5.1 k95</t>
  </si>
  <si>
    <t>L6.1 k95</t>
  </si>
  <si>
    <t>L7.1 k95</t>
  </si>
  <si>
    <t>L8.1 k95</t>
  </si>
  <si>
    <t>K.Thúc GT</t>
  </si>
  <si>
    <t>đắp lớp 1</t>
  </si>
  <si>
    <t>Nối cần</t>
  </si>
  <si>
    <t>đắp lớp 2</t>
  </si>
  <si>
    <t>đắp lớp 3</t>
  </si>
  <si>
    <t>đắp lớp 4</t>
  </si>
  <si>
    <t>đắp lớp 5</t>
  </si>
  <si>
    <t>đắp lớp 6</t>
  </si>
  <si>
    <t>đắp lớp 7</t>
  </si>
  <si>
    <t>Đang đắp GĐ1</t>
  </si>
  <si>
    <t>Lắp đặt ban đầu</t>
  </si>
  <si>
    <t xml:space="preserve">Ngày lắp 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</si>
  <si>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</si>
  <si>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</si>
  <si>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</si>
  <si>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</si>
  <si>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</si>
  <si>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</si>
  <si>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</si>
  <si>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 xml:space="preserve">
Cao độ nền đắp (mm)</t>
  </si>
  <si>
    <t xml:space="preserve">
Số đọc mia tại nền đắp tại tâm  (mm)</t>
  </si>
  <si>
    <t xml:space="preserve">
Tốc độ lún trên ngày  (mm)</t>
  </si>
  <si>
    <t xml:space="preserve">
 Cao độ bàn đo lún  (mm)</t>
  </si>
  <si>
    <t xml:space="preserve">
  Chiều dài cần nối  (mm)</t>
  </si>
  <si>
    <t xml:space="preserve">
  Cao độ quan trắc  (mm)</t>
  </si>
  <si>
    <t xml:space="preserve">
Số đọc mia (mm)</t>
  </si>
  <si>
    <t xml:space="preserve">
Số đọc tại mốc (mm)</t>
  </si>
  <si>
    <t>Cao độ mốc (mm)</t>
  </si>
  <si>
    <t xml:space="preserve"> Ngày quan trắc</t>
  </si>
  <si>
    <t xml:space="preserve">
 Stt</t>
  </si>
  <si>
    <t>Ngày đặt bàn:</t>
  </si>
  <si>
    <t>Km124+900</t>
  </si>
  <si>
    <t>Lý trình:</t>
  </si>
  <si>
    <t>Cao độ mốc:</t>
  </si>
  <si>
    <t>năng</t>
  </si>
  <si>
    <t>Thời tiết:</t>
  </si>
  <si>
    <t>Tên mốc:</t>
  </si>
  <si>
    <t>Người lập:</t>
  </si>
  <si>
    <t>BIỂU GHI ĐO QUAN TRẮC LÚN</t>
  </si>
  <si>
    <t xml:space="preserve">
LIÊN DANH TỔNG CÔNG TY XD SỐ 1 (CTCP) - CÔNG TY CỔ PHẦN HẢI ĐĂNG - CÔNG TY TNHH LIÊN HỢP XD VẠN CƯỜNG - CÔNG TY CỔ PHẦN XD VÀ ĐT 492 - CÔNG TY CỔ PHẦN XÂY DỰNG HẠ TẦNG BẮC TRUNG NAM</t>
  </si>
  <si>
    <t xml:space="preserve">LIÊN DANH TVGS PHÂN VIỆN KHCN GTVT PHÍA 
NAM VÀ CÔNG TY CỔ PHẦN TV KT&amp;XD HỒNG HÀ </t>
  </si>
  <si>
    <t>BAN QUẢN LÝ DỰ ÁN MỸ THUẬN</t>
  </si>
  <si>
    <t>NHÀ THẦU</t>
  </si>
  <si>
    <t>TƯ VẤN GIÁM SÁT</t>
  </si>
  <si>
    <t>CHỦ ĐẦU TƯ</t>
  </si>
  <si>
    <t xml:space="preserve">GÓI THẦU: THI CÔNG XÂY DỰNG ĐOẠN TUYẾN KM114+200-KM126+223 </t>
  </si>
  <si>
    <t>THUỘC DỰ ÁN XÂY DỰNG CÔNG TRÌNH ĐƯỜNG BỘ CAO TỐC BẮC - NAM PHÍA ĐÔNG GIAI ĐOẠN 2021 - 2025</t>
  </si>
  <si>
    <t>DỰ ÁN THÀNH PHẦN ĐOẠN HẬU GIANG - CÀ MAU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</si>
  <si>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</si>
  <si>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</si>
  <si>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</si>
  <si>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</si>
  <si>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</si>
  <si>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</si>
  <si>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</si>
  <si>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</si>
  <si>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</si>
  <si>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dày lớp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</si>
  <si>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</si>
  <si>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</si>
  <si>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</si>
  <si>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</si>
  <si>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</si>
  <si>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</si>
  <si>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</si>
  <si>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</si>
  <si>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</si>
  <si>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</si>
  <si>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</si>
  <si>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</si>
  <si>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</si>
  <si>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</si>
  <si>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</si>
  <si>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Chiều cao nền đắp (m)</t>
  </si>
  <si>
    <t>Cao độ đắp(m)</t>
  </si>
  <si>
    <t>Số ngày</t>
  </si>
  <si>
    <t>Ngày đo</t>
  </si>
  <si>
    <t>BÀN QUAN TRẮC: KM124+900</t>
  </si>
  <si>
    <t>LIÊN DANH TỔNG CÔNG TY XD SỐ 1 (CTCP) - CÔNG TY CỔ PHẦN HẢI ĐĂNG - CÔNG TY TNHH LIÊN HỢP XD VẠN CƯỜNG - CÔNG TY CỔ PHẦN XD VÀ ĐT 492 - CÔNG TY CỔ PHẦN XÂY DỰNG HẠ TẦNG BẮC TRUNG NAM</t>
  </si>
  <si>
    <t xml:space="preserve">GÓI THẦU: THI CÔNG XÂY DỰNG ĐOẠN TUYẾN KM144+200-KM126+223 </t>
  </si>
  <si>
    <t>THUỘC DỰ ÁN XÂY DỰNG CÔNG TRÌNH ĐƯỜNG BỘ CAO TỐC BẮC - NAM PHÍA ĐÔNG GIAI ĐOẠN 
2021 - 2025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</si>
</sst>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32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name val="굴림체"/>
      <family val="3"/>
      <charset val="129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10"/>
      <name val=".VnTime"/>
      <family val="2"/>
    </font>
    <font>
      <sz val="12"/>
      <color theme="1"/>
      <name val="Times New Roman"/>
      <family val="2"/>
    </font>
    <font>
      <sz val="14"/>
      <color theme="1"/>
      <name val="Times New Roman"/>
      <family val="1"/>
    </font>
    <font>
      <sz val="11"/>
      <color rgb="FFED0000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0"/>
      <name val="MS Sans Serif"/>
      <family val="2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9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5" fillId="0" borderId="0"/>
    <xf numFmtId="0" fontId="10" fillId="0" borderId="0"/>
    <xf numFmtId="43" fontId="11" fillId="0" borderId="0" applyFont="0" applyFill="0" applyBorder="0" applyAlignment="0" applyProtection="0"/>
    <xf numFmtId="0" fontId="1" fillId="0" borderId="0"/>
    <xf numFmtId="0" fontId="26" fillId="0" borderId="0"/>
    <xf numFmtId="0" fontId="26" fillId="0" borderId="0">
      <alignment vertical="center"/>
    </xf>
    <xf numFmtId="0" fontId="28" fillId="0" borderId="0"/>
  </cellStyleXfs>
  <cellXfs count="217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4" fillId="0" borderId="0" xfId="1" applyNumberFormat="1" applyFont="1" applyAlignment="1">
      <alignment horizontal="center"/>
    </xf>
    <xf numFmtId="3" fontId="4" fillId="0" borderId="1" xfId="1" applyNumberFormat="1" applyFont="1" applyBorder="1" applyAlignment="1">
      <alignment horizontal="center"/>
    </xf>
    <xf numFmtId="14" fontId="6" fillId="0" borderId="1" xfId="2" applyNumberFormat="1" applyFont="1" applyBorder="1" applyAlignment="1">
      <alignment horizontal="center" vertical="center" shrinkToFit="1"/>
    </xf>
    <xf numFmtId="3" fontId="2" fillId="0" borderId="1" xfId="1" applyNumberFormat="1" applyFont="1" applyBorder="1" applyAlignment="1">
      <alignment horizontal="center"/>
    </xf>
    <xf numFmtId="3" fontId="2" fillId="0" borderId="0" xfId="1" applyNumberFormat="1" applyFont="1" applyAlignment="1">
      <alignment horizontal="center" vertical="center" wrapText="1"/>
    </xf>
    <xf numFmtId="3" fontId="7" fillId="0" borderId="0" xfId="1" applyNumberFormat="1" applyFont="1" applyAlignment="1">
      <alignment horizontal="center"/>
    </xf>
    <xf numFmtId="14" fontId="4" fillId="0" borderId="1" xfId="2" applyNumberFormat="1" applyFont="1" applyBorder="1" applyAlignment="1">
      <alignment horizontal="center" vertical="center" shrinkToFit="1"/>
    </xf>
    <xf numFmtId="14" fontId="4" fillId="0" borderId="0" xfId="2" applyNumberFormat="1" applyFont="1" applyAlignment="1">
      <alignment horizontal="center" vertical="center" shrinkToFit="1"/>
    </xf>
    <xf numFmtId="164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 wrapText="1"/>
    </xf>
    <xf numFmtId="14" fontId="2" fillId="0" borderId="0" xfId="2" applyNumberFormat="1" applyFont="1" applyAlignment="1">
      <alignment horizontal="center" vertical="center" shrinkToFit="1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horizontal="center" vertical="center" shrinkToFit="1"/>
    </xf>
    <xf numFmtId="3" fontId="6" fillId="0" borderId="1" xfId="1" applyNumberFormat="1" applyFont="1" applyBorder="1" applyAlignment="1">
      <alignment horizontal="center"/>
    </xf>
    <xf numFmtId="3" fontId="8" fillId="0" borderId="1" xfId="1" applyNumberFormat="1" applyFont="1" applyBorder="1"/>
    <xf numFmtId="3" fontId="9" fillId="0" borderId="2" xfId="1" applyNumberFormat="1" applyFont="1" applyBorder="1" applyAlignment="1">
      <alignment horizontal="center" vertical="center" wrapText="1"/>
    </xf>
    <xf numFmtId="14" fontId="2" fillId="0" borderId="3" xfId="2" applyNumberFormat="1" applyFont="1" applyBorder="1" applyAlignment="1">
      <alignment vertical="center" shrinkToFit="1"/>
    </xf>
    <xf numFmtId="0" fontId="2" fillId="0" borderId="1" xfId="3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65" fontId="12" fillId="0" borderId="1" xfId="4" applyNumberFormat="1" applyFont="1" applyFill="1" applyBorder="1" applyAlignment="1">
      <alignment horizontal="center"/>
    </xf>
    <xf numFmtId="3" fontId="13" fillId="0" borderId="1" xfId="1" applyNumberFormat="1" applyFont="1" applyBorder="1" applyAlignment="1">
      <alignment horizontal="center"/>
    </xf>
    <xf numFmtId="14" fontId="2" fillId="0" borderId="1" xfId="2" applyNumberFormat="1" applyFont="1" applyBorder="1" applyAlignment="1">
      <alignment vertical="center" shrinkToFit="1"/>
    </xf>
    <xf numFmtId="3" fontId="9" fillId="0" borderId="3" xfId="1" applyNumberFormat="1" applyFont="1" applyBorder="1" applyAlignment="1">
      <alignment vertical="center" wrapText="1"/>
    </xf>
    <xf numFmtId="166" fontId="2" fillId="0" borderId="0" xfId="1" applyNumberFormat="1" applyFont="1" applyAlignment="1">
      <alignment horizontal="center"/>
    </xf>
    <xf numFmtId="3" fontId="2" fillId="0" borderId="1" xfId="1" applyNumberFormat="1" applyFont="1" applyBorder="1" applyAlignment="1">
      <alignment horizontal="center" vertical="center" wrapText="1"/>
    </xf>
    <xf numFmtId="3" fontId="7" fillId="0" borderId="10" xfId="1" applyNumberFormat="1" applyFont="1" applyBorder="1" applyAlignment="1">
      <alignment horizontal="center"/>
    </xf>
    <xf numFmtId="3" fontId="7" fillId="0" borderId="11" xfId="1" applyNumberFormat="1" applyFont="1" applyBorder="1" applyAlignment="1">
      <alignment horizontal="center"/>
    </xf>
    <xf numFmtId="0" fontId="6" fillId="0" borderId="11" xfId="3" applyFont="1" applyBorder="1"/>
    <xf numFmtId="0" fontId="6" fillId="0" borderId="11" xfId="3" applyFont="1" applyBorder="1" applyAlignment="1">
      <alignment vertical="center"/>
    </xf>
    <xf numFmtId="0" fontId="6" fillId="0" borderId="12" xfId="3" applyFont="1" applyBorder="1" applyAlignment="1">
      <alignment vertical="center"/>
    </xf>
    <xf numFmtId="3" fontId="7" fillId="0" borderId="13" xfId="1" applyNumberFormat="1" applyFont="1" applyBorder="1" applyAlignment="1">
      <alignment horizontal="center"/>
    </xf>
    <xf numFmtId="3" fontId="7" fillId="0" borderId="14" xfId="1" applyNumberFormat="1" applyFont="1" applyBorder="1" applyAlignment="1">
      <alignment horizontal="center"/>
    </xf>
    <xf numFmtId="0" fontId="6" fillId="0" borderId="14" xfId="3" applyFont="1" applyBorder="1"/>
    <xf numFmtId="0" fontId="6" fillId="0" borderId="14" xfId="3" applyFont="1" applyBorder="1" applyAlignment="1">
      <alignment vertical="center"/>
    </xf>
    <xf numFmtId="3" fontId="6" fillId="0" borderId="14" xfId="3" applyNumberFormat="1" applyFont="1" applyBorder="1" applyAlignment="1">
      <alignment vertical="center"/>
    </xf>
    <xf numFmtId="0" fontId="6" fillId="0" borderId="15" xfId="3" applyFont="1" applyBorder="1" applyAlignment="1">
      <alignment vertical="center"/>
    </xf>
    <xf numFmtId="3" fontId="7" fillId="0" borderId="16" xfId="1" applyNumberFormat="1" applyFont="1" applyBorder="1" applyAlignment="1">
      <alignment horizontal="center"/>
    </xf>
    <xf numFmtId="3" fontId="7" fillId="0" borderId="17" xfId="1" applyNumberFormat="1" applyFont="1" applyBorder="1" applyAlignment="1">
      <alignment horizontal="center"/>
    </xf>
    <xf numFmtId="0" fontId="6" fillId="0" borderId="17" xfId="3" applyFont="1" applyBorder="1"/>
    <xf numFmtId="0" fontId="6" fillId="0" borderId="17" xfId="3" applyFont="1" applyBorder="1" applyAlignment="1">
      <alignment vertical="center"/>
    </xf>
    <xf numFmtId="0" fontId="6" fillId="0" borderId="18" xfId="3" applyFont="1" applyBorder="1" applyAlignment="1">
      <alignment vertical="center"/>
    </xf>
    <xf numFmtId="0" fontId="18" fillId="0" borderId="0" xfId="3" applyFont="1" applyAlignment="1">
      <alignment vertical="center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18" fillId="0" borderId="0" xfId="3" applyFont="1" applyAlignment="1">
      <alignment horizontal="center" vertical="center"/>
    </xf>
    <xf numFmtId="167" fontId="18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167" fontId="20" fillId="0" borderId="0" xfId="3" applyNumberFormat="1" applyFont="1" applyAlignment="1">
      <alignment horizontal="center" vertical="center"/>
    </xf>
    <xf numFmtId="4" fontId="20" fillId="0" borderId="0" xfId="3" applyNumberFormat="1" applyFont="1" applyAlignment="1">
      <alignment horizontal="center" vertical="center"/>
    </xf>
    <xf numFmtId="166" fontId="18" fillId="0" borderId="0" xfId="3" applyNumberFormat="1" applyFont="1" applyAlignment="1">
      <alignment horizontal="center" vertical="center"/>
    </xf>
    <xf numFmtId="168" fontId="21" fillId="0" borderId="1" xfId="3" applyNumberFormat="1" applyFont="1" applyBorder="1" applyAlignment="1">
      <alignment horizontal="center" vertical="center"/>
    </xf>
    <xf numFmtId="168" fontId="21" fillId="0" borderId="1" xfId="3" applyNumberFormat="1" applyFont="1" applyBorder="1" applyAlignment="1">
      <alignment horizontal="center" vertical="center" wrapText="1"/>
    </xf>
    <xf numFmtId="169" fontId="21" fillId="0" borderId="9" xfId="3" applyNumberFormat="1" applyFont="1" applyBorder="1" applyAlignment="1">
      <alignment horizontal="center" vertical="center" wrapText="1"/>
    </xf>
    <xf numFmtId="169" fontId="19" fillId="0" borderId="1" xfId="3" applyNumberFormat="1" applyFont="1" applyBorder="1" applyAlignment="1">
      <alignment horizontal="center" vertical="center" wrapText="1"/>
    </xf>
    <xf numFmtId="3" fontId="19" fillId="0" borderId="1" xfId="3" applyNumberFormat="1" applyFont="1" applyBorder="1" applyAlignment="1">
      <alignment horizontal="center" vertical="center"/>
    </xf>
    <xf numFmtId="169" fontId="19" fillId="0" borderId="1" xfId="3" applyNumberFormat="1" applyFont="1" applyBorder="1" applyAlignment="1">
      <alignment horizontal="center" vertical="center"/>
    </xf>
    <xf numFmtId="169" fontId="21" fillId="0" borderId="1" xfId="3" applyNumberFormat="1" applyFont="1" applyBorder="1" applyAlignment="1">
      <alignment horizontal="center" vertical="center"/>
    </xf>
    <xf numFmtId="170" fontId="21" fillId="0" borderId="1" xfId="3" applyNumberFormat="1" applyFont="1" applyBorder="1" applyAlignment="1">
      <alignment horizontal="center" vertical="center"/>
    </xf>
    <xf numFmtId="171" fontId="21" fillId="0" borderId="1" xfId="3" applyNumberFormat="1" applyFont="1" applyBorder="1" applyAlignment="1">
      <alignment horizontal="center" vertical="center"/>
    </xf>
    <xf numFmtId="169" fontId="21" fillId="0" borderId="1" xfId="3" applyNumberFormat="1" applyFont="1" applyBorder="1" applyAlignment="1">
      <alignment horizontal="center" vertical="center" wrapText="1"/>
    </xf>
    <xf numFmtId="3" fontId="21" fillId="0" borderId="1" xfId="3" applyNumberFormat="1" applyFont="1" applyBorder="1" applyAlignment="1">
      <alignment horizontal="center" vertical="center"/>
    </xf>
    <xf numFmtId="171" fontId="21" fillId="0" borderId="1" xfId="4" applyNumberFormat="1" applyFont="1" applyFill="1" applyBorder="1" applyAlignment="1">
      <alignment horizontal="center" vertical="center"/>
    </xf>
    <xf numFmtId="170" fontId="19" fillId="0" borderId="1" xfId="3" applyNumberFormat="1" applyFont="1" applyBorder="1" applyAlignment="1">
      <alignment horizontal="center" vertical="center"/>
    </xf>
    <xf numFmtId="1" fontId="19" fillId="0" borderId="1" xfId="3" applyNumberFormat="1" applyFont="1" applyBorder="1" applyAlignment="1">
      <alignment horizontal="center" vertical="center"/>
    </xf>
    <xf numFmtId="166" fontId="19" fillId="0" borderId="1" xfId="3" applyNumberFormat="1" applyFont="1" applyBorder="1" applyAlignment="1">
      <alignment horizontal="center" vertical="center"/>
    </xf>
    <xf numFmtId="14" fontId="22" fillId="0" borderId="22" xfId="3" applyNumberFormat="1" applyFont="1" applyBorder="1" applyAlignment="1">
      <alignment horizontal="center" vertical="center"/>
    </xf>
    <xf numFmtId="14" fontId="23" fillId="0" borderId="22" xfId="3" applyNumberFormat="1" applyFont="1" applyBorder="1" applyAlignment="1">
      <alignment horizontal="center"/>
    </xf>
    <xf numFmtId="14" fontId="23" fillId="0" borderId="15" xfId="3" applyNumberFormat="1" applyFont="1" applyBorder="1" applyAlignment="1">
      <alignment horizontal="center"/>
    </xf>
    <xf numFmtId="14" fontId="22" fillId="0" borderId="23" xfId="2" applyNumberFormat="1" applyFont="1" applyBorder="1" applyAlignment="1">
      <alignment horizontal="center" vertical="center" shrinkToFit="1"/>
    </xf>
    <xf numFmtId="0" fontId="19" fillId="0" borderId="0" xfId="3" applyFont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14" fontId="22" fillId="0" borderId="24" xfId="2" applyNumberFormat="1" applyFont="1" applyBorder="1" applyAlignment="1">
      <alignment horizontal="center" vertical="center" shrinkToFit="1"/>
    </xf>
    <xf numFmtId="14" fontId="22" fillId="0" borderId="25" xfId="2" applyNumberFormat="1" applyFont="1" applyBorder="1" applyAlignment="1">
      <alignment horizontal="center" vertical="center" shrinkToFit="1"/>
    </xf>
    <xf numFmtId="0" fontId="19" fillId="0" borderId="0" xfId="3" applyFont="1" applyAlignment="1">
      <alignment horizontal="center" vertical="center"/>
    </xf>
    <xf numFmtId="3" fontId="19" fillId="0" borderId="0" xfId="3" applyNumberFormat="1" applyFont="1" applyAlignment="1">
      <alignment horizontal="center"/>
    </xf>
    <xf numFmtId="0" fontId="19" fillId="0" borderId="26" xfId="3" applyFont="1" applyBorder="1" applyAlignment="1">
      <alignment horizontal="center" vertical="center"/>
    </xf>
    <xf numFmtId="170" fontId="19" fillId="0" borderId="2" xfId="3" applyNumberFormat="1" applyFont="1" applyBorder="1" applyAlignment="1">
      <alignment horizontal="center" vertical="center"/>
    </xf>
    <xf numFmtId="167" fontId="19" fillId="0" borderId="1" xfId="3" applyNumberFormat="1" applyFont="1" applyBorder="1" applyAlignment="1">
      <alignment horizontal="center" vertical="center" wrapText="1"/>
    </xf>
    <xf numFmtId="4" fontId="19" fillId="0" borderId="1" xfId="3" applyNumberFormat="1" applyFont="1" applyBorder="1" applyAlignment="1">
      <alignment horizontal="center" vertical="center" wrapText="1"/>
    </xf>
    <xf numFmtId="4" fontId="21" fillId="0" borderId="1" xfId="3" applyNumberFormat="1" applyFont="1" applyBorder="1" applyAlignment="1">
      <alignment horizontal="center" vertical="center" wrapText="1"/>
    </xf>
    <xf numFmtId="167" fontId="21" fillId="0" borderId="1" xfId="3" applyNumberFormat="1" applyFont="1" applyBorder="1" applyAlignment="1">
      <alignment horizontal="center" vertical="center" wrapText="1"/>
    </xf>
    <xf numFmtId="0" fontId="25" fillId="0" borderId="0" xfId="3" applyFont="1" applyAlignment="1">
      <alignment vertical="center"/>
    </xf>
    <xf numFmtId="0" fontId="25" fillId="0" borderId="0" xfId="3" applyFont="1" applyAlignment="1">
      <alignment horizontal="center"/>
    </xf>
    <xf numFmtId="0" fontId="25" fillId="0" borderId="26" xfId="3" applyFont="1" applyBorder="1" applyAlignment="1">
      <alignment vertical="center"/>
    </xf>
    <xf numFmtId="0" fontId="19" fillId="0" borderId="0" xfId="3" applyFont="1"/>
    <xf numFmtId="0" fontId="19" fillId="0" borderId="27" xfId="3" applyFont="1" applyBorder="1" applyAlignment="1">
      <alignment horizontal="center"/>
    </xf>
    <xf numFmtId="0" fontId="19" fillId="0" borderId="19" xfId="3" applyFont="1" applyBorder="1" applyAlignment="1">
      <alignment horizontal="center"/>
    </xf>
    <xf numFmtId="0" fontId="19" fillId="0" borderId="20" xfId="3" applyFont="1" applyBorder="1" applyAlignment="1">
      <alignment horizontal="center"/>
    </xf>
    <xf numFmtId="0" fontId="19" fillId="0" borderId="20" xfId="3" applyFont="1" applyBorder="1"/>
    <xf numFmtId="0" fontId="21" fillId="0" borderId="20" xfId="3" applyFont="1" applyBorder="1"/>
    <xf numFmtId="0" fontId="25" fillId="0" borderId="20" xfId="5" applyFont="1" applyBorder="1"/>
    <xf numFmtId="166" fontId="25" fillId="0" borderId="21" xfId="5" applyNumberFormat="1" applyFont="1" applyBorder="1" applyAlignment="1">
      <alignment horizontal="left"/>
    </xf>
    <xf numFmtId="0" fontId="19" fillId="0" borderId="26" xfId="3" applyFont="1" applyBorder="1"/>
    <xf numFmtId="0" fontId="19" fillId="0" borderId="10" xfId="3" applyFont="1" applyBorder="1" applyAlignment="1">
      <alignment horizontal="center"/>
    </xf>
    <xf numFmtId="0" fontId="19" fillId="0" borderId="11" xfId="3" applyFont="1" applyBorder="1" applyAlignment="1">
      <alignment horizontal="center"/>
    </xf>
    <xf numFmtId="0" fontId="19" fillId="0" borderId="13" xfId="3" applyFont="1" applyBorder="1" applyAlignment="1">
      <alignment horizontal="center"/>
    </xf>
    <xf numFmtId="0" fontId="19" fillId="0" borderId="14" xfId="3" applyFont="1" applyBorder="1" applyAlignment="1">
      <alignment horizontal="center"/>
    </xf>
    <xf numFmtId="0" fontId="6" fillId="0" borderId="28" xfId="3" applyFont="1" applyBorder="1" applyAlignment="1">
      <alignment vertical="center"/>
    </xf>
    <xf numFmtId="3" fontId="6" fillId="0" borderId="28" xfId="3" applyNumberFormat="1" applyFont="1" applyBorder="1" applyAlignment="1">
      <alignment vertical="center"/>
    </xf>
    <xf numFmtId="0" fontId="19" fillId="0" borderId="16" xfId="3" applyFont="1" applyBorder="1" applyAlignment="1">
      <alignment horizontal="center"/>
    </xf>
    <xf numFmtId="0" fontId="19" fillId="0" borderId="17" xfId="3" applyFont="1" applyBorder="1" applyAlignment="1">
      <alignment horizontal="center"/>
    </xf>
    <xf numFmtId="0" fontId="18" fillId="0" borderId="26" xfId="3" applyFont="1" applyBorder="1" applyAlignment="1">
      <alignment vertical="center"/>
    </xf>
    <xf numFmtId="0" fontId="26" fillId="0" borderId="0" xfId="6"/>
    <xf numFmtId="0" fontId="26" fillId="0" borderId="0" xfId="6" applyAlignment="1">
      <alignment vertical="center"/>
    </xf>
    <xf numFmtId="0" fontId="21" fillId="0" borderId="0" xfId="6" applyFont="1" applyAlignment="1">
      <alignment vertical="center"/>
    </xf>
    <xf numFmtId="168" fontId="21" fillId="0" borderId="0" xfId="6" applyNumberFormat="1" applyFont="1" applyAlignment="1">
      <alignment vertical="center"/>
    </xf>
    <xf numFmtId="166" fontId="21" fillId="0" borderId="0" xfId="6" applyNumberFormat="1" applyFont="1" applyAlignment="1">
      <alignment vertical="center"/>
    </xf>
    <xf numFmtId="0" fontId="8" fillId="0" borderId="1" xfId="6" applyFont="1" applyBorder="1" applyAlignment="1">
      <alignment horizontal="center" vertical="center" wrapText="1"/>
    </xf>
    <xf numFmtId="168" fontId="8" fillId="0" borderId="1" xfId="6" applyNumberFormat="1" applyFont="1" applyBorder="1" applyAlignment="1">
      <alignment horizontal="center" vertical="center" wrapText="1"/>
    </xf>
    <xf numFmtId="2" fontId="8" fillId="0" borderId="1" xfId="6" applyNumberFormat="1" applyFont="1" applyBorder="1" applyAlignment="1">
      <alignment horizontal="center" vertical="center" wrapText="1"/>
    </xf>
    <xf numFmtId="172" fontId="26" fillId="0" borderId="0" xfId="6" applyNumberFormat="1"/>
    <xf numFmtId="173" fontId="26" fillId="0" borderId="0" xfId="6" applyNumberFormat="1"/>
    <xf numFmtId="174" fontId="26" fillId="0" borderId="0" xfId="6" applyNumberFormat="1"/>
    <xf numFmtId="168" fontId="26" fillId="0" borderId="0" xfId="6" applyNumberFormat="1"/>
    <xf numFmtId="175" fontId="26" fillId="0" borderId="0" xfId="6" applyNumberFormat="1"/>
    <xf numFmtId="0" fontId="22" fillId="0" borderId="29" xfId="7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textRotation="90" wrapText="1"/>
    </xf>
    <xf numFmtId="2" fontId="26" fillId="0" borderId="0" xfId="6" applyNumberFormat="1"/>
    <xf numFmtId="0" fontId="6" fillId="0" borderId="10" xfId="3" applyFont="1" applyBorder="1"/>
    <xf numFmtId="0" fontId="6" fillId="0" borderId="13" xfId="3" applyFont="1" applyBorder="1"/>
    <xf numFmtId="0" fontId="6" fillId="0" borderId="16" xfId="3" applyFont="1" applyBorder="1"/>
    <xf numFmtId="0" fontId="22" fillId="0" borderId="0" xfId="8" applyFont="1" applyAlignment="1">
      <alignment vertical="center" wrapText="1"/>
    </xf>
    <xf numFmtId="1" fontId="8" fillId="0" borderId="1" xfId="6" applyNumberFormat="1" applyFont="1" applyBorder="1" applyAlignment="1">
      <alignment horizontal="center" vertical="center" wrapText="1"/>
    </xf>
    <xf numFmtId="0" fontId="10" fillId="0" borderId="0" xfId="3"/>
    <xf numFmtId="166" fontId="29" fillId="0" borderId="1" xfId="3" applyNumberFormat="1" applyFont="1" applyBorder="1" applyAlignment="1">
      <alignment horizontal="center" vertical="center"/>
    </xf>
    <xf numFmtId="0" fontId="15" fillId="0" borderId="19" xfId="3" applyFont="1" applyBorder="1" applyAlignment="1">
      <alignment vertical="center" wrapText="1"/>
    </xf>
    <xf numFmtId="0" fontId="15" fillId="0" borderId="20" xfId="3" applyFont="1" applyBorder="1" applyAlignment="1">
      <alignment vertical="center" wrapText="1"/>
    </xf>
    <xf numFmtId="0" fontId="15" fillId="0" borderId="27" xfId="3" applyFont="1" applyBorder="1" applyAlignment="1">
      <alignment vertical="center" wrapText="1"/>
    </xf>
    <xf numFmtId="0" fontId="15" fillId="0" borderId="0" xfId="3" applyFont="1" applyAlignment="1">
      <alignment vertical="center" wrapText="1"/>
    </xf>
    <xf numFmtId="0" fontId="15" fillId="0" borderId="4" xfId="3" applyFont="1" applyBorder="1" applyAlignment="1">
      <alignment vertical="center" wrapText="1"/>
    </xf>
    <xf numFmtId="0" fontId="15" fillId="0" borderId="5" xfId="3" applyFont="1" applyBorder="1" applyAlignment="1">
      <alignment vertical="center" wrapText="1"/>
    </xf>
    <xf numFmtId="0" fontId="2" fillId="0" borderId="30" xfId="3" applyFont="1" applyBorder="1" applyAlignment="1">
      <alignment horizontal="center" vertical="center"/>
    </xf>
    <xf numFmtId="3" fontId="4" fillId="2" borderId="0" xfId="1" applyNumberFormat="1" applyFont="1" applyFill="1" applyAlignment="1">
      <alignment horizontal="center"/>
    </xf>
    <xf numFmtId="0" fontId="4" fillId="2" borderId="1" xfId="3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/>
    </xf>
    <xf numFmtId="14" fontId="4" fillId="2" borderId="1" xfId="2" applyNumberFormat="1" applyFont="1" applyFill="1" applyBorder="1" applyAlignment="1">
      <alignment horizontal="center" vertical="center" shrinkToFit="1"/>
    </xf>
    <xf numFmtId="0" fontId="9" fillId="2" borderId="1" xfId="6" applyFont="1" applyFill="1" applyBorder="1" applyAlignment="1">
      <alignment horizontal="center" vertical="center" wrapText="1"/>
    </xf>
    <xf numFmtId="168" fontId="9" fillId="2" borderId="1" xfId="6" applyNumberFormat="1" applyFont="1" applyFill="1" applyBorder="1" applyAlignment="1">
      <alignment horizontal="center" vertical="center" wrapText="1"/>
    </xf>
    <xf numFmtId="2" fontId="9" fillId="2" borderId="1" xfId="6" applyNumberFormat="1" applyFont="1" applyFill="1" applyBorder="1" applyAlignment="1">
      <alignment horizontal="center" vertical="center" wrapText="1"/>
    </xf>
    <xf numFmtId="166" fontId="30" fillId="2" borderId="1" xfId="3" applyNumberFormat="1" applyFont="1" applyFill="1" applyBorder="1" applyAlignment="1">
      <alignment horizontal="center" vertical="center"/>
    </xf>
    <xf numFmtId="0" fontId="31" fillId="0" borderId="1" xfId="6" applyFont="1" applyBorder="1" applyAlignment="1">
      <alignment horizontal="center" vertical="center" wrapText="1"/>
    </xf>
    <xf numFmtId="168" fontId="31" fillId="0" borderId="1" xfId="6" applyNumberFormat="1" applyFont="1" applyBorder="1" applyAlignment="1">
      <alignment horizontal="center" vertical="center" wrapText="1"/>
    </xf>
    <xf numFmtId="1" fontId="31" fillId="0" borderId="1" xfId="6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7" fillId="0" borderId="21" xfId="1" applyNumberFormat="1" applyFont="1" applyBorder="1" applyAlignment="1">
      <alignment horizontal="center" vertical="center" wrapText="1"/>
    </xf>
    <xf numFmtId="3" fontId="7" fillId="0" borderId="20" xfId="1" applyNumberFormat="1" applyFont="1" applyBorder="1" applyAlignment="1">
      <alignment horizontal="center" vertical="center" wrapText="1"/>
    </xf>
    <xf numFmtId="3" fontId="7" fillId="0" borderId="19" xfId="1" applyNumberFormat="1" applyFont="1" applyBorder="1" applyAlignment="1">
      <alignment horizontal="center" vertical="center" wrapText="1"/>
    </xf>
    <xf numFmtId="3" fontId="7" fillId="0" borderId="21" xfId="1" applyNumberFormat="1" applyFont="1" applyBorder="1" applyAlignment="1">
      <alignment horizontal="center" vertical="top" wrapText="1"/>
    </xf>
    <xf numFmtId="3" fontId="7" fillId="0" borderId="20" xfId="1" applyNumberFormat="1" applyFont="1" applyBorder="1" applyAlignment="1">
      <alignment horizontal="center" vertical="top" wrapText="1"/>
    </xf>
    <xf numFmtId="3" fontId="7" fillId="0" borderId="19" xfId="1" applyNumberFormat="1" applyFont="1" applyBorder="1" applyAlignment="1">
      <alignment horizontal="center" vertical="top" wrapText="1"/>
    </xf>
    <xf numFmtId="0" fontId="14" fillId="0" borderId="9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14" fontId="6" fillId="0" borderId="11" xfId="3" applyNumberFormat="1" applyFont="1" applyBorder="1" applyAlignment="1">
      <alignment horizontal="center" vertical="center"/>
    </xf>
    <xf numFmtId="3" fontId="7" fillId="0" borderId="0" xfId="1" applyNumberFormat="1" applyFont="1" applyAlignment="1">
      <alignment horizontal="center"/>
    </xf>
    <xf numFmtId="0" fontId="15" fillId="0" borderId="1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4" xfId="3" applyFont="1" applyBorder="1" applyAlignment="1">
      <alignment horizontal="center" vertical="center" wrapText="1"/>
    </xf>
    <xf numFmtId="3" fontId="7" fillId="0" borderId="6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3" fontId="7" fillId="0" borderId="4" xfId="1" applyNumberFormat="1" applyFont="1" applyBorder="1" applyAlignment="1">
      <alignment horizontal="center"/>
    </xf>
    <xf numFmtId="0" fontId="15" fillId="0" borderId="21" xfId="3" applyFont="1" applyBorder="1" applyAlignment="1">
      <alignment horizontal="center" vertical="center" wrapText="1"/>
    </xf>
    <xf numFmtId="0" fontId="15" fillId="0" borderId="20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166" fontId="19" fillId="0" borderId="1" xfId="3" applyNumberFormat="1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4" fillId="0" borderId="29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6" fontId="19" fillId="0" borderId="9" xfId="3" applyNumberFormat="1" applyFont="1" applyBorder="1" applyAlignment="1">
      <alignment horizontal="center" vertical="center"/>
    </xf>
    <xf numFmtId="166" fontId="19" fillId="0" borderId="7" xfId="3" applyNumberFormat="1" applyFont="1" applyBorder="1" applyAlignment="1">
      <alignment horizontal="center" vertical="center"/>
    </xf>
    <xf numFmtId="168" fontId="22" fillId="0" borderId="1" xfId="7" applyNumberFormat="1" applyFont="1" applyBorder="1" applyAlignment="1">
      <alignment horizontal="center" vertical="center" wrapText="1"/>
    </xf>
    <xf numFmtId="0" fontId="22" fillId="0" borderId="1" xfId="6" applyFont="1" applyBorder="1" applyAlignment="1">
      <alignment horizontal="center" vertical="center" wrapText="1"/>
    </xf>
    <xf numFmtId="0" fontId="15" fillId="0" borderId="9" xfId="3" applyFont="1" applyBorder="1" applyAlignment="1">
      <alignment horizontal="center" vertical="center" wrapText="1"/>
    </xf>
    <xf numFmtId="0" fontId="15" fillId="0" borderId="8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 vertical="center" wrapText="1"/>
    </xf>
    <xf numFmtId="3" fontId="7" fillId="0" borderId="5" xfId="1" applyNumberFormat="1" applyFont="1" applyBorder="1" applyAlignment="1">
      <alignment horizontal="center" vertical="center"/>
    </xf>
    <xf numFmtId="3" fontId="7" fillId="0" borderId="4" xfId="1" applyNumberFormat="1" applyFont="1" applyBorder="1" applyAlignment="1">
      <alignment horizontal="center" vertical="center"/>
    </xf>
    <xf numFmtId="3" fontId="7" fillId="0" borderId="6" xfId="1" applyNumberFormat="1" applyFont="1" applyBorder="1" applyAlignment="1">
      <alignment horizontal="center" vertical="center"/>
    </xf>
    <xf numFmtId="3" fontId="24" fillId="0" borderId="21" xfId="1" applyNumberFormat="1" applyFont="1" applyBorder="1" applyAlignment="1">
      <alignment horizontal="center" vertical="center" wrapText="1"/>
    </xf>
    <xf numFmtId="3" fontId="24" fillId="0" borderId="20" xfId="1" applyNumberFormat="1" applyFont="1" applyBorder="1" applyAlignment="1">
      <alignment horizontal="center" vertical="center" wrapText="1"/>
    </xf>
    <xf numFmtId="3" fontId="24" fillId="0" borderId="19" xfId="1" applyNumberFormat="1" applyFont="1" applyBorder="1" applyAlignment="1">
      <alignment horizontal="center" vertical="center" wrapText="1"/>
    </xf>
    <xf numFmtId="166" fontId="6" fillId="0" borderId="11" xfId="3" applyNumberFormat="1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166" fontId="27" fillId="0" borderId="1" xfId="2" applyNumberFormat="1" applyFont="1" applyBorder="1" applyAlignment="1">
      <alignment horizontal="center" vertical="center"/>
    </xf>
    <xf numFmtId="49" fontId="22" fillId="0" borderId="1" xfId="2" applyNumberFormat="1" applyFont="1" applyBorder="1" applyAlignment="1">
      <alignment horizontal="center" vertical="center" wrapText="1" shrinkToFit="1"/>
    </xf>
    <xf numFmtId="166" fontId="22" fillId="0" borderId="1" xfId="6" applyNumberFormat="1" applyFont="1" applyBorder="1" applyAlignment="1">
      <alignment horizontal="center" vertical="center" wrapText="1"/>
    </xf>
    <xf numFmtId="168" fontId="22" fillId="0" borderId="1" xfId="6" applyNumberFormat="1" applyFont="1" applyBorder="1" applyAlignment="1">
      <alignment horizontal="center" vertical="center" textRotation="90" wrapText="1"/>
    </xf>
    <xf numFmtId="168" fontId="22" fillId="0" borderId="3" xfId="6" applyNumberFormat="1" applyFont="1" applyBorder="1" applyAlignment="1">
      <alignment horizontal="center" vertical="center" textRotation="90" wrapText="1"/>
    </xf>
    <xf numFmtId="168" fontId="22" fillId="0" borderId="2" xfId="6" applyNumberFormat="1" applyFont="1" applyBorder="1" applyAlignment="1">
      <alignment horizontal="center" vertical="center" textRotation="90" wrapText="1"/>
    </xf>
    <xf numFmtId="0" fontId="22" fillId="0" borderId="1" xfId="6" applyFont="1" applyBorder="1" applyAlignment="1">
      <alignment horizontal="center" vertical="center" textRotation="90" wrapText="1"/>
    </xf>
    <xf numFmtId="169" fontId="19" fillId="0" borderId="0" xfId="3" applyNumberFormat="1" applyFont="1" applyAlignment="1">
      <alignment horizontal="center"/>
    </xf>
  </cellXfs>
  <cellStyles count="9">
    <cellStyle name="Bình thường 2" xfId="1" xr:uid="{348313E2-582F-40CE-A464-317830349D1B}"/>
    <cellStyle name="Comma 2" xfId="4" xr:uid="{6BA77AB4-F2E2-4102-9575-8C274E20310C}"/>
    <cellStyle name="Normal" xfId="0" builtinId="0"/>
    <cellStyle name="Normal 2" xfId="3" xr:uid="{A9A71C47-BB1B-4E08-AAA3-987221CF8A8D}"/>
    <cellStyle name="Normal 3" xfId="6" xr:uid="{616D27CF-186B-4CB3-80D2-C0F10F85923F}"/>
    <cellStyle name="Normal_Form" xfId="5" xr:uid="{684BE07A-5F2E-4B98-97BF-1B357B04C7BB}"/>
    <cellStyle name="표준_계측(양식)" xfId="2" xr:uid="{AD7383C1-DDF5-4A7C-8317-D35B758453C6}"/>
    <cellStyle name="常规_Sheet1" xfId="8" xr:uid="{464EAAFB-E351-4D52-8D88-ED8A4C066CAB}"/>
    <cellStyle name="常规_路堤稳定和沉降观测 - 沉降板" xfId="7" xr:uid="{9AF25940-9219-4D16-84A3-4016E4872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600"/>
              <a:t>Biểu</a:t>
            </a:r>
            <a:r>
              <a:rPr lang="en-US" sz="1600" baseline="0"/>
              <a:t> đồ </a:t>
            </a:r>
            <a:r>
              <a:rPr lang="en-US" sz="1600"/>
              <a:t>Bàn quan trắc lún-Lý trình: </a:t>
            </a:r>
            <a:r>
              <a:rPr lang="vi-VN" sz="1600"/>
              <a:t>Km124</a:t>
            </a:r>
            <a:r>
              <a:rPr lang="en-US" sz="1600"/>
              <a:t>+</a:t>
            </a:r>
            <a:r>
              <a:rPr lang="vi-VN" sz="1600"/>
              <a:t>900</a:t>
            </a:r>
            <a:endParaRPr lang="en-US" sz="1600"/>
          </a:p>
        </c:rich>
      </c:tx>
      <c:layout>
        <c:manualLayout>
          <c:xMode val="edge"/>
          <c:yMode val="edge"/>
          <c:x val="0.27933442158864558"/>
          <c:y val="3.052550787156746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8.2327672090272794E-2"/>
          <c:y val="0.11689154362426535"/>
          <c:w val="0.82793038334494096"/>
          <c:h val="0.70465939462866656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'SL.124+900 '!$L$11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'!$L$13:$L$396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-5.0000000000000044</c:v>
                </c:pt>
                <c:pt idx="17">
                  <c:v>-9.0000000000000071</c:v>
                </c:pt>
                <c:pt idx="18">
                  <c:v>-16.000000000000014</c:v>
                </c:pt>
                <c:pt idx="19">
                  <c:v>-20.999999999999989</c:v>
                </c:pt>
                <c:pt idx="20">
                  <c:v>-27.999999999999996</c:v>
                </c:pt>
                <c:pt idx="21">
                  <c:v>-34</c:v>
                </c:pt>
                <c:pt idx="22">
                  <c:v>-39.000000000000007</c:v>
                </c:pt>
                <c:pt idx="23">
                  <c:v>-45.000000000000014</c:v>
                </c:pt>
                <c:pt idx="24">
                  <c:v>-50.000000000000014</c:v>
                </c:pt>
                <c:pt idx="25">
                  <c:v>-55.999999999999993</c:v>
                </c:pt>
                <c:pt idx="26">
                  <c:v>-64</c:v>
                </c:pt>
                <c:pt idx="27">
                  <c:v>-74.000000000000014</c:v>
                </c:pt>
                <c:pt idx="28">
                  <c:v>-96</c:v>
                </c:pt>
                <c:pt idx="29">
                  <c:v>-115.99999999999999</c:v>
                </c:pt>
                <c:pt idx="30">
                  <c:v>-135</c:v>
                </c:pt>
                <c:pt idx="31">
                  <c:v>-153.00000000000003</c:v>
                </c:pt>
                <c:pt idx="32">
                  <c:v>-169.99999999999997</c:v>
                </c:pt>
                <c:pt idx="33">
                  <c:v>-184</c:v>
                </c:pt>
                <c:pt idx="34">
                  <c:v>-196</c:v>
                </c:pt>
                <c:pt idx="35">
                  <c:v>-207.00000000000003</c:v>
                </c:pt>
                <c:pt idx="36">
                  <c:v>-215.00000000000003</c:v>
                </c:pt>
                <c:pt idx="37">
                  <c:v>-220.00000000000003</c:v>
                </c:pt>
                <c:pt idx="38">
                  <c:v>-223.99999999999997</c:v>
                </c:pt>
                <c:pt idx="39">
                  <c:v>-234</c:v>
                </c:pt>
                <c:pt idx="40">
                  <c:v>-244</c:v>
                </c:pt>
                <c:pt idx="41">
                  <c:v>-254</c:v>
                </c:pt>
                <c:pt idx="42">
                  <c:v>-264</c:v>
                </c:pt>
                <c:pt idx="43">
                  <c:v>-274</c:v>
                </c:pt>
                <c:pt idx="44">
                  <c:v>-284.00000000000006</c:v>
                </c:pt>
                <c:pt idx="45">
                  <c:v>-294</c:v>
                </c:pt>
                <c:pt idx="46">
                  <c:v>-304</c:v>
                </c:pt>
                <c:pt idx="47">
                  <c:v>-314</c:v>
                </c:pt>
                <c:pt idx="48">
                  <c:v>-324</c:v>
                </c:pt>
                <c:pt idx="49">
                  <c:v>-334</c:v>
                </c:pt>
                <c:pt idx="50">
                  <c:v>-344</c:v>
                </c:pt>
                <c:pt idx="51">
                  <c:v>-354</c:v>
                </c:pt>
                <c:pt idx="52">
                  <c:v>-364</c:v>
                </c:pt>
                <c:pt idx="53">
                  <c:v>-374</c:v>
                </c:pt>
                <c:pt idx="54">
                  <c:v>-384</c:v>
                </c:pt>
                <c:pt idx="55">
                  <c:v>-394</c:v>
                </c:pt>
                <c:pt idx="56">
                  <c:v>-404</c:v>
                </c:pt>
                <c:pt idx="57">
                  <c:v>-414.00000000000006</c:v>
                </c:pt>
                <c:pt idx="58">
                  <c:v>-428.00000000000006</c:v>
                </c:pt>
                <c:pt idx="59">
                  <c:v>-442.99999999999994</c:v>
                </c:pt>
                <c:pt idx="60">
                  <c:v>-462.99999999999994</c:v>
                </c:pt>
                <c:pt idx="61">
                  <c:v>-482</c:v>
                </c:pt>
                <c:pt idx="62">
                  <c:v>-499</c:v>
                </c:pt>
                <c:pt idx="63">
                  <c:v>-517</c:v>
                </c:pt>
                <c:pt idx="64">
                  <c:v>-533</c:v>
                </c:pt>
                <c:pt idx="65">
                  <c:v>-549</c:v>
                </c:pt>
                <c:pt idx="66">
                  <c:v>-566.00000000000011</c:v>
                </c:pt>
                <c:pt idx="67">
                  <c:v>-584</c:v>
                </c:pt>
                <c:pt idx="68">
                  <c:v>-603</c:v>
                </c:pt>
                <c:pt idx="69">
                  <c:v>-618</c:v>
                </c:pt>
                <c:pt idx="70">
                  <c:v>-628</c:v>
                </c:pt>
                <c:pt idx="71">
                  <c:v>-638</c:v>
                </c:pt>
                <c:pt idx="72">
                  <c:v>-647</c:v>
                </c:pt>
                <c:pt idx="73">
                  <c:v>-655</c:v>
                </c:pt>
                <c:pt idx="74">
                  <c:v>-664</c:v>
                </c:pt>
                <c:pt idx="75">
                  <c:v>-672</c:v>
                </c:pt>
                <c:pt idx="76">
                  <c:v>-681</c:v>
                </c:pt>
                <c:pt idx="77">
                  <c:v>-689</c:v>
                </c:pt>
                <c:pt idx="78">
                  <c:v>-697</c:v>
                </c:pt>
                <c:pt idx="79">
                  <c:v>-705</c:v>
                </c:pt>
                <c:pt idx="80">
                  <c:v>-712</c:v>
                </c:pt>
                <c:pt idx="81">
                  <c:v>-718</c:v>
                </c:pt>
                <c:pt idx="82">
                  <c:v>-725</c:v>
                </c:pt>
                <c:pt idx="83">
                  <c:v>-731</c:v>
                </c:pt>
                <c:pt idx="84">
                  <c:v>-738</c:v>
                </c:pt>
                <c:pt idx="85">
                  <c:v>-744</c:v>
                </c:pt>
                <c:pt idx="86">
                  <c:v>-749</c:v>
                </c:pt>
                <c:pt idx="87">
                  <c:v>-754</c:v>
                </c:pt>
                <c:pt idx="88">
                  <c:v>-758</c:v>
                </c:pt>
                <c:pt idx="89">
                  <c:v>-764</c:v>
                </c:pt>
                <c:pt idx="90">
                  <c:v>-769</c:v>
                </c:pt>
                <c:pt idx="91">
                  <c:v>-776</c:v>
                </c:pt>
                <c:pt idx="92">
                  <c:v>-781</c:v>
                </c:pt>
                <c:pt idx="93">
                  <c:v>-791</c:v>
                </c:pt>
                <c:pt idx="94">
                  <c:v>-801</c:v>
                </c:pt>
                <c:pt idx="95">
                  <c:v>-811</c:v>
                </c:pt>
                <c:pt idx="96">
                  <c:v>-821</c:v>
                </c:pt>
                <c:pt idx="97">
                  <c:v>-831</c:v>
                </c:pt>
                <c:pt idx="98">
                  <c:v>-841</c:v>
                </c:pt>
                <c:pt idx="99">
                  <c:v>-851</c:v>
                </c:pt>
                <c:pt idx="100">
                  <c:v>-861</c:v>
                </c:pt>
                <c:pt idx="101">
                  <c:v>-871</c:v>
                </c:pt>
                <c:pt idx="102">
                  <c:v>-881</c:v>
                </c:pt>
                <c:pt idx="103">
                  <c:v>-891</c:v>
                </c:pt>
                <c:pt idx="104">
                  <c:v>-901</c:v>
                </c:pt>
                <c:pt idx="105">
                  <c:v>-911</c:v>
                </c:pt>
                <c:pt idx="106">
                  <c:v>-921</c:v>
                </c:pt>
                <c:pt idx="107">
                  <c:v>-931</c:v>
                </c:pt>
                <c:pt idx="108">
                  <c:v>-941.00000000000011</c:v>
                </c:pt>
                <c:pt idx="109">
                  <c:v>-951.00000000000011</c:v>
                </c:pt>
                <c:pt idx="110">
                  <c:v>-961.00000000000011</c:v>
                </c:pt>
                <c:pt idx="111">
                  <c:v>-971.00000000000011</c:v>
                </c:pt>
                <c:pt idx="112">
                  <c:v>-981.00000000000011</c:v>
                </c:pt>
                <c:pt idx="113">
                  <c:v>-991.00000000000011</c:v>
                </c:pt>
                <c:pt idx="114">
                  <c:v>-1001.0000000000001</c:v>
                </c:pt>
                <c:pt idx="115">
                  <c:v>-1010.9999999999999</c:v>
                </c:pt>
                <c:pt idx="116">
                  <c:v>-1020.9999999999999</c:v>
                </c:pt>
                <c:pt idx="117">
                  <c:v>-1031</c:v>
                </c:pt>
                <c:pt idx="118">
                  <c:v>-1041</c:v>
                </c:pt>
                <c:pt idx="119">
                  <c:v>-1051</c:v>
                </c:pt>
                <c:pt idx="120">
                  <c:v>-1061</c:v>
                </c:pt>
                <c:pt idx="121">
                  <c:v>-1071</c:v>
                </c:pt>
                <c:pt idx="122">
                  <c:v>-1081</c:v>
                </c:pt>
                <c:pt idx="123">
                  <c:v>-1091</c:v>
                </c:pt>
                <c:pt idx="124">
                  <c:v>-1101</c:v>
                </c:pt>
                <c:pt idx="125">
                  <c:v>-1111</c:v>
                </c:pt>
                <c:pt idx="126">
                  <c:v>-1121</c:v>
                </c:pt>
                <c:pt idx="127">
                  <c:v>-1131</c:v>
                </c:pt>
                <c:pt idx="128">
                  <c:v>-1141</c:v>
                </c:pt>
                <c:pt idx="129">
                  <c:v>-1151</c:v>
                </c:pt>
                <c:pt idx="130">
                  <c:v>-1161</c:v>
                </c:pt>
                <c:pt idx="131">
                  <c:v>-1191</c:v>
                </c:pt>
                <c:pt idx="132">
                  <c:v>-1236</c:v>
                </c:pt>
                <c:pt idx="133">
                  <c:v>-1262</c:v>
                </c:pt>
                <c:pt idx="134">
                  <c:v>-1305</c:v>
                </c:pt>
                <c:pt idx="135">
                  <c:v>-1325</c:v>
                </c:pt>
                <c:pt idx="136">
                  <c:v>-1353</c:v>
                </c:pt>
                <c:pt idx="137">
                  <c:v>-1367</c:v>
                </c:pt>
                <c:pt idx="138">
                  <c:v>-1391</c:v>
                </c:pt>
                <c:pt idx="139">
                  <c:v>-1421</c:v>
                </c:pt>
                <c:pt idx="140">
                  <c:v>-1445</c:v>
                </c:pt>
                <c:pt idx="141">
                  <c:v>-1467</c:v>
                </c:pt>
                <c:pt idx="142">
                  <c:v>-1487</c:v>
                </c:pt>
                <c:pt idx="143">
                  <c:v>-1505</c:v>
                </c:pt>
                <c:pt idx="144">
                  <c:v>-1521</c:v>
                </c:pt>
                <c:pt idx="145">
                  <c:v>-1537</c:v>
                </c:pt>
                <c:pt idx="146">
                  <c:v>-1549</c:v>
                </c:pt>
                <c:pt idx="147">
                  <c:v>-1561</c:v>
                </c:pt>
                <c:pt idx="148">
                  <c:v>-1571</c:v>
                </c:pt>
                <c:pt idx="149">
                  <c:v>-1580</c:v>
                </c:pt>
                <c:pt idx="150">
                  <c:v>-1589</c:v>
                </c:pt>
                <c:pt idx="151">
                  <c:v>-1597</c:v>
                </c:pt>
                <c:pt idx="152">
                  <c:v>-1605</c:v>
                </c:pt>
                <c:pt idx="153">
                  <c:v>-1613</c:v>
                </c:pt>
                <c:pt idx="154">
                  <c:v>-1619</c:v>
                </c:pt>
                <c:pt idx="155">
                  <c:v>-1623</c:v>
                </c:pt>
                <c:pt idx="156">
                  <c:v>-1627</c:v>
                </c:pt>
                <c:pt idx="157">
                  <c:v>-1631</c:v>
                </c:pt>
                <c:pt idx="158">
                  <c:v>-1635</c:v>
                </c:pt>
                <c:pt idx="159">
                  <c:v>-1637</c:v>
                </c:pt>
                <c:pt idx="160">
                  <c:v>-1639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6-4392-8E04-F7692D09A9D6}"/>
            </c:ext>
          </c:extLst>
        </c:ser>
        <c:ser>
          <c:idx val="2"/>
          <c:order val="2"/>
          <c:tx>
            <c:strRef>
              <c:f>'SL.124+900 '!$M$11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'!$M$13:$M$396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-7.0000000000000062</c:v>
                </c:pt>
                <c:pt idx="17">
                  <c:v>-14.000000000000012</c:v>
                </c:pt>
                <c:pt idx="18">
                  <c:v>-19.999999999999989</c:v>
                </c:pt>
                <c:pt idx="19">
                  <c:v>-26.999999999999996</c:v>
                </c:pt>
                <c:pt idx="20">
                  <c:v>-33</c:v>
                </c:pt>
                <c:pt idx="21">
                  <c:v>-40.000000000000007</c:v>
                </c:pt>
                <c:pt idx="22">
                  <c:v>-47.000000000000014</c:v>
                </c:pt>
                <c:pt idx="23">
                  <c:v>-52.999999999999993</c:v>
                </c:pt>
                <c:pt idx="24">
                  <c:v>-60</c:v>
                </c:pt>
                <c:pt idx="25">
                  <c:v>-67</c:v>
                </c:pt>
                <c:pt idx="26">
                  <c:v>-70</c:v>
                </c:pt>
                <c:pt idx="27">
                  <c:v>-81.999999999999986</c:v>
                </c:pt>
                <c:pt idx="28">
                  <c:v>-102.00000000000001</c:v>
                </c:pt>
                <c:pt idx="29">
                  <c:v>-120</c:v>
                </c:pt>
                <c:pt idx="30">
                  <c:v>-137</c:v>
                </c:pt>
                <c:pt idx="31">
                  <c:v>-153.00000000000003</c:v>
                </c:pt>
                <c:pt idx="32">
                  <c:v>-166.99999999999997</c:v>
                </c:pt>
                <c:pt idx="33">
                  <c:v>-180</c:v>
                </c:pt>
                <c:pt idx="34">
                  <c:v>-190</c:v>
                </c:pt>
                <c:pt idx="35">
                  <c:v>-200</c:v>
                </c:pt>
                <c:pt idx="36">
                  <c:v>-208.00000000000003</c:v>
                </c:pt>
                <c:pt idx="37">
                  <c:v>-212.00000000000003</c:v>
                </c:pt>
                <c:pt idx="38">
                  <c:v>-216.00000000000003</c:v>
                </c:pt>
                <c:pt idx="39">
                  <c:v>-221.99999999999997</c:v>
                </c:pt>
                <c:pt idx="40">
                  <c:v>-227.99999999999997</c:v>
                </c:pt>
                <c:pt idx="41">
                  <c:v>-232.99999999999997</c:v>
                </c:pt>
                <c:pt idx="42">
                  <c:v>-239</c:v>
                </c:pt>
                <c:pt idx="43">
                  <c:v>-244</c:v>
                </c:pt>
                <c:pt idx="44">
                  <c:v>-250</c:v>
                </c:pt>
                <c:pt idx="45">
                  <c:v>-255</c:v>
                </c:pt>
                <c:pt idx="46">
                  <c:v>-261</c:v>
                </c:pt>
                <c:pt idx="47">
                  <c:v>-271</c:v>
                </c:pt>
                <c:pt idx="48">
                  <c:v>-281</c:v>
                </c:pt>
                <c:pt idx="49">
                  <c:v>-291</c:v>
                </c:pt>
                <c:pt idx="50">
                  <c:v>-301</c:v>
                </c:pt>
                <c:pt idx="51">
                  <c:v>-311</c:v>
                </c:pt>
                <c:pt idx="52">
                  <c:v>-321</c:v>
                </c:pt>
                <c:pt idx="53">
                  <c:v>-331</c:v>
                </c:pt>
                <c:pt idx="54">
                  <c:v>-341</c:v>
                </c:pt>
                <c:pt idx="55">
                  <c:v>-351</c:v>
                </c:pt>
                <c:pt idx="56">
                  <c:v>-361</c:v>
                </c:pt>
                <c:pt idx="57">
                  <c:v>-371</c:v>
                </c:pt>
                <c:pt idx="58">
                  <c:v>-387</c:v>
                </c:pt>
                <c:pt idx="59">
                  <c:v>-418.00000000000006</c:v>
                </c:pt>
                <c:pt idx="60">
                  <c:v>-445.99999999999994</c:v>
                </c:pt>
                <c:pt idx="61">
                  <c:v>-473</c:v>
                </c:pt>
                <c:pt idx="62">
                  <c:v>-503</c:v>
                </c:pt>
                <c:pt idx="63">
                  <c:v>-529</c:v>
                </c:pt>
                <c:pt idx="64">
                  <c:v>-559</c:v>
                </c:pt>
                <c:pt idx="65">
                  <c:v>-584</c:v>
                </c:pt>
                <c:pt idx="66">
                  <c:v>-614</c:v>
                </c:pt>
                <c:pt idx="67">
                  <c:v>-641</c:v>
                </c:pt>
                <c:pt idx="68">
                  <c:v>-670</c:v>
                </c:pt>
                <c:pt idx="69">
                  <c:v>-698</c:v>
                </c:pt>
                <c:pt idx="70">
                  <c:v>-724</c:v>
                </c:pt>
                <c:pt idx="71">
                  <c:v>-749</c:v>
                </c:pt>
                <c:pt idx="72">
                  <c:v>-759</c:v>
                </c:pt>
                <c:pt idx="73">
                  <c:v>-769</c:v>
                </c:pt>
                <c:pt idx="74">
                  <c:v>-779</c:v>
                </c:pt>
                <c:pt idx="75">
                  <c:v>-789</c:v>
                </c:pt>
                <c:pt idx="76">
                  <c:v>-799</c:v>
                </c:pt>
                <c:pt idx="77">
                  <c:v>-809</c:v>
                </c:pt>
                <c:pt idx="78">
                  <c:v>-819</c:v>
                </c:pt>
                <c:pt idx="79">
                  <c:v>-829</c:v>
                </c:pt>
                <c:pt idx="80">
                  <c:v>-839</c:v>
                </c:pt>
                <c:pt idx="81">
                  <c:v>-849</c:v>
                </c:pt>
                <c:pt idx="82">
                  <c:v>-859</c:v>
                </c:pt>
                <c:pt idx="83">
                  <c:v>-869</c:v>
                </c:pt>
                <c:pt idx="84">
                  <c:v>-879</c:v>
                </c:pt>
                <c:pt idx="85">
                  <c:v>-889</c:v>
                </c:pt>
                <c:pt idx="86">
                  <c:v>-899</c:v>
                </c:pt>
                <c:pt idx="87">
                  <c:v>-909</c:v>
                </c:pt>
                <c:pt idx="88">
                  <c:v>-919</c:v>
                </c:pt>
                <c:pt idx="89">
                  <c:v>-929</c:v>
                </c:pt>
                <c:pt idx="90">
                  <c:v>-939</c:v>
                </c:pt>
                <c:pt idx="91">
                  <c:v>-949.00000000000011</c:v>
                </c:pt>
                <c:pt idx="92">
                  <c:v>-959.00000000000011</c:v>
                </c:pt>
                <c:pt idx="93">
                  <c:v>-969.00000000000011</c:v>
                </c:pt>
                <c:pt idx="94">
                  <c:v>-979.00000000000011</c:v>
                </c:pt>
                <c:pt idx="95">
                  <c:v>-989.00000000000011</c:v>
                </c:pt>
                <c:pt idx="96">
                  <c:v>-999.00000000000011</c:v>
                </c:pt>
                <c:pt idx="97">
                  <c:v>-1008.9999999999999</c:v>
                </c:pt>
                <c:pt idx="98">
                  <c:v>-1018.9999999999999</c:v>
                </c:pt>
                <c:pt idx="99">
                  <c:v>-1034</c:v>
                </c:pt>
                <c:pt idx="100">
                  <c:v>-1044</c:v>
                </c:pt>
                <c:pt idx="101">
                  <c:v>-1054</c:v>
                </c:pt>
                <c:pt idx="102">
                  <c:v>-1064</c:v>
                </c:pt>
                <c:pt idx="103">
                  <c:v>-1074</c:v>
                </c:pt>
                <c:pt idx="104">
                  <c:v>-1089</c:v>
                </c:pt>
                <c:pt idx="105">
                  <c:v>-1099</c:v>
                </c:pt>
                <c:pt idx="106">
                  <c:v>-1109</c:v>
                </c:pt>
                <c:pt idx="107">
                  <c:v>-1119</c:v>
                </c:pt>
                <c:pt idx="108">
                  <c:v>-1129</c:v>
                </c:pt>
                <c:pt idx="109">
                  <c:v>-1139</c:v>
                </c:pt>
                <c:pt idx="110">
                  <c:v>-1154</c:v>
                </c:pt>
                <c:pt idx="111">
                  <c:v>-1164</c:v>
                </c:pt>
                <c:pt idx="112">
                  <c:v>-1174</c:v>
                </c:pt>
                <c:pt idx="113">
                  <c:v>-1184</c:v>
                </c:pt>
                <c:pt idx="114">
                  <c:v>-1194</c:v>
                </c:pt>
                <c:pt idx="115">
                  <c:v>-1209</c:v>
                </c:pt>
                <c:pt idx="116">
                  <c:v>-1219</c:v>
                </c:pt>
                <c:pt idx="117">
                  <c:v>-1229</c:v>
                </c:pt>
                <c:pt idx="118">
                  <c:v>-1244</c:v>
                </c:pt>
                <c:pt idx="119">
                  <c:v>-1254</c:v>
                </c:pt>
                <c:pt idx="120">
                  <c:v>-1264</c:v>
                </c:pt>
                <c:pt idx="121">
                  <c:v>-1274</c:v>
                </c:pt>
                <c:pt idx="122">
                  <c:v>-1289</c:v>
                </c:pt>
                <c:pt idx="123">
                  <c:v>-1299</c:v>
                </c:pt>
                <c:pt idx="124">
                  <c:v>-1309</c:v>
                </c:pt>
                <c:pt idx="125">
                  <c:v>-1324</c:v>
                </c:pt>
                <c:pt idx="126">
                  <c:v>-1334</c:v>
                </c:pt>
                <c:pt idx="127">
                  <c:v>-1349</c:v>
                </c:pt>
                <c:pt idx="128">
                  <c:v>-1359</c:v>
                </c:pt>
                <c:pt idx="129">
                  <c:v>-1369</c:v>
                </c:pt>
                <c:pt idx="130">
                  <c:v>-1379</c:v>
                </c:pt>
                <c:pt idx="131">
                  <c:v>-1409</c:v>
                </c:pt>
                <c:pt idx="132">
                  <c:v>-1459</c:v>
                </c:pt>
                <c:pt idx="133">
                  <c:v>-1494</c:v>
                </c:pt>
                <c:pt idx="134">
                  <c:v>-1539</c:v>
                </c:pt>
                <c:pt idx="135">
                  <c:v>-1565</c:v>
                </c:pt>
                <c:pt idx="136">
                  <c:v>-1605</c:v>
                </c:pt>
                <c:pt idx="137">
                  <c:v>-1627</c:v>
                </c:pt>
                <c:pt idx="138">
                  <c:v>-1663</c:v>
                </c:pt>
                <c:pt idx="139">
                  <c:v>-1699</c:v>
                </c:pt>
                <c:pt idx="140">
                  <c:v>-1731</c:v>
                </c:pt>
                <c:pt idx="141">
                  <c:v>-1761</c:v>
                </c:pt>
                <c:pt idx="142">
                  <c:v>-1786</c:v>
                </c:pt>
                <c:pt idx="143">
                  <c:v>-1808</c:v>
                </c:pt>
                <c:pt idx="144">
                  <c:v>-1828</c:v>
                </c:pt>
                <c:pt idx="145">
                  <c:v>-1846</c:v>
                </c:pt>
                <c:pt idx="146">
                  <c:v>-1860</c:v>
                </c:pt>
                <c:pt idx="147">
                  <c:v>-1870</c:v>
                </c:pt>
                <c:pt idx="148">
                  <c:v>-1880.0000000000002</c:v>
                </c:pt>
                <c:pt idx="149">
                  <c:v>-1889</c:v>
                </c:pt>
                <c:pt idx="150">
                  <c:v>-1898</c:v>
                </c:pt>
                <c:pt idx="151">
                  <c:v>-1906.9999999999998</c:v>
                </c:pt>
                <c:pt idx="152">
                  <c:v>-1916.0000000000002</c:v>
                </c:pt>
                <c:pt idx="153">
                  <c:v>-1924.0000000000002</c:v>
                </c:pt>
                <c:pt idx="154">
                  <c:v>-1930</c:v>
                </c:pt>
                <c:pt idx="155">
                  <c:v>-1936.0000000000002</c:v>
                </c:pt>
                <c:pt idx="156">
                  <c:v>-1942</c:v>
                </c:pt>
                <c:pt idx="157">
                  <c:v>-1948.0000000000002</c:v>
                </c:pt>
                <c:pt idx="158">
                  <c:v>-1952.0000000000002</c:v>
                </c:pt>
                <c:pt idx="159">
                  <c:v>-1956.0000000000002</c:v>
                </c:pt>
                <c:pt idx="160">
                  <c:v>-1958.9999999999998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66-4392-8E04-F7692D09A9D6}"/>
            </c:ext>
          </c:extLst>
        </c:ser>
        <c:ser>
          <c:idx val="3"/>
          <c:order val="3"/>
          <c:tx>
            <c:strRef>
              <c:f>'SL.124+900 '!$N$11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'!$N$13:$N$396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-7.9999999999999929</c:v>
                </c:pt>
                <c:pt idx="17">
                  <c:v>-16</c:v>
                </c:pt>
                <c:pt idx="18">
                  <c:v>-23.000000000000007</c:v>
                </c:pt>
                <c:pt idx="19">
                  <c:v>-30.999999999999986</c:v>
                </c:pt>
                <c:pt idx="20">
                  <c:v>-36.999999999999993</c:v>
                </c:pt>
                <c:pt idx="21">
                  <c:v>-44</c:v>
                </c:pt>
                <c:pt idx="22">
                  <c:v>-52.000000000000007</c:v>
                </c:pt>
                <c:pt idx="23">
                  <c:v>-58.000000000000007</c:v>
                </c:pt>
                <c:pt idx="24">
                  <c:v>-64.999999999999986</c:v>
                </c:pt>
                <c:pt idx="25">
                  <c:v>-71</c:v>
                </c:pt>
                <c:pt idx="26">
                  <c:v>-76</c:v>
                </c:pt>
                <c:pt idx="27">
                  <c:v>-86</c:v>
                </c:pt>
                <c:pt idx="28">
                  <c:v>-104</c:v>
                </c:pt>
                <c:pt idx="29">
                  <c:v>-120.00000000000001</c:v>
                </c:pt>
                <c:pt idx="30">
                  <c:v>-136</c:v>
                </c:pt>
                <c:pt idx="31">
                  <c:v>-151.00000000000003</c:v>
                </c:pt>
                <c:pt idx="32">
                  <c:v>-164.00000000000003</c:v>
                </c:pt>
                <c:pt idx="33">
                  <c:v>-177</c:v>
                </c:pt>
                <c:pt idx="34">
                  <c:v>-188</c:v>
                </c:pt>
                <c:pt idx="35">
                  <c:v>-198</c:v>
                </c:pt>
                <c:pt idx="36">
                  <c:v>-206.00000000000003</c:v>
                </c:pt>
                <c:pt idx="37">
                  <c:v>-209.00000000000003</c:v>
                </c:pt>
                <c:pt idx="38">
                  <c:v>-212.00000000000003</c:v>
                </c:pt>
                <c:pt idx="39">
                  <c:v>-217.00000000000003</c:v>
                </c:pt>
                <c:pt idx="40">
                  <c:v>-222.00000000000003</c:v>
                </c:pt>
                <c:pt idx="41">
                  <c:v>-227.00000000000003</c:v>
                </c:pt>
                <c:pt idx="42">
                  <c:v>-230.99999999999997</c:v>
                </c:pt>
                <c:pt idx="43">
                  <c:v>-236</c:v>
                </c:pt>
                <c:pt idx="44">
                  <c:v>-240</c:v>
                </c:pt>
                <c:pt idx="45">
                  <c:v>-245</c:v>
                </c:pt>
                <c:pt idx="46">
                  <c:v>-249</c:v>
                </c:pt>
                <c:pt idx="47">
                  <c:v>-254</c:v>
                </c:pt>
                <c:pt idx="48">
                  <c:v>-258</c:v>
                </c:pt>
                <c:pt idx="49">
                  <c:v>-263</c:v>
                </c:pt>
                <c:pt idx="50">
                  <c:v>-266</c:v>
                </c:pt>
                <c:pt idx="51">
                  <c:v>-271</c:v>
                </c:pt>
                <c:pt idx="52">
                  <c:v>-275</c:v>
                </c:pt>
                <c:pt idx="53">
                  <c:v>-280</c:v>
                </c:pt>
                <c:pt idx="54">
                  <c:v>-284.00000000000006</c:v>
                </c:pt>
                <c:pt idx="55">
                  <c:v>-287.00000000000006</c:v>
                </c:pt>
                <c:pt idx="56">
                  <c:v>-291.00000000000006</c:v>
                </c:pt>
                <c:pt idx="57">
                  <c:v>-301</c:v>
                </c:pt>
                <c:pt idx="58">
                  <c:v>-315</c:v>
                </c:pt>
                <c:pt idx="59">
                  <c:v>-341</c:v>
                </c:pt>
                <c:pt idx="60">
                  <c:v>-364</c:v>
                </c:pt>
                <c:pt idx="61">
                  <c:v>-388</c:v>
                </c:pt>
                <c:pt idx="62">
                  <c:v>-411.00000000000006</c:v>
                </c:pt>
                <c:pt idx="63">
                  <c:v>-435.00000000000006</c:v>
                </c:pt>
                <c:pt idx="64">
                  <c:v>-460.99999999999994</c:v>
                </c:pt>
                <c:pt idx="65">
                  <c:v>-485</c:v>
                </c:pt>
                <c:pt idx="66">
                  <c:v>-508</c:v>
                </c:pt>
                <c:pt idx="67">
                  <c:v>-530</c:v>
                </c:pt>
                <c:pt idx="68">
                  <c:v>-551</c:v>
                </c:pt>
                <c:pt idx="69">
                  <c:v>-571.00000000000011</c:v>
                </c:pt>
                <c:pt idx="70">
                  <c:v>-590</c:v>
                </c:pt>
                <c:pt idx="71">
                  <c:v>-608</c:v>
                </c:pt>
                <c:pt idx="72">
                  <c:v>-625</c:v>
                </c:pt>
                <c:pt idx="73">
                  <c:v>-641</c:v>
                </c:pt>
                <c:pt idx="74">
                  <c:v>-656</c:v>
                </c:pt>
                <c:pt idx="75">
                  <c:v>-670</c:v>
                </c:pt>
                <c:pt idx="76">
                  <c:v>-680</c:v>
                </c:pt>
                <c:pt idx="77">
                  <c:v>-689</c:v>
                </c:pt>
                <c:pt idx="78">
                  <c:v>-697.00000000000011</c:v>
                </c:pt>
                <c:pt idx="79">
                  <c:v>-705</c:v>
                </c:pt>
                <c:pt idx="80">
                  <c:v>-712</c:v>
                </c:pt>
                <c:pt idx="81">
                  <c:v>-718</c:v>
                </c:pt>
                <c:pt idx="82">
                  <c:v>-723</c:v>
                </c:pt>
                <c:pt idx="83">
                  <c:v>-730</c:v>
                </c:pt>
                <c:pt idx="84">
                  <c:v>-736</c:v>
                </c:pt>
                <c:pt idx="85">
                  <c:v>-740</c:v>
                </c:pt>
                <c:pt idx="86">
                  <c:v>-743</c:v>
                </c:pt>
                <c:pt idx="87">
                  <c:v>-748</c:v>
                </c:pt>
                <c:pt idx="88">
                  <c:v>-752</c:v>
                </c:pt>
                <c:pt idx="89">
                  <c:v>-754</c:v>
                </c:pt>
                <c:pt idx="90">
                  <c:v>-759</c:v>
                </c:pt>
                <c:pt idx="91">
                  <c:v>-763</c:v>
                </c:pt>
                <c:pt idx="92">
                  <c:v>-768</c:v>
                </c:pt>
                <c:pt idx="93">
                  <c:v>-772</c:v>
                </c:pt>
                <c:pt idx="94">
                  <c:v>-774</c:v>
                </c:pt>
                <c:pt idx="95">
                  <c:v>-777</c:v>
                </c:pt>
                <c:pt idx="96">
                  <c:v>-781</c:v>
                </c:pt>
                <c:pt idx="97">
                  <c:v>-786</c:v>
                </c:pt>
                <c:pt idx="98">
                  <c:v>-788</c:v>
                </c:pt>
                <c:pt idx="99">
                  <c:v>-794</c:v>
                </c:pt>
                <c:pt idx="100">
                  <c:v>-799</c:v>
                </c:pt>
                <c:pt idx="101">
                  <c:v>-805</c:v>
                </c:pt>
                <c:pt idx="102">
                  <c:v>-809</c:v>
                </c:pt>
                <c:pt idx="103">
                  <c:v>-812</c:v>
                </c:pt>
                <c:pt idx="104">
                  <c:v>-817.00000000000011</c:v>
                </c:pt>
                <c:pt idx="105">
                  <c:v>-821.00000000000011</c:v>
                </c:pt>
                <c:pt idx="106">
                  <c:v>-824.00000000000011</c:v>
                </c:pt>
                <c:pt idx="107">
                  <c:v>-826</c:v>
                </c:pt>
                <c:pt idx="108">
                  <c:v>-831</c:v>
                </c:pt>
                <c:pt idx="109">
                  <c:v>-835</c:v>
                </c:pt>
                <c:pt idx="110">
                  <c:v>-843</c:v>
                </c:pt>
                <c:pt idx="111">
                  <c:v>-850</c:v>
                </c:pt>
                <c:pt idx="112">
                  <c:v>-858</c:v>
                </c:pt>
                <c:pt idx="113">
                  <c:v>-864</c:v>
                </c:pt>
                <c:pt idx="114">
                  <c:v>-868</c:v>
                </c:pt>
                <c:pt idx="115">
                  <c:v>-876</c:v>
                </c:pt>
                <c:pt idx="116">
                  <c:v>-883</c:v>
                </c:pt>
                <c:pt idx="117">
                  <c:v>-889</c:v>
                </c:pt>
                <c:pt idx="118">
                  <c:v>-893.99999999999989</c:v>
                </c:pt>
                <c:pt idx="119">
                  <c:v>-899.99999999999989</c:v>
                </c:pt>
                <c:pt idx="120">
                  <c:v>-905</c:v>
                </c:pt>
                <c:pt idx="121">
                  <c:v>-913</c:v>
                </c:pt>
                <c:pt idx="122">
                  <c:v>-917</c:v>
                </c:pt>
                <c:pt idx="123">
                  <c:v>-921.99999999999989</c:v>
                </c:pt>
                <c:pt idx="124">
                  <c:v>-927</c:v>
                </c:pt>
                <c:pt idx="125">
                  <c:v>-937</c:v>
                </c:pt>
                <c:pt idx="126">
                  <c:v>-947.00000000000011</c:v>
                </c:pt>
                <c:pt idx="127">
                  <c:v>-957.00000000000011</c:v>
                </c:pt>
                <c:pt idx="128">
                  <c:v>-967.00000000000011</c:v>
                </c:pt>
                <c:pt idx="129">
                  <c:v>-971.00000000000011</c:v>
                </c:pt>
                <c:pt idx="130">
                  <c:v>-974</c:v>
                </c:pt>
                <c:pt idx="131">
                  <c:v>-1002</c:v>
                </c:pt>
                <c:pt idx="132">
                  <c:v>-1044</c:v>
                </c:pt>
                <c:pt idx="133">
                  <c:v>-1068</c:v>
                </c:pt>
                <c:pt idx="134">
                  <c:v>-1108</c:v>
                </c:pt>
                <c:pt idx="135">
                  <c:v>-1128</c:v>
                </c:pt>
                <c:pt idx="136">
                  <c:v>-1158</c:v>
                </c:pt>
                <c:pt idx="137">
                  <c:v>-1174</c:v>
                </c:pt>
                <c:pt idx="138">
                  <c:v>-1202</c:v>
                </c:pt>
                <c:pt idx="139">
                  <c:v>-1232</c:v>
                </c:pt>
                <c:pt idx="140">
                  <c:v>-1252</c:v>
                </c:pt>
                <c:pt idx="141">
                  <c:v>-1272</c:v>
                </c:pt>
                <c:pt idx="142">
                  <c:v>-1290</c:v>
                </c:pt>
                <c:pt idx="143">
                  <c:v>-1306</c:v>
                </c:pt>
                <c:pt idx="144">
                  <c:v>-1320</c:v>
                </c:pt>
                <c:pt idx="145">
                  <c:v>-1334</c:v>
                </c:pt>
                <c:pt idx="146">
                  <c:v>-1344</c:v>
                </c:pt>
                <c:pt idx="147">
                  <c:v>-1353</c:v>
                </c:pt>
                <c:pt idx="148">
                  <c:v>-1362</c:v>
                </c:pt>
                <c:pt idx="149">
                  <c:v>-1370</c:v>
                </c:pt>
                <c:pt idx="150">
                  <c:v>-1378</c:v>
                </c:pt>
                <c:pt idx="151">
                  <c:v>-1386.0000000000002</c:v>
                </c:pt>
                <c:pt idx="152">
                  <c:v>-1392</c:v>
                </c:pt>
                <c:pt idx="153">
                  <c:v>-1398</c:v>
                </c:pt>
                <c:pt idx="154">
                  <c:v>-1404</c:v>
                </c:pt>
                <c:pt idx="155">
                  <c:v>-1408</c:v>
                </c:pt>
                <c:pt idx="156">
                  <c:v>-1412</c:v>
                </c:pt>
                <c:pt idx="157">
                  <c:v>-1414</c:v>
                </c:pt>
                <c:pt idx="158">
                  <c:v>-1416</c:v>
                </c:pt>
                <c:pt idx="159">
                  <c:v>-1418</c:v>
                </c:pt>
                <c:pt idx="160">
                  <c:v>-1420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66-4392-8E04-F7692D09A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38272"/>
        <c:axId val="837438848"/>
      </c:scatterChart>
      <c:scatterChart>
        <c:scatterStyle val="lineMarker"/>
        <c:varyColors val="0"/>
        <c:ser>
          <c:idx val="0"/>
          <c:order val="0"/>
          <c:tx>
            <c:strRef>
              <c:f>'SL.124+900 '!$C$11:$C$12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'SL.124+900 '!$A$13:$A$699</c:f>
              <c:numCache>
                <c:formatCode>dd/mm/yyyy;@</c:formatCode>
                <c:ptCount val="687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'!$C$13:$C$699</c:f>
              <c:numCache>
                <c:formatCode>0.000</c:formatCode>
                <c:ptCount val="687"/>
                <c:pt idx="0">
                  <c:v>-0.123</c:v>
                </c:pt>
                <c:pt idx="1">
                  <c:v>-0.123</c:v>
                </c:pt>
                <c:pt idx="2">
                  <c:v>-0.123</c:v>
                </c:pt>
                <c:pt idx="3">
                  <c:v>-0.123</c:v>
                </c:pt>
                <c:pt idx="4">
                  <c:v>-0.123</c:v>
                </c:pt>
                <c:pt idx="5">
                  <c:v>-0.123</c:v>
                </c:pt>
                <c:pt idx="6">
                  <c:v>-0.123</c:v>
                </c:pt>
                <c:pt idx="7">
                  <c:v>-0.123</c:v>
                </c:pt>
                <c:pt idx="8">
                  <c:v>-0.123</c:v>
                </c:pt>
                <c:pt idx="9">
                  <c:v>-0.123</c:v>
                </c:pt>
                <c:pt idx="10">
                  <c:v>-0.123</c:v>
                </c:pt>
                <c:pt idx="11">
                  <c:v>-0.123</c:v>
                </c:pt>
                <c:pt idx="12">
                  <c:v>-0.123</c:v>
                </c:pt>
                <c:pt idx="13">
                  <c:v>-0.123</c:v>
                </c:pt>
                <c:pt idx="14">
                  <c:v>-0.123</c:v>
                </c:pt>
                <c:pt idx="15">
                  <c:v>0</c:v>
                </c:pt>
                <c:pt idx="16">
                  <c:v>-7.0000000000000001E-3</c:v>
                </c:pt>
                <c:pt idx="17">
                  <c:v>-1.4E-2</c:v>
                </c:pt>
                <c:pt idx="18">
                  <c:v>0.3</c:v>
                </c:pt>
                <c:pt idx="19">
                  <c:v>0.29299999999999998</c:v>
                </c:pt>
                <c:pt idx="20">
                  <c:v>0.28699999999999998</c:v>
                </c:pt>
                <c:pt idx="21">
                  <c:v>0.6</c:v>
                </c:pt>
                <c:pt idx="22">
                  <c:v>0.59299999999999997</c:v>
                </c:pt>
                <c:pt idx="23">
                  <c:v>0.58699999999999997</c:v>
                </c:pt>
                <c:pt idx="24">
                  <c:v>0.9</c:v>
                </c:pt>
                <c:pt idx="25">
                  <c:v>0.89300000000000002</c:v>
                </c:pt>
                <c:pt idx="26">
                  <c:v>0.89</c:v>
                </c:pt>
                <c:pt idx="27">
                  <c:v>0.878</c:v>
                </c:pt>
                <c:pt idx="28">
                  <c:v>0.85799999999999998</c:v>
                </c:pt>
                <c:pt idx="29">
                  <c:v>0.84</c:v>
                </c:pt>
                <c:pt idx="30">
                  <c:v>0.82299999999999995</c:v>
                </c:pt>
                <c:pt idx="31">
                  <c:v>0.80700000000000005</c:v>
                </c:pt>
                <c:pt idx="32">
                  <c:v>0.79300000000000004</c:v>
                </c:pt>
                <c:pt idx="33">
                  <c:v>0.78</c:v>
                </c:pt>
                <c:pt idx="34">
                  <c:v>0.77</c:v>
                </c:pt>
                <c:pt idx="35">
                  <c:v>0.76</c:v>
                </c:pt>
                <c:pt idx="36">
                  <c:v>0.752</c:v>
                </c:pt>
                <c:pt idx="37">
                  <c:v>0.748</c:v>
                </c:pt>
                <c:pt idx="38">
                  <c:v>0.74399999999999999</c:v>
                </c:pt>
                <c:pt idx="39">
                  <c:v>1.2</c:v>
                </c:pt>
                <c:pt idx="40">
                  <c:v>1.194</c:v>
                </c:pt>
                <c:pt idx="41">
                  <c:v>1.1890000000000001</c:v>
                </c:pt>
                <c:pt idx="42">
                  <c:v>1.1830000000000001</c:v>
                </c:pt>
                <c:pt idx="43">
                  <c:v>1.1779999999999999</c:v>
                </c:pt>
                <c:pt idx="44">
                  <c:v>1.1719999999999999</c:v>
                </c:pt>
                <c:pt idx="45">
                  <c:v>1.167</c:v>
                </c:pt>
                <c:pt idx="46">
                  <c:v>1.161</c:v>
                </c:pt>
                <c:pt idx="47">
                  <c:v>1.5</c:v>
                </c:pt>
                <c:pt idx="48">
                  <c:v>1.49</c:v>
                </c:pt>
                <c:pt idx="49">
                  <c:v>1.48</c:v>
                </c:pt>
                <c:pt idx="50">
                  <c:v>1.47</c:v>
                </c:pt>
                <c:pt idx="51">
                  <c:v>1.46</c:v>
                </c:pt>
                <c:pt idx="52">
                  <c:v>1.45</c:v>
                </c:pt>
                <c:pt idx="53">
                  <c:v>1.44</c:v>
                </c:pt>
                <c:pt idx="54">
                  <c:v>1.43</c:v>
                </c:pt>
                <c:pt idx="55">
                  <c:v>1.42</c:v>
                </c:pt>
                <c:pt idx="56">
                  <c:v>1.8</c:v>
                </c:pt>
                <c:pt idx="57">
                  <c:v>1.79</c:v>
                </c:pt>
                <c:pt idx="58">
                  <c:v>1.774</c:v>
                </c:pt>
                <c:pt idx="59">
                  <c:v>1.7430000000000001</c:v>
                </c:pt>
                <c:pt idx="60">
                  <c:v>1.7150000000000001</c:v>
                </c:pt>
                <c:pt idx="61">
                  <c:v>1.6879999999999999</c:v>
                </c:pt>
                <c:pt idx="62">
                  <c:v>1.6579999999999999</c:v>
                </c:pt>
                <c:pt idx="63">
                  <c:v>1.6319999999999999</c:v>
                </c:pt>
                <c:pt idx="64">
                  <c:v>1.6020000000000001</c:v>
                </c:pt>
                <c:pt idx="65">
                  <c:v>1.577</c:v>
                </c:pt>
                <c:pt idx="66">
                  <c:v>1.5469999999999999</c:v>
                </c:pt>
                <c:pt idx="67">
                  <c:v>1.52</c:v>
                </c:pt>
                <c:pt idx="68">
                  <c:v>1.4910000000000001</c:v>
                </c:pt>
                <c:pt idx="69">
                  <c:v>1.4630000000000001</c:v>
                </c:pt>
                <c:pt idx="70">
                  <c:v>1.4370000000000001</c:v>
                </c:pt>
                <c:pt idx="71">
                  <c:v>1.4119999999999999</c:v>
                </c:pt>
                <c:pt idx="72">
                  <c:v>1.4019999999999999</c:v>
                </c:pt>
                <c:pt idx="73">
                  <c:v>1.3919999999999999</c:v>
                </c:pt>
                <c:pt idx="74">
                  <c:v>1.3819999999999999</c:v>
                </c:pt>
                <c:pt idx="75">
                  <c:v>1.3720000000000001</c:v>
                </c:pt>
                <c:pt idx="76">
                  <c:v>1.3620000000000001</c:v>
                </c:pt>
                <c:pt idx="77">
                  <c:v>1.3520000000000001</c:v>
                </c:pt>
                <c:pt idx="78">
                  <c:v>1.3420000000000001</c:v>
                </c:pt>
                <c:pt idx="79">
                  <c:v>1.3320000000000001</c:v>
                </c:pt>
                <c:pt idx="80">
                  <c:v>1.3220000000000001</c:v>
                </c:pt>
                <c:pt idx="81">
                  <c:v>1.3120000000000001</c:v>
                </c:pt>
                <c:pt idx="82">
                  <c:v>1.302</c:v>
                </c:pt>
                <c:pt idx="83">
                  <c:v>1.292</c:v>
                </c:pt>
                <c:pt idx="84">
                  <c:v>1.282</c:v>
                </c:pt>
                <c:pt idx="85">
                  <c:v>1.272</c:v>
                </c:pt>
                <c:pt idx="86">
                  <c:v>1.262</c:v>
                </c:pt>
                <c:pt idx="87">
                  <c:v>1.252</c:v>
                </c:pt>
                <c:pt idx="88">
                  <c:v>1.242</c:v>
                </c:pt>
                <c:pt idx="89">
                  <c:v>1.232</c:v>
                </c:pt>
                <c:pt idx="90">
                  <c:v>1.222</c:v>
                </c:pt>
                <c:pt idx="91">
                  <c:v>1.212</c:v>
                </c:pt>
                <c:pt idx="92">
                  <c:v>1.202</c:v>
                </c:pt>
                <c:pt idx="93">
                  <c:v>1.1919999999999999</c:v>
                </c:pt>
                <c:pt idx="94">
                  <c:v>1.1819999999999999</c:v>
                </c:pt>
                <c:pt idx="95">
                  <c:v>1.1719999999999999</c:v>
                </c:pt>
                <c:pt idx="96">
                  <c:v>1.1619999999999999</c:v>
                </c:pt>
                <c:pt idx="97">
                  <c:v>1.1519999999999999</c:v>
                </c:pt>
                <c:pt idx="98">
                  <c:v>1.1419999999999999</c:v>
                </c:pt>
                <c:pt idx="99">
                  <c:v>1.93</c:v>
                </c:pt>
                <c:pt idx="100">
                  <c:v>1.92</c:v>
                </c:pt>
                <c:pt idx="101">
                  <c:v>2.13</c:v>
                </c:pt>
                <c:pt idx="102">
                  <c:v>2.12</c:v>
                </c:pt>
                <c:pt idx="103">
                  <c:v>2.11</c:v>
                </c:pt>
                <c:pt idx="104">
                  <c:v>2.34</c:v>
                </c:pt>
                <c:pt idx="105">
                  <c:v>2.33</c:v>
                </c:pt>
                <c:pt idx="106">
                  <c:v>2.3199999999999998</c:v>
                </c:pt>
                <c:pt idx="107">
                  <c:v>2.5299999999999998</c:v>
                </c:pt>
                <c:pt idx="108">
                  <c:v>2.52</c:v>
                </c:pt>
                <c:pt idx="109">
                  <c:v>2.5099999999999998</c:v>
                </c:pt>
                <c:pt idx="110">
                  <c:v>2.74</c:v>
                </c:pt>
                <c:pt idx="111">
                  <c:v>2.73</c:v>
                </c:pt>
                <c:pt idx="112">
                  <c:v>2.93</c:v>
                </c:pt>
                <c:pt idx="113">
                  <c:v>2.92</c:v>
                </c:pt>
                <c:pt idx="114">
                  <c:v>2.91</c:v>
                </c:pt>
                <c:pt idx="115">
                  <c:v>3.13</c:v>
                </c:pt>
                <c:pt idx="116">
                  <c:v>3.12</c:v>
                </c:pt>
                <c:pt idx="117">
                  <c:v>3.11</c:v>
                </c:pt>
                <c:pt idx="118">
                  <c:v>3.33</c:v>
                </c:pt>
                <c:pt idx="119">
                  <c:v>3.32</c:v>
                </c:pt>
                <c:pt idx="120">
                  <c:v>3.31</c:v>
                </c:pt>
                <c:pt idx="121">
                  <c:v>3.3</c:v>
                </c:pt>
                <c:pt idx="122">
                  <c:v>3.2850000000000001</c:v>
                </c:pt>
                <c:pt idx="123">
                  <c:v>3.53</c:v>
                </c:pt>
                <c:pt idx="124">
                  <c:v>3.52</c:v>
                </c:pt>
                <c:pt idx="125">
                  <c:v>3.5049999999999999</c:v>
                </c:pt>
                <c:pt idx="126">
                  <c:v>3.4950000000000001</c:v>
                </c:pt>
                <c:pt idx="127">
                  <c:v>3.73</c:v>
                </c:pt>
                <c:pt idx="128">
                  <c:v>3.72</c:v>
                </c:pt>
                <c:pt idx="129">
                  <c:v>3.71</c:v>
                </c:pt>
                <c:pt idx="130">
                  <c:v>3.94</c:v>
                </c:pt>
                <c:pt idx="131">
                  <c:v>3.91</c:v>
                </c:pt>
                <c:pt idx="132">
                  <c:v>3.86</c:v>
                </c:pt>
                <c:pt idx="133">
                  <c:v>3.8250000000000002</c:v>
                </c:pt>
                <c:pt idx="134">
                  <c:v>3.78</c:v>
                </c:pt>
                <c:pt idx="135">
                  <c:v>3.754</c:v>
                </c:pt>
                <c:pt idx="136">
                  <c:v>3.714</c:v>
                </c:pt>
                <c:pt idx="137">
                  <c:v>3.6920000000000002</c:v>
                </c:pt>
                <c:pt idx="138">
                  <c:v>3.6560000000000001</c:v>
                </c:pt>
                <c:pt idx="139">
                  <c:v>3.62</c:v>
                </c:pt>
                <c:pt idx="140">
                  <c:v>3.5880000000000001</c:v>
                </c:pt>
                <c:pt idx="141">
                  <c:v>3.5579999999999998</c:v>
                </c:pt>
                <c:pt idx="142">
                  <c:v>3.5329999999999999</c:v>
                </c:pt>
                <c:pt idx="143">
                  <c:v>3.5110000000000001</c:v>
                </c:pt>
                <c:pt idx="144">
                  <c:v>3.4910000000000001</c:v>
                </c:pt>
                <c:pt idx="145">
                  <c:v>3.4729999999999999</c:v>
                </c:pt>
                <c:pt idx="146">
                  <c:v>3.4590000000000001</c:v>
                </c:pt>
                <c:pt idx="147">
                  <c:v>3.4489999999999998</c:v>
                </c:pt>
                <c:pt idx="148">
                  <c:v>3.4390000000000001</c:v>
                </c:pt>
                <c:pt idx="149">
                  <c:v>3.43</c:v>
                </c:pt>
                <c:pt idx="150">
                  <c:v>3.4209999999999998</c:v>
                </c:pt>
                <c:pt idx="151">
                  <c:v>3.4119999999999999</c:v>
                </c:pt>
                <c:pt idx="152">
                  <c:v>3.403</c:v>
                </c:pt>
                <c:pt idx="153">
                  <c:v>3.395</c:v>
                </c:pt>
                <c:pt idx="154">
                  <c:v>3.3889999999999998</c:v>
                </c:pt>
                <c:pt idx="155">
                  <c:v>3.383</c:v>
                </c:pt>
                <c:pt idx="156">
                  <c:v>3.3769999999999998</c:v>
                </c:pt>
                <c:pt idx="157">
                  <c:v>3.371</c:v>
                </c:pt>
                <c:pt idx="158">
                  <c:v>3.367</c:v>
                </c:pt>
                <c:pt idx="159">
                  <c:v>3.363</c:v>
                </c:pt>
                <c:pt idx="160">
                  <c:v>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66-4392-8E04-F7692D09A9D6}"/>
            </c:ext>
          </c:extLst>
        </c:ser>
        <c:ser>
          <c:idx val="4"/>
          <c:order val="4"/>
          <c:tx>
            <c:strRef>
              <c:f>'SL.124+900 '!$E$11:$E$12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'SL.124+900 '!$A$13:$A$699</c:f>
              <c:numCache>
                <c:formatCode>dd/mm/yyyy;@</c:formatCode>
                <c:ptCount val="687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'!$E$13:$E$1700</c:f>
              <c:numCache>
                <c:formatCode>0.00</c:formatCode>
                <c:ptCount val="1688"/>
                <c:pt idx="0">
                  <c:v>-0.123</c:v>
                </c:pt>
                <c:pt idx="1">
                  <c:v>-0.123</c:v>
                </c:pt>
                <c:pt idx="2">
                  <c:v>-0.123</c:v>
                </c:pt>
                <c:pt idx="3">
                  <c:v>-0.123</c:v>
                </c:pt>
                <c:pt idx="4">
                  <c:v>-0.123</c:v>
                </c:pt>
                <c:pt idx="5">
                  <c:v>-0.123</c:v>
                </c:pt>
                <c:pt idx="6">
                  <c:v>-0.123</c:v>
                </c:pt>
                <c:pt idx="7">
                  <c:v>-0.123</c:v>
                </c:pt>
                <c:pt idx="8">
                  <c:v>-0.123</c:v>
                </c:pt>
                <c:pt idx="9">
                  <c:v>-0.123</c:v>
                </c:pt>
                <c:pt idx="10">
                  <c:v>-0.123</c:v>
                </c:pt>
                <c:pt idx="11">
                  <c:v>-0.123</c:v>
                </c:pt>
                <c:pt idx="12">
                  <c:v>-0.123</c:v>
                </c:pt>
                <c:pt idx="13">
                  <c:v>-0.123</c:v>
                </c:pt>
                <c:pt idx="14">
                  <c:v>-0.123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0.31999999999999995</c:v>
                </c:pt>
                <c:pt idx="19">
                  <c:v>0.31999999999999995</c:v>
                </c:pt>
                <c:pt idx="20">
                  <c:v>0.31999999999999995</c:v>
                </c:pt>
                <c:pt idx="21">
                  <c:v>0.64</c:v>
                </c:pt>
                <c:pt idx="22">
                  <c:v>0.64</c:v>
                </c:pt>
                <c:pt idx="23">
                  <c:v>0.6399999999999999</c:v>
                </c:pt>
                <c:pt idx="24">
                  <c:v>0.96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0.96</c:v>
                </c:pt>
                <c:pt idx="31">
                  <c:v>0.96000000000000008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0.96</c:v>
                </c:pt>
                <c:pt idx="37">
                  <c:v>0.96</c:v>
                </c:pt>
                <c:pt idx="38">
                  <c:v>0.96</c:v>
                </c:pt>
                <c:pt idx="39">
                  <c:v>1.4219999999999999</c:v>
                </c:pt>
                <c:pt idx="40">
                  <c:v>1.4219999999999999</c:v>
                </c:pt>
                <c:pt idx="41">
                  <c:v>1.4220000000000002</c:v>
                </c:pt>
                <c:pt idx="42">
                  <c:v>1.4220000000000002</c:v>
                </c:pt>
                <c:pt idx="43">
                  <c:v>1.4219999999999999</c:v>
                </c:pt>
                <c:pt idx="44">
                  <c:v>1.4219999999999999</c:v>
                </c:pt>
                <c:pt idx="45">
                  <c:v>1.4220000000000002</c:v>
                </c:pt>
                <c:pt idx="46">
                  <c:v>1.4220000000000002</c:v>
                </c:pt>
                <c:pt idx="47">
                  <c:v>1.7709999999999999</c:v>
                </c:pt>
                <c:pt idx="48">
                  <c:v>1.7709999999999999</c:v>
                </c:pt>
                <c:pt idx="49">
                  <c:v>1.7709999999999999</c:v>
                </c:pt>
                <c:pt idx="50">
                  <c:v>1.7709999999999999</c:v>
                </c:pt>
                <c:pt idx="51">
                  <c:v>1.7709999999999999</c:v>
                </c:pt>
                <c:pt idx="52">
                  <c:v>1.7709999999999999</c:v>
                </c:pt>
                <c:pt idx="53">
                  <c:v>1.7709999999999999</c:v>
                </c:pt>
                <c:pt idx="54">
                  <c:v>1.7709999999999999</c:v>
                </c:pt>
                <c:pt idx="55">
                  <c:v>1.7709999999999999</c:v>
                </c:pt>
                <c:pt idx="56">
                  <c:v>2.161</c:v>
                </c:pt>
                <c:pt idx="57">
                  <c:v>2.161</c:v>
                </c:pt>
                <c:pt idx="58">
                  <c:v>2.161</c:v>
                </c:pt>
                <c:pt idx="59">
                  <c:v>2.161</c:v>
                </c:pt>
                <c:pt idx="60">
                  <c:v>2.161</c:v>
                </c:pt>
                <c:pt idx="61">
                  <c:v>2.161</c:v>
                </c:pt>
                <c:pt idx="62">
                  <c:v>2.161</c:v>
                </c:pt>
                <c:pt idx="63">
                  <c:v>2.161</c:v>
                </c:pt>
                <c:pt idx="64">
                  <c:v>2.161</c:v>
                </c:pt>
                <c:pt idx="65">
                  <c:v>2.161</c:v>
                </c:pt>
                <c:pt idx="66">
                  <c:v>2.161</c:v>
                </c:pt>
                <c:pt idx="67">
                  <c:v>2.161</c:v>
                </c:pt>
                <c:pt idx="68">
                  <c:v>2.161</c:v>
                </c:pt>
                <c:pt idx="69">
                  <c:v>2.161</c:v>
                </c:pt>
                <c:pt idx="70">
                  <c:v>2.161</c:v>
                </c:pt>
                <c:pt idx="71">
                  <c:v>2.161</c:v>
                </c:pt>
                <c:pt idx="72">
                  <c:v>2.161</c:v>
                </c:pt>
                <c:pt idx="73">
                  <c:v>2.161</c:v>
                </c:pt>
                <c:pt idx="74">
                  <c:v>2.161</c:v>
                </c:pt>
                <c:pt idx="75">
                  <c:v>2.161</c:v>
                </c:pt>
                <c:pt idx="76">
                  <c:v>2.161</c:v>
                </c:pt>
                <c:pt idx="77">
                  <c:v>2.161</c:v>
                </c:pt>
                <c:pt idx="78">
                  <c:v>2.161</c:v>
                </c:pt>
                <c:pt idx="79">
                  <c:v>2.161</c:v>
                </c:pt>
                <c:pt idx="80">
                  <c:v>2.161</c:v>
                </c:pt>
                <c:pt idx="81">
                  <c:v>2.161</c:v>
                </c:pt>
                <c:pt idx="82">
                  <c:v>2.161</c:v>
                </c:pt>
                <c:pt idx="83">
                  <c:v>2.161</c:v>
                </c:pt>
                <c:pt idx="84">
                  <c:v>2.161</c:v>
                </c:pt>
                <c:pt idx="85">
                  <c:v>2.161</c:v>
                </c:pt>
                <c:pt idx="86">
                  <c:v>2.161</c:v>
                </c:pt>
                <c:pt idx="87">
                  <c:v>2.161</c:v>
                </c:pt>
                <c:pt idx="88">
                  <c:v>2.161</c:v>
                </c:pt>
                <c:pt idx="89">
                  <c:v>2.161</c:v>
                </c:pt>
                <c:pt idx="90">
                  <c:v>2.161</c:v>
                </c:pt>
                <c:pt idx="91">
                  <c:v>2.161</c:v>
                </c:pt>
                <c:pt idx="92">
                  <c:v>2.161</c:v>
                </c:pt>
                <c:pt idx="93">
                  <c:v>2.161</c:v>
                </c:pt>
                <c:pt idx="94">
                  <c:v>2.161</c:v>
                </c:pt>
                <c:pt idx="95">
                  <c:v>2.161</c:v>
                </c:pt>
                <c:pt idx="96">
                  <c:v>2.161</c:v>
                </c:pt>
                <c:pt idx="97">
                  <c:v>2.1609999999999996</c:v>
                </c:pt>
                <c:pt idx="98">
                  <c:v>2.1609999999999996</c:v>
                </c:pt>
                <c:pt idx="99">
                  <c:v>2.964</c:v>
                </c:pt>
                <c:pt idx="100">
                  <c:v>2.964</c:v>
                </c:pt>
                <c:pt idx="101">
                  <c:v>3.1840000000000002</c:v>
                </c:pt>
                <c:pt idx="102">
                  <c:v>3.1840000000000002</c:v>
                </c:pt>
                <c:pt idx="103">
                  <c:v>3.1840000000000002</c:v>
                </c:pt>
                <c:pt idx="104">
                  <c:v>3.4289999999999998</c:v>
                </c:pt>
                <c:pt idx="105">
                  <c:v>3.4290000000000003</c:v>
                </c:pt>
                <c:pt idx="106">
                  <c:v>3.4289999999999998</c:v>
                </c:pt>
                <c:pt idx="107">
                  <c:v>3.649</c:v>
                </c:pt>
                <c:pt idx="108">
                  <c:v>3.649</c:v>
                </c:pt>
                <c:pt idx="109">
                  <c:v>3.649</c:v>
                </c:pt>
                <c:pt idx="110">
                  <c:v>3.8940000000000001</c:v>
                </c:pt>
                <c:pt idx="111">
                  <c:v>3.8940000000000001</c:v>
                </c:pt>
                <c:pt idx="112">
                  <c:v>4.1040000000000001</c:v>
                </c:pt>
                <c:pt idx="113">
                  <c:v>4.1040000000000001</c:v>
                </c:pt>
                <c:pt idx="114">
                  <c:v>4.1040000000000001</c:v>
                </c:pt>
                <c:pt idx="115">
                  <c:v>4.3390000000000004</c:v>
                </c:pt>
                <c:pt idx="116">
                  <c:v>4.3390000000000004</c:v>
                </c:pt>
                <c:pt idx="117">
                  <c:v>4.3390000000000004</c:v>
                </c:pt>
                <c:pt idx="118">
                  <c:v>4.5739999999999998</c:v>
                </c:pt>
                <c:pt idx="119">
                  <c:v>4.5739999999999998</c:v>
                </c:pt>
                <c:pt idx="120">
                  <c:v>4.5739999999999998</c:v>
                </c:pt>
                <c:pt idx="121">
                  <c:v>4.5739999999999998</c:v>
                </c:pt>
                <c:pt idx="122">
                  <c:v>4.5739999999999998</c:v>
                </c:pt>
                <c:pt idx="123">
                  <c:v>4.8289999999999997</c:v>
                </c:pt>
                <c:pt idx="124">
                  <c:v>4.8289999999999997</c:v>
                </c:pt>
                <c:pt idx="125">
                  <c:v>4.8289999999999997</c:v>
                </c:pt>
                <c:pt idx="126">
                  <c:v>4.8290000000000006</c:v>
                </c:pt>
                <c:pt idx="127">
                  <c:v>5.0789999999999997</c:v>
                </c:pt>
                <c:pt idx="128">
                  <c:v>5.0790000000000006</c:v>
                </c:pt>
                <c:pt idx="129">
                  <c:v>5.0789999999999997</c:v>
                </c:pt>
                <c:pt idx="130">
                  <c:v>5.319</c:v>
                </c:pt>
                <c:pt idx="131">
                  <c:v>5.319</c:v>
                </c:pt>
                <c:pt idx="132">
                  <c:v>5.319</c:v>
                </c:pt>
                <c:pt idx="133">
                  <c:v>5.319</c:v>
                </c:pt>
                <c:pt idx="134">
                  <c:v>5.319</c:v>
                </c:pt>
                <c:pt idx="135">
                  <c:v>5.319</c:v>
                </c:pt>
                <c:pt idx="136">
                  <c:v>5.319</c:v>
                </c:pt>
                <c:pt idx="137">
                  <c:v>5.319</c:v>
                </c:pt>
                <c:pt idx="138">
                  <c:v>5.319</c:v>
                </c:pt>
                <c:pt idx="139">
                  <c:v>5.319</c:v>
                </c:pt>
                <c:pt idx="140">
                  <c:v>5.319</c:v>
                </c:pt>
                <c:pt idx="141">
                  <c:v>5.319</c:v>
                </c:pt>
                <c:pt idx="142">
                  <c:v>5.319</c:v>
                </c:pt>
                <c:pt idx="143">
                  <c:v>5.319</c:v>
                </c:pt>
                <c:pt idx="144">
                  <c:v>5.319</c:v>
                </c:pt>
                <c:pt idx="145">
                  <c:v>5.319</c:v>
                </c:pt>
                <c:pt idx="146">
                  <c:v>5.319</c:v>
                </c:pt>
                <c:pt idx="147">
                  <c:v>5.319</c:v>
                </c:pt>
                <c:pt idx="148">
                  <c:v>5.3190000000000008</c:v>
                </c:pt>
                <c:pt idx="149">
                  <c:v>5.319</c:v>
                </c:pt>
                <c:pt idx="150">
                  <c:v>5.319</c:v>
                </c:pt>
                <c:pt idx="151">
                  <c:v>5.319</c:v>
                </c:pt>
                <c:pt idx="152">
                  <c:v>5.319</c:v>
                </c:pt>
                <c:pt idx="153">
                  <c:v>5.319</c:v>
                </c:pt>
                <c:pt idx="154">
                  <c:v>5.319</c:v>
                </c:pt>
                <c:pt idx="155">
                  <c:v>5.319</c:v>
                </c:pt>
                <c:pt idx="156">
                  <c:v>5.319</c:v>
                </c:pt>
                <c:pt idx="157">
                  <c:v>5.319</c:v>
                </c:pt>
                <c:pt idx="158">
                  <c:v>5.319</c:v>
                </c:pt>
                <c:pt idx="159">
                  <c:v>5.319</c:v>
                </c:pt>
                <c:pt idx="160">
                  <c:v>5.319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66-4392-8E04-F7692D09A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36544"/>
        <c:axId val="837439424"/>
      </c:scatterChart>
      <c:valAx>
        <c:axId val="837438272"/>
        <c:scaling>
          <c:orientation val="minMax"/>
          <c:min val="45243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noFill/>
          <a:ln w="12700">
            <a:noFill/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en-US"/>
          </a:p>
        </c:txPr>
        <c:crossAx val="837438848"/>
        <c:crossesAt val="-1600"/>
        <c:crossBetween val="midCat"/>
        <c:majorUnit val="70"/>
      </c:valAx>
      <c:valAx>
        <c:axId val="837438848"/>
        <c:scaling>
          <c:orientation val="minMax"/>
          <c:max val="2500"/>
          <c:min val="-25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3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8.5561484292503032E-4"/>
              <c:y val="0.3491990154277361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837438272"/>
        <c:crosses val="autoZero"/>
        <c:crossBetween val="midCat"/>
        <c:majorUnit val="500"/>
      </c:valAx>
      <c:valAx>
        <c:axId val="837436544"/>
        <c:scaling>
          <c:orientation val="minMax"/>
        </c:scaling>
        <c:delete val="1"/>
        <c:axPos val="t"/>
        <c:numFmt formatCode="dd/mm/yyyy;@" sourceLinked="1"/>
        <c:majorTickMark val="out"/>
        <c:minorTickMark val="none"/>
        <c:tickLblPos val="nextTo"/>
        <c:crossAx val="837439424"/>
        <c:crossesAt val="0"/>
        <c:crossBetween val="midCat"/>
      </c:valAx>
      <c:valAx>
        <c:axId val="837439424"/>
        <c:scaling>
          <c:orientation val="minMax"/>
          <c:max val="8"/>
          <c:min val="-8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837436544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600"/>
              <a:t>Biểu</a:t>
            </a:r>
            <a:r>
              <a:rPr lang="en-US" sz="1600" baseline="0"/>
              <a:t> đồ </a:t>
            </a:r>
            <a:r>
              <a:rPr lang="en-US" sz="1600"/>
              <a:t>Bàn quan trắc lún-Lý trình: </a:t>
            </a:r>
            <a:r>
              <a:rPr lang="vi-VN" sz="1600"/>
              <a:t>Km124</a:t>
            </a:r>
            <a:r>
              <a:rPr lang="en-US" sz="1600"/>
              <a:t>+</a:t>
            </a:r>
            <a:r>
              <a:rPr lang="vi-VN" sz="1600"/>
              <a:t>900</a:t>
            </a:r>
            <a:endParaRPr lang="en-US" sz="1600"/>
          </a:p>
        </c:rich>
      </c:tx>
      <c:layout>
        <c:manualLayout>
          <c:xMode val="edge"/>
          <c:yMode val="edge"/>
          <c:x val="0.27933442158864558"/>
          <c:y val="3.052550787156746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8.2327672090272794E-2"/>
          <c:y val="0.11689154362426535"/>
          <c:w val="0.82793038334494096"/>
          <c:h val="0.70465939462866656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'SL.124+900 '!$L$11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'!$L$13:$L$396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-5.0000000000000044</c:v>
                </c:pt>
                <c:pt idx="17">
                  <c:v>-9.0000000000000071</c:v>
                </c:pt>
                <c:pt idx="18">
                  <c:v>-16.000000000000014</c:v>
                </c:pt>
                <c:pt idx="19">
                  <c:v>-20.999999999999989</c:v>
                </c:pt>
                <c:pt idx="20">
                  <c:v>-27.999999999999996</c:v>
                </c:pt>
                <c:pt idx="21">
                  <c:v>-34</c:v>
                </c:pt>
                <c:pt idx="22">
                  <c:v>-39.000000000000007</c:v>
                </c:pt>
                <c:pt idx="23">
                  <c:v>-45.000000000000014</c:v>
                </c:pt>
                <c:pt idx="24">
                  <c:v>-50.000000000000014</c:v>
                </c:pt>
                <c:pt idx="25">
                  <c:v>-55.999999999999993</c:v>
                </c:pt>
                <c:pt idx="26">
                  <c:v>-64</c:v>
                </c:pt>
                <c:pt idx="27">
                  <c:v>-74.000000000000014</c:v>
                </c:pt>
                <c:pt idx="28">
                  <c:v>-96</c:v>
                </c:pt>
                <c:pt idx="29">
                  <c:v>-115.99999999999999</c:v>
                </c:pt>
                <c:pt idx="30">
                  <c:v>-135</c:v>
                </c:pt>
                <c:pt idx="31">
                  <c:v>-153.00000000000003</c:v>
                </c:pt>
                <c:pt idx="32">
                  <c:v>-169.99999999999997</c:v>
                </c:pt>
                <c:pt idx="33">
                  <c:v>-184</c:v>
                </c:pt>
                <c:pt idx="34">
                  <c:v>-196</c:v>
                </c:pt>
                <c:pt idx="35">
                  <c:v>-207.00000000000003</c:v>
                </c:pt>
                <c:pt idx="36">
                  <c:v>-215.00000000000003</c:v>
                </c:pt>
                <c:pt idx="37">
                  <c:v>-220.00000000000003</c:v>
                </c:pt>
                <c:pt idx="38">
                  <c:v>-223.99999999999997</c:v>
                </c:pt>
                <c:pt idx="39">
                  <c:v>-234</c:v>
                </c:pt>
                <c:pt idx="40">
                  <c:v>-244</c:v>
                </c:pt>
                <c:pt idx="41">
                  <c:v>-254</c:v>
                </c:pt>
                <c:pt idx="42">
                  <c:v>-264</c:v>
                </c:pt>
                <c:pt idx="43">
                  <c:v>-274</c:v>
                </c:pt>
                <c:pt idx="44">
                  <c:v>-284.00000000000006</c:v>
                </c:pt>
                <c:pt idx="45">
                  <c:v>-294</c:v>
                </c:pt>
                <c:pt idx="46">
                  <c:v>-304</c:v>
                </c:pt>
                <c:pt idx="47">
                  <c:v>-314</c:v>
                </c:pt>
                <c:pt idx="48">
                  <c:v>-324</c:v>
                </c:pt>
                <c:pt idx="49">
                  <c:v>-334</c:v>
                </c:pt>
                <c:pt idx="50">
                  <c:v>-344</c:v>
                </c:pt>
                <c:pt idx="51">
                  <c:v>-354</c:v>
                </c:pt>
                <c:pt idx="52">
                  <c:v>-364</c:v>
                </c:pt>
                <c:pt idx="53">
                  <c:v>-374</c:v>
                </c:pt>
                <c:pt idx="54">
                  <c:v>-384</c:v>
                </c:pt>
                <c:pt idx="55">
                  <c:v>-394</c:v>
                </c:pt>
                <c:pt idx="56">
                  <c:v>-404</c:v>
                </c:pt>
                <c:pt idx="57">
                  <c:v>-414.00000000000006</c:v>
                </c:pt>
                <c:pt idx="58">
                  <c:v>-428.00000000000006</c:v>
                </c:pt>
                <c:pt idx="59">
                  <c:v>-442.99999999999994</c:v>
                </c:pt>
                <c:pt idx="60">
                  <c:v>-462.99999999999994</c:v>
                </c:pt>
                <c:pt idx="61">
                  <c:v>-482</c:v>
                </c:pt>
                <c:pt idx="62">
                  <c:v>-499</c:v>
                </c:pt>
                <c:pt idx="63">
                  <c:v>-517</c:v>
                </c:pt>
                <c:pt idx="64">
                  <c:v>-533</c:v>
                </c:pt>
                <c:pt idx="65">
                  <c:v>-549</c:v>
                </c:pt>
                <c:pt idx="66">
                  <c:v>-566.00000000000011</c:v>
                </c:pt>
                <c:pt idx="67">
                  <c:v>-584</c:v>
                </c:pt>
                <c:pt idx="68">
                  <c:v>-603</c:v>
                </c:pt>
                <c:pt idx="69">
                  <c:v>-618</c:v>
                </c:pt>
                <c:pt idx="70">
                  <c:v>-628</c:v>
                </c:pt>
                <c:pt idx="71">
                  <c:v>-638</c:v>
                </c:pt>
                <c:pt idx="72">
                  <c:v>-647</c:v>
                </c:pt>
                <c:pt idx="73">
                  <c:v>-655</c:v>
                </c:pt>
                <c:pt idx="74">
                  <c:v>-664</c:v>
                </c:pt>
                <c:pt idx="75">
                  <c:v>-672</c:v>
                </c:pt>
                <c:pt idx="76">
                  <c:v>-681</c:v>
                </c:pt>
                <c:pt idx="77">
                  <c:v>-689</c:v>
                </c:pt>
                <c:pt idx="78">
                  <c:v>-697</c:v>
                </c:pt>
                <c:pt idx="79">
                  <c:v>-705</c:v>
                </c:pt>
                <c:pt idx="80">
                  <c:v>-712</c:v>
                </c:pt>
                <c:pt idx="81">
                  <c:v>-718</c:v>
                </c:pt>
                <c:pt idx="82">
                  <c:v>-725</c:v>
                </c:pt>
                <c:pt idx="83">
                  <c:v>-731</c:v>
                </c:pt>
                <c:pt idx="84">
                  <c:v>-738</c:v>
                </c:pt>
                <c:pt idx="85">
                  <c:v>-744</c:v>
                </c:pt>
                <c:pt idx="86">
                  <c:v>-749</c:v>
                </c:pt>
                <c:pt idx="87">
                  <c:v>-754</c:v>
                </c:pt>
                <c:pt idx="88">
                  <c:v>-758</c:v>
                </c:pt>
                <c:pt idx="89">
                  <c:v>-764</c:v>
                </c:pt>
                <c:pt idx="90">
                  <c:v>-769</c:v>
                </c:pt>
                <c:pt idx="91">
                  <c:v>-776</c:v>
                </c:pt>
                <c:pt idx="92">
                  <c:v>-781</c:v>
                </c:pt>
                <c:pt idx="93">
                  <c:v>-791</c:v>
                </c:pt>
                <c:pt idx="94">
                  <c:v>-801</c:v>
                </c:pt>
                <c:pt idx="95">
                  <c:v>-811</c:v>
                </c:pt>
                <c:pt idx="96">
                  <c:v>-821</c:v>
                </c:pt>
                <c:pt idx="97">
                  <c:v>-831</c:v>
                </c:pt>
                <c:pt idx="98">
                  <c:v>-841</c:v>
                </c:pt>
                <c:pt idx="99">
                  <c:v>-851</c:v>
                </c:pt>
                <c:pt idx="100">
                  <c:v>-861</c:v>
                </c:pt>
                <c:pt idx="101">
                  <c:v>-871</c:v>
                </c:pt>
                <c:pt idx="102">
                  <c:v>-881</c:v>
                </c:pt>
                <c:pt idx="103">
                  <c:v>-891</c:v>
                </c:pt>
                <c:pt idx="104">
                  <c:v>-901</c:v>
                </c:pt>
                <c:pt idx="105">
                  <c:v>-911</c:v>
                </c:pt>
                <c:pt idx="106">
                  <c:v>-921</c:v>
                </c:pt>
                <c:pt idx="107">
                  <c:v>-931</c:v>
                </c:pt>
                <c:pt idx="108">
                  <c:v>-941.00000000000011</c:v>
                </c:pt>
                <c:pt idx="109">
                  <c:v>-951.00000000000011</c:v>
                </c:pt>
                <c:pt idx="110">
                  <c:v>-961.00000000000011</c:v>
                </c:pt>
                <c:pt idx="111">
                  <c:v>-971.00000000000011</c:v>
                </c:pt>
                <c:pt idx="112">
                  <c:v>-981.00000000000011</c:v>
                </c:pt>
                <c:pt idx="113">
                  <c:v>-991.00000000000011</c:v>
                </c:pt>
                <c:pt idx="114">
                  <c:v>-1001.0000000000001</c:v>
                </c:pt>
                <c:pt idx="115">
                  <c:v>-1010.9999999999999</c:v>
                </c:pt>
                <c:pt idx="116">
                  <c:v>-1020.9999999999999</c:v>
                </c:pt>
                <c:pt idx="117">
                  <c:v>-1031</c:v>
                </c:pt>
                <c:pt idx="118">
                  <c:v>-1041</c:v>
                </c:pt>
                <c:pt idx="119">
                  <c:v>-1051</c:v>
                </c:pt>
                <c:pt idx="120">
                  <c:v>-1061</c:v>
                </c:pt>
                <c:pt idx="121">
                  <c:v>-1071</c:v>
                </c:pt>
                <c:pt idx="122">
                  <c:v>-1081</c:v>
                </c:pt>
                <c:pt idx="123">
                  <c:v>-1091</c:v>
                </c:pt>
                <c:pt idx="124">
                  <c:v>-1101</c:v>
                </c:pt>
                <c:pt idx="125">
                  <c:v>-1111</c:v>
                </c:pt>
                <c:pt idx="126">
                  <c:v>-1121</c:v>
                </c:pt>
                <c:pt idx="127">
                  <c:v>-1131</c:v>
                </c:pt>
                <c:pt idx="128">
                  <c:v>-1141</c:v>
                </c:pt>
                <c:pt idx="129">
                  <c:v>-1151</c:v>
                </c:pt>
                <c:pt idx="130">
                  <c:v>-1161</c:v>
                </c:pt>
                <c:pt idx="131">
                  <c:v>-1191</c:v>
                </c:pt>
                <c:pt idx="132">
                  <c:v>-1236</c:v>
                </c:pt>
                <c:pt idx="133">
                  <c:v>-1262</c:v>
                </c:pt>
                <c:pt idx="134">
                  <c:v>-1305</c:v>
                </c:pt>
                <c:pt idx="135">
                  <c:v>-1325</c:v>
                </c:pt>
                <c:pt idx="136">
                  <c:v>-1353</c:v>
                </c:pt>
                <c:pt idx="137">
                  <c:v>-1367</c:v>
                </c:pt>
                <c:pt idx="138">
                  <c:v>-1391</c:v>
                </c:pt>
                <c:pt idx="139">
                  <c:v>-1421</c:v>
                </c:pt>
                <c:pt idx="140">
                  <c:v>-1445</c:v>
                </c:pt>
                <c:pt idx="141">
                  <c:v>-1467</c:v>
                </c:pt>
                <c:pt idx="142">
                  <c:v>-1487</c:v>
                </c:pt>
                <c:pt idx="143">
                  <c:v>-1505</c:v>
                </c:pt>
                <c:pt idx="144">
                  <c:v>-1521</c:v>
                </c:pt>
                <c:pt idx="145">
                  <c:v>-1537</c:v>
                </c:pt>
                <c:pt idx="146">
                  <c:v>-1549</c:v>
                </c:pt>
                <c:pt idx="147">
                  <c:v>-1561</c:v>
                </c:pt>
                <c:pt idx="148">
                  <c:v>-1571</c:v>
                </c:pt>
                <c:pt idx="149">
                  <c:v>-1580</c:v>
                </c:pt>
                <c:pt idx="150">
                  <c:v>-1589</c:v>
                </c:pt>
                <c:pt idx="151">
                  <c:v>-1597</c:v>
                </c:pt>
                <c:pt idx="152">
                  <c:v>-1605</c:v>
                </c:pt>
                <c:pt idx="153">
                  <c:v>-1613</c:v>
                </c:pt>
                <c:pt idx="154">
                  <c:v>-1619</c:v>
                </c:pt>
                <c:pt idx="155">
                  <c:v>-1623</c:v>
                </c:pt>
                <c:pt idx="156">
                  <c:v>-1627</c:v>
                </c:pt>
                <c:pt idx="157">
                  <c:v>-1631</c:v>
                </c:pt>
                <c:pt idx="158">
                  <c:v>-1635</c:v>
                </c:pt>
                <c:pt idx="159">
                  <c:v>-1637</c:v>
                </c:pt>
                <c:pt idx="160">
                  <c:v>-1639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8-4B46-B626-7595F62D6826}"/>
            </c:ext>
          </c:extLst>
        </c:ser>
        <c:ser>
          <c:idx val="2"/>
          <c:order val="2"/>
          <c:tx>
            <c:strRef>
              <c:f>'SL.124+900 '!$M$11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'!$M$13:$M$396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-7.0000000000000062</c:v>
                </c:pt>
                <c:pt idx="17">
                  <c:v>-14.000000000000012</c:v>
                </c:pt>
                <c:pt idx="18">
                  <c:v>-19.999999999999989</c:v>
                </c:pt>
                <c:pt idx="19">
                  <c:v>-26.999999999999996</c:v>
                </c:pt>
                <c:pt idx="20">
                  <c:v>-33</c:v>
                </c:pt>
                <c:pt idx="21">
                  <c:v>-40.000000000000007</c:v>
                </c:pt>
                <c:pt idx="22">
                  <c:v>-47.000000000000014</c:v>
                </c:pt>
                <c:pt idx="23">
                  <c:v>-52.999999999999993</c:v>
                </c:pt>
                <c:pt idx="24">
                  <c:v>-60</c:v>
                </c:pt>
                <c:pt idx="25">
                  <c:v>-67</c:v>
                </c:pt>
                <c:pt idx="26">
                  <c:v>-70</c:v>
                </c:pt>
                <c:pt idx="27">
                  <c:v>-81.999999999999986</c:v>
                </c:pt>
                <c:pt idx="28">
                  <c:v>-102.00000000000001</c:v>
                </c:pt>
                <c:pt idx="29">
                  <c:v>-120</c:v>
                </c:pt>
                <c:pt idx="30">
                  <c:v>-137</c:v>
                </c:pt>
                <c:pt idx="31">
                  <c:v>-153.00000000000003</c:v>
                </c:pt>
                <c:pt idx="32">
                  <c:v>-166.99999999999997</c:v>
                </c:pt>
                <c:pt idx="33">
                  <c:v>-180</c:v>
                </c:pt>
                <c:pt idx="34">
                  <c:v>-190</c:v>
                </c:pt>
                <c:pt idx="35">
                  <c:v>-200</c:v>
                </c:pt>
                <c:pt idx="36">
                  <c:v>-208.00000000000003</c:v>
                </c:pt>
                <c:pt idx="37">
                  <c:v>-212.00000000000003</c:v>
                </c:pt>
                <c:pt idx="38">
                  <c:v>-216.00000000000003</c:v>
                </c:pt>
                <c:pt idx="39">
                  <c:v>-221.99999999999997</c:v>
                </c:pt>
                <c:pt idx="40">
                  <c:v>-227.99999999999997</c:v>
                </c:pt>
                <c:pt idx="41">
                  <c:v>-232.99999999999997</c:v>
                </c:pt>
                <c:pt idx="42">
                  <c:v>-239</c:v>
                </c:pt>
                <c:pt idx="43">
                  <c:v>-244</c:v>
                </c:pt>
                <c:pt idx="44">
                  <c:v>-250</c:v>
                </c:pt>
                <c:pt idx="45">
                  <c:v>-255</c:v>
                </c:pt>
                <c:pt idx="46">
                  <c:v>-261</c:v>
                </c:pt>
                <c:pt idx="47">
                  <c:v>-271</c:v>
                </c:pt>
                <c:pt idx="48">
                  <c:v>-281</c:v>
                </c:pt>
                <c:pt idx="49">
                  <c:v>-291</c:v>
                </c:pt>
                <c:pt idx="50">
                  <c:v>-301</c:v>
                </c:pt>
                <c:pt idx="51">
                  <c:v>-311</c:v>
                </c:pt>
                <c:pt idx="52">
                  <c:v>-321</c:v>
                </c:pt>
                <c:pt idx="53">
                  <c:v>-331</c:v>
                </c:pt>
                <c:pt idx="54">
                  <c:v>-341</c:v>
                </c:pt>
                <c:pt idx="55">
                  <c:v>-351</c:v>
                </c:pt>
                <c:pt idx="56">
                  <c:v>-361</c:v>
                </c:pt>
                <c:pt idx="57">
                  <c:v>-371</c:v>
                </c:pt>
                <c:pt idx="58">
                  <c:v>-387</c:v>
                </c:pt>
                <c:pt idx="59">
                  <c:v>-418.00000000000006</c:v>
                </c:pt>
                <c:pt idx="60">
                  <c:v>-445.99999999999994</c:v>
                </c:pt>
                <c:pt idx="61">
                  <c:v>-473</c:v>
                </c:pt>
                <c:pt idx="62">
                  <c:v>-503</c:v>
                </c:pt>
                <c:pt idx="63">
                  <c:v>-529</c:v>
                </c:pt>
                <c:pt idx="64">
                  <c:v>-559</c:v>
                </c:pt>
                <c:pt idx="65">
                  <c:v>-584</c:v>
                </c:pt>
                <c:pt idx="66">
                  <c:v>-614</c:v>
                </c:pt>
                <c:pt idx="67">
                  <c:v>-641</c:v>
                </c:pt>
                <c:pt idx="68">
                  <c:v>-670</c:v>
                </c:pt>
                <c:pt idx="69">
                  <c:v>-698</c:v>
                </c:pt>
                <c:pt idx="70">
                  <c:v>-724</c:v>
                </c:pt>
                <c:pt idx="71">
                  <c:v>-749</c:v>
                </c:pt>
                <c:pt idx="72">
                  <c:v>-759</c:v>
                </c:pt>
                <c:pt idx="73">
                  <c:v>-769</c:v>
                </c:pt>
                <c:pt idx="74">
                  <c:v>-779</c:v>
                </c:pt>
                <c:pt idx="75">
                  <c:v>-789</c:v>
                </c:pt>
                <c:pt idx="76">
                  <c:v>-799</c:v>
                </c:pt>
                <c:pt idx="77">
                  <c:v>-809</c:v>
                </c:pt>
                <c:pt idx="78">
                  <c:v>-819</c:v>
                </c:pt>
                <c:pt idx="79">
                  <c:v>-829</c:v>
                </c:pt>
                <c:pt idx="80">
                  <c:v>-839</c:v>
                </c:pt>
                <c:pt idx="81">
                  <c:v>-849</c:v>
                </c:pt>
                <c:pt idx="82">
                  <c:v>-859</c:v>
                </c:pt>
                <c:pt idx="83">
                  <c:v>-869</c:v>
                </c:pt>
                <c:pt idx="84">
                  <c:v>-879</c:v>
                </c:pt>
                <c:pt idx="85">
                  <c:v>-889</c:v>
                </c:pt>
                <c:pt idx="86">
                  <c:v>-899</c:v>
                </c:pt>
                <c:pt idx="87">
                  <c:v>-909</c:v>
                </c:pt>
                <c:pt idx="88">
                  <c:v>-919</c:v>
                </c:pt>
                <c:pt idx="89">
                  <c:v>-929</c:v>
                </c:pt>
                <c:pt idx="90">
                  <c:v>-939</c:v>
                </c:pt>
                <c:pt idx="91">
                  <c:v>-949.00000000000011</c:v>
                </c:pt>
                <c:pt idx="92">
                  <c:v>-959.00000000000011</c:v>
                </c:pt>
                <c:pt idx="93">
                  <c:v>-969.00000000000011</c:v>
                </c:pt>
                <c:pt idx="94">
                  <c:v>-979.00000000000011</c:v>
                </c:pt>
                <c:pt idx="95">
                  <c:v>-989.00000000000011</c:v>
                </c:pt>
                <c:pt idx="96">
                  <c:v>-999.00000000000011</c:v>
                </c:pt>
                <c:pt idx="97">
                  <c:v>-1008.9999999999999</c:v>
                </c:pt>
                <c:pt idx="98">
                  <c:v>-1018.9999999999999</c:v>
                </c:pt>
                <c:pt idx="99">
                  <c:v>-1034</c:v>
                </c:pt>
                <c:pt idx="100">
                  <c:v>-1044</c:v>
                </c:pt>
                <c:pt idx="101">
                  <c:v>-1054</c:v>
                </c:pt>
                <c:pt idx="102">
                  <c:v>-1064</c:v>
                </c:pt>
                <c:pt idx="103">
                  <c:v>-1074</c:v>
                </c:pt>
                <c:pt idx="104">
                  <c:v>-1089</c:v>
                </c:pt>
                <c:pt idx="105">
                  <c:v>-1099</c:v>
                </c:pt>
                <c:pt idx="106">
                  <c:v>-1109</c:v>
                </c:pt>
                <c:pt idx="107">
                  <c:v>-1119</c:v>
                </c:pt>
                <c:pt idx="108">
                  <c:v>-1129</c:v>
                </c:pt>
                <c:pt idx="109">
                  <c:v>-1139</c:v>
                </c:pt>
                <c:pt idx="110">
                  <c:v>-1154</c:v>
                </c:pt>
                <c:pt idx="111">
                  <c:v>-1164</c:v>
                </c:pt>
                <c:pt idx="112">
                  <c:v>-1174</c:v>
                </c:pt>
                <c:pt idx="113">
                  <c:v>-1184</c:v>
                </c:pt>
                <c:pt idx="114">
                  <c:v>-1194</c:v>
                </c:pt>
                <c:pt idx="115">
                  <c:v>-1209</c:v>
                </c:pt>
                <c:pt idx="116">
                  <c:v>-1219</c:v>
                </c:pt>
                <c:pt idx="117">
                  <c:v>-1229</c:v>
                </c:pt>
                <c:pt idx="118">
                  <c:v>-1244</c:v>
                </c:pt>
                <c:pt idx="119">
                  <c:v>-1254</c:v>
                </c:pt>
                <c:pt idx="120">
                  <c:v>-1264</c:v>
                </c:pt>
                <c:pt idx="121">
                  <c:v>-1274</c:v>
                </c:pt>
                <c:pt idx="122">
                  <c:v>-1289</c:v>
                </c:pt>
                <c:pt idx="123">
                  <c:v>-1299</c:v>
                </c:pt>
                <c:pt idx="124">
                  <c:v>-1309</c:v>
                </c:pt>
                <c:pt idx="125">
                  <c:v>-1324</c:v>
                </c:pt>
                <c:pt idx="126">
                  <c:v>-1334</c:v>
                </c:pt>
                <c:pt idx="127">
                  <c:v>-1349</c:v>
                </c:pt>
                <c:pt idx="128">
                  <c:v>-1359</c:v>
                </c:pt>
                <c:pt idx="129">
                  <c:v>-1369</c:v>
                </c:pt>
                <c:pt idx="130">
                  <c:v>-1379</c:v>
                </c:pt>
                <c:pt idx="131">
                  <c:v>-1409</c:v>
                </c:pt>
                <c:pt idx="132">
                  <c:v>-1459</c:v>
                </c:pt>
                <c:pt idx="133">
                  <c:v>-1494</c:v>
                </c:pt>
                <c:pt idx="134">
                  <c:v>-1539</c:v>
                </c:pt>
                <c:pt idx="135">
                  <c:v>-1565</c:v>
                </c:pt>
                <c:pt idx="136">
                  <c:v>-1605</c:v>
                </c:pt>
                <c:pt idx="137">
                  <c:v>-1627</c:v>
                </c:pt>
                <c:pt idx="138">
                  <c:v>-1663</c:v>
                </c:pt>
                <c:pt idx="139">
                  <c:v>-1699</c:v>
                </c:pt>
                <c:pt idx="140">
                  <c:v>-1731</c:v>
                </c:pt>
                <c:pt idx="141">
                  <c:v>-1761</c:v>
                </c:pt>
                <c:pt idx="142">
                  <c:v>-1786</c:v>
                </c:pt>
                <c:pt idx="143">
                  <c:v>-1808</c:v>
                </c:pt>
                <c:pt idx="144">
                  <c:v>-1828</c:v>
                </c:pt>
                <c:pt idx="145">
                  <c:v>-1846</c:v>
                </c:pt>
                <c:pt idx="146">
                  <c:v>-1860</c:v>
                </c:pt>
                <c:pt idx="147">
                  <c:v>-1870</c:v>
                </c:pt>
                <c:pt idx="148">
                  <c:v>-1880.0000000000002</c:v>
                </c:pt>
                <c:pt idx="149">
                  <c:v>-1889</c:v>
                </c:pt>
                <c:pt idx="150">
                  <c:v>-1898</c:v>
                </c:pt>
                <c:pt idx="151">
                  <c:v>-1906.9999999999998</c:v>
                </c:pt>
                <c:pt idx="152">
                  <c:v>-1916.0000000000002</c:v>
                </c:pt>
                <c:pt idx="153">
                  <c:v>-1924.0000000000002</c:v>
                </c:pt>
                <c:pt idx="154">
                  <c:v>-1930</c:v>
                </c:pt>
                <c:pt idx="155">
                  <c:v>-1936.0000000000002</c:v>
                </c:pt>
                <c:pt idx="156">
                  <c:v>-1942</c:v>
                </c:pt>
                <c:pt idx="157">
                  <c:v>-1948.0000000000002</c:v>
                </c:pt>
                <c:pt idx="158">
                  <c:v>-1952.0000000000002</c:v>
                </c:pt>
                <c:pt idx="159">
                  <c:v>-1956.0000000000002</c:v>
                </c:pt>
                <c:pt idx="160">
                  <c:v>-1958.9999999999998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38-4B46-B626-7595F62D6826}"/>
            </c:ext>
          </c:extLst>
        </c:ser>
        <c:ser>
          <c:idx val="3"/>
          <c:order val="3"/>
          <c:tx>
            <c:strRef>
              <c:f>'SL.124+900 '!$N$11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'SL.124+900 '!$A$13:$A$396</c:f>
              <c:numCache>
                <c:formatCode>dd/mm/yyyy;@</c:formatCode>
                <c:ptCount val="384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'!$N$13:$N$396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-7.9999999999999929</c:v>
                </c:pt>
                <c:pt idx="17">
                  <c:v>-16</c:v>
                </c:pt>
                <c:pt idx="18">
                  <c:v>-23.000000000000007</c:v>
                </c:pt>
                <c:pt idx="19">
                  <c:v>-30.999999999999986</c:v>
                </c:pt>
                <c:pt idx="20">
                  <c:v>-36.999999999999993</c:v>
                </c:pt>
                <c:pt idx="21">
                  <c:v>-44</c:v>
                </c:pt>
                <c:pt idx="22">
                  <c:v>-52.000000000000007</c:v>
                </c:pt>
                <c:pt idx="23">
                  <c:v>-58.000000000000007</c:v>
                </c:pt>
                <c:pt idx="24">
                  <c:v>-64.999999999999986</c:v>
                </c:pt>
                <c:pt idx="25">
                  <c:v>-71</c:v>
                </c:pt>
                <c:pt idx="26">
                  <c:v>-76</c:v>
                </c:pt>
                <c:pt idx="27">
                  <c:v>-86</c:v>
                </c:pt>
                <c:pt idx="28">
                  <c:v>-104</c:v>
                </c:pt>
                <c:pt idx="29">
                  <c:v>-120.00000000000001</c:v>
                </c:pt>
                <c:pt idx="30">
                  <c:v>-136</c:v>
                </c:pt>
                <c:pt idx="31">
                  <c:v>-151.00000000000003</c:v>
                </c:pt>
                <c:pt idx="32">
                  <c:v>-164.00000000000003</c:v>
                </c:pt>
                <c:pt idx="33">
                  <c:v>-177</c:v>
                </c:pt>
                <c:pt idx="34">
                  <c:v>-188</c:v>
                </c:pt>
                <c:pt idx="35">
                  <c:v>-198</c:v>
                </c:pt>
                <c:pt idx="36">
                  <c:v>-206.00000000000003</c:v>
                </c:pt>
                <c:pt idx="37">
                  <c:v>-209.00000000000003</c:v>
                </c:pt>
                <c:pt idx="38">
                  <c:v>-212.00000000000003</c:v>
                </c:pt>
                <c:pt idx="39">
                  <c:v>-217.00000000000003</c:v>
                </c:pt>
                <c:pt idx="40">
                  <c:v>-222.00000000000003</c:v>
                </c:pt>
                <c:pt idx="41">
                  <c:v>-227.00000000000003</c:v>
                </c:pt>
                <c:pt idx="42">
                  <c:v>-230.99999999999997</c:v>
                </c:pt>
                <c:pt idx="43">
                  <c:v>-236</c:v>
                </c:pt>
                <c:pt idx="44">
                  <c:v>-240</c:v>
                </c:pt>
                <c:pt idx="45">
                  <c:v>-245</c:v>
                </c:pt>
                <c:pt idx="46">
                  <c:v>-249</c:v>
                </c:pt>
                <c:pt idx="47">
                  <c:v>-254</c:v>
                </c:pt>
                <c:pt idx="48">
                  <c:v>-258</c:v>
                </c:pt>
                <c:pt idx="49">
                  <c:v>-263</c:v>
                </c:pt>
                <c:pt idx="50">
                  <c:v>-266</c:v>
                </c:pt>
                <c:pt idx="51">
                  <c:v>-271</c:v>
                </c:pt>
                <c:pt idx="52">
                  <c:v>-275</c:v>
                </c:pt>
                <c:pt idx="53">
                  <c:v>-280</c:v>
                </c:pt>
                <c:pt idx="54">
                  <c:v>-284.00000000000006</c:v>
                </c:pt>
                <c:pt idx="55">
                  <c:v>-287.00000000000006</c:v>
                </c:pt>
                <c:pt idx="56">
                  <c:v>-291.00000000000006</c:v>
                </c:pt>
                <c:pt idx="57">
                  <c:v>-301</c:v>
                </c:pt>
                <c:pt idx="58">
                  <c:v>-315</c:v>
                </c:pt>
                <c:pt idx="59">
                  <c:v>-341</c:v>
                </c:pt>
                <c:pt idx="60">
                  <c:v>-364</c:v>
                </c:pt>
                <c:pt idx="61">
                  <c:v>-388</c:v>
                </c:pt>
                <c:pt idx="62">
                  <c:v>-411.00000000000006</c:v>
                </c:pt>
                <c:pt idx="63">
                  <c:v>-435.00000000000006</c:v>
                </c:pt>
                <c:pt idx="64">
                  <c:v>-460.99999999999994</c:v>
                </c:pt>
                <c:pt idx="65">
                  <c:v>-485</c:v>
                </c:pt>
                <c:pt idx="66">
                  <c:v>-508</c:v>
                </c:pt>
                <c:pt idx="67">
                  <c:v>-530</c:v>
                </c:pt>
                <c:pt idx="68">
                  <c:v>-551</c:v>
                </c:pt>
                <c:pt idx="69">
                  <c:v>-571.00000000000011</c:v>
                </c:pt>
                <c:pt idx="70">
                  <c:v>-590</c:v>
                </c:pt>
                <c:pt idx="71">
                  <c:v>-608</c:v>
                </c:pt>
                <c:pt idx="72">
                  <c:v>-625</c:v>
                </c:pt>
                <c:pt idx="73">
                  <c:v>-641</c:v>
                </c:pt>
                <c:pt idx="74">
                  <c:v>-656</c:v>
                </c:pt>
                <c:pt idx="75">
                  <c:v>-670</c:v>
                </c:pt>
                <c:pt idx="76">
                  <c:v>-680</c:v>
                </c:pt>
                <c:pt idx="77">
                  <c:v>-689</c:v>
                </c:pt>
                <c:pt idx="78">
                  <c:v>-697.00000000000011</c:v>
                </c:pt>
                <c:pt idx="79">
                  <c:v>-705</c:v>
                </c:pt>
                <c:pt idx="80">
                  <c:v>-712</c:v>
                </c:pt>
                <c:pt idx="81">
                  <c:v>-718</c:v>
                </c:pt>
                <c:pt idx="82">
                  <c:v>-723</c:v>
                </c:pt>
                <c:pt idx="83">
                  <c:v>-730</c:v>
                </c:pt>
                <c:pt idx="84">
                  <c:v>-736</c:v>
                </c:pt>
                <c:pt idx="85">
                  <c:v>-740</c:v>
                </c:pt>
                <c:pt idx="86">
                  <c:v>-743</c:v>
                </c:pt>
                <c:pt idx="87">
                  <c:v>-748</c:v>
                </c:pt>
                <c:pt idx="88">
                  <c:v>-752</c:v>
                </c:pt>
                <c:pt idx="89">
                  <c:v>-754</c:v>
                </c:pt>
                <c:pt idx="90">
                  <c:v>-759</c:v>
                </c:pt>
                <c:pt idx="91">
                  <c:v>-763</c:v>
                </c:pt>
                <c:pt idx="92">
                  <c:v>-768</c:v>
                </c:pt>
                <c:pt idx="93">
                  <c:v>-772</c:v>
                </c:pt>
                <c:pt idx="94">
                  <c:v>-774</c:v>
                </c:pt>
                <c:pt idx="95">
                  <c:v>-777</c:v>
                </c:pt>
                <c:pt idx="96">
                  <c:v>-781</c:v>
                </c:pt>
                <c:pt idx="97">
                  <c:v>-786</c:v>
                </c:pt>
                <c:pt idx="98">
                  <c:v>-788</c:v>
                </c:pt>
                <c:pt idx="99">
                  <c:v>-794</c:v>
                </c:pt>
                <c:pt idx="100">
                  <c:v>-799</c:v>
                </c:pt>
                <c:pt idx="101">
                  <c:v>-805</c:v>
                </c:pt>
                <c:pt idx="102">
                  <c:v>-809</c:v>
                </c:pt>
                <c:pt idx="103">
                  <c:v>-812</c:v>
                </c:pt>
                <c:pt idx="104">
                  <c:v>-817.00000000000011</c:v>
                </c:pt>
                <c:pt idx="105">
                  <c:v>-821.00000000000011</c:v>
                </c:pt>
                <c:pt idx="106">
                  <c:v>-824.00000000000011</c:v>
                </c:pt>
                <c:pt idx="107">
                  <c:v>-826</c:v>
                </c:pt>
                <c:pt idx="108">
                  <c:v>-831</c:v>
                </c:pt>
                <c:pt idx="109">
                  <c:v>-835</c:v>
                </c:pt>
                <c:pt idx="110">
                  <c:v>-843</c:v>
                </c:pt>
                <c:pt idx="111">
                  <c:v>-850</c:v>
                </c:pt>
                <c:pt idx="112">
                  <c:v>-858</c:v>
                </c:pt>
                <c:pt idx="113">
                  <c:v>-864</c:v>
                </c:pt>
                <c:pt idx="114">
                  <c:v>-868</c:v>
                </c:pt>
                <c:pt idx="115">
                  <c:v>-876</c:v>
                </c:pt>
                <c:pt idx="116">
                  <c:v>-883</c:v>
                </c:pt>
                <c:pt idx="117">
                  <c:v>-889</c:v>
                </c:pt>
                <c:pt idx="118">
                  <c:v>-893.99999999999989</c:v>
                </c:pt>
                <c:pt idx="119">
                  <c:v>-899.99999999999989</c:v>
                </c:pt>
                <c:pt idx="120">
                  <c:v>-905</c:v>
                </c:pt>
                <c:pt idx="121">
                  <c:v>-913</c:v>
                </c:pt>
                <c:pt idx="122">
                  <c:v>-917</c:v>
                </c:pt>
                <c:pt idx="123">
                  <c:v>-921.99999999999989</c:v>
                </c:pt>
                <c:pt idx="124">
                  <c:v>-927</c:v>
                </c:pt>
                <c:pt idx="125">
                  <c:v>-937</c:v>
                </c:pt>
                <c:pt idx="126">
                  <c:v>-947.00000000000011</c:v>
                </c:pt>
                <c:pt idx="127">
                  <c:v>-957.00000000000011</c:v>
                </c:pt>
                <c:pt idx="128">
                  <c:v>-967.00000000000011</c:v>
                </c:pt>
                <c:pt idx="129">
                  <c:v>-971.00000000000011</c:v>
                </c:pt>
                <c:pt idx="130">
                  <c:v>-974</c:v>
                </c:pt>
                <c:pt idx="131">
                  <c:v>-1002</c:v>
                </c:pt>
                <c:pt idx="132">
                  <c:v>-1044</c:v>
                </c:pt>
                <c:pt idx="133">
                  <c:v>-1068</c:v>
                </c:pt>
                <c:pt idx="134">
                  <c:v>-1108</c:v>
                </c:pt>
                <c:pt idx="135">
                  <c:v>-1128</c:v>
                </c:pt>
                <c:pt idx="136">
                  <c:v>-1158</c:v>
                </c:pt>
                <c:pt idx="137">
                  <c:v>-1174</c:v>
                </c:pt>
                <c:pt idx="138">
                  <c:v>-1202</c:v>
                </c:pt>
                <c:pt idx="139">
                  <c:v>-1232</c:v>
                </c:pt>
                <c:pt idx="140">
                  <c:v>-1252</c:v>
                </c:pt>
                <c:pt idx="141">
                  <c:v>-1272</c:v>
                </c:pt>
                <c:pt idx="142">
                  <c:v>-1290</c:v>
                </c:pt>
                <c:pt idx="143">
                  <c:v>-1306</c:v>
                </c:pt>
                <c:pt idx="144">
                  <c:v>-1320</c:v>
                </c:pt>
                <c:pt idx="145">
                  <c:v>-1334</c:v>
                </c:pt>
                <c:pt idx="146">
                  <c:v>-1344</c:v>
                </c:pt>
                <c:pt idx="147">
                  <c:v>-1353</c:v>
                </c:pt>
                <c:pt idx="148">
                  <c:v>-1362</c:v>
                </c:pt>
                <c:pt idx="149">
                  <c:v>-1370</c:v>
                </c:pt>
                <c:pt idx="150">
                  <c:v>-1378</c:v>
                </c:pt>
                <c:pt idx="151">
                  <c:v>-1386.0000000000002</c:v>
                </c:pt>
                <c:pt idx="152">
                  <c:v>-1392</c:v>
                </c:pt>
                <c:pt idx="153">
                  <c:v>-1398</c:v>
                </c:pt>
                <c:pt idx="154">
                  <c:v>-1404</c:v>
                </c:pt>
                <c:pt idx="155">
                  <c:v>-1408</c:v>
                </c:pt>
                <c:pt idx="156">
                  <c:v>-1412</c:v>
                </c:pt>
                <c:pt idx="157">
                  <c:v>-1414</c:v>
                </c:pt>
                <c:pt idx="158">
                  <c:v>-1416</c:v>
                </c:pt>
                <c:pt idx="159">
                  <c:v>-1418</c:v>
                </c:pt>
                <c:pt idx="160">
                  <c:v>-1420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38-4B46-B626-7595F62D6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38272"/>
        <c:axId val="837438848"/>
      </c:scatterChart>
      <c:scatterChart>
        <c:scatterStyle val="lineMarker"/>
        <c:varyColors val="0"/>
        <c:ser>
          <c:idx val="0"/>
          <c:order val="0"/>
          <c:tx>
            <c:strRef>
              <c:f>'SL.124+900 '!$C$11:$C$12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'SL.124+900 '!$A$13:$A$699</c:f>
              <c:numCache>
                <c:formatCode>dd/mm/yyyy;@</c:formatCode>
                <c:ptCount val="687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'!$C$13:$C$699</c:f>
              <c:numCache>
                <c:formatCode>0.000</c:formatCode>
                <c:ptCount val="687"/>
                <c:pt idx="0">
                  <c:v>-0.123</c:v>
                </c:pt>
                <c:pt idx="1">
                  <c:v>-0.123</c:v>
                </c:pt>
                <c:pt idx="2">
                  <c:v>-0.123</c:v>
                </c:pt>
                <c:pt idx="3">
                  <c:v>-0.123</c:v>
                </c:pt>
                <c:pt idx="4">
                  <c:v>-0.123</c:v>
                </c:pt>
                <c:pt idx="5">
                  <c:v>-0.123</c:v>
                </c:pt>
                <c:pt idx="6">
                  <c:v>-0.123</c:v>
                </c:pt>
                <c:pt idx="7">
                  <c:v>-0.123</c:v>
                </c:pt>
                <c:pt idx="8">
                  <c:v>-0.123</c:v>
                </c:pt>
                <c:pt idx="9">
                  <c:v>-0.123</c:v>
                </c:pt>
                <c:pt idx="10">
                  <c:v>-0.123</c:v>
                </c:pt>
                <c:pt idx="11">
                  <c:v>-0.123</c:v>
                </c:pt>
                <c:pt idx="12">
                  <c:v>-0.123</c:v>
                </c:pt>
                <c:pt idx="13">
                  <c:v>-0.123</c:v>
                </c:pt>
                <c:pt idx="14">
                  <c:v>-0.123</c:v>
                </c:pt>
                <c:pt idx="15">
                  <c:v>0</c:v>
                </c:pt>
                <c:pt idx="16">
                  <c:v>-7.0000000000000001E-3</c:v>
                </c:pt>
                <c:pt idx="17">
                  <c:v>-1.4E-2</c:v>
                </c:pt>
                <c:pt idx="18">
                  <c:v>0.3</c:v>
                </c:pt>
                <c:pt idx="19">
                  <c:v>0.29299999999999998</c:v>
                </c:pt>
                <c:pt idx="20">
                  <c:v>0.28699999999999998</c:v>
                </c:pt>
                <c:pt idx="21">
                  <c:v>0.6</c:v>
                </c:pt>
                <c:pt idx="22">
                  <c:v>0.59299999999999997</c:v>
                </c:pt>
                <c:pt idx="23">
                  <c:v>0.58699999999999997</c:v>
                </c:pt>
                <c:pt idx="24">
                  <c:v>0.9</c:v>
                </c:pt>
                <c:pt idx="25">
                  <c:v>0.89300000000000002</c:v>
                </c:pt>
                <c:pt idx="26">
                  <c:v>0.89</c:v>
                </c:pt>
                <c:pt idx="27">
                  <c:v>0.878</c:v>
                </c:pt>
                <c:pt idx="28">
                  <c:v>0.85799999999999998</c:v>
                </c:pt>
                <c:pt idx="29">
                  <c:v>0.84</c:v>
                </c:pt>
                <c:pt idx="30">
                  <c:v>0.82299999999999995</c:v>
                </c:pt>
                <c:pt idx="31">
                  <c:v>0.80700000000000005</c:v>
                </c:pt>
                <c:pt idx="32">
                  <c:v>0.79300000000000004</c:v>
                </c:pt>
                <c:pt idx="33">
                  <c:v>0.78</c:v>
                </c:pt>
                <c:pt idx="34">
                  <c:v>0.77</c:v>
                </c:pt>
                <c:pt idx="35">
                  <c:v>0.76</c:v>
                </c:pt>
                <c:pt idx="36">
                  <c:v>0.752</c:v>
                </c:pt>
                <c:pt idx="37">
                  <c:v>0.748</c:v>
                </c:pt>
                <c:pt idx="38">
                  <c:v>0.74399999999999999</c:v>
                </c:pt>
                <c:pt idx="39">
                  <c:v>1.2</c:v>
                </c:pt>
                <c:pt idx="40">
                  <c:v>1.194</c:v>
                </c:pt>
                <c:pt idx="41">
                  <c:v>1.1890000000000001</c:v>
                </c:pt>
                <c:pt idx="42">
                  <c:v>1.1830000000000001</c:v>
                </c:pt>
                <c:pt idx="43">
                  <c:v>1.1779999999999999</c:v>
                </c:pt>
                <c:pt idx="44">
                  <c:v>1.1719999999999999</c:v>
                </c:pt>
                <c:pt idx="45">
                  <c:v>1.167</c:v>
                </c:pt>
                <c:pt idx="46">
                  <c:v>1.161</c:v>
                </c:pt>
                <c:pt idx="47">
                  <c:v>1.5</c:v>
                </c:pt>
                <c:pt idx="48">
                  <c:v>1.49</c:v>
                </c:pt>
                <c:pt idx="49">
                  <c:v>1.48</c:v>
                </c:pt>
                <c:pt idx="50">
                  <c:v>1.47</c:v>
                </c:pt>
                <c:pt idx="51">
                  <c:v>1.46</c:v>
                </c:pt>
                <c:pt idx="52">
                  <c:v>1.45</c:v>
                </c:pt>
                <c:pt idx="53">
                  <c:v>1.44</c:v>
                </c:pt>
                <c:pt idx="54">
                  <c:v>1.43</c:v>
                </c:pt>
                <c:pt idx="55">
                  <c:v>1.42</c:v>
                </c:pt>
                <c:pt idx="56">
                  <c:v>1.8</c:v>
                </c:pt>
                <c:pt idx="57">
                  <c:v>1.79</c:v>
                </c:pt>
                <c:pt idx="58">
                  <c:v>1.774</c:v>
                </c:pt>
                <c:pt idx="59">
                  <c:v>1.7430000000000001</c:v>
                </c:pt>
                <c:pt idx="60">
                  <c:v>1.7150000000000001</c:v>
                </c:pt>
                <c:pt idx="61">
                  <c:v>1.6879999999999999</c:v>
                </c:pt>
                <c:pt idx="62">
                  <c:v>1.6579999999999999</c:v>
                </c:pt>
                <c:pt idx="63">
                  <c:v>1.6319999999999999</c:v>
                </c:pt>
                <c:pt idx="64">
                  <c:v>1.6020000000000001</c:v>
                </c:pt>
                <c:pt idx="65">
                  <c:v>1.577</c:v>
                </c:pt>
                <c:pt idx="66">
                  <c:v>1.5469999999999999</c:v>
                </c:pt>
                <c:pt idx="67">
                  <c:v>1.52</c:v>
                </c:pt>
                <c:pt idx="68">
                  <c:v>1.4910000000000001</c:v>
                </c:pt>
                <c:pt idx="69">
                  <c:v>1.4630000000000001</c:v>
                </c:pt>
                <c:pt idx="70">
                  <c:v>1.4370000000000001</c:v>
                </c:pt>
                <c:pt idx="71">
                  <c:v>1.4119999999999999</c:v>
                </c:pt>
                <c:pt idx="72">
                  <c:v>1.4019999999999999</c:v>
                </c:pt>
                <c:pt idx="73">
                  <c:v>1.3919999999999999</c:v>
                </c:pt>
                <c:pt idx="74">
                  <c:v>1.3819999999999999</c:v>
                </c:pt>
                <c:pt idx="75">
                  <c:v>1.3720000000000001</c:v>
                </c:pt>
                <c:pt idx="76">
                  <c:v>1.3620000000000001</c:v>
                </c:pt>
                <c:pt idx="77">
                  <c:v>1.3520000000000001</c:v>
                </c:pt>
                <c:pt idx="78">
                  <c:v>1.3420000000000001</c:v>
                </c:pt>
                <c:pt idx="79">
                  <c:v>1.3320000000000001</c:v>
                </c:pt>
                <c:pt idx="80">
                  <c:v>1.3220000000000001</c:v>
                </c:pt>
                <c:pt idx="81">
                  <c:v>1.3120000000000001</c:v>
                </c:pt>
                <c:pt idx="82">
                  <c:v>1.302</c:v>
                </c:pt>
                <c:pt idx="83">
                  <c:v>1.292</c:v>
                </c:pt>
                <c:pt idx="84">
                  <c:v>1.282</c:v>
                </c:pt>
                <c:pt idx="85">
                  <c:v>1.272</c:v>
                </c:pt>
                <c:pt idx="86">
                  <c:v>1.262</c:v>
                </c:pt>
                <c:pt idx="87">
                  <c:v>1.252</c:v>
                </c:pt>
                <c:pt idx="88">
                  <c:v>1.242</c:v>
                </c:pt>
                <c:pt idx="89">
                  <c:v>1.232</c:v>
                </c:pt>
                <c:pt idx="90">
                  <c:v>1.222</c:v>
                </c:pt>
                <c:pt idx="91">
                  <c:v>1.212</c:v>
                </c:pt>
                <c:pt idx="92">
                  <c:v>1.202</c:v>
                </c:pt>
                <c:pt idx="93">
                  <c:v>1.1919999999999999</c:v>
                </c:pt>
                <c:pt idx="94">
                  <c:v>1.1819999999999999</c:v>
                </c:pt>
                <c:pt idx="95">
                  <c:v>1.1719999999999999</c:v>
                </c:pt>
                <c:pt idx="96">
                  <c:v>1.1619999999999999</c:v>
                </c:pt>
                <c:pt idx="97">
                  <c:v>1.1519999999999999</c:v>
                </c:pt>
                <c:pt idx="98">
                  <c:v>1.1419999999999999</c:v>
                </c:pt>
                <c:pt idx="99">
                  <c:v>1.93</c:v>
                </c:pt>
                <c:pt idx="100">
                  <c:v>1.92</c:v>
                </c:pt>
                <c:pt idx="101">
                  <c:v>2.13</c:v>
                </c:pt>
                <c:pt idx="102">
                  <c:v>2.12</c:v>
                </c:pt>
                <c:pt idx="103">
                  <c:v>2.11</c:v>
                </c:pt>
                <c:pt idx="104">
                  <c:v>2.34</c:v>
                </c:pt>
                <c:pt idx="105">
                  <c:v>2.33</c:v>
                </c:pt>
                <c:pt idx="106">
                  <c:v>2.3199999999999998</c:v>
                </c:pt>
                <c:pt idx="107">
                  <c:v>2.5299999999999998</c:v>
                </c:pt>
                <c:pt idx="108">
                  <c:v>2.52</c:v>
                </c:pt>
                <c:pt idx="109">
                  <c:v>2.5099999999999998</c:v>
                </c:pt>
                <c:pt idx="110">
                  <c:v>2.74</c:v>
                </c:pt>
                <c:pt idx="111">
                  <c:v>2.73</c:v>
                </c:pt>
                <c:pt idx="112">
                  <c:v>2.93</c:v>
                </c:pt>
                <c:pt idx="113">
                  <c:v>2.92</c:v>
                </c:pt>
                <c:pt idx="114">
                  <c:v>2.91</c:v>
                </c:pt>
                <c:pt idx="115">
                  <c:v>3.13</c:v>
                </c:pt>
                <c:pt idx="116">
                  <c:v>3.12</c:v>
                </c:pt>
                <c:pt idx="117">
                  <c:v>3.11</c:v>
                </c:pt>
                <c:pt idx="118">
                  <c:v>3.33</c:v>
                </c:pt>
                <c:pt idx="119">
                  <c:v>3.32</c:v>
                </c:pt>
                <c:pt idx="120">
                  <c:v>3.31</c:v>
                </c:pt>
                <c:pt idx="121">
                  <c:v>3.3</c:v>
                </c:pt>
                <c:pt idx="122">
                  <c:v>3.2850000000000001</c:v>
                </c:pt>
                <c:pt idx="123">
                  <c:v>3.53</c:v>
                </c:pt>
                <c:pt idx="124">
                  <c:v>3.52</c:v>
                </c:pt>
                <c:pt idx="125">
                  <c:v>3.5049999999999999</c:v>
                </c:pt>
                <c:pt idx="126">
                  <c:v>3.4950000000000001</c:v>
                </c:pt>
                <c:pt idx="127">
                  <c:v>3.73</c:v>
                </c:pt>
                <c:pt idx="128">
                  <c:v>3.72</c:v>
                </c:pt>
                <c:pt idx="129">
                  <c:v>3.71</c:v>
                </c:pt>
                <c:pt idx="130">
                  <c:v>3.94</c:v>
                </c:pt>
                <c:pt idx="131">
                  <c:v>3.91</c:v>
                </c:pt>
                <c:pt idx="132">
                  <c:v>3.86</c:v>
                </c:pt>
                <c:pt idx="133">
                  <c:v>3.8250000000000002</c:v>
                </c:pt>
                <c:pt idx="134">
                  <c:v>3.78</c:v>
                </c:pt>
                <c:pt idx="135">
                  <c:v>3.754</c:v>
                </c:pt>
                <c:pt idx="136">
                  <c:v>3.714</c:v>
                </c:pt>
                <c:pt idx="137">
                  <c:v>3.6920000000000002</c:v>
                </c:pt>
                <c:pt idx="138">
                  <c:v>3.6560000000000001</c:v>
                </c:pt>
                <c:pt idx="139">
                  <c:v>3.62</c:v>
                </c:pt>
                <c:pt idx="140">
                  <c:v>3.5880000000000001</c:v>
                </c:pt>
                <c:pt idx="141">
                  <c:v>3.5579999999999998</c:v>
                </c:pt>
                <c:pt idx="142">
                  <c:v>3.5329999999999999</c:v>
                </c:pt>
                <c:pt idx="143">
                  <c:v>3.5110000000000001</c:v>
                </c:pt>
                <c:pt idx="144">
                  <c:v>3.4910000000000001</c:v>
                </c:pt>
                <c:pt idx="145">
                  <c:v>3.4729999999999999</c:v>
                </c:pt>
                <c:pt idx="146">
                  <c:v>3.4590000000000001</c:v>
                </c:pt>
                <c:pt idx="147">
                  <c:v>3.4489999999999998</c:v>
                </c:pt>
                <c:pt idx="148">
                  <c:v>3.4390000000000001</c:v>
                </c:pt>
                <c:pt idx="149">
                  <c:v>3.43</c:v>
                </c:pt>
                <c:pt idx="150">
                  <c:v>3.4209999999999998</c:v>
                </c:pt>
                <c:pt idx="151">
                  <c:v>3.4119999999999999</c:v>
                </c:pt>
                <c:pt idx="152">
                  <c:v>3.403</c:v>
                </c:pt>
                <c:pt idx="153">
                  <c:v>3.395</c:v>
                </c:pt>
                <c:pt idx="154">
                  <c:v>3.3889999999999998</c:v>
                </c:pt>
                <c:pt idx="155">
                  <c:v>3.383</c:v>
                </c:pt>
                <c:pt idx="156">
                  <c:v>3.3769999999999998</c:v>
                </c:pt>
                <c:pt idx="157">
                  <c:v>3.371</c:v>
                </c:pt>
                <c:pt idx="158">
                  <c:v>3.367</c:v>
                </c:pt>
                <c:pt idx="159">
                  <c:v>3.363</c:v>
                </c:pt>
                <c:pt idx="160">
                  <c:v>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38-4B46-B626-7595F62D6826}"/>
            </c:ext>
          </c:extLst>
        </c:ser>
        <c:ser>
          <c:idx val="4"/>
          <c:order val="4"/>
          <c:tx>
            <c:strRef>
              <c:f>'SL.124+900 '!$E$11:$E$12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'SL.124+900 '!$A$13:$A$699</c:f>
              <c:numCache>
                <c:formatCode>dd/mm/yyyy;@</c:formatCode>
                <c:ptCount val="687"/>
                <c:pt idx="0">
                  <c:v>45243</c:v>
                </c:pt>
                <c:pt idx="1">
                  <c:v>45244</c:v>
                </c:pt>
                <c:pt idx="2">
                  <c:v>45245</c:v>
                </c:pt>
                <c:pt idx="3">
                  <c:v>45249</c:v>
                </c:pt>
                <c:pt idx="4">
                  <c:v>45252</c:v>
                </c:pt>
                <c:pt idx="5">
                  <c:v>45259</c:v>
                </c:pt>
                <c:pt idx="6">
                  <c:v>45263</c:v>
                </c:pt>
                <c:pt idx="7">
                  <c:v>45264</c:v>
                </c:pt>
                <c:pt idx="8">
                  <c:v>45265</c:v>
                </c:pt>
                <c:pt idx="9">
                  <c:v>45266</c:v>
                </c:pt>
                <c:pt idx="10">
                  <c:v>45267</c:v>
                </c:pt>
                <c:pt idx="11">
                  <c:v>45268</c:v>
                </c:pt>
                <c:pt idx="12">
                  <c:v>45269</c:v>
                </c:pt>
                <c:pt idx="13">
                  <c:v>45270</c:v>
                </c:pt>
                <c:pt idx="14">
                  <c:v>45271</c:v>
                </c:pt>
                <c:pt idx="15">
                  <c:v>45272</c:v>
                </c:pt>
                <c:pt idx="16">
                  <c:v>45273</c:v>
                </c:pt>
                <c:pt idx="17">
                  <c:v>45274</c:v>
                </c:pt>
                <c:pt idx="18">
                  <c:v>45275</c:v>
                </c:pt>
                <c:pt idx="19">
                  <c:v>45276</c:v>
                </c:pt>
                <c:pt idx="20">
                  <c:v>45277</c:v>
                </c:pt>
                <c:pt idx="21">
                  <c:v>45278</c:v>
                </c:pt>
                <c:pt idx="22">
                  <c:v>45279</c:v>
                </c:pt>
                <c:pt idx="23">
                  <c:v>45280</c:v>
                </c:pt>
                <c:pt idx="24">
                  <c:v>45281</c:v>
                </c:pt>
                <c:pt idx="25">
                  <c:v>45285</c:v>
                </c:pt>
                <c:pt idx="26">
                  <c:v>45288</c:v>
                </c:pt>
                <c:pt idx="27">
                  <c:v>45295</c:v>
                </c:pt>
                <c:pt idx="28">
                  <c:v>45302</c:v>
                </c:pt>
                <c:pt idx="29">
                  <c:v>45309</c:v>
                </c:pt>
                <c:pt idx="30">
                  <c:v>45316</c:v>
                </c:pt>
                <c:pt idx="31">
                  <c:v>45323</c:v>
                </c:pt>
                <c:pt idx="32">
                  <c:v>45330</c:v>
                </c:pt>
                <c:pt idx="33">
                  <c:v>45337</c:v>
                </c:pt>
                <c:pt idx="34">
                  <c:v>45344</c:v>
                </c:pt>
                <c:pt idx="35">
                  <c:v>45351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45380</c:v>
                </c:pt>
                <c:pt idx="58">
                  <c:v>45384</c:v>
                </c:pt>
                <c:pt idx="59">
                  <c:v>45391</c:v>
                </c:pt>
                <c:pt idx="60">
                  <c:v>45398</c:v>
                </c:pt>
                <c:pt idx="61">
                  <c:v>45405</c:v>
                </c:pt>
                <c:pt idx="62">
                  <c:v>45412</c:v>
                </c:pt>
                <c:pt idx="63">
                  <c:v>45419</c:v>
                </c:pt>
                <c:pt idx="64">
                  <c:v>45426</c:v>
                </c:pt>
                <c:pt idx="65">
                  <c:v>45433</c:v>
                </c:pt>
                <c:pt idx="66">
                  <c:v>45440</c:v>
                </c:pt>
                <c:pt idx="67">
                  <c:v>45447</c:v>
                </c:pt>
                <c:pt idx="68">
                  <c:v>45454</c:v>
                </c:pt>
                <c:pt idx="69">
                  <c:v>45461</c:v>
                </c:pt>
                <c:pt idx="70">
                  <c:v>45468</c:v>
                </c:pt>
                <c:pt idx="71">
                  <c:v>45475</c:v>
                </c:pt>
                <c:pt idx="72">
                  <c:v>45482</c:v>
                </c:pt>
                <c:pt idx="73">
                  <c:v>45489</c:v>
                </c:pt>
                <c:pt idx="74">
                  <c:v>45496</c:v>
                </c:pt>
                <c:pt idx="75">
                  <c:v>45503</c:v>
                </c:pt>
                <c:pt idx="76">
                  <c:v>45510</c:v>
                </c:pt>
                <c:pt idx="77">
                  <c:v>45517</c:v>
                </c:pt>
                <c:pt idx="78">
                  <c:v>45524</c:v>
                </c:pt>
                <c:pt idx="79">
                  <c:v>45531</c:v>
                </c:pt>
                <c:pt idx="80">
                  <c:v>45538</c:v>
                </c:pt>
                <c:pt idx="81">
                  <c:v>45545</c:v>
                </c:pt>
                <c:pt idx="82">
                  <c:v>45552</c:v>
                </c:pt>
                <c:pt idx="83">
                  <c:v>45559</c:v>
                </c:pt>
                <c:pt idx="84">
                  <c:v>45565</c:v>
                </c:pt>
                <c:pt idx="85">
                  <c:v>45566</c:v>
                </c:pt>
                <c:pt idx="86">
                  <c:v>45567</c:v>
                </c:pt>
                <c:pt idx="87">
                  <c:v>45568</c:v>
                </c:pt>
                <c:pt idx="88">
                  <c:v>45569</c:v>
                </c:pt>
                <c:pt idx="89">
                  <c:v>45570</c:v>
                </c:pt>
                <c:pt idx="90">
                  <c:v>45571</c:v>
                </c:pt>
                <c:pt idx="91">
                  <c:v>45572</c:v>
                </c:pt>
                <c:pt idx="92">
                  <c:v>45573</c:v>
                </c:pt>
                <c:pt idx="93">
                  <c:v>45574</c:v>
                </c:pt>
                <c:pt idx="94">
                  <c:v>45575</c:v>
                </c:pt>
                <c:pt idx="95">
                  <c:v>45576</c:v>
                </c:pt>
                <c:pt idx="96">
                  <c:v>45577</c:v>
                </c:pt>
                <c:pt idx="97">
                  <c:v>45578</c:v>
                </c:pt>
                <c:pt idx="98">
                  <c:v>45579</c:v>
                </c:pt>
                <c:pt idx="99">
                  <c:v>45580</c:v>
                </c:pt>
                <c:pt idx="100">
                  <c:v>45581</c:v>
                </c:pt>
                <c:pt idx="101">
                  <c:v>45582</c:v>
                </c:pt>
                <c:pt idx="102">
                  <c:v>45583</c:v>
                </c:pt>
                <c:pt idx="103">
                  <c:v>45584</c:v>
                </c:pt>
                <c:pt idx="104">
                  <c:v>45585</c:v>
                </c:pt>
                <c:pt idx="105">
                  <c:v>45586</c:v>
                </c:pt>
                <c:pt idx="106">
                  <c:v>45587</c:v>
                </c:pt>
                <c:pt idx="107">
                  <c:v>45588</c:v>
                </c:pt>
                <c:pt idx="108">
                  <c:v>45589</c:v>
                </c:pt>
                <c:pt idx="109">
                  <c:v>45590</c:v>
                </c:pt>
                <c:pt idx="110">
                  <c:v>45591</c:v>
                </c:pt>
                <c:pt idx="111">
                  <c:v>45592</c:v>
                </c:pt>
                <c:pt idx="112">
                  <c:v>45593</c:v>
                </c:pt>
                <c:pt idx="113">
                  <c:v>45594</c:v>
                </c:pt>
                <c:pt idx="114">
                  <c:v>45595</c:v>
                </c:pt>
                <c:pt idx="115">
                  <c:v>45596</c:v>
                </c:pt>
                <c:pt idx="116">
                  <c:v>45597</c:v>
                </c:pt>
                <c:pt idx="117">
                  <c:v>45598</c:v>
                </c:pt>
                <c:pt idx="118">
                  <c:v>45599</c:v>
                </c:pt>
                <c:pt idx="119">
                  <c:v>45600</c:v>
                </c:pt>
                <c:pt idx="120">
                  <c:v>45601</c:v>
                </c:pt>
                <c:pt idx="121">
                  <c:v>45602</c:v>
                </c:pt>
                <c:pt idx="122">
                  <c:v>45603</c:v>
                </c:pt>
                <c:pt idx="123">
                  <c:v>45604</c:v>
                </c:pt>
                <c:pt idx="124">
                  <c:v>45605</c:v>
                </c:pt>
                <c:pt idx="125">
                  <c:v>45606</c:v>
                </c:pt>
                <c:pt idx="126">
                  <c:v>45607</c:v>
                </c:pt>
                <c:pt idx="127">
                  <c:v>45608</c:v>
                </c:pt>
                <c:pt idx="128">
                  <c:v>45609</c:v>
                </c:pt>
                <c:pt idx="129">
                  <c:v>45610</c:v>
                </c:pt>
                <c:pt idx="130">
                  <c:v>45611</c:v>
                </c:pt>
                <c:pt idx="131">
                  <c:v>45614</c:v>
                </c:pt>
                <c:pt idx="132">
                  <c:v>45618</c:v>
                </c:pt>
                <c:pt idx="133">
                  <c:v>45621</c:v>
                </c:pt>
                <c:pt idx="134">
                  <c:v>45625</c:v>
                </c:pt>
                <c:pt idx="135">
                  <c:v>45628</c:v>
                </c:pt>
                <c:pt idx="136">
                  <c:v>45632</c:v>
                </c:pt>
                <c:pt idx="137">
                  <c:v>45635</c:v>
                </c:pt>
                <c:pt idx="138">
                  <c:v>45639</c:v>
                </c:pt>
                <c:pt idx="139">
                  <c:v>45646</c:v>
                </c:pt>
                <c:pt idx="140">
                  <c:v>45653</c:v>
                </c:pt>
                <c:pt idx="141">
                  <c:v>45660</c:v>
                </c:pt>
                <c:pt idx="142">
                  <c:v>45667</c:v>
                </c:pt>
                <c:pt idx="143">
                  <c:v>45674</c:v>
                </c:pt>
                <c:pt idx="144">
                  <c:v>45681</c:v>
                </c:pt>
                <c:pt idx="145">
                  <c:v>45688</c:v>
                </c:pt>
                <c:pt idx="146">
                  <c:v>45695</c:v>
                </c:pt>
                <c:pt idx="147">
                  <c:v>45702</c:v>
                </c:pt>
                <c:pt idx="148">
                  <c:v>45709</c:v>
                </c:pt>
                <c:pt idx="149">
                  <c:v>45716</c:v>
                </c:pt>
                <c:pt idx="150">
                  <c:v>45723</c:v>
                </c:pt>
                <c:pt idx="151">
                  <c:v>45730</c:v>
                </c:pt>
                <c:pt idx="152">
                  <c:v>45737</c:v>
                </c:pt>
                <c:pt idx="153">
                  <c:v>45744</c:v>
                </c:pt>
                <c:pt idx="154">
                  <c:v>45751</c:v>
                </c:pt>
                <c:pt idx="155">
                  <c:v>45758</c:v>
                </c:pt>
                <c:pt idx="156">
                  <c:v>45765</c:v>
                </c:pt>
                <c:pt idx="157">
                  <c:v>45772</c:v>
                </c:pt>
                <c:pt idx="158">
                  <c:v>45779</c:v>
                </c:pt>
                <c:pt idx="159">
                  <c:v>45786</c:v>
                </c:pt>
                <c:pt idx="160">
                  <c:v>45793</c:v>
                </c:pt>
              </c:numCache>
            </c:numRef>
          </c:xVal>
          <c:yVal>
            <c:numRef>
              <c:f>'SL.124+900 '!$E$13:$E$1700</c:f>
              <c:numCache>
                <c:formatCode>0.00</c:formatCode>
                <c:ptCount val="1688"/>
                <c:pt idx="0">
                  <c:v>-0.123</c:v>
                </c:pt>
                <c:pt idx="1">
                  <c:v>-0.123</c:v>
                </c:pt>
                <c:pt idx="2">
                  <c:v>-0.123</c:v>
                </c:pt>
                <c:pt idx="3">
                  <c:v>-0.123</c:v>
                </c:pt>
                <c:pt idx="4">
                  <c:v>-0.123</c:v>
                </c:pt>
                <c:pt idx="5">
                  <c:v>-0.123</c:v>
                </c:pt>
                <c:pt idx="6">
                  <c:v>-0.123</c:v>
                </c:pt>
                <c:pt idx="7">
                  <c:v>-0.123</c:v>
                </c:pt>
                <c:pt idx="8">
                  <c:v>-0.123</c:v>
                </c:pt>
                <c:pt idx="9">
                  <c:v>-0.123</c:v>
                </c:pt>
                <c:pt idx="10">
                  <c:v>-0.123</c:v>
                </c:pt>
                <c:pt idx="11">
                  <c:v>-0.123</c:v>
                </c:pt>
                <c:pt idx="12">
                  <c:v>-0.123</c:v>
                </c:pt>
                <c:pt idx="13">
                  <c:v>-0.123</c:v>
                </c:pt>
                <c:pt idx="14">
                  <c:v>-0.123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0.31999999999999995</c:v>
                </c:pt>
                <c:pt idx="19">
                  <c:v>0.31999999999999995</c:v>
                </c:pt>
                <c:pt idx="20">
                  <c:v>0.31999999999999995</c:v>
                </c:pt>
                <c:pt idx="21">
                  <c:v>0.64</c:v>
                </c:pt>
                <c:pt idx="22">
                  <c:v>0.64</c:v>
                </c:pt>
                <c:pt idx="23">
                  <c:v>0.6399999999999999</c:v>
                </c:pt>
                <c:pt idx="24">
                  <c:v>0.96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0.96</c:v>
                </c:pt>
                <c:pt idx="31">
                  <c:v>0.96000000000000008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0.96</c:v>
                </c:pt>
                <c:pt idx="37">
                  <c:v>0.96</c:v>
                </c:pt>
                <c:pt idx="38">
                  <c:v>0.96</c:v>
                </c:pt>
                <c:pt idx="39">
                  <c:v>1.4219999999999999</c:v>
                </c:pt>
                <c:pt idx="40">
                  <c:v>1.4219999999999999</c:v>
                </c:pt>
                <c:pt idx="41">
                  <c:v>1.4220000000000002</c:v>
                </c:pt>
                <c:pt idx="42">
                  <c:v>1.4220000000000002</c:v>
                </c:pt>
                <c:pt idx="43">
                  <c:v>1.4219999999999999</c:v>
                </c:pt>
                <c:pt idx="44">
                  <c:v>1.4219999999999999</c:v>
                </c:pt>
                <c:pt idx="45">
                  <c:v>1.4220000000000002</c:v>
                </c:pt>
                <c:pt idx="46">
                  <c:v>1.4220000000000002</c:v>
                </c:pt>
                <c:pt idx="47">
                  <c:v>1.7709999999999999</c:v>
                </c:pt>
                <c:pt idx="48">
                  <c:v>1.7709999999999999</c:v>
                </c:pt>
                <c:pt idx="49">
                  <c:v>1.7709999999999999</c:v>
                </c:pt>
                <c:pt idx="50">
                  <c:v>1.7709999999999999</c:v>
                </c:pt>
                <c:pt idx="51">
                  <c:v>1.7709999999999999</c:v>
                </c:pt>
                <c:pt idx="52">
                  <c:v>1.7709999999999999</c:v>
                </c:pt>
                <c:pt idx="53">
                  <c:v>1.7709999999999999</c:v>
                </c:pt>
                <c:pt idx="54">
                  <c:v>1.7709999999999999</c:v>
                </c:pt>
                <c:pt idx="55">
                  <c:v>1.7709999999999999</c:v>
                </c:pt>
                <c:pt idx="56">
                  <c:v>2.161</c:v>
                </c:pt>
                <c:pt idx="57">
                  <c:v>2.161</c:v>
                </c:pt>
                <c:pt idx="58">
                  <c:v>2.161</c:v>
                </c:pt>
                <c:pt idx="59">
                  <c:v>2.161</c:v>
                </c:pt>
                <c:pt idx="60">
                  <c:v>2.161</c:v>
                </c:pt>
                <c:pt idx="61">
                  <c:v>2.161</c:v>
                </c:pt>
                <c:pt idx="62">
                  <c:v>2.161</c:v>
                </c:pt>
                <c:pt idx="63">
                  <c:v>2.161</c:v>
                </c:pt>
                <c:pt idx="64">
                  <c:v>2.161</c:v>
                </c:pt>
                <c:pt idx="65">
                  <c:v>2.161</c:v>
                </c:pt>
                <c:pt idx="66">
                  <c:v>2.161</c:v>
                </c:pt>
                <c:pt idx="67">
                  <c:v>2.161</c:v>
                </c:pt>
                <c:pt idx="68">
                  <c:v>2.161</c:v>
                </c:pt>
                <c:pt idx="69">
                  <c:v>2.161</c:v>
                </c:pt>
                <c:pt idx="70">
                  <c:v>2.161</c:v>
                </c:pt>
                <c:pt idx="71">
                  <c:v>2.161</c:v>
                </c:pt>
                <c:pt idx="72">
                  <c:v>2.161</c:v>
                </c:pt>
                <c:pt idx="73">
                  <c:v>2.161</c:v>
                </c:pt>
                <c:pt idx="74">
                  <c:v>2.161</c:v>
                </c:pt>
                <c:pt idx="75">
                  <c:v>2.161</c:v>
                </c:pt>
                <c:pt idx="76">
                  <c:v>2.161</c:v>
                </c:pt>
                <c:pt idx="77">
                  <c:v>2.161</c:v>
                </c:pt>
                <c:pt idx="78">
                  <c:v>2.161</c:v>
                </c:pt>
                <c:pt idx="79">
                  <c:v>2.161</c:v>
                </c:pt>
                <c:pt idx="80">
                  <c:v>2.161</c:v>
                </c:pt>
                <c:pt idx="81">
                  <c:v>2.161</c:v>
                </c:pt>
                <c:pt idx="82">
                  <c:v>2.161</c:v>
                </c:pt>
                <c:pt idx="83">
                  <c:v>2.161</c:v>
                </c:pt>
                <c:pt idx="84">
                  <c:v>2.161</c:v>
                </c:pt>
                <c:pt idx="85">
                  <c:v>2.161</c:v>
                </c:pt>
                <c:pt idx="86">
                  <c:v>2.161</c:v>
                </c:pt>
                <c:pt idx="87">
                  <c:v>2.161</c:v>
                </c:pt>
                <c:pt idx="88">
                  <c:v>2.161</c:v>
                </c:pt>
                <c:pt idx="89">
                  <c:v>2.161</c:v>
                </c:pt>
                <c:pt idx="90">
                  <c:v>2.161</c:v>
                </c:pt>
                <c:pt idx="91">
                  <c:v>2.161</c:v>
                </c:pt>
                <c:pt idx="92">
                  <c:v>2.161</c:v>
                </c:pt>
                <c:pt idx="93">
                  <c:v>2.161</c:v>
                </c:pt>
                <c:pt idx="94">
                  <c:v>2.161</c:v>
                </c:pt>
                <c:pt idx="95">
                  <c:v>2.161</c:v>
                </c:pt>
                <c:pt idx="96">
                  <c:v>2.161</c:v>
                </c:pt>
                <c:pt idx="97">
                  <c:v>2.1609999999999996</c:v>
                </c:pt>
                <c:pt idx="98">
                  <c:v>2.1609999999999996</c:v>
                </c:pt>
                <c:pt idx="99">
                  <c:v>2.964</c:v>
                </c:pt>
                <c:pt idx="100">
                  <c:v>2.964</c:v>
                </c:pt>
                <c:pt idx="101">
                  <c:v>3.1840000000000002</c:v>
                </c:pt>
                <c:pt idx="102">
                  <c:v>3.1840000000000002</c:v>
                </c:pt>
                <c:pt idx="103">
                  <c:v>3.1840000000000002</c:v>
                </c:pt>
                <c:pt idx="104">
                  <c:v>3.4289999999999998</c:v>
                </c:pt>
                <c:pt idx="105">
                  <c:v>3.4290000000000003</c:v>
                </c:pt>
                <c:pt idx="106">
                  <c:v>3.4289999999999998</c:v>
                </c:pt>
                <c:pt idx="107">
                  <c:v>3.649</c:v>
                </c:pt>
                <c:pt idx="108">
                  <c:v>3.649</c:v>
                </c:pt>
                <c:pt idx="109">
                  <c:v>3.649</c:v>
                </c:pt>
                <c:pt idx="110">
                  <c:v>3.8940000000000001</c:v>
                </c:pt>
                <c:pt idx="111">
                  <c:v>3.8940000000000001</c:v>
                </c:pt>
                <c:pt idx="112">
                  <c:v>4.1040000000000001</c:v>
                </c:pt>
                <c:pt idx="113">
                  <c:v>4.1040000000000001</c:v>
                </c:pt>
                <c:pt idx="114">
                  <c:v>4.1040000000000001</c:v>
                </c:pt>
                <c:pt idx="115">
                  <c:v>4.3390000000000004</c:v>
                </c:pt>
                <c:pt idx="116">
                  <c:v>4.3390000000000004</c:v>
                </c:pt>
                <c:pt idx="117">
                  <c:v>4.3390000000000004</c:v>
                </c:pt>
                <c:pt idx="118">
                  <c:v>4.5739999999999998</c:v>
                </c:pt>
                <c:pt idx="119">
                  <c:v>4.5739999999999998</c:v>
                </c:pt>
                <c:pt idx="120">
                  <c:v>4.5739999999999998</c:v>
                </c:pt>
                <c:pt idx="121">
                  <c:v>4.5739999999999998</c:v>
                </c:pt>
                <c:pt idx="122">
                  <c:v>4.5739999999999998</c:v>
                </c:pt>
                <c:pt idx="123">
                  <c:v>4.8289999999999997</c:v>
                </c:pt>
                <c:pt idx="124">
                  <c:v>4.8289999999999997</c:v>
                </c:pt>
                <c:pt idx="125">
                  <c:v>4.8289999999999997</c:v>
                </c:pt>
                <c:pt idx="126">
                  <c:v>4.8290000000000006</c:v>
                </c:pt>
                <c:pt idx="127">
                  <c:v>5.0789999999999997</c:v>
                </c:pt>
                <c:pt idx="128">
                  <c:v>5.0790000000000006</c:v>
                </c:pt>
                <c:pt idx="129">
                  <c:v>5.0789999999999997</c:v>
                </c:pt>
                <c:pt idx="130">
                  <c:v>5.319</c:v>
                </c:pt>
                <c:pt idx="131">
                  <c:v>5.319</c:v>
                </c:pt>
                <c:pt idx="132">
                  <c:v>5.319</c:v>
                </c:pt>
                <c:pt idx="133">
                  <c:v>5.319</c:v>
                </c:pt>
                <c:pt idx="134">
                  <c:v>5.319</c:v>
                </c:pt>
                <c:pt idx="135">
                  <c:v>5.319</c:v>
                </c:pt>
                <c:pt idx="136">
                  <c:v>5.319</c:v>
                </c:pt>
                <c:pt idx="137">
                  <c:v>5.319</c:v>
                </c:pt>
                <c:pt idx="138">
                  <c:v>5.319</c:v>
                </c:pt>
                <c:pt idx="139">
                  <c:v>5.319</c:v>
                </c:pt>
                <c:pt idx="140">
                  <c:v>5.319</c:v>
                </c:pt>
                <c:pt idx="141">
                  <c:v>5.319</c:v>
                </c:pt>
                <c:pt idx="142">
                  <c:v>5.319</c:v>
                </c:pt>
                <c:pt idx="143">
                  <c:v>5.319</c:v>
                </c:pt>
                <c:pt idx="144">
                  <c:v>5.319</c:v>
                </c:pt>
                <c:pt idx="145">
                  <c:v>5.319</c:v>
                </c:pt>
                <c:pt idx="146">
                  <c:v>5.319</c:v>
                </c:pt>
                <c:pt idx="147">
                  <c:v>5.319</c:v>
                </c:pt>
                <c:pt idx="148">
                  <c:v>5.3190000000000008</c:v>
                </c:pt>
                <c:pt idx="149">
                  <c:v>5.319</c:v>
                </c:pt>
                <c:pt idx="150">
                  <c:v>5.319</c:v>
                </c:pt>
                <c:pt idx="151">
                  <c:v>5.319</c:v>
                </c:pt>
                <c:pt idx="152">
                  <c:v>5.319</c:v>
                </c:pt>
                <c:pt idx="153">
                  <c:v>5.319</c:v>
                </c:pt>
                <c:pt idx="154">
                  <c:v>5.319</c:v>
                </c:pt>
                <c:pt idx="155">
                  <c:v>5.319</c:v>
                </c:pt>
                <c:pt idx="156">
                  <c:v>5.319</c:v>
                </c:pt>
                <c:pt idx="157">
                  <c:v>5.319</c:v>
                </c:pt>
                <c:pt idx="158">
                  <c:v>5.319</c:v>
                </c:pt>
                <c:pt idx="159">
                  <c:v>5.319</c:v>
                </c:pt>
                <c:pt idx="160">
                  <c:v>5.319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38-4B46-B626-7595F62D6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36544"/>
        <c:axId val="837439424"/>
      </c:scatterChart>
      <c:valAx>
        <c:axId val="837438272"/>
        <c:scaling>
          <c:orientation val="minMax"/>
          <c:min val="45243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noFill/>
          <a:ln w="12700">
            <a:noFill/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 panose="02020603050405020304" pitchFamily="18" charset="0"/>
                <a:ea typeface="宋体"/>
                <a:cs typeface="Times New Roman" panose="02020603050405020304" pitchFamily="18" charset="0"/>
              </a:defRPr>
            </a:pPr>
            <a:endParaRPr lang="en-US"/>
          </a:p>
        </c:txPr>
        <c:crossAx val="837438848"/>
        <c:crossesAt val="-1600"/>
        <c:crossBetween val="midCat"/>
        <c:majorUnit val="90"/>
      </c:valAx>
      <c:valAx>
        <c:axId val="837438848"/>
        <c:scaling>
          <c:orientation val="minMax"/>
          <c:max val="2500"/>
          <c:min val="-25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3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8.5561484292503032E-4"/>
              <c:y val="0.3491990154277361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837438272"/>
        <c:crosses val="autoZero"/>
        <c:crossBetween val="midCat"/>
        <c:majorUnit val="500"/>
      </c:valAx>
      <c:valAx>
        <c:axId val="837436544"/>
        <c:scaling>
          <c:orientation val="minMax"/>
        </c:scaling>
        <c:delete val="1"/>
        <c:axPos val="t"/>
        <c:numFmt formatCode="dd/mm/yyyy;@" sourceLinked="1"/>
        <c:majorTickMark val="out"/>
        <c:minorTickMark val="none"/>
        <c:tickLblPos val="nextTo"/>
        <c:crossAx val="837439424"/>
        <c:crossesAt val="0"/>
        <c:crossBetween val="midCat"/>
      </c:valAx>
      <c:valAx>
        <c:axId val="837439424"/>
        <c:scaling>
          <c:orientation val="minMax"/>
          <c:max val="8"/>
          <c:min val="-8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837436544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514871</xdr:colOff>
      <xdr:row>70</xdr:row>
      <xdr:rowOff>22210</xdr:rowOff>
    </xdr:from>
    <xdr:to>
      <xdr:col>29</xdr:col>
      <xdr:colOff>323272</xdr:colOff>
      <xdr:row>97</xdr:row>
      <xdr:rowOff>198852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82085D6-FF13-4670-AEBA-B13937FF4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14</xdr:col>
      <xdr:colOff>797606</xdr:colOff>
      <xdr:row>44</xdr:row>
      <xdr:rowOff>121065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CAE98FC3-71FF-4731-8C51-4ED57FA37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&#211;I%20H&#7853;u%20giang%20-%20C&#224;%20mau\B&#193;O%20C&#193;O%20CC1%20XL03\&#272;&#193;NH%20GI&#193;%20C&#7888;%20K&#7870;T\&#272;&#193;NH%20GI&#193;%20C&#7888;%20K&#7870;T\&#272;&#193;NH%20GI&#193;\C&#7889;ng%20h&#7897;p%20Km124%20&amp;%20C&#7889;ng%20h&#7897;p%20125\QTL-CC1%20Km124+090-Km126+140.xlsx" TargetMode="External"/><Relationship Id="rId1" Type="http://schemas.openxmlformats.org/officeDocument/2006/relationships/externalLinkPath" Target="/G&#211;I%20H&#7853;u%20giang%20-%20C&#224;%20mau/B&#193;O%20C&#193;O%20CC1%20XL03/&#272;&#193;NH%20GI&#193;%20C&#7888;%20K&#7870;T/&#272;&#193;NH%20GI&#193;%20C&#7888;%20K&#7870;T/&#272;&#193;NH%20GI&#193;/C&#7889;ng%20h&#7897;p%20Km124%20&amp;%20C&#7889;ng%20h&#7897;p%20125/QTL-CC1%20Km124+090-Km126+14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&#211;I%20H&#7853;u%20giang%20-%20C&#224;%20mau\B&#193;O%20C&#193;O%20CC1%20XL03\B&#193;O%20C&#193;O%20QTL-CVN\QUAN%20TR&#7854;C%20L&#218;N\B&#193;O%20C&#193;O%20L&#218;N%20T05-2025\QTL%20-CC1%20T05\CC1\Km122+440.xlsx" TargetMode="External"/><Relationship Id="rId1" Type="http://schemas.openxmlformats.org/officeDocument/2006/relationships/externalLinkPath" Target="/G&#211;I%20H&#7853;u%20giang%20-%20C&#224;%20mau/B&#193;O%20C&#193;O%20CC1%20XL03/B&#193;O%20C&#193;O%20QTL-CVN/QUAN%20TR&#7854;C%20L&#218;N/B&#193;O%20C&#193;O%20L&#218;N%20T05-2025/QTL%20-CC1%20T05/CC1/Km122+4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Sheet1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>
        <row r="9">
          <cell r="A9" t="str">
            <v>A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9">
          <cell r="A9" t="str">
            <v>A</v>
          </cell>
        </row>
      </sheetData>
      <sheetData sheetId="251">
        <row r="9">
          <cell r="A9" t="str">
            <v>A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>
        <row r="9">
          <cell r="A9" t="str">
            <v>A</v>
          </cell>
        </row>
      </sheetData>
      <sheetData sheetId="319">
        <row r="9">
          <cell r="A9" t="str">
            <v>A</v>
          </cell>
        </row>
      </sheetData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 t="str">
            <v>A</v>
          </cell>
        </row>
      </sheetData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9">
          <cell r="A9" t="str">
            <v>A</v>
          </cell>
        </row>
      </sheetData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9">
          <cell r="A9" t="str">
            <v>A</v>
          </cell>
        </row>
      </sheetData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>
        <row r="9">
          <cell r="A9" t="str">
            <v>A</v>
          </cell>
        </row>
      </sheetData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9">
          <cell r="A9" t="str">
            <v>A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9">
          <cell r="A9" t="str">
            <v>A</v>
          </cell>
        </row>
      </sheetData>
      <sheetData sheetId="475" refreshError="1"/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 refreshError="1"/>
      <sheetData sheetId="479">
        <row r="9">
          <cell r="A9" t="str">
            <v>A</v>
          </cell>
        </row>
      </sheetData>
      <sheetData sheetId="480">
        <row r="9">
          <cell r="A9" t="str">
            <v>A</v>
          </cell>
        </row>
      </sheetData>
      <sheetData sheetId="481">
        <row r="9">
          <cell r="A9" t="str">
            <v>A</v>
          </cell>
        </row>
      </sheetData>
      <sheetData sheetId="482" refreshError="1"/>
      <sheetData sheetId="483" refreshError="1"/>
      <sheetData sheetId="484">
        <row r="9">
          <cell r="A9" t="str">
            <v>A</v>
          </cell>
        </row>
      </sheetData>
      <sheetData sheetId="485">
        <row r="9">
          <cell r="A9" t="str">
            <v>A</v>
          </cell>
        </row>
      </sheetData>
      <sheetData sheetId="486">
        <row r="9">
          <cell r="A9" t="str">
            <v>A</v>
          </cell>
        </row>
      </sheetData>
      <sheetData sheetId="487" refreshError="1"/>
      <sheetData sheetId="488">
        <row r="9">
          <cell r="A9" t="str">
            <v>A</v>
          </cell>
        </row>
      </sheetData>
      <sheetData sheetId="489">
        <row r="9">
          <cell r="A9" t="str">
            <v>A</v>
          </cell>
        </row>
      </sheetData>
      <sheetData sheetId="490" refreshError="1"/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9">
          <cell r="A9" t="str">
            <v>A</v>
          </cell>
        </row>
      </sheetData>
      <sheetData sheetId="522" refreshError="1"/>
      <sheetData sheetId="523" refreshError="1"/>
      <sheetData sheetId="524">
        <row r="9">
          <cell r="A9" t="str">
            <v>A</v>
          </cell>
        </row>
      </sheetData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 refreshError="1"/>
      <sheetData sheetId="529">
        <row r="9">
          <cell r="A9" t="str">
            <v>A</v>
          </cell>
        </row>
      </sheetData>
      <sheetData sheetId="530" refreshError="1"/>
      <sheetData sheetId="531" refreshError="1"/>
      <sheetData sheetId="532" refreshError="1"/>
      <sheetData sheetId="533">
        <row r="9">
          <cell r="A9" t="str">
            <v>A</v>
          </cell>
        </row>
      </sheetData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>
        <row r="9">
          <cell r="A9" t="str">
            <v>A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>
        <row r="9">
          <cell r="A9" t="str">
            <v>A</v>
          </cell>
        </row>
      </sheetData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>
        <row r="9">
          <cell r="A9" t="str">
            <v>A</v>
          </cell>
        </row>
      </sheetData>
      <sheetData sheetId="569" refreshError="1"/>
      <sheetData sheetId="570">
        <row r="9">
          <cell r="A9" t="str">
            <v>A</v>
          </cell>
        </row>
      </sheetData>
      <sheetData sheetId="571" refreshError="1"/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 refreshError="1"/>
      <sheetData sheetId="575" refreshError="1"/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 refreshError="1"/>
      <sheetData sheetId="579" refreshError="1"/>
      <sheetData sheetId="580" refreshError="1"/>
      <sheetData sheetId="581" refreshError="1"/>
      <sheetData sheetId="582">
        <row r="9">
          <cell r="A9" t="str">
            <v>A</v>
          </cell>
        </row>
      </sheetData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>
        <row r="9">
          <cell r="A9" t="str">
            <v>A</v>
          </cell>
        </row>
      </sheetData>
      <sheetData sheetId="597" refreshError="1"/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>
        <row r="9">
          <cell r="A9" t="str">
            <v>A</v>
          </cell>
        </row>
      </sheetData>
      <sheetData sheetId="662" refreshError="1"/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 refreshError="1"/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9">
          <cell r="A9" t="str">
            <v>A</v>
          </cell>
        </row>
      </sheetData>
      <sheetData sheetId="696" refreshError="1"/>
      <sheetData sheetId="697" refreshError="1"/>
      <sheetData sheetId="698" refreshError="1"/>
      <sheetData sheetId="699">
        <row r="9">
          <cell r="A9" t="str">
            <v>A</v>
          </cell>
        </row>
      </sheetData>
      <sheetData sheetId="700" refreshError="1"/>
      <sheetData sheetId="701" refreshError="1"/>
      <sheetData sheetId="702" refreshError="1"/>
      <sheetData sheetId="703" refreshError="1"/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>
        <row r="9">
          <cell r="A9" t="str">
            <v>A</v>
          </cell>
        </row>
      </sheetData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 refreshError="1"/>
      <sheetData sheetId="722" refreshError="1"/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 refreshError="1"/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 refreshError="1"/>
      <sheetData sheetId="746" refreshError="1"/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 refreshError="1"/>
      <sheetData sheetId="752" refreshError="1"/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 refreshError="1"/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>
        <row r="9">
          <cell r="A9" t="str">
            <v>A</v>
          </cell>
        </row>
      </sheetData>
      <sheetData sheetId="858" refreshError="1"/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9">
          <cell r="A9" t="str">
            <v>A</v>
          </cell>
        </row>
      </sheetData>
      <sheetData sheetId="886" refreshError="1"/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 refreshError="1"/>
      <sheetData sheetId="890" refreshError="1"/>
      <sheetData sheetId="891" refreshError="1"/>
      <sheetData sheetId="892">
        <row r="9">
          <cell r="A9" t="str">
            <v>A</v>
          </cell>
        </row>
      </sheetData>
      <sheetData sheetId="893" refreshError="1"/>
      <sheetData sheetId="894" refreshError="1"/>
      <sheetData sheetId="895" refreshError="1"/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 refreshError="1"/>
      <sheetData sheetId="1198" refreshError="1"/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 refreshError="1"/>
      <sheetData sheetId="1205" refreshError="1"/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>
        <row r="9">
          <cell r="A9" t="str">
            <v>A</v>
          </cell>
        </row>
      </sheetData>
      <sheetData sheetId="1214" refreshError="1"/>
      <sheetData sheetId="1215" refreshError="1"/>
      <sheetData sheetId="1216" refreshError="1"/>
      <sheetData sheetId="1217" refreshError="1"/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A9" t="str">
            <v>A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 refreshError="1"/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 refreshError="1"/>
      <sheetData sheetId="1267" refreshError="1"/>
      <sheetData sheetId="1268" refreshError="1"/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 refreshError="1"/>
      <sheetData sheetId="1279" refreshError="1"/>
      <sheetData sheetId="1280" refreshError="1"/>
      <sheetData sheetId="1281" refreshError="1"/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>
        <row r="9">
          <cell r="A9" t="str">
            <v>A</v>
          </cell>
        </row>
      </sheetData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 refreshError="1"/>
      <sheetData sheetId="1335" refreshError="1"/>
      <sheetData sheetId="1336" refreshError="1"/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 refreshError="1"/>
      <sheetData sheetId="1341" refreshError="1"/>
      <sheetData sheetId="1342" refreshError="1"/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 refreshError="1"/>
      <sheetData sheetId="1347" refreshError="1"/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 refreshError="1"/>
      <sheetData sheetId="1353" refreshError="1"/>
      <sheetData sheetId="1354" refreshError="1"/>
      <sheetData sheetId="1355" refreshError="1"/>
      <sheetData sheetId="1356">
        <row r="9">
          <cell r="A9" t="str">
            <v>A</v>
          </cell>
        </row>
      </sheetData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 refreshError="1"/>
      <sheetData sheetId="1372">
        <row r="9">
          <cell r="A9" t="str">
            <v>A</v>
          </cell>
        </row>
      </sheetData>
      <sheetData sheetId="1373" refreshError="1"/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>
        <row r="9">
          <cell r="A9" t="str">
            <v>A</v>
          </cell>
        </row>
      </sheetData>
      <sheetData sheetId="1385" refreshError="1"/>
      <sheetData sheetId="1386">
        <row r="9">
          <cell r="A9" t="str">
            <v>A</v>
          </cell>
        </row>
      </sheetData>
      <sheetData sheetId="1387" refreshError="1"/>
      <sheetData sheetId="1388" refreshError="1"/>
      <sheetData sheetId="1389" refreshError="1"/>
      <sheetData sheetId="1390" refreshError="1"/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 refreshError="1"/>
      <sheetData sheetId="1445" refreshError="1"/>
      <sheetData sheetId="1446">
        <row r="9">
          <cell r="A9" t="str">
            <v>A</v>
          </cell>
        </row>
      </sheetData>
      <sheetData sheetId="1447" refreshError="1"/>
      <sheetData sheetId="1448" refreshError="1"/>
      <sheetData sheetId="1449">
        <row r="9">
          <cell r="A9" t="str">
            <v>A</v>
          </cell>
        </row>
      </sheetData>
      <sheetData sheetId="1450" refreshError="1"/>
      <sheetData sheetId="1451">
        <row r="9">
          <cell r="A9" t="str">
            <v>A</v>
          </cell>
        </row>
      </sheetData>
      <sheetData sheetId="1452" refreshError="1"/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 refreshError="1"/>
      <sheetData sheetId="1456" refreshError="1"/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 refreshError="1"/>
      <sheetData sheetId="1500" refreshError="1"/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 refreshError="1"/>
      <sheetData sheetId="1507">
        <row r="9">
          <cell r="A9" t="str">
            <v>A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9">
          <cell r="A9" t="str">
            <v>A</v>
          </cell>
        </row>
      </sheetData>
      <sheetData sheetId="1516" refreshError="1"/>
      <sheetData sheetId="1517" refreshError="1"/>
      <sheetData sheetId="1518" refreshError="1"/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 refreshError="1"/>
      <sheetData sheetId="1522">
        <row r="9">
          <cell r="A9" t="str">
            <v>A</v>
          </cell>
        </row>
      </sheetData>
      <sheetData sheetId="1523" refreshError="1"/>
      <sheetData sheetId="1524" refreshError="1"/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 refreshError="1"/>
      <sheetData sheetId="1529" refreshError="1"/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 refreshError="1"/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 refreshError="1"/>
      <sheetData sheetId="1549" refreshError="1"/>
      <sheetData sheetId="1550">
        <row r="9">
          <cell r="A9" t="str">
            <v>A</v>
          </cell>
        </row>
      </sheetData>
      <sheetData sheetId="1551" refreshError="1"/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 refreshError="1"/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 refreshError="1"/>
      <sheetData sheetId="1573" refreshError="1"/>
      <sheetData sheetId="1574" refreshError="1"/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 refreshError="1"/>
      <sheetData sheetId="1582" refreshError="1"/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9">
          <cell r="A9" t="str">
            <v>A</v>
          </cell>
        </row>
      </sheetData>
      <sheetData sheetId="1914" refreshError="1"/>
      <sheetData sheetId="1915">
        <row r="9">
          <cell r="A9" t="str">
            <v>A</v>
          </cell>
        </row>
      </sheetData>
      <sheetData sheetId="1916" refreshError="1"/>
      <sheetData sheetId="1917">
        <row r="9">
          <cell r="A9" t="str">
            <v>A</v>
          </cell>
        </row>
      </sheetData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 refreshError="1"/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 refreshError="1"/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 refreshError="1"/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 refreshError="1"/>
      <sheetData sheetId="1947">
        <row r="9">
          <cell r="A9" t="str">
            <v>A</v>
          </cell>
        </row>
      </sheetData>
      <sheetData sheetId="1948" refreshError="1"/>
      <sheetData sheetId="1949" refreshError="1"/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 refreshError="1"/>
      <sheetData sheetId="1953">
        <row r="9">
          <cell r="A9" t="str">
            <v>A</v>
          </cell>
        </row>
      </sheetData>
      <sheetData sheetId="1954" refreshError="1"/>
      <sheetData sheetId="1955">
        <row r="9">
          <cell r="A9" t="str">
            <v>A</v>
          </cell>
        </row>
      </sheetData>
      <sheetData sheetId="1956" refreshError="1"/>
      <sheetData sheetId="1957">
        <row r="9">
          <cell r="A9" t="str">
            <v>A</v>
          </cell>
        </row>
      </sheetData>
      <sheetData sheetId="1958" refreshError="1"/>
      <sheetData sheetId="1959" refreshError="1"/>
      <sheetData sheetId="1960" refreshError="1"/>
      <sheetData sheetId="1961" refreshError="1"/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>
        <row r="9">
          <cell r="A9" t="str">
            <v>A</v>
          </cell>
        </row>
      </sheetData>
      <sheetData sheetId="1971" refreshError="1"/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>
        <row r="9">
          <cell r="A9" t="str">
            <v>A</v>
          </cell>
        </row>
      </sheetData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>
        <row r="9">
          <cell r="A9" t="str">
            <v>A</v>
          </cell>
        </row>
      </sheetData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 refreshError="1"/>
      <sheetData sheetId="2248" refreshError="1"/>
      <sheetData sheetId="2249" refreshError="1"/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>
        <row r="9">
          <cell r="A9" t="str">
            <v>A</v>
          </cell>
        </row>
      </sheetData>
      <sheetData sheetId="2278" refreshError="1"/>
      <sheetData sheetId="2279" refreshError="1"/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>
        <row r="9">
          <cell r="A9" t="str">
            <v>A</v>
          </cell>
        </row>
      </sheetData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 refreshError="1"/>
      <sheetData sheetId="2364" refreshError="1"/>
      <sheetData sheetId="2365" refreshError="1"/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>
        <row r="9">
          <cell r="A9" t="str">
            <v>A</v>
          </cell>
        </row>
      </sheetData>
      <sheetData sheetId="2373">
        <row r="9">
          <cell r="A9" t="str">
            <v>A</v>
          </cell>
        </row>
      </sheetData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 refreshError="1"/>
      <sheetData sheetId="2383" refreshError="1"/>
      <sheetData sheetId="2384" refreshError="1"/>
      <sheetData sheetId="2385" refreshError="1"/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 refreshError="1"/>
      <sheetData sheetId="2389" refreshError="1"/>
      <sheetData sheetId="2390">
        <row r="9">
          <cell r="A9" t="str">
            <v>A</v>
          </cell>
        </row>
      </sheetData>
      <sheetData sheetId="2391" refreshError="1"/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 refreshError="1"/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 refreshError="1"/>
      <sheetData sheetId="2428" refreshError="1"/>
      <sheetData sheetId="2429" refreshError="1"/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>
        <row r="9">
          <cell r="A9" t="str">
            <v>A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 refreshError="1"/>
      <sheetData sheetId="2501">
        <row r="9">
          <cell r="A9" t="str">
            <v>A</v>
          </cell>
        </row>
      </sheetData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>
        <row r="9">
          <cell r="A9" t="str">
            <v>A</v>
          </cell>
        </row>
      </sheetData>
      <sheetData sheetId="2509" refreshError="1"/>
      <sheetData sheetId="2510" refreshError="1"/>
      <sheetData sheetId="2511" refreshError="1"/>
      <sheetData sheetId="2512">
        <row r="9">
          <cell r="A9" t="str">
            <v>A</v>
          </cell>
        </row>
      </sheetData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>
        <row r="9">
          <cell r="A9" t="str">
            <v>A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 refreshError="1"/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>
        <row r="9">
          <cell r="A9" t="str">
            <v>A</v>
          </cell>
        </row>
      </sheetData>
      <sheetData sheetId="2545" refreshError="1"/>
      <sheetData sheetId="2546" refreshError="1"/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 refreshError="1"/>
      <sheetData sheetId="2570" refreshError="1"/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>
        <row r="9">
          <cell r="A9" t="str">
            <v>A</v>
          </cell>
        </row>
      </sheetData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>
        <row r="9">
          <cell r="A9" t="str">
            <v>A</v>
          </cell>
        </row>
      </sheetData>
      <sheetData sheetId="2604" refreshError="1"/>
      <sheetData sheetId="2605" refreshError="1"/>
      <sheetData sheetId="2606" refreshError="1"/>
      <sheetData sheetId="2607" refreshError="1"/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4">
          <cell r="A4" t="str">
            <v>BẢNG TÍNH TOÁN, ĐO BÓC KHỐI LƯỢNG HOÀN THÀNH ĐƯA VÀO QUYẾT TOÁN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4">
          <cell r="A4" t="str">
            <v>BẢNG TÍNH TOÁN, ĐO BÓC KHỐI LƯỢNG HOÀN THÀNH ĐƯA VÀO QUYẾT TOÁN</v>
          </cell>
        </row>
      </sheetData>
      <sheetData sheetId="3131">
        <row r="4">
          <cell r="A4" t="str">
            <v>BẢNG TÍNH TOÁN, ĐO BÓC KHỐI LƯỢNG HOÀN THÀNH ĐƯA VÀO QUYẾT TOÁN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4">
          <cell r="A4" t="str">
            <v>BẢNG TÍNH TOÁN, ĐO BÓC KHỐI LƯỢNG HOÀN THÀNH ĐƯA VÀO QUYẾT TOÁN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4">
          <cell r="A4" t="str">
            <v>BẢNG TÍNH TOÁN, ĐO BÓC KHỐI LƯỢNG HOÀN THÀNH ĐƯA VÀO QUYẾT TOÁN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4">
          <cell r="A4" t="str">
            <v>BẢNG TÍNH TOÁN, ĐO BÓC KHỐI LƯỢNG HOÀN THÀNH ĐƯA VÀO QUYẾT TOÁN</v>
          </cell>
        </row>
      </sheetData>
      <sheetData sheetId="3145">
        <row r="4">
          <cell r="A4" t="str">
            <v>BẢNG TÍNH TOÁN, ĐO BÓC KHỐI LƯỢNG HOÀN THÀNH ĐƯA VÀO QUYẾT TOÁN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4">
          <cell r="A4" t="str">
            <v>BẢNG TÍNH TOÁN, ĐO BÓC KHỐI LƯỢNG HOÀN THÀNH ĐƯA VÀO QUYẾT TOÁN</v>
          </cell>
        </row>
      </sheetData>
      <sheetData sheetId="3154">
        <row r="4">
          <cell r="A4" t="str">
            <v>BẢNG TÍNH TOÁN, ĐO BÓC KHỐI LƯỢNG HOÀN THÀNH ĐƯA VÀO QUYẾT TOÁN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4">
          <cell r="A4" t="str">
            <v>BẢNG TÍNH TOÁN, ĐO BÓC KHỐI LƯỢNG HOÀN THÀNH ĐƯA VÀO QUYẾT TOÁN</v>
          </cell>
        </row>
      </sheetData>
      <sheetData sheetId="3161">
        <row r="9">
          <cell r="A9" t="str">
            <v>A</v>
          </cell>
        </row>
      </sheetData>
      <sheetData sheetId="3162">
        <row r="4">
          <cell r="A4" t="str">
            <v>BẢNG TÍNH TOÁN, ĐO BÓC KHỐI LƯỢNG HOÀN THÀNH ĐƯA VÀO QUYẾT TOÁN</v>
          </cell>
        </row>
      </sheetData>
      <sheetData sheetId="3163">
        <row r="4">
          <cell r="A4" t="str">
            <v>BẢNG TÍNH TOÁN, ĐO BÓC KHỐI LƯỢNG HOÀN THÀNH ĐƯA VÀO QUYẾT TOÁN</v>
          </cell>
        </row>
      </sheetData>
      <sheetData sheetId="3164">
        <row r="4">
          <cell r="A4" t="str">
            <v>BẢNG TÍNH TOÁN, ĐO BÓC KHỐI LƯỢNG HOÀN THÀNH ĐƯA VÀO QUYẾT TOÁN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>
        <row r="9">
          <cell r="A9" t="str">
            <v>A</v>
          </cell>
        </row>
      </sheetData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>
        <row r="9">
          <cell r="A9" t="str">
            <v>A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>
        <row r="9">
          <cell r="A9" t="str">
            <v>A</v>
          </cell>
        </row>
      </sheetData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>
        <row r="9">
          <cell r="A9" t="str">
            <v>A</v>
          </cell>
        </row>
      </sheetData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>
        <row r="9">
          <cell r="A9" t="str">
            <v>A</v>
          </cell>
        </row>
      </sheetData>
      <sheetData sheetId="3427" refreshError="1"/>
      <sheetData sheetId="3428" refreshError="1"/>
      <sheetData sheetId="3429" refreshError="1"/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>
        <row r="4">
          <cell r="A4" t="str">
            <v>BẢNG TÍNH TOÁN, ĐO BÓC KHỐI LƯỢNG HOÀN THÀNH ĐƯA VÀO QUYẾT TOÁN</v>
          </cell>
        </row>
      </sheetData>
      <sheetData sheetId="3444" refreshError="1"/>
      <sheetData sheetId="3445">
        <row r="4">
          <cell r="A4" t="str">
            <v>BẢNG TÍNH TOÁN, ĐO BÓC KHỐI LƯỢNG HOÀN THÀNH ĐƯA VÀO QUYẾT TOÁN</v>
          </cell>
        </row>
      </sheetData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>
        <row r="4">
          <cell r="A4" t="str">
            <v>BẢNG TÍNH TOÁN, ĐO BÓC KHỐI LƯỢNG HOÀN THÀNH ĐƯA VÀO QUYẾT TOÁN</v>
          </cell>
        </row>
      </sheetData>
      <sheetData sheetId="3455" refreshError="1"/>
      <sheetData sheetId="3456" refreshError="1"/>
      <sheetData sheetId="3457" refreshError="1"/>
      <sheetData sheetId="3458">
        <row r="4">
          <cell r="A4" t="str">
            <v>BẢNG TÍNH TOÁN, ĐO BÓC KHỐI LƯỢNG HOÀN THÀNH ĐƯA VÀO QUYẾT TOÁN</v>
          </cell>
        </row>
      </sheetData>
      <sheetData sheetId="3459">
        <row r="4">
          <cell r="A4" t="str">
            <v>BẢNG TÍNH TOÁN, ĐO BÓC KHỐI LƯỢNG HOÀN THÀNH ĐƯA VÀO QUYẾT TOÁN</v>
          </cell>
        </row>
      </sheetData>
      <sheetData sheetId="3460">
        <row r="4">
          <cell r="A4" t="str">
            <v>BẢNG TÍNH TOÁN, ĐO BÓC KHỐI LƯỢNG HOÀN THÀNH ĐƯA VÀO QUYẾT TOÁN</v>
          </cell>
        </row>
      </sheetData>
      <sheetData sheetId="3461">
        <row r="4">
          <cell r="A4" t="str">
            <v>BẢNG TÍNH TOÁN, ĐO BÓC KHỐI LƯỢNG HOÀN THÀNH ĐƯA VÀO QUYẾT TOÁN</v>
          </cell>
        </row>
      </sheetData>
      <sheetData sheetId="3462">
        <row r="4">
          <cell r="A4" t="str">
            <v>BẢNG TÍNH TOÁN, ĐO BÓC KHỐI LƯỢNG HOÀN THÀNH ĐƯA VÀO QUYẾT TOÁN</v>
          </cell>
        </row>
      </sheetData>
      <sheetData sheetId="3463">
        <row r="4">
          <cell r="A4" t="str">
            <v>BẢNG TÍNH TOÁN, ĐO BÓC KHỐI LƯỢNG HOÀN THÀNH ĐƯA VÀO QUYẾT TOÁN</v>
          </cell>
        </row>
      </sheetData>
      <sheetData sheetId="3464">
        <row r="4">
          <cell r="A4" t="str">
            <v>BẢNG TÍNH TOÁN, ĐO BÓC KHỐI LƯỢNG HOÀN THÀNH ĐƯA VÀO QUYẾT TOÁN</v>
          </cell>
        </row>
      </sheetData>
      <sheetData sheetId="3465">
        <row r="4">
          <cell r="A4" t="str">
            <v>BẢNG TÍNH TOÁN, ĐO BÓC KHỐI LƯỢNG HOÀN THÀNH ĐƯA VÀO QUYẾT TOÁN</v>
          </cell>
        </row>
      </sheetData>
      <sheetData sheetId="3466">
        <row r="4">
          <cell r="A4" t="str">
            <v>BẢNG TÍNH TOÁN, ĐO BÓC KHỐI LƯỢNG HOÀN THÀNH ĐƯA VÀO QUYẾT TOÁN</v>
          </cell>
        </row>
      </sheetData>
      <sheetData sheetId="3467">
        <row r="4">
          <cell r="A4" t="str">
            <v>BẢNG TÍNH TOÁN, ĐO BÓC KHỐI LƯỢNG HOÀN THÀNH ĐƯA VÀO QUYẾT TOÁN</v>
          </cell>
        </row>
      </sheetData>
      <sheetData sheetId="3468">
        <row r="4">
          <cell r="A4" t="str">
            <v>BẢNG TÍNH TOÁN, ĐO BÓC KHỐI LƯỢNG HOÀN THÀNH ĐƯA VÀO QUYẾT TOÁN</v>
          </cell>
        </row>
      </sheetData>
      <sheetData sheetId="3469">
        <row r="4">
          <cell r="A4" t="str">
            <v>BẢNG TÍNH TOÁN, ĐO BÓC KHỐI LƯỢNG HOÀN THÀNH ĐƯA VÀO QUYẾT TOÁN</v>
          </cell>
        </row>
      </sheetData>
      <sheetData sheetId="3470">
        <row r="4">
          <cell r="A4" t="str">
            <v>BẢNG TÍNH TOÁN, ĐO BÓC KHỐI LƯỢNG HOÀN THÀNH ĐƯA VÀO QUYẾT TOÁN</v>
          </cell>
        </row>
      </sheetData>
      <sheetData sheetId="3471">
        <row r="4">
          <cell r="A4" t="str">
            <v>BẢNG TÍNH TOÁN, ĐO BÓC KHỐI LƯỢNG HOÀN THÀNH ĐƯA VÀO QUYẾT TOÁN</v>
          </cell>
        </row>
      </sheetData>
      <sheetData sheetId="3472">
        <row r="4">
          <cell r="A4" t="str">
            <v>BẢNG TÍNH TOÁN, ĐO BÓC KHỐI LƯỢNG HOÀN THÀNH ĐƯA VÀO QUYẾT TOÁN</v>
          </cell>
        </row>
      </sheetData>
      <sheetData sheetId="3473">
        <row r="4">
          <cell r="A4" t="str">
            <v>BẢNG TÍNH TOÁN, ĐO BÓC KHỐI LƯỢNG HOÀN THÀNH ĐƯA VÀO QUYẾT TOÁN</v>
          </cell>
        </row>
      </sheetData>
      <sheetData sheetId="3474">
        <row r="4">
          <cell r="A4" t="str">
            <v>BẢNG TÍNH TOÁN, ĐO BÓC KHỐI LƯỢNG HOÀN THÀNH ĐƯA VÀO QUYẾT TOÁN</v>
          </cell>
        </row>
      </sheetData>
      <sheetData sheetId="3475">
        <row r="4">
          <cell r="A4" t="str">
            <v>BẢNG TÍNH TOÁN, ĐO BÓC KHỐI LƯỢNG HOÀN THÀNH ĐƯA VÀO QUYẾT TOÁN</v>
          </cell>
        </row>
      </sheetData>
      <sheetData sheetId="3476">
        <row r="4">
          <cell r="A4" t="str">
            <v>BẢNG TÍNH TOÁN, ĐO BÓC KHỐI LƯỢNG HOÀN THÀNH ĐƯA VÀO QUYẾT TOÁN</v>
          </cell>
        </row>
      </sheetData>
      <sheetData sheetId="3477">
        <row r="4">
          <cell r="A4" t="str">
            <v>BẢNG TÍNH TOÁN, ĐO BÓC KHỐI LƯỢNG HOÀN THÀNH ĐƯA VÀO QUYẾT TOÁN</v>
          </cell>
        </row>
      </sheetData>
      <sheetData sheetId="3478">
        <row r="4">
          <cell r="A4" t="str">
            <v>BẢNG TÍNH TOÁN, ĐO BÓC KHỐI LƯỢNG HOÀN THÀNH ĐƯA VÀO QUYẾT TOÁN</v>
          </cell>
        </row>
      </sheetData>
      <sheetData sheetId="3479">
        <row r="4">
          <cell r="A4" t="str">
            <v>BẢNG TÍNH TOÁN, ĐO BÓC KHỐI LƯỢNG HOÀN THÀNH ĐƯA VÀO QUYẾT TOÁN</v>
          </cell>
        </row>
      </sheetData>
      <sheetData sheetId="3480">
        <row r="4">
          <cell r="A4" t="str">
            <v>BẢNG TÍNH TOÁN, ĐO BÓC KHỐI LƯỢNG HOÀN THÀNH ĐƯA VÀO QUYẾT TOÁN</v>
          </cell>
        </row>
      </sheetData>
      <sheetData sheetId="3481">
        <row r="4">
          <cell r="A4" t="str">
            <v>BẢNG TÍNH TOÁN, ĐO BÓC KHỐI LƯỢNG HOÀN THÀNH ĐƯA VÀO QUYẾT TOÁN</v>
          </cell>
        </row>
      </sheetData>
      <sheetData sheetId="3482">
        <row r="4">
          <cell r="A4" t="str">
            <v>BẢNG TÍNH TOÁN, ĐO BÓC KHỐI LƯỢNG HOÀN THÀNH ĐƯA VÀO QUYẾT TOÁN</v>
          </cell>
        </row>
      </sheetData>
      <sheetData sheetId="3483">
        <row r="4">
          <cell r="A4" t="str">
            <v>BẢNG TÍNH TOÁN, ĐO BÓC KHỐI LƯỢNG HOÀN THÀNH ĐƯA VÀO QUYẾT TOÁN</v>
          </cell>
        </row>
      </sheetData>
      <sheetData sheetId="3484">
        <row r="4">
          <cell r="A4" t="str">
            <v>BẢNG TÍNH TOÁN, ĐO BÓC KHỐI LƯỢNG HOÀN THÀNH ĐƯA VÀO QUYẾT TOÁN</v>
          </cell>
        </row>
      </sheetData>
      <sheetData sheetId="3485">
        <row r="4">
          <cell r="A4" t="str">
            <v>BẢNG TÍNH TOÁN, ĐO BÓC KHỐI LƯỢNG HOÀN THÀNH ĐƯA VÀO QUYẾT TOÁN</v>
          </cell>
        </row>
      </sheetData>
      <sheetData sheetId="3486">
        <row r="4">
          <cell r="A4" t="str">
            <v>BẢNG TÍNH TOÁN, ĐO BÓC KHỐI LƯỢNG HOÀN THÀNH ĐƯA VÀO QUYẾT TOÁN</v>
          </cell>
        </row>
      </sheetData>
      <sheetData sheetId="3487">
        <row r="4">
          <cell r="A4" t="str">
            <v>BẢNG TÍNH TOÁN, ĐO BÓC KHỐI LƯỢNG HOÀN THÀNH ĐƯA VÀO QUYẾT TOÁN</v>
          </cell>
        </row>
      </sheetData>
      <sheetData sheetId="3488">
        <row r="4">
          <cell r="A4" t="str">
            <v>BẢNG TÍNH TOÁN, ĐO BÓC KHỐI LƯỢNG HOÀN THÀNH ĐƯA VÀO QUYẾT TOÁN</v>
          </cell>
        </row>
      </sheetData>
      <sheetData sheetId="3489">
        <row r="4">
          <cell r="A4" t="str">
            <v>BẢNG TÍNH TOÁN, ĐO BÓC KHỐI LƯỢNG HOÀN THÀNH ĐƯA VÀO QUYẾT TOÁN</v>
          </cell>
        </row>
      </sheetData>
      <sheetData sheetId="3490">
        <row r="4">
          <cell r="A4" t="str">
            <v>BẢNG TÍNH TOÁN, ĐO BÓC KHỐI LƯỢNG HOÀN THÀNH ĐƯA VÀO QUYẾT TOÁN</v>
          </cell>
        </row>
      </sheetData>
      <sheetData sheetId="3491">
        <row r="4">
          <cell r="A4" t="str">
            <v>BẢNG TÍNH TOÁN, ĐO BÓC KHỐI LƯỢNG HOÀN THÀNH ĐƯA VÀO QUYẾT TOÁN</v>
          </cell>
        </row>
      </sheetData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9">
          <cell r="A9" t="str">
            <v>A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9">
          <cell r="A9" t="str">
            <v>A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9">
          <cell r="A9" t="str">
            <v>A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9">
          <cell r="A9" t="str">
            <v>A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9">
          <cell r="A9" t="str">
            <v>A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9">
          <cell r="A9" t="str">
            <v>A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4">
          <cell r="A4" t="str">
            <v>BẢNG TÍNH TOÁN, ĐO BÓC KHỐI LƯỢNG HOÀN THÀNH ĐƯA VÀO QUYẾT TOÁN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 refreshError="1"/>
      <sheetData sheetId="3972" refreshError="1"/>
      <sheetData sheetId="3973" refreshError="1"/>
      <sheetData sheetId="3974" refreshError="1"/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>
        <row r="9">
          <cell r="A9" t="str">
            <v>A</v>
          </cell>
        </row>
      </sheetData>
      <sheetData sheetId="3987">
        <row r="9">
          <cell r="A9" t="str">
            <v>A</v>
          </cell>
        </row>
      </sheetData>
      <sheetData sheetId="3988" refreshError="1"/>
      <sheetData sheetId="3989" refreshError="1"/>
      <sheetData sheetId="3990">
        <row r="4">
          <cell r="A4" t="str">
            <v>BẢNG TÍNH TOÁN, ĐO BÓC KHỐI LƯỢNG HOÀN THÀNH ĐƯA VÀO QUYẾT TOÁN</v>
          </cell>
        </row>
      </sheetData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>
        <row r="4">
          <cell r="A4" t="str">
            <v>BẢNG TÍNH TOÁN, ĐO BÓC KHỐI LƯỢNG HOÀN THÀNH ĐƯA VÀO QUYẾT TOÁN</v>
          </cell>
        </row>
      </sheetData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 refreshError="1"/>
      <sheetData sheetId="4024">
        <row r="9">
          <cell r="A9" t="str">
            <v>A</v>
          </cell>
        </row>
      </sheetData>
      <sheetData sheetId="4025" refreshError="1"/>
      <sheetData sheetId="4026">
        <row r="9">
          <cell r="A9" t="str">
            <v>A</v>
          </cell>
        </row>
      </sheetData>
      <sheetData sheetId="4027">
        <row r="4">
          <cell r="A4" t="str">
            <v>BẢNG TÍNH TOÁN, ĐO BÓC KHỐI LƯỢNG HOÀN THÀNH ĐƯA VÀO QUYẾT TOÁN</v>
          </cell>
        </row>
      </sheetData>
      <sheetData sheetId="4028">
        <row r="4">
          <cell r="A4" t="str">
            <v>BẢNG TÍNH TOÁN, ĐO BÓC KHỐI LƯỢNG HOÀN THÀNH ĐƯA VÀO QUYẾT TOÁN</v>
          </cell>
        </row>
      </sheetData>
      <sheetData sheetId="4029" refreshError="1"/>
      <sheetData sheetId="4030">
        <row r="4">
          <cell r="A4" t="str">
            <v>BẢNG TÍNH TOÁN, ĐO BÓC KHỐI LƯỢNG HOÀN THÀNH ĐƯA VÀO QUYẾT TOÁN</v>
          </cell>
        </row>
      </sheetData>
      <sheetData sheetId="4031">
        <row r="4">
          <cell r="A4" t="str">
            <v>BẢNG TÍNH TOÁN, ĐO BÓC KHỐI LƯỢNG HOÀN THÀNH ĐƯA VÀO QUYẾT TOÁN</v>
          </cell>
        </row>
      </sheetData>
      <sheetData sheetId="4032">
        <row r="4">
          <cell r="A4" t="str">
            <v>BẢNG TÍNH TOÁN, ĐO BÓC KHỐI LƯỢNG HOÀN THÀNH ĐƯA VÀO QUYẾT TOÁN</v>
          </cell>
        </row>
      </sheetData>
      <sheetData sheetId="4033">
        <row r="4">
          <cell r="A4" t="str">
            <v>BẢNG TÍNH TOÁN, ĐO BÓC KHỐI LƯỢNG HOÀN THÀNH ĐƯA VÀO QUYẾT TOÁN</v>
          </cell>
        </row>
      </sheetData>
      <sheetData sheetId="4034">
        <row r="4">
          <cell r="A4" t="str">
            <v>BẢNG TÍNH TOÁN, ĐO BÓC KHỐI LƯỢNG HOÀN THÀNH ĐƯA VÀO QUYẾT TOÁN</v>
          </cell>
        </row>
      </sheetData>
      <sheetData sheetId="4035">
        <row r="4">
          <cell r="A4" t="str">
            <v>BẢNG TÍNH TOÁN, ĐO BÓC KHỐI LƯỢNG HOÀN THÀNH ĐƯA VÀO QUYẾT TOÁN</v>
          </cell>
        </row>
      </sheetData>
      <sheetData sheetId="4036">
        <row r="4">
          <cell r="A4" t="str">
            <v>BẢNG TÍNH TOÁN, ĐO BÓC KHỐI LƯỢNG HOÀN THÀNH ĐƯA VÀO QUYẾT TOÁN</v>
          </cell>
        </row>
      </sheetData>
      <sheetData sheetId="4037">
        <row r="4">
          <cell r="A4" t="str">
            <v>BẢNG TÍNH TOÁN, ĐO BÓC KHỐI LƯỢNG HOÀN THÀNH ĐƯA VÀO QUYẾT TOÁN</v>
          </cell>
        </row>
      </sheetData>
      <sheetData sheetId="4038">
        <row r="4">
          <cell r="A4" t="str">
            <v>BẢNG TÍNH TOÁN, ĐO BÓC KHỐI LƯỢNG HOÀN THÀNH ĐƯA VÀO QUYẾT TOÁN</v>
          </cell>
        </row>
      </sheetData>
      <sheetData sheetId="4039">
        <row r="4">
          <cell r="A4" t="str">
            <v>BẢNG TÍNH TOÁN, ĐO BÓC KHỐI LƯỢNG HOÀN THÀNH ĐƯA VÀO QUYẾT TOÁN</v>
          </cell>
        </row>
      </sheetData>
      <sheetData sheetId="4040">
        <row r="4">
          <cell r="A4" t="str">
            <v>BẢNG TÍNH TOÁN, ĐO BÓC KHỐI LƯỢNG HOÀN THÀNH ĐƯA VÀO QUYẾT TOÁN</v>
          </cell>
        </row>
      </sheetData>
      <sheetData sheetId="4041">
        <row r="9">
          <cell r="A9" t="str">
            <v>A</v>
          </cell>
        </row>
      </sheetData>
      <sheetData sheetId="4042">
        <row r="9">
          <cell r="A9" t="str">
            <v>A</v>
          </cell>
        </row>
      </sheetData>
      <sheetData sheetId="4043">
        <row r="9">
          <cell r="A9" t="str">
            <v>A</v>
          </cell>
        </row>
      </sheetData>
      <sheetData sheetId="4044">
        <row r="9">
          <cell r="A9" t="str">
            <v>A</v>
          </cell>
        </row>
      </sheetData>
      <sheetData sheetId="4045">
        <row r="9">
          <cell r="A9" t="str">
            <v>A</v>
          </cell>
        </row>
      </sheetData>
      <sheetData sheetId="4046">
        <row r="9">
          <cell r="A9" t="str">
            <v>A</v>
          </cell>
        </row>
      </sheetData>
      <sheetData sheetId="4047">
        <row r="9">
          <cell r="A9" t="str">
            <v>A</v>
          </cell>
        </row>
      </sheetData>
      <sheetData sheetId="4048">
        <row r="9">
          <cell r="A9" t="str">
            <v>A</v>
          </cell>
        </row>
      </sheetData>
      <sheetData sheetId="4049">
        <row r="9">
          <cell r="A9" t="str">
            <v>A</v>
          </cell>
        </row>
      </sheetData>
      <sheetData sheetId="4050" refreshError="1"/>
      <sheetData sheetId="4051" refreshError="1"/>
      <sheetData sheetId="4052">
        <row r="9">
          <cell r="A9" t="str">
            <v>A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>
        <row r="4">
          <cell r="A4" t="str">
            <v>BẢNG TÍNH TOÁN, ĐO BÓC KHỐI LƯỢNG HOÀN THÀNH ĐƯA VÀO QUYẾT TOÁN</v>
          </cell>
        </row>
      </sheetData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>
        <row r="4">
          <cell r="A4" t="str">
            <v>BẢNG TÍNH TOÁN, ĐO BÓC KHỐI LƯỢNG HOÀN THÀNH ĐƯA VÀO QUYẾT TOÁN</v>
          </cell>
        </row>
      </sheetData>
      <sheetData sheetId="4068">
        <row r="4">
          <cell r="A4" t="str">
            <v>BẢNG TÍNH TOÁN, ĐO BÓC KHỐI LƯỢNG HOÀN THÀNH ĐƯA VÀO QUYẾT TOÁN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4">
          <cell r="A4" t="str">
            <v>BẢNG TÍNH TOÁN, ĐO BÓC KHỐI LƯỢNG HOÀN THÀNH ĐƯA VÀO QUYẾT TOÁN</v>
          </cell>
        </row>
      </sheetData>
      <sheetData sheetId="4073" refreshError="1"/>
      <sheetData sheetId="4074">
        <row r="9">
          <cell r="A9" t="str">
            <v>A</v>
          </cell>
        </row>
      </sheetData>
      <sheetData sheetId="4075" refreshError="1"/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/>
      <sheetData sheetId="4088"/>
      <sheetData sheetId="4089" refreshError="1"/>
      <sheetData sheetId="4090" refreshError="1"/>
      <sheetData sheetId="4091" refreshError="1"/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 refreshError="1"/>
      <sheetData sheetId="4113" refreshError="1"/>
      <sheetData sheetId="4114" refreshError="1"/>
      <sheetData sheetId="4115" refreshError="1"/>
      <sheetData sheetId="4116">
        <row r="4">
          <cell r="A4" t="str">
            <v>BẢNG TÍNH TOÁN, ĐO BÓC KHỐI LƯỢNG HOÀN THÀNH ĐƯA VÀO QUYẾT TOÁN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4">
          <cell r="A4" t="str">
            <v>BẢNG TÍNH TOÁN, ĐO BÓC KHỐI LƯỢNG HOÀN THÀNH ĐƯA VÀO QUYẾT TOÁN</v>
          </cell>
        </row>
      </sheetData>
      <sheetData sheetId="4122">
        <row r="4">
          <cell r="A4" t="str">
            <v>BẢNG TÍNH TOÁN, ĐO BÓC KHỐI LƯỢNG HOÀN THÀNH ĐƯA VÀO QUYẾT TOÁN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>
        <row r="4">
          <cell r="A4" t="str">
            <v>BẢNG TÍNH TOÁN, ĐO BÓC KHỐI LƯỢNG HOÀN THÀNH ĐƯA VÀO QUYẾT TOÁN</v>
          </cell>
        </row>
      </sheetData>
      <sheetData sheetId="4125">
        <row r="4">
          <cell r="A4" t="str">
            <v>BẢNG TÍNH TOÁN, ĐO BÓC KHỐI LƯỢNG HOÀN THÀNH ĐƯA VÀO QUYẾT TOÁN</v>
          </cell>
        </row>
      </sheetData>
      <sheetData sheetId="4126">
        <row r="4">
          <cell r="A4" t="str">
            <v>BẢNG TÍNH TOÁN, ĐO BÓC KHỐI LƯỢNG HOÀN THÀNH ĐƯA VÀO QUYẾT TOÁN</v>
          </cell>
        </row>
      </sheetData>
      <sheetData sheetId="4127">
        <row r="4">
          <cell r="A4" t="str">
            <v>BẢNG TÍNH TOÁN, ĐO BÓC KHỐI LƯỢNG HOÀN THÀNH ĐƯA VÀO QUYẾT TOÁN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>
        <row r="4">
          <cell r="A4" t="str">
            <v>BẢNG TÍNH TOÁN, ĐO BÓC KHỐI LƯỢNG HOÀN THÀNH ĐƯA VÀO QUYẾT TOÁN</v>
          </cell>
        </row>
      </sheetData>
      <sheetData sheetId="4130">
        <row r="4">
          <cell r="A4" t="str">
            <v>BẢNG TÍNH TOÁN, ĐO BÓC KHỐI LƯỢNG HOÀN THÀNH ĐƯA VÀO QUYẾT TOÁN</v>
          </cell>
        </row>
      </sheetData>
      <sheetData sheetId="4131">
        <row r="4">
          <cell r="A4" t="str">
            <v>BẢNG TÍNH TOÁN, ĐO BÓC KHỐI LƯỢNG HOÀN THÀNH ĐƯA VÀO QUYẾT TOÁN</v>
          </cell>
        </row>
      </sheetData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>
        <row r="4">
          <cell r="A4" t="str">
            <v>BẢNG TÍNH TOÁN, ĐO BÓC KHỐI LƯỢNG HOÀN THÀNH ĐƯA VÀO QUYẾT TOÁN</v>
          </cell>
        </row>
      </sheetData>
      <sheetData sheetId="4138">
        <row r="4">
          <cell r="A4" t="str">
            <v>BẢNG TÍNH TOÁN, ĐO BÓC KHỐI LƯỢNG HOÀN THÀNH ĐƯA VÀO QUYẾT TOÁN</v>
          </cell>
        </row>
      </sheetData>
      <sheetData sheetId="4139">
        <row r="4">
          <cell r="A4" t="str">
            <v>BẢNG TÍNH TOÁN, ĐO BÓC KHỐI LƯỢNG HOÀN THÀNH ĐƯA VÀO QUYẾT TOÁN</v>
          </cell>
        </row>
      </sheetData>
      <sheetData sheetId="4140">
        <row r="4">
          <cell r="A4" t="str">
            <v>BẢNG TÍNH TOÁN, ĐO BÓC KHỐI LƯỢNG HOÀN THÀNH ĐƯA VÀO QUYẾT TOÁN</v>
          </cell>
        </row>
      </sheetData>
      <sheetData sheetId="4141">
        <row r="4">
          <cell r="A4" t="str">
            <v>BẢNG TÍNH TOÁN, ĐO BÓC KHỐI LƯỢNG HOÀN THÀNH ĐƯA VÀO QUYẾT TOÁN</v>
          </cell>
        </row>
      </sheetData>
      <sheetData sheetId="4142">
        <row r="4">
          <cell r="A4" t="str">
            <v>BẢNG TÍNH TOÁN, ĐO BÓC KHỐI LƯỢNG HOÀN THÀNH ĐƯA VÀO QUYẾT TOÁN</v>
          </cell>
        </row>
      </sheetData>
      <sheetData sheetId="4143">
        <row r="4">
          <cell r="A4" t="str">
            <v>BẢNG TÍNH TOÁN, ĐO BÓC KHỐI LƯỢNG HOÀN THÀNH ĐƯA VÀO QUYẾT TOÁN</v>
          </cell>
        </row>
      </sheetData>
      <sheetData sheetId="4144">
        <row r="4">
          <cell r="A4" t="str">
            <v>BẢNG TÍNH TOÁN, ĐO BÓC KHỐI LƯỢNG HOÀN THÀNH ĐƯA VÀO QUYẾT TOÁN</v>
          </cell>
        </row>
      </sheetData>
      <sheetData sheetId="4145">
        <row r="4">
          <cell r="A4" t="str">
            <v>BẢNG TÍNH TOÁN, ĐO BÓC KHỐI LƯỢNG HOÀN THÀNH ĐƯA VÀO QUYẾT TOÁN</v>
          </cell>
        </row>
      </sheetData>
      <sheetData sheetId="4146">
        <row r="4">
          <cell r="A4" t="str">
            <v>BẢNG TÍNH TOÁN, ĐO BÓC KHỐI LƯỢNG HOÀN THÀNH ĐƯA VÀO QUYẾT TOÁN</v>
          </cell>
        </row>
      </sheetData>
      <sheetData sheetId="4147">
        <row r="4">
          <cell r="A4" t="str">
            <v>BẢNG TÍNH TOÁN, ĐO BÓC KHỐI LƯỢNG HOÀN THÀNH ĐƯA VÀO QUYẾT TOÁN</v>
          </cell>
        </row>
      </sheetData>
      <sheetData sheetId="4148">
        <row r="4">
          <cell r="A4" t="str">
            <v>BẢNG TÍNH TOÁN, ĐO BÓC KHỐI LƯỢNG HOÀN THÀNH ĐƯA VÀO QUYẾT TOÁN</v>
          </cell>
        </row>
      </sheetData>
      <sheetData sheetId="4149">
        <row r="4">
          <cell r="A4" t="str">
            <v>BẢNG TÍNH TOÁN, ĐO BÓC KHỐI LƯỢNG HOÀN THÀNH ĐƯA VÀO QUYẾT TOÁN</v>
          </cell>
        </row>
      </sheetData>
      <sheetData sheetId="4150">
        <row r="4">
          <cell r="A4" t="str">
            <v>BẢNG TÍNH TOÁN, ĐO BÓC KHỐI LƯỢNG HOÀN THÀNH ĐƯA VÀO QUYẾT TOÁN</v>
          </cell>
        </row>
      </sheetData>
      <sheetData sheetId="4151">
        <row r="4">
          <cell r="A4" t="str">
            <v>BẢNG TÍNH TOÁN, ĐO BÓC KHỐI LƯỢNG HOÀN THÀNH ĐƯA VÀO QUYẾT TOÁN</v>
          </cell>
        </row>
      </sheetData>
      <sheetData sheetId="4152">
        <row r="4">
          <cell r="A4" t="str">
            <v>BẢNG TÍNH TOÁN, ĐO BÓC KHỐI LƯỢNG HOÀN THÀNH ĐƯA VÀO QUYẾT TOÁN</v>
          </cell>
        </row>
      </sheetData>
      <sheetData sheetId="4153">
        <row r="4">
          <cell r="A4" t="str">
            <v>BẢNG TÍNH TOÁN, ĐO BÓC KHỐI LƯỢNG HOÀN THÀNH ĐƯA VÀO QUYẾT TOÁN</v>
          </cell>
        </row>
      </sheetData>
      <sheetData sheetId="4154">
        <row r="4">
          <cell r="A4" t="str">
            <v>BẢNG TÍNH TOÁN, ĐO BÓC KHỐI LƯỢNG HOÀN THÀNH ĐƯA VÀO QUYẾT TOÁN</v>
          </cell>
        </row>
      </sheetData>
      <sheetData sheetId="4155">
        <row r="4">
          <cell r="A4" t="str">
            <v>BẢNG TÍNH TOÁN, ĐO BÓC KHỐI LƯỢNG HOÀN THÀNH ĐƯA VÀO QUYẾT TOÁN</v>
          </cell>
        </row>
      </sheetData>
      <sheetData sheetId="4156">
        <row r="4">
          <cell r="A4" t="str">
            <v>BẢNG TÍNH TOÁN, ĐO BÓC KHỐI LƯỢNG HOÀN THÀNH ĐƯA VÀO QUYẾT TOÁN</v>
          </cell>
        </row>
      </sheetData>
      <sheetData sheetId="4157">
        <row r="4">
          <cell r="A4" t="str">
            <v>BẢNG TÍNH TOÁN, ĐO BÓC KHỐI LƯỢNG HOÀN THÀNH ĐƯA VÀO QUYẾT TOÁN</v>
          </cell>
        </row>
      </sheetData>
      <sheetData sheetId="4158">
        <row r="4">
          <cell r="A4" t="str">
            <v>BẢNG TÍNH TOÁN, ĐO BÓC KHỐI LƯỢNG HOÀN THÀNH ĐƯA VÀO QUYẾT TOÁN</v>
          </cell>
        </row>
      </sheetData>
      <sheetData sheetId="4159">
        <row r="4">
          <cell r="A4" t="str">
            <v>BẢNG TÍNH TOÁN, ĐO BÓC KHỐI LƯỢNG HOÀN THÀNH ĐƯA VÀO QUYẾT TOÁN</v>
          </cell>
        </row>
      </sheetData>
      <sheetData sheetId="4160">
        <row r="4">
          <cell r="A4" t="str">
            <v>BẢNG TÍNH TOÁN, ĐO BÓC KHỐI LƯỢNG HOÀN THÀNH ĐƯA VÀO QUYẾT TOÁN</v>
          </cell>
        </row>
      </sheetData>
      <sheetData sheetId="4161">
        <row r="4">
          <cell r="A4" t="str">
            <v>BẢNG TÍNH TOÁN, ĐO BÓC KHỐI LƯỢNG HOÀN THÀNH ĐƯA VÀO QUYẾT TOÁN</v>
          </cell>
        </row>
      </sheetData>
      <sheetData sheetId="4162">
        <row r="4">
          <cell r="A4" t="str">
            <v>BẢNG TÍNH TOÁN, ĐO BÓC KHỐI LƯỢNG HOÀN THÀNH ĐƯA VÀO QUYẾT TOÁN</v>
          </cell>
        </row>
      </sheetData>
      <sheetData sheetId="4163">
        <row r="4">
          <cell r="A4" t="str">
            <v>BẢNG TÍNH TOÁN, ĐO BÓC KHỐI LƯỢNG HOÀN THÀNH ĐƯA VÀO QUYẾT TOÁN</v>
          </cell>
        </row>
      </sheetData>
      <sheetData sheetId="4164">
        <row r="4">
          <cell r="A4" t="str">
            <v>BẢNG TÍNH TOÁN, ĐO BÓC KHỐI LƯỢNG HOÀN THÀNH ĐƯA VÀO QUYẾT TOÁN</v>
          </cell>
        </row>
      </sheetData>
      <sheetData sheetId="4165">
        <row r="4">
          <cell r="A4" t="str">
            <v>BẢNG TÍNH TOÁN, ĐO BÓC KHỐI LƯỢNG HOÀN THÀNH ĐƯA VÀO QUYẾT TOÁN</v>
          </cell>
        </row>
      </sheetData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>
        <row r="9">
          <cell r="A9" t="str">
            <v>A</v>
          </cell>
        </row>
      </sheetData>
      <sheetData sheetId="4825" refreshError="1"/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9">
          <cell r="A9" t="str">
            <v>A</v>
          </cell>
        </row>
      </sheetData>
      <sheetData sheetId="4829" refreshError="1"/>
      <sheetData sheetId="4830" refreshError="1"/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>
        <row r="4">
          <cell r="A4" t="str">
            <v>BẢNG TÍNH TOÁN, ĐO BÓC KHỐI LƯỢNG HOÀN THÀNH ĐƯA VÀO QUYẾT TOÁN</v>
          </cell>
        </row>
      </sheetData>
      <sheetData sheetId="4835">
        <row r="4">
          <cell r="A4" t="str">
            <v>BẢNG TÍNH TOÁN, ĐO BÓC KHỐI LƯỢNG HOÀN THÀNH ĐƯA VÀO QUYẾT TOÁN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4">
          <cell r="A4" t="str">
            <v>BẢNG TÍNH TOÁN, ĐO BÓC KHỐI LƯỢNG HOÀN THÀNH ĐƯA VÀO QUYẾT TOÁN</v>
          </cell>
        </row>
      </sheetData>
      <sheetData sheetId="4849">
        <row r="4">
          <cell r="A4" t="str">
            <v>BẢNG TÍNH TOÁN, ĐO BÓC KHỐI LƯỢNG HOÀN THÀNH ĐƯA VÀO QUYẾT TOÁN</v>
          </cell>
        </row>
      </sheetData>
      <sheetData sheetId="4850">
        <row r="4">
          <cell r="A4" t="str">
            <v>BẢNG TÍNH TOÁN, ĐO BÓC KHỐI LƯỢNG HOÀN THÀNH ĐƯA VÀO QUYẾT TOÁN</v>
          </cell>
        </row>
      </sheetData>
      <sheetData sheetId="4851">
        <row r="4">
          <cell r="A4" t="str">
            <v>BẢNG TÍNH TOÁN, ĐO BÓC KHỐI LƯỢNG HOÀN THÀNH ĐƯA VÀO QUYẾT TOÁN</v>
          </cell>
        </row>
      </sheetData>
      <sheetData sheetId="4852">
        <row r="4">
          <cell r="A4" t="str">
            <v>BẢNG TÍNH TOÁN, ĐO BÓC KHỐI LƯỢNG HOÀN THÀNH ĐƯA VÀO QUYẾT TOÁN</v>
          </cell>
        </row>
      </sheetData>
      <sheetData sheetId="4853">
        <row r="4">
          <cell r="A4" t="str">
            <v>BẢNG TÍNH TOÁN, ĐO BÓC KHỐI LƯỢNG HOÀN THÀNH ĐƯA VÀO QUYẾT TOÁN</v>
          </cell>
        </row>
      </sheetData>
      <sheetData sheetId="4854">
        <row r="4">
          <cell r="A4" t="str">
            <v>BẢNG TÍNH TOÁN, ĐO BÓC KHỐI LƯỢNG HOÀN THÀNH ĐƯA VÀO QUYẾT TOÁN</v>
          </cell>
        </row>
      </sheetData>
      <sheetData sheetId="4855">
        <row r="4">
          <cell r="A4" t="str">
            <v>BẢNG TÍNH TOÁN, ĐO BÓC KHỐI LƯỢNG HOÀN THÀNH ĐƯA VÀO QUYẾT TOÁN</v>
          </cell>
        </row>
      </sheetData>
      <sheetData sheetId="4856">
        <row r="4">
          <cell r="A4" t="str">
            <v>BẢNG TÍNH TOÁN, ĐO BÓC KHỐI LƯỢNG HOÀN THÀNH ĐƯA VÀO QUYẾT TOÁN</v>
          </cell>
        </row>
      </sheetData>
      <sheetData sheetId="4857">
        <row r="4">
          <cell r="A4" t="str">
            <v>BẢNG TÍNH TOÁN, ĐO BÓC KHỐI LƯỢNG HOÀN THÀNH ĐƯA VÀO QUYẾT TOÁN</v>
          </cell>
        </row>
      </sheetData>
      <sheetData sheetId="4858">
        <row r="4">
          <cell r="A4" t="str">
            <v>BẢNG TÍNH TOÁN, ĐO BÓC KHỐI LƯỢNG HOÀN THÀNH ĐƯA VÀO QUYẾT TOÁN</v>
          </cell>
        </row>
      </sheetData>
      <sheetData sheetId="4859">
        <row r="4">
          <cell r="A4" t="str">
            <v>BẢNG TÍNH TOÁN, ĐO BÓC KHỐI LƯỢNG HOÀN THÀNH ĐƯA VÀO QUYẾT TOÁN</v>
          </cell>
        </row>
      </sheetData>
      <sheetData sheetId="4860">
        <row r="4">
          <cell r="A4" t="str">
            <v>BẢNG TÍNH TOÁN, ĐO BÓC KHỐI LƯỢNG HOÀN THÀNH ĐƯA VÀO QUYẾT TOÁN</v>
          </cell>
        </row>
      </sheetData>
      <sheetData sheetId="4861">
        <row r="4">
          <cell r="A4" t="str">
            <v>BẢNG TÍNH TOÁN, ĐO BÓC KHỐI LƯỢNG HOÀN THÀNH ĐƯA VÀO QUYẾT TOÁN</v>
          </cell>
        </row>
      </sheetData>
      <sheetData sheetId="4862">
        <row r="4">
          <cell r="A4" t="str">
            <v>BẢNG TÍNH TOÁN, ĐO BÓC KHỐI LƯỢNG HOÀN THÀNH ĐƯA VÀO QUYẾT TOÁN</v>
          </cell>
        </row>
      </sheetData>
      <sheetData sheetId="4863">
        <row r="4">
          <cell r="A4" t="str">
            <v>BẢNG TÍNH TOÁN, ĐO BÓC KHỐI LƯỢNG HOÀN THÀNH ĐƯA VÀO QUYẾT TOÁN</v>
          </cell>
        </row>
      </sheetData>
      <sheetData sheetId="4864">
        <row r="4">
          <cell r="A4" t="str">
            <v>BẢNG TÍNH TOÁN, ĐO BÓC KHỐI LƯỢNG HOÀN THÀNH ĐƯA VÀO QUYẾT TOÁN</v>
          </cell>
        </row>
      </sheetData>
      <sheetData sheetId="4865">
        <row r="4">
          <cell r="A4" t="str">
            <v>BẢNG TÍNH TOÁN, ĐO BÓC KHỐI LƯỢNG HOÀN THÀNH ĐƯA VÀO QUYẾT TOÁN</v>
          </cell>
        </row>
      </sheetData>
      <sheetData sheetId="4866">
        <row r="4">
          <cell r="A4" t="str">
            <v>BẢNG TÍNH TOÁN, ĐO BÓC KHỐI LƯỢNG HOÀN THÀNH ĐƯA VÀO QUYẾT TOÁN</v>
          </cell>
        </row>
      </sheetData>
      <sheetData sheetId="4867">
        <row r="4">
          <cell r="A4" t="str">
            <v>BẢNG TÍNH TOÁN, ĐO BÓC KHỐI LƯỢNG HOÀN THÀNH ĐƯA VÀO QUYẾT TOÁN</v>
          </cell>
        </row>
      </sheetData>
      <sheetData sheetId="4868">
        <row r="4">
          <cell r="A4" t="str">
            <v>BẢNG TÍNH TOÁN, ĐO BÓC KHỐI LƯỢNG HOÀN THÀNH ĐƯA VÀO QUYẾT TOÁN</v>
          </cell>
        </row>
      </sheetData>
      <sheetData sheetId="4869">
        <row r="4">
          <cell r="A4" t="str">
            <v>BẢNG TÍNH TOÁN, ĐO BÓC KHỐI LƯỢNG HOÀN THÀNH ĐƯA VÀO QUYẾT TOÁN</v>
          </cell>
        </row>
      </sheetData>
      <sheetData sheetId="4870">
        <row r="4">
          <cell r="A4" t="str">
            <v>BẢNG TÍNH TOÁN, ĐO BÓC KHỐI LƯỢNG HOÀN THÀNH ĐƯA VÀO QUYẾT TOÁN</v>
          </cell>
        </row>
      </sheetData>
      <sheetData sheetId="4871">
        <row r="4">
          <cell r="A4" t="str">
            <v>BẢNG TÍNH TOÁN, ĐO BÓC KHỐI LƯỢNG HOÀN THÀNH ĐƯA VÀO QUYẾT TOÁN</v>
          </cell>
        </row>
      </sheetData>
      <sheetData sheetId="4872">
        <row r="4">
          <cell r="A4" t="str">
            <v>BẢNG TÍNH TOÁN, ĐO BÓC KHỐI LƯỢNG HOÀN THÀNH ĐƯA VÀO QUYẾT TOÁN</v>
          </cell>
        </row>
      </sheetData>
      <sheetData sheetId="4873">
        <row r="4">
          <cell r="A4" t="str">
            <v>BẢNG TÍNH TOÁN, ĐO BÓC KHỐI LƯỢNG HOÀN THÀNH ĐƯA VÀO QUYẾT TOÁN</v>
          </cell>
        </row>
      </sheetData>
      <sheetData sheetId="4874">
        <row r="4">
          <cell r="A4" t="str">
            <v>BẢNG TÍNH TOÁN, ĐO BÓC KHỐI LƯỢNG HOÀN THÀNH ĐƯA VÀO QUYẾT TOÁN</v>
          </cell>
        </row>
      </sheetData>
      <sheetData sheetId="4875">
        <row r="4">
          <cell r="A4" t="str">
            <v>BẢNG TÍNH TOÁN, ĐO BÓC KHỐI LƯỢNG HOÀN THÀNH ĐƯA VÀO QUYẾT TOÁN</v>
          </cell>
        </row>
      </sheetData>
      <sheetData sheetId="4876">
        <row r="4">
          <cell r="A4" t="str">
            <v>BẢNG TÍNH TOÁN, ĐO BÓC KHỐI LƯỢNG HOÀN THÀNH ĐƯA VÀO QUYẾT TOÁN</v>
          </cell>
        </row>
      </sheetData>
      <sheetData sheetId="4877">
        <row r="4">
          <cell r="A4" t="str">
            <v>BẢNG TÍNH TOÁN, ĐO BÓC KHỐI LƯỢNG HOÀN THÀNH ĐƯA VÀO QUYẾT TOÁN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4">
          <cell r="A4" t="str">
            <v>BẢNG TÍNH TOÁN, ĐO BÓC KHỐI LƯỢNG HOÀN THÀNH ĐƯA VÀO QUYẾT TOÁN</v>
          </cell>
        </row>
      </sheetData>
      <sheetData sheetId="4885">
        <row r="4">
          <cell r="A4" t="str">
            <v>BẢNG TÍNH TOÁN, ĐO BÓC KHỐI LƯỢNG HOÀN THÀNH ĐƯA VÀO QUYẾT TOÁN</v>
          </cell>
        </row>
      </sheetData>
      <sheetData sheetId="4886">
        <row r="4">
          <cell r="A4" t="str">
            <v>BẢNG TÍNH TOÁN, ĐO BÓC KHỐI LƯỢNG HOÀN THÀNH ĐƯA VÀO QUYẾT TOÁN</v>
          </cell>
        </row>
      </sheetData>
      <sheetData sheetId="4887">
        <row r="9">
          <cell r="A9" t="str">
            <v>A</v>
          </cell>
        </row>
      </sheetData>
      <sheetData sheetId="4888">
        <row r="4">
          <cell r="A4" t="str">
            <v>BẢNG TÍNH TOÁN, ĐO BÓC KHỐI LƯỢNG HOÀN THÀNH ĐƯA VÀO QUYẾT TOÁN</v>
          </cell>
        </row>
      </sheetData>
      <sheetData sheetId="4889">
        <row r="4">
          <cell r="A4" t="str">
            <v>BẢNG TÍNH TOÁN, ĐO BÓC KHỐI LƯỢNG HOÀN THÀNH ĐƯA VÀO QUYẾT TOÁN</v>
          </cell>
        </row>
      </sheetData>
      <sheetData sheetId="4890">
        <row r="4">
          <cell r="A4" t="str">
            <v>BẢNG TÍNH TOÁN, ĐO BÓC KHỐI LƯỢNG HOÀN THÀNH ĐƯA VÀO QUYẾT TOÁN</v>
          </cell>
        </row>
      </sheetData>
      <sheetData sheetId="4891">
        <row r="4">
          <cell r="A4" t="str">
            <v>BẢNG TÍNH TOÁN, ĐO BÓC KHỐI LƯỢNG HOÀN THÀNH ĐƯA VÀO QUYẾT TOÁN</v>
          </cell>
        </row>
      </sheetData>
      <sheetData sheetId="4892">
        <row r="9">
          <cell r="A9" t="str">
            <v>A</v>
          </cell>
        </row>
      </sheetData>
      <sheetData sheetId="4893">
        <row r="4">
          <cell r="A4" t="str">
            <v>BẢNG TÍNH TOÁN, ĐO BÓC KHỐI LƯỢNG HOÀN THÀNH ĐƯA VÀO QUYẾT TOÁN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4">
          <cell r="A4" t="str">
            <v>BẢNG TÍNH TOÁN, ĐO BÓC KHỐI LƯỢNG HOÀN THÀNH ĐƯA VÀO QUYẾT TOÁN</v>
          </cell>
        </row>
      </sheetData>
      <sheetData sheetId="4897">
        <row r="4">
          <cell r="A4" t="str">
            <v>BẢNG TÍNH TOÁN, ĐO BÓC KHỐI LƯỢNG HOÀN THÀNH ĐƯA VÀO QUYẾT TOÁN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 refreshError="1"/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4">
          <cell r="A4" t="str">
            <v>BẢNG TÍNH TOÁN, ĐO BÓC KHỐI LƯỢNG HOÀN THÀNH ĐƯA VÀO QUYẾT TOÁN</v>
          </cell>
        </row>
      </sheetData>
      <sheetData sheetId="4931">
        <row r="4">
          <cell r="A4" t="str">
            <v>BẢNG TÍNH TOÁN, ĐO BÓC KHỐI LƯỢNG HOÀN THÀNH ĐƯA VÀO QUYẾT TOÁN</v>
          </cell>
        </row>
      </sheetData>
      <sheetData sheetId="4932">
        <row r="4">
          <cell r="A4" t="str">
            <v>BẢNG TÍNH TOÁN, ĐO BÓC KHỐI LƯỢNG HOÀN THÀNH ĐƯA VÀO QUYẾT TOÁN</v>
          </cell>
        </row>
      </sheetData>
      <sheetData sheetId="4933">
        <row r="4">
          <cell r="A4" t="str">
            <v>BẢNG TÍNH TOÁN, ĐO BÓC KHỐI LƯỢNG HOÀN THÀNH ĐƯA VÀO QUYẾT TOÁN</v>
          </cell>
        </row>
      </sheetData>
      <sheetData sheetId="4934">
        <row r="4">
          <cell r="A4" t="str">
            <v>BẢNG TÍNH TOÁN, ĐO BÓC KHỐI LƯỢNG HOÀN THÀNH ĐƯA VÀO QUYẾT TOÁN</v>
          </cell>
        </row>
      </sheetData>
      <sheetData sheetId="4935">
        <row r="4">
          <cell r="A4" t="str">
            <v>BẢNG TÍNH TOÁN, ĐO BÓC KHỐI LƯỢNG HOÀN THÀNH ĐƯA VÀO QUYẾT TOÁN</v>
          </cell>
        </row>
      </sheetData>
      <sheetData sheetId="4936">
        <row r="4">
          <cell r="A4" t="str">
            <v>BẢNG TÍNH TOÁN, ĐO BÓC KHỐI LƯỢNG HOÀN THÀNH ĐƯA VÀO QUYẾT TOÁN</v>
          </cell>
        </row>
      </sheetData>
      <sheetData sheetId="4937">
        <row r="4">
          <cell r="A4" t="str">
            <v>BẢNG TÍNH TOÁN, ĐO BÓC KHỐI LƯỢNG HOÀN THÀNH ĐƯA VÀO QUYẾT TOÁN</v>
          </cell>
        </row>
      </sheetData>
      <sheetData sheetId="4938">
        <row r="4">
          <cell r="A4" t="str">
            <v>BẢNG TÍNH TOÁN, ĐO BÓC KHỐI LƯỢNG HOÀN THÀNH ĐƯA VÀO QUYẾT TOÁN</v>
          </cell>
        </row>
      </sheetData>
      <sheetData sheetId="4939">
        <row r="4">
          <cell r="A4" t="str">
            <v>BẢNG TÍNH TOÁN, ĐO BÓC KHỐI LƯỢNG HOÀN THÀNH ĐƯA VÀO QUYẾT TOÁN</v>
          </cell>
        </row>
      </sheetData>
      <sheetData sheetId="4940">
        <row r="4">
          <cell r="A4" t="str">
            <v>BẢNG TÍNH TOÁN, ĐO BÓC KHỐI LƯỢNG HOÀN THÀNH ĐƯA VÀO QUYẾT TOÁN</v>
          </cell>
        </row>
      </sheetData>
      <sheetData sheetId="4941">
        <row r="4">
          <cell r="A4" t="str">
            <v>BẢNG TÍNH TOÁN, ĐO BÓC KHỐI LƯỢNG HOÀN THÀNH ĐƯA VÀO QUYẾT TOÁN</v>
          </cell>
        </row>
      </sheetData>
      <sheetData sheetId="4942">
        <row r="4">
          <cell r="A4" t="str">
            <v>BẢNG TÍNH TOÁN, ĐO BÓC KHỐI LƯỢNG HOÀN THÀNH ĐƯA VÀO QUYẾT TOÁN</v>
          </cell>
        </row>
      </sheetData>
      <sheetData sheetId="4943">
        <row r="4">
          <cell r="A4" t="str">
            <v>BẢNG TÍNH TOÁN, ĐO BÓC KHỐI LƯỢNG HOÀN THÀNH ĐƯA VÀO QUYẾT TOÁN</v>
          </cell>
        </row>
      </sheetData>
      <sheetData sheetId="4944">
        <row r="4">
          <cell r="A4" t="str">
            <v>BẢNG TÍNH TOÁN, ĐO BÓC KHỐI LƯỢNG HOÀN THÀNH ĐƯA VÀO QUYẾT TOÁN</v>
          </cell>
        </row>
      </sheetData>
      <sheetData sheetId="4945">
        <row r="4">
          <cell r="A4" t="str">
            <v>BẢNG TÍNH TOÁN, ĐO BÓC KHỐI LƯỢNG HOÀN THÀNH ĐƯA VÀO QUYẾT TOÁN</v>
          </cell>
        </row>
      </sheetData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>
        <row r="4">
          <cell r="A4" t="str">
            <v>BẢNG TÍNH TOÁN, ĐO BÓC KHỐI LƯỢNG HOÀN THÀNH ĐƯA VÀO QUYẾT TOÁN</v>
          </cell>
        </row>
      </sheetData>
      <sheetData sheetId="4952">
        <row r="4">
          <cell r="A4" t="str">
            <v>BẢNG TÍNH TOÁN, ĐO BÓC KHỐI LƯỢNG HOÀN THÀNH ĐƯA VÀO QUYẾT TOÁN</v>
          </cell>
        </row>
      </sheetData>
      <sheetData sheetId="4953">
        <row r="4">
          <cell r="A4" t="str">
            <v>BẢNG TÍNH TOÁN, ĐO BÓC KHỐI LƯỢNG HOÀN THÀNH ĐƯA VÀO QUYẾT TOÁN</v>
          </cell>
        </row>
      </sheetData>
      <sheetData sheetId="4954">
        <row r="4">
          <cell r="A4" t="str">
            <v>BẢNG TÍNH TOÁN, ĐO BÓC KHỐI LƯỢNG HOÀN THÀNH ĐƯA VÀO QUYẾT TOÁN</v>
          </cell>
        </row>
      </sheetData>
      <sheetData sheetId="4955">
        <row r="4">
          <cell r="A4" t="str">
            <v>BẢNG TÍNH TOÁN, ĐO BÓC KHỐI LƯỢNG HOÀN THÀNH ĐƯA VÀO QUYẾT TOÁN</v>
          </cell>
        </row>
      </sheetData>
      <sheetData sheetId="4956">
        <row r="4">
          <cell r="A4" t="str">
            <v>BẢNG TÍNH TOÁN, ĐO BÓC KHỐI LƯỢNG HOÀN THÀNH ĐƯA VÀO QUYẾT TOÁN</v>
          </cell>
        </row>
      </sheetData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>
        <row r="4">
          <cell r="A4" t="str">
            <v>BẢNG TÍNH TOÁN, ĐO BÓC KHỐI LƯỢNG HOÀN THÀNH ĐƯA VÀO QUYẾT TOÁN</v>
          </cell>
        </row>
      </sheetData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>
        <row r="4">
          <cell r="A4" t="str">
            <v>BẢNG TÍNH TOÁN, ĐO BÓC KHỐI LƯỢNG HOÀN THÀNH ĐƯA VÀO QUYẾT TOÁN</v>
          </cell>
        </row>
      </sheetData>
      <sheetData sheetId="5625">
        <row r="4">
          <cell r="A4" t="str">
            <v>BẢNG TÍNH TOÁN, ĐO BÓC KHỐI LƯỢNG HOÀN THÀNH ĐƯA VÀO QUYẾT TOÁN</v>
          </cell>
        </row>
      </sheetData>
      <sheetData sheetId="5626">
        <row r="4">
          <cell r="A4" t="str">
            <v>BẢNG TÍNH TOÁN, ĐO BÓC KHỐI LƯỢNG HOÀN THÀNH ĐƯA VÀO QUYẾT TOÁN</v>
          </cell>
        </row>
      </sheetData>
      <sheetData sheetId="5627">
        <row r="4">
          <cell r="A4" t="str">
            <v>BẢNG TÍNH TOÁN, ĐO BÓC KHỐI LƯỢNG HOÀN THÀNH ĐƯA VÀO QUYẾT TOÁN</v>
          </cell>
        </row>
      </sheetData>
      <sheetData sheetId="5628">
        <row r="4">
          <cell r="A4" t="str">
            <v>BẢNG TÍNH TOÁN, ĐO BÓC KHỐI LƯỢNG HOÀN THÀNH ĐƯA VÀO QUYẾT TOÁN</v>
          </cell>
        </row>
      </sheetData>
      <sheetData sheetId="5629">
        <row r="4">
          <cell r="A4" t="str">
            <v>BẢNG TÍNH TOÁN, ĐO BÓC KHỐI LƯỢNG HOÀN THÀNH ĐƯA VÀO QUYẾT TOÁN</v>
          </cell>
        </row>
      </sheetData>
      <sheetData sheetId="5630">
        <row r="4">
          <cell r="A4" t="str">
            <v>BẢNG TÍNH TOÁN, ĐO BÓC KHỐI LƯỢNG HOÀN THÀNH ĐƯA VÀO QUYẾT TOÁN</v>
          </cell>
        </row>
      </sheetData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>
        <row r="4">
          <cell r="A4" t="str">
            <v>BẢNG TÍNH TOÁN, ĐO BÓC KHỐI LƯỢNG HOÀN THÀNH ĐƯA VÀO QUYẾT TOÁN</v>
          </cell>
        </row>
      </sheetData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>
        <row r="9">
          <cell r="A9" t="str">
            <v>A</v>
          </cell>
        </row>
      </sheetData>
      <sheetData sheetId="8047" refreshError="1"/>
      <sheetData sheetId="8048" refreshError="1"/>
      <sheetData sheetId="8049" refreshError="1"/>
      <sheetData sheetId="8050" refreshError="1"/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9">
          <cell r="A9" t="str">
            <v>A</v>
          </cell>
        </row>
      </sheetData>
      <sheetData sheetId="8053">
        <row r="9">
          <cell r="A9" t="str">
            <v>A</v>
          </cell>
        </row>
      </sheetData>
      <sheetData sheetId="8054">
        <row r="9">
          <cell r="A9" t="str">
            <v>A</v>
          </cell>
        </row>
      </sheetData>
      <sheetData sheetId="8055">
        <row r="9">
          <cell r="A9" t="str">
            <v>A</v>
          </cell>
        </row>
      </sheetData>
      <sheetData sheetId="8056">
        <row r="9">
          <cell r="A9" t="str">
            <v>A</v>
          </cell>
        </row>
      </sheetData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9">
          <cell r="A9" t="str">
            <v>A</v>
          </cell>
        </row>
      </sheetData>
      <sheetData sheetId="8069">
        <row r="9">
          <cell r="A9" t="str">
            <v>A</v>
          </cell>
        </row>
      </sheetData>
      <sheetData sheetId="8070">
        <row r="9">
          <cell r="A9" t="str">
            <v>A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9">
          <cell r="A9" t="str">
            <v>A</v>
          </cell>
        </row>
      </sheetData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>
        <row r="9">
          <cell r="A9" t="str">
            <v>A</v>
          </cell>
        </row>
      </sheetData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>
        <row r="9">
          <cell r="A9" t="str">
            <v>A</v>
          </cell>
        </row>
      </sheetData>
      <sheetData sheetId="8929" refreshError="1"/>
      <sheetData sheetId="8930" refreshError="1"/>
      <sheetData sheetId="8931">
        <row r="4">
          <cell r="A4" t="str">
            <v>BẢNG TÍNH TOÁN, ĐO BÓC KHỐI LƯỢNG HOÀN THÀNH ĐƯA VÀO QUYẾT TOÁN</v>
          </cell>
        </row>
      </sheetData>
      <sheetData sheetId="8932"/>
      <sheetData sheetId="8933" refreshError="1"/>
      <sheetData sheetId="8934" refreshError="1"/>
      <sheetData sheetId="8935" refreshError="1"/>
      <sheetData sheetId="8936" refreshError="1"/>
      <sheetData sheetId="8937">
        <row r="9">
          <cell r="A9" t="str">
            <v>A</v>
          </cell>
        </row>
      </sheetData>
      <sheetData sheetId="8938" refreshError="1"/>
      <sheetData sheetId="8939" refreshError="1"/>
      <sheetData sheetId="8940">
        <row r="4">
          <cell r="A4" t="str">
            <v>BẢNG TÍNH TOÁN, ĐO BÓC KHỐI LƯỢNG HOÀN THÀNH ĐƯA VÀO QUYẾT TOÁN</v>
          </cell>
        </row>
      </sheetData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>
        <row r="9">
          <cell r="A9" t="str">
            <v>A</v>
          </cell>
        </row>
      </sheetData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>
        <row r="9">
          <cell r="A9" t="str">
            <v>A</v>
          </cell>
        </row>
      </sheetData>
      <sheetData sheetId="8988" refreshError="1"/>
      <sheetData sheetId="8989"/>
      <sheetData sheetId="8990">
        <row r="9">
          <cell r="A9" t="str">
            <v>A</v>
          </cell>
        </row>
      </sheetData>
      <sheetData sheetId="8991" refreshError="1"/>
      <sheetData sheetId="8992" refreshError="1"/>
      <sheetData sheetId="8993" refreshError="1"/>
      <sheetData sheetId="8994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>
        <row r="4">
          <cell r="A4" t="str">
            <v>BẢNG TÍNH TOÁN, ĐO BÓC KHỐI LƯỢNG HOÀN THÀNH ĐƯA VÀO QUYẾT TOÁN</v>
          </cell>
        </row>
      </sheetData>
      <sheetData sheetId="9068">
        <row r="4">
          <cell r="A4" t="str">
            <v>BẢNG TÍNH TOÁN, ĐO BÓC KHỐI LƯỢNG HOÀN THÀNH ĐƯA VÀO QUYẾT TOÁN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>
        <row r="9">
          <cell r="A9" t="str">
            <v>A</v>
          </cell>
        </row>
      </sheetData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>
        <row r="9">
          <cell r="A9" t="str">
            <v>A</v>
          </cell>
        </row>
      </sheetData>
      <sheetData sheetId="9226" refreshError="1"/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>
        <row r="9">
          <cell r="A9" t="str">
            <v>A</v>
          </cell>
        </row>
      </sheetData>
      <sheetData sheetId="9264" refreshError="1"/>
      <sheetData sheetId="9265" refreshError="1"/>
      <sheetData sheetId="9266" refreshError="1"/>
      <sheetData sheetId="9267" refreshError="1"/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 refreshError="1"/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4">
          <cell r="A4" t="str">
            <v>BẢNG TÍNH TOÁN, ĐO BÓC KHỐI LƯỢNG HOÀN THÀNH ĐƯA VÀO QUYẾT TOÁN</v>
          </cell>
        </row>
      </sheetData>
      <sheetData sheetId="9314">
        <row r="9">
          <cell r="A9" t="str">
            <v>A</v>
          </cell>
        </row>
      </sheetData>
      <sheetData sheetId="9315">
        <row r="4">
          <cell r="A4" t="str">
            <v>BẢNG TÍNH TOÁN, ĐO BÓC KHỐI LƯỢNG HOÀN THÀNH ĐƯA VÀO QUYẾT TOÁN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4">
          <cell r="A4" t="str">
            <v>BẢNG TÍNH TOÁN, ĐO BÓC KHỐI LƯỢNG HOÀN THÀNH ĐƯA VÀO QUYẾT TOÁN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 refreshError="1"/>
      <sheetData sheetId="9348" refreshError="1"/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4">
          <cell r="A4" t="str">
            <v>BẢNG TÍNH TOÁN, ĐO BÓC KHỐI LƯỢNG HOÀN THÀNH ĐƯA VÀO QUYẾT TOÁN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4">
          <cell r="A4" t="str">
            <v>BẢNG TÍNH TOÁN, ĐO BÓC KHỐI LƯỢNG HOÀN THÀNH ĐƯA VÀO QUYẾT TOÁN</v>
          </cell>
        </row>
      </sheetData>
      <sheetData sheetId="9378">
        <row r="4">
          <cell r="A4" t="str">
            <v>BẢNG TÍNH TOÁN, ĐO BÓC KHỐI LƯỢNG HOÀN THÀNH ĐƯA VÀO QUYẾT TOÁN</v>
          </cell>
        </row>
      </sheetData>
      <sheetData sheetId="9379">
        <row r="4">
          <cell r="A4" t="str">
            <v>BẢNG TÍNH TOÁN, ĐO BÓC KHỐI LƯỢNG HOÀN THÀNH ĐƯA VÀO QUYẾT TOÁN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 refreshError="1"/>
      <sheetData sheetId="9385" refreshError="1"/>
      <sheetData sheetId="9386" refreshError="1"/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 refreshError="1"/>
      <sheetData sheetId="9416" refreshError="1"/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>
        <row r="9">
          <cell r="A9" t="str">
            <v>A</v>
          </cell>
        </row>
      </sheetData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/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/>
      <sheetData sheetId="9453">
        <row r="9">
          <cell r="A9" t="str">
            <v>A</v>
          </cell>
        </row>
      </sheetData>
      <sheetData sheetId="9454"/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 refreshError="1"/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/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/>
      <sheetData sheetId="9508">
        <row r="9">
          <cell r="A9" t="str">
            <v>A</v>
          </cell>
        </row>
      </sheetData>
      <sheetData sheetId="9509"/>
      <sheetData sheetId="9510">
        <row r="9">
          <cell r="A9" t="str">
            <v>A</v>
          </cell>
        </row>
      </sheetData>
      <sheetData sheetId="9511"/>
      <sheetData sheetId="9512"/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/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4">
          <cell r="A4" t="str">
            <v>BẢNG TÍNH TOÁN, ĐO BÓC KHỐI LƯỢNG HOÀN THÀNH ĐƯA VÀO QUYẾT TOÁN</v>
          </cell>
        </row>
      </sheetData>
      <sheetData sheetId="9538">
        <row r="4">
          <cell r="A4" t="str">
            <v>BẢNG TÍNH TOÁN, ĐO BÓC KHỐI LƯỢNG HOÀN THÀNH ĐƯA VÀO QUYẾT TOÁN</v>
          </cell>
        </row>
      </sheetData>
      <sheetData sheetId="9539">
        <row r="4">
          <cell r="A4" t="str">
            <v>BẢNG TÍNH TOÁN, ĐO BÓC KHỐI LƯỢNG HOÀN THÀNH ĐƯA VÀO QUYẾT TOÁN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/>
      <sheetData sheetId="9557"/>
      <sheetData sheetId="9558"/>
      <sheetData sheetId="9559">
        <row r="9">
          <cell r="A9" t="str">
            <v>A</v>
          </cell>
        </row>
      </sheetData>
      <sheetData sheetId="9560">
        <row r="4">
          <cell r="A4" t="str">
            <v>BẢNG TÍNH TOÁN, ĐO BÓC KHỐI LƯỢNG HOÀN THÀNH ĐƯA VÀO QUYẾT TOÁN</v>
          </cell>
        </row>
      </sheetData>
      <sheetData sheetId="9561">
        <row r="4">
          <cell r="A4" t="str">
            <v>BẢNG TÍNH TOÁN, ĐO BÓC KHỐI LƯỢNG HOÀN THÀNH ĐƯA VÀO QUYẾT TOÁN</v>
          </cell>
        </row>
      </sheetData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/>
      <sheetData sheetId="9574">
        <row r="9">
          <cell r="A9" t="str">
            <v>A</v>
          </cell>
        </row>
      </sheetData>
      <sheetData sheetId="9575" refreshError="1"/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4">
          <cell r="A4" t="str">
            <v>BẢNG TÍNH TOÁN, ĐO BÓC KHỐI LƯỢNG HOÀN THÀNH ĐƯA VÀO QUYẾT TOÁN</v>
          </cell>
        </row>
      </sheetData>
      <sheetData sheetId="9584">
        <row r="4">
          <cell r="A4" t="str">
            <v>BẢNG TÍNH TOÁN, ĐO BÓC KHỐI LƯỢNG HOÀN THÀNH ĐƯA VÀO QUYẾT TOÁN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4">
          <cell r="A4" t="str">
            <v>BẢNG TÍNH TOÁN, ĐO BÓC KHỐI LƯỢNG HOÀN THÀNH ĐƯA VÀO QUYẾT TOÁN</v>
          </cell>
        </row>
      </sheetData>
      <sheetData sheetId="9591">
        <row r="4">
          <cell r="A4" t="str">
            <v>BẢNG TÍNH TOÁN, ĐO BÓC KHỐI LƯỢNG HOÀN THÀNH ĐƯA VÀO QUYẾT TOÁN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4">
          <cell r="A4" t="str">
            <v>BẢNG TÍNH TOÁN, ĐO BÓC KHỐI LƯỢNG HOÀN THÀNH ĐƯA VÀO QUYẾT TOÁN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/>
      <sheetData sheetId="9599">
        <row r="4">
          <cell r="A4" t="str">
            <v>BẢNG TÍNH TOÁN, ĐO BÓC KHỐI LƯỢNG HOÀN THÀNH ĐƯA VÀO QUYẾT TOÁN</v>
          </cell>
        </row>
      </sheetData>
      <sheetData sheetId="9600">
        <row r="9">
          <cell r="A9" t="str">
            <v>A</v>
          </cell>
        </row>
      </sheetData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>
        <row r="9">
          <cell r="A9" t="str">
            <v>A</v>
          </cell>
        </row>
      </sheetData>
      <sheetData sheetId="9612"/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/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/>
      <sheetData sheetId="9620"/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/>
      <sheetData sheetId="9624"/>
      <sheetData sheetId="9625"/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/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/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>
        <row r="9">
          <cell r="A9" t="str">
            <v>A</v>
          </cell>
        </row>
      </sheetData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4">
          <cell r="A4" t="str">
            <v>BẢNG TÍNH TOÁN, ĐO BÓC KHỐI LƯỢNG HOÀN THÀNH ĐƯA VÀO QUYẾT TOÁN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4">
          <cell r="A4" t="str">
            <v>BẢNG TÍNH TOÁN, ĐO BÓC KHỐI LƯỢNG HOÀN THÀNH ĐƯA VÀO QUYẾT TOÁN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4">
          <cell r="A4" t="str">
            <v>BẢNG TÍNH TOÁN, ĐO BÓC KHỐI LƯỢNG HOÀN THÀNH ĐƯA VÀO QUYẾT TOÁN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4">
          <cell r="A4" t="str">
            <v>BẢNG TÍNH TOÁN, ĐO BÓC KHỐI LƯỢNG HOÀN THÀNH ĐƯA VÀO QUYẾT TOÁN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4">
          <cell r="A4" t="str">
            <v>BẢNG TÍNH TOÁN, ĐO BÓC KHỐI LƯỢNG HOÀN THÀNH ĐƯA VÀO QUYẾT TOÁN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4">
          <cell r="A4" t="str">
            <v>BẢNG TÍNH TOÁN, ĐO BÓC KHỐI LƯỢNG HOÀN THÀNH ĐƯA VÀO QUYẾT TOÁN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4">
          <cell r="A4" t="str">
            <v>BẢNG TÍNH TOÁN, ĐO BÓC KHỐI LƯỢNG HOÀN THÀNH ĐƯA VÀO QUYẾT TOÁN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4">
          <cell r="A4" t="str">
            <v>BẢNG TÍNH TOÁN, ĐO BÓC KHỐI LƯỢNG HOÀN THÀNH ĐƯA VÀO QUYẾT TOÁN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4">
          <cell r="A4" t="str">
            <v>BẢNG TÍNH TOÁN, ĐO BÓC KHỐI LƯỢNG HOÀN THÀNH ĐƯA VÀO QUYẾT TOÁN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4">
          <cell r="A4" t="str">
            <v>BẢNG TÍNH TOÁN, ĐO BÓC KHỐI LƯỢNG HOÀN THÀNH ĐƯA VÀO QUYẾT TOÁN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>
        <row r="9">
          <cell r="A9" t="str">
            <v>A</v>
          </cell>
        </row>
      </sheetData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/>
      <sheetData sheetId="10700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/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/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4">
          <cell r="A4" t="str">
            <v>BẢNG TÍNH TOÁN, ĐO BÓC KHỐI LƯỢNG HOÀN THÀNH ĐƯA VÀO QUYẾT TOÁN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4">
          <cell r="A4" t="str">
            <v>BẢNG TÍNH TOÁN, ĐO BÓC KHỐI LƯỢNG HOÀN THÀNH ĐƯA VÀO QUYẾT TOÁN</v>
          </cell>
        </row>
      </sheetData>
      <sheetData sheetId="11586">
        <row r="4">
          <cell r="A4" t="str">
            <v>BẢNG TÍNH TOÁN, ĐO BÓC KHỐI LƯỢNG HOÀN THÀNH ĐƯA VÀO QUYẾT TOÁN</v>
          </cell>
        </row>
      </sheetData>
      <sheetData sheetId="11587">
        <row r="9">
          <cell r="A9" t="str">
            <v>A</v>
          </cell>
        </row>
      </sheetData>
      <sheetData sheetId="11588">
        <row r="4">
          <cell r="A4" t="str">
            <v>BẢNG TÍNH TOÁN, ĐO BÓC KHỐI LƯỢNG HOÀN THÀNH ĐƯA VÀO QUYẾT TOÁN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4">
          <cell r="A4" t="str">
            <v>BẢNG TÍNH TOÁN, ĐO BÓC KHỐI LƯỢNG HOÀN THÀNH ĐƯA VÀO QUYẾT TOÁN</v>
          </cell>
        </row>
      </sheetData>
      <sheetData sheetId="11593">
        <row r="4">
          <cell r="A4" t="str">
            <v>BẢNG TÍNH TOÁN, ĐO BÓC KHỐI LƯỢNG HOÀN THÀNH ĐƯA VÀO QUYẾT TOÁN</v>
          </cell>
        </row>
      </sheetData>
      <sheetData sheetId="11594">
        <row r="4">
          <cell r="A4" t="str">
            <v>BẢNG TÍNH TOÁN, ĐO BÓC KHỐI LƯỢNG HOÀN THÀNH ĐƯA VÀO QUYẾT TOÁN</v>
          </cell>
        </row>
      </sheetData>
      <sheetData sheetId="11595">
        <row r="4">
          <cell r="A4" t="str">
            <v>BẢNG TÍNH TOÁN, ĐO BÓC KHỐI LƯỢNG HOÀN THÀNH ĐƯA VÀO QUYẾT TOÁN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4">
          <cell r="A4" t="str">
            <v>BẢNG TÍNH TOÁN, ĐO BÓC KHỐI LƯỢNG HOÀN THÀNH ĐƯA VÀO QUYẾT TOÁN</v>
          </cell>
        </row>
      </sheetData>
      <sheetData sheetId="11603">
        <row r="4">
          <cell r="A4" t="str">
            <v>BẢNG TÍNH TOÁN, ĐO BÓC KHỐI LƯỢNG HOÀN THÀNH ĐƯA VÀO QUYẾT TOÁN</v>
          </cell>
        </row>
      </sheetData>
      <sheetData sheetId="11604">
        <row r="4">
          <cell r="A4" t="str">
            <v>BẢNG TÍNH TOÁN, ĐO BÓC KHỐI LƯỢNG HOÀN THÀNH ĐƯA VÀO QUYẾT TOÁN</v>
          </cell>
        </row>
      </sheetData>
      <sheetData sheetId="11605">
        <row r="4">
          <cell r="A4" t="str">
            <v>BẢNG TÍNH TOÁN, ĐO BÓC KHỐI LƯỢNG HOÀN THÀNH ĐƯA VÀO QUYẾT TOÁN</v>
          </cell>
        </row>
      </sheetData>
      <sheetData sheetId="11606">
        <row r="4">
          <cell r="A4" t="str">
            <v>BẢNG TÍNH TOÁN, ĐO BÓC KHỐI LƯỢNG HOÀN THÀNH ĐƯA VÀO QUYẾT TOÁN</v>
          </cell>
        </row>
      </sheetData>
      <sheetData sheetId="11607">
        <row r="4">
          <cell r="A4" t="str">
            <v>BẢNG TÍNH TOÁN, ĐO BÓC KHỐI LƯỢNG HOÀN THÀNH ĐƯA VÀO QUYẾT TOÁN</v>
          </cell>
        </row>
      </sheetData>
      <sheetData sheetId="11608">
        <row r="4">
          <cell r="A4" t="str">
            <v>BẢNG TÍNH TOÁN, ĐO BÓC KHỐI LƯỢNG HOÀN THÀNH ĐƯA VÀO QUYẾT TOÁN</v>
          </cell>
        </row>
      </sheetData>
      <sheetData sheetId="11609">
        <row r="9">
          <cell r="A9" t="str">
            <v>A</v>
          </cell>
        </row>
      </sheetData>
      <sheetData sheetId="11610">
        <row r="4">
          <cell r="A4" t="str">
            <v>BẢNG TÍNH TOÁN, ĐO BÓC KHỐI LƯỢNG HOÀN THÀNH ĐƯA VÀO QUYẾT TOÁN</v>
          </cell>
        </row>
      </sheetData>
      <sheetData sheetId="11611">
        <row r="4">
          <cell r="A4" t="str">
            <v>BẢNG TÍNH TOÁN, ĐO BÓC KHỐI LƯỢNG HOÀN THÀNH ĐƯA VÀO QUYẾT TOÁN</v>
          </cell>
        </row>
      </sheetData>
      <sheetData sheetId="11612">
        <row r="4">
          <cell r="A4" t="str">
            <v>BẢNG TÍNH TOÁN, ĐO BÓC KHỐI LƯỢNG HOÀN THÀNH ĐƯA VÀO QUYẾT TOÁN</v>
          </cell>
        </row>
      </sheetData>
      <sheetData sheetId="11613">
        <row r="4">
          <cell r="A4" t="str">
            <v>BẢNG TÍNH TOÁN, ĐO BÓC KHỐI LƯỢNG HOÀN THÀNH ĐƯA VÀO QUYẾT TOÁN</v>
          </cell>
        </row>
      </sheetData>
      <sheetData sheetId="11614">
        <row r="4">
          <cell r="A4" t="str">
            <v>BẢNG TÍNH TOÁN, ĐO BÓC KHỐI LƯỢNG HOÀN THÀNH ĐƯA VÀO QUYẾT TOÁN</v>
          </cell>
        </row>
      </sheetData>
      <sheetData sheetId="11615">
        <row r="4">
          <cell r="A4" t="str">
            <v>BẢNG TÍNH TOÁN, ĐO BÓC KHỐI LƯỢNG HOÀN THÀNH ĐƯA VÀO QUYẾT TOÁN</v>
          </cell>
        </row>
      </sheetData>
      <sheetData sheetId="11616">
        <row r="4">
          <cell r="A4" t="str">
            <v>BẢNG TÍNH TOÁN, ĐO BÓC KHỐI LƯỢNG HOÀN THÀNH ĐƯA VÀO QUYẾT TOÁN</v>
          </cell>
        </row>
      </sheetData>
      <sheetData sheetId="11617">
        <row r="4">
          <cell r="A4" t="str">
            <v>BẢNG TÍNH TOÁN, ĐO BÓC KHỐI LƯỢNG HOÀN THÀNH ĐƯA VÀO QUYẾT TOÁN</v>
          </cell>
        </row>
      </sheetData>
      <sheetData sheetId="11618">
        <row r="4">
          <cell r="A4" t="str">
            <v>BẢNG TÍNH TOÁN, ĐO BÓC KHỐI LƯỢNG HOÀN THÀNH ĐƯA VÀO QUYẾT TOÁN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4">
          <cell r="A4" t="str">
            <v>BẢNG TÍNH TOÁN, ĐO BÓC KHỐI LƯỢNG HOÀN THÀNH ĐƯA VÀO QUYẾT TOÁN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4">
          <cell r="A4" t="str">
            <v>BẢNG TÍNH TOÁN, ĐO BÓC KHỐI LƯỢNG HOÀN THÀNH ĐƯA VÀO QUYẾT TOÁN</v>
          </cell>
        </row>
      </sheetData>
      <sheetData sheetId="11635">
        <row r="4">
          <cell r="A4" t="str">
            <v>BẢNG TÍNH TOÁN, ĐO BÓC KHỐI LƯỢNG HOÀN THÀNH ĐƯA VÀO QUYẾT TOÁN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4">
          <cell r="A4" t="str">
            <v>BẢNG TÍNH TOÁN, ĐO BÓC KHỐI LƯỢNG HOÀN THÀNH ĐƯA VÀO QUYẾT TOÁN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4">
          <cell r="A4" t="str">
            <v>BẢNG TÍNH TOÁN, ĐO BÓC KHỐI LƯỢNG HOÀN THÀNH ĐƯA VÀO QUYẾT TOÁN</v>
          </cell>
        </row>
      </sheetData>
      <sheetData sheetId="11641">
        <row r="4">
          <cell r="A4" t="str">
            <v>BẢNG TÍNH TOÁN, ĐO BÓC KHỐI LƯỢNG HOÀN THÀNH ĐƯA VÀO QUYẾT TOÁN</v>
          </cell>
        </row>
      </sheetData>
      <sheetData sheetId="11642">
        <row r="4">
          <cell r="A4" t="str">
            <v>BẢNG TÍNH TOÁN, ĐO BÓC KHỐI LƯỢNG HOÀN THÀNH ĐƯA VÀO QUYẾT TOÁN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4">
          <cell r="A4" t="str">
            <v>BẢNG TÍNH TOÁN, ĐO BÓC KHỐI LƯỢNG HOÀN THÀNH ĐƯA VÀO QUYẾT TOÁN</v>
          </cell>
        </row>
      </sheetData>
      <sheetData sheetId="11649">
        <row r="4">
          <cell r="A4" t="str">
            <v>BẢNG TÍNH TOÁN, ĐO BÓC KHỐI LƯỢNG HOÀN THÀNH ĐƯA VÀO QUYẾT TOÁN</v>
          </cell>
        </row>
      </sheetData>
      <sheetData sheetId="11650">
        <row r="4">
          <cell r="A4" t="str">
            <v>BẢNG TÍNH TOÁN, ĐO BÓC KHỐI LƯỢNG HOÀN THÀNH ĐƯA VÀO QUYẾT TOÁN</v>
          </cell>
        </row>
      </sheetData>
      <sheetData sheetId="11651">
        <row r="4">
          <cell r="A4" t="str">
            <v>BẢNG TÍNH TOÁN, ĐO BÓC KHỐI LƯỢNG HOÀN THÀNH ĐƯA VÀO QUYẾT TOÁN</v>
          </cell>
        </row>
      </sheetData>
      <sheetData sheetId="11652">
        <row r="4">
          <cell r="A4" t="str">
            <v>BẢNG TÍNH TOÁN, ĐO BÓC KHỐI LƯỢNG HOÀN THÀNH ĐƯA VÀO QUYẾT TOÁN</v>
          </cell>
        </row>
      </sheetData>
      <sheetData sheetId="11653">
        <row r="9">
          <cell r="A9" t="str">
            <v>A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9">
          <cell r="A9" t="str">
            <v>A</v>
          </cell>
        </row>
      </sheetData>
      <sheetData sheetId="11660">
        <row r="4">
          <cell r="A4" t="str">
            <v>BẢNG TÍNH TOÁN, ĐO BÓC KHỐI LƯỢNG HOÀN THÀNH ĐƯA VÀO QUYẾT TOÁN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9">
          <cell r="A9" t="str">
            <v>A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9">
          <cell r="A9" t="str">
            <v>A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4">
          <cell r="A4" t="str">
            <v>BẢNG TÍNH TOÁN, ĐO BÓC KHỐI LƯỢNG HOÀN THÀNH ĐƯA VÀO QUYẾT TOÁN</v>
          </cell>
        </row>
      </sheetData>
      <sheetData sheetId="11671">
        <row r="4">
          <cell r="A4" t="str">
            <v>BẢNG TÍNH TOÁN, ĐO BÓC KHỐI LƯỢNG HOÀN THÀNH ĐƯA VÀO QUYẾT TOÁN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4">
          <cell r="A4" t="str">
            <v>BẢNG TÍNH TOÁN, ĐO BÓC KHỐI LƯỢNG HOÀN THÀNH ĐƯA VÀO QUYẾT TOÁN</v>
          </cell>
        </row>
      </sheetData>
      <sheetData sheetId="11674">
        <row r="4">
          <cell r="A4" t="str">
            <v>BẢNG TÍNH TOÁN, ĐO BÓC KHỐI LƯỢNG HOÀN THÀNH ĐƯA VÀO QUYẾT TOÁN</v>
          </cell>
        </row>
      </sheetData>
      <sheetData sheetId="11675">
        <row r="4">
          <cell r="A4" t="str">
            <v>BẢNG TÍNH TOÁN, ĐO BÓC KHỐI LƯỢNG HOÀN THÀNH ĐƯA VÀO QUYẾT TOÁN</v>
          </cell>
        </row>
      </sheetData>
      <sheetData sheetId="11676">
        <row r="4">
          <cell r="A4" t="str">
            <v>BẢNG TÍNH TOÁN, ĐO BÓC KHỐI LƯỢNG HOÀN THÀNH ĐƯA VÀO QUYẾT TOÁN</v>
          </cell>
        </row>
      </sheetData>
      <sheetData sheetId="11677">
        <row r="4">
          <cell r="A4" t="str">
            <v>BẢNG TÍNH TOÁN, ĐO BÓC KHỐI LƯỢNG HOÀN THÀNH ĐƯA VÀO QUYẾT TOÁN</v>
          </cell>
        </row>
      </sheetData>
      <sheetData sheetId="11678">
        <row r="4">
          <cell r="A4" t="str">
            <v>BẢNG TÍNH TOÁN, ĐO BÓC KHỐI LƯỢNG HOÀN THÀNH ĐƯA VÀO QUYẾT TOÁN</v>
          </cell>
        </row>
      </sheetData>
      <sheetData sheetId="11679">
        <row r="4">
          <cell r="A4" t="str">
            <v>BẢNG TÍNH TOÁN, ĐO BÓC KHỐI LƯỢNG HOÀN THÀNH ĐƯA VÀO QUYẾT TOÁN</v>
          </cell>
        </row>
      </sheetData>
      <sheetData sheetId="11680">
        <row r="4">
          <cell r="A4" t="str">
            <v>BẢNG TÍNH TOÁN, ĐO BÓC KHỐI LƯỢNG HOÀN THÀNH ĐƯA VÀO QUYẾT TOÁN</v>
          </cell>
        </row>
      </sheetData>
      <sheetData sheetId="11681">
        <row r="4">
          <cell r="A4" t="str">
            <v>BẢNG TÍNH TOÁN, ĐO BÓC KHỐI LƯỢNG HOÀN THÀNH ĐƯA VÀO QUYẾT TOÁN</v>
          </cell>
        </row>
      </sheetData>
      <sheetData sheetId="11682">
        <row r="4">
          <cell r="A4" t="str">
            <v>BẢNG TÍNH TOÁN, ĐO BÓC KHỐI LƯỢNG HOÀN THÀNH ĐƯA VÀO QUYẾT TOÁN</v>
          </cell>
        </row>
      </sheetData>
      <sheetData sheetId="11683">
        <row r="4">
          <cell r="A4" t="str">
            <v>BẢNG TÍNH TOÁN, ĐO BÓC KHỐI LƯỢNG HOÀN THÀNH ĐƯA VÀO QUYẾT TOÁN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4">
          <cell r="A4" t="str">
            <v>BẢNG TÍNH TOÁN, ĐO BÓC KHỐI LƯỢNG HOÀN THÀNH ĐƯA VÀO QUYẾT TOÁN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4">
          <cell r="A4" t="str">
            <v>BẢNG TÍNH TOÁN, ĐO BÓC KHỐI LƯỢNG HOÀN THÀNH ĐƯA VÀO QUYẾT TOÁN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4">
          <cell r="A4" t="str">
            <v>BẢNG TÍNH TOÁN, ĐO BÓC KHỐI LƯỢNG HOÀN THÀNH ĐƯA VÀO QUYẾT TOÁN</v>
          </cell>
        </row>
      </sheetData>
      <sheetData sheetId="11707">
        <row r="4">
          <cell r="A4" t="str">
            <v>BẢNG TÍNH TOÁN, ĐO BÓC KHỐI LƯỢNG HOÀN THÀNH ĐƯA VÀO QUYẾT TOÁN</v>
          </cell>
        </row>
      </sheetData>
      <sheetData sheetId="11708">
        <row r="4">
          <cell r="A4" t="str">
            <v>BẢNG TÍNH TOÁN, ĐO BÓC KHỐI LƯỢNG HOÀN THÀNH ĐƯA VÀO QUYẾT TOÁN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4">
          <cell r="A4" t="str">
            <v>BẢNG TÍNH TOÁN, ĐO BÓC KHỐI LƯỢNG HOÀN THÀNH ĐƯA VÀO QUYẾT TOÁN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9">
          <cell r="A9" t="str">
            <v>A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4">
          <cell r="A4" t="str">
            <v>BẢNG TÍNH TOÁN, ĐO BÓC KHỐI LƯỢNG HOÀN THÀNH ĐƯA VÀO QUYẾT TOÁN</v>
          </cell>
        </row>
      </sheetData>
      <sheetData sheetId="11764">
        <row r="4">
          <cell r="A4" t="str">
            <v>BẢNG TÍNH TOÁN, ĐO BÓC KHỐI LƯỢNG HOÀN THÀNH ĐƯA VÀO QUYẾT TOÁN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9">
          <cell r="A9" t="str">
            <v>A</v>
          </cell>
        </row>
      </sheetData>
      <sheetData sheetId="11767">
        <row r="4">
          <cell r="A4" t="str">
            <v>BẢNG TÍNH TOÁN, ĐO BÓC KHỐI LƯỢNG HOÀN THÀNH ĐƯA VÀO QUYẾT TOÁN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9">
          <cell r="A9" t="str">
            <v>A</v>
          </cell>
        </row>
      </sheetData>
      <sheetData sheetId="11770">
        <row r="4">
          <cell r="A4" t="str">
            <v>BẢNG TÍNH TOÁN, ĐO BÓC KHỐI LƯỢNG HOÀN THÀNH ĐƯA VÀO QUYẾT TOÁN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4">
          <cell r="A4" t="str">
            <v>BẢNG TÍNH TOÁN, ĐO BÓC KHỐI LƯỢNG HOÀN THÀNH ĐƯA VÀO QUYẾT TOÁN</v>
          </cell>
        </row>
      </sheetData>
      <sheetData sheetId="11781">
        <row r="4">
          <cell r="A4" t="str">
            <v>BẢNG TÍNH TOÁN, ĐO BÓC KHỐI LƯỢNG HOÀN THÀNH ĐƯA VÀO QUYẾT TOÁN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4">
          <cell r="A4" t="str">
            <v>BẢNG TÍNH TOÁN, ĐO BÓC KHỐI LƯỢNG HOÀN THÀNH ĐƯA VÀO QUYẾT TOÁN</v>
          </cell>
        </row>
      </sheetData>
      <sheetData sheetId="11784">
        <row r="4">
          <cell r="A4" t="str">
            <v>BẢNG TÍNH TOÁN, ĐO BÓC KHỐI LƯỢNG HOÀN THÀNH ĐƯA VÀO QUYẾT TOÁN</v>
          </cell>
        </row>
      </sheetData>
      <sheetData sheetId="11785">
        <row r="4">
          <cell r="A4" t="str">
            <v>BẢNG TÍNH TOÁN, ĐO BÓC KHỐI LƯỢNG HOÀN THÀNH ĐƯA VÀO QUYẾT TOÁN</v>
          </cell>
        </row>
      </sheetData>
      <sheetData sheetId="11786">
        <row r="4">
          <cell r="A4" t="str">
            <v>BẢNG TÍNH TOÁN, ĐO BÓC KHỐI LƯỢNG HOÀN THÀNH ĐƯA VÀO QUYẾT TOÁN</v>
          </cell>
        </row>
      </sheetData>
      <sheetData sheetId="11787">
        <row r="4">
          <cell r="A4" t="str">
            <v>BẢNG TÍNH TOÁN, ĐO BÓC KHỐI LƯỢNG HOÀN THÀNH ĐƯA VÀO QUYẾT TOÁN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9">
          <cell r="A9" t="str">
            <v>A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9">
          <cell r="A9" t="str">
            <v>A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4">
          <cell r="A4" t="str">
            <v>BẢNG TÍNH TOÁN, ĐO BÓC KHỐI LƯỢNG HOÀN THÀNH ĐƯA VÀO QUYẾT TOÁN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4">
          <cell r="A4" t="str">
            <v>BẢNG TÍNH TOÁN, ĐO BÓC KHỐI LƯỢNG HOÀN THÀNH ĐƯA VÀO QUYẾT TOÁN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9">
          <cell r="A9" t="str">
            <v>A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/>
      <sheetData sheetId="11851"/>
      <sheetData sheetId="11852"/>
      <sheetData sheetId="11853"/>
      <sheetData sheetId="11854"/>
      <sheetData sheetId="11855"/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/>
      <sheetData sheetId="11860">
        <row r="4">
          <cell r="A4" t="str">
            <v>BẢNG TÍNH TOÁN, ĐO BÓC KHỐI LƯỢNG HOÀN THÀNH ĐƯA VÀO QUYẾT TOÁN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9">
          <cell r="A9" t="str">
            <v>A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4">
          <cell r="A4" t="str">
            <v>BẢNG TÍNH TOÁN, ĐO BÓC KHỐI LƯỢNG HOÀN THÀNH ĐƯA VÀO QUYẾT TOÁN</v>
          </cell>
        </row>
      </sheetData>
      <sheetData sheetId="11881">
        <row r="4">
          <cell r="A4" t="str">
            <v>BẢNG TÍNH TOÁN, ĐO BÓC KHỐI LƯỢNG HOÀN THÀNH ĐƯA VÀO QUYẾT TOÁN</v>
          </cell>
        </row>
      </sheetData>
      <sheetData sheetId="11882">
        <row r="4">
          <cell r="A4" t="str">
            <v>BẢNG TÍNH TOÁN, ĐO BÓC KHỐI LƯỢNG HOÀN THÀNH ĐƯA VÀO QUYẾT TOÁN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4">
          <cell r="A4" t="str">
            <v>BẢNG TÍNH TOÁN, ĐO BÓC KHỐI LƯỢNG HOÀN THÀNH ĐƯA VÀO QUYẾT TOÁN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9">
          <cell r="A9" t="str">
            <v>A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4">
          <cell r="A4" t="str">
            <v>BẢNG TÍNH TOÁN, ĐO BÓC KHỐI LƯỢNG HOÀN THÀNH ĐƯA VÀO QUYẾT TOÁN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9">
          <cell r="A9" t="str">
            <v>A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4">
          <cell r="A4" t="str">
            <v>BẢNG TÍNH TOÁN, ĐO BÓC KHỐI LƯỢNG HOÀN THÀNH ĐƯA VÀO QUYẾT TOÁN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4">
          <cell r="A4" t="str">
            <v>BẢNG TÍNH TOÁN, ĐO BÓC KHỐI LƯỢNG HOÀN THÀNH ĐƯA VÀO QUYẾT TOÁN</v>
          </cell>
        </row>
      </sheetData>
      <sheetData sheetId="11921">
        <row r="4">
          <cell r="A4" t="str">
            <v>BẢNG TÍNH TOÁN, ĐO BÓC KHỐI LƯỢNG HOÀN THÀNH ĐƯA VÀO QUYẾT TOÁN</v>
          </cell>
        </row>
      </sheetData>
      <sheetData sheetId="11922">
        <row r="4">
          <cell r="A4" t="str">
            <v>BẢNG TÍNH TOÁN, ĐO BÓC KHỐI LƯỢNG HOÀN THÀNH ĐƯA VÀO QUYẾT TOÁN</v>
          </cell>
        </row>
      </sheetData>
      <sheetData sheetId="11923">
        <row r="4">
          <cell r="A4" t="str">
            <v>BẢNG TÍNH TOÁN, ĐO BÓC KHỐI LƯỢNG HOÀN THÀNH ĐƯA VÀO QUYẾT TOÁN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9">
          <cell r="A9" t="str">
            <v>A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9">
          <cell r="A9" t="str">
            <v>A</v>
          </cell>
        </row>
      </sheetData>
      <sheetData sheetId="11952">
        <row r="4">
          <cell r="A4" t="str">
            <v>BẢNG TÍNH TOÁN, ĐO BÓC KHỐI LƯỢNG HOÀN THÀNH ĐƯA VÀO QUYẾT TOÁN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4">
          <cell r="A4" t="str">
            <v>BẢNG TÍNH TOÁN, ĐO BÓC KHỐI LƯỢNG HOÀN THÀNH ĐƯA VÀO QUYẾT TOÁN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4">
          <cell r="A4" t="str">
            <v>BẢNG TÍNH TOÁN, ĐO BÓC KHỐI LƯỢNG HOÀN THÀNH ĐƯA VÀO QUYẾT TOÁN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9">
          <cell r="A9" t="str">
            <v>A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9">
          <cell r="A9" t="str">
            <v>A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9">
          <cell r="A9" t="str">
            <v>A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4">
          <cell r="A4" t="str">
            <v>BẢNG TÍNH TOÁN, ĐO BÓC KHỐI LƯỢNG HOÀN THÀNH ĐƯA VÀO QUYẾT TOÁN</v>
          </cell>
        </row>
      </sheetData>
      <sheetData sheetId="11976">
        <row r="9">
          <cell r="A9" t="str">
            <v>A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4">
          <cell r="A4" t="str">
            <v>BẢNG TÍNH TOÁN, ĐO BÓC KHỐI LƯỢNG HOÀN THÀNH ĐƯA VÀO QUYẾT TOÁN</v>
          </cell>
        </row>
      </sheetData>
      <sheetData sheetId="11990">
        <row r="4">
          <cell r="A4" t="str">
            <v>BẢNG TÍNH TOÁN, ĐO BÓC KHỐI LƯỢNG HOÀN THÀNH ĐƯA VÀO QUYẾT TOÁN</v>
          </cell>
        </row>
      </sheetData>
      <sheetData sheetId="11991">
        <row r="4">
          <cell r="A4" t="str">
            <v>BẢNG TÍNH TOÁN, ĐO BÓC KHỐI LƯỢNG HOÀN THÀNH ĐƯA VÀO QUYẾT TOÁN</v>
          </cell>
        </row>
      </sheetData>
      <sheetData sheetId="11992">
        <row r="4">
          <cell r="A4" t="str">
            <v>BẢNG TÍNH TOÁN, ĐO BÓC KHỐI LƯỢNG HOÀN THÀNH ĐƯA VÀO QUYẾT TOÁN</v>
          </cell>
        </row>
      </sheetData>
      <sheetData sheetId="11993">
        <row r="4">
          <cell r="A4" t="str">
            <v>BẢNG TÍNH TOÁN, ĐO BÓC KHỐI LƯỢNG HOÀN THÀNH ĐƯA VÀO QUYẾT TOÁN</v>
          </cell>
        </row>
      </sheetData>
      <sheetData sheetId="11994">
        <row r="4">
          <cell r="A4" t="str">
            <v>BẢNG TÍNH TOÁN, ĐO BÓC KHỐI LƯỢNG HOÀN THÀNH ĐƯA VÀO QUYẾT TOÁN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4">
          <cell r="A4" t="str">
            <v>BẢNG TÍNH TOÁN, ĐO BÓC KHỐI LƯỢNG HOÀN THÀNH ĐƯA VÀO QUYẾT TOÁN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4">
          <cell r="A4" t="str">
            <v>BẢNG TÍNH TOÁN, ĐO BÓC KHỐI LƯỢNG HOÀN THÀNH ĐƯA VÀO QUYẾT TOÁN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9">
          <cell r="A9" t="str">
            <v>A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9">
          <cell r="A9" t="str">
            <v>A</v>
          </cell>
        </row>
      </sheetData>
      <sheetData sheetId="12014"/>
      <sheetData sheetId="12015">
        <row r="9">
          <cell r="A9" t="str">
            <v>A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/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9">
          <cell r="A9" t="str">
            <v>A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9">
          <cell r="A9" t="str">
            <v>A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9">
          <cell r="A9" t="str">
            <v>A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9">
          <cell r="A9" t="str">
            <v>A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9">
          <cell r="A9" t="str">
            <v>A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9">
          <cell r="A9" t="str">
            <v>A</v>
          </cell>
        </row>
      </sheetData>
      <sheetData sheetId="12121"/>
      <sheetData sheetId="12122"/>
      <sheetData sheetId="12123"/>
      <sheetData sheetId="12124"/>
      <sheetData sheetId="12125">
        <row r="4">
          <cell r="A4" t="str">
            <v>BẢNG TÍNH TOÁN, ĐO BÓC KHỐI LƯỢNG HOÀN THÀNH ĐƯA VÀO QUYẾT TOÁN</v>
          </cell>
        </row>
      </sheetData>
      <sheetData sheetId="12126"/>
      <sheetData sheetId="12127"/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4">
          <cell r="A4" t="str">
            <v>BẢNG TÍNH TOÁN, ĐO BÓC KHỐI LƯỢNG HOÀN THÀNH ĐƯA VÀO QUYẾT TOÁN</v>
          </cell>
        </row>
      </sheetData>
      <sheetData sheetId="12144">
        <row r="4">
          <cell r="A4" t="str">
            <v>BẢNG TÍNH TOÁN, ĐO BÓC KHỐI LƯỢNG HOÀN THÀNH ĐƯA VÀO QUYẾT TOÁN</v>
          </cell>
        </row>
      </sheetData>
      <sheetData sheetId="12145">
        <row r="4">
          <cell r="A4" t="str">
            <v>BẢNG TÍNH TOÁN, ĐO BÓC KHỐI LƯỢNG HOÀN THÀNH ĐƯA VÀO QUYẾT TOÁN</v>
          </cell>
        </row>
      </sheetData>
      <sheetData sheetId="12146">
        <row r="4">
          <cell r="A4" t="str">
            <v>BẢNG TÍNH TOÁN, ĐO BÓC KHỐI LƯỢNG HOÀN THÀNH ĐƯA VÀO QUYẾT TOÁN</v>
          </cell>
        </row>
      </sheetData>
      <sheetData sheetId="12147">
        <row r="4">
          <cell r="A4" t="str">
            <v>BẢNG TÍNH TOÁN, ĐO BÓC KHỐI LƯỢNG HOÀN THÀNH ĐƯA VÀO QUYẾT TOÁN</v>
          </cell>
        </row>
      </sheetData>
      <sheetData sheetId="12148">
        <row r="4">
          <cell r="A4" t="str">
            <v>BẢNG TÍNH TOÁN, ĐO BÓC KHỐI LƯỢNG HOÀN THÀNH ĐƯA VÀO QUYẾT TOÁN</v>
          </cell>
        </row>
      </sheetData>
      <sheetData sheetId="12149">
        <row r="4">
          <cell r="A4" t="str">
            <v>BẢNG TÍNH TOÁN, ĐO BÓC KHỐI LƯỢNG HOÀN THÀNH ĐƯA VÀO QUYẾT TOÁN</v>
          </cell>
        </row>
      </sheetData>
      <sheetData sheetId="12150">
        <row r="4">
          <cell r="A4" t="str">
            <v>BẢNG TÍNH TOÁN, ĐO BÓC KHỐI LƯỢNG HOÀN THÀNH ĐƯA VÀO QUYẾT TOÁN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9">
          <cell r="A9" t="str">
            <v>A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/>
      <sheetData sheetId="12166">
        <row r="4">
          <cell r="A4" t="str">
            <v>BẢNG TÍNH TOÁN, ĐO BÓC KHỐI LƯỢNG HOÀN THÀNH ĐƯA VÀO QUYẾT TOÁN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9">
          <cell r="A9" t="str">
            <v>A</v>
          </cell>
        </row>
      </sheetData>
      <sheetData sheetId="12169">
        <row r="4">
          <cell r="A4" t="str">
            <v>BẢNG TÍNH TOÁN, ĐO BÓC KHỐI LƯỢNG HOÀN THÀNH ĐƯA VÀO QUYẾT TOÁN</v>
          </cell>
        </row>
      </sheetData>
      <sheetData sheetId="12170">
        <row r="9">
          <cell r="A9" t="str">
            <v>A</v>
          </cell>
        </row>
      </sheetData>
      <sheetData sheetId="12171">
        <row r="4">
          <cell r="A4" t="str">
            <v>BẢNG TÍNH TOÁN, ĐO BÓC KHỐI LƯỢNG HOÀN THÀNH ĐƯA VÀO QUYẾT TOÁN</v>
          </cell>
        </row>
      </sheetData>
      <sheetData sheetId="12172">
        <row r="9">
          <cell r="A9" t="str">
            <v>A</v>
          </cell>
        </row>
      </sheetData>
      <sheetData sheetId="12173">
        <row r="4">
          <cell r="A4" t="str">
            <v>BẢNG TÍNH TOÁN, ĐO BÓC KHỐI LƯỢNG HOÀN THÀNH ĐƯA VÀO QUYẾT TOÁN</v>
          </cell>
        </row>
      </sheetData>
      <sheetData sheetId="12174">
        <row r="4">
          <cell r="A4" t="str">
            <v>BẢNG TÍNH TOÁN, ĐO BÓC KHỐI LƯỢNG HOÀN THÀNH ĐƯA VÀO QUYẾT TOÁN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4">
          <cell r="A4" t="str">
            <v>BẢNG TÍNH TOÁN, ĐO BÓC KHỐI LƯỢNG HOÀN THÀNH ĐƯA VÀO QUYẾT TOÁN</v>
          </cell>
        </row>
      </sheetData>
      <sheetData sheetId="12178">
        <row r="9">
          <cell r="A9" t="str">
            <v>A</v>
          </cell>
        </row>
      </sheetData>
      <sheetData sheetId="12179">
        <row r="4">
          <cell r="A4" t="str">
            <v>BẢNG TÍNH TOÁN, ĐO BÓC KHỐI LƯỢNG HOÀN THÀNH ĐƯA VÀO QUYẾT TOÁN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4">
          <cell r="A4" t="str">
            <v>BẢNG TÍNH TOÁN, ĐO BÓC KHỐI LƯỢNG HOÀN THÀNH ĐƯA VÀO QUYẾT TOÁN</v>
          </cell>
        </row>
      </sheetData>
      <sheetData sheetId="12184">
        <row r="9">
          <cell r="A9" t="str">
            <v>A</v>
          </cell>
        </row>
      </sheetData>
      <sheetData sheetId="12185">
        <row r="4">
          <cell r="A4" t="str">
            <v>BẢNG TÍNH TOÁN, ĐO BÓC KHỐI LƯỢNG HOÀN THÀNH ĐƯA VÀO QUYẾT TOÁN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4">
          <cell r="A4" t="str">
            <v>BẢNG TÍNH TOÁN, ĐO BÓC KHỐI LƯỢNG HOÀN THÀNH ĐƯA VÀO QUYẾT TOÁN</v>
          </cell>
        </row>
      </sheetData>
      <sheetData sheetId="12189">
        <row r="4">
          <cell r="A4" t="str">
            <v>BẢNG TÍNH TOÁN, ĐO BÓC KHỐI LƯỢNG HOÀN THÀNH ĐƯA VÀO QUYẾT TOÁN</v>
          </cell>
        </row>
      </sheetData>
      <sheetData sheetId="12190">
        <row r="9">
          <cell r="A9" t="str">
            <v>A</v>
          </cell>
        </row>
      </sheetData>
      <sheetData sheetId="12191">
        <row r="4">
          <cell r="A4" t="str">
            <v>BẢNG TÍNH TOÁN, ĐO BÓC KHỐI LƯỢNG HOÀN THÀNH ĐƯA VÀO QUYẾT TOÁN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/>
      <sheetData sheetId="12197"/>
      <sheetData sheetId="12198"/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/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/>
      <sheetData sheetId="12234"/>
      <sheetData sheetId="12235"/>
      <sheetData sheetId="12236"/>
      <sheetData sheetId="12237"/>
      <sheetData sheetId="12238"/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/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/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/>
      <sheetData sheetId="12274">
        <row r="9">
          <cell r="A9" t="str">
            <v>A</v>
          </cell>
        </row>
      </sheetData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>
        <row r="9">
          <cell r="A9" t="str">
            <v>A</v>
          </cell>
        </row>
      </sheetData>
      <sheetData sheetId="12296"/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/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/>
      <sheetData sheetId="12326"/>
      <sheetData sheetId="12327"/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/>
      <sheetData sheetId="12333"/>
      <sheetData sheetId="12334"/>
      <sheetData sheetId="12335"/>
      <sheetData sheetId="12336"/>
      <sheetData sheetId="12337"/>
      <sheetData sheetId="12338">
        <row r="9">
          <cell r="A9" t="str">
            <v>A</v>
          </cell>
        </row>
      </sheetData>
      <sheetData sheetId="12339"/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/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/>
      <sheetData sheetId="12367"/>
      <sheetData sheetId="12368"/>
      <sheetData sheetId="12369">
        <row r="9">
          <cell r="A9" t="str">
            <v>A</v>
          </cell>
        </row>
      </sheetData>
      <sheetData sheetId="12370"/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/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/>
      <sheetData sheetId="12377"/>
      <sheetData sheetId="12378"/>
      <sheetData sheetId="12379"/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/>
      <sheetData sheetId="12383"/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/>
      <sheetData sheetId="12387"/>
      <sheetData sheetId="12388"/>
      <sheetData sheetId="12389"/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>
        <row r="9">
          <cell r="A9" t="str">
            <v>A</v>
          </cell>
        </row>
      </sheetData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/>
      <sheetData sheetId="12581">
        <row r="9">
          <cell r="A9" t="str">
            <v>A</v>
          </cell>
        </row>
      </sheetData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>
        <row r="9">
          <cell r="A9" t="str">
            <v>A</v>
          </cell>
        </row>
      </sheetData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>
        <row r="9">
          <cell r="A9" t="str">
            <v>A</v>
          </cell>
        </row>
      </sheetData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/>
      <sheetData sheetId="12633"/>
      <sheetData sheetId="12634" refreshError="1"/>
      <sheetData sheetId="12635"/>
      <sheetData sheetId="12636"/>
      <sheetData sheetId="12637"/>
      <sheetData sheetId="12638">
        <row r="9">
          <cell r="A9" t="str">
            <v>A</v>
          </cell>
        </row>
      </sheetData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>
        <row r="9">
          <cell r="A9" t="str">
            <v>A</v>
          </cell>
        </row>
      </sheetData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TỔNG HỢP"/>
    </sheetNames>
    <sheetDataSet>
      <sheetData sheetId="0">
        <row r="8">
          <cell r="C8" t="str">
            <v>năng</v>
          </cell>
        </row>
      </sheetData>
      <sheetData sheetId="1"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2+440"/>
      <sheetName val="BC.122+440"/>
      <sheetName val="SL.122+440"/>
      <sheetName val="IN 122+440    "/>
      <sheetName val="Sheet1"/>
    </sheetNames>
    <sheetDataSet>
      <sheetData sheetId="0"/>
      <sheetData sheetId="1"/>
      <sheetData sheetId="2">
        <row r="11">
          <cell r="C11" t="str">
            <v>Cao độ đắp(m)</v>
          </cell>
        </row>
        <row r="13">
          <cell r="A13">
            <v>45268</v>
          </cell>
          <cell r="B13">
            <v>1</v>
          </cell>
          <cell r="C13">
            <v>-0.84</v>
          </cell>
          <cell r="D13">
            <v>0</v>
          </cell>
          <cell r="E13">
            <v>-0.84</v>
          </cell>
          <cell r="F13">
            <v>0.89</v>
          </cell>
          <cell r="G13">
            <v>-0.02</v>
          </cell>
          <cell r="H13">
            <v>0.06</v>
          </cell>
          <cell r="I13">
            <v>-0.84</v>
          </cell>
          <cell r="J13">
            <v>0.42099999999999999</v>
          </cell>
          <cell r="K13">
            <v>-0.48899999999999999</v>
          </cell>
          <cell r="L13">
            <v>0</v>
          </cell>
          <cell r="M13">
            <v>0</v>
          </cell>
          <cell r="N13">
            <v>0</v>
          </cell>
          <cell r="O13"/>
        </row>
        <row r="14">
          <cell r="A14">
            <v>45269</v>
          </cell>
          <cell r="B14">
            <v>2</v>
          </cell>
          <cell r="C14">
            <v>-0.84</v>
          </cell>
          <cell r="D14">
            <v>0</v>
          </cell>
          <cell r="E14">
            <v>-0.84</v>
          </cell>
          <cell r="F14">
            <v>0.89</v>
          </cell>
          <cell r="G14">
            <v>-0.02</v>
          </cell>
          <cell r="H14">
            <v>0.06</v>
          </cell>
          <cell r="I14">
            <v>-0.84</v>
          </cell>
          <cell r="J14">
            <v>0.42099999999999999</v>
          </cell>
          <cell r="K14">
            <v>-0.48899999999999999</v>
          </cell>
          <cell r="L14">
            <v>0</v>
          </cell>
          <cell r="M14">
            <v>0</v>
          </cell>
          <cell r="N14">
            <v>0</v>
          </cell>
          <cell r="O14"/>
        </row>
        <row r="15">
          <cell r="A15">
            <v>45270</v>
          </cell>
          <cell r="B15">
            <v>3</v>
          </cell>
          <cell r="C15">
            <v>-0.84</v>
          </cell>
          <cell r="D15">
            <v>0</v>
          </cell>
          <cell r="E15">
            <v>-0.84</v>
          </cell>
          <cell r="F15">
            <v>0.89</v>
          </cell>
          <cell r="G15">
            <v>-0.02</v>
          </cell>
          <cell r="H15">
            <v>0.06</v>
          </cell>
          <cell r="I15">
            <v>-0.84</v>
          </cell>
          <cell r="J15">
            <v>0.42099999999999999</v>
          </cell>
          <cell r="K15">
            <v>-0.48899999999999999</v>
          </cell>
          <cell r="L15">
            <v>0</v>
          </cell>
          <cell r="M15">
            <v>0</v>
          </cell>
          <cell r="N15">
            <v>0</v>
          </cell>
          <cell r="O15"/>
        </row>
        <row r="16">
          <cell r="A16">
            <v>45271</v>
          </cell>
          <cell r="B16">
            <v>4</v>
          </cell>
          <cell r="C16">
            <v>-0.84</v>
          </cell>
          <cell r="D16">
            <v>8.8999999999999996E-2</v>
          </cell>
          <cell r="E16">
            <v>-0.84</v>
          </cell>
          <cell r="F16">
            <v>0.89</v>
          </cell>
          <cell r="G16">
            <v>-0.02</v>
          </cell>
          <cell r="H16">
            <v>0.06</v>
          </cell>
          <cell r="I16">
            <v>-0.84</v>
          </cell>
          <cell r="J16">
            <v>0.42099999999999999</v>
          </cell>
          <cell r="K16">
            <v>-0.48899999999999999</v>
          </cell>
          <cell r="L16">
            <v>0</v>
          </cell>
          <cell r="M16">
            <v>0</v>
          </cell>
          <cell r="N16">
            <v>0</v>
          </cell>
          <cell r="O16"/>
        </row>
        <row r="17">
          <cell r="A17">
            <v>45272</v>
          </cell>
          <cell r="B17">
            <v>5</v>
          </cell>
          <cell r="C17">
            <v>-0.84</v>
          </cell>
          <cell r="D17">
            <v>8.8999999999999996E-2</v>
          </cell>
          <cell r="E17">
            <v>-0.84</v>
          </cell>
          <cell r="F17">
            <v>0.89</v>
          </cell>
          <cell r="G17">
            <v>-0.02</v>
          </cell>
          <cell r="H17">
            <v>0.06</v>
          </cell>
          <cell r="I17">
            <v>-0.84</v>
          </cell>
          <cell r="J17">
            <v>0.41199999999999998</v>
          </cell>
          <cell r="K17">
            <v>-0.498</v>
          </cell>
          <cell r="L17">
            <v>0</v>
          </cell>
          <cell r="M17">
            <v>0</v>
          </cell>
          <cell r="N17">
            <v>-9.0000000000000071</v>
          </cell>
          <cell r="O17"/>
        </row>
        <row r="18">
          <cell r="A18">
            <v>45273</v>
          </cell>
          <cell r="B18">
            <v>6</v>
          </cell>
          <cell r="C18">
            <v>-0.84</v>
          </cell>
          <cell r="D18">
            <v>8.8999999999999996E-2</v>
          </cell>
          <cell r="E18">
            <v>-0.84</v>
          </cell>
          <cell r="F18">
            <v>0.89</v>
          </cell>
          <cell r="G18">
            <v>-0.02</v>
          </cell>
          <cell r="H18">
            <v>0.06</v>
          </cell>
          <cell r="I18">
            <v>-0.84</v>
          </cell>
          <cell r="J18">
            <v>0.40400000000000003</v>
          </cell>
          <cell r="K18">
            <v>-0.50600000000000001</v>
          </cell>
          <cell r="L18">
            <v>0</v>
          </cell>
          <cell r="M18">
            <v>0</v>
          </cell>
          <cell r="N18">
            <v>-17.000000000000014</v>
          </cell>
          <cell r="O18"/>
        </row>
        <row r="19">
          <cell r="A19">
            <v>45274</v>
          </cell>
          <cell r="B19">
            <v>7</v>
          </cell>
          <cell r="C19">
            <v>-0.84</v>
          </cell>
          <cell r="D19">
            <v>8.8999999999999996E-2</v>
          </cell>
          <cell r="E19">
            <v>-0.84</v>
          </cell>
          <cell r="F19">
            <v>0.89</v>
          </cell>
          <cell r="G19">
            <v>-0.02</v>
          </cell>
          <cell r="H19">
            <v>0.06</v>
          </cell>
          <cell r="I19">
            <v>-0.84</v>
          </cell>
          <cell r="J19">
            <v>0.39700000000000002</v>
          </cell>
          <cell r="K19">
            <v>-0.51300000000000001</v>
          </cell>
          <cell r="L19">
            <v>0</v>
          </cell>
          <cell r="M19">
            <v>0</v>
          </cell>
          <cell r="N19">
            <v>-24.000000000000021</v>
          </cell>
          <cell r="O19"/>
        </row>
        <row r="20">
          <cell r="A20">
            <v>45275</v>
          </cell>
          <cell r="B20">
            <v>8</v>
          </cell>
          <cell r="C20">
            <v>-0.1</v>
          </cell>
          <cell r="D20">
            <v>0.41300000000000003</v>
          </cell>
          <cell r="E20">
            <v>-0.1</v>
          </cell>
          <cell r="F20">
            <v>0.89</v>
          </cell>
          <cell r="G20">
            <v>-0.02</v>
          </cell>
          <cell r="H20">
            <v>0.06</v>
          </cell>
          <cell r="I20">
            <v>-0.84</v>
          </cell>
          <cell r="J20">
            <v>0.39100000000000001</v>
          </cell>
          <cell r="K20">
            <v>-0.51900000000000002</v>
          </cell>
          <cell r="L20">
            <v>0</v>
          </cell>
          <cell r="M20">
            <v>0</v>
          </cell>
          <cell r="N20">
            <v>-30.000000000000028</v>
          </cell>
          <cell r="O20"/>
        </row>
        <row r="21">
          <cell r="A21">
            <v>45276</v>
          </cell>
          <cell r="B21">
            <v>9</v>
          </cell>
          <cell r="C21">
            <v>-0.109</v>
          </cell>
          <cell r="D21">
            <v>0.41300000000000003</v>
          </cell>
          <cell r="E21">
            <v>-9.9999999999999992E-2</v>
          </cell>
          <cell r="F21">
            <v>0.89</v>
          </cell>
          <cell r="G21">
            <v>-0.02</v>
          </cell>
          <cell r="H21">
            <v>5.0999999999999997E-2</v>
          </cell>
          <cell r="I21">
            <v>-0.84899999999999998</v>
          </cell>
          <cell r="J21">
            <v>0.38400000000000001</v>
          </cell>
          <cell r="K21">
            <v>-0.52600000000000002</v>
          </cell>
          <cell r="L21">
            <v>0</v>
          </cell>
          <cell r="M21">
            <v>-9.0000000000000071</v>
          </cell>
          <cell r="N21">
            <v>-37.000000000000036</v>
          </cell>
          <cell r="O21"/>
        </row>
        <row r="22">
          <cell r="A22">
            <v>45277</v>
          </cell>
          <cell r="B22">
            <v>10</v>
          </cell>
          <cell r="C22">
            <v>0.2</v>
          </cell>
          <cell r="D22">
            <v>0.72</v>
          </cell>
          <cell r="E22">
            <v>0.21700000000000003</v>
          </cell>
          <cell r="F22">
            <v>0.89</v>
          </cell>
          <cell r="G22">
            <v>-0.02</v>
          </cell>
          <cell r="H22">
            <v>4.2999999999999997E-2</v>
          </cell>
          <cell r="I22">
            <v>-0.85699999999999998</v>
          </cell>
          <cell r="J22">
            <v>0.378</v>
          </cell>
          <cell r="K22">
            <v>-0.53200000000000003</v>
          </cell>
          <cell r="L22">
            <v>0</v>
          </cell>
          <cell r="M22">
            <v>-17.000000000000014</v>
          </cell>
          <cell r="N22">
            <v>-43.000000000000036</v>
          </cell>
          <cell r="O22"/>
        </row>
        <row r="23">
          <cell r="A23">
            <v>45278</v>
          </cell>
          <cell r="B23">
            <v>11</v>
          </cell>
          <cell r="C23">
            <v>0.193</v>
          </cell>
          <cell r="D23">
            <v>0.72</v>
          </cell>
          <cell r="E23">
            <v>0.21700000000000003</v>
          </cell>
          <cell r="F23">
            <v>0.88100000000000001</v>
          </cell>
          <cell r="G23">
            <v>-2.9000000000000001E-2</v>
          </cell>
          <cell r="H23">
            <v>3.5999999999999997E-2</v>
          </cell>
          <cell r="I23">
            <v>-0.86399999999999999</v>
          </cell>
          <cell r="J23">
            <v>0.371</v>
          </cell>
          <cell r="K23">
            <v>-0.53900000000000003</v>
          </cell>
          <cell r="L23">
            <v>-9.0000000000000018</v>
          </cell>
          <cell r="M23">
            <v>-24.000000000000021</v>
          </cell>
          <cell r="N23">
            <v>-50.000000000000043</v>
          </cell>
          <cell r="O23"/>
        </row>
        <row r="24">
          <cell r="A24">
            <v>45279</v>
          </cell>
          <cell r="B24">
            <v>12</v>
          </cell>
          <cell r="C24">
            <v>0.5</v>
          </cell>
          <cell r="D24">
            <v>1.0269999999999999</v>
          </cell>
          <cell r="E24">
            <v>0.53</v>
          </cell>
          <cell r="F24">
            <v>0.872</v>
          </cell>
          <cell r="G24">
            <v>-3.7999999999999999E-2</v>
          </cell>
          <cell r="H24">
            <v>0.03</v>
          </cell>
          <cell r="I24">
            <v>-0.87</v>
          </cell>
          <cell r="J24">
            <v>0.36299999999999999</v>
          </cell>
          <cell r="K24">
            <v>-0.54700000000000004</v>
          </cell>
          <cell r="L24">
            <v>-18</v>
          </cell>
          <cell r="M24">
            <v>-30.000000000000028</v>
          </cell>
          <cell r="N24">
            <v>-58.00000000000005</v>
          </cell>
          <cell r="O24"/>
        </row>
        <row r="25">
          <cell r="A25">
            <v>45280</v>
          </cell>
          <cell r="B25">
            <v>13</v>
          </cell>
          <cell r="C25">
            <v>0.49299999999999999</v>
          </cell>
          <cell r="D25">
            <v>1.0269999999999999</v>
          </cell>
          <cell r="E25">
            <v>0.53</v>
          </cell>
          <cell r="F25">
            <v>1.863</v>
          </cell>
          <cell r="G25">
            <v>-4.7E-2</v>
          </cell>
          <cell r="H25">
            <v>1.0229999999999999</v>
          </cell>
          <cell r="I25">
            <v>-0.877</v>
          </cell>
          <cell r="J25">
            <v>1.3560000000000001</v>
          </cell>
          <cell r="K25">
            <v>-0.55400000000000005</v>
          </cell>
          <cell r="L25">
            <v>-27</v>
          </cell>
          <cell r="M25">
            <v>-37.000000000000036</v>
          </cell>
          <cell r="N25">
            <v>-65.000000000000057</v>
          </cell>
          <cell r="O25"/>
        </row>
        <row r="26">
          <cell r="A26">
            <v>45281</v>
          </cell>
          <cell r="B26">
            <v>14</v>
          </cell>
          <cell r="C26">
            <v>0.8</v>
          </cell>
          <cell r="D26">
            <v>1.3339999999999999</v>
          </cell>
          <cell r="E26">
            <v>0.84300000000000008</v>
          </cell>
          <cell r="F26">
            <v>1.855</v>
          </cell>
          <cell r="G26">
            <v>-5.5E-2</v>
          </cell>
          <cell r="H26">
            <v>1.0169999999999999</v>
          </cell>
          <cell r="I26">
            <v>-0.88300000000000001</v>
          </cell>
          <cell r="J26">
            <v>1.3480000000000001</v>
          </cell>
          <cell r="K26">
            <v>-0.56200000000000006</v>
          </cell>
          <cell r="L26">
            <v>-35</v>
          </cell>
          <cell r="M26">
            <v>-43.000000000000036</v>
          </cell>
          <cell r="N26">
            <v>-73.000000000000071</v>
          </cell>
          <cell r="O26"/>
        </row>
        <row r="27">
          <cell r="A27">
            <v>45284</v>
          </cell>
          <cell r="B27">
            <v>15</v>
          </cell>
          <cell r="C27">
            <v>0.79300000000000004</v>
          </cell>
          <cell r="D27">
            <v>1.3339999999999999</v>
          </cell>
          <cell r="E27">
            <v>0.84300000000000008</v>
          </cell>
          <cell r="F27">
            <v>1.8460000000000001</v>
          </cell>
          <cell r="G27">
            <v>-6.4000000000000001E-2</v>
          </cell>
          <cell r="H27">
            <v>1.01</v>
          </cell>
          <cell r="I27">
            <v>-0.89</v>
          </cell>
          <cell r="J27">
            <v>1.34</v>
          </cell>
          <cell r="K27">
            <v>-0.56999999999999995</v>
          </cell>
          <cell r="L27">
            <v>-44</v>
          </cell>
          <cell r="M27">
            <v>-50.000000000000043</v>
          </cell>
          <cell r="N27">
            <v>-80.999999999999957</v>
          </cell>
          <cell r="O27"/>
        </row>
        <row r="28">
          <cell r="A28">
            <v>45288</v>
          </cell>
          <cell r="B28">
            <v>16</v>
          </cell>
          <cell r="C28">
            <v>0.78500000000000003</v>
          </cell>
          <cell r="D28">
            <v>1.3339999999999999</v>
          </cell>
          <cell r="E28">
            <v>0.84300000000000008</v>
          </cell>
          <cell r="F28">
            <v>1.8380000000000001</v>
          </cell>
          <cell r="G28">
            <v>-7.1999999999999995E-2</v>
          </cell>
          <cell r="H28">
            <v>1.002</v>
          </cell>
          <cell r="I28">
            <v>-0.89800000000000002</v>
          </cell>
          <cell r="J28">
            <v>1.333</v>
          </cell>
          <cell r="K28">
            <v>-0.57699999999999996</v>
          </cell>
          <cell r="L28">
            <v>-51.999999999999993</v>
          </cell>
          <cell r="M28">
            <v>-58.00000000000005</v>
          </cell>
          <cell r="N28">
            <v>-87.999999999999972</v>
          </cell>
          <cell r="O28"/>
        </row>
        <row r="29">
          <cell r="A29">
            <v>45295</v>
          </cell>
          <cell r="B29">
            <v>17</v>
          </cell>
          <cell r="C29">
            <v>0.77800000000000002</v>
          </cell>
          <cell r="D29">
            <v>1.3339999999999999</v>
          </cell>
          <cell r="E29">
            <v>0.84300000000000008</v>
          </cell>
          <cell r="F29">
            <v>1.829</v>
          </cell>
          <cell r="G29">
            <v>-8.1000000000000003E-2</v>
          </cell>
          <cell r="H29">
            <v>0.995</v>
          </cell>
          <cell r="I29">
            <v>-0.90500000000000003</v>
          </cell>
          <cell r="J29">
            <v>1.327</v>
          </cell>
          <cell r="K29">
            <v>-0.58299999999999996</v>
          </cell>
          <cell r="L29">
            <v>-61</v>
          </cell>
          <cell r="M29">
            <v>-65.000000000000057</v>
          </cell>
          <cell r="N29">
            <v>-93.999999999999972</v>
          </cell>
          <cell r="O29"/>
        </row>
        <row r="30">
          <cell r="A30">
            <v>45302</v>
          </cell>
          <cell r="B30">
            <v>18</v>
          </cell>
          <cell r="C30">
            <v>0.77</v>
          </cell>
          <cell r="D30">
            <v>1.3339999999999999</v>
          </cell>
          <cell r="E30">
            <v>0.84300000000000008</v>
          </cell>
          <cell r="F30">
            <v>1.821</v>
          </cell>
          <cell r="G30">
            <v>-8.8999999999999996E-2</v>
          </cell>
          <cell r="H30">
            <v>0.98699999999999999</v>
          </cell>
          <cell r="I30">
            <v>-0.91300000000000003</v>
          </cell>
          <cell r="J30">
            <v>1.32</v>
          </cell>
          <cell r="K30">
            <v>-0.59</v>
          </cell>
          <cell r="L30">
            <v>-68.999999999999986</v>
          </cell>
          <cell r="M30">
            <v>-73.000000000000071</v>
          </cell>
          <cell r="N30">
            <v>-100.99999999999997</v>
          </cell>
          <cell r="O30"/>
        </row>
        <row r="31">
          <cell r="A31">
            <v>45309</v>
          </cell>
          <cell r="B31">
            <v>19</v>
          </cell>
          <cell r="C31">
            <v>0.76200000000000001</v>
          </cell>
          <cell r="D31">
            <v>1.3339999999999999</v>
          </cell>
          <cell r="E31">
            <v>0.84300000000000008</v>
          </cell>
          <cell r="F31">
            <v>1.8120000000000001</v>
          </cell>
          <cell r="G31">
            <v>-9.8000000000000004E-2</v>
          </cell>
          <cell r="H31">
            <v>0.97899999999999998</v>
          </cell>
          <cell r="I31">
            <v>-0.92100000000000004</v>
          </cell>
          <cell r="J31">
            <v>1.3120000000000001</v>
          </cell>
          <cell r="K31">
            <v>-0.59799999999999998</v>
          </cell>
          <cell r="L31">
            <v>-78</v>
          </cell>
          <cell r="M31">
            <v>-81.000000000000071</v>
          </cell>
          <cell r="N31">
            <v>-108.99999999999999</v>
          </cell>
          <cell r="O31"/>
        </row>
        <row r="32">
          <cell r="A32">
            <v>45316</v>
          </cell>
          <cell r="B32">
            <v>20</v>
          </cell>
          <cell r="C32">
            <v>0.755</v>
          </cell>
          <cell r="D32">
            <v>1.3339999999999999</v>
          </cell>
          <cell r="E32">
            <v>0.84300000000000008</v>
          </cell>
          <cell r="F32">
            <v>1.804</v>
          </cell>
          <cell r="G32">
            <v>-0.106</v>
          </cell>
          <cell r="H32">
            <v>0.97199999999999998</v>
          </cell>
          <cell r="I32">
            <v>-0.92800000000000005</v>
          </cell>
          <cell r="J32">
            <v>1.3049999999999999</v>
          </cell>
          <cell r="K32">
            <v>-0.60499999999999998</v>
          </cell>
          <cell r="L32">
            <v>-86</v>
          </cell>
          <cell r="M32">
            <v>-88.000000000000085</v>
          </cell>
          <cell r="N32">
            <v>-115.99999999999999</v>
          </cell>
          <cell r="O32"/>
        </row>
        <row r="33">
          <cell r="A33">
            <v>45323</v>
          </cell>
          <cell r="B33">
            <v>21</v>
          </cell>
          <cell r="C33">
            <v>0.749</v>
          </cell>
          <cell r="D33">
            <v>1.3339999999999999</v>
          </cell>
          <cell r="E33">
            <v>0.84300000000000008</v>
          </cell>
          <cell r="F33">
            <v>1.7969999999999999</v>
          </cell>
          <cell r="G33">
            <v>-0.113</v>
          </cell>
          <cell r="H33">
            <v>0.96599999999999997</v>
          </cell>
          <cell r="I33">
            <v>-0.93400000000000005</v>
          </cell>
          <cell r="J33">
            <v>1.2969999999999999</v>
          </cell>
          <cell r="K33">
            <v>-0.61299999999999999</v>
          </cell>
          <cell r="L33">
            <v>-93</v>
          </cell>
          <cell r="M33">
            <v>-94.000000000000085</v>
          </cell>
          <cell r="N33">
            <v>-124</v>
          </cell>
          <cell r="O33"/>
        </row>
        <row r="34">
          <cell r="A34">
            <v>45330</v>
          </cell>
          <cell r="B34">
            <v>22</v>
          </cell>
          <cell r="C34">
            <v>0.74199999999999999</v>
          </cell>
          <cell r="D34">
            <v>1.3339999999999999</v>
          </cell>
          <cell r="E34">
            <v>0.84299999999999997</v>
          </cell>
          <cell r="F34">
            <v>1.7889999999999999</v>
          </cell>
          <cell r="G34">
            <v>-0.121</v>
          </cell>
          <cell r="H34">
            <v>0.95899999999999996</v>
          </cell>
          <cell r="I34">
            <v>-0.94099999999999995</v>
          </cell>
          <cell r="J34">
            <v>1.2889999999999999</v>
          </cell>
          <cell r="K34">
            <v>-0.621</v>
          </cell>
          <cell r="L34">
            <v>-100.99999999999999</v>
          </cell>
          <cell r="M34">
            <v>-100.99999999999997</v>
          </cell>
          <cell r="N34">
            <v>-132</v>
          </cell>
          <cell r="O34"/>
        </row>
        <row r="35">
          <cell r="A35">
            <v>45337</v>
          </cell>
          <cell r="B35">
            <v>23</v>
          </cell>
          <cell r="C35">
            <v>0.73399999999999999</v>
          </cell>
          <cell r="D35">
            <v>1.3339999999999999</v>
          </cell>
          <cell r="E35">
            <v>0.84299999999999997</v>
          </cell>
          <cell r="F35">
            <v>1.7809999999999999</v>
          </cell>
          <cell r="G35">
            <v>-0.129</v>
          </cell>
          <cell r="H35">
            <v>0.95099999999999996</v>
          </cell>
          <cell r="I35">
            <v>-0.94899999999999995</v>
          </cell>
          <cell r="J35">
            <v>1.282</v>
          </cell>
          <cell r="K35">
            <v>-0.628</v>
          </cell>
          <cell r="L35">
            <v>-109</v>
          </cell>
          <cell r="M35">
            <v>-108.99999999999999</v>
          </cell>
          <cell r="N35">
            <v>-139</v>
          </cell>
          <cell r="O35"/>
        </row>
        <row r="36">
          <cell r="A36">
            <v>45344</v>
          </cell>
          <cell r="B36">
            <v>24</v>
          </cell>
          <cell r="C36">
            <v>0.72699999999999998</v>
          </cell>
          <cell r="D36">
            <v>1.3339999999999999</v>
          </cell>
          <cell r="E36">
            <v>0.84299999999999997</v>
          </cell>
          <cell r="F36">
            <v>1.772</v>
          </cell>
          <cell r="G36">
            <v>-0.13800000000000001</v>
          </cell>
          <cell r="H36">
            <v>0.94399999999999995</v>
          </cell>
          <cell r="I36">
            <v>-0.95599999999999996</v>
          </cell>
          <cell r="J36">
            <v>1.274</v>
          </cell>
          <cell r="K36">
            <v>-0.63600000000000001</v>
          </cell>
          <cell r="L36">
            <v>-118.00000000000001</v>
          </cell>
          <cell r="M36">
            <v>-115.99999999999999</v>
          </cell>
          <cell r="N36">
            <v>-147.00000000000003</v>
          </cell>
          <cell r="O36"/>
        </row>
        <row r="37">
          <cell r="A37">
            <v>45351</v>
          </cell>
          <cell r="B37">
            <v>25</v>
          </cell>
          <cell r="C37">
            <v>0.71899999999999997</v>
          </cell>
          <cell r="D37">
            <v>1.3339999999999999</v>
          </cell>
          <cell r="E37">
            <v>0.84299999999999997</v>
          </cell>
          <cell r="F37">
            <v>1.764</v>
          </cell>
          <cell r="G37">
            <v>-0.14599999999999999</v>
          </cell>
          <cell r="H37">
            <v>0.93600000000000005</v>
          </cell>
          <cell r="I37">
            <v>-0.96399999999999997</v>
          </cell>
          <cell r="J37">
            <v>1.2669999999999999</v>
          </cell>
          <cell r="K37">
            <v>-0.64300000000000002</v>
          </cell>
          <cell r="L37">
            <v>-126</v>
          </cell>
          <cell r="M37">
            <v>-124</v>
          </cell>
          <cell r="N37">
            <v>-154.00000000000003</v>
          </cell>
          <cell r="O37"/>
        </row>
        <row r="38">
          <cell r="A38">
            <v>45381</v>
          </cell>
          <cell r="B38">
            <v>26</v>
          </cell>
          <cell r="C38">
            <v>0.69699999999999995</v>
          </cell>
          <cell r="D38">
            <v>1.3339999999999999</v>
          </cell>
          <cell r="E38">
            <v>0.84299999999999997</v>
          </cell>
          <cell r="F38">
            <v>1.744</v>
          </cell>
          <cell r="G38">
            <v>-0.16600000000000001</v>
          </cell>
          <cell r="H38">
            <v>0.91400000000000003</v>
          </cell>
          <cell r="I38">
            <v>-0.98599999999999999</v>
          </cell>
          <cell r="J38">
            <v>1.2350000000000001</v>
          </cell>
          <cell r="K38">
            <v>-0.67500000000000004</v>
          </cell>
          <cell r="L38">
            <v>-146.00000000000003</v>
          </cell>
          <cell r="M38">
            <v>-146.00000000000003</v>
          </cell>
          <cell r="N38">
            <v>-186.00000000000006</v>
          </cell>
          <cell r="O38"/>
        </row>
        <row r="39">
          <cell r="A39">
            <v>45411</v>
          </cell>
          <cell r="B39">
            <v>27</v>
          </cell>
          <cell r="C39">
            <v>0.68</v>
          </cell>
          <cell r="D39">
            <v>1.3339999999999999</v>
          </cell>
          <cell r="E39">
            <v>0.84299999999999997</v>
          </cell>
          <cell r="F39">
            <v>1.7290000000000001</v>
          </cell>
          <cell r="G39">
            <v>-0.18099999999999999</v>
          </cell>
          <cell r="H39">
            <v>0.89700000000000002</v>
          </cell>
          <cell r="I39">
            <v>-1.0029999999999999</v>
          </cell>
          <cell r="J39">
            <v>1.2110000000000001</v>
          </cell>
          <cell r="K39">
            <v>-0.69899999999999995</v>
          </cell>
          <cell r="L39">
            <v>-161</v>
          </cell>
          <cell r="M39">
            <v>-162.99999999999991</v>
          </cell>
          <cell r="N39">
            <v>-209.99999999999997</v>
          </cell>
          <cell r="O39"/>
        </row>
        <row r="40">
          <cell r="A40">
            <v>45418</v>
          </cell>
          <cell r="B40">
            <v>28</v>
          </cell>
          <cell r="C40">
            <v>0.67200000000000004</v>
          </cell>
          <cell r="D40">
            <v>1.3339999999999999</v>
          </cell>
          <cell r="E40">
            <v>0.84299999999999997</v>
          </cell>
          <cell r="F40">
            <v>1.7210000000000001</v>
          </cell>
          <cell r="G40">
            <v>-0.189</v>
          </cell>
          <cell r="H40">
            <v>0.88900000000000001</v>
          </cell>
          <cell r="I40">
            <v>-1.0109999999999999</v>
          </cell>
          <cell r="J40">
            <v>1.2070000000000001</v>
          </cell>
          <cell r="K40">
            <v>-0.70299999999999996</v>
          </cell>
          <cell r="L40">
            <v>-169</v>
          </cell>
          <cell r="M40">
            <v>-170.99999999999994</v>
          </cell>
          <cell r="N40">
            <v>-213.99999999999997</v>
          </cell>
          <cell r="O40"/>
        </row>
        <row r="41">
          <cell r="A41">
            <v>45419</v>
          </cell>
          <cell r="B41">
            <v>29</v>
          </cell>
          <cell r="C41">
            <v>0.66500000000000004</v>
          </cell>
          <cell r="D41">
            <v>1.3339999999999999</v>
          </cell>
          <cell r="E41">
            <v>0.84300000000000008</v>
          </cell>
          <cell r="F41">
            <v>1.7130000000000001</v>
          </cell>
          <cell r="G41">
            <v>-0.19700000000000001</v>
          </cell>
          <cell r="H41">
            <v>0.88200000000000001</v>
          </cell>
          <cell r="I41">
            <v>-1.018</v>
          </cell>
          <cell r="J41">
            <v>1.2010000000000001</v>
          </cell>
          <cell r="K41">
            <v>-0.70899999999999996</v>
          </cell>
          <cell r="L41">
            <v>-177.00000000000003</v>
          </cell>
          <cell r="M41">
            <v>-178.00000000000006</v>
          </cell>
          <cell r="N41">
            <v>-219.99999999999997</v>
          </cell>
          <cell r="O41"/>
        </row>
        <row r="42">
          <cell r="A42">
            <v>45420</v>
          </cell>
          <cell r="B42">
            <v>30</v>
          </cell>
          <cell r="C42">
            <v>0.65800000000000003</v>
          </cell>
          <cell r="D42">
            <v>1.3339999999999999</v>
          </cell>
          <cell r="E42">
            <v>0.84299999999999997</v>
          </cell>
          <cell r="F42">
            <v>1.706</v>
          </cell>
          <cell r="G42">
            <v>-0.20399999999999999</v>
          </cell>
          <cell r="H42">
            <v>0.875</v>
          </cell>
          <cell r="I42">
            <v>-1.0249999999999999</v>
          </cell>
          <cell r="J42">
            <v>1.196</v>
          </cell>
          <cell r="K42">
            <v>-0.71399999999999997</v>
          </cell>
          <cell r="L42">
            <v>-184</v>
          </cell>
          <cell r="M42">
            <v>-184.99999999999994</v>
          </cell>
          <cell r="N42">
            <v>-224.99999999999997</v>
          </cell>
          <cell r="O42"/>
        </row>
        <row r="43">
          <cell r="A43">
            <v>45421</v>
          </cell>
          <cell r="B43">
            <v>31</v>
          </cell>
          <cell r="C43">
            <v>0.65200000000000002</v>
          </cell>
          <cell r="D43">
            <v>1.3339999999999999</v>
          </cell>
          <cell r="E43">
            <v>0.84299999999999997</v>
          </cell>
          <cell r="F43">
            <v>1.698</v>
          </cell>
          <cell r="G43">
            <v>-0.21199999999999999</v>
          </cell>
          <cell r="H43">
            <v>0.86899999999999999</v>
          </cell>
          <cell r="I43">
            <v>-1.0309999999999999</v>
          </cell>
          <cell r="J43">
            <v>1.19</v>
          </cell>
          <cell r="K43">
            <v>-0.72</v>
          </cell>
          <cell r="L43">
            <v>-192</v>
          </cell>
          <cell r="M43">
            <v>-190.99999999999994</v>
          </cell>
          <cell r="N43">
            <v>-230.99999999999997</v>
          </cell>
          <cell r="O43"/>
        </row>
        <row r="44">
          <cell r="A44">
            <v>45422</v>
          </cell>
          <cell r="B44">
            <v>32</v>
          </cell>
          <cell r="C44">
            <v>0.64800000000000002</v>
          </cell>
          <cell r="D44">
            <v>1.3339999999999999</v>
          </cell>
          <cell r="E44">
            <v>0.84299999999999997</v>
          </cell>
          <cell r="F44">
            <v>1.6919999999999999</v>
          </cell>
          <cell r="G44">
            <v>-0.218</v>
          </cell>
          <cell r="H44">
            <v>0.86499999999999999</v>
          </cell>
          <cell r="I44">
            <v>-1.0349999999999999</v>
          </cell>
          <cell r="J44">
            <v>1.1859999999999999</v>
          </cell>
          <cell r="K44">
            <v>-0.72399999999999998</v>
          </cell>
          <cell r="L44">
            <v>-198</v>
          </cell>
          <cell r="M44">
            <v>-194.99999999999994</v>
          </cell>
          <cell r="N44">
            <v>-235</v>
          </cell>
          <cell r="O44"/>
        </row>
        <row r="45">
          <cell r="A45">
            <v>45423</v>
          </cell>
          <cell r="B45">
            <v>33</v>
          </cell>
          <cell r="C45">
            <v>1.1000000000000001</v>
          </cell>
          <cell r="D45">
            <v>1.7959999999999998</v>
          </cell>
          <cell r="E45">
            <v>1.3010000000000002</v>
          </cell>
          <cell r="F45">
            <v>1.6830000000000001</v>
          </cell>
          <cell r="G45">
            <v>-0.22700000000000001</v>
          </cell>
          <cell r="H45">
            <v>0.85899999999999999</v>
          </cell>
          <cell r="I45">
            <v>-1.0409999999999999</v>
          </cell>
          <cell r="J45">
            <v>1.181</v>
          </cell>
          <cell r="K45">
            <v>-0.72899999999999998</v>
          </cell>
          <cell r="L45">
            <v>-207.00000000000003</v>
          </cell>
          <cell r="M45">
            <v>-200.99999999999994</v>
          </cell>
          <cell r="N45">
            <v>-240</v>
          </cell>
          <cell r="O45"/>
        </row>
        <row r="46">
          <cell r="A46">
            <v>45424</v>
          </cell>
          <cell r="B46">
            <v>34</v>
          </cell>
          <cell r="C46">
            <v>1.095</v>
          </cell>
          <cell r="D46">
            <v>1.7959999999999998</v>
          </cell>
          <cell r="E46">
            <v>1.3010000000000002</v>
          </cell>
          <cell r="F46">
            <v>1.675</v>
          </cell>
          <cell r="G46">
            <v>-0.23499999999999999</v>
          </cell>
          <cell r="H46">
            <v>0.85399999999999998</v>
          </cell>
          <cell r="I46">
            <v>-1.046</v>
          </cell>
          <cell r="J46">
            <v>1.1759999999999999</v>
          </cell>
          <cell r="K46">
            <v>-0.73399999999999999</v>
          </cell>
          <cell r="L46">
            <v>-215</v>
          </cell>
          <cell r="M46">
            <v>-206.00000000000009</v>
          </cell>
          <cell r="N46">
            <v>-245</v>
          </cell>
          <cell r="O46"/>
        </row>
        <row r="47">
          <cell r="A47">
            <v>45425</v>
          </cell>
          <cell r="B47">
            <v>35</v>
          </cell>
          <cell r="C47">
            <v>1.089</v>
          </cell>
          <cell r="D47">
            <v>1.7959999999999998</v>
          </cell>
          <cell r="E47">
            <v>1.3010000000000002</v>
          </cell>
          <cell r="F47">
            <v>1.6679999999999999</v>
          </cell>
          <cell r="G47">
            <v>-0.24199999999999999</v>
          </cell>
          <cell r="H47">
            <v>0.84799999999999998</v>
          </cell>
          <cell r="I47">
            <v>-1.052</v>
          </cell>
          <cell r="J47">
            <v>1.171</v>
          </cell>
          <cell r="K47">
            <v>-0.73899999999999999</v>
          </cell>
          <cell r="L47">
            <v>-222</v>
          </cell>
          <cell r="M47">
            <v>-212.00000000000009</v>
          </cell>
          <cell r="N47">
            <v>-250</v>
          </cell>
          <cell r="O47"/>
        </row>
        <row r="48">
          <cell r="A48">
            <v>45426</v>
          </cell>
          <cell r="B48">
            <v>36</v>
          </cell>
          <cell r="C48">
            <v>1.085</v>
          </cell>
          <cell r="D48">
            <v>1.7959999999999998</v>
          </cell>
          <cell r="E48">
            <v>1.3010000000000002</v>
          </cell>
          <cell r="F48">
            <v>1.661</v>
          </cell>
          <cell r="G48">
            <v>-0.249</v>
          </cell>
          <cell r="H48">
            <v>0.84399999999999997</v>
          </cell>
          <cell r="I48">
            <v>-1.056</v>
          </cell>
          <cell r="J48">
            <v>1.167</v>
          </cell>
          <cell r="K48">
            <v>-0.74299999999999999</v>
          </cell>
          <cell r="L48">
            <v>-229</v>
          </cell>
          <cell r="M48">
            <v>-216.00000000000009</v>
          </cell>
          <cell r="N48">
            <v>-254</v>
          </cell>
          <cell r="O48"/>
        </row>
        <row r="49">
          <cell r="A49">
            <v>45427</v>
          </cell>
          <cell r="B49">
            <v>37</v>
          </cell>
          <cell r="C49">
            <v>1.08</v>
          </cell>
          <cell r="D49">
            <v>1.7959999999999998</v>
          </cell>
          <cell r="E49">
            <v>1.3010000000000002</v>
          </cell>
          <cell r="F49">
            <v>1.653</v>
          </cell>
          <cell r="G49">
            <v>-0.25700000000000001</v>
          </cell>
          <cell r="H49">
            <v>0.83899999999999997</v>
          </cell>
          <cell r="I49">
            <v>-1.0609999999999999</v>
          </cell>
          <cell r="J49">
            <v>1.1619999999999999</v>
          </cell>
          <cell r="K49">
            <v>-0.748</v>
          </cell>
          <cell r="L49">
            <v>-237.00000000000003</v>
          </cell>
          <cell r="M49">
            <v>-220.99999999999997</v>
          </cell>
          <cell r="N49">
            <v>-259</v>
          </cell>
          <cell r="O49"/>
        </row>
        <row r="50">
          <cell r="A50">
            <v>45428</v>
          </cell>
          <cell r="B50">
            <v>38</v>
          </cell>
          <cell r="C50">
            <v>1.4</v>
          </cell>
          <cell r="D50">
            <v>2.1149999999999998</v>
          </cell>
          <cell r="E50">
            <v>1.6259999999999999</v>
          </cell>
          <cell r="F50">
            <v>1.645</v>
          </cell>
          <cell r="G50">
            <v>-0.26500000000000001</v>
          </cell>
          <cell r="H50">
            <v>0.83399999999999996</v>
          </cell>
          <cell r="I50">
            <v>-1.0660000000000001</v>
          </cell>
          <cell r="J50">
            <v>1.1559999999999999</v>
          </cell>
          <cell r="K50">
            <v>-0.754</v>
          </cell>
          <cell r="L50">
            <v>-245.00000000000003</v>
          </cell>
          <cell r="M50">
            <v>-226.00000000000009</v>
          </cell>
          <cell r="N50">
            <v>-265</v>
          </cell>
          <cell r="O50"/>
        </row>
        <row r="51">
          <cell r="A51">
            <v>45429</v>
          </cell>
          <cell r="B51">
            <v>39</v>
          </cell>
          <cell r="C51">
            <v>1.395</v>
          </cell>
          <cell r="D51">
            <v>2.1149999999999998</v>
          </cell>
          <cell r="E51">
            <v>1.6259999999999999</v>
          </cell>
          <cell r="F51">
            <v>1.6379999999999999</v>
          </cell>
          <cell r="G51">
            <v>-0.27200000000000002</v>
          </cell>
          <cell r="H51">
            <v>0.82899999999999996</v>
          </cell>
          <cell r="I51">
            <v>-1.071</v>
          </cell>
          <cell r="J51">
            <v>1.151</v>
          </cell>
          <cell r="K51">
            <v>-0.75900000000000001</v>
          </cell>
          <cell r="L51">
            <v>-252</v>
          </cell>
          <cell r="M51">
            <v>-230.99999999999997</v>
          </cell>
          <cell r="N51">
            <v>-270</v>
          </cell>
          <cell r="O51"/>
        </row>
        <row r="52">
          <cell r="A52">
            <v>45430</v>
          </cell>
          <cell r="B52">
            <v>40</v>
          </cell>
          <cell r="C52">
            <v>1.391</v>
          </cell>
          <cell r="D52">
            <v>2.1149999999999998</v>
          </cell>
          <cell r="E52">
            <v>1.6259999999999999</v>
          </cell>
          <cell r="F52">
            <v>2.6309999999999998</v>
          </cell>
          <cell r="G52">
            <v>-0.27900000000000003</v>
          </cell>
          <cell r="H52">
            <v>1.825</v>
          </cell>
          <cell r="I52">
            <v>-1.075</v>
          </cell>
          <cell r="J52">
            <v>2.1469999999999998</v>
          </cell>
          <cell r="K52">
            <v>-0.76300000000000001</v>
          </cell>
          <cell r="L52">
            <v>-259</v>
          </cell>
          <cell r="M52">
            <v>-235</v>
          </cell>
          <cell r="N52">
            <v>-274</v>
          </cell>
          <cell r="O52"/>
        </row>
        <row r="53">
          <cell r="A53">
            <v>45431</v>
          </cell>
          <cell r="B53">
            <v>41</v>
          </cell>
          <cell r="C53">
            <v>1.7</v>
          </cell>
          <cell r="D53">
            <v>2.4239999999999999</v>
          </cell>
          <cell r="E53">
            <v>1.94</v>
          </cell>
          <cell r="F53">
            <v>2.625</v>
          </cell>
          <cell r="G53">
            <v>-0.28499999999999998</v>
          </cell>
          <cell r="H53">
            <v>1.82</v>
          </cell>
          <cell r="I53">
            <v>-1.08</v>
          </cell>
          <cell r="J53">
            <v>2.1429999999999998</v>
          </cell>
          <cell r="K53">
            <v>-0.76700000000000002</v>
          </cell>
          <cell r="L53">
            <v>-264.99999999999994</v>
          </cell>
          <cell r="M53">
            <v>-240.00000000000011</v>
          </cell>
          <cell r="N53">
            <v>-278</v>
          </cell>
          <cell r="O53"/>
        </row>
        <row r="54">
          <cell r="A54">
            <v>45432</v>
          </cell>
          <cell r="B54">
            <v>42</v>
          </cell>
          <cell r="C54">
            <v>1.694</v>
          </cell>
          <cell r="D54">
            <v>2.4239999999999999</v>
          </cell>
          <cell r="E54">
            <v>1.94</v>
          </cell>
          <cell r="F54">
            <v>2.6190000000000002</v>
          </cell>
          <cell r="G54">
            <v>-0.29099999999999998</v>
          </cell>
          <cell r="H54">
            <v>1.8140000000000001</v>
          </cell>
          <cell r="I54">
            <v>-1.0860000000000001</v>
          </cell>
          <cell r="J54">
            <v>2.14</v>
          </cell>
          <cell r="K54">
            <v>-0.77</v>
          </cell>
          <cell r="L54">
            <v>-270.99999999999994</v>
          </cell>
          <cell r="M54">
            <v>-246.00000000000011</v>
          </cell>
          <cell r="N54">
            <v>-281</v>
          </cell>
          <cell r="O54"/>
        </row>
        <row r="55">
          <cell r="A55">
            <v>45433</v>
          </cell>
          <cell r="B55">
            <v>43</v>
          </cell>
          <cell r="C55">
            <v>1.6890000000000001</v>
          </cell>
          <cell r="D55">
            <v>2.4239999999999999</v>
          </cell>
          <cell r="E55">
            <v>1.94</v>
          </cell>
          <cell r="F55">
            <v>2.6120000000000001</v>
          </cell>
          <cell r="G55">
            <v>-0.29799999999999999</v>
          </cell>
          <cell r="H55">
            <v>1.8089999999999999</v>
          </cell>
          <cell r="I55">
            <v>-1.091</v>
          </cell>
          <cell r="J55">
            <v>2.137</v>
          </cell>
          <cell r="K55">
            <v>-0.77300000000000002</v>
          </cell>
          <cell r="L55">
            <v>-277.99999999999994</v>
          </cell>
          <cell r="M55">
            <v>-251</v>
          </cell>
          <cell r="N55">
            <v>-284.00000000000006</v>
          </cell>
          <cell r="O55"/>
        </row>
        <row r="56">
          <cell r="A56">
            <v>45434</v>
          </cell>
          <cell r="B56">
            <v>44</v>
          </cell>
          <cell r="C56">
            <v>1.6850000000000001</v>
          </cell>
          <cell r="D56">
            <v>2.4239999999999999</v>
          </cell>
          <cell r="E56">
            <v>1.94</v>
          </cell>
          <cell r="F56">
            <v>2.6040000000000001</v>
          </cell>
          <cell r="G56">
            <v>-0.30599999999999999</v>
          </cell>
          <cell r="H56">
            <v>1.8049999999999999</v>
          </cell>
          <cell r="I56">
            <v>-1.095</v>
          </cell>
          <cell r="J56">
            <v>2.1349999999999998</v>
          </cell>
          <cell r="K56">
            <v>-0.77500000000000002</v>
          </cell>
          <cell r="L56">
            <v>-286</v>
          </cell>
          <cell r="M56">
            <v>-255</v>
          </cell>
          <cell r="N56">
            <v>-286.00000000000006</v>
          </cell>
          <cell r="O56"/>
        </row>
        <row r="57">
          <cell r="A57">
            <v>45435</v>
          </cell>
          <cell r="B57">
            <v>45</v>
          </cell>
          <cell r="C57">
            <v>1.681</v>
          </cell>
          <cell r="D57">
            <v>2.4239999999999999</v>
          </cell>
          <cell r="E57">
            <v>1.94</v>
          </cell>
          <cell r="F57">
            <v>2.597</v>
          </cell>
          <cell r="G57">
            <v>-0.313</v>
          </cell>
          <cell r="H57">
            <v>1.8009999999999999</v>
          </cell>
          <cell r="I57">
            <v>-1.099</v>
          </cell>
          <cell r="J57">
            <v>2.129</v>
          </cell>
          <cell r="K57">
            <v>-0.78100000000000003</v>
          </cell>
          <cell r="L57">
            <v>-293</v>
          </cell>
          <cell r="M57">
            <v>-259</v>
          </cell>
          <cell r="N57">
            <v>-292.00000000000006</v>
          </cell>
          <cell r="O57"/>
        </row>
        <row r="58">
          <cell r="A58">
            <v>45436</v>
          </cell>
          <cell r="B58">
            <v>46</v>
          </cell>
          <cell r="C58">
            <v>2</v>
          </cell>
          <cell r="D58">
            <v>2.738</v>
          </cell>
          <cell r="E58">
            <v>2.262</v>
          </cell>
          <cell r="F58">
            <v>2.589</v>
          </cell>
          <cell r="G58">
            <v>-0.32100000000000001</v>
          </cell>
          <cell r="H58">
            <v>1.798</v>
          </cell>
          <cell r="I58">
            <v>-1.1020000000000001</v>
          </cell>
          <cell r="J58">
            <v>2.1219999999999999</v>
          </cell>
          <cell r="K58">
            <v>-0.78800000000000003</v>
          </cell>
          <cell r="L58">
            <v>-301</v>
          </cell>
          <cell r="M58">
            <v>-262.00000000000011</v>
          </cell>
          <cell r="N58">
            <v>-299.00000000000006</v>
          </cell>
          <cell r="O58"/>
        </row>
        <row r="59">
          <cell r="A59">
            <v>45439</v>
          </cell>
          <cell r="B59">
            <v>47</v>
          </cell>
          <cell r="C59">
            <v>1.9970000000000001</v>
          </cell>
          <cell r="D59">
            <v>2.738</v>
          </cell>
          <cell r="E59">
            <v>2.262</v>
          </cell>
          <cell r="F59">
            <v>2.5830000000000002</v>
          </cell>
          <cell r="G59">
            <v>-0.32700000000000001</v>
          </cell>
          <cell r="H59">
            <v>1.7949999999999999</v>
          </cell>
          <cell r="I59">
            <v>-1.105</v>
          </cell>
          <cell r="J59">
            <v>2.1160000000000001</v>
          </cell>
          <cell r="K59">
            <v>-0.79400000000000004</v>
          </cell>
          <cell r="L59">
            <v>-307</v>
          </cell>
          <cell r="M59">
            <v>-265</v>
          </cell>
          <cell r="N59">
            <v>-305.00000000000006</v>
          </cell>
          <cell r="O59"/>
        </row>
        <row r="60">
          <cell r="A60">
            <v>45443</v>
          </cell>
          <cell r="B60">
            <v>48</v>
          </cell>
          <cell r="C60">
            <v>1.9950000000000001</v>
          </cell>
          <cell r="D60">
            <v>2.738</v>
          </cell>
          <cell r="E60">
            <v>2.262</v>
          </cell>
          <cell r="F60">
            <v>2.5760000000000001</v>
          </cell>
          <cell r="G60">
            <v>-0.33400000000000002</v>
          </cell>
          <cell r="H60">
            <v>1.7929999999999999</v>
          </cell>
          <cell r="I60">
            <v>-1.107</v>
          </cell>
          <cell r="J60">
            <v>2.11</v>
          </cell>
          <cell r="K60">
            <v>-0.8</v>
          </cell>
          <cell r="L60">
            <v>-314</v>
          </cell>
          <cell r="M60">
            <v>-267</v>
          </cell>
          <cell r="N60">
            <v>-311.00000000000006</v>
          </cell>
          <cell r="O60"/>
        </row>
        <row r="61">
          <cell r="A61">
            <v>45450</v>
          </cell>
          <cell r="B61">
            <v>49</v>
          </cell>
          <cell r="C61">
            <v>1.9890000000000001</v>
          </cell>
          <cell r="D61">
            <v>2.738</v>
          </cell>
          <cell r="E61">
            <v>2.262</v>
          </cell>
          <cell r="F61">
            <v>2.5710000000000002</v>
          </cell>
          <cell r="G61">
            <v>-0.33900000000000002</v>
          </cell>
          <cell r="H61">
            <v>1.7869999999999999</v>
          </cell>
          <cell r="I61">
            <v>-1.113</v>
          </cell>
          <cell r="J61">
            <v>2.105</v>
          </cell>
          <cell r="K61">
            <v>-0.80500000000000005</v>
          </cell>
          <cell r="L61">
            <v>-319</v>
          </cell>
          <cell r="M61">
            <v>-273</v>
          </cell>
          <cell r="N61">
            <v>-316.00000000000006</v>
          </cell>
          <cell r="O61"/>
        </row>
        <row r="62">
          <cell r="A62">
            <v>45457</v>
          </cell>
          <cell r="B62">
            <v>50</v>
          </cell>
          <cell r="C62">
            <v>1.982</v>
          </cell>
          <cell r="D62">
            <v>2.738</v>
          </cell>
          <cell r="E62">
            <v>2.262</v>
          </cell>
          <cell r="F62">
            <v>2.5649999999999999</v>
          </cell>
          <cell r="G62">
            <v>-0.34499999999999997</v>
          </cell>
          <cell r="H62">
            <v>1.78</v>
          </cell>
          <cell r="I62">
            <v>-1.1200000000000001</v>
          </cell>
          <cell r="J62">
            <v>2.1</v>
          </cell>
          <cell r="K62">
            <v>-0.81</v>
          </cell>
          <cell r="L62">
            <v>-324.99999999999994</v>
          </cell>
          <cell r="M62">
            <v>-280.00000000000011</v>
          </cell>
          <cell r="N62">
            <v>-321.00000000000006</v>
          </cell>
          <cell r="O62"/>
        </row>
        <row r="63">
          <cell r="A63">
            <v>45464</v>
          </cell>
          <cell r="B63">
            <v>51</v>
          </cell>
          <cell r="C63">
            <v>1.976</v>
          </cell>
          <cell r="D63">
            <v>2.738</v>
          </cell>
          <cell r="E63">
            <v>2.262</v>
          </cell>
          <cell r="F63">
            <v>2.5579999999999998</v>
          </cell>
          <cell r="G63">
            <v>-0.35199999999999998</v>
          </cell>
          <cell r="H63">
            <v>1.774</v>
          </cell>
          <cell r="I63">
            <v>-1.1259999999999999</v>
          </cell>
          <cell r="J63">
            <v>2.0939999999999999</v>
          </cell>
          <cell r="K63">
            <v>-0.81599999999999995</v>
          </cell>
          <cell r="L63">
            <v>-331.99999999999994</v>
          </cell>
          <cell r="M63">
            <v>-285.99999999999994</v>
          </cell>
          <cell r="N63">
            <v>-326.99999999999994</v>
          </cell>
          <cell r="O63"/>
        </row>
        <row r="64">
          <cell r="A64">
            <v>45471</v>
          </cell>
          <cell r="B64">
            <v>52</v>
          </cell>
          <cell r="C64">
            <v>1.97</v>
          </cell>
          <cell r="D64">
            <v>2.738</v>
          </cell>
          <cell r="E64">
            <v>2.262</v>
          </cell>
          <cell r="F64">
            <v>2.552</v>
          </cell>
          <cell r="G64">
            <v>-0.35799999999999998</v>
          </cell>
          <cell r="H64">
            <v>1.768</v>
          </cell>
          <cell r="I64">
            <v>-1.1319999999999999</v>
          </cell>
          <cell r="J64">
            <v>2.089</v>
          </cell>
          <cell r="K64">
            <v>-0.82099999999999995</v>
          </cell>
          <cell r="L64">
            <v>-337.99999999999994</v>
          </cell>
          <cell r="M64">
            <v>-291.99999999999994</v>
          </cell>
          <cell r="N64">
            <v>-331.99999999999994</v>
          </cell>
          <cell r="O64"/>
        </row>
        <row r="65">
          <cell r="A65">
            <v>45478</v>
          </cell>
          <cell r="B65">
            <v>53</v>
          </cell>
          <cell r="C65">
            <v>1.9650000000000001</v>
          </cell>
          <cell r="D65">
            <v>2.738</v>
          </cell>
          <cell r="E65">
            <v>2.262</v>
          </cell>
          <cell r="F65">
            <v>2.5470000000000002</v>
          </cell>
          <cell r="G65">
            <v>-0.36299999999999999</v>
          </cell>
          <cell r="H65">
            <v>1.7629999999999999</v>
          </cell>
          <cell r="I65">
            <v>-1.137</v>
          </cell>
          <cell r="J65">
            <v>2.085</v>
          </cell>
          <cell r="K65">
            <v>-0.82499999999999996</v>
          </cell>
          <cell r="L65">
            <v>-343</v>
          </cell>
          <cell r="M65">
            <v>-297.00000000000006</v>
          </cell>
          <cell r="N65">
            <v>-335.99999999999994</v>
          </cell>
          <cell r="O65"/>
        </row>
        <row r="66">
          <cell r="A66">
            <v>45485</v>
          </cell>
          <cell r="B66">
            <v>54</v>
          </cell>
          <cell r="C66">
            <v>1.96</v>
          </cell>
          <cell r="D66">
            <v>2.738</v>
          </cell>
          <cell r="E66">
            <v>2.262</v>
          </cell>
          <cell r="F66">
            <v>2.5419999999999998</v>
          </cell>
          <cell r="G66">
            <v>-0.36799999999999999</v>
          </cell>
          <cell r="H66">
            <v>1.758</v>
          </cell>
          <cell r="I66">
            <v>-1.1419999999999999</v>
          </cell>
          <cell r="J66">
            <v>2.0819999999999999</v>
          </cell>
          <cell r="K66">
            <v>-0.82799999999999996</v>
          </cell>
          <cell r="L66">
            <v>-348</v>
          </cell>
          <cell r="M66">
            <v>-301.99999999999994</v>
          </cell>
          <cell r="N66">
            <v>-338.99999999999994</v>
          </cell>
          <cell r="O66"/>
        </row>
        <row r="67">
          <cell r="A67">
            <v>45492</v>
          </cell>
          <cell r="B67">
            <v>55</v>
          </cell>
          <cell r="C67">
            <v>1.954</v>
          </cell>
          <cell r="D67">
            <v>2.738</v>
          </cell>
          <cell r="E67">
            <v>2.262</v>
          </cell>
          <cell r="F67">
            <v>2.5390000000000001</v>
          </cell>
          <cell r="G67">
            <v>-0.371</v>
          </cell>
          <cell r="H67">
            <v>1.752</v>
          </cell>
          <cell r="I67">
            <v>-1.1479999999999999</v>
          </cell>
          <cell r="J67">
            <v>2.08</v>
          </cell>
          <cell r="K67">
            <v>-0.83</v>
          </cell>
          <cell r="L67">
            <v>-351</v>
          </cell>
          <cell r="M67">
            <v>-307.99999999999994</v>
          </cell>
          <cell r="N67">
            <v>-340.99999999999994</v>
          </cell>
          <cell r="O67"/>
        </row>
        <row r="68">
          <cell r="A68">
            <v>45499</v>
          </cell>
          <cell r="B68">
            <v>56</v>
          </cell>
          <cell r="C68">
            <v>1.948</v>
          </cell>
          <cell r="D68">
            <v>2.738</v>
          </cell>
          <cell r="E68">
            <v>2.262</v>
          </cell>
          <cell r="F68">
            <v>2.536</v>
          </cell>
          <cell r="G68">
            <v>-0.374</v>
          </cell>
          <cell r="H68">
            <v>1.746</v>
          </cell>
          <cell r="I68">
            <v>-1.1539999999999999</v>
          </cell>
          <cell r="J68">
            <v>2.077</v>
          </cell>
          <cell r="K68">
            <v>-0.83299999999999996</v>
          </cell>
          <cell r="L68">
            <v>-354</v>
          </cell>
          <cell r="M68">
            <v>-313.99999999999994</v>
          </cell>
          <cell r="N68">
            <v>-344</v>
          </cell>
          <cell r="O68"/>
        </row>
        <row r="69">
          <cell r="A69">
            <v>45506</v>
          </cell>
          <cell r="B69">
            <v>57</v>
          </cell>
          <cell r="C69">
            <v>1.944</v>
          </cell>
          <cell r="D69">
            <v>2.738</v>
          </cell>
          <cell r="E69">
            <v>2.262</v>
          </cell>
          <cell r="F69">
            <v>2.5339999999999998</v>
          </cell>
          <cell r="G69">
            <v>-0.376</v>
          </cell>
          <cell r="H69">
            <v>1.742</v>
          </cell>
          <cell r="I69">
            <v>-1.1579999999999999</v>
          </cell>
          <cell r="J69">
            <v>2.0760000000000001</v>
          </cell>
          <cell r="K69">
            <v>-0.83399999999999996</v>
          </cell>
          <cell r="L69">
            <v>-356</v>
          </cell>
          <cell r="M69">
            <v>-317.99999999999994</v>
          </cell>
          <cell r="N69">
            <v>-345</v>
          </cell>
          <cell r="O69"/>
        </row>
        <row r="70">
          <cell r="A70">
            <v>45513</v>
          </cell>
          <cell r="B70">
            <v>58</v>
          </cell>
          <cell r="C70">
            <v>1.9410000000000001</v>
          </cell>
          <cell r="D70">
            <v>2.738</v>
          </cell>
          <cell r="E70">
            <v>2.262</v>
          </cell>
          <cell r="F70">
            <v>2.5329999999999999</v>
          </cell>
          <cell r="G70">
            <v>-0.377</v>
          </cell>
          <cell r="H70">
            <v>1.7390000000000001</v>
          </cell>
          <cell r="I70">
            <v>-1.161</v>
          </cell>
          <cell r="J70">
            <v>2.0739999999999998</v>
          </cell>
          <cell r="K70">
            <v>-0.83599999999999997</v>
          </cell>
          <cell r="L70">
            <v>-357</v>
          </cell>
          <cell r="M70">
            <v>-321.00000000000006</v>
          </cell>
          <cell r="N70">
            <v>-347</v>
          </cell>
          <cell r="O70"/>
        </row>
        <row r="71">
          <cell r="A71">
            <v>45520</v>
          </cell>
          <cell r="B71">
            <v>59</v>
          </cell>
          <cell r="C71">
            <v>1.9390000000000001</v>
          </cell>
          <cell r="D71">
            <v>2.738</v>
          </cell>
          <cell r="E71">
            <v>2.262</v>
          </cell>
          <cell r="F71">
            <v>2.532</v>
          </cell>
          <cell r="G71">
            <v>-0.378</v>
          </cell>
          <cell r="H71">
            <v>1.7370000000000001</v>
          </cell>
          <cell r="I71">
            <v>-1.163</v>
          </cell>
          <cell r="J71">
            <v>2.073</v>
          </cell>
          <cell r="K71">
            <v>-0.83699999999999997</v>
          </cell>
          <cell r="L71">
            <v>-358</v>
          </cell>
          <cell r="M71">
            <v>-323.00000000000006</v>
          </cell>
          <cell r="N71">
            <v>-348</v>
          </cell>
          <cell r="O71"/>
        </row>
        <row r="72">
          <cell r="A72">
            <v>45527</v>
          </cell>
          <cell r="B72">
            <v>60</v>
          </cell>
          <cell r="C72">
            <v>1.9379999999999999</v>
          </cell>
          <cell r="D72">
            <v>2.738</v>
          </cell>
          <cell r="E72">
            <v>2.262</v>
          </cell>
          <cell r="F72">
            <v>2.532</v>
          </cell>
          <cell r="G72">
            <v>-0.378</v>
          </cell>
          <cell r="H72">
            <v>1.736</v>
          </cell>
          <cell r="I72">
            <v>-1.1639999999999999</v>
          </cell>
          <cell r="J72">
            <v>2.0710000000000002</v>
          </cell>
          <cell r="K72">
            <v>-0.83899999999999997</v>
          </cell>
          <cell r="L72">
            <v>-358</v>
          </cell>
          <cell r="M72">
            <v>-323.99999999999994</v>
          </cell>
          <cell r="N72">
            <v>-350</v>
          </cell>
          <cell r="O72"/>
        </row>
        <row r="73">
          <cell r="A73">
            <v>45534</v>
          </cell>
          <cell r="B73">
            <v>61</v>
          </cell>
          <cell r="C73">
            <v>1.9370000000000001</v>
          </cell>
          <cell r="D73">
            <v>2.738</v>
          </cell>
          <cell r="E73">
            <v>2.262</v>
          </cell>
          <cell r="F73">
            <v>2.5310000000000001</v>
          </cell>
          <cell r="G73">
            <v>-0.379</v>
          </cell>
          <cell r="H73">
            <v>1.7350000000000001</v>
          </cell>
          <cell r="I73">
            <v>-1.165</v>
          </cell>
          <cell r="J73">
            <v>2.0710000000000002</v>
          </cell>
          <cell r="K73">
            <v>-0.83899999999999997</v>
          </cell>
          <cell r="L73">
            <v>-359</v>
          </cell>
          <cell r="M73">
            <v>-325.00000000000006</v>
          </cell>
          <cell r="N73">
            <v>-350</v>
          </cell>
          <cell r="O73"/>
        </row>
        <row r="74">
          <cell r="A74">
            <v>45541</v>
          </cell>
          <cell r="B74">
            <v>62</v>
          </cell>
          <cell r="C74">
            <v>1.9370000000000001</v>
          </cell>
          <cell r="D74">
            <v>2.738</v>
          </cell>
          <cell r="E74">
            <v>2.262</v>
          </cell>
          <cell r="F74">
            <v>2.5299999999999998</v>
          </cell>
          <cell r="G74">
            <v>-0.38</v>
          </cell>
          <cell r="H74">
            <v>1.7350000000000001</v>
          </cell>
          <cell r="I74">
            <v>-1.165</v>
          </cell>
          <cell r="J74">
            <v>2.0699999999999998</v>
          </cell>
          <cell r="K74">
            <v>-0.84</v>
          </cell>
          <cell r="L74">
            <v>-360</v>
          </cell>
          <cell r="M74">
            <v>-325.00000000000006</v>
          </cell>
          <cell r="N74">
            <v>-351</v>
          </cell>
          <cell r="O74"/>
        </row>
        <row r="75">
          <cell r="A75">
            <v>45548</v>
          </cell>
          <cell r="B75">
            <v>63</v>
          </cell>
          <cell r="C75">
            <v>1.9359999999999999</v>
          </cell>
          <cell r="D75">
            <v>2.738</v>
          </cell>
          <cell r="E75">
            <v>2.262</v>
          </cell>
          <cell r="F75">
            <v>2.5299999999999998</v>
          </cell>
          <cell r="G75">
            <v>-0.38</v>
          </cell>
          <cell r="H75">
            <v>1.734</v>
          </cell>
          <cell r="I75">
            <v>-1.1659999999999999</v>
          </cell>
          <cell r="J75">
            <v>2.0699999999999998</v>
          </cell>
          <cell r="K75">
            <v>-0.84</v>
          </cell>
          <cell r="L75">
            <v>-360</v>
          </cell>
          <cell r="M75">
            <v>-325.99999999999994</v>
          </cell>
          <cell r="N75">
            <v>-351</v>
          </cell>
          <cell r="O75"/>
        </row>
        <row r="76">
          <cell r="A76">
            <v>45555</v>
          </cell>
          <cell r="B76">
            <v>64</v>
          </cell>
          <cell r="C76">
            <v>1.9359999999999999</v>
          </cell>
          <cell r="D76">
            <v>2.738</v>
          </cell>
          <cell r="E76">
            <v>2.262</v>
          </cell>
          <cell r="F76">
            <v>2.5289999999999999</v>
          </cell>
          <cell r="G76">
            <v>-0.38100000000000001</v>
          </cell>
          <cell r="H76">
            <v>1.734</v>
          </cell>
          <cell r="I76">
            <v>-1.1659999999999999</v>
          </cell>
          <cell r="J76">
            <v>2.069</v>
          </cell>
          <cell r="K76">
            <v>-0.84099999999999997</v>
          </cell>
          <cell r="L76">
            <v>-361</v>
          </cell>
          <cell r="M76">
            <v>-325.99999999999994</v>
          </cell>
          <cell r="N76">
            <v>-352</v>
          </cell>
          <cell r="O76"/>
        </row>
        <row r="77">
          <cell r="A77">
            <v>45562</v>
          </cell>
          <cell r="B77">
            <v>65</v>
          </cell>
          <cell r="C77">
            <v>1.9359999999999999</v>
          </cell>
          <cell r="D77">
            <v>2.738</v>
          </cell>
          <cell r="E77">
            <v>2.262</v>
          </cell>
          <cell r="F77">
            <v>2.5289999999999999</v>
          </cell>
          <cell r="G77">
            <v>-0.38100000000000001</v>
          </cell>
          <cell r="H77">
            <v>1.734</v>
          </cell>
          <cell r="I77">
            <v>-1.1659999999999999</v>
          </cell>
          <cell r="J77">
            <v>2.069</v>
          </cell>
          <cell r="K77">
            <v>-0.84099999999999997</v>
          </cell>
          <cell r="L77">
            <v>-361</v>
          </cell>
          <cell r="M77">
            <v>-325.99999999999994</v>
          </cell>
          <cell r="N77">
            <v>-352</v>
          </cell>
          <cell r="O77"/>
        </row>
        <row r="78">
          <cell r="A78">
            <v>45569</v>
          </cell>
          <cell r="B78">
            <v>66</v>
          </cell>
          <cell r="C78">
            <v>1.9279999999999999</v>
          </cell>
          <cell r="D78">
            <v>2.738</v>
          </cell>
          <cell r="E78">
            <v>2.262</v>
          </cell>
          <cell r="F78">
            <v>2.5209999999999999</v>
          </cell>
          <cell r="G78">
            <v>-0.38900000000000001</v>
          </cell>
          <cell r="H78">
            <v>1.726</v>
          </cell>
          <cell r="I78">
            <v>-1.1739999999999999</v>
          </cell>
          <cell r="J78">
            <v>2.0609999999999999</v>
          </cell>
          <cell r="K78">
            <v>-0.84899999999999998</v>
          </cell>
          <cell r="L78">
            <v>-369</v>
          </cell>
          <cell r="M78">
            <v>-333.99999999999994</v>
          </cell>
          <cell r="N78">
            <v>-360</v>
          </cell>
          <cell r="O78"/>
        </row>
        <row r="79">
          <cell r="A79">
            <v>45576</v>
          </cell>
          <cell r="B79">
            <v>67</v>
          </cell>
          <cell r="C79">
            <v>1.919</v>
          </cell>
          <cell r="D79">
            <v>2.738</v>
          </cell>
          <cell r="E79">
            <v>2.262</v>
          </cell>
          <cell r="F79">
            <v>2.5139999999999998</v>
          </cell>
          <cell r="G79">
            <v>-0.39600000000000002</v>
          </cell>
          <cell r="H79">
            <v>1.7170000000000001</v>
          </cell>
          <cell r="I79">
            <v>-1.1830000000000001</v>
          </cell>
          <cell r="J79">
            <v>2.0550000000000002</v>
          </cell>
          <cell r="K79">
            <v>-0.85499999999999998</v>
          </cell>
          <cell r="L79">
            <v>-376</v>
          </cell>
          <cell r="M79">
            <v>-343.00000000000006</v>
          </cell>
          <cell r="N79">
            <v>-366</v>
          </cell>
          <cell r="O79"/>
        </row>
        <row r="80">
          <cell r="A80">
            <v>45577</v>
          </cell>
          <cell r="B80">
            <v>68</v>
          </cell>
          <cell r="C80">
            <v>1.9119999999999999</v>
          </cell>
          <cell r="D80">
            <v>2.738</v>
          </cell>
          <cell r="E80">
            <v>2.262</v>
          </cell>
          <cell r="F80">
            <v>2.5089999999999999</v>
          </cell>
          <cell r="G80">
            <v>-0.40100000000000002</v>
          </cell>
          <cell r="H80">
            <v>1.71</v>
          </cell>
          <cell r="I80">
            <v>-1.19</v>
          </cell>
          <cell r="J80">
            <v>2.048</v>
          </cell>
          <cell r="K80">
            <v>-0.86199999999999999</v>
          </cell>
          <cell r="L80">
            <v>-381</v>
          </cell>
          <cell r="M80">
            <v>-350</v>
          </cell>
          <cell r="N80">
            <v>-373</v>
          </cell>
          <cell r="O80"/>
        </row>
        <row r="81">
          <cell r="A81">
            <v>45578</v>
          </cell>
          <cell r="B81">
            <v>69</v>
          </cell>
          <cell r="C81">
            <v>1.9059999999999999</v>
          </cell>
          <cell r="D81">
            <v>2.738</v>
          </cell>
          <cell r="E81">
            <v>2.262</v>
          </cell>
          <cell r="F81">
            <v>2.508</v>
          </cell>
          <cell r="G81">
            <v>-0.40200000000000002</v>
          </cell>
          <cell r="H81">
            <v>1.704</v>
          </cell>
          <cell r="I81">
            <v>-1.196</v>
          </cell>
          <cell r="J81">
            <v>2.0430000000000001</v>
          </cell>
          <cell r="K81">
            <v>-0.86699999999999999</v>
          </cell>
          <cell r="L81">
            <v>-382</v>
          </cell>
          <cell r="M81">
            <v>-356</v>
          </cell>
          <cell r="N81">
            <v>-378</v>
          </cell>
          <cell r="O81"/>
        </row>
        <row r="82">
          <cell r="A82">
            <v>45579</v>
          </cell>
          <cell r="B82">
            <v>70</v>
          </cell>
          <cell r="C82">
            <v>1.901</v>
          </cell>
          <cell r="D82">
            <v>2.738</v>
          </cell>
          <cell r="E82">
            <v>2.262</v>
          </cell>
          <cell r="F82">
            <v>2.508</v>
          </cell>
          <cell r="G82">
            <v>-0.40200000000000002</v>
          </cell>
          <cell r="H82">
            <v>1.6990000000000001</v>
          </cell>
          <cell r="I82">
            <v>-1.2010000000000001</v>
          </cell>
          <cell r="J82">
            <v>2.0390000000000001</v>
          </cell>
          <cell r="K82">
            <v>-0.871</v>
          </cell>
          <cell r="L82">
            <v>-382</v>
          </cell>
          <cell r="M82">
            <v>-361.00000000000011</v>
          </cell>
          <cell r="N82">
            <v>-382</v>
          </cell>
          <cell r="O82"/>
        </row>
        <row r="83">
          <cell r="A83">
            <v>45580</v>
          </cell>
          <cell r="B83">
            <v>71</v>
          </cell>
          <cell r="C83">
            <v>1.899</v>
          </cell>
          <cell r="D83">
            <v>2.738</v>
          </cell>
          <cell r="E83">
            <v>2.262</v>
          </cell>
          <cell r="F83">
            <v>2.5070000000000001</v>
          </cell>
          <cell r="G83">
            <v>-0.40300000000000002</v>
          </cell>
          <cell r="H83">
            <v>1.6970000000000001</v>
          </cell>
          <cell r="I83">
            <v>-1.2030000000000001</v>
          </cell>
          <cell r="J83">
            <v>2.036</v>
          </cell>
          <cell r="K83">
            <v>-0.874</v>
          </cell>
          <cell r="L83">
            <v>-383</v>
          </cell>
          <cell r="M83">
            <v>-363.00000000000011</v>
          </cell>
          <cell r="N83">
            <v>-385</v>
          </cell>
          <cell r="O83"/>
        </row>
        <row r="84">
          <cell r="A84">
            <v>45581</v>
          </cell>
          <cell r="B84">
            <v>72</v>
          </cell>
          <cell r="C84">
            <v>1.8979999999999999</v>
          </cell>
          <cell r="D84">
            <v>2.738</v>
          </cell>
          <cell r="E84">
            <v>2.262</v>
          </cell>
          <cell r="F84">
            <v>2.5049999999999999</v>
          </cell>
          <cell r="G84">
            <v>-0.40500000000000003</v>
          </cell>
          <cell r="H84">
            <v>1.696</v>
          </cell>
          <cell r="I84">
            <v>-1.204</v>
          </cell>
          <cell r="J84">
            <v>2.0339999999999998</v>
          </cell>
          <cell r="K84">
            <v>-0.876</v>
          </cell>
          <cell r="L84">
            <v>-385</v>
          </cell>
          <cell r="M84">
            <v>-364</v>
          </cell>
          <cell r="N84">
            <v>-387</v>
          </cell>
          <cell r="O84"/>
        </row>
        <row r="85">
          <cell r="A85">
            <v>45582</v>
          </cell>
          <cell r="B85">
            <v>73</v>
          </cell>
          <cell r="C85">
            <v>1.8979999999999999</v>
          </cell>
          <cell r="D85">
            <v>2.738</v>
          </cell>
          <cell r="E85">
            <v>2.262</v>
          </cell>
          <cell r="F85">
            <v>2.504</v>
          </cell>
          <cell r="G85">
            <v>-0.40600000000000003</v>
          </cell>
          <cell r="H85">
            <v>1.696</v>
          </cell>
          <cell r="I85">
            <v>-1.204</v>
          </cell>
          <cell r="J85">
            <v>2.0329999999999999</v>
          </cell>
          <cell r="K85">
            <v>-0.877</v>
          </cell>
          <cell r="L85">
            <v>-386</v>
          </cell>
          <cell r="M85">
            <v>-364</v>
          </cell>
          <cell r="N85">
            <v>-388</v>
          </cell>
          <cell r="O85"/>
        </row>
        <row r="86">
          <cell r="A86">
            <v>45583</v>
          </cell>
          <cell r="B86">
            <v>74</v>
          </cell>
          <cell r="C86">
            <v>1.897</v>
          </cell>
          <cell r="D86">
            <v>2.738</v>
          </cell>
          <cell r="E86">
            <v>2.262</v>
          </cell>
          <cell r="F86">
            <v>2.5019999999999998</v>
          </cell>
          <cell r="G86">
            <v>-0.40799999999999997</v>
          </cell>
          <cell r="H86">
            <v>1.6950000000000001</v>
          </cell>
          <cell r="I86">
            <v>-1.2050000000000001</v>
          </cell>
          <cell r="J86">
            <v>2.0310000000000001</v>
          </cell>
          <cell r="K86">
            <v>-0.879</v>
          </cell>
          <cell r="L86">
            <v>-387.99999999999994</v>
          </cell>
          <cell r="M86">
            <v>-365.00000000000011</v>
          </cell>
          <cell r="N86">
            <v>-390</v>
          </cell>
          <cell r="O86"/>
        </row>
        <row r="87">
          <cell r="A87">
            <v>45584</v>
          </cell>
          <cell r="B87">
            <v>75</v>
          </cell>
          <cell r="C87">
            <v>2.2000000000000002</v>
          </cell>
          <cell r="D87">
            <v>3.0289999999999999</v>
          </cell>
          <cell r="E87">
            <v>2.5690000000000004</v>
          </cell>
          <cell r="F87">
            <v>2.496</v>
          </cell>
          <cell r="G87">
            <v>-0.41399999999999998</v>
          </cell>
          <cell r="H87">
            <v>1.6910000000000001</v>
          </cell>
          <cell r="I87">
            <v>-1.2090000000000001</v>
          </cell>
          <cell r="J87">
            <v>2.0259999999999998</v>
          </cell>
          <cell r="K87">
            <v>-0.88400000000000001</v>
          </cell>
          <cell r="L87">
            <v>-393.99999999999994</v>
          </cell>
          <cell r="M87">
            <v>-369.00000000000011</v>
          </cell>
          <cell r="N87">
            <v>-395</v>
          </cell>
          <cell r="O87"/>
        </row>
        <row r="88">
          <cell r="A88">
            <v>45585</v>
          </cell>
          <cell r="B88">
            <v>76</v>
          </cell>
          <cell r="C88">
            <v>2.1949999999999998</v>
          </cell>
          <cell r="D88">
            <v>3.0289999999999999</v>
          </cell>
          <cell r="E88">
            <v>2.569</v>
          </cell>
          <cell r="F88">
            <v>2.4889999999999999</v>
          </cell>
          <cell r="G88">
            <v>-0.42099999999999999</v>
          </cell>
          <cell r="H88">
            <v>1.6859999999999999</v>
          </cell>
          <cell r="I88">
            <v>-1.214</v>
          </cell>
          <cell r="J88">
            <v>2.0219999999999998</v>
          </cell>
          <cell r="K88">
            <v>-0.88800000000000001</v>
          </cell>
          <cell r="L88">
            <v>-400.99999999999994</v>
          </cell>
          <cell r="M88">
            <v>-374</v>
          </cell>
          <cell r="N88">
            <v>-399</v>
          </cell>
          <cell r="O88"/>
        </row>
        <row r="89">
          <cell r="A89">
            <v>45586</v>
          </cell>
          <cell r="B89">
            <v>77</v>
          </cell>
          <cell r="C89">
            <v>2.1920000000000002</v>
          </cell>
          <cell r="D89">
            <v>3.0289999999999999</v>
          </cell>
          <cell r="E89">
            <v>2.5690000000000004</v>
          </cell>
          <cell r="F89">
            <v>2.484</v>
          </cell>
          <cell r="G89">
            <v>-0.42599999999999999</v>
          </cell>
          <cell r="H89">
            <v>1.6830000000000001</v>
          </cell>
          <cell r="I89">
            <v>-1.2170000000000001</v>
          </cell>
          <cell r="J89">
            <v>2.0190000000000001</v>
          </cell>
          <cell r="K89">
            <v>-0.89100000000000001</v>
          </cell>
          <cell r="L89">
            <v>-406</v>
          </cell>
          <cell r="M89">
            <v>-377.00000000000011</v>
          </cell>
          <cell r="N89">
            <v>-402</v>
          </cell>
          <cell r="O89"/>
        </row>
        <row r="90">
          <cell r="A90">
            <v>45587</v>
          </cell>
          <cell r="B90">
            <v>78</v>
          </cell>
          <cell r="C90">
            <v>2.19</v>
          </cell>
          <cell r="D90">
            <v>3.0289999999999999</v>
          </cell>
          <cell r="E90">
            <v>2.569</v>
          </cell>
          <cell r="F90">
            <v>2.48</v>
          </cell>
          <cell r="G90">
            <v>-0.43</v>
          </cell>
          <cell r="H90">
            <v>1.681</v>
          </cell>
          <cell r="I90">
            <v>-1.2190000000000001</v>
          </cell>
          <cell r="J90">
            <v>2.0169999999999999</v>
          </cell>
          <cell r="K90">
            <v>-0.89300000000000002</v>
          </cell>
          <cell r="L90">
            <v>-410</v>
          </cell>
          <cell r="M90">
            <v>-379.00000000000011</v>
          </cell>
          <cell r="N90">
            <v>-404</v>
          </cell>
          <cell r="O90"/>
        </row>
        <row r="91">
          <cell r="A91">
            <v>45588</v>
          </cell>
          <cell r="B91">
            <v>79</v>
          </cell>
          <cell r="C91">
            <v>2.1890000000000001</v>
          </cell>
          <cell r="D91">
            <v>3.0289999999999999</v>
          </cell>
          <cell r="E91">
            <v>2.569</v>
          </cell>
          <cell r="F91">
            <v>2.4750000000000001</v>
          </cell>
          <cell r="G91">
            <v>-0.435</v>
          </cell>
          <cell r="H91">
            <v>1.68</v>
          </cell>
          <cell r="I91">
            <v>-1.22</v>
          </cell>
          <cell r="J91">
            <v>2.0139999999999998</v>
          </cell>
          <cell r="K91">
            <v>-0.89600000000000002</v>
          </cell>
          <cell r="L91">
            <v>-415</v>
          </cell>
          <cell r="M91">
            <v>-380</v>
          </cell>
          <cell r="N91">
            <v>-407</v>
          </cell>
          <cell r="O91"/>
        </row>
        <row r="92">
          <cell r="A92">
            <v>45589</v>
          </cell>
          <cell r="B92">
            <v>80</v>
          </cell>
          <cell r="C92">
            <v>2.1869999999999998</v>
          </cell>
          <cell r="D92">
            <v>3.0289999999999999</v>
          </cell>
          <cell r="E92">
            <v>2.569</v>
          </cell>
          <cell r="F92">
            <v>2.4689999999999999</v>
          </cell>
          <cell r="G92">
            <v>-0.441</v>
          </cell>
          <cell r="H92">
            <v>1.6779999999999999</v>
          </cell>
          <cell r="I92">
            <v>-1.222</v>
          </cell>
          <cell r="J92">
            <v>2.012</v>
          </cell>
          <cell r="K92">
            <v>-0.89800000000000002</v>
          </cell>
          <cell r="L92">
            <v>-421</v>
          </cell>
          <cell r="M92">
            <v>-382</v>
          </cell>
          <cell r="N92">
            <v>-409.00000000000006</v>
          </cell>
          <cell r="O92"/>
        </row>
        <row r="93">
          <cell r="A93">
            <v>45590</v>
          </cell>
          <cell r="B93">
            <v>81</v>
          </cell>
          <cell r="C93">
            <v>2.1840000000000002</v>
          </cell>
          <cell r="D93">
            <v>3.0289999999999999</v>
          </cell>
          <cell r="E93">
            <v>2.5690000000000004</v>
          </cell>
          <cell r="F93">
            <v>2.4649999999999999</v>
          </cell>
          <cell r="G93">
            <v>-0.44500000000000001</v>
          </cell>
          <cell r="H93">
            <v>1.675</v>
          </cell>
          <cell r="I93">
            <v>-1.2250000000000001</v>
          </cell>
          <cell r="J93">
            <v>2.0099999999999998</v>
          </cell>
          <cell r="K93">
            <v>-0.9</v>
          </cell>
          <cell r="L93">
            <v>-425</v>
          </cell>
          <cell r="M93">
            <v>-385.00000000000011</v>
          </cell>
          <cell r="N93">
            <v>-411.00000000000006</v>
          </cell>
          <cell r="O93"/>
        </row>
        <row r="94">
          <cell r="A94">
            <v>45591</v>
          </cell>
          <cell r="B94">
            <v>82</v>
          </cell>
          <cell r="C94">
            <v>2.1800000000000002</v>
          </cell>
          <cell r="D94">
            <v>3.0289999999999999</v>
          </cell>
          <cell r="E94">
            <v>2.5690000000000004</v>
          </cell>
          <cell r="F94">
            <v>2.4620000000000002</v>
          </cell>
          <cell r="G94">
            <v>-0.44800000000000001</v>
          </cell>
          <cell r="H94">
            <v>1.671</v>
          </cell>
          <cell r="I94">
            <v>-1.2290000000000001</v>
          </cell>
          <cell r="J94">
            <v>2.008</v>
          </cell>
          <cell r="K94">
            <v>-0.90200000000000002</v>
          </cell>
          <cell r="L94">
            <v>-428</v>
          </cell>
          <cell r="M94">
            <v>-389.00000000000011</v>
          </cell>
          <cell r="N94">
            <v>-413.00000000000006</v>
          </cell>
          <cell r="O94"/>
        </row>
        <row r="95">
          <cell r="A95">
            <v>45592</v>
          </cell>
          <cell r="B95">
            <v>83</v>
          </cell>
          <cell r="C95">
            <v>2.1779999999999999</v>
          </cell>
          <cell r="D95">
            <v>3.0289999999999999</v>
          </cell>
          <cell r="E95">
            <v>2.569</v>
          </cell>
          <cell r="F95">
            <v>2.46</v>
          </cell>
          <cell r="G95">
            <v>-0.45</v>
          </cell>
          <cell r="H95">
            <v>1.669</v>
          </cell>
          <cell r="I95">
            <v>-1.2310000000000001</v>
          </cell>
          <cell r="J95">
            <v>2.0070000000000001</v>
          </cell>
          <cell r="K95">
            <v>-0.90300000000000002</v>
          </cell>
          <cell r="L95">
            <v>-430</v>
          </cell>
          <cell r="M95">
            <v>-391.00000000000011</v>
          </cell>
          <cell r="N95">
            <v>-414.00000000000006</v>
          </cell>
          <cell r="O95"/>
        </row>
        <row r="96">
          <cell r="A96">
            <v>45593</v>
          </cell>
          <cell r="B96">
            <v>84</v>
          </cell>
          <cell r="C96">
            <v>2.173</v>
          </cell>
          <cell r="D96">
            <v>3.0289999999999999</v>
          </cell>
          <cell r="E96">
            <v>2.569</v>
          </cell>
          <cell r="F96">
            <v>2.4569999999999999</v>
          </cell>
          <cell r="G96">
            <v>-0.45300000000000001</v>
          </cell>
          <cell r="H96">
            <v>1.6639999999999999</v>
          </cell>
          <cell r="I96">
            <v>-1.236</v>
          </cell>
          <cell r="J96">
            <v>2.0049999999999999</v>
          </cell>
          <cell r="K96">
            <v>-0.90500000000000003</v>
          </cell>
          <cell r="L96">
            <v>-433</v>
          </cell>
          <cell r="M96">
            <v>-396</v>
          </cell>
          <cell r="N96">
            <v>-416.00000000000006</v>
          </cell>
          <cell r="O96"/>
        </row>
        <row r="97">
          <cell r="A97">
            <v>45594</v>
          </cell>
          <cell r="B97">
            <v>85</v>
          </cell>
          <cell r="C97">
            <v>2.17</v>
          </cell>
          <cell r="D97">
            <v>3.0289999999999999</v>
          </cell>
          <cell r="E97">
            <v>2.569</v>
          </cell>
          <cell r="F97">
            <v>2.4529999999999998</v>
          </cell>
          <cell r="G97">
            <v>-0.45700000000000002</v>
          </cell>
          <cell r="H97">
            <v>1.661</v>
          </cell>
          <cell r="I97">
            <v>-1.2390000000000001</v>
          </cell>
          <cell r="J97">
            <v>2.0019999999999998</v>
          </cell>
          <cell r="K97">
            <v>-0.90800000000000003</v>
          </cell>
          <cell r="L97">
            <v>-437</v>
          </cell>
          <cell r="M97">
            <v>-399.00000000000011</v>
          </cell>
          <cell r="N97">
            <v>-419.00000000000006</v>
          </cell>
          <cell r="O97"/>
        </row>
        <row r="98">
          <cell r="A98">
            <v>45595</v>
          </cell>
          <cell r="B98">
            <v>86</v>
          </cell>
          <cell r="C98">
            <v>2.4</v>
          </cell>
          <cell r="D98">
            <v>3.2530000000000001</v>
          </cell>
          <cell r="E98">
            <v>2.8010000000000002</v>
          </cell>
          <cell r="F98">
            <v>2.4510000000000001</v>
          </cell>
          <cell r="G98">
            <v>-0.45900000000000002</v>
          </cell>
          <cell r="H98">
            <v>1.659</v>
          </cell>
          <cell r="I98">
            <v>-1.2410000000000001</v>
          </cell>
          <cell r="J98">
            <v>2</v>
          </cell>
          <cell r="K98">
            <v>-0.91</v>
          </cell>
          <cell r="L98">
            <v>-439</v>
          </cell>
          <cell r="M98">
            <v>-401.00000000000011</v>
          </cell>
          <cell r="N98">
            <v>-421.00000000000006</v>
          </cell>
          <cell r="O98"/>
        </row>
        <row r="99">
          <cell r="A99">
            <v>45596</v>
          </cell>
          <cell r="B99">
            <v>87</v>
          </cell>
          <cell r="C99">
            <v>2.3959999999999999</v>
          </cell>
          <cell r="D99">
            <v>3.2530000000000001</v>
          </cell>
          <cell r="E99">
            <v>2.8010000000000002</v>
          </cell>
          <cell r="F99">
            <v>2.448</v>
          </cell>
          <cell r="G99">
            <v>-0.46200000000000002</v>
          </cell>
          <cell r="H99">
            <v>1.655</v>
          </cell>
          <cell r="I99">
            <v>-1.2450000000000001</v>
          </cell>
          <cell r="J99">
            <v>1.9990000000000001</v>
          </cell>
          <cell r="K99">
            <v>-0.91100000000000003</v>
          </cell>
          <cell r="L99">
            <v>-442</v>
          </cell>
          <cell r="M99">
            <v>-405.00000000000011</v>
          </cell>
          <cell r="N99">
            <v>-422.00000000000006</v>
          </cell>
          <cell r="O99"/>
        </row>
        <row r="100">
          <cell r="A100">
            <v>45603</v>
          </cell>
          <cell r="B100">
            <v>88</v>
          </cell>
          <cell r="C100">
            <v>2.39</v>
          </cell>
          <cell r="D100">
            <v>3.2530000000000001</v>
          </cell>
          <cell r="E100">
            <v>2.8010000000000002</v>
          </cell>
          <cell r="F100">
            <v>2.444</v>
          </cell>
          <cell r="G100">
            <v>-0.46600000000000003</v>
          </cell>
          <cell r="H100">
            <v>1.649</v>
          </cell>
          <cell r="I100">
            <v>-1.2509999999999999</v>
          </cell>
          <cell r="J100">
            <v>1.9930000000000001</v>
          </cell>
          <cell r="K100">
            <v>-0.91700000000000004</v>
          </cell>
          <cell r="L100">
            <v>-446</v>
          </cell>
          <cell r="M100">
            <v>-410.99999999999994</v>
          </cell>
          <cell r="N100">
            <v>-428.00000000000006</v>
          </cell>
          <cell r="O100"/>
        </row>
        <row r="101">
          <cell r="A101">
            <v>45610</v>
          </cell>
          <cell r="B101">
            <v>89</v>
          </cell>
          <cell r="C101">
            <v>2.3860000000000001</v>
          </cell>
          <cell r="D101">
            <v>3.2530000000000001</v>
          </cell>
          <cell r="E101">
            <v>2.8010000000000002</v>
          </cell>
          <cell r="F101">
            <v>2.4420000000000002</v>
          </cell>
          <cell r="G101">
            <v>-0.46800000000000003</v>
          </cell>
          <cell r="H101">
            <v>1.645</v>
          </cell>
          <cell r="I101">
            <v>-1.2549999999999999</v>
          </cell>
          <cell r="J101">
            <v>1.988</v>
          </cell>
          <cell r="K101">
            <v>-0.92200000000000004</v>
          </cell>
          <cell r="L101">
            <v>-448</v>
          </cell>
          <cell r="M101">
            <v>-414.99999999999994</v>
          </cell>
          <cell r="N101">
            <v>-433.00000000000006</v>
          </cell>
          <cell r="O101"/>
        </row>
        <row r="102">
          <cell r="A102">
            <v>45617</v>
          </cell>
          <cell r="B102">
            <v>90</v>
          </cell>
          <cell r="C102">
            <v>2.3809999999999998</v>
          </cell>
          <cell r="D102">
            <v>3.2530000000000001</v>
          </cell>
          <cell r="E102">
            <v>2.8009999999999997</v>
          </cell>
          <cell r="F102">
            <v>2.4390000000000001</v>
          </cell>
          <cell r="G102">
            <v>-0.47099999999999997</v>
          </cell>
          <cell r="H102">
            <v>1.64</v>
          </cell>
          <cell r="I102">
            <v>-1.26</v>
          </cell>
          <cell r="J102">
            <v>1.982</v>
          </cell>
          <cell r="K102">
            <v>-0.92800000000000005</v>
          </cell>
          <cell r="L102">
            <v>-450.99999999999994</v>
          </cell>
          <cell r="M102">
            <v>-420.00000000000006</v>
          </cell>
          <cell r="N102">
            <v>-439.00000000000006</v>
          </cell>
          <cell r="O102"/>
        </row>
        <row r="103">
          <cell r="A103">
            <v>45624</v>
          </cell>
          <cell r="B103">
            <v>91</v>
          </cell>
          <cell r="C103">
            <v>2.3759999999999999</v>
          </cell>
          <cell r="D103">
            <v>3.2530000000000001</v>
          </cell>
          <cell r="E103">
            <v>2.8009999999999997</v>
          </cell>
          <cell r="F103">
            <v>2.4300000000000002</v>
          </cell>
          <cell r="G103">
            <v>-0.48</v>
          </cell>
          <cell r="H103">
            <v>1.635</v>
          </cell>
          <cell r="I103">
            <v>-1.2649999999999999</v>
          </cell>
          <cell r="J103">
            <v>1.9750000000000001</v>
          </cell>
          <cell r="K103">
            <v>-0.93500000000000005</v>
          </cell>
          <cell r="L103">
            <v>-459.99999999999994</v>
          </cell>
          <cell r="M103">
            <v>-424.99999999999994</v>
          </cell>
          <cell r="N103">
            <v>-446.00000000000006</v>
          </cell>
          <cell r="O103"/>
        </row>
        <row r="104">
          <cell r="A104">
            <v>45627</v>
          </cell>
          <cell r="B104">
            <v>92</v>
          </cell>
          <cell r="C104">
            <v>2.37</v>
          </cell>
          <cell r="D104">
            <v>3.2530000000000001</v>
          </cell>
          <cell r="E104">
            <v>2.8010000000000002</v>
          </cell>
          <cell r="F104">
            <v>2.4209999999999998</v>
          </cell>
          <cell r="G104">
            <v>-0.48899999999999999</v>
          </cell>
          <cell r="H104">
            <v>1.629</v>
          </cell>
          <cell r="I104">
            <v>-1.2709999999999999</v>
          </cell>
          <cell r="J104">
            <v>1.966</v>
          </cell>
          <cell r="K104">
            <v>-0.94399999999999995</v>
          </cell>
          <cell r="L104">
            <v>-469</v>
          </cell>
          <cell r="M104">
            <v>-430.99999999999994</v>
          </cell>
          <cell r="N104">
            <v>-454.99999999999994</v>
          </cell>
          <cell r="O104"/>
        </row>
        <row r="105">
          <cell r="A105">
            <v>45628</v>
          </cell>
          <cell r="B105">
            <v>93</v>
          </cell>
          <cell r="C105">
            <v>2.3650000000000002</v>
          </cell>
          <cell r="D105">
            <v>3.2530000000000001</v>
          </cell>
          <cell r="E105">
            <v>2.8010000000000002</v>
          </cell>
          <cell r="F105">
            <v>2.4129999999999998</v>
          </cell>
          <cell r="G105">
            <v>-0.497</v>
          </cell>
          <cell r="H105">
            <v>1.6240000000000001</v>
          </cell>
          <cell r="I105">
            <v>-1.276</v>
          </cell>
          <cell r="J105">
            <v>1.958</v>
          </cell>
          <cell r="K105">
            <v>-0.95199999999999996</v>
          </cell>
          <cell r="L105">
            <v>-477</v>
          </cell>
          <cell r="M105">
            <v>-436.00000000000006</v>
          </cell>
          <cell r="N105">
            <v>-462.99999999999994</v>
          </cell>
          <cell r="O105"/>
        </row>
        <row r="106">
          <cell r="A106">
            <v>45629</v>
          </cell>
          <cell r="B106">
            <v>94</v>
          </cell>
          <cell r="C106">
            <v>2.3610000000000002</v>
          </cell>
          <cell r="D106">
            <v>3.2530000000000001</v>
          </cell>
          <cell r="E106">
            <v>2.8010000000000002</v>
          </cell>
          <cell r="F106">
            <v>2.4060000000000001</v>
          </cell>
          <cell r="G106">
            <v>-0.504</v>
          </cell>
          <cell r="H106">
            <v>1.62</v>
          </cell>
          <cell r="I106">
            <v>-1.28</v>
          </cell>
          <cell r="J106">
            <v>1.9510000000000001</v>
          </cell>
          <cell r="K106">
            <v>-0.95899999999999996</v>
          </cell>
          <cell r="L106">
            <v>-484</v>
          </cell>
          <cell r="M106">
            <v>-440.00000000000006</v>
          </cell>
          <cell r="N106">
            <v>-470</v>
          </cell>
          <cell r="O106"/>
        </row>
        <row r="107">
          <cell r="A107">
            <v>45630</v>
          </cell>
          <cell r="B107">
            <v>95</v>
          </cell>
          <cell r="C107">
            <v>2.359</v>
          </cell>
          <cell r="D107">
            <v>3.2530000000000001</v>
          </cell>
          <cell r="E107">
            <v>2.8010000000000002</v>
          </cell>
          <cell r="F107">
            <v>2.4020000000000001</v>
          </cell>
          <cell r="G107">
            <v>-0.50800000000000001</v>
          </cell>
          <cell r="H107">
            <v>1.6180000000000001</v>
          </cell>
          <cell r="I107">
            <v>-1.282</v>
          </cell>
          <cell r="J107">
            <v>1.9470000000000001</v>
          </cell>
          <cell r="K107">
            <v>-0.96299999999999997</v>
          </cell>
          <cell r="L107">
            <v>-488</v>
          </cell>
          <cell r="M107">
            <v>-442.00000000000006</v>
          </cell>
          <cell r="N107">
            <v>-474</v>
          </cell>
          <cell r="O107"/>
        </row>
        <row r="108">
          <cell r="A108">
            <v>45631</v>
          </cell>
          <cell r="B108">
            <v>96</v>
          </cell>
          <cell r="C108">
            <v>2.3559999999999999</v>
          </cell>
          <cell r="D108">
            <v>3.2530000000000001</v>
          </cell>
          <cell r="E108">
            <v>2.8009999999999997</v>
          </cell>
          <cell r="F108">
            <v>2.3969999999999998</v>
          </cell>
          <cell r="G108">
            <v>-0.51300000000000001</v>
          </cell>
          <cell r="H108">
            <v>1.615</v>
          </cell>
          <cell r="I108">
            <v>-1.2849999999999999</v>
          </cell>
          <cell r="J108">
            <v>1.9419999999999999</v>
          </cell>
          <cell r="K108">
            <v>-0.96799999999999997</v>
          </cell>
          <cell r="L108">
            <v>-493</v>
          </cell>
          <cell r="M108">
            <v>-444.99999999999994</v>
          </cell>
          <cell r="N108">
            <v>-479</v>
          </cell>
          <cell r="O108"/>
        </row>
        <row r="109">
          <cell r="A109">
            <v>45632</v>
          </cell>
          <cell r="B109">
            <v>97</v>
          </cell>
          <cell r="C109">
            <v>2.351</v>
          </cell>
          <cell r="D109">
            <v>3.2530000000000001</v>
          </cell>
          <cell r="E109">
            <v>2.8010000000000002</v>
          </cell>
          <cell r="F109">
            <v>2.3929999999999998</v>
          </cell>
          <cell r="G109">
            <v>-0.51700000000000002</v>
          </cell>
          <cell r="H109">
            <v>1.61</v>
          </cell>
          <cell r="I109">
            <v>-1.29</v>
          </cell>
          <cell r="J109">
            <v>1.9379999999999999</v>
          </cell>
          <cell r="K109">
            <v>-0.97199999999999998</v>
          </cell>
          <cell r="L109">
            <v>-497</v>
          </cell>
          <cell r="M109">
            <v>-450.00000000000006</v>
          </cell>
          <cell r="N109">
            <v>-483</v>
          </cell>
          <cell r="O109"/>
        </row>
        <row r="110">
          <cell r="A110">
            <v>45633</v>
          </cell>
          <cell r="B110">
            <v>98</v>
          </cell>
          <cell r="C110">
            <v>2.3450000000000002</v>
          </cell>
          <cell r="D110">
            <v>3.2530000000000001</v>
          </cell>
          <cell r="E110">
            <v>2.8010000000000002</v>
          </cell>
          <cell r="F110">
            <v>2.391</v>
          </cell>
          <cell r="G110">
            <v>-0.51900000000000002</v>
          </cell>
          <cell r="H110">
            <v>1.6040000000000001</v>
          </cell>
          <cell r="I110">
            <v>-1.296</v>
          </cell>
          <cell r="J110">
            <v>1.9359999999999999</v>
          </cell>
          <cell r="K110">
            <v>-0.97399999999999998</v>
          </cell>
          <cell r="L110">
            <v>-499</v>
          </cell>
          <cell r="M110">
            <v>-456.00000000000006</v>
          </cell>
          <cell r="N110">
            <v>-485</v>
          </cell>
          <cell r="O110"/>
        </row>
        <row r="111">
          <cell r="A111">
            <v>45634</v>
          </cell>
          <cell r="B111">
            <v>99</v>
          </cell>
          <cell r="C111">
            <v>2.3380000000000001</v>
          </cell>
          <cell r="D111">
            <v>3.2530000000000001</v>
          </cell>
          <cell r="E111">
            <v>2.8010000000000002</v>
          </cell>
          <cell r="F111">
            <v>2.3879999999999999</v>
          </cell>
          <cell r="G111">
            <v>-0.52200000000000002</v>
          </cell>
          <cell r="H111">
            <v>1.597</v>
          </cell>
          <cell r="I111">
            <v>-1.3029999999999999</v>
          </cell>
          <cell r="J111">
            <v>1.9359999999999999</v>
          </cell>
          <cell r="K111">
            <v>-0.97399999999999998</v>
          </cell>
          <cell r="L111">
            <v>-502</v>
          </cell>
          <cell r="M111">
            <v>-462.99999999999994</v>
          </cell>
          <cell r="N111">
            <v>-485</v>
          </cell>
          <cell r="O111"/>
        </row>
        <row r="112">
          <cell r="A112">
            <v>45635</v>
          </cell>
          <cell r="B112">
            <v>100</v>
          </cell>
          <cell r="C112">
            <v>2.33</v>
          </cell>
          <cell r="D112">
            <v>3.2530000000000001</v>
          </cell>
          <cell r="E112">
            <v>2.8010000000000002</v>
          </cell>
          <cell r="F112">
            <v>2.387</v>
          </cell>
          <cell r="G112">
            <v>-0.52300000000000002</v>
          </cell>
          <cell r="H112">
            <v>1.589</v>
          </cell>
          <cell r="I112">
            <v>-1.3109999999999999</v>
          </cell>
          <cell r="J112">
            <v>1.9350000000000001</v>
          </cell>
          <cell r="K112">
            <v>-0.97499999999999998</v>
          </cell>
          <cell r="L112">
            <v>-503</v>
          </cell>
          <cell r="M112">
            <v>-471</v>
          </cell>
          <cell r="N112">
            <v>-486</v>
          </cell>
          <cell r="O112"/>
        </row>
        <row r="113">
          <cell r="A113">
            <v>45636</v>
          </cell>
          <cell r="B113">
            <v>101</v>
          </cell>
          <cell r="C113">
            <v>2.3250000000000002</v>
          </cell>
          <cell r="D113">
            <v>3.2530000000000001</v>
          </cell>
          <cell r="E113">
            <v>2.8010000000000002</v>
          </cell>
          <cell r="F113">
            <v>2.3849999999999998</v>
          </cell>
          <cell r="G113">
            <v>-0.52500000000000002</v>
          </cell>
          <cell r="H113">
            <v>1.5840000000000001</v>
          </cell>
          <cell r="I113">
            <v>-1.3160000000000001</v>
          </cell>
          <cell r="J113">
            <v>1.9330000000000001</v>
          </cell>
          <cell r="K113">
            <v>-0.97699999999999998</v>
          </cell>
          <cell r="L113">
            <v>-505</v>
          </cell>
          <cell r="M113">
            <v>-476.00000000000011</v>
          </cell>
          <cell r="N113">
            <v>-488</v>
          </cell>
          <cell r="O113"/>
        </row>
        <row r="114">
          <cell r="A114">
            <v>45637</v>
          </cell>
          <cell r="B114">
            <v>102</v>
          </cell>
          <cell r="C114">
            <v>2.319</v>
          </cell>
          <cell r="D114">
            <v>3.2530000000000001</v>
          </cell>
          <cell r="E114">
            <v>2.8010000000000002</v>
          </cell>
          <cell r="F114">
            <v>2.3820000000000001</v>
          </cell>
          <cell r="G114">
            <v>-0.52800000000000002</v>
          </cell>
          <cell r="H114">
            <v>1.5780000000000001</v>
          </cell>
          <cell r="I114">
            <v>-1.3220000000000001</v>
          </cell>
          <cell r="J114">
            <v>1.9319999999999999</v>
          </cell>
          <cell r="K114">
            <v>-0.97799999999999998</v>
          </cell>
          <cell r="L114">
            <v>-508</v>
          </cell>
          <cell r="M114">
            <v>-482.00000000000011</v>
          </cell>
          <cell r="N114">
            <v>-489</v>
          </cell>
          <cell r="O114"/>
        </row>
        <row r="115">
          <cell r="A115">
            <v>45638</v>
          </cell>
          <cell r="B115">
            <v>103</v>
          </cell>
          <cell r="C115">
            <v>2.3149999999999999</v>
          </cell>
          <cell r="D115">
            <v>3.2530000000000001</v>
          </cell>
          <cell r="E115">
            <v>2.8010000000000002</v>
          </cell>
          <cell r="F115">
            <v>2.38</v>
          </cell>
          <cell r="G115">
            <v>-0.53</v>
          </cell>
          <cell r="H115">
            <v>1.5740000000000001</v>
          </cell>
          <cell r="I115">
            <v>-1.3260000000000001</v>
          </cell>
          <cell r="J115">
            <v>1.9319999999999999</v>
          </cell>
          <cell r="K115">
            <v>-0.97799999999999998</v>
          </cell>
          <cell r="L115">
            <v>-510</v>
          </cell>
          <cell r="M115">
            <v>-486.00000000000011</v>
          </cell>
          <cell r="N115">
            <v>-489</v>
          </cell>
          <cell r="O115"/>
        </row>
        <row r="116">
          <cell r="A116">
            <v>45639</v>
          </cell>
          <cell r="B116">
            <v>104</v>
          </cell>
          <cell r="C116">
            <v>2.3069999999999999</v>
          </cell>
          <cell r="D116">
            <v>3.2530000000000001</v>
          </cell>
          <cell r="E116">
            <v>2.8010000000000002</v>
          </cell>
          <cell r="F116">
            <v>2.379</v>
          </cell>
          <cell r="G116">
            <v>-0.53100000000000003</v>
          </cell>
          <cell r="H116">
            <v>1.5660000000000001</v>
          </cell>
          <cell r="I116">
            <v>-1.3340000000000001</v>
          </cell>
          <cell r="J116">
            <v>1.931</v>
          </cell>
          <cell r="K116">
            <v>-0.97899999999999998</v>
          </cell>
          <cell r="L116">
            <v>-511</v>
          </cell>
          <cell r="M116">
            <v>-494.00000000000011</v>
          </cell>
          <cell r="N116">
            <v>-490</v>
          </cell>
          <cell r="O116"/>
        </row>
        <row r="117">
          <cell r="A117">
            <v>45640</v>
          </cell>
          <cell r="B117">
            <v>105</v>
          </cell>
          <cell r="C117">
            <v>2.3010000000000002</v>
          </cell>
          <cell r="D117">
            <v>3.2530000000000001</v>
          </cell>
          <cell r="E117">
            <v>2.8010000000000002</v>
          </cell>
          <cell r="F117">
            <v>2.3759999999999999</v>
          </cell>
          <cell r="G117">
            <v>-0.53400000000000003</v>
          </cell>
          <cell r="H117">
            <v>1.56</v>
          </cell>
          <cell r="I117">
            <v>-1.34</v>
          </cell>
          <cell r="J117">
            <v>1.93</v>
          </cell>
          <cell r="K117">
            <v>-0.98</v>
          </cell>
          <cell r="L117">
            <v>-514</v>
          </cell>
          <cell r="M117">
            <v>-500.00000000000011</v>
          </cell>
          <cell r="N117">
            <v>-491</v>
          </cell>
          <cell r="O117"/>
        </row>
        <row r="118">
          <cell r="A118">
            <v>45641</v>
          </cell>
          <cell r="B118">
            <v>106</v>
          </cell>
          <cell r="C118">
            <v>2.2959999999999998</v>
          </cell>
          <cell r="D118">
            <v>3.2530000000000001</v>
          </cell>
          <cell r="E118">
            <v>2.8009999999999997</v>
          </cell>
          <cell r="F118">
            <v>2.3719999999999999</v>
          </cell>
          <cell r="G118">
            <v>-0.53800000000000003</v>
          </cell>
          <cell r="H118">
            <v>1.5549999999999999</v>
          </cell>
          <cell r="I118">
            <v>-1.345</v>
          </cell>
          <cell r="J118">
            <v>1.93</v>
          </cell>
          <cell r="K118">
            <v>-0.98</v>
          </cell>
          <cell r="L118">
            <v>-518</v>
          </cell>
          <cell r="M118">
            <v>-505</v>
          </cell>
          <cell r="N118">
            <v>-491</v>
          </cell>
          <cell r="O118"/>
        </row>
        <row r="119">
          <cell r="A119">
            <v>45642</v>
          </cell>
          <cell r="B119">
            <v>107</v>
          </cell>
          <cell r="C119">
            <v>2.2919999999999998</v>
          </cell>
          <cell r="D119">
            <v>3.2530000000000001</v>
          </cell>
          <cell r="E119">
            <v>2.8009999999999997</v>
          </cell>
          <cell r="F119">
            <v>2.37</v>
          </cell>
          <cell r="G119">
            <v>-0.54</v>
          </cell>
          <cell r="H119">
            <v>1.5509999999999999</v>
          </cell>
          <cell r="I119">
            <v>-1.349</v>
          </cell>
          <cell r="J119">
            <v>1.9279999999999999</v>
          </cell>
          <cell r="K119">
            <v>-0.98199999999999998</v>
          </cell>
          <cell r="L119">
            <v>-520</v>
          </cell>
          <cell r="M119">
            <v>-509</v>
          </cell>
          <cell r="N119">
            <v>-493</v>
          </cell>
          <cell r="O119"/>
        </row>
        <row r="120">
          <cell r="A120">
            <v>45643</v>
          </cell>
          <cell r="B120">
            <v>108</v>
          </cell>
          <cell r="C120">
            <v>2.29</v>
          </cell>
          <cell r="D120">
            <v>3.2530000000000001</v>
          </cell>
          <cell r="E120">
            <v>2.8010000000000002</v>
          </cell>
          <cell r="F120">
            <v>2.3690000000000002</v>
          </cell>
          <cell r="G120">
            <v>-0.54100000000000004</v>
          </cell>
          <cell r="H120">
            <v>1.5489999999999999</v>
          </cell>
          <cell r="I120">
            <v>-1.351</v>
          </cell>
          <cell r="J120">
            <v>1.927</v>
          </cell>
          <cell r="K120">
            <v>-0.98299999999999998</v>
          </cell>
          <cell r="L120">
            <v>-521</v>
          </cell>
          <cell r="M120">
            <v>-511</v>
          </cell>
          <cell r="N120">
            <v>-494</v>
          </cell>
          <cell r="O120"/>
        </row>
        <row r="121">
          <cell r="A121">
            <v>45644</v>
          </cell>
          <cell r="B121">
            <v>109</v>
          </cell>
          <cell r="C121">
            <v>2.2869999999999999</v>
          </cell>
          <cell r="D121">
            <v>3.2530000000000001</v>
          </cell>
          <cell r="E121">
            <v>2.8010000000000002</v>
          </cell>
          <cell r="F121">
            <v>2.3660000000000001</v>
          </cell>
          <cell r="G121">
            <v>-0.54400000000000004</v>
          </cell>
          <cell r="H121">
            <v>1.546</v>
          </cell>
          <cell r="I121">
            <v>-1.3540000000000001</v>
          </cell>
          <cell r="J121">
            <v>1.9239999999999999</v>
          </cell>
          <cell r="K121">
            <v>-0.98599999999999999</v>
          </cell>
          <cell r="L121">
            <v>-524</v>
          </cell>
          <cell r="M121">
            <v>-514.00000000000011</v>
          </cell>
          <cell r="N121">
            <v>-497</v>
          </cell>
          <cell r="O121"/>
        </row>
        <row r="122">
          <cell r="A122">
            <v>45645</v>
          </cell>
          <cell r="B122">
            <v>110</v>
          </cell>
          <cell r="C122">
            <v>2.76</v>
          </cell>
          <cell r="D122">
            <v>3.6890000000000001</v>
          </cell>
          <cell r="E122">
            <v>3.2839999999999998</v>
          </cell>
          <cell r="F122">
            <v>2.3559999999999999</v>
          </cell>
          <cell r="G122">
            <v>-0.55400000000000005</v>
          </cell>
          <cell r="H122">
            <v>1.536</v>
          </cell>
          <cell r="I122">
            <v>-1.3640000000000001</v>
          </cell>
          <cell r="J122">
            <v>1.9139999999999999</v>
          </cell>
          <cell r="K122">
            <v>-0.996</v>
          </cell>
          <cell r="L122">
            <v>-534</v>
          </cell>
          <cell r="M122">
            <v>-524.00000000000011</v>
          </cell>
          <cell r="N122">
            <v>-507</v>
          </cell>
          <cell r="O122"/>
        </row>
        <row r="123">
          <cell r="A123">
            <v>45646</v>
          </cell>
          <cell r="B123">
            <v>111</v>
          </cell>
          <cell r="C123">
            <v>2.75</v>
          </cell>
          <cell r="D123">
            <v>3.6890000000000001</v>
          </cell>
          <cell r="E123">
            <v>3.2840000000000003</v>
          </cell>
          <cell r="F123">
            <v>2.347</v>
          </cell>
          <cell r="G123">
            <v>-0.56299999999999994</v>
          </cell>
          <cell r="H123">
            <v>1.526</v>
          </cell>
          <cell r="I123">
            <v>-1.3740000000000001</v>
          </cell>
          <cell r="J123">
            <v>1.9039999999999999</v>
          </cell>
          <cell r="K123">
            <v>-1.006</v>
          </cell>
          <cell r="L123">
            <v>-542.99999999999989</v>
          </cell>
          <cell r="M123">
            <v>-534.00000000000011</v>
          </cell>
          <cell r="N123">
            <v>-517</v>
          </cell>
          <cell r="O123"/>
        </row>
        <row r="124">
          <cell r="A124">
            <v>45647</v>
          </cell>
          <cell r="B124">
            <v>112</v>
          </cell>
          <cell r="C124">
            <v>2.74</v>
          </cell>
          <cell r="D124">
            <v>3.6890000000000001</v>
          </cell>
          <cell r="E124">
            <v>3.2840000000000003</v>
          </cell>
          <cell r="F124">
            <v>2.3370000000000002</v>
          </cell>
          <cell r="G124">
            <v>-0.57299999999999995</v>
          </cell>
          <cell r="H124">
            <v>1.516</v>
          </cell>
          <cell r="I124">
            <v>-1.3839999999999999</v>
          </cell>
          <cell r="J124">
            <v>1.895</v>
          </cell>
          <cell r="K124">
            <v>-1.0149999999999999</v>
          </cell>
          <cell r="L124">
            <v>-552.99999999999989</v>
          </cell>
          <cell r="M124">
            <v>-543.99999999999989</v>
          </cell>
          <cell r="N124">
            <v>-525.99999999999989</v>
          </cell>
          <cell r="O124"/>
        </row>
        <row r="125">
          <cell r="A125">
            <v>45648</v>
          </cell>
          <cell r="B125">
            <v>113</v>
          </cell>
          <cell r="C125">
            <v>2.7309999999999999</v>
          </cell>
          <cell r="D125">
            <v>3.6890000000000001</v>
          </cell>
          <cell r="E125">
            <v>3.2839999999999998</v>
          </cell>
          <cell r="F125">
            <v>3.327</v>
          </cell>
          <cell r="G125">
            <v>-0.58299999999999996</v>
          </cell>
          <cell r="H125">
            <v>2.5070000000000001</v>
          </cell>
          <cell r="I125">
            <v>-1.393</v>
          </cell>
          <cell r="J125">
            <v>2.8849999999999998</v>
          </cell>
          <cell r="K125">
            <v>-1.0249999999999999</v>
          </cell>
          <cell r="L125">
            <v>-563</v>
          </cell>
          <cell r="M125">
            <v>-553</v>
          </cell>
          <cell r="N125">
            <v>-535.99999999999989</v>
          </cell>
          <cell r="O125"/>
        </row>
        <row r="126">
          <cell r="A126">
            <v>45649</v>
          </cell>
          <cell r="B126">
            <v>114</v>
          </cell>
          <cell r="C126">
            <v>2.96</v>
          </cell>
          <cell r="D126">
            <v>3.9180000000000001</v>
          </cell>
          <cell r="E126">
            <v>3.5229999999999997</v>
          </cell>
          <cell r="F126">
            <v>3.3180000000000001</v>
          </cell>
          <cell r="G126">
            <v>-0.59199999999999997</v>
          </cell>
          <cell r="H126">
            <v>2.4969999999999999</v>
          </cell>
          <cell r="I126">
            <v>-1.403</v>
          </cell>
          <cell r="J126">
            <v>2.8769999999999998</v>
          </cell>
          <cell r="K126">
            <v>-1.0329999999999999</v>
          </cell>
          <cell r="L126">
            <v>-572</v>
          </cell>
          <cell r="M126">
            <v>-563</v>
          </cell>
          <cell r="N126">
            <v>-543.99999999999989</v>
          </cell>
          <cell r="O126"/>
        </row>
        <row r="127">
          <cell r="A127">
            <v>45650</v>
          </cell>
          <cell r="B127">
            <v>115</v>
          </cell>
          <cell r="C127">
            <v>2.95</v>
          </cell>
          <cell r="D127">
            <v>3.9180000000000001</v>
          </cell>
          <cell r="E127">
            <v>3.5230000000000001</v>
          </cell>
          <cell r="F127">
            <v>3.3079999999999998</v>
          </cell>
          <cell r="G127">
            <v>-0.60199999999999998</v>
          </cell>
          <cell r="H127">
            <v>2.4870000000000001</v>
          </cell>
          <cell r="I127">
            <v>-1.413</v>
          </cell>
          <cell r="J127">
            <v>2.867</v>
          </cell>
          <cell r="K127">
            <v>-1.0429999999999999</v>
          </cell>
          <cell r="L127">
            <v>-582</v>
          </cell>
          <cell r="M127">
            <v>-573.00000000000011</v>
          </cell>
          <cell r="N127">
            <v>-553.99999999999989</v>
          </cell>
          <cell r="O127"/>
        </row>
        <row r="128">
          <cell r="A128">
            <v>45651</v>
          </cell>
          <cell r="B128">
            <v>116</v>
          </cell>
          <cell r="C128">
            <v>2.9409999999999998</v>
          </cell>
          <cell r="D128">
            <v>3.9180000000000001</v>
          </cell>
          <cell r="E128">
            <v>3.5229999999999997</v>
          </cell>
          <cell r="F128">
            <v>3.298</v>
          </cell>
          <cell r="G128">
            <v>-0.61199999999999999</v>
          </cell>
          <cell r="H128">
            <v>2.4780000000000002</v>
          </cell>
          <cell r="I128">
            <v>-1.4219999999999999</v>
          </cell>
          <cell r="J128">
            <v>2.86</v>
          </cell>
          <cell r="K128">
            <v>-1.05</v>
          </cell>
          <cell r="L128">
            <v>-592</v>
          </cell>
          <cell r="M128">
            <v>-582</v>
          </cell>
          <cell r="N128">
            <v>-561</v>
          </cell>
          <cell r="O128"/>
        </row>
        <row r="129">
          <cell r="A129">
            <v>45652</v>
          </cell>
          <cell r="B129">
            <v>117</v>
          </cell>
          <cell r="C129">
            <v>3.75</v>
          </cell>
          <cell r="D129">
            <v>4.7250000000000005</v>
          </cell>
          <cell r="E129">
            <v>4.3419999999999996</v>
          </cell>
          <cell r="F129">
            <v>3.29</v>
          </cell>
          <cell r="G129">
            <v>-0.62</v>
          </cell>
          <cell r="H129">
            <v>2.468</v>
          </cell>
          <cell r="I129">
            <v>-1.4319999999999999</v>
          </cell>
          <cell r="J129">
            <v>2.85</v>
          </cell>
          <cell r="K129">
            <v>-1.06</v>
          </cell>
          <cell r="L129">
            <v>-600</v>
          </cell>
          <cell r="M129">
            <v>-592</v>
          </cell>
          <cell r="N129">
            <v>-571.00000000000011</v>
          </cell>
          <cell r="O129"/>
        </row>
        <row r="130">
          <cell r="A130">
            <v>45653</v>
          </cell>
          <cell r="B130">
            <v>118</v>
          </cell>
          <cell r="C130">
            <v>3.74</v>
          </cell>
          <cell r="D130">
            <v>4.7250000000000005</v>
          </cell>
          <cell r="E130">
            <v>4.3420000000000005</v>
          </cell>
          <cell r="F130">
            <v>3.28</v>
          </cell>
          <cell r="G130">
            <v>-0.63</v>
          </cell>
          <cell r="H130">
            <v>2.4580000000000002</v>
          </cell>
          <cell r="I130">
            <v>-1.4419999999999999</v>
          </cell>
          <cell r="J130">
            <v>2.8410000000000002</v>
          </cell>
          <cell r="K130">
            <v>-1.069</v>
          </cell>
          <cell r="L130">
            <v>-610</v>
          </cell>
          <cell r="M130">
            <v>-602</v>
          </cell>
          <cell r="N130">
            <v>-580</v>
          </cell>
          <cell r="O130"/>
        </row>
        <row r="131">
          <cell r="A131">
            <v>45654</v>
          </cell>
          <cell r="B131">
            <v>119</v>
          </cell>
          <cell r="C131">
            <v>3.73</v>
          </cell>
          <cell r="D131">
            <v>4.7250000000000005</v>
          </cell>
          <cell r="E131">
            <v>4.3419999999999996</v>
          </cell>
          <cell r="F131">
            <v>4.2709999999999999</v>
          </cell>
          <cell r="G131">
            <v>-0.63900000000000001</v>
          </cell>
          <cell r="H131">
            <v>3.448</v>
          </cell>
          <cell r="I131">
            <v>-1.452</v>
          </cell>
          <cell r="J131">
            <v>3.831</v>
          </cell>
          <cell r="K131">
            <v>-1.079</v>
          </cell>
          <cell r="L131">
            <v>-619</v>
          </cell>
          <cell r="M131">
            <v>-612</v>
          </cell>
          <cell r="N131">
            <v>-590</v>
          </cell>
          <cell r="O131"/>
        </row>
        <row r="132">
          <cell r="A132">
            <v>45655</v>
          </cell>
          <cell r="B132">
            <v>120</v>
          </cell>
          <cell r="C132">
            <v>3.95</v>
          </cell>
          <cell r="D132">
            <v>4.9440000000000008</v>
          </cell>
          <cell r="E132">
            <v>4.5710000000000006</v>
          </cell>
          <cell r="F132">
            <v>4.2610000000000001</v>
          </cell>
          <cell r="G132">
            <v>-0.64900000000000002</v>
          </cell>
          <cell r="H132">
            <v>3.4390000000000001</v>
          </cell>
          <cell r="I132">
            <v>-1.4610000000000001</v>
          </cell>
          <cell r="J132">
            <v>3.823</v>
          </cell>
          <cell r="K132">
            <v>-1.087</v>
          </cell>
          <cell r="L132">
            <v>-629</v>
          </cell>
          <cell r="M132">
            <v>-621.00000000000011</v>
          </cell>
          <cell r="N132">
            <v>-598</v>
          </cell>
          <cell r="O132"/>
        </row>
        <row r="133">
          <cell r="A133">
            <v>45656</v>
          </cell>
          <cell r="B133">
            <v>121</v>
          </cell>
          <cell r="C133">
            <v>3.94</v>
          </cell>
          <cell r="D133">
            <v>4.9440000000000008</v>
          </cell>
          <cell r="E133">
            <v>4.5709999999999997</v>
          </cell>
          <cell r="F133">
            <v>4.2510000000000003</v>
          </cell>
          <cell r="G133">
            <v>-0.65900000000000003</v>
          </cell>
          <cell r="H133">
            <v>3.4289999999999998</v>
          </cell>
          <cell r="I133">
            <v>-1.4710000000000001</v>
          </cell>
          <cell r="J133">
            <v>3.8130000000000002</v>
          </cell>
          <cell r="K133">
            <v>-1.097</v>
          </cell>
          <cell r="L133">
            <v>-639</v>
          </cell>
          <cell r="M133">
            <v>-631.00000000000011</v>
          </cell>
          <cell r="N133">
            <v>-608</v>
          </cell>
          <cell r="O133"/>
        </row>
        <row r="134">
          <cell r="A134">
            <v>45657</v>
          </cell>
          <cell r="B134">
            <v>122</v>
          </cell>
          <cell r="C134">
            <v>3.93</v>
          </cell>
          <cell r="D134">
            <v>4.9440000000000008</v>
          </cell>
          <cell r="E134">
            <v>4.5710000000000006</v>
          </cell>
          <cell r="F134">
            <v>4.242</v>
          </cell>
          <cell r="G134">
            <v>-0.66800000000000004</v>
          </cell>
          <cell r="H134">
            <v>3.419</v>
          </cell>
          <cell r="I134">
            <v>-1.4810000000000001</v>
          </cell>
          <cell r="J134">
            <v>3.8050000000000002</v>
          </cell>
          <cell r="K134">
            <v>-1.105</v>
          </cell>
          <cell r="L134">
            <v>-648</v>
          </cell>
          <cell r="M134">
            <v>-641.00000000000011</v>
          </cell>
          <cell r="N134">
            <v>-616</v>
          </cell>
          <cell r="O134"/>
        </row>
        <row r="135">
          <cell r="A135">
            <v>45664</v>
          </cell>
          <cell r="B135">
            <v>123</v>
          </cell>
          <cell r="C135">
            <v>3.9180000000000001</v>
          </cell>
          <cell r="D135">
            <v>4.9440000000000008</v>
          </cell>
          <cell r="E135">
            <v>4.5710000000000006</v>
          </cell>
          <cell r="F135">
            <v>4.2300000000000004</v>
          </cell>
          <cell r="G135">
            <v>-0.68</v>
          </cell>
          <cell r="H135">
            <v>3.407</v>
          </cell>
          <cell r="I135">
            <v>-1.4930000000000001</v>
          </cell>
          <cell r="J135">
            <v>3.794</v>
          </cell>
          <cell r="K135">
            <v>-1.1160000000000001</v>
          </cell>
          <cell r="L135">
            <v>-660</v>
          </cell>
          <cell r="M135">
            <v>-653.00000000000011</v>
          </cell>
          <cell r="N135">
            <v>-627.00000000000011</v>
          </cell>
          <cell r="O135"/>
        </row>
        <row r="136">
          <cell r="A136">
            <v>45671</v>
          </cell>
          <cell r="B136">
            <v>124</v>
          </cell>
          <cell r="C136">
            <v>3.9039999999999999</v>
          </cell>
          <cell r="D136">
            <v>4.9440000000000008</v>
          </cell>
          <cell r="E136">
            <v>4.5709999999999997</v>
          </cell>
          <cell r="F136">
            <v>4.2160000000000002</v>
          </cell>
          <cell r="G136">
            <v>-0.69399999999999995</v>
          </cell>
          <cell r="H136">
            <v>3.3929999999999998</v>
          </cell>
          <cell r="I136">
            <v>-1.5069999999999999</v>
          </cell>
          <cell r="J136">
            <v>3.78</v>
          </cell>
          <cell r="K136">
            <v>-1.1299999999999999</v>
          </cell>
          <cell r="L136">
            <v>-673.99999999999989</v>
          </cell>
          <cell r="M136">
            <v>-666.99999999999989</v>
          </cell>
          <cell r="N136">
            <v>-640.99999999999989</v>
          </cell>
          <cell r="O136"/>
        </row>
        <row r="137">
          <cell r="A137">
            <v>45678</v>
          </cell>
          <cell r="B137">
            <v>125</v>
          </cell>
          <cell r="C137">
            <v>3.8940000000000001</v>
          </cell>
          <cell r="D137">
            <v>4.9440000000000008</v>
          </cell>
          <cell r="E137">
            <v>4.5709999999999997</v>
          </cell>
          <cell r="F137">
            <v>4.2060000000000004</v>
          </cell>
          <cell r="G137">
            <v>-0.70399999999999996</v>
          </cell>
          <cell r="H137">
            <v>3.383</v>
          </cell>
          <cell r="I137">
            <v>-1.5169999999999999</v>
          </cell>
          <cell r="J137">
            <v>3.77</v>
          </cell>
          <cell r="K137">
            <v>-1.1399999999999999</v>
          </cell>
          <cell r="L137">
            <v>-683.99999999999989</v>
          </cell>
          <cell r="M137">
            <v>-676.99999999999989</v>
          </cell>
          <cell r="N137">
            <v>-650.99999999999989</v>
          </cell>
          <cell r="O137"/>
        </row>
        <row r="138">
          <cell r="A138">
            <v>45685</v>
          </cell>
          <cell r="B138">
            <v>126</v>
          </cell>
          <cell r="C138">
            <v>3.883</v>
          </cell>
          <cell r="D138">
            <v>4.9440000000000008</v>
          </cell>
          <cell r="E138">
            <v>4.5709999999999997</v>
          </cell>
          <cell r="F138">
            <v>4.1950000000000003</v>
          </cell>
          <cell r="G138">
            <v>-0.71499999999999997</v>
          </cell>
          <cell r="H138">
            <v>3.3719999999999999</v>
          </cell>
          <cell r="I138">
            <v>-1.528</v>
          </cell>
          <cell r="J138">
            <v>3.7589999999999999</v>
          </cell>
          <cell r="K138">
            <v>-1.151</v>
          </cell>
          <cell r="L138">
            <v>-695</v>
          </cell>
          <cell r="M138">
            <v>-688</v>
          </cell>
          <cell r="N138">
            <v>-662</v>
          </cell>
          <cell r="O138"/>
        </row>
        <row r="139">
          <cell r="A139">
            <v>45692</v>
          </cell>
          <cell r="B139">
            <v>127</v>
          </cell>
          <cell r="C139">
            <v>3.871</v>
          </cell>
          <cell r="D139">
            <v>4.9440000000000008</v>
          </cell>
          <cell r="E139">
            <v>4.5709999999999997</v>
          </cell>
          <cell r="F139">
            <v>4.1849999999999996</v>
          </cell>
          <cell r="G139">
            <v>-0.72499999999999998</v>
          </cell>
          <cell r="H139">
            <v>3.36</v>
          </cell>
          <cell r="I139">
            <v>-1.54</v>
          </cell>
          <cell r="J139">
            <v>3.7469999999999999</v>
          </cell>
          <cell r="K139">
            <v>-1.163</v>
          </cell>
          <cell r="L139">
            <v>-705</v>
          </cell>
          <cell r="M139">
            <v>-700.00000000000011</v>
          </cell>
          <cell r="N139">
            <v>-674</v>
          </cell>
          <cell r="O139"/>
        </row>
        <row r="140">
          <cell r="A140">
            <v>45699</v>
          </cell>
          <cell r="B140">
            <v>128</v>
          </cell>
          <cell r="C140">
            <v>3.8610000000000002</v>
          </cell>
          <cell r="D140">
            <v>4.9440000000000008</v>
          </cell>
          <cell r="E140">
            <v>4.5710000000000006</v>
          </cell>
          <cell r="F140">
            <v>4.1760000000000002</v>
          </cell>
          <cell r="G140">
            <v>-0.73399999999999999</v>
          </cell>
          <cell r="H140">
            <v>3.35</v>
          </cell>
          <cell r="I140">
            <v>-1.55</v>
          </cell>
          <cell r="J140">
            <v>3.7360000000000002</v>
          </cell>
          <cell r="K140">
            <v>-1.1739999999999999</v>
          </cell>
          <cell r="L140">
            <v>-714</v>
          </cell>
          <cell r="M140">
            <v>-710.00000000000011</v>
          </cell>
          <cell r="N140">
            <v>-684.99999999999989</v>
          </cell>
          <cell r="O140"/>
        </row>
        <row r="141">
          <cell r="A141">
            <v>45706</v>
          </cell>
          <cell r="B141">
            <v>129</v>
          </cell>
          <cell r="C141">
            <v>3.851</v>
          </cell>
          <cell r="D141">
            <v>4.9440000000000008</v>
          </cell>
          <cell r="E141">
            <v>4.5709999999999997</v>
          </cell>
          <cell r="F141">
            <v>4.1680000000000001</v>
          </cell>
          <cell r="G141">
            <v>-0.74199999999999999</v>
          </cell>
          <cell r="H141">
            <v>3.34</v>
          </cell>
          <cell r="I141">
            <v>-1.56</v>
          </cell>
          <cell r="J141">
            <v>3.726</v>
          </cell>
          <cell r="K141">
            <v>-1.1839999999999999</v>
          </cell>
          <cell r="L141">
            <v>-722</v>
          </cell>
          <cell r="M141">
            <v>-720.00000000000011</v>
          </cell>
          <cell r="N141">
            <v>-695</v>
          </cell>
          <cell r="O141"/>
        </row>
        <row r="142">
          <cell r="A142">
            <v>45713</v>
          </cell>
          <cell r="B142">
            <v>130</v>
          </cell>
          <cell r="C142">
            <v>3.8370000000000002</v>
          </cell>
          <cell r="D142">
            <v>4.9440000000000008</v>
          </cell>
          <cell r="E142">
            <v>4.5710000000000006</v>
          </cell>
          <cell r="F142">
            <v>4.1539999999999999</v>
          </cell>
          <cell r="G142">
            <v>-0.75600000000000001</v>
          </cell>
          <cell r="H142">
            <v>3.3260000000000001</v>
          </cell>
          <cell r="I142">
            <v>-1.5740000000000001</v>
          </cell>
          <cell r="J142">
            <v>3.7120000000000002</v>
          </cell>
          <cell r="K142">
            <v>-1.198</v>
          </cell>
          <cell r="L142">
            <v>-736</v>
          </cell>
          <cell r="M142">
            <v>-734.00000000000011</v>
          </cell>
          <cell r="N142">
            <v>-709</v>
          </cell>
          <cell r="O142"/>
        </row>
        <row r="143">
          <cell r="A143">
            <v>45717</v>
          </cell>
          <cell r="B143">
            <v>131</v>
          </cell>
          <cell r="C143">
            <v>3.8330000000000002</v>
          </cell>
          <cell r="D143">
            <v>4.9440000000000008</v>
          </cell>
          <cell r="E143">
            <v>4.5710000000000006</v>
          </cell>
          <cell r="F143">
            <v>4.1539999999999999</v>
          </cell>
          <cell r="G143">
            <v>-0.75600000000000001</v>
          </cell>
          <cell r="H143">
            <v>3.3220000000000001</v>
          </cell>
          <cell r="I143">
            <v>-1.5780000000000001</v>
          </cell>
          <cell r="J143">
            <v>3.7120000000000002</v>
          </cell>
          <cell r="K143">
            <v>-1.198</v>
          </cell>
          <cell r="L143">
            <v>-736</v>
          </cell>
          <cell r="M143">
            <v>-738.00000000000011</v>
          </cell>
          <cell r="N143">
            <v>-709</v>
          </cell>
          <cell r="O143"/>
        </row>
        <row r="144">
          <cell r="A144">
            <v>45718</v>
          </cell>
          <cell r="B144">
            <v>132</v>
          </cell>
          <cell r="C144">
            <v>3.8279999999999998</v>
          </cell>
          <cell r="D144">
            <v>4.9440000000000008</v>
          </cell>
          <cell r="E144">
            <v>4.5709999999999997</v>
          </cell>
          <cell r="F144">
            <v>4.1539999999999999</v>
          </cell>
          <cell r="G144">
            <v>-0.75600000000000001</v>
          </cell>
          <cell r="H144">
            <v>3.3170000000000002</v>
          </cell>
          <cell r="I144">
            <v>-1.583</v>
          </cell>
          <cell r="J144">
            <v>3.7120000000000002</v>
          </cell>
          <cell r="K144">
            <v>-1.198</v>
          </cell>
          <cell r="L144">
            <v>-736</v>
          </cell>
          <cell r="M144">
            <v>-743</v>
          </cell>
          <cell r="N144">
            <v>-709</v>
          </cell>
          <cell r="O144"/>
        </row>
        <row r="145">
          <cell r="A145">
            <v>45719</v>
          </cell>
          <cell r="B145">
            <v>133</v>
          </cell>
          <cell r="C145">
            <v>3.8239999999999998</v>
          </cell>
          <cell r="D145">
            <v>4.9440000000000008</v>
          </cell>
          <cell r="E145">
            <v>4.5709999999999997</v>
          </cell>
          <cell r="F145">
            <v>4.1500000000000004</v>
          </cell>
          <cell r="G145">
            <v>-0.76</v>
          </cell>
          <cell r="H145">
            <v>3.3130000000000002</v>
          </cell>
          <cell r="I145">
            <v>-1.587</v>
          </cell>
          <cell r="J145">
            <v>3.7120000000000002</v>
          </cell>
          <cell r="K145">
            <v>-1.198</v>
          </cell>
          <cell r="L145">
            <v>-740</v>
          </cell>
          <cell r="M145">
            <v>-747</v>
          </cell>
          <cell r="N145">
            <v>-709</v>
          </cell>
          <cell r="O145"/>
        </row>
        <row r="146">
          <cell r="A146">
            <v>45720</v>
          </cell>
          <cell r="B146">
            <v>134</v>
          </cell>
          <cell r="C146">
            <v>3.8220000000000001</v>
          </cell>
          <cell r="D146">
            <v>4.9440000000000008</v>
          </cell>
          <cell r="E146">
            <v>4.5709999999999997</v>
          </cell>
          <cell r="F146">
            <v>4.1449999999999996</v>
          </cell>
          <cell r="G146">
            <v>-0.76500000000000001</v>
          </cell>
          <cell r="H146">
            <v>3.3109999999999999</v>
          </cell>
          <cell r="I146">
            <v>-1.589</v>
          </cell>
          <cell r="J146">
            <v>3.7080000000000002</v>
          </cell>
          <cell r="K146">
            <v>-1.202</v>
          </cell>
          <cell r="L146">
            <v>-745</v>
          </cell>
          <cell r="M146">
            <v>-749</v>
          </cell>
          <cell r="N146">
            <v>-713</v>
          </cell>
          <cell r="O146"/>
        </row>
        <row r="147">
          <cell r="A147">
            <v>45721</v>
          </cell>
          <cell r="B147">
            <v>135</v>
          </cell>
          <cell r="C147">
            <v>3.819</v>
          </cell>
          <cell r="D147">
            <v>4.9440000000000008</v>
          </cell>
          <cell r="E147">
            <v>4.5709999999999997</v>
          </cell>
          <cell r="F147">
            <v>4.141</v>
          </cell>
          <cell r="G147">
            <v>-0.76900000000000002</v>
          </cell>
          <cell r="H147">
            <v>3.3079999999999998</v>
          </cell>
          <cell r="I147">
            <v>-1.5920000000000001</v>
          </cell>
          <cell r="J147">
            <v>3.7029999999999998</v>
          </cell>
          <cell r="K147">
            <v>-1.2070000000000001</v>
          </cell>
          <cell r="L147">
            <v>-749</v>
          </cell>
          <cell r="M147">
            <v>-752.00000000000011</v>
          </cell>
          <cell r="N147">
            <v>-718.00000000000011</v>
          </cell>
          <cell r="O147"/>
        </row>
        <row r="148">
          <cell r="A148">
            <v>45722</v>
          </cell>
          <cell r="B148">
            <v>136</v>
          </cell>
          <cell r="C148">
            <v>3.8180000000000001</v>
          </cell>
          <cell r="D148">
            <v>4.9440000000000008</v>
          </cell>
          <cell r="E148">
            <v>4.5709999999999997</v>
          </cell>
          <cell r="F148">
            <v>4.1390000000000002</v>
          </cell>
          <cell r="G148">
            <v>-0.77100000000000002</v>
          </cell>
          <cell r="H148">
            <v>3.3069999999999999</v>
          </cell>
          <cell r="I148">
            <v>-1.593</v>
          </cell>
          <cell r="J148">
            <v>3.6989999999999998</v>
          </cell>
          <cell r="K148">
            <v>-1.2110000000000001</v>
          </cell>
          <cell r="L148">
            <v>-751</v>
          </cell>
          <cell r="M148">
            <v>-753</v>
          </cell>
          <cell r="N148">
            <v>-722.00000000000011</v>
          </cell>
          <cell r="O148"/>
        </row>
        <row r="149">
          <cell r="A149">
            <v>45723</v>
          </cell>
          <cell r="B149">
            <v>137</v>
          </cell>
          <cell r="C149">
            <v>3.8159999999999998</v>
          </cell>
          <cell r="D149">
            <v>4.9440000000000008</v>
          </cell>
          <cell r="E149">
            <v>4.5709999999999997</v>
          </cell>
          <cell r="F149">
            <v>4.1349999999999998</v>
          </cell>
          <cell r="G149">
            <v>-0.77500000000000002</v>
          </cell>
          <cell r="H149">
            <v>3.3050000000000002</v>
          </cell>
          <cell r="I149">
            <v>-1.595</v>
          </cell>
          <cell r="J149">
            <v>3.6970000000000001</v>
          </cell>
          <cell r="K149">
            <v>-1.2130000000000001</v>
          </cell>
          <cell r="L149">
            <v>-755</v>
          </cell>
          <cell r="M149">
            <v>-755</v>
          </cell>
          <cell r="N149">
            <v>-724.00000000000011</v>
          </cell>
          <cell r="O149"/>
        </row>
        <row r="150">
          <cell r="A150">
            <v>45724</v>
          </cell>
          <cell r="B150">
            <v>138</v>
          </cell>
          <cell r="C150">
            <v>3.8130000000000002</v>
          </cell>
          <cell r="D150">
            <v>4.9440000000000008</v>
          </cell>
          <cell r="E150">
            <v>4.5710000000000006</v>
          </cell>
          <cell r="F150">
            <v>4.13</v>
          </cell>
          <cell r="G150">
            <v>-0.78</v>
          </cell>
          <cell r="H150">
            <v>3.302</v>
          </cell>
          <cell r="I150">
            <v>-1.5980000000000001</v>
          </cell>
          <cell r="J150">
            <v>3.6930000000000001</v>
          </cell>
          <cell r="K150">
            <v>-1.2170000000000001</v>
          </cell>
          <cell r="L150">
            <v>-760</v>
          </cell>
          <cell r="M150">
            <v>-758.00000000000011</v>
          </cell>
          <cell r="N150">
            <v>-728.00000000000011</v>
          </cell>
          <cell r="O150"/>
        </row>
        <row r="151">
          <cell r="A151">
            <v>45725</v>
          </cell>
          <cell r="B151">
            <v>139</v>
          </cell>
          <cell r="C151">
            <v>3.8090000000000002</v>
          </cell>
          <cell r="D151">
            <v>4.9440000000000008</v>
          </cell>
          <cell r="E151">
            <v>4.5710000000000006</v>
          </cell>
          <cell r="F151">
            <v>4.1260000000000003</v>
          </cell>
          <cell r="G151">
            <v>-0.78400000000000003</v>
          </cell>
          <cell r="H151">
            <v>3.298</v>
          </cell>
          <cell r="I151">
            <v>-1.6020000000000001</v>
          </cell>
          <cell r="J151">
            <v>3.6880000000000002</v>
          </cell>
          <cell r="K151">
            <v>-1.222</v>
          </cell>
          <cell r="L151">
            <v>-764</v>
          </cell>
          <cell r="M151">
            <v>-762.00000000000011</v>
          </cell>
          <cell r="N151">
            <v>-733</v>
          </cell>
          <cell r="O151"/>
        </row>
        <row r="152">
          <cell r="A152">
            <v>45726</v>
          </cell>
          <cell r="B152">
            <v>140</v>
          </cell>
          <cell r="C152">
            <v>3.8039999999999998</v>
          </cell>
          <cell r="D152">
            <v>4.9440000000000008</v>
          </cell>
          <cell r="E152">
            <v>4.5709999999999997</v>
          </cell>
          <cell r="F152">
            <v>4.1239999999999997</v>
          </cell>
          <cell r="G152">
            <v>-0.78600000000000003</v>
          </cell>
          <cell r="H152">
            <v>3.2930000000000001</v>
          </cell>
          <cell r="I152">
            <v>-1.607</v>
          </cell>
          <cell r="J152">
            <v>3.6840000000000002</v>
          </cell>
          <cell r="K152">
            <v>-1.226</v>
          </cell>
          <cell r="L152">
            <v>-766</v>
          </cell>
          <cell r="M152">
            <v>-767</v>
          </cell>
          <cell r="N152">
            <v>-737</v>
          </cell>
          <cell r="O152"/>
        </row>
        <row r="153">
          <cell r="A153">
            <v>45727</v>
          </cell>
          <cell r="B153">
            <v>141</v>
          </cell>
          <cell r="C153">
            <v>3.8039999999999998</v>
          </cell>
          <cell r="D153">
            <v>4.9440000000000008</v>
          </cell>
          <cell r="E153">
            <v>4.5709999999999997</v>
          </cell>
          <cell r="F153">
            <v>4.1210000000000004</v>
          </cell>
          <cell r="G153">
            <v>-0.78900000000000003</v>
          </cell>
          <cell r="H153">
            <v>3.2930000000000001</v>
          </cell>
          <cell r="I153">
            <v>-1.607</v>
          </cell>
          <cell r="J153">
            <v>3.6819999999999999</v>
          </cell>
          <cell r="K153">
            <v>-1.228</v>
          </cell>
          <cell r="L153">
            <v>-769</v>
          </cell>
          <cell r="M153">
            <v>-767</v>
          </cell>
          <cell r="N153">
            <v>-739</v>
          </cell>
          <cell r="O153"/>
        </row>
        <row r="154">
          <cell r="A154">
            <v>45728</v>
          </cell>
          <cell r="B154">
            <v>142</v>
          </cell>
          <cell r="C154">
            <v>3.8039999999999998</v>
          </cell>
          <cell r="D154">
            <v>4.9440000000000008</v>
          </cell>
          <cell r="E154">
            <v>4.5709999999999997</v>
          </cell>
          <cell r="F154">
            <v>4.12</v>
          </cell>
          <cell r="G154">
            <v>-0.79</v>
          </cell>
          <cell r="H154">
            <v>3.2930000000000001</v>
          </cell>
          <cell r="I154">
            <v>-1.607</v>
          </cell>
          <cell r="J154">
            <v>3.6789999999999998</v>
          </cell>
          <cell r="K154">
            <v>-1.2310000000000001</v>
          </cell>
          <cell r="L154">
            <v>-770</v>
          </cell>
          <cell r="M154">
            <v>-767</v>
          </cell>
          <cell r="N154">
            <v>-742.00000000000011</v>
          </cell>
          <cell r="O154"/>
        </row>
        <row r="155">
          <cell r="A155">
            <v>45729</v>
          </cell>
          <cell r="B155">
            <v>143</v>
          </cell>
          <cell r="C155">
            <v>3.8039999999999998</v>
          </cell>
          <cell r="D155">
            <v>4.9440000000000008</v>
          </cell>
          <cell r="E155">
            <v>4.5709999999999997</v>
          </cell>
          <cell r="F155">
            <v>4.1180000000000003</v>
          </cell>
          <cell r="G155">
            <v>-0.79200000000000004</v>
          </cell>
          <cell r="H155">
            <v>3.2930000000000001</v>
          </cell>
          <cell r="I155">
            <v>-1.607</v>
          </cell>
          <cell r="J155">
            <v>3.6779999999999999</v>
          </cell>
          <cell r="K155">
            <v>-1.232</v>
          </cell>
          <cell r="L155">
            <v>-772</v>
          </cell>
          <cell r="M155">
            <v>-767</v>
          </cell>
          <cell r="N155">
            <v>-743</v>
          </cell>
          <cell r="O155"/>
        </row>
        <row r="156">
          <cell r="A156">
            <v>45730</v>
          </cell>
          <cell r="B156">
            <v>144</v>
          </cell>
          <cell r="C156">
            <v>3.8</v>
          </cell>
          <cell r="D156">
            <v>4.9440000000000008</v>
          </cell>
          <cell r="E156">
            <v>4.5709999999999997</v>
          </cell>
          <cell r="F156">
            <v>4.1150000000000002</v>
          </cell>
          <cell r="G156">
            <v>-0.79500000000000004</v>
          </cell>
          <cell r="H156">
            <v>3.2890000000000001</v>
          </cell>
          <cell r="I156">
            <v>-1.611</v>
          </cell>
          <cell r="J156">
            <v>3.6760000000000002</v>
          </cell>
          <cell r="K156">
            <v>-1.234</v>
          </cell>
          <cell r="L156">
            <v>-775</v>
          </cell>
          <cell r="M156">
            <v>-771</v>
          </cell>
          <cell r="N156">
            <v>-745</v>
          </cell>
          <cell r="O156"/>
        </row>
        <row r="157">
          <cell r="A157">
            <v>45731</v>
          </cell>
          <cell r="B157">
            <v>145</v>
          </cell>
          <cell r="C157">
            <v>3.7949999999999999</v>
          </cell>
          <cell r="D157">
            <v>4.9440000000000008</v>
          </cell>
          <cell r="E157">
            <v>4.5709999999999997</v>
          </cell>
          <cell r="F157">
            <v>4.1109999999999998</v>
          </cell>
          <cell r="G157">
            <v>-0.79900000000000004</v>
          </cell>
          <cell r="H157">
            <v>3.2839999999999998</v>
          </cell>
          <cell r="I157">
            <v>-1.6160000000000001</v>
          </cell>
          <cell r="J157">
            <v>3.673</v>
          </cell>
          <cell r="K157">
            <v>-1.2370000000000001</v>
          </cell>
          <cell r="L157">
            <v>-779</v>
          </cell>
          <cell r="M157">
            <v>-776.00000000000011</v>
          </cell>
          <cell r="N157">
            <v>-748.00000000000011</v>
          </cell>
          <cell r="O157"/>
        </row>
        <row r="158">
          <cell r="A158">
            <v>45732</v>
          </cell>
          <cell r="B158">
            <v>146</v>
          </cell>
          <cell r="C158">
            <v>3.7909999999999999</v>
          </cell>
          <cell r="D158">
            <v>4.9440000000000008</v>
          </cell>
          <cell r="E158">
            <v>4.5709999999999997</v>
          </cell>
          <cell r="F158">
            <v>4.1059999999999999</v>
          </cell>
          <cell r="G158">
            <v>-0.80400000000000005</v>
          </cell>
          <cell r="H158">
            <v>3.28</v>
          </cell>
          <cell r="I158">
            <v>-1.62</v>
          </cell>
          <cell r="J158">
            <v>3.673</v>
          </cell>
          <cell r="K158">
            <v>-1.2370000000000001</v>
          </cell>
          <cell r="L158">
            <v>-784</v>
          </cell>
          <cell r="M158">
            <v>-780.00000000000011</v>
          </cell>
          <cell r="N158">
            <v>-748.00000000000011</v>
          </cell>
          <cell r="O158"/>
        </row>
        <row r="159">
          <cell r="A159">
            <v>45733</v>
          </cell>
          <cell r="B159">
            <v>147</v>
          </cell>
          <cell r="C159">
            <v>3.7890000000000001</v>
          </cell>
          <cell r="D159">
            <v>4.9440000000000008</v>
          </cell>
          <cell r="E159">
            <v>4.5710000000000006</v>
          </cell>
          <cell r="F159">
            <v>4.1020000000000003</v>
          </cell>
          <cell r="G159">
            <v>-0.80800000000000005</v>
          </cell>
          <cell r="H159">
            <v>3.278</v>
          </cell>
          <cell r="I159">
            <v>-1.6220000000000001</v>
          </cell>
          <cell r="J159">
            <v>3.6720000000000002</v>
          </cell>
          <cell r="K159">
            <v>-1.238</v>
          </cell>
          <cell r="L159">
            <v>-788</v>
          </cell>
          <cell r="M159">
            <v>-782.00000000000011</v>
          </cell>
          <cell r="N159">
            <v>-749</v>
          </cell>
          <cell r="O159"/>
        </row>
        <row r="160">
          <cell r="A160">
            <v>45734</v>
          </cell>
          <cell r="B160">
            <v>148</v>
          </cell>
          <cell r="C160">
            <v>3.786</v>
          </cell>
          <cell r="D160">
            <v>4.9440000000000008</v>
          </cell>
          <cell r="E160">
            <v>4.5709999999999997</v>
          </cell>
          <cell r="F160">
            <v>4.0990000000000002</v>
          </cell>
          <cell r="G160">
            <v>-0.81100000000000005</v>
          </cell>
          <cell r="H160">
            <v>3.2749999999999999</v>
          </cell>
          <cell r="I160">
            <v>-1.625</v>
          </cell>
          <cell r="J160">
            <v>3.6720000000000002</v>
          </cell>
          <cell r="K160">
            <v>-1.238</v>
          </cell>
          <cell r="L160">
            <v>-791</v>
          </cell>
          <cell r="M160">
            <v>-785</v>
          </cell>
          <cell r="N160">
            <v>-749</v>
          </cell>
          <cell r="O160"/>
        </row>
        <row r="161">
          <cell r="A161">
            <v>45735</v>
          </cell>
          <cell r="B161">
            <v>149</v>
          </cell>
          <cell r="C161">
            <v>3.7759999999999998</v>
          </cell>
          <cell r="D161">
            <v>4.9440000000000008</v>
          </cell>
          <cell r="E161">
            <v>4.5709999999999997</v>
          </cell>
          <cell r="F161">
            <v>4.0960000000000001</v>
          </cell>
          <cell r="G161">
            <v>-0.81399999999999995</v>
          </cell>
          <cell r="H161">
            <v>3.2650000000000001</v>
          </cell>
          <cell r="I161">
            <v>-1.635</v>
          </cell>
          <cell r="J161">
            <v>3.6709999999999998</v>
          </cell>
          <cell r="K161">
            <v>-1.2390000000000001</v>
          </cell>
          <cell r="L161">
            <v>-793.99999999999989</v>
          </cell>
          <cell r="M161">
            <v>-795</v>
          </cell>
          <cell r="N161">
            <v>-750.00000000000011</v>
          </cell>
          <cell r="O161"/>
        </row>
        <row r="162">
          <cell r="A162">
            <v>45736</v>
          </cell>
          <cell r="B162">
            <v>150</v>
          </cell>
          <cell r="C162">
            <v>3.766</v>
          </cell>
          <cell r="D162">
            <v>4.9440000000000008</v>
          </cell>
          <cell r="E162">
            <v>4.5709999999999997</v>
          </cell>
          <cell r="F162">
            <v>4.0919999999999996</v>
          </cell>
          <cell r="G162">
            <v>-0.81799999999999995</v>
          </cell>
          <cell r="H162">
            <v>3.2549999999999999</v>
          </cell>
          <cell r="I162">
            <v>-1.645</v>
          </cell>
          <cell r="J162">
            <v>3.6709999999999998</v>
          </cell>
          <cell r="K162">
            <v>-1.2390000000000001</v>
          </cell>
          <cell r="L162">
            <v>-797.99999999999989</v>
          </cell>
          <cell r="M162">
            <v>-805</v>
          </cell>
          <cell r="N162">
            <v>-750.00000000000011</v>
          </cell>
          <cell r="O162"/>
        </row>
        <row r="163">
          <cell r="A163">
            <v>45737</v>
          </cell>
          <cell r="B163">
            <v>151</v>
          </cell>
          <cell r="C163">
            <v>3.7559999999999998</v>
          </cell>
          <cell r="D163">
            <v>4.9440000000000008</v>
          </cell>
          <cell r="E163">
            <v>4.5709999999999997</v>
          </cell>
          <cell r="F163">
            <v>4.0880000000000001</v>
          </cell>
          <cell r="G163">
            <v>-0.82199999999999995</v>
          </cell>
          <cell r="H163">
            <v>3.2450000000000001</v>
          </cell>
          <cell r="I163">
            <v>-1.655</v>
          </cell>
          <cell r="J163">
            <v>3.669</v>
          </cell>
          <cell r="K163">
            <v>-1.2410000000000001</v>
          </cell>
          <cell r="L163">
            <v>-801.99999999999989</v>
          </cell>
          <cell r="M163">
            <v>-815.00000000000011</v>
          </cell>
          <cell r="N163">
            <v>-752.00000000000011</v>
          </cell>
          <cell r="O163"/>
        </row>
        <row r="164">
          <cell r="A164">
            <v>45738</v>
          </cell>
          <cell r="B164">
            <v>152</v>
          </cell>
          <cell r="C164">
            <v>3.746</v>
          </cell>
          <cell r="D164">
            <v>4.9440000000000008</v>
          </cell>
          <cell r="E164">
            <v>4.5709999999999997</v>
          </cell>
          <cell r="F164">
            <v>4.0830000000000002</v>
          </cell>
          <cell r="G164">
            <v>-0.82699999999999996</v>
          </cell>
          <cell r="H164">
            <v>3.2349999999999999</v>
          </cell>
          <cell r="I164">
            <v>-1.665</v>
          </cell>
          <cell r="J164">
            <v>3.669</v>
          </cell>
          <cell r="K164">
            <v>-1.2410000000000001</v>
          </cell>
          <cell r="L164">
            <v>-806.99999999999989</v>
          </cell>
          <cell r="M164">
            <v>-825.00000000000011</v>
          </cell>
          <cell r="N164">
            <v>-752.00000000000011</v>
          </cell>
          <cell r="O164"/>
        </row>
        <row r="165">
          <cell r="A165">
            <v>45739</v>
          </cell>
          <cell r="B165">
            <v>153</v>
          </cell>
          <cell r="C165">
            <v>4.1500000000000004</v>
          </cell>
          <cell r="D165">
            <v>5.2980000000000009</v>
          </cell>
          <cell r="E165">
            <v>4.9850000000000003</v>
          </cell>
          <cell r="F165">
            <v>4.0730000000000004</v>
          </cell>
          <cell r="G165">
            <v>-0.83699999999999997</v>
          </cell>
          <cell r="H165">
            <v>3.2250000000000001</v>
          </cell>
          <cell r="I165">
            <v>-1.675</v>
          </cell>
          <cell r="J165">
            <v>3.6589999999999998</v>
          </cell>
          <cell r="K165">
            <v>-1.2509999999999999</v>
          </cell>
          <cell r="L165">
            <v>-817</v>
          </cell>
          <cell r="M165">
            <v>-835.00000000000011</v>
          </cell>
          <cell r="N165">
            <v>-761.99999999999989</v>
          </cell>
          <cell r="O165"/>
        </row>
        <row r="166">
          <cell r="A166">
            <v>45740</v>
          </cell>
          <cell r="B166">
            <v>154</v>
          </cell>
          <cell r="C166">
            <v>4.1399999999999997</v>
          </cell>
          <cell r="D166">
            <v>5.2980000000000009</v>
          </cell>
          <cell r="E166">
            <v>4.9849999999999994</v>
          </cell>
          <cell r="F166">
            <v>4.0629999999999997</v>
          </cell>
          <cell r="G166">
            <v>-0.84699999999999998</v>
          </cell>
          <cell r="H166">
            <v>3.2149999999999999</v>
          </cell>
          <cell r="I166">
            <v>-1.6850000000000001</v>
          </cell>
          <cell r="J166">
            <v>3.6509999999999998</v>
          </cell>
          <cell r="K166">
            <v>-1.2589999999999999</v>
          </cell>
          <cell r="L166">
            <v>-827</v>
          </cell>
          <cell r="M166">
            <v>-845.00000000000011</v>
          </cell>
          <cell r="N166">
            <v>-769.99999999999989</v>
          </cell>
          <cell r="O166"/>
        </row>
        <row r="167">
          <cell r="A167">
            <v>45741</v>
          </cell>
          <cell r="B167">
            <v>155</v>
          </cell>
          <cell r="C167">
            <v>4.13</v>
          </cell>
          <cell r="D167">
            <v>5.2980000000000009</v>
          </cell>
          <cell r="E167">
            <v>4.9850000000000003</v>
          </cell>
          <cell r="F167">
            <v>4.0529999999999999</v>
          </cell>
          <cell r="G167">
            <v>-0.85699999999999998</v>
          </cell>
          <cell r="H167">
            <v>3.2050000000000001</v>
          </cell>
          <cell r="I167">
            <v>-1.6950000000000001</v>
          </cell>
          <cell r="J167">
            <v>3.641</v>
          </cell>
          <cell r="K167">
            <v>-1.2689999999999999</v>
          </cell>
          <cell r="L167">
            <v>-837</v>
          </cell>
          <cell r="M167">
            <v>-855.00000000000011</v>
          </cell>
          <cell r="N167">
            <v>-779.99999999999989</v>
          </cell>
          <cell r="O167"/>
        </row>
        <row r="168">
          <cell r="A168">
            <v>45742</v>
          </cell>
          <cell r="B168">
            <v>156</v>
          </cell>
          <cell r="C168">
            <v>4.12</v>
          </cell>
          <cell r="D168">
            <v>5.2980000000000009</v>
          </cell>
          <cell r="E168">
            <v>4.9850000000000003</v>
          </cell>
          <cell r="F168">
            <v>4.0430000000000001</v>
          </cell>
          <cell r="G168">
            <v>-0.86699999999999999</v>
          </cell>
          <cell r="H168">
            <v>3.1949999999999998</v>
          </cell>
          <cell r="I168">
            <v>-1.7050000000000001</v>
          </cell>
          <cell r="J168">
            <v>3.6349999999999998</v>
          </cell>
          <cell r="K168">
            <v>-1.2749999999999999</v>
          </cell>
          <cell r="L168">
            <v>-847</v>
          </cell>
          <cell r="M168">
            <v>-865.00000000000011</v>
          </cell>
          <cell r="N168">
            <v>-785.99999999999989</v>
          </cell>
          <cell r="O168"/>
        </row>
        <row r="169">
          <cell r="A169">
            <v>45743</v>
          </cell>
          <cell r="B169">
            <v>157</v>
          </cell>
          <cell r="C169">
            <v>4.3499999999999996</v>
          </cell>
          <cell r="D169">
            <v>5.5220000000000011</v>
          </cell>
          <cell r="E169">
            <v>5.2249999999999996</v>
          </cell>
          <cell r="F169">
            <v>4.0330000000000004</v>
          </cell>
          <cell r="G169">
            <v>-0.877</v>
          </cell>
          <cell r="H169">
            <v>3.1850000000000001</v>
          </cell>
          <cell r="I169">
            <v>-1.7150000000000001</v>
          </cell>
          <cell r="J169">
            <v>3.63</v>
          </cell>
          <cell r="K169">
            <v>-1.28</v>
          </cell>
          <cell r="L169">
            <v>-857</v>
          </cell>
          <cell r="M169">
            <v>-875.00000000000011</v>
          </cell>
          <cell r="N169">
            <v>-791</v>
          </cell>
          <cell r="O169"/>
        </row>
        <row r="170">
          <cell r="A170">
            <v>45744</v>
          </cell>
          <cell r="B170">
            <v>158</v>
          </cell>
          <cell r="C170">
            <v>4.34</v>
          </cell>
          <cell r="D170">
            <v>5.5220000000000011</v>
          </cell>
          <cell r="E170">
            <v>5.2249999999999996</v>
          </cell>
          <cell r="F170">
            <v>4.0229999999999997</v>
          </cell>
          <cell r="G170">
            <v>-0.88700000000000001</v>
          </cell>
          <cell r="H170">
            <v>3.1749999999999998</v>
          </cell>
          <cell r="I170">
            <v>-1.7250000000000001</v>
          </cell>
          <cell r="J170">
            <v>3.6230000000000002</v>
          </cell>
          <cell r="K170">
            <v>-1.2869999999999999</v>
          </cell>
          <cell r="L170">
            <v>-867</v>
          </cell>
          <cell r="M170">
            <v>-885.00000000000011</v>
          </cell>
          <cell r="N170">
            <v>-797.99999999999989</v>
          </cell>
          <cell r="O170"/>
        </row>
        <row r="171">
          <cell r="A171">
            <v>45745</v>
          </cell>
          <cell r="B171">
            <v>159</v>
          </cell>
          <cell r="C171">
            <v>4.33</v>
          </cell>
          <cell r="D171">
            <v>5.5220000000000011</v>
          </cell>
          <cell r="E171">
            <v>5.2250000000000005</v>
          </cell>
          <cell r="F171">
            <v>4.0129999999999999</v>
          </cell>
          <cell r="G171">
            <v>-0.89700000000000002</v>
          </cell>
          <cell r="H171">
            <v>3.165</v>
          </cell>
          <cell r="I171">
            <v>-1.7350000000000001</v>
          </cell>
          <cell r="J171">
            <v>3.6150000000000002</v>
          </cell>
          <cell r="K171">
            <v>-1.2949999999999999</v>
          </cell>
          <cell r="L171">
            <v>-877</v>
          </cell>
          <cell r="M171">
            <v>-895.00000000000011</v>
          </cell>
          <cell r="N171">
            <v>-805.99999999999989</v>
          </cell>
          <cell r="O171"/>
        </row>
        <row r="172">
          <cell r="A172">
            <v>45746</v>
          </cell>
          <cell r="B172">
            <v>160</v>
          </cell>
          <cell r="C172">
            <v>4.55</v>
          </cell>
          <cell r="D172">
            <v>5.737000000000001</v>
          </cell>
          <cell r="E172">
            <v>5.4550000000000001</v>
          </cell>
          <cell r="F172">
            <v>4.0030000000000001</v>
          </cell>
          <cell r="G172">
            <v>-0.90700000000000003</v>
          </cell>
          <cell r="H172">
            <v>3.1549999999999998</v>
          </cell>
          <cell r="I172">
            <v>-1.7450000000000001</v>
          </cell>
          <cell r="J172">
            <v>3.6059999999999999</v>
          </cell>
          <cell r="K172">
            <v>-1.304</v>
          </cell>
          <cell r="L172">
            <v>-887</v>
          </cell>
          <cell r="M172">
            <v>-905.00000000000011</v>
          </cell>
          <cell r="N172">
            <v>-815.00000000000011</v>
          </cell>
          <cell r="O172"/>
        </row>
        <row r="173">
          <cell r="A173">
            <v>45747</v>
          </cell>
          <cell r="B173">
            <v>161</v>
          </cell>
          <cell r="C173">
            <v>4.54</v>
          </cell>
          <cell r="D173">
            <v>5.737000000000001</v>
          </cell>
          <cell r="E173">
            <v>5.4550000000000001</v>
          </cell>
          <cell r="F173">
            <v>3.9929999999999999</v>
          </cell>
          <cell r="G173">
            <v>-0.91700000000000004</v>
          </cell>
          <cell r="H173">
            <v>3.145</v>
          </cell>
          <cell r="I173">
            <v>-1.7549999999999999</v>
          </cell>
          <cell r="J173">
            <v>3.6</v>
          </cell>
          <cell r="K173">
            <v>-1.31</v>
          </cell>
          <cell r="L173">
            <v>-897</v>
          </cell>
          <cell r="M173">
            <v>-914.99999999999989</v>
          </cell>
          <cell r="N173">
            <v>-821.00000000000011</v>
          </cell>
          <cell r="O173"/>
        </row>
        <row r="174">
          <cell r="A174">
            <v>45748</v>
          </cell>
          <cell r="B174">
            <v>162</v>
          </cell>
          <cell r="C174">
            <v>4.53</v>
          </cell>
          <cell r="D174">
            <v>5.737000000000001</v>
          </cell>
          <cell r="E174">
            <v>5.4550000000000001</v>
          </cell>
          <cell r="F174">
            <v>4.9829999999999997</v>
          </cell>
          <cell r="G174">
            <v>-0.92700000000000005</v>
          </cell>
          <cell r="H174">
            <v>4.1349999999999998</v>
          </cell>
          <cell r="I174">
            <v>-1.7649999999999999</v>
          </cell>
          <cell r="J174">
            <v>4.5919999999999996</v>
          </cell>
          <cell r="K174">
            <v>-1.3180000000000001</v>
          </cell>
          <cell r="L174">
            <v>-907</v>
          </cell>
          <cell r="M174">
            <v>-924.99999999999989</v>
          </cell>
          <cell r="N174">
            <v>-829.00000000000011</v>
          </cell>
          <cell r="O174"/>
        </row>
        <row r="175">
          <cell r="A175">
            <v>45749</v>
          </cell>
          <cell r="B175">
            <v>163</v>
          </cell>
          <cell r="C175">
            <v>4.75</v>
          </cell>
          <cell r="D175">
            <v>5.9510000000000014</v>
          </cell>
          <cell r="E175">
            <v>5.6849999999999996</v>
          </cell>
          <cell r="F175">
            <v>4.9729999999999999</v>
          </cell>
          <cell r="G175">
            <v>-0.93700000000000006</v>
          </cell>
          <cell r="H175">
            <v>4.125</v>
          </cell>
          <cell r="I175">
            <v>-1.7749999999999999</v>
          </cell>
          <cell r="J175">
            <v>4.585</v>
          </cell>
          <cell r="K175">
            <v>-1.325</v>
          </cell>
          <cell r="L175">
            <v>-917</v>
          </cell>
          <cell r="M175">
            <v>-934.99999999999989</v>
          </cell>
          <cell r="N175">
            <v>-836</v>
          </cell>
          <cell r="O175"/>
        </row>
        <row r="176">
          <cell r="A176">
            <v>45750</v>
          </cell>
          <cell r="B176">
            <v>164</v>
          </cell>
          <cell r="C176">
            <v>4.74</v>
          </cell>
          <cell r="D176">
            <v>5.9510000000000014</v>
          </cell>
          <cell r="E176">
            <v>5.6850000000000005</v>
          </cell>
          <cell r="F176">
            <v>4.9630000000000001</v>
          </cell>
          <cell r="G176">
            <v>-0.94699999999999995</v>
          </cell>
          <cell r="H176">
            <v>4.1150000000000002</v>
          </cell>
          <cell r="I176">
            <v>-1.7849999999999999</v>
          </cell>
          <cell r="J176">
            <v>4.577</v>
          </cell>
          <cell r="K176">
            <v>-1.333</v>
          </cell>
          <cell r="L176">
            <v>-926.99999999999989</v>
          </cell>
          <cell r="M176">
            <v>-945</v>
          </cell>
          <cell r="N176">
            <v>-844</v>
          </cell>
          <cell r="O176"/>
        </row>
        <row r="177">
          <cell r="A177">
            <v>45751</v>
          </cell>
          <cell r="B177">
            <v>165</v>
          </cell>
          <cell r="C177">
            <v>4.91</v>
          </cell>
          <cell r="D177">
            <v>6.1190000000000015</v>
          </cell>
          <cell r="E177">
            <v>5.8650000000000002</v>
          </cell>
          <cell r="F177">
            <v>4.9530000000000003</v>
          </cell>
          <cell r="G177">
            <v>-0.95699999999999996</v>
          </cell>
          <cell r="H177">
            <v>4.1050000000000004</v>
          </cell>
          <cell r="I177">
            <v>-1.7949999999999999</v>
          </cell>
          <cell r="J177">
            <v>4.5720000000000001</v>
          </cell>
          <cell r="K177">
            <v>-1.3380000000000001</v>
          </cell>
          <cell r="L177">
            <v>-937</v>
          </cell>
          <cell r="M177">
            <v>-955</v>
          </cell>
          <cell r="N177">
            <v>-849.00000000000011</v>
          </cell>
          <cell r="O177"/>
        </row>
        <row r="178">
          <cell r="A178">
            <v>45752</v>
          </cell>
          <cell r="B178">
            <v>166</v>
          </cell>
          <cell r="C178">
            <v>4.9000000000000004</v>
          </cell>
          <cell r="D178">
            <v>6.1190000000000015</v>
          </cell>
          <cell r="E178">
            <v>5.8650000000000002</v>
          </cell>
          <cell r="F178">
            <v>4.9429999999999996</v>
          </cell>
          <cell r="G178">
            <v>-0.96699999999999997</v>
          </cell>
          <cell r="H178">
            <v>4.0949999999999998</v>
          </cell>
          <cell r="I178">
            <v>-1.8049999999999999</v>
          </cell>
          <cell r="J178">
            <v>4.5659999999999998</v>
          </cell>
          <cell r="K178">
            <v>-1.3440000000000001</v>
          </cell>
          <cell r="L178">
            <v>-947</v>
          </cell>
          <cell r="M178">
            <v>-965</v>
          </cell>
          <cell r="N178">
            <v>-855.00000000000011</v>
          </cell>
          <cell r="O178"/>
        </row>
        <row r="179">
          <cell r="A179">
            <v>45753</v>
          </cell>
          <cell r="B179">
            <v>167</v>
          </cell>
          <cell r="C179">
            <v>5.0599999999999996</v>
          </cell>
          <cell r="D179">
            <v>6.2750000000000012</v>
          </cell>
          <cell r="E179">
            <v>6.0349999999999993</v>
          </cell>
          <cell r="F179">
            <v>3.9329999999999998</v>
          </cell>
          <cell r="G179">
            <v>-0.97699999999999998</v>
          </cell>
          <cell r="H179">
            <v>3.085</v>
          </cell>
          <cell r="I179">
            <v>-1.8149999999999999</v>
          </cell>
          <cell r="J179">
            <v>3.5630000000000002</v>
          </cell>
          <cell r="K179">
            <v>-1.347</v>
          </cell>
          <cell r="L179">
            <v>-957</v>
          </cell>
          <cell r="M179">
            <v>-975</v>
          </cell>
          <cell r="N179">
            <v>-858</v>
          </cell>
          <cell r="O179" t="str">
            <v>Kết Thúc GT</v>
          </cell>
        </row>
        <row r="180">
          <cell r="A180">
            <v>45756</v>
          </cell>
          <cell r="B180">
            <v>168</v>
          </cell>
          <cell r="C180">
            <v>5.0380000000000003</v>
          </cell>
          <cell r="D180">
            <v>6.2750000000000012</v>
          </cell>
          <cell r="E180">
            <v>6.0350000000000001</v>
          </cell>
          <cell r="F180">
            <v>3.9079999999999999</v>
          </cell>
          <cell r="G180">
            <v>-1.002</v>
          </cell>
          <cell r="H180">
            <v>3.0630000000000002</v>
          </cell>
          <cell r="I180">
            <v>-1.837</v>
          </cell>
          <cell r="J180">
            <v>3.544</v>
          </cell>
          <cell r="K180">
            <v>-1.3660000000000001</v>
          </cell>
          <cell r="L180">
            <v>-982</v>
          </cell>
          <cell r="M180">
            <v>-997</v>
          </cell>
          <cell r="N180">
            <v>-877.00000000000011</v>
          </cell>
          <cell r="O180"/>
        </row>
        <row r="181">
          <cell r="A181">
            <v>45760</v>
          </cell>
          <cell r="B181">
            <v>169</v>
          </cell>
          <cell r="C181">
            <v>5.008</v>
          </cell>
          <cell r="D181">
            <v>6.2750000000000012</v>
          </cell>
          <cell r="E181">
            <v>6.0350000000000001</v>
          </cell>
          <cell r="F181">
            <v>3.87</v>
          </cell>
          <cell r="G181">
            <v>-1.04</v>
          </cell>
          <cell r="H181">
            <v>3.0329999999999999</v>
          </cell>
          <cell r="I181">
            <v>-1.867</v>
          </cell>
          <cell r="J181">
            <v>3.52</v>
          </cell>
          <cell r="K181">
            <v>-1.39</v>
          </cell>
          <cell r="L181">
            <v>-1020</v>
          </cell>
          <cell r="M181">
            <v>-1027.0000000000002</v>
          </cell>
          <cell r="N181">
            <v>-900.99999999999989</v>
          </cell>
          <cell r="O181"/>
        </row>
        <row r="182">
          <cell r="A182">
            <v>45763</v>
          </cell>
          <cell r="B182">
            <v>170</v>
          </cell>
          <cell r="C182">
            <v>4.9870000000000001</v>
          </cell>
          <cell r="D182">
            <v>6.2750000000000012</v>
          </cell>
          <cell r="E182">
            <v>6.0350000000000001</v>
          </cell>
          <cell r="F182">
            <v>3.8479999999999999</v>
          </cell>
          <cell r="G182">
            <v>-1.0620000000000001</v>
          </cell>
          <cell r="H182">
            <v>3.012</v>
          </cell>
          <cell r="I182">
            <v>-1.8879999999999999</v>
          </cell>
          <cell r="J182">
            <v>3.504</v>
          </cell>
          <cell r="K182">
            <v>-1.4059999999999999</v>
          </cell>
          <cell r="L182">
            <v>-1042</v>
          </cell>
          <cell r="M182">
            <v>-1048</v>
          </cell>
          <cell r="N182">
            <v>-916.99999999999989</v>
          </cell>
          <cell r="O182"/>
        </row>
        <row r="183">
          <cell r="A183">
            <v>45767</v>
          </cell>
          <cell r="B183">
            <v>171</v>
          </cell>
          <cell r="C183">
            <v>4.9580000000000002</v>
          </cell>
          <cell r="D183">
            <v>6.2750000000000012</v>
          </cell>
          <cell r="E183">
            <v>6.0350000000000001</v>
          </cell>
          <cell r="F183">
            <v>3.8140000000000001</v>
          </cell>
          <cell r="G183">
            <v>-1.0960000000000001</v>
          </cell>
          <cell r="H183">
            <v>2.9830000000000001</v>
          </cell>
          <cell r="I183">
            <v>-1.917</v>
          </cell>
          <cell r="J183">
            <v>3.484</v>
          </cell>
          <cell r="K183">
            <v>-1.4259999999999999</v>
          </cell>
          <cell r="L183">
            <v>-1076</v>
          </cell>
          <cell r="M183">
            <v>-1077</v>
          </cell>
          <cell r="N183">
            <v>-937</v>
          </cell>
          <cell r="O183"/>
        </row>
        <row r="184">
          <cell r="A184">
            <v>45770</v>
          </cell>
          <cell r="B184">
            <v>172</v>
          </cell>
          <cell r="C184">
            <v>4.9400000000000004</v>
          </cell>
          <cell r="D184">
            <v>6.2750000000000012</v>
          </cell>
          <cell r="E184">
            <v>6.0350000000000001</v>
          </cell>
          <cell r="F184">
            <v>3.794</v>
          </cell>
          <cell r="G184">
            <v>-1.1160000000000001</v>
          </cell>
          <cell r="H184">
            <v>2.9649999999999999</v>
          </cell>
          <cell r="I184">
            <v>-1.9350000000000001</v>
          </cell>
          <cell r="J184">
            <v>3.468</v>
          </cell>
          <cell r="K184">
            <v>-1.4419999999999999</v>
          </cell>
          <cell r="L184">
            <v>-1096</v>
          </cell>
          <cell r="M184">
            <v>-1095.0000000000002</v>
          </cell>
          <cell r="N184">
            <v>-953</v>
          </cell>
          <cell r="O184"/>
        </row>
        <row r="185">
          <cell r="A185">
            <v>45774</v>
          </cell>
          <cell r="B185">
            <v>173</v>
          </cell>
          <cell r="C185">
            <v>4.9139999999999997</v>
          </cell>
          <cell r="D185">
            <v>6.2750000000000012</v>
          </cell>
          <cell r="E185">
            <v>6.0350000000000001</v>
          </cell>
          <cell r="F185">
            <v>3.7650000000000001</v>
          </cell>
          <cell r="G185">
            <v>-1.145</v>
          </cell>
          <cell r="H185">
            <v>2.9390000000000001</v>
          </cell>
          <cell r="I185">
            <v>-1.9610000000000001</v>
          </cell>
          <cell r="J185">
            <v>3.444</v>
          </cell>
          <cell r="K185">
            <v>-1.466</v>
          </cell>
          <cell r="L185">
            <v>-1125</v>
          </cell>
          <cell r="M185">
            <v>-1121</v>
          </cell>
          <cell r="N185">
            <v>-977</v>
          </cell>
          <cell r="O185"/>
        </row>
        <row r="186">
          <cell r="A186">
            <v>45777</v>
          </cell>
          <cell r="B186">
            <v>174</v>
          </cell>
          <cell r="C186">
            <v>4.8979999999999997</v>
          </cell>
          <cell r="D186">
            <v>6.2750000000000012</v>
          </cell>
          <cell r="E186">
            <v>6.0350000000000001</v>
          </cell>
          <cell r="F186">
            <v>3.746</v>
          </cell>
          <cell r="G186">
            <v>-1.1639999999999999</v>
          </cell>
          <cell r="H186">
            <v>2.923</v>
          </cell>
          <cell r="I186">
            <v>-1.9770000000000001</v>
          </cell>
          <cell r="J186">
            <v>3.43</v>
          </cell>
          <cell r="K186">
            <v>-1.48</v>
          </cell>
          <cell r="L186">
            <v>-1144</v>
          </cell>
          <cell r="M186">
            <v>-1137</v>
          </cell>
          <cell r="N186">
            <v>-991</v>
          </cell>
          <cell r="O186"/>
        </row>
        <row r="187">
          <cell r="A187">
            <v>45781</v>
          </cell>
          <cell r="B187">
            <v>175</v>
          </cell>
          <cell r="C187">
            <v>4.8739999999999997</v>
          </cell>
          <cell r="D187">
            <v>6.2750000000000012</v>
          </cell>
          <cell r="E187">
            <v>6.0350000000000001</v>
          </cell>
          <cell r="F187">
            <v>3.718</v>
          </cell>
          <cell r="G187">
            <v>-1.1919999999999999</v>
          </cell>
          <cell r="H187">
            <v>2.899</v>
          </cell>
          <cell r="I187">
            <v>-2.0009999999999999</v>
          </cell>
          <cell r="J187">
            <v>3.41</v>
          </cell>
          <cell r="K187">
            <v>-1.5</v>
          </cell>
          <cell r="L187">
            <v>-1172</v>
          </cell>
          <cell r="M187">
            <v>-1161</v>
          </cell>
          <cell r="N187">
            <v>-1011.0000000000001</v>
          </cell>
          <cell r="O187"/>
        </row>
        <row r="188">
          <cell r="A188">
            <v>45788</v>
          </cell>
          <cell r="B188">
            <v>176</v>
          </cell>
          <cell r="C188">
            <v>4.8289999999999997</v>
          </cell>
          <cell r="D188">
            <v>6.2750000000000012</v>
          </cell>
          <cell r="E188">
            <v>6.0350000000000001</v>
          </cell>
          <cell r="F188">
            <v>3.6779999999999999</v>
          </cell>
          <cell r="G188">
            <v>-1.232</v>
          </cell>
          <cell r="H188">
            <v>2.8540000000000001</v>
          </cell>
          <cell r="I188">
            <v>-2.0459999999999998</v>
          </cell>
          <cell r="J188">
            <v>3.375</v>
          </cell>
          <cell r="K188">
            <v>-1.5349999999999999</v>
          </cell>
          <cell r="L188">
            <v>-1212</v>
          </cell>
          <cell r="M188">
            <v>-1206</v>
          </cell>
          <cell r="N188">
            <v>-1045.9999999999998</v>
          </cell>
          <cell r="O188"/>
        </row>
        <row r="189">
          <cell r="A189">
            <v>45795</v>
          </cell>
          <cell r="B189">
            <v>177</v>
          </cell>
          <cell r="C189">
            <v>4.7850000000000001</v>
          </cell>
          <cell r="D189">
            <v>6.2750000000000012</v>
          </cell>
          <cell r="E189">
            <v>6.0350000000000001</v>
          </cell>
          <cell r="F189">
            <v>3.6429999999999998</v>
          </cell>
          <cell r="G189">
            <v>-1.2669999999999999</v>
          </cell>
          <cell r="H189">
            <v>2.81</v>
          </cell>
          <cell r="I189">
            <v>-2.09</v>
          </cell>
          <cell r="J189">
            <v>3.3420000000000001</v>
          </cell>
          <cell r="K189">
            <v>-1.5680000000000001</v>
          </cell>
          <cell r="L189">
            <v>-1247</v>
          </cell>
          <cell r="M189">
            <v>-1250</v>
          </cell>
          <cell r="N189">
            <v>-1079.0000000000002</v>
          </cell>
          <cell r="O189"/>
        </row>
        <row r="190">
          <cell r="A190">
            <v>45802</v>
          </cell>
          <cell r="B190">
            <v>178</v>
          </cell>
          <cell r="C190">
            <v>4.7450000000000001</v>
          </cell>
          <cell r="D190">
            <v>6.2750000000000012</v>
          </cell>
          <cell r="E190">
            <v>6.0350000000000001</v>
          </cell>
          <cell r="F190">
            <v>3.61</v>
          </cell>
          <cell r="G190">
            <v>-1.3</v>
          </cell>
          <cell r="H190">
            <v>2.77</v>
          </cell>
          <cell r="I190">
            <v>-2.13</v>
          </cell>
          <cell r="J190">
            <v>3.31</v>
          </cell>
          <cell r="K190">
            <v>-1.6</v>
          </cell>
          <cell r="L190">
            <v>-1280</v>
          </cell>
          <cell r="M190">
            <v>-1290</v>
          </cell>
          <cell r="N190">
            <v>-1111.0000000000002</v>
          </cell>
          <cell r="O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797D-51D0-4005-B141-1A2BE40A6891}">
  <sheetPr codeName="Sheet1">
    <tabColor rgb="FF00B0F0"/>
  </sheetPr>
  <dimension ref="A1:AE608"/>
  <sheetViews>
    <sheetView tabSelected="1" view="pageBreakPreview" zoomScale="80" zoomScaleNormal="80" zoomScaleSheetLayoutView="80" workbookViewId="0">
      <selection activeCell="R15" sqref="R15"/>
    </sheetView>
  </sheetViews>
  <sheetFormatPr defaultColWidth="9.296875" defaultRowHeight="13.2" customHeight="1"/>
  <cols>
    <col min="1" max="1" width="4.296875" style="1" customWidth="1"/>
    <col min="2" max="2" width="11" style="1" customWidth="1"/>
    <col min="3" max="3" width="8.8984375" style="3" customWidth="1"/>
    <col min="4" max="4" width="11.296875" style="1" bestFit="1" customWidth="1"/>
    <col min="5" max="16" width="8.3984375" style="1" customWidth="1"/>
    <col min="17" max="17" width="8.59765625" style="2" customWidth="1"/>
    <col min="18" max="18" width="6.69921875" style="2" customWidth="1"/>
    <col min="19" max="19" width="8" style="2" customWidth="1"/>
    <col min="20" max="21" width="10.296875" style="1" customWidth="1"/>
    <col min="22" max="23" width="12" style="1" customWidth="1"/>
    <col min="24" max="26" width="10.69921875" style="1" customWidth="1"/>
    <col min="27" max="27" width="16" style="1" customWidth="1"/>
    <col min="28" max="28" width="8.296875" style="1" customWidth="1"/>
    <col min="29" max="29" width="9.8984375" style="1" bestFit="1" customWidth="1"/>
    <col min="30" max="30" width="8.69921875" style="1" customWidth="1"/>
    <col min="31" max="31" width="11.69921875" style="1" customWidth="1"/>
    <col min="32" max="32" width="8.296875" style="1" bestFit="1" customWidth="1"/>
    <col min="33" max="33" width="9.296875" style="1" customWidth="1"/>
    <col min="34" max="16384" width="9.296875" style="1"/>
  </cols>
  <sheetData>
    <row r="1" spans="1:31" ht="13.2" customHeight="1">
      <c r="A1" s="176" t="s">
        <v>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</row>
    <row r="2" spans="1:31" ht="13.2" customHeight="1">
      <c r="A2" s="176" t="s">
        <v>55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</row>
    <row r="3" spans="1:31" ht="19.5" customHeight="1">
      <c r="A3" s="176" t="s">
        <v>54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</row>
    <row r="4" spans="1:31" ht="17.25" customHeight="1">
      <c r="A4" s="177" t="s">
        <v>53</v>
      </c>
      <c r="B4" s="178"/>
      <c r="C4" s="178"/>
      <c r="D4" s="178"/>
      <c r="E4" s="178"/>
      <c r="F4" s="178"/>
      <c r="G4" s="178"/>
      <c r="H4" s="179"/>
      <c r="I4" s="180" t="s">
        <v>52</v>
      </c>
      <c r="J4" s="181"/>
      <c r="K4" s="181"/>
      <c r="L4" s="181"/>
      <c r="M4" s="181"/>
      <c r="N4" s="181"/>
      <c r="O4" s="181"/>
      <c r="P4" s="181"/>
      <c r="Q4" s="181"/>
      <c r="R4" s="182"/>
      <c r="S4" s="180" t="s">
        <v>51</v>
      </c>
      <c r="T4" s="181"/>
      <c r="U4" s="181"/>
      <c r="V4" s="181"/>
      <c r="W4" s="181"/>
      <c r="X4" s="181"/>
      <c r="Y4" s="181"/>
      <c r="Z4" s="181"/>
      <c r="AA4" s="182"/>
    </row>
    <row r="5" spans="1:31" ht="55.05" customHeight="1">
      <c r="A5" s="183" t="s">
        <v>50</v>
      </c>
      <c r="B5" s="184"/>
      <c r="C5" s="184"/>
      <c r="D5" s="184"/>
      <c r="E5" s="184"/>
      <c r="F5" s="184"/>
      <c r="G5" s="184"/>
      <c r="H5" s="185"/>
      <c r="I5" s="165" t="s">
        <v>49</v>
      </c>
      <c r="J5" s="166"/>
      <c r="K5" s="166"/>
      <c r="L5" s="166"/>
      <c r="M5" s="166"/>
      <c r="N5" s="166"/>
      <c r="O5" s="166"/>
      <c r="P5" s="166"/>
      <c r="Q5" s="166"/>
      <c r="R5" s="167"/>
      <c r="S5" s="168" t="s">
        <v>48</v>
      </c>
      <c r="T5" s="169"/>
      <c r="U5" s="169"/>
      <c r="V5" s="169"/>
      <c r="W5" s="169"/>
      <c r="X5" s="169"/>
      <c r="Y5" s="169"/>
      <c r="Z5" s="169"/>
      <c r="AA5" s="170"/>
    </row>
    <row r="6" spans="1:31" ht="13.2" customHeight="1">
      <c r="A6" s="171" t="s">
        <v>47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3"/>
    </row>
    <row r="7" spans="1:31" ht="13.2" customHeight="1">
      <c r="A7" s="50" t="s">
        <v>46</v>
      </c>
      <c r="B7" s="48"/>
      <c r="C7" s="48"/>
      <c r="D7" s="48"/>
      <c r="E7" s="48"/>
      <c r="F7" s="48"/>
      <c r="G7" s="48"/>
      <c r="H7" s="48"/>
      <c r="I7" s="48"/>
      <c r="J7" s="49"/>
      <c r="K7" s="49" t="s">
        <v>45</v>
      </c>
      <c r="L7" s="49"/>
      <c r="M7" s="49"/>
      <c r="N7" s="49"/>
      <c r="O7" s="48"/>
      <c r="P7" s="48"/>
      <c r="Q7" s="48"/>
      <c r="R7" s="48"/>
      <c r="S7" s="48"/>
      <c r="T7" s="48"/>
      <c r="U7" s="48"/>
      <c r="V7" s="48"/>
      <c r="W7" s="47"/>
      <c r="X7" s="47"/>
      <c r="Y7" s="47"/>
      <c r="Z7" s="47"/>
      <c r="AA7" s="46"/>
    </row>
    <row r="8" spans="1:31" ht="13.2" customHeight="1">
      <c r="A8" s="45" t="s">
        <v>44</v>
      </c>
      <c r="B8" s="42"/>
      <c r="C8" s="42" t="s">
        <v>43</v>
      </c>
      <c r="D8" s="42"/>
      <c r="E8" s="42"/>
      <c r="F8" s="42"/>
      <c r="G8" s="42"/>
      <c r="H8" s="42"/>
      <c r="I8" s="42"/>
      <c r="J8" s="43"/>
      <c r="K8" s="43" t="s">
        <v>42</v>
      </c>
      <c r="L8" s="43"/>
      <c r="M8" s="44">
        <f>C13</f>
        <v>1026</v>
      </c>
      <c r="N8" s="43"/>
      <c r="O8" s="42"/>
      <c r="P8" s="42"/>
      <c r="Q8" s="42"/>
      <c r="R8" s="42"/>
      <c r="S8" s="42"/>
      <c r="T8" s="42"/>
      <c r="U8" s="42"/>
      <c r="V8" s="42"/>
      <c r="W8" s="41"/>
      <c r="X8" s="41"/>
      <c r="Y8" s="41"/>
      <c r="Z8" s="41"/>
      <c r="AA8" s="40"/>
    </row>
    <row r="9" spans="1:31" ht="13.2" customHeight="1">
      <c r="A9" s="39" t="s">
        <v>41</v>
      </c>
      <c r="B9" s="37"/>
      <c r="C9" s="37" t="s">
        <v>40</v>
      </c>
      <c r="D9" s="37"/>
      <c r="E9" s="37"/>
      <c r="F9" s="37"/>
      <c r="G9" s="37"/>
      <c r="H9" s="37"/>
      <c r="I9" s="37"/>
      <c r="J9" s="38"/>
      <c r="K9" s="38" t="s">
        <v>39</v>
      </c>
      <c r="L9" s="38"/>
      <c r="M9" s="174">
        <f>B13</f>
        <v>45243</v>
      </c>
      <c r="N9" s="174"/>
      <c r="O9" s="37"/>
      <c r="P9" s="37"/>
      <c r="Q9" s="37"/>
      <c r="R9" s="37"/>
      <c r="S9" s="37"/>
      <c r="T9" s="37"/>
      <c r="U9" s="37"/>
      <c r="V9" s="37"/>
      <c r="W9" s="36"/>
      <c r="X9" s="36"/>
      <c r="Y9" s="36"/>
      <c r="Z9" s="36"/>
      <c r="AA9" s="35"/>
    </row>
    <row r="10" spans="1:31" ht="13.2" customHeight="1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</row>
    <row r="11" spans="1:31" ht="60" customHeight="1">
      <c r="A11" s="160" t="s">
        <v>38</v>
      </c>
      <c r="B11" s="160" t="s">
        <v>37</v>
      </c>
      <c r="C11" s="160" t="s">
        <v>36</v>
      </c>
      <c r="D11" s="160" t="s">
        <v>35</v>
      </c>
      <c r="E11" s="154" t="s">
        <v>34</v>
      </c>
      <c r="F11" s="155"/>
      <c r="G11" s="156"/>
      <c r="H11" s="154" t="s">
        <v>33</v>
      </c>
      <c r="I11" s="155"/>
      <c r="J11" s="156"/>
      <c r="K11" s="154" t="s">
        <v>32</v>
      </c>
      <c r="L11" s="155"/>
      <c r="M11" s="156"/>
      <c r="N11" s="154" t="s">
        <v>31</v>
      </c>
      <c r="O11" s="155"/>
      <c r="P11" s="156"/>
      <c r="Q11" s="157" t="s">
        <v>30</v>
      </c>
      <c r="R11" s="158"/>
      <c r="S11" s="159"/>
      <c r="T11" s="160" t="s">
        <v>29</v>
      </c>
      <c r="U11" s="162" t="s">
        <v>28</v>
      </c>
      <c r="V11" s="163"/>
      <c r="W11" s="164"/>
      <c r="X11" s="160" t="s">
        <v>27</v>
      </c>
      <c r="Y11" s="160" t="s">
        <v>26</v>
      </c>
      <c r="Z11" s="160" t="s">
        <v>25</v>
      </c>
      <c r="AA11" s="160" t="s">
        <v>24</v>
      </c>
    </row>
    <row r="12" spans="1:31" ht="60" customHeight="1">
      <c r="A12" s="161"/>
      <c r="B12" s="161"/>
      <c r="C12" s="161"/>
      <c r="D12" s="161"/>
      <c r="E12" s="34" t="s">
        <v>23</v>
      </c>
      <c r="F12" s="34" t="s">
        <v>22</v>
      </c>
      <c r="G12" s="34" t="s">
        <v>21</v>
      </c>
      <c r="H12" s="34" t="s">
        <v>23</v>
      </c>
      <c r="I12" s="34" t="s">
        <v>22</v>
      </c>
      <c r="J12" s="34" t="s">
        <v>21</v>
      </c>
      <c r="K12" s="34" t="s">
        <v>23</v>
      </c>
      <c r="L12" s="34" t="s">
        <v>22</v>
      </c>
      <c r="M12" s="34" t="s">
        <v>21</v>
      </c>
      <c r="N12" s="34" t="s">
        <v>23</v>
      </c>
      <c r="O12" s="34" t="s">
        <v>22</v>
      </c>
      <c r="P12" s="34" t="s">
        <v>21</v>
      </c>
      <c r="Q12" s="34" t="s">
        <v>23</v>
      </c>
      <c r="R12" s="34" t="s">
        <v>22</v>
      </c>
      <c r="S12" s="34" t="s">
        <v>21</v>
      </c>
      <c r="T12" s="161"/>
      <c r="U12" s="34" t="s">
        <v>23</v>
      </c>
      <c r="V12" s="34" t="s">
        <v>22</v>
      </c>
      <c r="W12" s="34" t="s">
        <v>21</v>
      </c>
      <c r="X12" s="161"/>
      <c r="Y12" s="161"/>
      <c r="Z12" s="161"/>
      <c r="AA12" s="161"/>
      <c r="AC12" s="1" t="s">
        <v>20</v>
      </c>
      <c r="AE12" s="33">
        <v>44849</v>
      </c>
    </row>
    <row r="13" spans="1:31" ht="16.5" customHeight="1">
      <c r="A13" s="17">
        <v>1</v>
      </c>
      <c r="B13" s="22">
        <v>45243</v>
      </c>
      <c r="C13" s="17">
        <v>1026</v>
      </c>
      <c r="D13" s="24">
        <v>1381</v>
      </c>
      <c r="E13" s="7">
        <f t="shared" ref="E13:E44" si="0">C13+D13-H13</f>
        <v>1528</v>
      </c>
      <c r="F13" s="7">
        <f t="shared" ref="F13:F44" si="1">C13+D13-I13</f>
        <v>1530</v>
      </c>
      <c r="G13" s="7">
        <f t="shared" ref="G13:G44" si="2">D13+C13-J13</f>
        <v>1520</v>
      </c>
      <c r="H13" s="7">
        <f t="shared" ref="H13:H44" si="3">K13+N13</f>
        <v>879</v>
      </c>
      <c r="I13" s="7">
        <f t="shared" ref="I13:I44" si="4">L13+O13</f>
        <v>877</v>
      </c>
      <c r="J13" s="7">
        <f t="shared" ref="J13:J44" si="5">M13+P13</f>
        <v>887</v>
      </c>
      <c r="K13" s="7">
        <v>1000</v>
      </c>
      <c r="L13" s="7">
        <v>1000</v>
      </c>
      <c r="M13" s="7">
        <v>1000</v>
      </c>
      <c r="N13" s="7">
        <v>-121</v>
      </c>
      <c r="O13" s="7">
        <v>-123</v>
      </c>
      <c r="P13" s="7">
        <v>-113</v>
      </c>
      <c r="Q13" s="15">
        <v>0</v>
      </c>
      <c r="R13" s="15">
        <v>0</v>
      </c>
      <c r="S13" s="15">
        <v>0</v>
      </c>
      <c r="T13" s="19">
        <f t="shared" ref="T13:T44" si="6">D13+C13-V13</f>
        <v>2530</v>
      </c>
      <c r="U13" s="19">
        <f>N13</f>
        <v>-121</v>
      </c>
      <c r="V13" s="19">
        <f>O13</f>
        <v>-123</v>
      </c>
      <c r="W13" s="19">
        <f>P13</f>
        <v>-113</v>
      </c>
      <c r="X13" s="7"/>
      <c r="Y13" s="7"/>
      <c r="Z13" s="7"/>
      <c r="AA13" s="32" t="s">
        <v>19</v>
      </c>
    </row>
    <row r="14" spans="1:31" ht="16.5" customHeight="1">
      <c r="A14" s="17">
        <v>2</v>
      </c>
      <c r="B14" s="22">
        <f>B13+1</f>
        <v>45244</v>
      </c>
      <c r="C14" s="17">
        <f t="shared" ref="C14:C45" si="7">C13</f>
        <v>1026</v>
      </c>
      <c r="D14" s="24">
        <v>1100</v>
      </c>
      <c r="E14" s="7">
        <f t="shared" si="0"/>
        <v>1247</v>
      </c>
      <c r="F14" s="7">
        <f t="shared" si="1"/>
        <v>1249</v>
      </c>
      <c r="G14" s="7">
        <f t="shared" si="2"/>
        <v>1239</v>
      </c>
      <c r="H14" s="7">
        <f t="shared" si="3"/>
        <v>879</v>
      </c>
      <c r="I14" s="7">
        <f t="shared" si="4"/>
        <v>877</v>
      </c>
      <c r="J14" s="7">
        <f t="shared" si="5"/>
        <v>887</v>
      </c>
      <c r="K14" s="7">
        <f t="shared" ref="K14:K26" si="8">K13</f>
        <v>1000</v>
      </c>
      <c r="L14" s="7">
        <f t="shared" ref="L14:L26" si="9">L13</f>
        <v>1000</v>
      </c>
      <c r="M14" s="7">
        <f t="shared" ref="M14:M26" si="10">M13</f>
        <v>1000</v>
      </c>
      <c r="N14" s="7">
        <f t="shared" ref="N14:N45" si="11">N13-Q14</f>
        <v>-121</v>
      </c>
      <c r="O14" s="7">
        <f t="shared" ref="O14:O45" si="12">O13-R14</f>
        <v>-123</v>
      </c>
      <c r="P14" s="7">
        <f t="shared" ref="P14:P45" si="13">P13-S14</f>
        <v>-113</v>
      </c>
      <c r="Q14" s="15">
        <v>0</v>
      </c>
      <c r="R14" s="15">
        <v>0</v>
      </c>
      <c r="S14" s="15">
        <v>0</v>
      </c>
      <c r="T14" s="19">
        <f t="shared" si="6"/>
        <v>2249</v>
      </c>
      <c r="U14" s="19">
        <f t="shared" ref="U14:U27" si="14">U13-Q14</f>
        <v>-121</v>
      </c>
      <c r="V14" s="19">
        <f t="shared" ref="V14:V27" si="15">V13-R14</f>
        <v>-123</v>
      </c>
      <c r="W14" s="19">
        <f t="shared" ref="W14:W27" si="16">W13-S14</f>
        <v>-113</v>
      </c>
      <c r="X14" s="7"/>
      <c r="Y14" s="7"/>
      <c r="Z14" s="7"/>
      <c r="AA14" s="20" t="s">
        <v>18</v>
      </c>
    </row>
    <row r="15" spans="1:31" ht="16.5" customHeight="1">
      <c r="A15" s="17">
        <v>3</v>
      </c>
      <c r="B15" s="22">
        <f>B14+1</f>
        <v>45245</v>
      </c>
      <c r="C15" s="17">
        <f t="shared" si="7"/>
        <v>1026</v>
      </c>
      <c r="D15" s="24">
        <v>1488</v>
      </c>
      <c r="E15" s="7">
        <f t="shared" si="0"/>
        <v>1635</v>
      </c>
      <c r="F15" s="7">
        <f t="shared" si="1"/>
        <v>1637</v>
      </c>
      <c r="G15" s="7">
        <f t="shared" si="2"/>
        <v>1627</v>
      </c>
      <c r="H15" s="7">
        <f t="shared" si="3"/>
        <v>879</v>
      </c>
      <c r="I15" s="7">
        <f t="shared" si="4"/>
        <v>877</v>
      </c>
      <c r="J15" s="7">
        <f t="shared" si="5"/>
        <v>887</v>
      </c>
      <c r="K15" s="7">
        <f t="shared" si="8"/>
        <v>1000</v>
      </c>
      <c r="L15" s="7">
        <f t="shared" si="9"/>
        <v>1000</v>
      </c>
      <c r="M15" s="7">
        <f t="shared" si="10"/>
        <v>1000</v>
      </c>
      <c r="N15" s="7">
        <f t="shared" si="11"/>
        <v>-121</v>
      </c>
      <c r="O15" s="7">
        <f t="shared" si="12"/>
        <v>-123</v>
      </c>
      <c r="P15" s="7">
        <f t="shared" si="13"/>
        <v>-113</v>
      </c>
      <c r="Q15" s="15">
        <v>0</v>
      </c>
      <c r="R15" s="15">
        <v>0</v>
      </c>
      <c r="S15" s="15">
        <v>0</v>
      </c>
      <c r="T15" s="19">
        <f t="shared" si="6"/>
        <v>2637</v>
      </c>
      <c r="U15" s="19">
        <f t="shared" si="14"/>
        <v>-121</v>
      </c>
      <c r="V15" s="19">
        <f t="shared" si="15"/>
        <v>-123</v>
      </c>
      <c r="W15" s="19">
        <f t="shared" si="16"/>
        <v>-113</v>
      </c>
      <c r="X15" s="7"/>
      <c r="Y15" s="7"/>
      <c r="Z15" s="7"/>
      <c r="AA15" s="7"/>
    </row>
    <row r="16" spans="1:31" ht="16.5" customHeight="1">
      <c r="A16" s="17">
        <v>4</v>
      </c>
      <c r="B16" s="22">
        <f>B15+4</f>
        <v>45249</v>
      </c>
      <c r="C16" s="17">
        <f t="shared" si="7"/>
        <v>1026</v>
      </c>
      <c r="D16" s="24">
        <v>1309</v>
      </c>
      <c r="E16" s="7">
        <f t="shared" si="0"/>
        <v>1456</v>
      </c>
      <c r="F16" s="7">
        <f t="shared" si="1"/>
        <v>1458</v>
      </c>
      <c r="G16" s="7">
        <f t="shared" si="2"/>
        <v>1448</v>
      </c>
      <c r="H16" s="7">
        <f t="shared" si="3"/>
        <v>879</v>
      </c>
      <c r="I16" s="7">
        <f t="shared" si="4"/>
        <v>877</v>
      </c>
      <c r="J16" s="7">
        <f t="shared" si="5"/>
        <v>887</v>
      </c>
      <c r="K16" s="7">
        <f t="shared" si="8"/>
        <v>1000</v>
      </c>
      <c r="L16" s="7">
        <f t="shared" si="9"/>
        <v>1000</v>
      </c>
      <c r="M16" s="7">
        <f t="shared" si="10"/>
        <v>1000</v>
      </c>
      <c r="N16" s="7">
        <f t="shared" si="11"/>
        <v>-121</v>
      </c>
      <c r="O16" s="7">
        <f t="shared" si="12"/>
        <v>-123</v>
      </c>
      <c r="P16" s="7">
        <f t="shared" si="13"/>
        <v>-113</v>
      </c>
      <c r="Q16" s="15">
        <v>0</v>
      </c>
      <c r="R16" s="15">
        <v>0</v>
      </c>
      <c r="S16" s="15">
        <v>0</v>
      </c>
      <c r="T16" s="19">
        <f t="shared" si="6"/>
        <v>2458</v>
      </c>
      <c r="U16" s="19">
        <f t="shared" si="14"/>
        <v>-121</v>
      </c>
      <c r="V16" s="19">
        <f t="shared" si="15"/>
        <v>-123</v>
      </c>
      <c r="W16" s="19">
        <f t="shared" si="16"/>
        <v>-113</v>
      </c>
      <c r="X16" s="7"/>
      <c r="Y16" s="7"/>
      <c r="Z16" s="7"/>
      <c r="AA16" s="7"/>
    </row>
    <row r="17" spans="1:27" ht="16.5" customHeight="1">
      <c r="A17" s="17">
        <v>5</v>
      </c>
      <c r="B17" s="22">
        <f>B16+3</f>
        <v>45252</v>
      </c>
      <c r="C17" s="17">
        <f t="shared" si="7"/>
        <v>1026</v>
      </c>
      <c r="D17" s="24">
        <v>1374</v>
      </c>
      <c r="E17" s="7">
        <f t="shared" si="0"/>
        <v>1521</v>
      </c>
      <c r="F17" s="7">
        <f t="shared" si="1"/>
        <v>1523</v>
      </c>
      <c r="G17" s="7">
        <f t="shared" si="2"/>
        <v>1513</v>
      </c>
      <c r="H17" s="7">
        <f t="shared" si="3"/>
        <v>879</v>
      </c>
      <c r="I17" s="7">
        <f t="shared" si="4"/>
        <v>877</v>
      </c>
      <c r="J17" s="7">
        <f t="shared" si="5"/>
        <v>887</v>
      </c>
      <c r="K17" s="7">
        <f t="shared" si="8"/>
        <v>1000</v>
      </c>
      <c r="L17" s="7">
        <f t="shared" si="9"/>
        <v>1000</v>
      </c>
      <c r="M17" s="7">
        <f t="shared" si="10"/>
        <v>1000</v>
      </c>
      <c r="N17" s="7">
        <f t="shared" si="11"/>
        <v>-121</v>
      </c>
      <c r="O17" s="7">
        <f t="shared" si="12"/>
        <v>-123</v>
      </c>
      <c r="P17" s="7">
        <f t="shared" si="13"/>
        <v>-113</v>
      </c>
      <c r="Q17" s="15">
        <v>0</v>
      </c>
      <c r="R17" s="15">
        <v>0</v>
      </c>
      <c r="S17" s="15">
        <v>0</v>
      </c>
      <c r="T17" s="19">
        <f t="shared" si="6"/>
        <v>2523</v>
      </c>
      <c r="U17" s="19">
        <f t="shared" si="14"/>
        <v>-121</v>
      </c>
      <c r="V17" s="19">
        <f t="shared" si="15"/>
        <v>-123</v>
      </c>
      <c r="W17" s="19">
        <f t="shared" si="16"/>
        <v>-113</v>
      </c>
      <c r="X17" s="7"/>
      <c r="Y17" s="7"/>
      <c r="Z17" s="7"/>
      <c r="AA17" s="7"/>
    </row>
    <row r="18" spans="1:27" ht="16.5" customHeight="1">
      <c r="A18" s="17">
        <v>6</v>
      </c>
      <c r="B18" s="22">
        <f>B17+7</f>
        <v>45259</v>
      </c>
      <c r="C18" s="17">
        <f t="shared" si="7"/>
        <v>1026</v>
      </c>
      <c r="D18" s="24">
        <v>1448</v>
      </c>
      <c r="E18" s="7">
        <f t="shared" si="0"/>
        <v>1595</v>
      </c>
      <c r="F18" s="7">
        <f t="shared" si="1"/>
        <v>1597</v>
      </c>
      <c r="G18" s="7">
        <f t="shared" si="2"/>
        <v>1587</v>
      </c>
      <c r="H18" s="7">
        <f t="shared" si="3"/>
        <v>879</v>
      </c>
      <c r="I18" s="7">
        <f t="shared" si="4"/>
        <v>877</v>
      </c>
      <c r="J18" s="7">
        <f t="shared" si="5"/>
        <v>887</v>
      </c>
      <c r="K18" s="7">
        <f t="shared" si="8"/>
        <v>1000</v>
      </c>
      <c r="L18" s="7">
        <f t="shared" si="9"/>
        <v>1000</v>
      </c>
      <c r="M18" s="7">
        <f t="shared" si="10"/>
        <v>1000</v>
      </c>
      <c r="N18" s="7">
        <f t="shared" si="11"/>
        <v>-121</v>
      </c>
      <c r="O18" s="7">
        <f t="shared" si="12"/>
        <v>-123</v>
      </c>
      <c r="P18" s="7">
        <f t="shared" si="13"/>
        <v>-113</v>
      </c>
      <c r="Q18" s="15">
        <v>0</v>
      </c>
      <c r="R18" s="15">
        <v>0</v>
      </c>
      <c r="S18" s="15">
        <v>0</v>
      </c>
      <c r="T18" s="19">
        <f t="shared" si="6"/>
        <v>2597</v>
      </c>
      <c r="U18" s="19">
        <f t="shared" si="14"/>
        <v>-121</v>
      </c>
      <c r="V18" s="19">
        <f t="shared" si="15"/>
        <v>-123</v>
      </c>
      <c r="W18" s="19">
        <f t="shared" si="16"/>
        <v>-113</v>
      </c>
      <c r="X18" s="7"/>
      <c r="Y18" s="7"/>
      <c r="Z18" s="5"/>
      <c r="AA18" s="5"/>
    </row>
    <row r="19" spans="1:27" ht="16.5" customHeight="1">
      <c r="A19" s="17">
        <v>7</v>
      </c>
      <c r="B19" s="22">
        <f>B18+4</f>
        <v>45263</v>
      </c>
      <c r="C19" s="17">
        <f t="shared" si="7"/>
        <v>1026</v>
      </c>
      <c r="D19" s="24">
        <v>1495</v>
      </c>
      <c r="E19" s="7">
        <f t="shared" si="0"/>
        <v>1642</v>
      </c>
      <c r="F19" s="7">
        <f t="shared" si="1"/>
        <v>1644</v>
      </c>
      <c r="G19" s="7">
        <f t="shared" si="2"/>
        <v>1634</v>
      </c>
      <c r="H19" s="7">
        <f t="shared" si="3"/>
        <v>879</v>
      </c>
      <c r="I19" s="7">
        <f t="shared" si="4"/>
        <v>877</v>
      </c>
      <c r="J19" s="7">
        <f t="shared" si="5"/>
        <v>887</v>
      </c>
      <c r="K19" s="7">
        <f t="shared" si="8"/>
        <v>1000</v>
      </c>
      <c r="L19" s="7">
        <f t="shared" si="9"/>
        <v>1000</v>
      </c>
      <c r="M19" s="7">
        <f t="shared" si="10"/>
        <v>1000</v>
      </c>
      <c r="N19" s="7">
        <f t="shared" si="11"/>
        <v>-121</v>
      </c>
      <c r="O19" s="7">
        <f t="shared" si="12"/>
        <v>-123</v>
      </c>
      <c r="P19" s="7">
        <f t="shared" si="13"/>
        <v>-113</v>
      </c>
      <c r="Q19" s="15">
        <v>0</v>
      </c>
      <c r="R19" s="15">
        <v>0</v>
      </c>
      <c r="S19" s="15">
        <v>0</v>
      </c>
      <c r="T19" s="19">
        <f t="shared" si="6"/>
        <v>2644</v>
      </c>
      <c r="U19" s="19">
        <f t="shared" si="14"/>
        <v>-121</v>
      </c>
      <c r="V19" s="19">
        <f t="shared" si="15"/>
        <v>-123</v>
      </c>
      <c r="W19" s="19">
        <f t="shared" si="16"/>
        <v>-113</v>
      </c>
      <c r="X19" s="7"/>
      <c r="Y19" s="7"/>
      <c r="Z19" s="7"/>
      <c r="AA19" s="7"/>
    </row>
    <row r="20" spans="1:27" ht="16.5" customHeight="1">
      <c r="A20" s="17">
        <v>8</v>
      </c>
      <c r="B20" s="22">
        <f t="shared" ref="B20:B37" si="17">B19+1</f>
        <v>45264</v>
      </c>
      <c r="C20" s="17">
        <f t="shared" si="7"/>
        <v>1026</v>
      </c>
      <c r="D20" s="24">
        <v>1152</v>
      </c>
      <c r="E20" s="7">
        <f t="shared" si="0"/>
        <v>1299</v>
      </c>
      <c r="F20" s="7">
        <f t="shared" si="1"/>
        <v>1301</v>
      </c>
      <c r="G20" s="7">
        <f t="shared" si="2"/>
        <v>1291</v>
      </c>
      <c r="H20" s="7">
        <f t="shared" si="3"/>
        <v>879</v>
      </c>
      <c r="I20" s="7">
        <f t="shared" si="4"/>
        <v>877</v>
      </c>
      <c r="J20" s="7">
        <f t="shared" si="5"/>
        <v>887</v>
      </c>
      <c r="K20" s="7">
        <f t="shared" si="8"/>
        <v>1000</v>
      </c>
      <c r="L20" s="7">
        <f t="shared" si="9"/>
        <v>1000</v>
      </c>
      <c r="M20" s="7">
        <f t="shared" si="10"/>
        <v>1000</v>
      </c>
      <c r="N20" s="7">
        <f t="shared" si="11"/>
        <v>-121</v>
      </c>
      <c r="O20" s="7">
        <f t="shared" si="12"/>
        <v>-123</v>
      </c>
      <c r="P20" s="7">
        <f t="shared" si="13"/>
        <v>-113</v>
      </c>
      <c r="Q20" s="15">
        <v>0</v>
      </c>
      <c r="R20" s="15">
        <v>0</v>
      </c>
      <c r="S20" s="15">
        <v>0</v>
      </c>
      <c r="T20" s="19">
        <f t="shared" si="6"/>
        <v>2301</v>
      </c>
      <c r="U20" s="19">
        <f t="shared" si="14"/>
        <v>-121</v>
      </c>
      <c r="V20" s="19">
        <f t="shared" si="15"/>
        <v>-123</v>
      </c>
      <c r="W20" s="19">
        <f t="shared" si="16"/>
        <v>-113</v>
      </c>
      <c r="X20" s="7"/>
      <c r="Y20" s="7"/>
      <c r="Z20" s="7"/>
      <c r="AA20" s="7"/>
    </row>
    <row r="21" spans="1:27" ht="16.5" customHeight="1">
      <c r="A21" s="17">
        <v>9</v>
      </c>
      <c r="B21" s="22">
        <f t="shared" si="17"/>
        <v>45265</v>
      </c>
      <c r="C21" s="17">
        <f t="shared" si="7"/>
        <v>1026</v>
      </c>
      <c r="D21" s="24">
        <v>1480</v>
      </c>
      <c r="E21" s="7">
        <f t="shared" si="0"/>
        <v>1627</v>
      </c>
      <c r="F21" s="7">
        <f t="shared" si="1"/>
        <v>1629</v>
      </c>
      <c r="G21" s="7">
        <f t="shared" si="2"/>
        <v>1619</v>
      </c>
      <c r="H21" s="7">
        <f t="shared" si="3"/>
        <v>879</v>
      </c>
      <c r="I21" s="7">
        <f t="shared" si="4"/>
        <v>877</v>
      </c>
      <c r="J21" s="7">
        <f t="shared" si="5"/>
        <v>887</v>
      </c>
      <c r="K21" s="7">
        <f t="shared" si="8"/>
        <v>1000</v>
      </c>
      <c r="L21" s="7">
        <f t="shared" si="9"/>
        <v>1000</v>
      </c>
      <c r="M21" s="7">
        <f t="shared" si="10"/>
        <v>1000</v>
      </c>
      <c r="N21" s="7">
        <f t="shared" si="11"/>
        <v>-121</v>
      </c>
      <c r="O21" s="7">
        <f t="shared" si="12"/>
        <v>-123</v>
      </c>
      <c r="P21" s="7">
        <f t="shared" si="13"/>
        <v>-113</v>
      </c>
      <c r="Q21" s="15">
        <v>0</v>
      </c>
      <c r="R21" s="15">
        <v>0</v>
      </c>
      <c r="S21" s="15">
        <v>0</v>
      </c>
      <c r="T21" s="19">
        <f t="shared" si="6"/>
        <v>2629</v>
      </c>
      <c r="U21" s="19">
        <f t="shared" si="14"/>
        <v>-121</v>
      </c>
      <c r="V21" s="19">
        <f t="shared" si="15"/>
        <v>-123</v>
      </c>
      <c r="W21" s="19">
        <f t="shared" si="16"/>
        <v>-113</v>
      </c>
      <c r="X21" s="7"/>
      <c r="Y21" s="7"/>
      <c r="Z21" s="7"/>
      <c r="AA21" s="7"/>
    </row>
    <row r="22" spans="1:27" ht="16.5" customHeight="1">
      <c r="A22" s="17">
        <v>10</v>
      </c>
      <c r="B22" s="22">
        <f t="shared" si="17"/>
        <v>45266</v>
      </c>
      <c r="C22" s="17">
        <f t="shared" si="7"/>
        <v>1026</v>
      </c>
      <c r="D22" s="24">
        <v>1252</v>
      </c>
      <c r="E22" s="7">
        <f t="shared" si="0"/>
        <v>1399</v>
      </c>
      <c r="F22" s="7">
        <f t="shared" si="1"/>
        <v>1401</v>
      </c>
      <c r="G22" s="7">
        <f t="shared" si="2"/>
        <v>1391</v>
      </c>
      <c r="H22" s="7">
        <f t="shared" si="3"/>
        <v>879</v>
      </c>
      <c r="I22" s="7">
        <f t="shared" si="4"/>
        <v>877</v>
      </c>
      <c r="J22" s="7">
        <f t="shared" si="5"/>
        <v>887</v>
      </c>
      <c r="K22" s="7">
        <f t="shared" si="8"/>
        <v>1000</v>
      </c>
      <c r="L22" s="7">
        <f t="shared" si="9"/>
        <v>1000</v>
      </c>
      <c r="M22" s="7">
        <f t="shared" si="10"/>
        <v>1000</v>
      </c>
      <c r="N22" s="7">
        <f t="shared" si="11"/>
        <v>-121</v>
      </c>
      <c r="O22" s="7">
        <f t="shared" si="12"/>
        <v>-123</v>
      </c>
      <c r="P22" s="7">
        <f t="shared" si="13"/>
        <v>-113</v>
      </c>
      <c r="Q22" s="15">
        <v>0</v>
      </c>
      <c r="R22" s="15">
        <v>0</v>
      </c>
      <c r="S22" s="15">
        <v>0</v>
      </c>
      <c r="T22" s="19">
        <f t="shared" si="6"/>
        <v>2401</v>
      </c>
      <c r="U22" s="19">
        <f t="shared" si="14"/>
        <v>-121</v>
      </c>
      <c r="V22" s="19">
        <f t="shared" si="15"/>
        <v>-123</v>
      </c>
      <c r="W22" s="19">
        <f t="shared" si="16"/>
        <v>-113</v>
      </c>
      <c r="X22" s="7"/>
      <c r="Y22" s="7"/>
      <c r="Z22" s="7"/>
      <c r="AA22" s="7"/>
    </row>
    <row r="23" spans="1:27" ht="16.5" customHeight="1">
      <c r="A23" s="17">
        <v>11</v>
      </c>
      <c r="B23" s="22">
        <f t="shared" si="17"/>
        <v>45267</v>
      </c>
      <c r="C23" s="17">
        <f t="shared" si="7"/>
        <v>1026</v>
      </c>
      <c r="D23" s="24">
        <v>1432</v>
      </c>
      <c r="E23" s="7">
        <f t="shared" si="0"/>
        <v>1579</v>
      </c>
      <c r="F23" s="7">
        <f t="shared" si="1"/>
        <v>1581</v>
      </c>
      <c r="G23" s="7">
        <f t="shared" si="2"/>
        <v>1571</v>
      </c>
      <c r="H23" s="7">
        <f t="shared" si="3"/>
        <v>879</v>
      </c>
      <c r="I23" s="7">
        <f t="shared" si="4"/>
        <v>877</v>
      </c>
      <c r="J23" s="7">
        <f t="shared" si="5"/>
        <v>887</v>
      </c>
      <c r="K23" s="7">
        <f t="shared" si="8"/>
        <v>1000</v>
      </c>
      <c r="L23" s="7">
        <f t="shared" si="9"/>
        <v>1000</v>
      </c>
      <c r="M23" s="7">
        <f t="shared" si="10"/>
        <v>1000</v>
      </c>
      <c r="N23" s="7">
        <f t="shared" si="11"/>
        <v>-121</v>
      </c>
      <c r="O23" s="7">
        <f t="shared" si="12"/>
        <v>-123</v>
      </c>
      <c r="P23" s="7">
        <f t="shared" si="13"/>
        <v>-113</v>
      </c>
      <c r="Q23" s="15">
        <v>0</v>
      </c>
      <c r="R23" s="15">
        <v>0</v>
      </c>
      <c r="S23" s="15">
        <v>0</v>
      </c>
      <c r="T23" s="19">
        <f t="shared" si="6"/>
        <v>2581</v>
      </c>
      <c r="U23" s="19">
        <f t="shared" si="14"/>
        <v>-121</v>
      </c>
      <c r="V23" s="19">
        <f t="shared" si="15"/>
        <v>-123</v>
      </c>
      <c r="W23" s="19">
        <f t="shared" si="16"/>
        <v>-113</v>
      </c>
      <c r="X23" s="7"/>
      <c r="Y23" s="5"/>
      <c r="Z23" s="5"/>
      <c r="AA23" s="5"/>
    </row>
    <row r="24" spans="1:27" ht="16.5" customHeight="1">
      <c r="A24" s="17">
        <v>12</v>
      </c>
      <c r="B24" s="22">
        <f t="shared" si="17"/>
        <v>45268</v>
      </c>
      <c r="C24" s="17">
        <f t="shared" si="7"/>
        <v>1026</v>
      </c>
      <c r="D24" s="24">
        <v>1112</v>
      </c>
      <c r="E24" s="7">
        <f t="shared" si="0"/>
        <v>1259</v>
      </c>
      <c r="F24" s="7">
        <f t="shared" si="1"/>
        <v>1261</v>
      </c>
      <c r="G24" s="7">
        <f t="shared" si="2"/>
        <v>1251</v>
      </c>
      <c r="H24" s="7">
        <f t="shared" si="3"/>
        <v>879</v>
      </c>
      <c r="I24" s="7">
        <f t="shared" si="4"/>
        <v>877</v>
      </c>
      <c r="J24" s="7">
        <f t="shared" si="5"/>
        <v>887</v>
      </c>
      <c r="K24" s="7">
        <f t="shared" si="8"/>
        <v>1000</v>
      </c>
      <c r="L24" s="7">
        <f t="shared" si="9"/>
        <v>1000</v>
      </c>
      <c r="M24" s="7">
        <f t="shared" si="10"/>
        <v>1000</v>
      </c>
      <c r="N24" s="7">
        <f t="shared" si="11"/>
        <v>-121</v>
      </c>
      <c r="O24" s="7">
        <f t="shared" si="12"/>
        <v>-123</v>
      </c>
      <c r="P24" s="7">
        <f t="shared" si="13"/>
        <v>-113</v>
      </c>
      <c r="Q24" s="15">
        <v>0</v>
      </c>
      <c r="R24" s="15">
        <v>0</v>
      </c>
      <c r="S24" s="15">
        <v>0</v>
      </c>
      <c r="T24" s="19">
        <f t="shared" si="6"/>
        <v>2261</v>
      </c>
      <c r="U24" s="19">
        <f t="shared" si="14"/>
        <v>-121</v>
      </c>
      <c r="V24" s="19">
        <f t="shared" si="15"/>
        <v>-123</v>
      </c>
      <c r="W24" s="19">
        <f t="shared" si="16"/>
        <v>-113</v>
      </c>
      <c r="X24" s="7"/>
      <c r="Y24" s="5"/>
      <c r="Z24" s="7"/>
      <c r="AA24" s="7"/>
    </row>
    <row r="25" spans="1:27" ht="16.5" customHeight="1">
      <c r="A25" s="17">
        <v>13</v>
      </c>
      <c r="B25" s="22">
        <f t="shared" si="17"/>
        <v>45269</v>
      </c>
      <c r="C25" s="17">
        <f t="shared" si="7"/>
        <v>1026</v>
      </c>
      <c r="D25" s="24">
        <v>1337</v>
      </c>
      <c r="E25" s="7">
        <f t="shared" si="0"/>
        <v>1484</v>
      </c>
      <c r="F25" s="7">
        <f t="shared" si="1"/>
        <v>1486</v>
      </c>
      <c r="G25" s="7">
        <f t="shared" si="2"/>
        <v>1476</v>
      </c>
      <c r="H25" s="7">
        <f t="shared" si="3"/>
        <v>879</v>
      </c>
      <c r="I25" s="7">
        <f t="shared" si="4"/>
        <v>877</v>
      </c>
      <c r="J25" s="7">
        <f t="shared" si="5"/>
        <v>887</v>
      </c>
      <c r="K25" s="7">
        <f t="shared" si="8"/>
        <v>1000</v>
      </c>
      <c r="L25" s="7">
        <f t="shared" si="9"/>
        <v>1000</v>
      </c>
      <c r="M25" s="7">
        <f t="shared" si="10"/>
        <v>1000</v>
      </c>
      <c r="N25" s="7">
        <f t="shared" si="11"/>
        <v>-121</v>
      </c>
      <c r="O25" s="7">
        <f t="shared" si="12"/>
        <v>-123</v>
      </c>
      <c r="P25" s="7">
        <f t="shared" si="13"/>
        <v>-113</v>
      </c>
      <c r="Q25" s="15">
        <v>0</v>
      </c>
      <c r="R25" s="15">
        <v>0</v>
      </c>
      <c r="S25" s="15">
        <v>0</v>
      </c>
      <c r="T25" s="19">
        <f t="shared" si="6"/>
        <v>2486</v>
      </c>
      <c r="U25" s="19">
        <f t="shared" si="14"/>
        <v>-121</v>
      </c>
      <c r="V25" s="19">
        <f t="shared" si="15"/>
        <v>-123</v>
      </c>
      <c r="W25" s="19">
        <f t="shared" si="16"/>
        <v>-113</v>
      </c>
      <c r="X25" s="7"/>
      <c r="Y25" s="5"/>
      <c r="Z25" s="7"/>
      <c r="AA25" s="5"/>
    </row>
    <row r="26" spans="1:27" ht="16.5" customHeight="1">
      <c r="A26" s="17">
        <v>14</v>
      </c>
      <c r="B26" s="22">
        <f t="shared" si="17"/>
        <v>45270</v>
      </c>
      <c r="C26" s="17">
        <f t="shared" si="7"/>
        <v>1026</v>
      </c>
      <c r="D26" s="24">
        <v>1249</v>
      </c>
      <c r="E26" s="7">
        <f t="shared" si="0"/>
        <v>1396</v>
      </c>
      <c r="F26" s="7">
        <f t="shared" si="1"/>
        <v>1398</v>
      </c>
      <c r="G26" s="7">
        <f t="shared" si="2"/>
        <v>1388</v>
      </c>
      <c r="H26" s="7">
        <f t="shared" si="3"/>
        <v>879</v>
      </c>
      <c r="I26" s="7">
        <f t="shared" si="4"/>
        <v>877</v>
      </c>
      <c r="J26" s="7">
        <f t="shared" si="5"/>
        <v>887</v>
      </c>
      <c r="K26" s="7">
        <f t="shared" si="8"/>
        <v>1000</v>
      </c>
      <c r="L26" s="7">
        <f t="shared" si="9"/>
        <v>1000</v>
      </c>
      <c r="M26" s="7">
        <f t="shared" si="10"/>
        <v>1000</v>
      </c>
      <c r="N26" s="7">
        <f t="shared" si="11"/>
        <v>-121</v>
      </c>
      <c r="O26" s="7">
        <f t="shared" si="12"/>
        <v>-123</v>
      </c>
      <c r="P26" s="7">
        <f t="shared" si="13"/>
        <v>-113</v>
      </c>
      <c r="Q26" s="15">
        <v>0</v>
      </c>
      <c r="R26" s="15">
        <v>0</v>
      </c>
      <c r="S26" s="15">
        <v>0</v>
      </c>
      <c r="T26" s="19">
        <f t="shared" si="6"/>
        <v>2398</v>
      </c>
      <c r="U26" s="19">
        <f t="shared" si="14"/>
        <v>-121</v>
      </c>
      <c r="V26" s="19">
        <f t="shared" si="15"/>
        <v>-123</v>
      </c>
      <c r="W26" s="19">
        <f t="shared" si="16"/>
        <v>-113</v>
      </c>
      <c r="X26" s="7"/>
      <c r="Y26" s="5"/>
      <c r="Z26" s="7"/>
      <c r="AA26" s="7"/>
    </row>
    <row r="27" spans="1:27" ht="16.5" customHeight="1">
      <c r="A27" s="17">
        <v>15</v>
      </c>
      <c r="B27" s="22">
        <f t="shared" si="17"/>
        <v>45271</v>
      </c>
      <c r="C27" s="17">
        <f t="shared" si="7"/>
        <v>1026</v>
      </c>
      <c r="D27" s="24">
        <v>1485</v>
      </c>
      <c r="E27" s="7">
        <f t="shared" si="0"/>
        <v>632</v>
      </c>
      <c r="F27" s="7">
        <f t="shared" si="1"/>
        <v>634</v>
      </c>
      <c r="G27" s="7">
        <f t="shared" si="2"/>
        <v>624</v>
      </c>
      <c r="H27" s="7">
        <f t="shared" si="3"/>
        <v>1879</v>
      </c>
      <c r="I27" s="7">
        <f t="shared" si="4"/>
        <v>1877</v>
      </c>
      <c r="J27" s="7">
        <f t="shared" si="5"/>
        <v>1887</v>
      </c>
      <c r="K27" s="7">
        <f>K26+1000</f>
        <v>2000</v>
      </c>
      <c r="L27" s="7">
        <f>L26+1000</f>
        <v>2000</v>
      </c>
      <c r="M27" s="7">
        <f>M26+1000</f>
        <v>2000</v>
      </c>
      <c r="N27" s="7">
        <f t="shared" si="11"/>
        <v>-121</v>
      </c>
      <c r="O27" s="7">
        <f t="shared" si="12"/>
        <v>-123</v>
      </c>
      <c r="P27" s="7">
        <f t="shared" si="13"/>
        <v>-113</v>
      </c>
      <c r="Q27" s="15">
        <v>0</v>
      </c>
      <c r="R27" s="15">
        <v>0</v>
      </c>
      <c r="S27" s="15">
        <v>0</v>
      </c>
      <c r="T27" s="19">
        <f t="shared" si="6"/>
        <v>2634</v>
      </c>
      <c r="U27" s="19">
        <f t="shared" si="14"/>
        <v>-121</v>
      </c>
      <c r="V27" s="19">
        <f t="shared" si="15"/>
        <v>-123</v>
      </c>
      <c r="W27" s="19">
        <f t="shared" si="16"/>
        <v>-113</v>
      </c>
      <c r="X27" s="7"/>
      <c r="Y27" s="5"/>
      <c r="Z27" s="7"/>
      <c r="AA27" s="5" t="s">
        <v>11</v>
      </c>
    </row>
    <row r="28" spans="1:27" ht="16.5" customHeight="1">
      <c r="A28" s="17">
        <v>16</v>
      </c>
      <c r="B28" s="22">
        <f t="shared" si="17"/>
        <v>45272</v>
      </c>
      <c r="C28" s="17">
        <f t="shared" si="7"/>
        <v>1026</v>
      </c>
      <c r="D28" s="24">
        <v>1717</v>
      </c>
      <c r="E28" s="7">
        <f t="shared" si="0"/>
        <v>864</v>
      </c>
      <c r="F28" s="7">
        <f t="shared" si="1"/>
        <v>866</v>
      </c>
      <c r="G28" s="7">
        <f t="shared" si="2"/>
        <v>856</v>
      </c>
      <c r="H28" s="7">
        <f t="shared" si="3"/>
        <v>1879</v>
      </c>
      <c r="I28" s="7">
        <f t="shared" si="4"/>
        <v>1877</v>
      </c>
      <c r="J28" s="7">
        <f t="shared" si="5"/>
        <v>1887</v>
      </c>
      <c r="K28" s="7">
        <f t="shared" ref="K28:M35" si="18">K27</f>
        <v>2000</v>
      </c>
      <c r="L28" s="7">
        <f t="shared" si="18"/>
        <v>2000</v>
      </c>
      <c r="M28" s="7">
        <f t="shared" si="18"/>
        <v>2000</v>
      </c>
      <c r="N28" s="7">
        <f t="shared" si="11"/>
        <v>-121</v>
      </c>
      <c r="O28" s="7">
        <f t="shared" si="12"/>
        <v>-123</v>
      </c>
      <c r="P28" s="7">
        <f t="shared" si="13"/>
        <v>-113</v>
      </c>
      <c r="Q28" s="15">
        <v>0</v>
      </c>
      <c r="R28" s="15">
        <v>0</v>
      </c>
      <c r="S28" s="15">
        <v>0</v>
      </c>
      <c r="T28" s="19">
        <f t="shared" si="6"/>
        <v>2743</v>
      </c>
      <c r="U28" s="19">
        <v>0</v>
      </c>
      <c r="V28" s="19">
        <v>0</v>
      </c>
      <c r="W28" s="19">
        <v>0</v>
      </c>
      <c r="X28" s="7"/>
      <c r="Y28" s="5"/>
      <c r="Z28" s="7"/>
      <c r="AA28" s="5" t="s">
        <v>17</v>
      </c>
    </row>
    <row r="29" spans="1:27" ht="16.5" customHeight="1">
      <c r="A29" s="17">
        <v>17</v>
      </c>
      <c r="B29" s="22">
        <f t="shared" si="17"/>
        <v>45273</v>
      </c>
      <c r="C29" s="17">
        <f t="shared" si="7"/>
        <v>1026</v>
      </c>
      <c r="D29" s="24">
        <v>1620</v>
      </c>
      <c r="E29" s="7">
        <f t="shared" si="0"/>
        <v>772</v>
      </c>
      <c r="F29" s="7">
        <f t="shared" si="1"/>
        <v>776</v>
      </c>
      <c r="G29" s="7">
        <f t="shared" si="2"/>
        <v>767</v>
      </c>
      <c r="H29" s="7">
        <f t="shared" si="3"/>
        <v>1874</v>
      </c>
      <c r="I29" s="7">
        <f t="shared" si="4"/>
        <v>1870</v>
      </c>
      <c r="J29" s="7">
        <f t="shared" si="5"/>
        <v>1879</v>
      </c>
      <c r="K29" s="7">
        <f t="shared" si="18"/>
        <v>2000</v>
      </c>
      <c r="L29" s="7">
        <f t="shared" si="18"/>
        <v>2000</v>
      </c>
      <c r="M29" s="7">
        <f t="shared" si="18"/>
        <v>2000</v>
      </c>
      <c r="N29" s="7">
        <f t="shared" si="11"/>
        <v>-126</v>
      </c>
      <c r="O29" s="7">
        <f t="shared" si="12"/>
        <v>-130</v>
      </c>
      <c r="P29" s="7">
        <f t="shared" si="13"/>
        <v>-121</v>
      </c>
      <c r="Q29" s="15">
        <v>5</v>
      </c>
      <c r="R29" s="15">
        <v>7</v>
      </c>
      <c r="S29" s="15">
        <v>8</v>
      </c>
      <c r="T29" s="19">
        <f t="shared" si="6"/>
        <v>2653</v>
      </c>
      <c r="U29" s="19">
        <f t="shared" ref="U29:W30" si="19">U28-Q29</f>
        <v>-5</v>
      </c>
      <c r="V29" s="19">
        <f t="shared" si="19"/>
        <v>-7</v>
      </c>
      <c r="W29" s="19">
        <f t="shared" si="19"/>
        <v>-8</v>
      </c>
      <c r="X29" s="7"/>
      <c r="Y29" s="5"/>
      <c r="Z29" s="7"/>
      <c r="AA29" s="7"/>
    </row>
    <row r="30" spans="1:27" ht="16.5" customHeight="1">
      <c r="A30" s="17">
        <v>18</v>
      </c>
      <c r="B30" s="22">
        <f t="shared" si="17"/>
        <v>45274</v>
      </c>
      <c r="C30" s="17">
        <f t="shared" si="7"/>
        <v>1026</v>
      </c>
      <c r="D30" s="24">
        <v>1856</v>
      </c>
      <c r="E30" s="7">
        <f t="shared" si="0"/>
        <v>1012</v>
      </c>
      <c r="F30" s="7">
        <f t="shared" si="1"/>
        <v>1019</v>
      </c>
      <c r="G30" s="7">
        <f t="shared" si="2"/>
        <v>1011</v>
      </c>
      <c r="H30" s="7">
        <f t="shared" si="3"/>
        <v>1870</v>
      </c>
      <c r="I30" s="7">
        <f t="shared" si="4"/>
        <v>1863</v>
      </c>
      <c r="J30" s="7">
        <f t="shared" si="5"/>
        <v>1871</v>
      </c>
      <c r="K30" s="7">
        <f t="shared" si="18"/>
        <v>2000</v>
      </c>
      <c r="L30" s="7">
        <f t="shared" si="18"/>
        <v>2000</v>
      </c>
      <c r="M30" s="7">
        <f t="shared" si="18"/>
        <v>2000</v>
      </c>
      <c r="N30" s="7">
        <f t="shared" si="11"/>
        <v>-130</v>
      </c>
      <c r="O30" s="7">
        <f t="shared" si="12"/>
        <v>-137</v>
      </c>
      <c r="P30" s="7">
        <f t="shared" si="13"/>
        <v>-129</v>
      </c>
      <c r="Q30" s="15">
        <v>4</v>
      </c>
      <c r="R30" s="15">
        <v>7</v>
      </c>
      <c r="S30" s="15">
        <v>8</v>
      </c>
      <c r="T30" s="19">
        <f t="shared" si="6"/>
        <v>2896</v>
      </c>
      <c r="U30" s="19">
        <f t="shared" si="19"/>
        <v>-9</v>
      </c>
      <c r="V30" s="19">
        <f t="shared" si="19"/>
        <v>-14</v>
      </c>
      <c r="W30" s="19">
        <f t="shared" si="19"/>
        <v>-16</v>
      </c>
      <c r="X30" s="7"/>
      <c r="Y30" s="5"/>
      <c r="Z30" s="7"/>
      <c r="AA30" s="7"/>
    </row>
    <row r="31" spans="1:27" ht="16.5" customHeight="1">
      <c r="A31" s="17">
        <v>19</v>
      </c>
      <c r="B31" s="22">
        <f t="shared" si="17"/>
        <v>45275</v>
      </c>
      <c r="C31" s="17">
        <f t="shared" si="7"/>
        <v>1026</v>
      </c>
      <c r="D31" s="24">
        <v>1902</v>
      </c>
      <c r="E31" s="7">
        <f t="shared" si="0"/>
        <v>1065</v>
      </c>
      <c r="F31" s="7">
        <f t="shared" si="1"/>
        <v>1071</v>
      </c>
      <c r="G31" s="7">
        <f t="shared" si="2"/>
        <v>1064</v>
      </c>
      <c r="H31" s="7">
        <f t="shared" si="3"/>
        <v>1863</v>
      </c>
      <c r="I31" s="7">
        <f t="shared" si="4"/>
        <v>1857</v>
      </c>
      <c r="J31" s="7">
        <f t="shared" si="5"/>
        <v>1864</v>
      </c>
      <c r="K31" s="7">
        <f t="shared" si="18"/>
        <v>2000</v>
      </c>
      <c r="L31" s="7">
        <f t="shared" si="18"/>
        <v>2000</v>
      </c>
      <c r="M31" s="7">
        <f t="shared" si="18"/>
        <v>2000</v>
      </c>
      <c r="N31" s="7">
        <f t="shared" si="11"/>
        <v>-137</v>
      </c>
      <c r="O31" s="7">
        <f t="shared" si="12"/>
        <v>-143</v>
      </c>
      <c r="P31" s="7">
        <f t="shared" si="13"/>
        <v>-136</v>
      </c>
      <c r="Q31" s="15">
        <v>7</v>
      </c>
      <c r="R31" s="15">
        <v>6</v>
      </c>
      <c r="S31" s="15">
        <v>7</v>
      </c>
      <c r="T31" s="19">
        <f t="shared" si="6"/>
        <v>2628</v>
      </c>
      <c r="U31" s="30">
        <v>300</v>
      </c>
      <c r="V31" s="30">
        <v>300</v>
      </c>
      <c r="W31" s="30">
        <v>300</v>
      </c>
      <c r="X31" s="7"/>
      <c r="Y31" s="5"/>
      <c r="Z31" s="7"/>
      <c r="AA31" s="5" t="s">
        <v>16</v>
      </c>
    </row>
    <row r="32" spans="1:27" ht="16.5" customHeight="1">
      <c r="A32" s="17">
        <v>20</v>
      </c>
      <c r="B32" s="22">
        <f t="shared" si="17"/>
        <v>45276</v>
      </c>
      <c r="C32" s="17">
        <f t="shared" si="7"/>
        <v>1026</v>
      </c>
      <c r="D32" s="24">
        <v>1836</v>
      </c>
      <c r="E32" s="7">
        <f t="shared" si="0"/>
        <v>1004</v>
      </c>
      <c r="F32" s="7">
        <f t="shared" si="1"/>
        <v>1012</v>
      </c>
      <c r="G32" s="7">
        <f t="shared" si="2"/>
        <v>1006</v>
      </c>
      <c r="H32" s="7">
        <f t="shared" si="3"/>
        <v>1858</v>
      </c>
      <c r="I32" s="7">
        <f t="shared" si="4"/>
        <v>1850</v>
      </c>
      <c r="J32" s="7">
        <f t="shared" si="5"/>
        <v>1856</v>
      </c>
      <c r="K32" s="7">
        <f t="shared" si="18"/>
        <v>2000</v>
      </c>
      <c r="L32" s="7">
        <f t="shared" si="18"/>
        <v>2000</v>
      </c>
      <c r="M32" s="7">
        <f t="shared" si="18"/>
        <v>2000</v>
      </c>
      <c r="N32" s="7">
        <f t="shared" si="11"/>
        <v>-142</v>
      </c>
      <c r="O32" s="7">
        <f t="shared" si="12"/>
        <v>-150</v>
      </c>
      <c r="P32" s="7">
        <f t="shared" si="13"/>
        <v>-144</v>
      </c>
      <c r="Q32" s="15">
        <v>5</v>
      </c>
      <c r="R32" s="15">
        <v>7</v>
      </c>
      <c r="S32" s="15">
        <v>8</v>
      </c>
      <c r="T32" s="19">
        <f t="shared" si="6"/>
        <v>2569</v>
      </c>
      <c r="U32" s="19">
        <f t="shared" ref="U32:W33" si="20">U31-Q32</f>
        <v>295</v>
      </c>
      <c r="V32" s="19">
        <f t="shared" si="20"/>
        <v>293</v>
      </c>
      <c r="W32" s="19">
        <f t="shared" si="20"/>
        <v>292</v>
      </c>
      <c r="X32" s="7"/>
      <c r="Y32" s="5"/>
      <c r="Z32" s="7"/>
      <c r="AA32" s="7"/>
    </row>
    <row r="33" spans="1:27" ht="16.5" customHeight="1">
      <c r="A33" s="17">
        <v>21</v>
      </c>
      <c r="B33" s="22">
        <f t="shared" si="17"/>
        <v>45277</v>
      </c>
      <c r="C33" s="17">
        <f t="shared" si="7"/>
        <v>1026</v>
      </c>
      <c r="D33" s="24">
        <v>1671</v>
      </c>
      <c r="E33" s="7">
        <f t="shared" si="0"/>
        <v>846</v>
      </c>
      <c r="F33" s="7">
        <f t="shared" si="1"/>
        <v>853</v>
      </c>
      <c r="G33" s="7">
        <f t="shared" si="2"/>
        <v>847</v>
      </c>
      <c r="H33" s="7">
        <f t="shared" si="3"/>
        <v>1851</v>
      </c>
      <c r="I33" s="7">
        <f t="shared" si="4"/>
        <v>1844</v>
      </c>
      <c r="J33" s="7">
        <f t="shared" si="5"/>
        <v>1850</v>
      </c>
      <c r="K33" s="7">
        <f t="shared" si="18"/>
        <v>2000</v>
      </c>
      <c r="L33" s="7">
        <f t="shared" si="18"/>
        <v>2000</v>
      </c>
      <c r="M33" s="7">
        <f t="shared" si="18"/>
        <v>2000</v>
      </c>
      <c r="N33" s="7">
        <f t="shared" si="11"/>
        <v>-149</v>
      </c>
      <c r="O33" s="7">
        <f t="shared" si="12"/>
        <v>-156</v>
      </c>
      <c r="P33" s="7">
        <f t="shared" si="13"/>
        <v>-150</v>
      </c>
      <c r="Q33" s="15">
        <v>7</v>
      </c>
      <c r="R33" s="15">
        <v>6</v>
      </c>
      <c r="S33" s="15">
        <v>6</v>
      </c>
      <c r="T33" s="19">
        <f t="shared" si="6"/>
        <v>2410</v>
      </c>
      <c r="U33" s="19">
        <f t="shared" si="20"/>
        <v>288</v>
      </c>
      <c r="V33" s="19">
        <f t="shared" si="20"/>
        <v>287</v>
      </c>
      <c r="W33" s="19">
        <f t="shared" si="20"/>
        <v>286</v>
      </c>
      <c r="X33" s="7"/>
      <c r="Y33" s="5"/>
      <c r="Z33" s="7"/>
      <c r="AA33" s="7"/>
    </row>
    <row r="34" spans="1:27" ht="16.5" customHeight="1">
      <c r="A34" s="17">
        <v>22</v>
      </c>
      <c r="B34" s="22">
        <f t="shared" si="17"/>
        <v>45278</v>
      </c>
      <c r="C34" s="17">
        <f t="shared" si="7"/>
        <v>1026</v>
      </c>
      <c r="D34" s="24">
        <v>1740</v>
      </c>
      <c r="E34" s="7">
        <f t="shared" si="0"/>
        <v>921</v>
      </c>
      <c r="F34" s="7">
        <f t="shared" si="1"/>
        <v>929</v>
      </c>
      <c r="G34" s="7">
        <f t="shared" si="2"/>
        <v>923</v>
      </c>
      <c r="H34" s="7">
        <f t="shared" si="3"/>
        <v>1845</v>
      </c>
      <c r="I34" s="7">
        <f t="shared" si="4"/>
        <v>1837</v>
      </c>
      <c r="J34" s="7">
        <f t="shared" si="5"/>
        <v>1843</v>
      </c>
      <c r="K34" s="7">
        <f t="shared" si="18"/>
        <v>2000</v>
      </c>
      <c r="L34" s="7">
        <f t="shared" si="18"/>
        <v>2000</v>
      </c>
      <c r="M34" s="7">
        <f t="shared" si="18"/>
        <v>2000</v>
      </c>
      <c r="N34" s="7">
        <f t="shared" si="11"/>
        <v>-155</v>
      </c>
      <c r="O34" s="7">
        <f t="shared" si="12"/>
        <v>-163</v>
      </c>
      <c r="P34" s="7">
        <f t="shared" si="13"/>
        <v>-157</v>
      </c>
      <c r="Q34" s="15">
        <v>6</v>
      </c>
      <c r="R34" s="15">
        <v>7</v>
      </c>
      <c r="S34" s="15">
        <v>7</v>
      </c>
      <c r="T34" s="19">
        <f t="shared" si="6"/>
        <v>2166</v>
      </c>
      <c r="U34" s="30">
        <v>600</v>
      </c>
      <c r="V34" s="30">
        <v>600</v>
      </c>
      <c r="W34" s="30">
        <v>600</v>
      </c>
      <c r="X34" s="7"/>
      <c r="Y34" s="5"/>
      <c r="Z34" s="7"/>
      <c r="AA34" s="5" t="s">
        <v>15</v>
      </c>
    </row>
    <row r="35" spans="1:27" ht="16.5" customHeight="1">
      <c r="A35" s="17">
        <v>23</v>
      </c>
      <c r="B35" s="22">
        <f t="shared" si="17"/>
        <v>45279</v>
      </c>
      <c r="C35" s="17">
        <f t="shared" si="7"/>
        <v>1026</v>
      </c>
      <c r="D35" s="24">
        <v>1684</v>
      </c>
      <c r="E35" s="7">
        <f t="shared" si="0"/>
        <v>870</v>
      </c>
      <c r="F35" s="7">
        <f t="shared" si="1"/>
        <v>880</v>
      </c>
      <c r="G35" s="7">
        <f t="shared" si="2"/>
        <v>875</v>
      </c>
      <c r="H35" s="7">
        <f t="shared" si="3"/>
        <v>1840</v>
      </c>
      <c r="I35" s="7">
        <f t="shared" si="4"/>
        <v>1830</v>
      </c>
      <c r="J35" s="7">
        <f t="shared" si="5"/>
        <v>1835</v>
      </c>
      <c r="K35" s="7">
        <f t="shared" si="18"/>
        <v>2000</v>
      </c>
      <c r="L35" s="7">
        <f t="shared" si="18"/>
        <v>2000</v>
      </c>
      <c r="M35" s="7">
        <f t="shared" si="18"/>
        <v>2000</v>
      </c>
      <c r="N35" s="7">
        <f t="shared" si="11"/>
        <v>-160</v>
      </c>
      <c r="O35" s="7">
        <f t="shared" si="12"/>
        <v>-170</v>
      </c>
      <c r="P35" s="7">
        <f t="shared" si="13"/>
        <v>-165</v>
      </c>
      <c r="Q35" s="15">
        <v>5</v>
      </c>
      <c r="R35" s="15">
        <v>7</v>
      </c>
      <c r="S35" s="15">
        <v>8</v>
      </c>
      <c r="T35" s="19">
        <f t="shared" si="6"/>
        <v>2117</v>
      </c>
      <c r="U35" s="19">
        <f t="shared" ref="U35:W36" si="21">U34-Q35</f>
        <v>595</v>
      </c>
      <c r="V35" s="19">
        <f t="shared" si="21"/>
        <v>593</v>
      </c>
      <c r="W35" s="19">
        <f t="shared" si="21"/>
        <v>592</v>
      </c>
      <c r="X35" s="7"/>
      <c r="Y35" s="5"/>
      <c r="Z35" s="7"/>
      <c r="AA35" s="5"/>
    </row>
    <row r="36" spans="1:27" ht="16.5" customHeight="1">
      <c r="A36" s="17">
        <v>24</v>
      </c>
      <c r="B36" s="22">
        <f t="shared" si="17"/>
        <v>45280</v>
      </c>
      <c r="C36" s="17">
        <f t="shared" si="7"/>
        <v>1026</v>
      </c>
      <c r="D36" s="24">
        <v>1957</v>
      </c>
      <c r="E36" s="7">
        <f t="shared" si="0"/>
        <v>149</v>
      </c>
      <c r="F36" s="7">
        <f t="shared" si="1"/>
        <v>159</v>
      </c>
      <c r="G36" s="7">
        <f t="shared" si="2"/>
        <v>154</v>
      </c>
      <c r="H36" s="7">
        <f t="shared" si="3"/>
        <v>2834</v>
      </c>
      <c r="I36" s="7">
        <f t="shared" si="4"/>
        <v>2824</v>
      </c>
      <c r="J36" s="7">
        <f t="shared" si="5"/>
        <v>2829</v>
      </c>
      <c r="K36" s="7">
        <f>K35+1000</f>
        <v>3000</v>
      </c>
      <c r="L36" s="7">
        <f>L35+1000</f>
        <v>3000</v>
      </c>
      <c r="M36" s="7">
        <f>M35+1000</f>
        <v>3000</v>
      </c>
      <c r="N36" s="7">
        <f t="shared" si="11"/>
        <v>-166</v>
      </c>
      <c r="O36" s="7">
        <f t="shared" si="12"/>
        <v>-176</v>
      </c>
      <c r="P36" s="7">
        <f t="shared" si="13"/>
        <v>-171</v>
      </c>
      <c r="Q36" s="15">
        <v>6</v>
      </c>
      <c r="R36" s="15">
        <v>6</v>
      </c>
      <c r="S36" s="15">
        <v>6</v>
      </c>
      <c r="T36" s="19">
        <f t="shared" si="6"/>
        <v>2396</v>
      </c>
      <c r="U36" s="19">
        <f t="shared" si="21"/>
        <v>589</v>
      </c>
      <c r="V36" s="19">
        <f t="shared" si="21"/>
        <v>587</v>
      </c>
      <c r="W36" s="19">
        <f t="shared" si="21"/>
        <v>586</v>
      </c>
      <c r="X36" s="7"/>
      <c r="Y36" s="5"/>
      <c r="Z36" s="7"/>
      <c r="AA36" s="5" t="s">
        <v>11</v>
      </c>
    </row>
    <row r="37" spans="1:27" ht="16.5" customHeight="1">
      <c r="A37" s="17">
        <v>25</v>
      </c>
      <c r="B37" s="22">
        <f t="shared" si="17"/>
        <v>45281</v>
      </c>
      <c r="C37" s="17">
        <f t="shared" si="7"/>
        <v>1026</v>
      </c>
      <c r="D37" s="24">
        <v>2495</v>
      </c>
      <c r="E37" s="7">
        <f t="shared" si="0"/>
        <v>692</v>
      </c>
      <c r="F37" s="7">
        <f t="shared" si="1"/>
        <v>704</v>
      </c>
      <c r="G37" s="7">
        <f t="shared" si="2"/>
        <v>699</v>
      </c>
      <c r="H37" s="7">
        <f t="shared" si="3"/>
        <v>2829</v>
      </c>
      <c r="I37" s="7">
        <f t="shared" si="4"/>
        <v>2817</v>
      </c>
      <c r="J37" s="7">
        <f t="shared" si="5"/>
        <v>2822</v>
      </c>
      <c r="K37" s="7">
        <f t="shared" ref="K37:K68" si="22">K36</f>
        <v>3000</v>
      </c>
      <c r="L37" s="7">
        <f t="shared" ref="L37:L68" si="23">L36</f>
        <v>3000</v>
      </c>
      <c r="M37" s="7">
        <f t="shared" ref="M37:M68" si="24">M36</f>
        <v>3000</v>
      </c>
      <c r="N37" s="7">
        <f t="shared" si="11"/>
        <v>-171</v>
      </c>
      <c r="O37" s="7">
        <f t="shared" si="12"/>
        <v>-183</v>
      </c>
      <c r="P37" s="7">
        <f t="shared" si="13"/>
        <v>-178</v>
      </c>
      <c r="Q37" s="15">
        <v>5</v>
      </c>
      <c r="R37" s="15">
        <v>7</v>
      </c>
      <c r="S37" s="15">
        <v>7</v>
      </c>
      <c r="T37" s="19">
        <f t="shared" si="6"/>
        <v>2621</v>
      </c>
      <c r="U37" s="30">
        <v>900</v>
      </c>
      <c r="V37" s="30">
        <v>900</v>
      </c>
      <c r="W37" s="30">
        <v>900</v>
      </c>
      <c r="X37" s="7"/>
      <c r="Y37" s="5"/>
      <c r="Z37" s="7"/>
      <c r="AA37" s="5" t="s">
        <v>14</v>
      </c>
    </row>
    <row r="38" spans="1:27" ht="16.5" customHeight="1">
      <c r="A38" s="17">
        <v>26</v>
      </c>
      <c r="B38" s="22">
        <f>B37+4</f>
        <v>45285</v>
      </c>
      <c r="C38" s="17">
        <f t="shared" si="7"/>
        <v>1026</v>
      </c>
      <c r="D38" s="24">
        <v>2458</v>
      </c>
      <c r="E38" s="7">
        <f t="shared" si="0"/>
        <v>661</v>
      </c>
      <c r="F38" s="7">
        <f t="shared" si="1"/>
        <v>674</v>
      </c>
      <c r="G38" s="7">
        <f t="shared" si="2"/>
        <v>668</v>
      </c>
      <c r="H38" s="7">
        <f t="shared" si="3"/>
        <v>2823</v>
      </c>
      <c r="I38" s="7">
        <f t="shared" si="4"/>
        <v>2810</v>
      </c>
      <c r="J38" s="7">
        <f t="shared" si="5"/>
        <v>2816</v>
      </c>
      <c r="K38" s="7">
        <f t="shared" si="22"/>
        <v>3000</v>
      </c>
      <c r="L38" s="7">
        <f t="shared" si="23"/>
        <v>3000</v>
      </c>
      <c r="M38" s="7">
        <f t="shared" si="24"/>
        <v>3000</v>
      </c>
      <c r="N38" s="7">
        <f t="shared" si="11"/>
        <v>-177</v>
      </c>
      <c r="O38" s="7">
        <f t="shared" si="12"/>
        <v>-190</v>
      </c>
      <c r="P38" s="7">
        <f t="shared" si="13"/>
        <v>-184</v>
      </c>
      <c r="Q38" s="15">
        <v>6</v>
      </c>
      <c r="R38" s="15">
        <v>7</v>
      </c>
      <c r="S38" s="15">
        <v>6</v>
      </c>
      <c r="T38" s="19">
        <f t="shared" si="6"/>
        <v>2591</v>
      </c>
      <c r="U38" s="19">
        <f t="shared" ref="U38:U51" si="25">U37-Q38</f>
        <v>894</v>
      </c>
      <c r="V38" s="19">
        <f t="shared" ref="V38:V51" si="26">V37-R38</f>
        <v>893</v>
      </c>
      <c r="W38" s="19">
        <f t="shared" ref="W38:W51" si="27">W37-S38</f>
        <v>894</v>
      </c>
      <c r="X38" s="7"/>
      <c r="Y38" s="5"/>
      <c r="Z38" s="7"/>
      <c r="AA38" s="7"/>
    </row>
    <row r="39" spans="1:27" ht="16.5" customHeight="1">
      <c r="A39" s="17">
        <v>27</v>
      </c>
      <c r="B39" s="22">
        <f>B38+3</f>
        <v>45288</v>
      </c>
      <c r="C39" s="17">
        <f t="shared" si="7"/>
        <v>1026</v>
      </c>
      <c r="D39" s="24">
        <v>2156</v>
      </c>
      <c r="E39" s="7">
        <f t="shared" si="0"/>
        <v>367</v>
      </c>
      <c r="F39" s="7">
        <f t="shared" si="1"/>
        <v>375</v>
      </c>
      <c r="G39" s="7">
        <f t="shared" si="2"/>
        <v>371</v>
      </c>
      <c r="H39" s="7">
        <f t="shared" si="3"/>
        <v>2815</v>
      </c>
      <c r="I39" s="7">
        <f t="shared" si="4"/>
        <v>2807</v>
      </c>
      <c r="J39" s="7">
        <f t="shared" si="5"/>
        <v>2811</v>
      </c>
      <c r="K39" s="7">
        <f t="shared" si="22"/>
        <v>3000</v>
      </c>
      <c r="L39" s="7">
        <f t="shared" si="23"/>
        <v>3000</v>
      </c>
      <c r="M39" s="7">
        <f t="shared" si="24"/>
        <v>3000</v>
      </c>
      <c r="N39" s="7">
        <f t="shared" si="11"/>
        <v>-185</v>
      </c>
      <c r="O39" s="7">
        <f t="shared" si="12"/>
        <v>-193</v>
      </c>
      <c r="P39" s="7">
        <f t="shared" si="13"/>
        <v>-189</v>
      </c>
      <c r="Q39" s="23">
        <v>8</v>
      </c>
      <c r="R39" s="23">
        <v>3</v>
      </c>
      <c r="S39" s="23">
        <v>5</v>
      </c>
      <c r="T39" s="19">
        <f t="shared" si="6"/>
        <v>2292</v>
      </c>
      <c r="U39" s="19">
        <f t="shared" si="25"/>
        <v>886</v>
      </c>
      <c r="V39" s="19">
        <f t="shared" si="26"/>
        <v>890</v>
      </c>
      <c r="W39" s="19">
        <f t="shared" si="27"/>
        <v>889</v>
      </c>
      <c r="X39" s="7"/>
      <c r="Y39" s="5"/>
      <c r="Z39" s="7"/>
      <c r="AA39" s="7"/>
    </row>
    <row r="40" spans="1:27" ht="16.5" customHeight="1">
      <c r="A40" s="17">
        <v>28</v>
      </c>
      <c r="B40" s="31">
        <f t="shared" ref="B40:B48" si="28">B39+7</f>
        <v>45295</v>
      </c>
      <c r="C40" s="17">
        <f t="shared" si="7"/>
        <v>1026</v>
      </c>
      <c r="D40" s="24">
        <v>2311</v>
      </c>
      <c r="E40" s="7">
        <f t="shared" si="0"/>
        <v>532</v>
      </c>
      <c r="F40" s="7">
        <f t="shared" si="1"/>
        <v>542</v>
      </c>
      <c r="G40" s="7">
        <f t="shared" si="2"/>
        <v>536</v>
      </c>
      <c r="H40" s="7">
        <f t="shared" si="3"/>
        <v>2805</v>
      </c>
      <c r="I40" s="7">
        <f t="shared" si="4"/>
        <v>2795</v>
      </c>
      <c r="J40" s="7">
        <f t="shared" si="5"/>
        <v>2801</v>
      </c>
      <c r="K40" s="7">
        <f t="shared" si="22"/>
        <v>3000</v>
      </c>
      <c r="L40" s="7">
        <f t="shared" si="23"/>
        <v>3000</v>
      </c>
      <c r="M40" s="7">
        <f t="shared" si="24"/>
        <v>3000</v>
      </c>
      <c r="N40" s="7">
        <f t="shared" si="11"/>
        <v>-195</v>
      </c>
      <c r="O40" s="7">
        <f t="shared" si="12"/>
        <v>-205</v>
      </c>
      <c r="P40" s="7">
        <f t="shared" si="13"/>
        <v>-199</v>
      </c>
      <c r="Q40" s="23">
        <v>10</v>
      </c>
      <c r="R40" s="23">
        <v>12</v>
      </c>
      <c r="S40" s="23">
        <v>10</v>
      </c>
      <c r="T40" s="19">
        <f t="shared" si="6"/>
        <v>2459</v>
      </c>
      <c r="U40" s="19">
        <f t="shared" si="25"/>
        <v>876</v>
      </c>
      <c r="V40" s="19">
        <f t="shared" si="26"/>
        <v>878</v>
      </c>
      <c r="W40" s="19">
        <f t="shared" si="27"/>
        <v>879</v>
      </c>
      <c r="X40" s="7"/>
      <c r="Y40" s="5"/>
      <c r="Z40" s="7"/>
      <c r="AA40" s="7"/>
    </row>
    <row r="41" spans="1:27" ht="15" customHeight="1">
      <c r="A41" s="17">
        <v>29</v>
      </c>
      <c r="B41" s="31">
        <f t="shared" si="28"/>
        <v>45302</v>
      </c>
      <c r="C41" s="17">
        <f t="shared" si="7"/>
        <v>1026</v>
      </c>
      <c r="D41" s="24">
        <v>2100</v>
      </c>
      <c r="E41" s="7">
        <f t="shared" si="0"/>
        <v>343</v>
      </c>
      <c r="F41" s="7">
        <f t="shared" si="1"/>
        <v>351</v>
      </c>
      <c r="G41" s="7">
        <f t="shared" si="2"/>
        <v>343</v>
      </c>
      <c r="H41" s="7">
        <f t="shared" si="3"/>
        <v>2783</v>
      </c>
      <c r="I41" s="7">
        <f t="shared" si="4"/>
        <v>2775</v>
      </c>
      <c r="J41" s="7">
        <f t="shared" si="5"/>
        <v>2783</v>
      </c>
      <c r="K41" s="7">
        <f t="shared" si="22"/>
        <v>3000</v>
      </c>
      <c r="L41" s="7">
        <f t="shared" si="23"/>
        <v>3000</v>
      </c>
      <c r="M41" s="7">
        <f t="shared" si="24"/>
        <v>3000</v>
      </c>
      <c r="N41" s="7">
        <f t="shared" si="11"/>
        <v>-217</v>
      </c>
      <c r="O41" s="7">
        <f t="shared" si="12"/>
        <v>-225</v>
      </c>
      <c r="P41" s="7">
        <f t="shared" si="13"/>
        <v>-217</v>
      </c>
      <c r="Q41" s="23">
        <v>22</v>
      </c>
      <c r="R41" s="23">
        <v>20</v>
      </c>
      <c r="S41" s="23">
        <v>18</v>
      </c>
      <c r="T41" s="19">
        <f t="shared" si="6"/>
        <v>2268</v>
      </c>
      <c r="U41" s="19">
        <f t="shared" si="25"/>
        <v>854</v>
      </c>
      <c r="V41" s="19">
        <f t="shared" si="26"/>
        <v>858</v>
      </c>
      <c r="W41" s="19">
        <f t="shared" si="27"/>
        <v>861</v>
      </c>
      <c r="X41" s="7"/>
      <c r="Y41" s="7"/>
      <c r="Z41" s="7"/>
      <c r="AA41" s="21"/>
    </row>
    <row r="42" spans="1:27" ht="15" customHeight="1">
      <c r="A42" s="17">
        <v>30</v>
      </c>
      <c r="B42" s="31">
        <f t="shared" si="28"/>
        <v>45309</v>
      </c>
      <c r="C42" s="17">
        <f t="shared" si="7"/>
        <v>1026</v>
      </c>
      <c r="D42" s="24">
        <v>2313</v>
      </c>
      <c r="E42" s="7">
        <f t="shared" si="0"/>
        <v>576</v>
      </c>
      <c r="F42" s="7">
        <f t="shared" si="1"/>
        <v>582</v>
      </c>
      <c r="G42" s="7">
        <f t="shared" si="2"/>
        <v>572</v>
      </c>
      <c r="H42" s="7">
        <f t="shared" si="3"/>
        <v>2763</v>
      </c>
      <c r="I42" s="7">
        <f t="shared" si="4"/>
        <v>2757</v>
      </c>
      <c r="J42" s="7">
        <f t="shared" si="5"/>
        <v>2767</v>
      </c>
      <c r="K42" s="7">
        <f t="shared" si="22"/>
        <v>3000</v>
      </c>
      <c r="L42" s="7">
        <f t="shared" si="23"/>
        <v>3000</v>
      </c>
      <c r="M42" s="7">
        <f t="shared" si="24"/>
        <v>3000</v>
      </c>
      <c r="N42" s="7">
        <f t="shared" si="11"/>
        <v>-237</v>
      </c>
      <c r="O42" s="7">
        <f t="shared" si="12"/>
        <v>-243</v>
      </c>
      <c r="P42" s="7">
        <f t="shared" si="13"/>
        <v>-233</v>
      </c>
      <c r="Q42" s="23">
        <v>20</v>
      </c>
      <c r="R42" s="23">
        <v>18</v>
      </c>
      <c r="S42" s="23">
        <v>16</v>
      </c>
      <c r="T42" s="19">
        <f t="shared" si="6"/>
        <v>2499</v>
      </c>
      <c r="U42" s="19">
        <f t="shared" si="25"/>
        <v>834</v>
      </c>
      <c r="V42" s="19">
        <f t="shared" si="26"/>
        <v>840</v>
      </c>
      <c r="W42" s="19">
        <f t="shared" si="27"/>
        <v>845</v>
      </c>
      <c r="X42" s="7"/>
      <c r="Y42" s="7"/>
      <c r="Z42" s="7"/>
      <c r="AA42" s="20"/>
    </row>
    <row r="43" spans="1:27" ht="15" customHeight="1">
      <c r="A43" s="17">
        <v>31</v>
      </c>
      <c r="B43" s="31">
        <f t="shared" si="28"/>
        <v>45316</v>
      </c>
      <c r="C43" s="17">
        <f t="shared" si="7"/>
        <v>1026</v>
      </c>
      <c r="D43" s="24">
        <v>2322</v>
      </c>
      <c r="E43" s="7">
        <f t="shared" si="0"/>
        <v>604</v>
      </c>
      <c r="F43" s="7">
        <f t="shared" si="1"/>
        <v>608</v>
      </c>
      <c r="G43" s="7">
        <f t="shared" si="2"/>
        <v>597</v>
      </c>
      <c r="H43" s="7">
        <f t="shared" si="3"/>
        <v>2744</v>
      </c>
      <c r="I43" s="7">
        <f t="shared" si="4"/>
        <v>2740</v>
      </c>
      <c r="J43" s="7">
        <f t="shared" si="5"/>
        <v>2751</v>
      </c>
      <c r="K43" s="7">
        <f t="shared" si="22"/>
        <v>3000</v>
      </c>
      <c r="L43" s="7">
        <f t="shared" si="23"/>
        <v>3000</v>
      </c>
      <c r="M43" s="7">
        <f t="shared" si="24"/>
        <v>3000</v>
      </c>
      <c r="N43" s="7">
        <f t="shared" si="11"/>
        <v>-256</v>
      </c>
      <c r="O43" s="7">
        <f t="shared" si="12"/>
        <v>-260</v>
      </c>
      <c r="P43" s="7">
        <f t="shared" si="13"/>
        <v>-249</v>
      </c>
      <c r="Q43" s="23">
        <v>19</v>
      </c>
      <c r="R43" s="23">
        <v>17</v>
      </c>
      <c r="S43" s="23">
        <v>16</v>
      </c>
      <c r="T43" s="19">
        <f t="shared" si="6"/>
        <v>2525</v>
      </c>
      <c r="U43" s="19">
        <f t="shared" si="25"/>
        <v>815</v>
      </c>
      <c r="V43" s="19">
        <f t="shared" si="26"/>
        <v>823</v>
      </c>
      <c r="W43" s="19">
        <f t="shared" si="27"/>
        <v>829</v>
      </c>
      <c r="X43" s="7"/>
      <c r="Y43" s="7"/>
      <c r="Z43" s="7"/>
      <c r="AA43" s="7"/>
    </row>
    <row r="44" spans="1:27" ht="15" customHeight="1">
      <c r="A44" s="17">
        <v>32</v>
      </c>
      <c r="B44" s="31">
        <f t="shared" si="28"/>
        <v>45323</v>
      </c>
      <c r="C44" s="17">
        <f t="shared" si="7"/>
        <v>1026</v>
      </c>
      <c r="D44" s="24">
        <v>2183</v>
      </c>
      <c r="E44" s="7">
        <f t="shared" si="0"/>
        <v>483</v>
      </c>
      <c r="F44" s="7">
        <f t="shared" si="1"/>
        <v>485</v>
      </c>
      <c r="G44" s="7">
        <f t="shared" si="2"/>
        <v>473</v>
      </c>
      <c r="H44" s="7">
        <f t="shared" si="3"/>
        <v>2726</v>
      </c>
      <c r="I44" s="7">
        <f t="shared" si="4"/>
        <v>2724</v>
      </c>
      <c r="J44" s="7">
        <f t="shared" si="5"/>
        <v>2736</v>
      </c>
      <c r="K44" s="7">
        <f t="shared" si="22"/>
        <v>3000</v>
      </c>
      <c r="L44" s="7">
        <f t="shared" si="23"/>
        <v>3000</v>
      </c>
      <c r="M44" s="7">
        <f t="shared" si="24"/>
        <v>3000</v>
      </c>
      <c r="N44" s="7">
        <f t="shared" si="11"/>
        <v>-274</v>
      </c>
      <c r="O44" s="7">
        <f t="shared" si="12"/>
        <v>-276</v>
      </c>
      <c r="P44" s="7">
        <f t="shared" si="13"/>
        <v>-264</v>
      </c>
      <c r="Q44" s="23">
        <v>18</v>
      </c>
      <c r="R44" s="23">
        <v>16</v>
      </c>
      <c r="S44" s="23">
        <v>15</v>
      </c>
      <c r="T44" s="19">
        <f t="shared" si="6"/>
        <v>2402</v>
      </c>
      <c r="U44" s="19">
        <f t="shared" si="25"/>
        <v>797</v>
      </c>
      <c r="V44" s="19">
        <f t="shared" si="26"/>
        <v>807</v>
      </c>
      <c r="W44" s="19">
        <f t="shared" si="27"/>
        <v>814</v>
      </c>
      <c r="X44" s="7"/>
      <c r="Y44" s="7"/>
      <c r="Z44" s="7"/>
      <c r="AA44" s="7"/>
    </row>
    <row r="45" spans="1:27" ht="15" customHeight="1">
      <c r="A45" s="17">
        <v>33</v>
      </c>
      <c r="B45" s="31">
        <f t="shared" si="28"/>
        <v>45330</v>
      </c>
      <c r="C45" s="17">
        <f t="shared" si="7"/>
        <v>1026</v>
      </c>
      <c r="D45" s="24">
        <v>2240</v>
      </c>
      <c r="E45" s="7">
        <f t="shared" ref="E45:E76" si="29">C45+D45-H45</f>
        <v>557</v>
      </c>
      <c r="F45" s="7">
        <f t="shared" ref="F45:F76" si="30">C45+D45-I45</f>
        <v>556</v>
      </c>
      <c r="G45" s="7">
        <f t="shared" ref="G45:G76" si="31">D45+C45-J45</f>
        <v>543</v>
      </c>
      <c r="H45" s="7">
        <f t="shared" ref="H45:H76" si="32">K45+N45</f>
        <v>2709</v>
      </c>
      <c r="I45" s="7">
        <f t="shared" ref="I45:I76" si="33">L45+O45</f>
        <v>2710</v>
      </c>
      <c r="J45" s="7">
        <f t="shared" ref="J45:J76" si="34">M45+P45</f>
        <v>2723</v>
      </c>
      <c r="K45" s="7">
        <f t="shared" si="22"/>
        <v>3000</v>
      </c>
      <c r="L45" s="7">
        <f t="shared" si="23"/>
        <v>3000</v>
      </c>
      <c r="M45" s="7">
        <f t="shared" si="24"/>
        <v>3000</v>
      </c>
      <c r="N45" s="7">
        <f t="shared" si="11"/>
        <v>-291</v>
      </c>
      <c r="O45" s="7">
        <f t="shared" si="12"/>
        <v>-290</v>
      </c>
      <c r="P45" s="7">
        <f t="shared" si="13"/>
        <v>-277</v>
      </c>
      <c r="Q45" s="23">
        <v>17</v>
      </c>
      <c r="R45" s="23">
        <v>14</v>
      </c>
      <c r="S45" s="23">
        <v>13</v>
      </c>
      <c r="T45" s="19">
        <f t="shared" ref="T45:T76" si="35">D45+C45-V45</f>
        <v>2473</v>
      </c>
      <c r="U45" s="19">
        <f t="shared" si="25"/>
        <v>780</v>
      </c>
      <c r="V45" s="19">
        <f t="shared" si="26"/>
        <v>793</v>
      </c>
      <c r="W45" s="19">
        <f t="shared" si="27"/>
        <v>801</v>
      </c>
      <c r="X45" s="7"/>
      <c r="Y45" s="7"/>
      <c r="Z45" s="7"/>
      <c r="AA45" s="7"/>
    </row>
    <row r="46" spans="1:27" ht="15" customHeight="1">
      <c r="A46" s="17">
        <v>34</v>
      </c>
      <c r="B46" s="31">
        <f t="shared" si="28"/>
        <v>45337</v>
      </c>
      <c r="C46" s="17">
        <f t="shared" ref="C46:C77" si="36">C45</f>
        <v>1026</v>
      </c>
      <c r="D46" s="24">
        <v>2478</v>
      </c>
      <c r="E46" s="7">
        <f t="shared" si="29"/>
        <v>809</v>
      </c>
      <c r="F46" s="7">
        <f t="shared" si="30"/>
        <v>807</v>
      </c>
      <c r="G46" s="7">
        <f t="shared" si="31"/>
        <v>794</v>
      </c>
      <c r="H46" s="7">
        <f t="shared" si="32"/>
        <v>2695</v>
      </c>
      <c r="I46" s="7">
        <f t="shared" si="33"/>
        <v>2697</v>
      </c>
      <c r="J46" s="7">
        <f t="shared" si="34"/>
        <v>2710</v>
      </c>
      <c r="K46" s="7">
        <f t="shared" si="22"/>
        <v>3000</v>
      </c>
      <c r="L46" s="7">
        <f t="shared" si="23"/>
        <v>3000</v>
      </c>
      <c r="M46" s="7">
        <f t="shared" si="24"/>
        <v>3000</v>
      </c>
      <c r="N46" s="7">
        <f t="shared" ref="N46:N77" si="37">N45-Q46</f>
        <v>-305</v>
      </c>
      <c r="O46" s="7">
        <f t="shared" ref="O46:O77" si="38">O45-R46</f>
        <v>-303</v>
      </c>
      <c r="P46" s="7">
        <f t="shared" ref="P46:P77" si="39">P45-S46</f>
        <v>-290</v>
      </c>
      <c r="Q46" s="23">
        <v>14</v>
      </c>
      <c r="R46" s="23">
        <v>13</v>
      </c>
      <c r="S46" s="23">
        <v>13</v>
      </c>
      <c r="T46" s="19">
        <f t="shared" si="35"/>
        <v>2724</v>
      </c>
      <c r="U46" s="19">
        <f t="shared" si="25"/>
        <v>766</v>
      </c>
      <c r="V46" s="19">
        <f t="shared" si="26"/>
        <v>780</v>
      </c>
      <c r="W46" s="19">
        <f t="shared" si="27"/>
        <v>788</v>
      </c>
      <c r="X46" s="7"/>
      <c r="Y46" s="7"/>
      <c r="Z46" s="7"/>
      <c r="AA46" s="5"/>
    </row>
    <row r="47" spans="1:27" ht="15" customHeight="1">
      <c r="A47" s="17">
        <v>35</v>
      </c>
      <c r="B47" s="31">
        <f t="shared" si="28"/>
        <v>45344</v>
      </c>
      <c r="C47" s="17">
        <f t="shared" si="36"/>
        <v>1026</v>
      </c>
      <c r="D47" s="24">
        <v>2205</v>
      </c>
      <c r="E47" s="7">
        <f t="shared" si="29"/>
        <v>548</v>
      </c>
      <c r="F47" s="7">
        <f t="shared" si="30"/>
        <v>544</v>
      </c>
      <c r="G47" s="7">
        <f t="shared" si="31"/>
        <v>532</v>
      </c>
      <c r="H47" s="7">
        <f t="shared" si="32"/>
        <v>2683</v>
      </c>
      <c r="I47" s="7">
        <f t="shared" si="33"/>
        <v>2687</v>
      </c>
      <c r="J47" s="7">
        <f t="shared" si="34"/>
        <v>2699</v>
      </c>
      <c r="K47" s="7">
        <f t="shared" si="22"/>
        <v>3000</v>
      </c>
      <c r="L47" s="7">
        <f t="shared" si="23"/>
        <v>3000</v>
      </c>
      <c r="M47" s="7">
        <f t="shared" si="24"/>
        <v>3000</v>
      </c>
      <c r="N47" s="7">
        <f t="shared" si="37"/>
        <v>-317</v>
      </c>
      <c r="O47" s="7">
        <f t="shared" si="38"/>
        <v>-313</v>
      </c>
      <c r="P47" s="7">
        <f t="shared" si="39"/>
        <v>-301</v>
      </c>
      <c r="Q47" s="23">
        <v>12</v>
      </c>
      <c r="R47" s="23">
        <v>10</v>
      </c>
      <c r="S47" s="23">
        <v>11</v>
      </c>
      <c r="T47" s="19">
        <f t="shared" si="35"/>
        <v>2461</v>
      </c>
      <c r="U47" s="19">
        <f t="shared" si="25"/>
        <v>754</v>
      </c>
      <c r="V47" s="19">
        <f t="shared" si="26"/>
        <v>770</v>
      </c>
      <c r="W47" s="19">
        <f t="shared" si="27"/>
        <v>777</v>
      </c>
      <c r="X47" s="7"/>
      <c r="Y47" s="7"/>
      <c r="Z47" s="7"/>
      <c r="AA47" s="7"/>
    </row>
    <row r="48" spans="1:27" ht="15" customHeight="1">
      <c r="A48" s="17">
        <v>36</v>
      </c>
      <c r="B48" s="31">
        <f t="shared" si="28"/>
        <v>45351</v>
      </c>
      <c r="C48" s="17">
        <f t="shared" si="36"/>
        <v>1026</v>
      </c>
      <c r="D48" s="24">
        <v>2350</v>
      </c>
      <c r="E48" s="7">
        <f t="shared" si="29"/>
        <v>704</v>
      </c>
      <c r="F48" s="7">
        <f t="shared" si="30"/>
        <v>699</v>
      </c>
      <c r="G48" s="7">
        <f t="shared" si="31"/>
        <v>687</v>
      </c>
      <c r="H48" s="7">
        <f t="shared" si="32"/>
        <v>2672</v>
      </c>
      <c r="I48" s="7">
        <f t="shared" si="33"/>
        <v>2677</v>
      </c>
      <c r="J48" s="7">
        <f t="shared" si="34"/>
        <v>2689</v>
      </c>
      <c r="K48" s="7">
        <f t="shared" si="22"/>
        <v>3000</v>
      </c>
      <c r="L48" s="7">
        <f t="shared" si="23"/>
        <v>3000</v>
      </c>
      <c r="M48" s="7">
        <f t="shared" si="24"/>
        <v>3000</v>
      </c>
      <c r="N48" s="7">
        <f t="shared" si="37"/>
        <v>-328</v>
      </c>
      <c r="O48" s="7">
        <f t="shared" si="38"/>
        <v>-323</v>
      </c>
      <c r="P48" s="7">
        <f t="shared" si="39"/>
        <v>-311</v>
      </c>
      <c r="Q48" s="23">
        <v>11</v>
      </c>
      <c r="R48" s="23">
        <v>10</v>
      </c>
      <c r="S48" s="23">
        <v>10</v>
      </c>
      <c r="T48" s="19">
        <f t="shared" si="35"/>
        <v>2616</v>
      </c>
      <c r="U48" s="19">
        <f t="shared" si="25"/>
        <v>743</v>
      </c>
      <c r="V48" s="19">
        <f t="shared" si="26"/>
        <v>760</v>
      </c>
      <c r="W48" s="19">
        <f t="shared" si="27"/>
        <v>767</v>
      </c>
      <c r="X48" s="7"/>
      <c r="Y48" s="7"/>
      <c r="Z48" s="7"/>
      <c r="AA48" s="7"/>
    </row>
    <row r="49" spans="1:27" ht="15" customHeight="1">
      <c r="A49" s="17">
        <v>37</v>
      </c>
      <c r="B49" s="18">
        <f>B48+6</f>
        <v>45357</v>
      </c>
      <c r="C49" s="17">
        <f t="shared" si="36"/>
        <v>1026</v>
      </c>
      <c r="D49" s="24">
        <v>2308</v>
      </c>
      <c r="E49" s="7">
        <f t="shared" si="29"/>
        <v>670</v>
      </c>
      <c r="F49" s="7">
        <f t="shared" si="30"/>
        <v>665</v>
      </c>
      <c r="G49" s="7">
        <f t="shared" si="31"/>
        <v>653</v>
      </c>
      <c r="H49" s="7">
        <f t="shared" si="32"/>
        <v>2664</v>
      </c>
      <c r="I49" s="7">
        <f t="shared" si="33"/>
        <v>2669</v>
      </c>
      <c r="J49" s="7">
        <f t="shared" si="34"/>
        <v>2681</v>
      </c>
      <c r="K49" s="7">
        <f t="shared" si="22"/>
        <v>3000</v>
      </c>
      <c r="L49" s="7">
        <f t="shared" si="23"/>
        <v>3000</v>
      </c>
      <c r="M49" s="7">
        <f t="shared" si="24"/>
        <v>3000</v>
      </c>
      <c r="N49" s="7">
        <f t="shared" si="37"/>
        <v>-336</v>
      </c>
      <c r="O49" s="7">
        <f t="shared" si="38"/>
        <v>-331</v>
      </c>
      <c r="P49" s="7">
        <f t="shared" si="39"/>
        <v>-319</v>
      </c>
      <c r="Q49" s="23">
        <v>8</v>
      </c>
      <c r="R49" s="23">
        <v>8</v>
      </c>
      <c r="S49" s="23">
        <v>8</v>
      </c>
      <c r="T49" s="19">
        <f t="shared" si="35"/>
        <v>2582</v>
      </c>
      <c r="U49" s="19">
        <f t="shared" si="25"/>
        <v>735</v>
      </c>
      <c r="V49" s="19">
        <f t="shared" si="26"/>
        <v>752</v>
      </c>
      <c r="W49" s="19">
        <f t="shared" si="27"/>
        <v>759</v>
      </c>
      <c r="X49" s="7"/>
      <c r="Y49" s="7"/>
      <c r="Z49" s="7"/>
      <c r="AA49" s="7"/>
    </row>
    <row r="50" spans="1:27" ht="15" customHeight="1">
      <c r="A50" s="17">
        <v>38</v>
      </c>
      <c r="B50" s="18">
        <f t="shared" ref="B50:B69" si="40">B49+1</f>
        <v>45358</v>
      </c>
      <c r="C50" s="17">
        <f t="shared" si="36"/>
        <v>1026</v>
      </c>
      <c r="D50" s="24">
        <v>2208</v>
      </c>
      <c r="E50" s="7">
        <f t="shared" si="29"/>
        <v>575</v>
      </c>
      <c r="F50" s="7">
        <f t="shared" si="30"/>
        <v>569</v>
      </c>
      <c r="G50" s="7">
        <f t="shared" si="31"/>
        <v>556</v>
      </c>
      <c r="H50" s="7">
        <f t="shared" si="32"/>
        <v>2659</v>
      </c>
      <c r="I50" s="7">
        <f t="shared" si="33"/>
        <v>2665</v>
      </c>
      <c r="J50" s="7">
        <f t="shared" si="34"/>
        <v>2678</v>
      </c>
      <c r="K50" s="7">
        <f t="shared" si="22"/>
        <v>3000</v>
      </c>
      <c r="L50" s="7">
        <f t="shared" si="23"/>
        <v>3000</v>
      </c>
      <c r="M50" s="7">
        <f t="shared" si="24"/>
        <v>3000</v>
      </c>
      <c r="N50" s="7">
        <f t="shared" si="37"/>
        <v>-341</v>
      </c>
      <c r="O50" s="7">
        <f t="shared" si="38"/>
        <v>-335</v>
      </c>
      <c r="P50" s="7">
        <f t="shared" si="39"/>
        <v>-322</v>
      </c>
      <c r="Q50" s="23">
        <v>5</v>
      </c>
      <c r="R50" s="23">
        <v>4</v>
      </c>
      <c r="S50" s="23">
        <v>3</v>
      </c>
      <c r="T50" s="19">
        <f t="shared" si="35"/>
        <v>2486</v>
      </c>
      <c r="U50" s="19">
        <f t="shared" si="25"/>
        <v>730</v>
      </c>
      <c r="V50" s="19">
        <f t="shared" si="26"/>
        <v>748</v>
      </c>
      <c r="W50" s="19">
        <f t="shared" si="27"/>
        <v>756</v>
      </c>
      <c r="X50" s="7"/>
      <c r="Y50" s="7"/>
      <c r="Z50" s="7"/>
      <c r="AA50" s="7"/>
    </row>
    <row r="51" spans="1:27" ht="15" customHeight="1">
      <c r="A51" s="17">
        <v>39</v>
      </c>
      <c r="B51" s="18">
        <f t="shared" si="40"/>
        <v>45359</v>
      </c>
      <c r="C51" s="17">
        <f t="shared" si="36"/>
        <v>1026</v>
      </c>
      <c r="D51" s="24">
        <v>2114</v>
      </c>
      <c r="E51" s="7">
        <f t="shared" si="29"/>
        <v>485</v>
      </c>
      <c r="F51" s="7">
        <f t="shared" si="30"/>
        <v>479</v>
      </c>
      <c r="G51" s="7">
        <f t="shared" si="31"/>
        <v>465</v>
      </c>
      <c r="H51" s="7">
        <f t="shared" si="32"/>
        <v>2655</v>
      </c>
      <c r="I51" s="7">
        <f t="shared" si="33"/>
        <v>2661</v>
      </c>
      <c r="J51" s="7">
        <f t="shared" si="34"/>
        <v>2675</v>
      </c>
      <c r="K51" s="7">
        <f t="shared" si="22"/>
        <v>3000</v>
      </c>
      <c r="L51" s="7">
        <f t="shared" si="23"/>
        <v>3000</v>
      </c>
      <c r="M51" s="7">
        <f t="shared" si="24"/>
        <v>3000</v>
      </c>
      <c r="N51" s="7">
        <f t="shared" si="37"/>
        <v>-345</v>
      </c>
      <c r="O51" s="7">
        <f t="shared" si="38"/>
        <v>-339</v>
      </c>
      <c r="P51" s="7">
        <f t="shared" si="39"/>
        <v>-325</v>
      </c>
      <c r="Q51" s="23">
        <v>4</v>
      </c>
      <c r="R51" s="23">
        <v>4</v>
      </c>
      <c r="S51" s="23">
        <v>3</v>
      </c>
      <c r="T51" s="19">
        <f t="shared" si="35"/>
        <v>2396</v>
      </c>
      <c r="U51" s="19">
        <f t="shared" si="25"/>
        <v>726</v>
      </c>
      <c r="V51" s="19">
        <f t="shared" si="26"/>
        <v>744</v>
      </c>
      <c r="W51" s="19">
        <f t="shared" si="27"/>
        <v>753</v>
      </c>
      <c r="X51" s="7"/>
      <c r="Y51" s="7"/>
      <c r="Z51" s="7"/>
      <c r="AA51" s="5"/>
    </row>
    <row r="52" spans="1:27" ht="15" customHeight="1">
      <c r="A52" s="17">
        <v>40</v>
      </c>
      <c r="B52" s="18">
        <f t="shared" si="40"/>
        <v>45360</v>
      </c>
      <c r="C52" s="17">
        <f t="shared" si="36"/>
        <v>1026</v>
      </c>
      <c r="D52" s="24">
        <v>2408</v>
      </c>
      <c r="E52" s="7">
        <f t="shared" si="29"/>
        <v>789</v>
      </c>
      <c r="F52" s="7">
        <f t="shared" si="30"/>
        <v>779</v>
      </c>
      <c r="G52" s="7">
        <f t="shared" si="31"/>
        <v>764</v>
      </c>
      <c r="H52" s="7">
        <f t="shared" si="32"/>
        <v>2645</v>
      </c>
      <c r="I52" s="7">
        <f t="shared" si="33"/>
        <v>2655</v>
      </c>
      <c r="J52" s="7">
        <f t="shared" si="34"/>
        <v>2670</v>
      </c>
      <c r="K52" s="7">
        <f t="shared" si="22"/>
        <v>3000</v>
      </c>
      <c r="L52" s="7">
        <f t="shared" si="23"/>
        <v>3000</v>
      </c>
      <c r="M52" s="7">
        <f t="shared" si="24"/>
        <v>3000</v>
      </c>
      <c r="N52" s="7">
        <f t="shared" si="37"/>
        <v>-355</v>
      </c>
      <c r="O52" s="7">
        <f t="shared" si="38"/>
        <v>-345</v>
      </c>
      <c r="P52" s="7">
        <f t="shared" si="39"/>
        <v>-330</v>
      </c>
      <c r="Q52" s="23">
        <v>10</v>
      </c>
      <c r="R52" s="23">
        <v>6</v>
      </c>
      <c r="S52" s="23">
        <v>5</v>
      </c>
      <c r="T52" s="19">
        <f t="shared" si="35"/>
        <v>2234</v>
      </c>
      <c r="U52" s="30">
        <v>1200</v>
      </c>
      <c r="V52" s="30">
        <v>1200</v>
      </c>
      <c r="W52" s="30">
        <v>1200</v>
      </c>
      <c r="X52" s="7"/>
      <c r="Y52" s="7"/>
      <c r="Z52" s="7"/>
      <c r="AA52" s="5" t="s">
        <v>13</v>
      </c>
    </row>
    <row r="53" spans="1:27" ht="15" customHeight="1">
      <c r="A53" s="17">
        <v>41</v>
      </c>
      <c r="B53" s="18">
        <f t="shared" si="40"/>
        <v>45361</v>
      </c>
      <c r="C53" s="17">
        <f t="shared" si="36"/>
        <v>1026</v>
      </c>
      <c r="D53" s="24">
        <v>2159</v>
      </c>
      <c r="E53" s="7">
        <f t="shared" si="29"/>
        <v>550</v>
      </c>
      <c r="F53" s="7">
        <f t="shared" si="30"/>
        <v>536</v>
      </c>
      <c r="G53" s="7">
        <f t="shared" si="31"/>
        <v>520</v>
      </c>
      <c r="H53" s="7">
        <f t="shared" si="32"/>
        <v>2635</v>
      </c>
      <c r="I53" s="7">
        <f t="shared" si="33"/>
        <v>2649</v>
      </c>
      <c r="J53" s="7">
        <f t="shared" si="34"/>
        <v>2665</v>
      </c>
      <c r="K53" s="7">
        <f t="shared" si="22"/>
        <v>3000</v>
      </c>
      <c r="L53" s="7">
        <f t="shared" si="23"/>
        <v>3000</v>
      </c>
      <c r="M53" s="7">
        <f t="shared" si="24"/>
        <v>3000</v>
      </c>
      <c r="N53" s="7">
        <f t="shared" si="37"/>
        <v>-365</v>
      </c>
      <c r="O53" s="7">
        <f t="shared" si="38"/>
        <v>-351</v>
      </c>
      <c r="P53" s="7">
        <f t="shared" si="39"/>
        <v>-335</v>
      </c>
      <c r="Q53" s="23">
        <v>10</v>
      </c>
      <c r="R53" s="23">
        <v>6</v>
      </c>
      <c r="S53" s="23">
        <v>5</v>
      </c>
      <c r="T53" s="19">
        <f t="shared" si="35"/>
        <v>1991</v>
      </c>
      <c r="U53" s="19">
        <f t="shared" ref="U53:W59" si="41">U52-Q53</f>
        <v>1190</v>
      </c>
      <c r="V53" s="19">
        <f t="shared" si="41"/>
        <v>1194</v>
      </c>
      <c r="W53" s="19">
        <f t="shared" si="41"/>
        <v>1195</v>
      </c>
      <c r="X53" s="7"/>
      <c r="Y53" s="7"/>
      <c r="Z53" s="7"/>
      <c r="AA53" s="7"/>
    </row>
    <row r="54" spans="1:27" ht="15" customHeight="1">
      <c r="A54" s="17">
        <v>42</v>
      </c>
      <c r="B54" s="18">
        <f t="shared" si="40"/>
        <v>45362</v>
      </c>
      <c r="C54" s="17">
        <f t="shared" si="36"/>
        <v>1026</v>
      </c>
      <c r="D54" s="24">
        <v>2438</v>
      </c>
      <c r="E54" s="7">
        <f t="shared" si="29"/>
        <v>839</v>
      </c>
      <c r="F54" s="7">
        <f t="shared" si="30"/>
        <v>820</v>
      </c>
      <c r="G54" s="7">
        <f t="shared" si="31"/>
        <v>804</v>
      </c>
      <c r="H54" s="7">
        <f t="shared" si="32"/>
        <v>2625</v>
      </c>
      <c r="I54" s="7">
        <f t="shared" si="33"/>
        <v>2644</v>
      </c>
      <c r="J54" s="7">
        <f t="shared" si="34"/>
        <v>2660</v>
      </c>
      <c r="K54" s="7">
        <f t="shared" si="22"/>
        <v>3000</v>
      </c>
      <c r="L54" s="7">
        <f t="shared" si="23"/>
        <v>3000</v>
      </c>
      <c r="M54" s="7">
        <f t="shared" si="24"/>
        <v>3000</v>
      </c>
      <c r="N54" s="7">
        <f t="shared" si="37"/>
        <v>-375</v>
      </c>
      <c r="O54" s="7">
        <f t="shared" si="38"/>
        <v>-356</v>
      </c>
      <c r="P54" s="7">
        <f t="shared" si="39"/>
        <v>-340</v>
      </c>
      <c r="Q54" s="23">
        <v>10</v>
      </c>
      <c r="R54" s="23">
        <v>5</v>
      </c>
      <c r="S54" s="23">
        <v>5</v>
      </c>
      <c r="T54" s="19">
        <f t="shared" si="35"/>
        <v>2275</v>
      </c>
      <c r="U54" s="19">
        <f t="shared" si="41"/>
        <v>1180</v>
      </c>
      <c r="V54" s="19">
        <f t="shared" si="41"/>
        <v>1189</v>
      </c>
      <c r="W54" s="19">
        <f t="shared" si="41"/>
        <v>1190</v>
      </c>
      <c r="X54" s="7"/>
      <c r="Y54" s="7"/>
      <c r="Z54" s="7"/>
      <c r="AA54" s="7"/>
    </row>
    <row r="55" spans="1:27" ht="15" customHeight="1">
      <c r="A55" s="17">
        <v>43</v>
      </c>
      <c r="B55" s="18">
        <f t="shared" si="40"/>
        <v>45363</v>
      </c>
      <c r="C55" s="17">
        <f t="shared" si="36"/>
        <v>1026</v>
      </c>
      <c r="D55" s="24">
        <v>2387</v>
      </c>
      <c r="E55" s="7">
        <f t="shared" si="29"/>
        <v>798</v>
      </c>
      <c r="F55" s="7">
        <f t="shared" si="30"/>
        <v>775</v>
      </c>
      <c r="G55" s="7">
        <f t="shared" si="31"/>
        <v>757</v>
      </c>
      <c r="H55" s="7">
        <f t="shared" si="32"/>
        <v>2615</v>
      </c>
      <c r="I55" s="7">
        <f t="shared" si="33"/>
        <v>2638</v>
      </c>
      <c r="J55" s="7">
        <f t="shared" si="34"/>
        <v>2656</v>
      </c>
      <c r="K55" s="7">
        <f t="shared" si="22"/>
        <v>3000</v>
      </c>
      <c r="L55" s="7">
        <f t="shared" si="23"/>
        <v>3000</v>
      </c>
      <c r="M55" s="7">
        <f t="shared" si="24"/>
        <v>3000</v>
      </c>
      <c r="N55" s="7">
        <f t="shared" si="37"/>
        <v>-385</v>
      </c>
      <c r="O55" s="7">
        <f t="shared" si="38"/>
        <v>-362</v>
      </c>
      <c r="P55" s="7">
        <f t="shared" si="39"/>
        <v>-344</v>
      </c>
      <c r="Q55" s="23">
        <v>10</v>
      </c>
      <c r="R55" s="23">
        <v>6</v>
      </c>
      <c r="S55" s="23">
        <v>4</v>
      </c>
      <c r="T55" s="19">
        <f t="shared" si="35"/>
        <v>2230</v>
      </c>
      <c r="U55" s="19">
        <f t="shared" si="41"/>
        <v>1170</v>
      </c>
      <c r="V55" s="19">
        <f t="shared" si="41"/>
        <v>1183</v>
      </c>
      <c r="W55" s="19">
        <f t="shared" si="41"/>
        <v>1186</v>
      </c>
      <c r="X55" s="7"/>
      <c r="Y55" s="7"/>
      <c r="Z55" s="7"/>
      <c r="AA55" s="7"/>
    </row>
    <row r="56" spans="1:27" ht="15" customHeight="1">
      <c r="A56" s="17">
        <v>44</v>
      </c>
      <c r="B56" s="18">
        <f t="shared" si="40"/>
        <v>45364</v>
      </c>
      <c r="C56" s="17">
        <f t="shared" si="36"/>
        <v>1026</v>
      </c>
      <c r="D56" s="24">
        <v>2293</v>
      </c>
      <c r="E56" s="7">
        <f t="shared" si="29"/>
        <v>714</v>
      </c>
      <c r="F56" s="7">
        <f t="shared" si="30"/>
        <v>686</v>
      </c>
      <c r="G56" s="7">
        <f t="shared" si="31"/>
        <v>668</v>
      </c>
      <c r="H56" s="7">
        <f t="shared" si="32"/>
        <v>2605</v>
      </c>
      <c r="I56" s="7">
        <f t="shared" si="33"/>
        <v>2633</v>
      </c>
      <c r="J56" s="7">
        <f t="shared" si="34"/>
        <v>2651</v>
      </c>
      <c r="K56" s="7">
        <f t="shared" si="22"/>
        <v>3000</v>
      </c>
      <c r="L56" s="7">
        <f t="shared" si="23"/>
        <v>3000</v>
      </c>
      <c r="M56" s="7">
        <f t="shared" si="24"/>
        <v>3000</v>
      </c>
      <c r="N56" s="7">
        <f t="shared" si="37"/>
        <v>-395</v>
      </c>
      <c r="O56" s="7">
        <f t="shared" si="38"/>
        <v>-367</v>
      </c>
      <c r="P56" s="7">
        <f t="shared" si="39"/>
        <v>-349</v>
      </c>
      <c r="Q56" s="23">
        <v>10</v>
      </c>
      <c r="R56" s="23">
        <v>5</v>
      </c>
      <c r="S56" s="23">
        <v>5</v>
      </c>
      <c r="T56" s="19">
        <f t="shared" si="35"/>
        <v>2141</v>
      </c>
      <c r="U56" s="19">
        <f t="shared" si="41"/>
        <v>1160</v>
      </c>
      <c r="V56" s="19">
        <f t="shared" si="41"/>
        <v>1178</v>
      </c>
      <c r="W56" s="19">
        <f t="shared" si="41"/>
        <v>1181</v>
      </c>
      <c r="X56" s="7"/>
      <c r="Y56" s="7"/>
      <c r="Z56" s="7"/>
      <c r="AA56" s="7"/>
    </row>
    <row r="57" spans="1:27" ht="15" customHeight="1">
      <c r="A57" s="17">
        <v>45</v>
      </c>
      <c r="B57" s="18">
        <f t="shared" si="40"/>
        <v>45365</v>
      </c>
      <c r="C57" s="17">
        <f t="shared" si="36"/>
        <v>1026</v>
      </c>
      <c r="D57" s="24">
        <v>2378</v>
      </c>
      <c r="E57" s="7">
        <f t="shared" si="29"/>
        <v>809</v>
      </c>
      <c r="F57" s="7">
        <f t="shared" si="30"/>
        <v>777</v>
      </c>
      <c r="G57" s="7">
        <f t="shared" si="31"/>
        <v>757</v>
      </c>
      <c r="H57" s="7">
        <f t="shared" si="32"/>
        <v>2595</v>
      </c>
      <c r="I57" s="7">
        <f t="shared" si="33"/>
        <v>2627</v>
      </c>
      <c r="J57" s="7">
        <f t="shared" si="34"/>
        <v>2647</v>
      </c>
      <c r="K57" s="7">
        <f t="shared" si="22"/>
        <v>3000</v>
      </c>
      <c r="L57" s="7">
        <f t="shared" si="23"/>
        <v>3000</v>
      </c>
      <c r="M57" s="7">
        <f t="shared" si="24"/>
        <v>3000</v>
      </c>
      <c r="N57" s="7">
        <f t="shared" si="37"/>
        <v>-405</v>
      </c>
      <c r="O57" s="7">
        <f t="shared" si="38"/>
        <v>-373</v>
      </c>
      <c r="P57" s="7">
        <f t="shared" si="39"/>
        <v>-353</v>
      </c>
      <c r="Q57" s="23">
        <v>10</v>
      </c>
      <c r="R57" s="23">
        <v>6</v>
      </c>
      <c r="S57" s="23">
        <v>4</v>
      </c>
      <c r="T57" s="19">
        <f t="shared" si="35"/>
        <v>2232</v>
      </c>
      <c r="U57" s="19">
        <f t="shared" si="41"/>
        <v>1150</v>
      </c>
      <c r="V57" s="19">
        <f t="shared" si="41"/>
        <v>1172</v>
      </c>
      <c r="W57" s="19">
        <f t="shared" si="41"/>
        <v>1177</v>
      </c>
      <c r="X57" s="7"/>
      <c r="Y57" s="7"/>
      <c r="Z57" s="7"/>
      <c r="AA57" s="7"/>
    </row>
    <row r="58" spans="1:27" ht="15" customHeight="1">
      <c r="A58" s="17">
        <v>46</v>
      </c>
      <c r="B58" s="18">
        <f t="shared" si="40"/>
        <v>45366</v>
      </c>
      <c r="C58" s="17">
        <f t="shared" si="36"/>
        <v>1026</v>
      </c>
      <c r="D58" s="24">
        <v>2297</v>
      </c>
      <c r="E58" s="7">
        <f t="shared" si="29"/>
        <v>738</v>
      </c>
      <c r="F58" s="7">
        <f t="shared" si="30"/>
        <v>701</v>
      </c>
      <c r="G58" s="7">
        <f t="shared" si="31"/>
        <v>681</v>
      </c>
      <c r="H58" s="7">
        <f t="shared" si="32"/>
        <v>2585</v>
      </c>
      <c r="I58" s="7">
        <f t="shared" si="33"/>
        <v>2622</v>
      </c>
      <c r="J58" s="7">
        <f t="shared" si="34"/>
        <v>2642</v>
      </c>
      <c r="K58" s="7">
        <f t="shared" si="22"/>
        <v>3000</v>
      </c>
      <c r="L58" s="7">
        <f t="shared" si="23"/>
        <v>3000</v>
      </c>
      <c r="M58" s="7">
        <f t="shared" si="24"/>
        <v>3000</v>
      </c>
      <c r="N58" s="7">
        <f t="shared" si="37"/>
        <v>-415</v>
      </c>
      <c r="O58" s="7">
        <f t="shared" si="38"/>
        <v>-378</v>
      </c>
      <c r="P58" s="7">
        <f t="shared" si="39"/>
        <v>-358</v>
      </c>
      <c r="Q58" s="23">
        <v>10</v>
      </c>
      <c r="R58" s="23">
        <v>5</v>
      </c>
      <c r="S58" s="23">
        <v>5</v>
      </c>
      <c r="T58" s="19">
        <f t="shared" si="35"/>
        <v>2156</v>
      </c>
      <c r="U58" s="19">
        <f t="shared" si="41"/>
        <v>1140</v>
      </c>
      <c r="V58" s="19">
        <f t="shared" si="41"/>
        <v>1167</v>
      </c>
      <c r="W58" s="19">
        <f t="shared" si="41"/>
        <v>1172</v>
      </c>
      <c r="X58" s="7"/>
      <c r="Y58" s="7"/>
      <c r="Z58" s="7"/>
      <c r="AA58" s="7"/>
    </row>
    <row r="59" spans="1:27" ht="15" customHeight="1">
      <c r="A59" s="17">
        <v>47</v>
      </c>
      <c r="B59" s="18">
        <f t="shared" si="40"/>
        <v>45367</v>
      </c>
      <c r="C59" s="17">
        <f t="shared" si="36"/>
        <v>1026</v>
      </c>
      <c r="D59" s="24">
        <v>2276</v>
      </c>
      <c r="E59" s="7">
        <f t="shared" si="29"/>
        <v>727</v>
      </c>
      <c r="F59" s="7">
        <f t="shared" si="30"/>
        <v>686</v>
      </c>
      <c r="G59" s="7">
        <f t="shared" si="31"/>
        <v>664</v>
      </c>
      <c r="H59" s="7">
        <f t="shared" si="32"/>
        <v>2575</v>
      </c>
      <c r="I59" s="7">
        <f t="shared" si="33"/>
        <v>2616</v>
      </c>
      <c r="J59" s="7">
        <f t="shared" si="34"/>
        <v>2638</v>
      </c>
      <c r="K59" s="7">
        <f t="shared" si="22"/>
        <v>3000</v>
      </c>
      <c r="L59" s="7">
        <f t="shared" si="23"/>
        <v>3000</v>
      </c>
      <c r="M59" s="7">
        <f t="shared" si="24"/>
        <v>3000</v>
      </c>
      <c r="N59" s="7">
        <f t="shared" si="37"/>
        <v>-425</v>
      </c>
      <c r="O59" s="7">
        <f t="shared" si="38"/>
        <v>-384</v>
      </c>
      <c r="P59" s="7">
        <f t="shared" si="39"/>
        <v>-362</v>
      </c>
      <c r="Q59" s="23">
        <v>10</v>
      </c>
      <c r="R59" s="23">
        <v>6</v>
      </c>
      <c r="S59" s="23">
        <v>4</v>
      </c>
      <c r="T59" s="19">
        <f t="shared" si="35"/>
        <v>2141</v>
      </c>
      <c r="U59" s="19">
        <f t="shared" si="41"/>
        <v>1130</v>
      </c>
      <c r="V59" s="19">
        <f t="shared" si="41"/>
        <v>1161</v>
      </c>
      <c r="W59" s="19">
        <f t="shared" si="41"/>
        <v>1168</v>
      </c>
      <c r="X59" s="7"/>
      <c r="Y59" s="7"/>
      <c r="Z59" s="7"/>
      <c r="AA59" s="7"/>
    </row>
    <row r="60" spans="1:27" ht="15" customHeight="1">
      <c r="A60" s="17">
        <v>48</v>
      </c>
      <c r="B60" s="18">
        <f t="shared" si="40"/>
        <v>45368</v>
      </c>
      <c r="C60" s="17">
        <f t="shared" si="36"/>
        <v>1026</v>
      </c>
      <c r="D60" s="24">
        <v>2250</v>
      </c>
      <c r="E60" s="7">
        <f t="shared" si="29"/>
        <v>711</v>
      </c>
      <c r="F60" s="7">
        <f t="shared" si="30"/>
        <v>670</v>
      </c>
      <c r="G60" s="7">
        <f t="shared" si="31"/>
        <v>643</v>
      </c>
      <c r="H60" s="7">
        <f t="shared" si="32"/>
        <v>2565</v>
      </c>
      <c r="I60" s="7">
        <f t="shared" si="33"/>
        <v>2606</v>
      </c>
      <c r="J60" s="7">
        <f t="shared" si="34"/>
        <v>2633</v>
      </c>
      <c r="K60" s="7">
        <f t="shared" si="22"/>
        <v>3000</v>
      </c>
      <c r="L60" s="7">
        <f t="shared" si="23"/>
        <v>3000</v>
      </c>
      <c r="M60" s="7">
        <f t="shared" si="24"/>
        <v>3000</v>
      </c>
      <c r="N60" s="7">
        <f t="shared" si="37"/>
        <v>-435</v>
      </c>
      <c r="O60" s="7">
        <f t="shared" si="38"/>
        <v>-394</v>
      </c>
      <c r="P60" s="7">
        <f t="shared" si="39"/>
        <v>-367</v>
      </c>
      <c r="Q60" s="23">
        <v>10</v>
      </c>
      <c r="R60" s="23">
        <v>10</v>
      </c>
      <c r="S60" s="23">
        <v>5</v>
      </c>
      <c r="T60" s="19">
        <f t="shared" si="35"/>
        <v>1776</v>
      </c>
      <c r="U60" s="30">
        <v>1500</v>
      </c>
      <c r="V60" s="30">
        <v>1500</v>
      </c>
      <c r="W60" s="30">
        <v>1500</v>
      </c>
      <c r="X60" s="7"/>
      <c r="Y60" s="7"/>
      <c r="Z60" s="7"/>
      <c r="AA60" s="5" t="s">
        <v>12</v>
      </c>
    </row>
    <row r="61" spans="1:27" ht="15" customHeight="1">
      <c r="A61" s="17">
        <v>49</v>
      </c>
      <c r="B61" s="18">
        <f t="shared" si="40"/>
        <v>45369</v>
      </c>
      <c r="C61" s="17">
        <f t="shared" si="36"/>
        <v>1026</v>
      </c>
      <c r="D61" s="24">
        <v>2458</v>
      </c>
      <c r="E61" s="7">
        <f t="shared" si="29"/>
        <v>929</v>
      </c>
      <c r="F61" s="7">
        <f t="shared" si="30"/>
        <v>888</v>
      </c>
      <c r="G61" s="7">
        <f t="shared" si="31"/>
        <v>855</v>
      </c>
      <c r="H61" s="7">
        <f t="shared" si="32"/>
        <v>2555</v>
      </c>
      <c r="I61" s="7">
        <f t="shared" si="33"/>
        <v>2596</v>
      </c>
      <c r="J61" s="7">
        <f t="shared" si="34"/>
        <v>2629</v>
      </c>
      <c r="K61" s="7">
        <f t="shared" si="22"/>
        <v>3000</v>
      </c>
      <c r="L61" s="7">
        <f t="shared" si="23"/>
        <v>3000</v>
      </c>
      <c r="M61" s="7">
        <f t="shared" si="24"/>
        <v>3000</v>
      </c>
      <c r="N61" s="7">
        <f t="shared" si="37"/>
        <v>-445</v>
      </c>
      <c r="O61" s="7">
        <f t="shared" si="38"/>
        <v>-404</v>
      </c>
      <c r="P61" s="7">
        <f t="shared" si="39"/>
        <v>-371</v>
      </c>
      <c r="Q61" s="23">
        <v>10</v>
      </c>
      <c r="R61" s="23">
        <v>10</v>
      </c>
      <c r="S61" s="23">
        <v>4</v>
      </c>
      <c r="T61" s="19">
        <f t="shared" si="35"/>
        <v>1994</v>
      </c>
      <c r="U61" s="19">
        <f t="shared" ref="U61:W68" si="42">U60-Q61</f>
        <v>1490</v>
      </c>
      <c r="V61" s="19">
        <f t="shared" si="42"/>
        <v>1490</v>
      </c>
      <c r="W61" s="19">
        <f t="shared" si="42"/>
        <v>1496</v>
      </c>
      <c r="X61" s="7"/>
      <c r="Y61" s="7"/>
      <c r="Z61" s="7"/>
      <c r="AA61" s="7"/>
    </row>
    <row r="62" spans="1:27" ht="15" customHeight="1">
      <c r="A62" s="17">
        <v>50</v>
      </c>
      <c r="B62" s="18">
        <f t="shared" si="40"/>
        <v>45370</v>
      </c>
      <c r="C62" s="17">
        <f t="shared" si="36"/>
        <v>1026</v>
      </c>
      <c r="D62" s="24">
        <v>2108</v>
      </c>
      <c r="E62" s="7">
        <f t="shared" si="29"/>
        <v>589</v>
      </c>
      <c r="F62" s="7">
        <f t="shared" si="30"/>
        <v>548</v>
      </c>
      <c r="G62" s="7">
        <f t="shared" si="31"/>
        <v>510</v>
      </c>
      <c r="H62" s="7">
        <f t="shared" si="32"/>
        <v>2545</v>
      </c>
      <c r="I62" s="7">
        <f t="shared" si="33"/>
        <v>2586</v>
      </c>
      <c r="J62" s="7">
        <f t="shared" si="34"/>
        <v>2624</v>
      </c>
      <c r="K62" s="7">
        <f t="shared" si="22"/>
        <v>3000</v>
      </c>
      <c r="L62" s="7">
        <f t="shared" si="23"/>
        <v>3000</v>
      </c>
      <c r="M62" s="7">
        <f t="shared" si="24"/>
        <v>3000</v>
      </c>
      <c r="N62" s="7">
        <f t="shared" si="37"/>
        <v>-455</v>
      </c>
      <c r="O62" s="7">
        <f t="shared" si="38"/>
        <v>-414</v>
      </c>
      <c r="P62" s="7">
        <f t="shared" si="39"/>
        <v>-376</v>
      </c>
      <c r="Q62" s="23">
        <v>10</v>
      </c>
      <c r="R62" s="23">
        <v>10</v>
      </c>
      <c r="S62" s="23">
        <v>5</v>
      </c>
      <c r="T62" s="19">
        <f t="shared" si="35"/>
        <v>1654</v>
      </c>
      <c r="U62" s="19">
        <f t="shared" si="42"/>
        <v>1480</v>
      </c>
      <c r="V62" s="19">
        <f t="shared" si="42"/>
        <v>1480</v>
      </c>
      <c r="W62" s="19">
        <f t="shared" si="42"/>
        <v>1491</v>
      </c>
      <c r="X62" s="7"/>
      <c r="Y62" s="7"/>
      <c r="Z62" s="7"/>
      <c r="AA62" s="7"/>
    </row>
    <row r="63" spans="1:27" ht="15" customHeight="1">
      <c r="A63" s="17">
        <v>51</v>
      </c>
      <c r="B63" s="18">
        <f t="shared" si="40"/>
        <v>45371</v>
      </c>
      <c r="C63" s="17">
        <f t="shared" si="36"/>
        <v>1026</v>
      </c>
      <c r="D63" s="24">
        <v>2364</v>
      </c>
      <c r="E63" s="7">
        <f t="shared" si="29"/>
        <v>855</v>
      </c>
      <c r="F63" s="7">
        <f t="shared" si="30"/>
        <v>814</v>
      </c>
      <c r="G63" s="7">
        <f t="shared" si="31"/>
        <v>769</v>
      </c>
      <c r="H63" s="7">
        <f t="shared" si="32"/>
        <v>2535</v>
      </c>
      <c r="I63" s="7">
        <f t="shared" si="33"/>
        <v>2576</v>
      </c>
      <c r="J63" s="7">
        <f t="shared" si="34"/>
        <v>2621</v>
      </c>
      <c r="K63" s="7">
        <f t="shared" si="22"/>
        <v>3000</v>
      </c>
      <c r="L63" s="7">
        <f t="shared" si="23"/>
        <v>3000</v>
      </c>
      <c r="M63" s="7">
        <f t="shared" si="24"/>
        <v>3000</v>
      </c>
      <c r="N63" s="7">
        <f t="shared" si="37"/>
        <v>-465</v>
      </c>
      <c r="O63" s="7">
        <f t="shared" si="38"/>
        <v>-424</v>
      </c>
      <c r="P63" s="7">
        <f t="shared" si="39"/>
        <v>-379</v>
      </c>
      <c r="Q63" s="23">
        <v>10</v>
      </c>
      <c r="R63" s="23">
        <v>10</v>
      </c>
      <c r="S63" s="23">
        <v>3</v>
      </c>
      <c r="T63" s="19">
        <f t="shared" si="35"/>
        <v>1920</v>
      </c>
      <c r="U63" s="19">
        <f t="shared" si="42"/>
        <v>1470</v>
      </c>
      <c r="V63" s="19">
        <f t="shared" si="42"/>
        <v>1470</v>
      </c>
      <c r="W63" s="19">
        <f t="shared" si="42"/>
        <v>1488</v>
      </c>
      <c r="X63" s="7"/>
      <c r="Y63" s="7"/>
      <c r="Z63" s="7"/>
      <c r="AA63" s="7"/>
    </row>
    <row r="64" spans="1:27" ht="15" customHeight="1">
      <c r="A64" s="17">
        <v>52</v>
      </c>
      <c r="B64" s="18">
        <f t="shared" si="40"/>
        <v>45372</v>
      </c>
      <c r="C64" s="17">
        <f t="shared" si="36"/>
        <v>1026</v>
      </c>
      <c r="D64" s="24">
        <v>2357</v>
      </c>
      <c r="E64" s="7">
        <f t="shared" si="29"/>
        <v>858</v>
      </c>
      <c r="F64" s="7">
        <f t="shared" si="30"/>
        <v>817</v>
      </c>
      <c r="G64" s="7">
        <f t="shared" si="31"/>
        <v>767</v>
      </c>
      <c r="H64" s="7">
        <f t="shared" si="32"/>
        <v>2525</v>
      </c>
      <c r="I64" s="7">
        <f t="shared" si="33"/>
        <v>2566</v>
      </c>
      <c r="J64" s="7">
        <f t="shared" si="34"/>
        <v>2616</v>
      </c>
      <c r="K64" s="7">
        <f t="shared" si="22"/>
        <v>3000</v>
      </c>
      <c r="L64" s="7">
        <f t="shared" si="23"/>
        <v>3000</v>
      </c>
      <c r="M64" s="7">
        <f t="shared" si="24"/>
        <v>3000</v>
      </c>
      <c r="N64" s="7">
        <f t="shared" si="37"/>
        <v>-475</v>
      </c>
      <c r="O64" s="7">
        <f t="shared" si="38"/>
        <v>-434</v>
      </c>
      <c r="P64" s="7">
        <f t="shared" si="39"/>
        <v>-384</v>
      </c>
      <c r="Q64" s="23">
        <v>10</v>
      </c>
      <c r="R64" s="23">
        <v>10</v>
      </c>
      <c r="S64" s="23">
        <v>5</v>
      </c>
      <c r="T64" s="19">
        <f t="shared" si="35"/>
        <v>1923</v>
      </c>
      <c r="U64" s="19">
        <f t="shared" si="42"/>
        <v>1460</v>
      </c>
      <c r="V64" s="19">
        <f t="shared" si="42"/>
        <v>1460</v>
      </c>
      <c r="W64" s="19">
        <f t="shared" si="42"/>
        <v>1483</v>
      </c>
      <c r="X64" s="7"/>
      <c r="Y64" s="7"/>
      <c r="Z64" s="7"/>
      <c r="AA64" s="7"/>
    </row>
    <row r="65" spans="1:27" ht="15" customHeight="1">
      <c r="A65" s="17">
        <v>53</v>
      </c>
      <c r="B65" s="18">
        <f t="shared" si="40"/>
        <v>45373</v>
      </c>
      <c r="C65" s="17">
        <f t="shared" si="36"/>
        <v>1026</v>
      </c>
      <c r="D65" s="24">
        <v>2313</v>
      </c>
      <c r="E65" s="7">
        <f t="shared" si="29"/>
        <v>824</v>
      </c>
      <c r="F65" s="7">
        <f t="shared" si="30"/>
        <v>783</v>
      </c>
      <c r="G65" s="7">
        <f t="shared" si="31"/>
        <v>727</v>
      </c>
      <c r="H65" s="7">
        <f t="shared" si="32"/>
        <v>2515</v>
      </c>
      <c r="I65" s="7">
        <f t="shared" si="33"/>
        <v>2556</v>
      </c>
      <c r="J65" s="7">
        <f t="shared" si="34"/>
        <v>2612</v>
      </c>
      <c r="K65" s="7">
        <f t="shared" si="22"/>
        <v>3000</v>
      </c>
      <c r="L65" s="7">
        <f t="shared" si="23"/>
        <v>3000</v>
      </c>
      <c r="M65" s="7">
        <f t="shared" si="24"/>
        <v>3000</v>
      </c>
      <c r="N65" s="7">
        <f t="shared" si="37"/>
        <v>-485</v>
      </c>
      <c r="O65" s="7">
        <f t="shared" si="38"/>
        <v>-444</v>
      </c>
      <c r="P65" s="7">
        <f t="shared" si="39"/>
        <v>-388</v>
      </c>
      <c r="Q65" s="23">
        <v>10</v>
      </c>
      <c r="R65" s="23">
        <v>10</v>
      </c>
      <c r="S65" s="23">
        <v>4</v>
      </c>
      <c r="T65" s="19">
        <f t="shared" si="35"/>
        <v>1889</v>
      </c>
      <c r="U65" s="19">
        <f t="shared" si="42"/>
        <v>1450</v>
      </c>
      <c r="V65" s="19">
        <f t="shared" si="42"/>
        <v>1450</v>
      </c>
      <c r="W65" s="19">
        <f t="shared" si="42"/>
        <v>1479</v>
      </c>
      <c r="X65" s="7"/>
      <c r="Y65" s="7"/>
      <c r="Z65" s="7"/>
      <c r="AA65" s="7"/>
    </row>
    <row r="66" spans="1:27" ht="15" customHeight="1">
      <c r="A66" s="17">
        <v>54</v>
      </c>
      <c r="B66" s="18">
        <f t="shared" si="40"/>
        <v>45374</v>
      </c>
      <c r="C66" s="17">
        <f t="shared" si="36"/>
        <v>1026</v>
      </c>
      <c r="D66" s="24">
        <v>2234</v>
      </c>
      <c r="E66" s="7">
        <f t="shared" si="29"/>
        <v>755</v>
      </c>
      <c r="F66" s="7">
        <f t="shared" si="30"/>
        <v>714</v>
      </c>
      <c r="G66" s="7">
        <f t="shared" si="31"/>
        <v>653</v>
      </c>
      <c r="H66" s="7">
        <f t="shared" si="32"/>
        <v>2505</v>
      </c>
      <c r="I66" s="7">
        <f t="shared" si="33"/>
        <v>2546</v>
      </c>
      <c r="J66" s="7">
        <f t="shared" si="34"/>
        <v>2607</v>
      </c>
      <c r="K66" s="7">
        <f t="shared" si="22"/>
        <v>3000</v>
      </c>
      <c r="L66" s="7">
        <f t="shared" si="23"/>
        <v>3000</v>
      </c>
      <c r="M66" s="7">
        <f t="shared" si="24"/>
        <v>3000</v>
      </c>
      <c r="N66" s="7">
        <f t="shared" si="37"/>
        <v>-495</v>
      </c>
      <c r="O66" s="7">
        <f t="shared" si="38"/>
        <v>-454</v>
      </c>
      <c r="P66" s="7">
        <f t="shared" si="39"/>
        <v>-393</v>
      </c>
      <c r="Q66" s="23">
        <v>10</v>
      </c>
      <c r="R66" s="23">
        <v>10</v>
      </c>
      <c r="S66" s="23">
        <v>5</v>
      </c>
      <c r="T66" s="19">
        <f t="shared" si="35"/>
        <v>1820</v>
      </c>
      <c r="U66" s="19">
        <f t="shared" si="42"/>
        <v>1440</v>
      </c>
      <c r="V66" s="19">
        <f t="shared" si="42"/>
        <v>1440</v>
      </c>
      <c r="W66" s="19">
        <f t="shared" si="42"/>
        <v>1474</v>
      </c>
      <c r="X66" s="7"/>
      <c r="Y66" s="7"/>
      <c r="Z66" s="7"/>
      <c r="AA66" s="7"/>
    </row>
    <row r="67" spans="1:27" ht="15" customHeight="1">
      <c r="A67" s="17">
        <v>55</v>
      </c>
      <c r="B67" s="18">
        <f t="shared" si="40"/>
        <v>45375</v>
      </c>
      <c r="C67" s="17">
        <f t="shared" si="36"/>
        <v>1026</v>
      </c>
      <c r="D67" s="24">
        <v>2490</v>
      </c>
      <c r="E67" s="7">
        <f t="shared" si="29"/>
        <v>1021</v>
      </c>
      <c r="F67" s="7">
        <f t="shared" si="30"/>
        <v>980</v>
      </c>
      <c r="G67" s="7">
        <f t="shared" si="31"/>
        <v>913</v>
      </c>
      <c r="H67" s="7">
        <f t="shared" si="32"/>
        <v>2495</v>
      </c>
      <c r="I67" s="7">
        <f t="shared" si="33"/>
        <v>2536</v>
      </c>
      <c r="J67" s="7">
        <f t="shared" si="34"/>
        <v>2603</v>
      </c>
      <c r="K67" s="7">
        <f t="shared" si="22"/>
        <v>3000</v>
      </c>
      <c r="L67" s="7">
        <f t="shared" si="23"/>
        <v>3000</v>
      </c>
      <c r="M67" s="7">
        <f t="shared" si="24"/>
        <v>3000</v>
      </c>
      <c r="N67" s="7">
        <f t="shared" si="37"/>
        <v>-505</v>
      </c>
      <c r="O67" s="7">
        <f t="shared" si="38"/>
        <v>-464</v>
      </c>
      <c r="P67" s="7">
        <f t="shared" si="39"/>
        <v>-397</v>
      </c>
      <c r="Q67" s="23">
        <v>10</v>
      </c>
      <c r="R67" s="23">
        <v>10</v>
      </c>
      <c r="S67" s="23">
        <v>4</v>
      </c>
      <c r="T67" s="19">
        <f t="shared" si="35"/>
        <v>2086</v>
      </c>
      <c r="U67" s="19">
        <f t="shared" si="42"/>
        <v>1430</v>
      </c>
      <c r="V67" s="19">
        <f t="shared" si="42"/>
        <v>1430</v>
      </c>
      <c r="W67" s="19">
        <f t="shared" si="42"/>
        <v>1470</v>
      </c>
      <c r="X67" s="7"/>
      <c r="Y67" s="7"/>
      <c r="Z67" s="7"/>
      <c r="AA67" s="7"/>
    </row>
    <row r="68" spans="1:27" ht="15" customHeight="1">
      <c r="A68" s="17">
        <v>56</v>
      </c>
      <c r="B68" s="18">
        <f t="shared" si="40"/>
        <v>45376</v>
      </c>
      <c r="C68" s="17">
        <f t="shared" si="36"/>
        <v>1026</v>
      </c>
      <c r="D68" s="24">
        <v>2833</v>
      </c>
      <c r="E68" s="7">
        <f t="shared" si="29"/>
        <v>1374</v>
      </c>
      <c r="F68" s="7">
        <f t="shared" si="30"/>
        <v>1333</v>
      </c>
      <c r="G68" s="7">
        <f t="shared" si="31"/>
        <v>1259</v>
      </c>
      <c r="H68" s="7">
        <f t="shared" si="32"/>
        <v>2485</v>
      </c>
      <c r="I68" s="7">
        <f t="shared" si="33"/>
        <v>2526</v>
      </c>
      <c r="J68" s="7">
        <f t="shared" si="34"/>
        <v>2600</v>
      </c>
      <c r="K68" s="7">
        <f t="shared" si="22"/>
        <v>3000</v>
      </c>
      <c r="L68" s="7">
        <f t="shared" si="23"/>
        <v>3000</v>
      </c>
      <c r="M68" s="7">
        <f t="shared" si="24"/>
        <v>3000</v>
      </c>
      <c r="N68" s="7">
        <f t="shared" si="37"/>
        <v>-515</v>
      </c>
      <c r="O68" s="7">
        <f t="shared" si="38"/>
        <v>-474</v>
      </c>
      <c r="P68" s="7">
        <f t="shared" si="39"/>
        <v>-400</v>
      </c>
      <c r="Q68" s="23">
        <v>10</v>
      </c>
      <c r="R68" s="23">
        <v>10</v>
      </c>
      <c r="S68" s="23">
        <v>3</v>
      </c>
      <c r="T68" s="19">
        <f t="shared" si="35"/>
        <v>2439</v>
      </c>
      <c r="U68" s="19">
        <f t="shared" si="42"/>
        <v>1420</v>
      </c>
      <c r="V68" s="19">
        <f t="shared" si="42"/>
        <v>1420</v>
      </c>
      <c r="W68" s="19">
        <f t="shared" si="42"/>
        <v>1467</v>
      </c>
      <c r="X68" s="7"/>
      <c r="Y68" s="7"/>
      <c r="Z68" s="7"/>
      <c r="AA68" s="5" t="s">
        <v>11</v>
      </c>
    </row>
    <row r="69" spans="1:27" ht="15" customHeight="1">
      <c r="A69" s="17">
        <v>57</v>
      </c>
      <c r="B69" s="18">
        <f t="shared" si="40"/>
        <v>45377</v>
      </c>
      <c r="C69" s="17">
        <f t="shared" si="36"/>
        <v>1026</v>
      </c>
      <c r="D69" s="24">
        <v>2819</v>
      </c>
      <c r="E69" s="7">
        <f t="shared" si="29"/>
        <v>1370</v>
      </c>
      <c r="F69" s="7">
        <f t="shared" si="30"/>
        <v>1329</v>
      </c>
      <c r="G69" s="7">
        <f t="shared" si="31"/>
        <v>1249</v>
      </c>
      <c r="H69" s="7">
        <f t="shared" si="32"/>
        <v>2475</v>
      </c>
      <c r="I69" s="7">
        <f t="shared" si="33"/>
        <v>2516</v>
      </c>
      <c r="J69" s="7">
        <f t="shared" si="34"/>
        <v>2596</v>
      </c>
      <c r="K69" s="7">
        <f t="shared" ref="K69:K100" si="43">K68</f>
        <v>3000</v>
      </c>
      <c r="L69" s="7">
        <f t="shared" ref="L69:L100" si="44">L68</f>
        <v>3000</v>
      </c>
      <c r="M69" s="7">
        <f t="shared" ref="M69:M100" si="45">M68</f>
        <v>3000</v>
      </c>
      <c r="N69" s="7">
        <f t="shared" si="37"/>
        <v>-525</v>
      </c>
      <c r="O69" s="7">
        <f t="shared" si="38"/>
        <v>-484</v>
      </c>
      <c r="P69" s="7">
        <f t="shared" si="39"/>
        <v>-404</v>
      </c>
      <c r="Q69" s="23">
        <v>10</v>
      </c>
      <c r="R69" s="23">
        <v>10</v>
      </c>
      <c r="S69" s="23">
        <v>4</v>
      </c>
      <c r="T69" s="19">
        <f t="shared" si="35"/>
        <v>2045</v>
      </c>
      <c r="U69" s="30">
        <v>1800</v>
      </c>
      <c r="V69" s="30">
        <v>1800</v>
      </c>
      <c r="W69" s="30">
        <v>1800</v>
      </c>
      <c r="X69" s="7"/>
      <c r="Y69" s="7"/>
      <c r="Z69" s="7"/>
      <c r="AA69" s="5" t="s">
        <v>10</v>
      </c>
    </row>
    <row r="70" spans="1:27" ht="15" customHeight="1">
      <c r="A70" s="17">
        <v>58</v>
      </c>
      <c r="B70" s="18">
        <f>B69+3</f>
        <v>45380</v>
      </c>
      <c r="C70" s="17">
        <f t="shared" si="36"/>
        <v>1026</v>
      </c>
      <c r="D70" s="24">
        <v>2701</v>
      </c>
      <c r="E70" s="7">
        <f t="shared" si="29"/>
        <v>1262</v>
      </c>
      <c r="F70" s="7">
        <f t="shared" si="30"/>
        <v>1221</v>
      </c>
      <c r="G70" s="7">
        <f t="shared" si="31"/>
        <v>1141</v>
      </c>
      <c r="H70" s="7">
        <f t="shared" si="32"/>
        <v>2465</v>
      </c>
      <c r="I70" s="7">
        <f t="shared" si="33"/>
        <v>2506</v>
      </c>
      <c r="J70" s="7">
        <f t="shared" si="34"/>
        <v>2586</v>
      </c>
      <c r="K70" s="7">
        <f t="shared" si="43"/>
        <v>3000</v>
      </c>
      <c r="L70" s="7">
        <f t="shared" si="44"/>
        <v>3000</v>
      </c>
      <c r="M70" s="7">
        <f t="shared" si="45"/>
        <v>3000</v>
      </c>
      <c r="N70" s="7">
        <f t="shared" si="37"/>
        <v>-535</v>
      </c>
      <c r="O70" s="7">
        <f t="shared" si="38"/>
        <v>-494</v>
      </c>
      <c r="P70" s="7">
        <f t="shared" si="39"/>
        <v>-414</v>
      </c>
      <c r="Q70" s="23">
        <v>10</v>
      </c>
      <c r="R70" s="23">
        <v>10</v>
      </c>
      <c r="S70" s="23">
        <v>10</v>
      </c>
      <c r="T70" s="19">
        <f t="shared" si="35"/>
        <v>1937</v>
      </c>
      <c r="U70" s="19">
        <f t="shared" ref="U70:U111" si="46">U69-Q70</f>
        <v>1790</v>
      </c>
      <c r="V70" s="19">
        <f t="shared" ref="V70:V111" si="47">V69-R70</f>
        <v>1790</v>
      </c>
      <c r="W70" s="19">
        <f t="shared" ref="W70:W111" si="48">W69-S70</f>
        <v>1790</v>
      </c>
      <c r="X70" s="7"/>
      <c r="Y70" s="7"/>
      <c r="Z70" s="7"/>
      <c r="AA70" s="7"/>
    </row>
    <row r="71" spans="1:27" ht="15" customHeight="1">
      <c r="A71" s="17">
        <v>59</v>
      </c>
      <c r="B71" s="18">
        <f>B70+4</f>
        <v>45384</v>
      </c>
      <c r="C71" s="17">
        <f t="shared" si="36"/>
        <v>1026</v>
      </c>
      <c r="D71" s="24">
        <v>2783</v>
      </c>
      <c r="E71" s="7">
        <f t="shared" si="29"/>
        <v>1358</v>
      </c>
      <c r="F71" s="7">
        <f t="shared" si="30"/>
        <v>1319</v>
      </c>
      <c r="G71" s="7">
        <f t="shared" si="31"/>
        <v>1237</v>
      </c>
      <c r="H71" s="7">
        <f t="shared" si="32"/>
        <v>2451</v>
      </c>
      <c r="I71" s="7">
        <f t="shared" si="33"/>
        <v>2490</v>
      </c>
      <c r="J71" s="7">
        <f t="shared" si="34"/>
        <v>2572</v>
      </c>
      <c r="K71" s="7">
        <f t="shared" si="43"/>
        <v>3000</v>
      </c>
      <c r="L71" s="7">
        <f t="shared" si="44"/>
        <v>3000</v>
      </c>
      <c r="M71" s="7">
        <f t="shared" si="45"/>
        <v>3000</v>
      </c>
      <c r="N71" s="7">
        <f t="shared" si="37"/>
        <v>-549</v>
      </c>
      <c r="O71" s="7">
        <f t="shared" si="38"/>
        <v>-510</v>
      </c>
      <c r="P71" s="7">
        <f t="shared" si="39"/>
        <v>-428</v>
      </c>
      <c r="Q71" s="23">
        <v>14</v>
      </c>
      <c r="R71" s="23">
        <v>16</v>
      </c>
      <c r="S71" s="23">
        <v>14</v>
      </c>
      <c r="T71" s="19">
        <f t="shared" si="35"/>
        <v>2035</v>
      </c>
      <c r="U71" s="19">
        <f t="shared" si="46"/>
        <v>1776</v>
      </c>
      <c r="V71" s="19">
        <f t="shared" si="47"/>
        <v>1774</v>
      </c>
      <c r="W71" s="19">
        <f t="shared" si="48"/>
        <v>1776</v>
      </c>
      <c r="X71" s="7"/>
      <c r="Y71" s="7"/>
      <c r="Z71" s="7"/>
      <c r="AA71" s="7"/>
    </row>
    <row r="72" spans="1:27" ht="15" customHeight="1">
      <c r="A72" s="17">
        <v>60</v>
      </c>
      <c r="B72" s="18">
        <f t="shared" ref="B72:B96" si="49">B71+7</f>
        <v>45391</v>
      </c>
      <c r="C72" s="17">
        <f t="shared" si="36"/>
        <v>1026</v>
      </c>
      <c r="D72" s="24">
        <v>2753</v>
      </c>
      <c r="E72" s="7">
        <f t="shared" si="29"/>
        <v>1343</v>
      </c>
      <c r="F72" s="7">
        <f t="shared" si="30"/>
        <v>1320</v>
      </c>
      <c r="G72" s="7">
        <f t="shared" si="31"/>
        <v>1233</v>
      </c>
      <c r="H72" s="7">
        <f t="shared" si="32"/>
        <v>2436</v>
      </c>
      <c r="I72" s="7">
        <f t="shared" si="33"/>
        <v>2459</v>
      </c>
      <c r="J72" s="7">
        <f t="shared" si="34"/>
        <v>2546</v>
      </c>
      <c r="K72" s="7">
        <f t="shared" si="43"/>
        <v>3000</v>
      </c>
      <c r="L72" s="7">
        <f t="shared" si="44"/>
        <v>3000</v>
      </c>
      <c r="M72" s="7">
        <f t="shared" si="45"/>
        <v>3000</v>
      </c>
      <c r="N72" s="7">
        <f t="shared" si="37"/>
        <v>-564</v>
      </c>
      <c r="O72" s="7">
        <f t="shared" si="38"/>
        <v>-541</v>
      </c>
      <c r="P72" s="7">
        <f t="shared" si="39"/>
        <v>-454</v>
      </c>
      <c r="Q72" s="23">
        <v>15</v>
      </c>
      <c r="R72" s="23">
        <v>31</v>
      </c>
      <c r="S72" s="23">
        <v>26</v>
      </c>
      <c r="T72" s="19">
        <f t="shared" si="35"/>
        <v>2036</v>
      </c>
      <c r="U72" s="19">
        <f t="shared" si="46"/>
        <v>1761</v>
      </c>
      <c r="V72" s="19">
        <f t="shared" si="47"/>
        <v>1743</v>
      </c>
      <c r="W72" s="19">
        <f t="shared" si="48"/>
        <v>1750</v>
      </c>
      <c r="X72" s="7"/>
      <c r="Y72" s="7"/>
      <c r="Z72" s="7"/>
      <c r="AA72" s="21"/>
    </row>
    <row r="73" spans="1:27" ht="15" customHeight="1">
      <c r="A73" s="17">
        <v>61</v>
      </c>
      <c r="B73" s="18">
        <f t="shared" si="49"/>
        <v>45398</v>
      </c>
      <c r="C73" s="17">
        <f t="shared" si="36"/>
        <v>1026</v>
      </c>
      <c r="D73" s="24">
        <v>2992</v>
      </c>
      <c r="E73" s="7">
        <f t="shared" si="29"/>
        <v>1602</v>
      </c>
      <c r="F73" s="7">
        <f t="shared" si="30"/>
        <v>1587</v>
      </c>
      <c r="G73" s="7">
        <f t="shared" si="31"/>
        <v>1495</v>
      </c>
      <c r="H73" s="7">
        <f t="shared" si="32"/>
        <v>2416</v>
      </c>
      <c r="I73" s="7">
        <f t="shared" si="33"/>
        <v>2431</v>
      </c>
      <c r="J73" s="7">
        <f t="shared" si="34"/>
        <v>2523</v>
      </c>
      <c r="K73" s="7">
        <f t="shared" si="43"/>
        <v>3000</v>
      </c>
      <c r="L73" s="7">
        <f t="shared" si="44"/>
        <v>3000</v>
      </c>
      <c r="M73" s="7">
        <f t="shared" si="45"/>
        <v>3000</v>
      </c>
      <c r="N73" s="7">
        <f t="shared" si="37"/>
        <v>-584</v>
      </c>
      <c r="O73" s="7">
        <f t="shared" si="38"/>
        <v>-569</v>
      </c>
      <c r="P73" s="7">
        <f t="shared" si="39"/>
        <v>-477</v>
      </c>
      <c r="Q73" s="23">
        <v>20</v>
      </c>
      <c r="R73" s="23">
        <v>28</v>
      </c>
      <c r="S73" s="23">
        <v>23</v>
      </c>
      <c r="T73" s="19">
        <f t="shared" si="35"/>
        <v>2303</v>
      </c>
      <c r="U73" s="19">
        <f t="shared" si="46"/>
        <v>1741</v>
      </c>
      <c r="V73" s="19">
        <f t="shared" si="47"/>
        <v>1715</v>
      </c>
      <c r="W73" s="19">
        <f t="shared" si="48"/>
        <v>1727</v>
      </c>
      <c r="X73" s="7"/>
      <c r="Y73" s="7"/>
      <c r="Z73" s="7"/>
      <c r="AA73" s="20"/>
    </row>
    <row r="74" spans="1:27" ht="15" customHeight="1">
      <c r="A74" s="17">
        <v>62</v>
      </c>
      <c r="B74" s="18">
        <f t="shared" si="49"/>
        <v>45405</v>
      </c>
      <c r="C74" s="17">
        <f t="shared" si="36"/>
        <v>1026</v>
      </c>
      <c r="D74" s="24">
        <v>2825</v>
      </c>
      <c r="E74" s="7">
        <f t="shared" si="29"/>
        <v>1454</v>
      </c>
      <c r="F74" s="7">
        <f t="shared" si="30"/>
        <v>1447</v>
      </c>
      <c r="G74" s="7">
        <f t="shared" si="31"/>
        <v>1352</v>
      </c>
      <c r="H74" s="7">
        <f t="shared" si="32"/>
        <v>2397</v>
      </c>
      <c r="I74" s="7">
        <f t="shared" si="33"/>
        <v>2404</v>
      </c>
      <c r="J74" s="7">
        <f t="shared" si="34"/>
        <v>2499</v>
      </c>
      <c r="K74" s="7">
        <f t="shared" si="43"/>
        <v>3000</v>
      </c>
      <c r="L74" s="7">
        <f t="shared" si="44"/>
        <v>3000</v>
      </c>
      <c r="M74" s="7">
        <f t="shared" si="45"/>
        <v>3000</v>
      </c>
      <c r="N74" s="7">
        <f t="shared" si="37"/>
        <v>-603</v>
      </c>
      <c r="O74" s="7">
        <f t="shared" si="38"/>
        <v>-596</v>
      </c>
      <c r="P74" s="7">
        <f t="shared" si="39"/>
        <v>-501</v>
      </c>
      <c r="Q74" s="23">
        <v>19</v>
      </c>
      <c r="R74" s="23">
        <v>27</v>
      </c>
      <c r="S74" s="23">
        <v>24</v>
      </c>
      <c r="T74" s="19">
        <f t="shared" si="35"/>
        <v>2163</v>
      </c>
      <c r="U74" s="19">
        <f t="shared" si="46"/>
        <v>1722</v>
      </c>
      <c r="V74" s="19">
        <f t="shared" si="47"/>
        <v>1688</v>
      </c>
      <c r="W74" s="19">
        <f t="shared" si="48"/>
        <v>1703</v>
      </c>
      <c r="X74" s="7"/>
      <c r="Y74" s="7"/>
      <c r="Z74" s="7"/>
      <c r="AA74" s="7"/>
    </row>
    <row r="75" spans="1:27" ht="15" customHeight="1">
      <c r="A75" s="17">
        <v>63</v>
      </c>
      <c r="B75" s="18">
        <f t="shared" si="49"/>
        <v>45412</v>
      </c>
      <c r="C75" s="17">
        <f t="shared" si="36"/>
        <v>1026</v>
      </c>
      <c r="D75" s="24">
        <v>2809</v>
      </c>
      <c r="E75" s="7">
        <f t="shared" si="29"/>
        <v>1455</v>
      </c>
      <c r="F75" s="7">
        <f t="shared" si="30"/>
        <v>1461</v>
      </c>
      <c r="G75" s="7">
        <f t="shared" si="31"/>
        <v>1359</v>
      </c>
      <c r="H75" s="7">
        <f t="shared" si="32"/>
        <v>2380</v>
      </c>
      <c r="I75" s="7">
        <f t="shared" si="33"/>
        <v>2374</v>
      </c>
      <c r="J75" s="7">
        <f t="shared" si="34"/>
        <v>2476</v>
      </c>
      <c r="K75" s="7">
        <f t="shared" si="43"/>
        <v>3000</v>
      </c>
      <c r="L75" s="7">
        <f t="shared" si="44"/>
        <v>3000</v>
      </c>
      <c r="M75" s="7">
        <f t="shared" si="45"/>
        <v>3000</v>
      </c>
      <c r="N75" s="7">
        <f t="shared" si="37"/>
        <v>-620</v>
      </c>
      <c r="O75" s="7">
        <f t="shared" si="38"/>
        <v>-626</v>
      </c>
      <c r="P75" s="7">
        <f t="shared" si="39"/>
        <v>-524</v>
      </c>
      <c r="Q75" s="23">
        <v>17</v>
      </c>
      <c r="R75" s="23">
        <v>30</v>
      </c>
      <c r="S75" s="23">
        <v>23</v>
      </c>
      <c r="T75" s="19">
        <f t="shared" si="35"/>
        <v>2177</v>
      </c>
      <c r="U75" s="19">
        <f t="shared" si="46"/>
        <v>1705</v>
      </c>
      <c r="V75" s="19">
        <f t="shared" si="47"/>
        <v>1658</v>
      </c>
      <c r="W75" s="19">
        <f t="shared" si="48"/>
        <v>1680</v>
      </c>
      <c r="X75" s="7"/>
      <c r="Y75" s="7"/>
      <c r="Z75" s="7"/>
      <c r="AA75" s="7"/>
    </row>
    <row r="76" spans="1:27" ht="15" customHeight="1">
      <c r="A76" s="17">
        <v>64</v>
      </c>
      <c r="B76" s="18">
        <f t="shared" si="49"/>
        <v>45419</v>
      </c>
      <c r="C76" s="17">
        <f t="shared" si="36"/>
        <v>1026</v>
      </c>
      <c r="D76" s="24">
        <v>2767</v>
      </c>
      <c r="E76" s="7">
        <f t="shared" si="29"/>
        <v>1431</v>
      </c>
      <c r="F76" s="7">
        <f t="shared" si="30"/>
        <v>1445</v>
      </c>
      <c r="G76" s="7">
        <f t="shared" si="31"/>
        <v>1341</v>
      </c>
      <c r="H76" s="7">
        <f t="shared" si="32"/>
        <v>2362</v>
      </c>
      <c r="I76" s="7">
        <f t="shared" si="33"/>
        <v>2348</v>
      </c>
      <c r="J76" s="7">
        <f t="shared" si="34"/>
        <v>2452</v>
      </c>
      <c r="K76" s="7">
        <f t="shared" si="43"/>
        <v>3000</v>
      </c>
      <c r="L76" s="7">
        <f t="shared" si="44"/>
        <v>3000</v>
      </c>
      <c r="M76" s="7">
        <f t="shared" si="45"/>
        <v>3000</v>
      </c>
      <c r="N76" s="7">
        <f t="shared" si="37"/>
        <v>-638</v>
      </c>
      <c r="O76" s="7">
        <f t="shared" si="38"/>
        <v>-652</v>
      </c>
      <c r="P76" s="7">
        <f t="shared" si="39"/>
        <v>-548</v>
      </c>
      <c r="Q76" s="23">
        <v>18</v>
      </c>
      <c r="R76" s="23">
        <v>26</v>
      </c>
      <c r="S76" s="23">
        <v>24</v>
      </c>
      <c r="T76" s="19">
        <f t="shared" si="35"/>
        <v>2161</v>
      </c>
      <c r="U76" s="19">
        <f t="shared" si="46"/>
        <v>1687</v>
      </c>
      <c r="V76" s="19">
        <f t="shared" si="47"/>
        <v>1632</v>
      </c>
      <c r="W76" s="19">
        <f t="shared" si="48"/>
        <v>1656</v>
      </c>
      <c r="X76" s="7"/>
      <c r="Y76" s="7"/>
      <c r="Z76" s="7"/>
      <c r="AA76" s="7"/>
    </row>
    <row r="77" spans="1:27" ht="15" customHeight="1">
      <c r="A77" s="17">
        <v>65</v>
      </c>
      <c r="B77" s="18">
        <f t="shared" si="49"/>
        <v>45426</v>
      </c>
      <c r="C77" s="17">
        <f t="shared" si="36"/>
        <v>1026</v>
      </c>
      <c r="D77" s="24">
        <v>2992</v>
      </c>
      <c r="E77" s="7">
        <f t="shared" ref="E77:E108" si="50">C77+D77-H77</f>
        <v>1672</v>
      </c>
      <c r="F77" s="7">
        <f t="shared" ref="F77:F108" si="51">C77+D77-I77</f>
        <v>1700</v>
      </c>
      <c r="G77" s="7">
        <f t="shared" ref="G77:G108" si="52">D77+C77-J77</f>
        <v>1592</v>
      </c>
      <c r="H77" s="7">
        <f t="shared" ref="H77:H108" si="53">K77+N77</f>
        <v>2346</v>
      </c>
      <c r="I77" s="7">
        <f t="shared" ref="I77:I108" si="54">L77+O77</f>
        <v>2318</v>
      </c>
      <c r="J77" s="7">
        <f t="shared" ref="J77:J108" si="55">M77+P77</f>
        <v>2426</v>
      </c>
      <c r="K77" s="7">
        <f t="shared" si="43"/>
        <v>3000</v>
      </c>
      <c r="L77" s="7">
        <f t="shared" si="44"/>
        <v>3000</v>
      </c>
      <c r="M77" s="7">
        <f t="shared" si="45"/>
        <v>3000</v>
      </c>
      <c r="N77" s="7">
        <f t="shared" si="37"/>
        <v>-654</v>
      </c>
      <c r="O77" s="7">
        <f t="shared" si="38"/>
        <v>-682</v>
      </c>
      <c r="P77" s="7">
        <f t="shared" si="39"/>
        <v>-574</v>
      </c>
      <c r="Q77" s="23">
        <v>16</v>
      </c>
      <c r="R77" s="23">
        <v>30</v>
      </c>
      <c r="S77" s="23">
        <v>26</v>
      </c>
      <c r="T77" s="19">
        <f t="shared" ref="T77:T108" si="56">D77+C77-V77</f>
        <v>2416</v>
      </c>
      <c r="U77" s="19">
        <f t="shared" si="46"/>
        <v>1671</v>
      </c>
      <c r="V77" s="19">
        <f t="shared" si="47"/>
        <v>1602</v>
      </c>
      <c r="W77" s="19">
        <f t="shared" si="48"/>
        <v>1630</v>
      </c>
      <c r="X77" s="7"/>
      <c r="Y77" s="7"/>
      <c r="Z77" s="7"/>
      <c r="AA77" s="5"/>
    </row>
    <row r="78" spans="1:27" ht="15" customHeight="1">
      <c r="A78" s="17">
        <v>66</v>
      </c>
      <c r="B78" s="18">
        <f t="shared" si="49"/>
        <v>45433</v>
      </c>
      <c r="C78" s="17">
        <f t="shared" ref="C78:C109" si="57">C77</f>
        <v>1026</v>
      </c>
      <c r="D78" s="24">
        <v>2827</v>
      </c>
      <c r="E78" s="7">
        <f t="shared" si="50"/>
        <v>1523</v>
      </c>
      <c r="F78" s="7">
        <f t="shared" si="51"/>
        <v>1560</v>
      </c>
      <c r="G78" s="7">
        <f t="shared" si="52"/>
        <v>1451</v>
      </c>
      <c r="H78" s="7">
        <f t="shared" si="53"/>
        <v>2330</v>
      </c>
      <c r="I78" s="7">
        <f t="shared" si="54"/>
        <v>2293</v>
      </c>
      <c r="J78" s="7">
        <f t="shared" si="55"/>
        <v>2402</v>
      </c>
      <c r="K78" s="7">
        <f t="shared" si="43"/>
        <v>3000</v>
      </c>
      <c r="L78" s="7">
        <f t="shared" si="44"/>
        <v>3000</v>
      </c>
      <c r="M78" s="7">
        <f t="shared" si="45"/>
        <v>3000</v>
      </c>
      <c r="N78" s="7">
        <f t="shared" ref="N78:N109" si="58">N77-Q78</f>
        <v>-670</v>
      </c>
      <c r="O78" s="7">
        <f t="shared" ref="O78:O109" si="59">O77-R78</f>
        <v>-707</v>
      </c>
      <c r="P78" s="7">
        <f t="shared" ref="P78:P109" si="60">P77-S78</f>
        <v>-598</v>
      </c>
      <c r="Q78" s="23">
        <v>16</v>
      </c>
      <c r="R78" s="23">
        <v>25</v>
      </c>
      <c r="S78" s="23">
        <v>24</v>
      </c>
      <c r="T78" s="19">
        <f t="shared" si="56"/>
        <v>2276</v>
      </c>
      <c r="U78" s="19">
        <f t="shared" si="46"/>
        <v>1655</v>
      </c>
      <c r="V78" s="19">
        <f t="shared" si="47"/>
        <v>1577</v>
      </c>
      <c r="W78" s="19">
        <f t="shared" si="48"/>
        <v>1606</v>
      </c>
      <c r="X78" s="7"/>
      <c r="Y78" s="7"/>
      <c r="Z78" s="7"/>
      <c r="AA78" s="7"/>
    </row>
    <row r="79" spans="1:27" ht="15" customHeight="1">
      <c r="A79" s="17">
        <v>67</v>
      </c>
      <c r="B79" s="18">
        <f t="shared" si="49"/>
        <v>45440</v>
      </c>
      <c r="C79" s="17">
        <f t="shared" si="57"/>
        <v>1026</v>
      </c>
      <c r="D79" s="24">
        <v>2956</v>
      </c>
      <c r="E79" s="7">
        <f t="shared" si="50"/>
        <v>1669</v>
      </c>
      <c r="F79" s="7">
        <f t="shared" si="51"/>
        <v>1719</v>
      </c>
      <c r="G79" s="7">
        <f t="shared" si="52"/>
        <v>1603</v>
      </c>
      <c r="H79" s="7">
        <f t="shared" si="53"/>
        <v>2313</v>
      </c>
      <c r="I79" s="7">
        <f t="shared" si="54"/>
        <v>2263</v>
      </c>
      <c r="J79" s="7">
        <f t="shared" si="55"/>
        <v>2379</v>
      </c>
      <c r="K79" s="7">
        <f t="shared" si="43"/>
        <v>3000</v>
      </c>
      <c r="L79" s="7">
        <f t="shared" si="44"/>
        <v>3000</v>
      </c>
      <c r="M79" s="7">
        <f t="shared" si="45"/>
        <v>3000</v>
      </c>
      <c r="N79" s="7">
        <f t="shared" si="58"/>
        <v>-687</v>
      </c>
      <c r="O79" s="7">
        <f t="shared" si="59"/>
        <v>-737</v>
      </c>
      <c r="P79" s="7">
        <f t="shared" si="60"/>
        <v>-621</v>
      </c>
      <c r="Q79" s="23">
        <v>17</v>
      </c>
      <c r="R79" s="23">
        <v>30</v>
      </c>
      <c r="S79" s="23">
        <v>23</v>
      </c>
      <c r="T79" s="19">
        <f t="shared" si="56"/>
        <v>2435</v>
      </c>
      <c r="U79" s="19">
        <f t="shared" si="46"/>
        <v>1638</v>
      </c>
      <c r="V79" s="19">
        <f t="shared" si="47"/>
        <v>1547</v>
      </c>
      <c r="W79" s="19">
        <f t="shared" si="48"/>
        <v>1583</v>
      </c>
      <c r="X79" s="7"/>
      <c r="Y79" s="7"/>
      <c r="Z79" s="7"/>
      <c r="AA79" s="7"/>
    </row>
    <row r="80" spans="1:27" ht="15" customHeight="1">
      <c r="A80" s="17">
        <v>68</v>
      </c>
      <c r="B80" s="18">
        <f t="shared" si="49"/>
        <v>45447</v>
      </c>
      <c r="C80" s="17">
        <f t="shared" si="57"/>
        <v>1026</v>
      </c>
      <c r="D80" s="24">
        <v>2917</v>
      </c>
      <c r="E80" s="7">
        <f t="shared" si="50"/>
        <v>1648</v>
      </c>
      <c r="F80" s="7">
        <f t="shared" si="51"/>
        <v>1707</v>
      </c>
      <c r="G80" s="7">
        <f t="shared" si="52"/>
        <v>1586</v>
      </c>
      <c r="H80" s="7">
        <f t="shared" si="53"/>
        <v>2295</v>
      </c>
      <c r="I80" s="7">
        <f t="shared" si="54"/>
        <v>2236</v>
      </c>
      <c r="J80" s="7">
        <f t="shared" si="55"/>
        <v>2357</v>
      </c>
      <c r="K80" s="7">
        <f t="shared" si="43"/>
        <v>3000</v>
      </c>
      <c r="L80" s="7">
        <f t="shared" si="44"/>
        <v>3000</v>
      </c>
      <c r="M80" s="7">
        <f t="shared" si="45"/>
        <v>3000</v>
      </c>
      <c r="N80" s="7">
        <f t="shared" si="58"/>
        <v>-705</v>
      </c>
      <c r="O80" s="7">
        <f t="shared" si="59"/>
        <v>-764</v>
      </c>
      <c r="P80" s="7">
        <f t="shared" si="60"/>
        <v>-643</v>
      </c>
      <c r="Q80" s="23">
        <v>18</v>
      </c>
      <c r="R80" s="23">
        <v>27</v>
      </c>
      <c r="S80" s="23">
        <v>22</v>
      </c>
      <c r="T80" s="19">
        <f t="shared" si="56"/>
        <v>2423</v>
      </c>
      <c r="U80" s="19">
        <f t="shared" si="46"/>
        <v>1620</v>
      </c>
      <c r="V80" s="19">
        <f t="shared" si="47"/>
        <v>1520</v>
      </c>
      <c r="W80" s="19">
        <f t="shared" si="48"/>
        <v>1561</v>
      </c>
      <c r="X80" s="7"/>
      <c r="Y80" s="7"/>
      <c r="Z80" s="7"/>
      <c r="AA80" s="7"/>
    </row>
    <row r="81" spans="1:27" ht="15" customHeight="1">
      <c r="A81" s="17">
        <v>69</v>
      </c>
      <c r="B81" s="18">
        <f t="shared" si="49"/>
        <v>45454</v>
      </c>
      <c r="C81" s="17">
        <f t="shared" si="57"/>
        <v>1026</v>
      </c>
      <c r="D81" s="24">
        <v>2826</v>
      </c>
      <c r="E81" s="7">
        <f t="shared" si="50"/>
        <v>1576</v>
      </c>
      <c r="F81" s="7">
        <f t="shared" si="51"/>
        <v>1645</v>
      </c>
      <c r="G81" s="7">
        <f t="shared" si="52"/>
        <v>1516</v>
      </c>
      <c r="H81" s="7">
        <f t="shared" si="53"/>
        <v>2276</v>
      </c>
      <c r="I81" s="7">
        <f t="shared" si="54"/>
        <v>2207</v>
      </c>
      <c r="J81" s="7">
        <f t="shared" si="55"/>
        <v>2336</v>
      </c>
      <c r="K81" s="7">
        <f t="shared" si="43"/>
        <v>3000</v>
      </c>
      <c r="L81" s="7">
        <f t="shared" si="44"/>
        <v>3000</v>
      </c>
      <c r="M81" s="7">
        <f t="shared" si="45"/>
        <v>3000</v>
      </c>
      <c r="N81" s="7">
        <f t="shared" si="58"/>
        <v>-724</v>
      </c>
      <c r="O81" s="7">
        <f t="shared" si="59"/>
        <v>-793</v>
      </c>
      <c r="P81" s="7">
        <f t="shared" si="60"/>
        <v>-664</v>
      </c>
      <c r="Q81" s="23">
        <v>19</v>
      </c>
      <c r="R81" s="23">
        <v>29</v>
      </c>
      <c r="S81" s="23">
        <v>21</v>
      </c>
      <c r="T81" s="19">
        <f t="shared" si="56"/>
        <v>2361</v>
      </c>
      <c r="U81" s="19">
        <f t="shared" si="46"/>
        <v>1601</v>
      </c>
      <c r="V81" s="19">
        <f t="shared" si="47"/>
        <v>1491</v>
      </c>
      <c r="W81" s="19">
        <f t="shared" si="48"/>
        <v>1540</v>
      </c>
      <c r="X81" s="7"/>
      <c r="Y81" s="7"/>
      <c r="Z81" s="7"/>
      <c r="AA81" s="7"/>
    </row>
    <row r="82" spans="1:27" ht="15" customHeight="1">
      <c r="A82" s="17">
        <v>70</v>
      </c>
      <c r="B82" s="18">
        <f t="shared" si="49"/>
        <v>45461</v>
      </c>
      <c r="C82" s="17">
        <f t="shared" si="57"/>
        <v>1026</v>
      </c>
      <c r="D82" s="24">
        <v>2827</v>
      </c>
      <c r="E82" s="7">
        <f t="shared" si="50"/>
        <v>1592</v>
      </c>
      <c r="F82" s="7">
        <f t="shared" si="51"/>
        <v>1674</v>
      </c>
      <c r="G82" s="7">
        <f t="shared" si="52"/>
        <v>1537</v>
      </c>
      <c r="H82" s="7">
        <f t="shared" si="53"/>
        <v>2261</v>
      </c>
      <c r="I82" s="7">
        <f t="shared" si="54"/>
        <v>2179</v>
      </c>
      <c r="J82" s="7">
        <f t="shared" si="55"/>
        <v>2316</v>
      </c>
      <c r="K82" s="7">
        <f t="shared" si="43"/>
        <v>3000</v>
      </c>
      <c r="L82" s="7">
        <f t="shared" si="44"/>
        <v>3000</v>
      </c>
      <c r="M82" s="7">
        <f t="shared" si="45"/>
        <v>3000</v>
      </c>
      <c r="N82" s="7">
        <f t="shared" si="58"/>
        <v>-739</v>
      </c>
      <c r="O82" s="7">
        <f t="shared" si="59"/>
        <v>-821</v>
      </c>
      <c r="P82" s="7">
        <f t="shared" si="60"/>
        <v>-684</v>
      </c>
      <c r="Q82" s="23">
        <v>15</v>
      </c>
      <c r="R82" s="23">
        <v>28</v>
      </c>
      <c r="S82" s="23">
        <v>20</v>
      </c>
      <c r="T82" s="19">
        <f t="shared" si="56"/>
        <v>2390</v>
      </c>
      <c r="U82" s="19">
        <f t="shared" si="46"/>
        <v>1586</v>
      </c>
      <c r="V82" s="19">
        <f t="shared" si="47"/>
        <v>1463</v>
      </c>
      <c r="W82" s="19">
        <f t="shared" si="48"/>
        <v>1520</v>
      </c>
      <c r="X82" s="7"/>
      <c r="Y82" s="7"/>
      <c r="Z82" s="7"/>
      <c r="AA82" s="7"/>
    </row>
    <row r="83" spans="1:27" ht="15" customHeight="1">
      <c r="A83" s="17">
        <v>71</v>
      </c>
      <c r="B83" s="18">
        <f t="shared" si="49"/>
        <v>45468</v>
      </c>
      <c r="C83" s="17">
        <f t="shared" si="57"/>
        <v>1026</v>
      </c>
      <c r="D83" s="24">
        <v>2828</v>
      </c>
      <c r="E83" s="7">
        <f t="shared" si="50"/>
        <v>1603</v>
      </c>
      <c r="F83" s="7">
        <f t="shared" si="51"/>
        <v>1701</v>
      </c>
      <c r="G83" s="7">
        <f t="shared" si="52"/>
        <v>1557</v>
      </c>
      <c r="H83" s="7">
        <f t="shared" si="53"/>
        <v>2251</v>
      </c>
      <c r="I83" s="7">
        <f t="shared" si="54"/>
        <v>2153</v>
      </c>
      <c r="J83" s="7">
        <f t="shared" si="55"/>
        <v>2297</v>
      </c>
      <c r="K83" s="7">
        <f t="shared" si="43"/>
        <v>3000</v>
      </c>
      <c r="L83" s="7">
        <f t="shared" si="44"/>
        <v>3000</v>
      </c>
      <c r="M83" s="7">
        <f t="shared" si="45"/>
        <v>3000</v>
      </c>
      <c r="N83" s="7">
        <f t="shared" si="58"/>
        <v>-749</v>
      </c>
      <c r="O83" s="7">
        <f t="shared" si="59"/>
        <v>-847</v>
      </c>
      <c r="P83" s="7">
        <f t="shared" si="60"/>
        <v>-703</v>
      </c>
      <c r="Q83" s="23">
        <v>10</v>
      </c>
      <c r="R83" s="23">
        <v>26</v>
      </c>
      <c r="S83" s="23">
        <v>19</v>
      </c>
      <c r="T83" s="19">
        <f t="shared" si="56"/>
        <v>2417</v>
      </c>
      <c r="U83" s="19">
        <f t="shared" si="46"/>
        <v>1576</v>
      </c>
      <c r="V83" s="19">
        <f t="shared" si="47"/>
        <v>1437</v>
      </c>
      <c r="W83" s="19">
        <f t="shared" si="48"/>
        <v>1501</v>
      </c>
      <c r="X83" s="7"/>
      <c r="Y83" s="7"/>
      <c r="Z83" s="7"/>
      <c r="AA83" s="7"/>
    </row>
    <row r="84" spans="1:27" ht="15" customHeight="1">
      <c r="A84" s="17">
        <v>72</v>
      </c>
      <c r="B84" s="18">
        <f t="shared" si="49"/>
        <v>45475</v>
      </c>
      <c r="C84" s="17">
        <f t="shared" si="57"/>
        <v>1026</v>
      </c>
      <c r="D84" s="24">
        <v>2829</v>
      </c>
      <c r="E84" s="7">
        <f t="shared" si="50"/>
        <v>1614</v>
      </c>
      <c r="F84" s="7">
        <f t="shared" si="51"/>
        <v>1727</v>
      </c>
      <c r="G84" s="7">
        <f t="shared" si="52"/>
        <v>1576</v>
      </c>
      <c r="H84" s="7">
        <f t="shared" si="53"/>
        <v>2241</v>
      </c>
      <c r="I84" s="7">
        <f t="shared" si="54"/>
        <v>2128</v>
      </c>
      <c r="J84" s="7">
        <f t="shared" si="55"/>
        <v>2279</v>
      </c>
      <c r="K84" s="7">
        <f t="shared" si="43"/>
        <v>3000</v>
      </c>
      <c r="L84" s="7">
        <f t="shared" si="44"/>
        <v>3000</v>
      </c>
      <c r="M84" s="7">
        <f t="shared" si="45"/>
        <v>3000</v>
      </c>
      <c r="N84" s="7">
        <f t="shared" si="58"/>
        <v>-759</v>
      </c>
      <c r="O84" s="7">
        <f t="shared" si="59"/>
        <v>-872</v>
      </c>
      <c r="P84" s="7">
        <f t="shared" si="60"/>
        <v>-721</v>
      </c>
      <c r="Q84" s="23">
        <v>10</v>
      </c>
      <c r="R84" s="23">
        <v>25</v>
      </c>
      <c r="S84" s="23">
        <v>18</v>
      </c>
      <c r="T84" s="19">
        <f t="shared" si="56"/>
        <v>2443</v>
      </c>
      <c r="U84" s="19">
        <f t="shared" si="46"/>
        <v>1566</v>
      </c>
      <c r="V84" s="19">
        <f t="shared" si="47"/>
        <v>1412</v>
      </c>
      <c r="W84" s="19">
        <f t="shared" si="48"/>
        <v>1483</v>
      </c>
      <c r="X84" s="7"/>
      <c r="Y84" s="7"/>
      <c r="Z84" s="7"/>
      <c r="AA84" s="7"/>
    </row>
    <row r="85" spans="1:27" ht="15" customHeight="1">
      <c r="A85" s="17">
        <v>73</v>
      </c>
      <c r="B85" s="18">
        <f t="shared" si="49"/>
        <v>45482</v>
      </c>
      <c r="C85" s="17">
        <f t="shared" si="57"/>
        <v>1026</v>
      </c>
      <c r="D85" s="24">
        <v>2830</v>
      </c>
      <c r="E85" s="7">
        <f t="shared" si="50"/>
        <v>1624</v>
      </c>
      <c r="F85" s="7">
        <f t="shared" si="51"/>
        <v>1738</v>
      </c>
      <c r="G85" s="7">
        <f t="shared" si="52"/>
        <v>1594</v>
      </c>
      <c r="H85" s="7">
        <f t="shared" si="53"/>
        <v>2232</v>
      </c>
      <c r="I85" s="7">
        <f t="shared" si="54"/>
        <v>2118</v>
      </c>
      <c r="J85" s="7">
        <f t="shared" si="55"/>
        <v>2262</v>
      </c>
      <c r="K85" s="7">
        <f t="shared" si="43"/>
        <v>3000</v>
      </c>
      <c r="L85" s="7">
        <f t="shared" si="44"/>
        <v>3000</v>
      </c>
      <c r="M85" s="7">
        <f t="shared" si="45"/>
        <v>3000</v>
      </c>
      <c r="N85" s="7">
        <f t="shared" si="58"/>
        <v>-768</v>
      </c>
      <c r="O85" s="7">
        <f t="shared" si="59"/>
        <v>-882</v>
      </c>
      <c r="P85" s="7">
        <f t="shared" si="60"/>
        <v>-738</v>
      </c>
      <c r="Q85" s="23">
        <v>9</v>
      </c>
      <c r="R85" s="23">
        <v>10</v>
      </c>
      <c r="S85" s="23">
        <v>17</v>
      </c>
      <c r="T85" s="19">
        <f t="shared" si="56"/>
        <v>2454</v>
      </c>
      <c r="U85" s="19">
        <f t="shared" si="46"/>
        <v>1557</v>
      </c>
      <c r="V85" s="19">
        <f t="shared" si="47"/>
        <v>1402</v>
      </c>
      <c r="W85" s="19">
        <f t="shared" si="48"/>
        <v>1466</v>
      </c>
      <c r="X85" s="7"/>
      <c r="Y85" s="7"/>
      <c r="Z85" s="7"/>
      <c r="AA85" s="7"/>
    </row>
    <row r="86" spans="1:27" ht="15" customHeight="1">
      <c r="A86" s="17">
        <v>74</v>
      </c>
      <c r="B86" s="18">
        <f t="shared" si="49"/>
        <v>45489</v>
      </c>
      <c r="C86" s="17">
        <f t="shared" si="57"/>
        <v>1026</v>
      </c>
      <c r="D86" s="24">
        <v>2831</v>
      </c>
      <c r="E86" s="7">
        <f t="shared" si="50"/>
        <v>1633</v>
      </c>
      <c r="F86" s="7">
        <f t="shared" si="51"/>
        <v>1749</v>
      </c>
      <c r="G86" s="7">
        <f t="shared" si="52"/>
        <v>1611</v>
      </c>
      <c r="H86" s="7">
        <f t="shared" si="53"/>
        <v>2224</v>
      </c>
      <c r="I86" s="7">
        <f t="shared" si="54"/>
        <v>2108</v>
      </c>
      <c r="J86" s="7">
        <f t="shared" si="55"/>
        <v>2246</v>
      </c>
      <c r="K86" s="7">
        <f t="shared" si="43"/>
        <v>3000</v>
      </c>
      <c r="L86" s="7">
        <f t="shared" si="44"/>
        <v>3000</v>
      </c>
      <c r="M86" s="7">
        <f t="shared" si="45"/>
        <v>3000</v>
      </c>
      <c r="N86" s="7">
        <f t="shared" si="58"/>
        <v>-776</v>
      </c>
      <c r="O86" s="7">
        <f t="shared" si="59"/>
        <v>-892</v>
      </c>
      <c r="P86" s="7">
        <f t="shared" si="60"/>
        <v>-754</v>
      </c>
      <c r="Q86" s="23">
        <v>8</v>
      </c>
      <c r="R86" s="23">
        <v>10</v>
      </c>
      <c r="S86" s="23">
        <v>16</v>
      </c>
      <c r="T86" s="19">
        <f t="shared" si="56"/>
        <v>2465</v>
      </c>
      <c r="U86" s="19">
        <f t="shared" si="46"/>
        <v>1549</v>
      </c>
      <c r="V86" s="19">
        <f t="shared" si="47"/>
        <v>1392</v>
      </c>
      <c r="W86" s="19">
        <f t="shared" si="48"/>
        <v>1450</v>
      </c>
      <c r="X86" s="7"/>
      <c r="Y86" s="7"/>
      <c r="Z86" s="7"/>
      <c r="AA86" s="7"/>
    </row>
    <row r="87" spans="1:27" ht="15" customHeight="1">
      <c r="A87" s="17">
        <v>75</v>
      </c>
      <c r="B87" s="18">
        <f t="shared" si="49"/>
        <v>45496</v>
      </c>
      <c r="C87" s="17">
        <f t="shared" si="57"/>
        <v>1026</v>
      </c>
      <c r="D87" s="24">
        <v>2832</v>
      </c>
      <c r="E87" s="7">
        <f t="shared" si="50"/>
        <v>1643</v>
      </c>
      <c r="F87" s="7">
        <f t="shared" si="51"/>
        <v>1760</v>
      </c>
      <c r="G87" s="7">
        <f t="shared" si="52"/>
        <v>1627</v>
      </c>
      <c r="H87" s="7">
        <f t="shared" si="53"/>
        <v>2215</v>
      </c>
      <c r="I87" s="7">
        <f t="shared" si="54"/>
        <v>2098</v>
      </c>
      <c r="J87" s="7">
        <f t="shared" si="55"/>
        <v>2231</v>
      </c>
      <c r="K87" s="7">
        <f t="shared" si="43"/>
        <v>3000</v>
      </c>
      <c r="L87" s="7">
        <f t="shared" si="44"/>
        <v>3000</v>
      </c>
      <c r="M87" s="7">
        <f t="shared" si="45"/>
        <v>3000</v>
      </c>
      <c r="N87" s="7">
        <f t="shared" si="58"/>
        <v>-785</v>
      </c>
      <c r="O87" s="7">
        <f t="shared" si="59"/>
        <v>-902</v>
      </c>
      <c r="P87" s="7">
        <f t="shared" si="60"/>
        <v>-769</v>
      </c>
      <c r="Q87" s="23">
        <v>9</v>
      </c>
      <c r="R87" s="23">
        <v>10</v>
      </c>
      <c r="S87" s="23">
        <v>15</v>
      </c>
      <c r="T87" s="19">
        <f t="shared" si="56"/>
        <v>2476</v>
      </c>
      <c r="U87" s="19">
        <f t="shared" si="46"/>
        <v>1540</v>
      </c>
      <c r="V87" s="19">
        <f t="shared" si="47"/>
        <v>1382</v>
      </c>
      <c r="W87" s="19">
        <f t="shared" si="48"/>
        <v>1435</v>
      </c>
      <c r="X87" s="7"/>
      <c r="Y87" s="7"/>
      <c r="Z87" s="7"/>
      <c r="AA87" s="7"/>
    </row>
    <row r="88" spans="1:27" ht="15" customHeight="1">
      <c r="A88" s="17">
        <v>76</v>
      </c>
      <c r="B88" s="18">
        <f t="shared" si="49"/>
        <v>45503</v>
      </c>
      <c r="C88" s="17">
        <f t="shared" si="57"/>
        <v>1026</v>
      </c>
      <c r="D88" s="24">
        <v>2833</v>
      </c>
      <c r="E88" s="7">
        <f t="shared" si="50"/>
        <v>1652</v>
      </c>
      <c r="F88" s="7">
        <f t="shared" si="51"/>
        <v>1771</v>
      </c>
      <c r="G88" s="7">
        <f t="shared" si="52"/>
        <v>1642</v>
      </c>
      <c r="H88" s="7">
        <f t="shared" si="53"/>
        <v>2207</v>
      </c>
      <c r="I88" s="7">
        <f t="shared" si="54"/>
        <v>2088</v>
      </c>
      <c r="J88" s="7">
        <f t="shared" si="55"/>
        <v>2217</v>
      </c>
      <c r="K88" s="7">
        <f t="shared" si="43"/>
        <v>3000</v>
      </c>
      <c r="L88" s="7">
        <f t="shared" si="44"/>
        <v>3000</v>
      </c>
      <c r="M88" s="7">
        <f t="shared" si="45"/>
        <v>3000</v>
      </c>
      <c r="N88" s="7">
        <f t="shared" si="58"/>
        <v>-793</v>
      </c>
      <c r="O88" s="7">
        <f t="shared" si="59"/>
        <v>-912</v>
      </c>
      <c r="P88" s="7">
        <f t="shared" si="60"/>
        <v>-783</v>
      </c>
      <c r="Q88" s="23">
        <v>8</v>
      </c>
      <c r="R88" s="23">
        <v>10</v>
      </c>
      <c r="S88" s="23">
        <v>14</v>
      </c>
      <c r="T88" s="19">
        <f t="shared" si="56"/>
        <v>2487</v>
      </c>
      <c r="U88" s="19">
        <f t="shared" si="46"/>
        <v>1532</v>
      </c>
      <c r="V88" s="19">
        <f t="shared" si="47"/>
        <v>1372</v>
      </c>
      <c r="W88" s="19">
        <f t="shared" si="48"/>
        <v>1421</v>
      </c>
      <c r="X88" s="7"/>
      <c r="Y88" s="7"/>
      <c r="Z88" s="7"/>
      <c r="AA88" s="7"/>
    </row>
    <row r="89" spans="1:27" ht="15" customHeight="1">
      <c r="A89" s="17">
        <v>77</v>
      </c>
      <c r="B89" s="18">
        <f t="shared" si="49"/>
        <v>45510</v>
      </c>
      <c r="C89" s="17">
        <f t="shared" si="57"/>
        <v>1026</v>
      </c>
      <c r="D89" s="24">
        <v>2834</v>
      </c>
      <c r="E89" s="7">
        <f t="shared" si="50"/>
        <v>1662</v>
      </c>
      <c r="F89" s="7">
        <f t="shared" si="51"/>
        <v>1782</v>
      </c>
      <c r="G89" s="7">
        <f t="shared" si="52"/>
        <v>1653</v>
      </c>
      <c r="H89" s="7">
        <f t="shared" si="53"/>
        <v>2198</v>
      </c>
      <c r="I89" s="7">
        <f t="shared" si="54"/>
        <v>2078</v>
      </c>
      <c r="J89" s="7">
        <f t="shared" si="55"/>
        <v>2207</v>
      </c>
      <c r="K89" s="7">
        <f t="shared" si="43"/>
        <v>3000</v>
      </c>
      <c r="L89" s="7">
        <f t="shared" si="44"/>
        <v>3000</v>
      </c>
      <c r="M89" s="7">
        <f t="shared" si="45"/>
        <v>3000</v>
      </c>
      <c r="N89" s="7">
        <f t="shared" si="58"/>
        <v>-802</v>
      </c>
      <c r="O89" s="7">
        <f t="shared" si="59"/>
        <v>-922</v>
      </c>
      <c r="P89" s="7">
        <f t="shared" si="60"/>
        <v>-793</v>
      </c>
      <c r="Q89" s="23">
        <v>9</v>
      </c>
      <c r="R89" s="23">
        <v>10</v>
      </c>
      <c r="S89" s="23">
        <v>10</v>
      </c>
      <c r="T89" s="19">
        <f t="shared" si="56"/>
        <v>2498</v>
      </c>
      <c r="U89" s="19">
        <f t="shared" si="46"/>
        <v>1523</v>
      </c>
      <c r="V89" s="19">
        <f t="shared" si="47"/>
        <v>1362</v>
      </c>
      <c r="W89" s="19">
        <f t="shared" si="48"/>
        <v>1411</v>
      </c>
      <c r="X89" s="7"/>
      <c r="Y89" s="7"/>
      <c r="Z89" s="7"/>
      <c r="AA89" s="7"/>
    </row>
    <row r="90" spans="1:27" ht="15" customHeight="1">
      <c r="A90" s="17">
        <v>78</v>
      </c>
      <c r="B90" s="18">
        <f t="shared" si="49"/>
        <v>45517</v>
      </c>
      <c r="C90" s="17">
        <f t="shared" si="57"/>
        <v>1026</v>
      </c>
      <c r="D90" s="24">
        <v>2835</v>
      </c>
      <c r="E90" s="7">
        <f t="shared" si="50"/>
        <v>1671</v>
      </c>
      <c r="F90" s="7">
        <f t="shared" si="51"/>
        <v>1793</v>
      </c>
      <c r="G90" s="7">
        <f t="shared" si="52"/>
        <v>1663</v>
      </c>
      <c r="H90" s="7">
        <f t="shared" si="53"/>
        <v>2190</v>
      </c>
      <c r="I90" s="7">
        <f t="shared" si="54"/>
        <v>2068</v>
      </c>
      <c r="J90" s="7">
        <f t="shared" si="55"/>
        <v>2198</v>
      </c>
      <c r="K90" s="7">
        <f t="shared" si="43"/>
        <v>3000</v>
      </c>
      <c r="L90" s="7">
        <f t="shared" si="44"/>
        <v>3000</v>
      </c>
      <c r="M90" s="7">
        <f t="shared" si="45"/>
        <v>3000</v>
      </c>
      <c r="N90" s="7">
        <f t="shared" si="58"/>
        <v>-810</v>
      </c>
      <c r="O90" s="7">
        <f t="shared" si="59"/>
        <v>-932</v>
      </c>
      <c r="P90" s="7">
        <f t="shared" si="60"/>
        <v>-802</v>
      </c>
      <c r="Q90" s="23">
        <v>8</v>
      </c>
      <c r="R90" s="23">
        <v>10</v>
      </c>
      <c r="S90" s="23">
        <v>9</v>
      </c>
      <c r="T90" s="19">
        <f t="shared" si="56"/>
        <v>2509</v>
      </c>
      <c r="U90" s="19">
        <f t="shared" si="46"/>
        <v>1515</v>
      </c>
      <c r="V90" s="19">
        <f t="shared" si="47"/>
        <v>1352</v>
      </c>
      <c r="W90" s="19">
        <f t="shared" si="48"/>
        <v>1402</v>
      </c>
      <c r="X90" s="7"/>
      <c r="Y90" s="7"/>
      <c r="Z90" s="7"/>
      <c r="AA90" s="7"/>
    </row>
    <row r="91" spans="1:27" ht="15" customHeight="1">
      <c r="A91" s="17">
        <v>79</v>
      </c>
      <c r="B91" s="18">
        <f t="shared" si="49"/>
        <v>45524</v>
      </c>
      <c r="C91" s="17">
        <f t="shared" si="57"/>
        <v>1026</v>
      </c>
      <c r="D91" s="24">
        <v>2836</v>
      </c>
      <c r="E91" s="7">
        <f t="shared" si="50"/>
        <v>1680</v>
      </c>
      <c r="F91" s="7">
        <f t="shared" si="51"/>
        <v>1804</v>
      </c>
      <c r="G91" s="7">
        <f t="shared" si="52"/>
        <v>1672</v>
      </c>
      <c r="H91" s="7">
        <f t="shared" si="53"/>
        <v>2182</v>
      </c>
      <c r="I91" s="7">
        <f t="shared" si="54"/>
        <v>2058</v>
      </c>
      <c r="J91" s="7">
        <f t="shared" si="55"/>
        <v>2190</v>
      </c>
      <c r="K91" s="7">
        <f t="shared" si="43"/>
        <v>3000</v>
      </c>
      <c r="L91" s="7">
        <f t="shared" si="44"/>
        <v>3000</v>
      </c>
      <c r="M91" s="7">
        <f t="shared" si="45"/>
        <v>3000</v>
      </c>
      <c r="N91" s="7">
        <f t="shared" si="58"/>
        <v>-818</v>
      </c>
      <c r="O91" s="7">
        <f t="shared" si="59"/>
        <v>-942</v>
      </c>
      <c r="P91" s="7">
        <f t="shared" si="60"/>
        <v>-810</v>
      </c>
      <c r="Q91" s="23">
        <v>8</v>
      </c>
      <c r="R91" s="23">
        <v>10</v>
      </c>
      <c r="S91" s="23">
        <v>8</v>
      </c>
      <c r="T91" s="19">
        <f t="shared" si="56"/>
        <v>2520</v>
      </c>
      <c r="U91" s="19">
        <f t="shared" si="46"/>
        <v>1507</v>
      </c>
      <c r="V91" s="19">
        <f t="shared" si="47"/>
        <v>1342</v>
      </c>
      <c r="W91" s="19">
        <f t="shared" si="48"/>
        <v>1394</v>
      </c>
      <c r="X91" s="7"/>
      <c r="Y91" s="7"/>
      <c r="Z91" s="7"/>
      <c r="AA91" s="7"/>
    </row>
    <row r="92" spans="1:27" ht="15" customHeight="1">
      <c r="A92" s="17">
        <v>80</v>
      </c>
      <c r="B92" s="18">
        <f t="shared" si="49"/>
        <v>45531</v>
      </c>
      <c r="C92" s="17">
        <f t="shared" si="57"/>
        <v>1026</v>
      </c>
      <c r="D92" s="24">
        <v>2837</v>
      </c>
      <c r="E92" s="7">
        <f t="shared" si="50"/>
        <v>1689</v>
      </c>
      <c r="F92" s="7">
        <f t="shared" si="51"/>
        <v>1815</v>
      </c>
      <c r="G92" s="7">
        <f t="shared" si="52"/>
        <v>1681</v>
      </c>
      <c r="H92" s="7">
        <f t="shared" si="53"/>
        <v>2174</v>
      </c>
      <c r="I92" s="7">
        <f t="shared" si="54"/>
        <v>2048</v>
      </c>
      <c r="J92" s="7">
        <f t="shared" si="55"/>
        <v>2182</v>
      </c>
      <c r="K92" s="7">
        <f t="shared" si="43"/>
        <v>3000</v>
      </c>
      <c r="L92" s="7">
        <f t="shared" si="44"/>
        <v>3000</v>
      </c>
      <c r="M92" s="7">
        <f t="shared" si="45"/>
        <v>3000</v>
      </c>
      <c r="N92" s="7">
        <f t="shared" si="58"/>
        <v>-826</v>
      </c>
      <c r="O92" s="7">
        <f t="shared" si="59"/>
        <v>-952</v>
      </c>
      <c r="P92" s="7">
        <f t="shared" si="60"/>
        <v>-818</v>
      </c>
      <c r="Q92" s="23">
        <v>8</v>
      </c>
      <c r="R92" s="23">
        <v>10</v>
      </c>
      <c r="S92" s="23">
        <v>8</v>
      </c>
      <c r="T92" s="19">
        <f t="shared" si="56"/>
        <v>2531</v>
      </c>
      <c r="U92" s="19">
        <f t="shared" si="46"/>
        <v>1499</v>
      </c>
      <c r="V92" s="19">
        <f t="shared" si="47"/>
        <v>1332</v>
      </c>
      <c r="W92" s="19">
        <f t="shared" si="48"/>
        <v>1386</v>
      </c>
      <c r="X92" s="7"/>
      <c r="Y92" s="7"/>
      <c r="Z92" s="7"/>
      <c r="AA92" s="7"/>
    </row>
    <row r="93" spans="1:27" ht="15" customHeight="1">
      <c r="A93" s="17">
        <v>81</v>
      </c>
      <c r="B93" s="18">
        <f t="shared" si="49"/>
        <v>45538</v>
      </c>
      <c r="C93" s="17">
        <f t="shared" si="57"/>
        <v>1026</v>
      </c>
      <c r="D93" s="24">
        <v>2838</v>
      </c>
      <c r="E93" s="7">
        <f t="shared" si="50"/>
        <v>1697</v>
      </c>
      <c r="F93" s="7">
        <f t="shared" si="51"/>
        <v>1826</v>
      </c>
      <c r="G93" s="7">
        <f t="shared" si="52"/>
        <v>1689</v>
      </c>
      <c r="H93" s="7">
        <f t="shared" si="53"/>
        <v>2167</v>
      </c>
      <c r="I93" s="7">
        <f t="shared" si="54"/>
        <v>2038</v>
      </c>
      <c r="J93" s="7">
        <f t="shared" si="55"/>
        <v>2175</v>
      </c>
      <c r="K93" s="7">
        <f t="shared" si="43"/>
        <v>3000</v>
      </c>
      <c r="L93" s="7">
        <f t="shared" si="44"/>
        <v>3000</v>
      </c>
      <c r="M93" s="7">
        <f t="shared" si="45"/>
        <v>3000</v>
      </c>
      <c r="N93" s="7">
        <f t="shared" si="58"/>
        <v>-833</v>
      </c>
      <c r="O93" s="7">
        <f t="shared" si="59"/>
        <v>-962</v>
      </c>
      <c r="P93" s="7">
        <f t="shared" si="60"/>
        <v>-825</v>
      </c>
      <c r="Q93" s="23">
        <v>7</v>
      </c>
      <c r="R93" s="23">
        <v>10</v>
      </c>
      <c r="S93" s="23">
        <v>7</v>
      </c>
      <c r="T93" s="19">
        <f t="shared" si="56"/>
        <v>2542</v>
      </c>
      <c r="U93" s="19">
        <f t="shared" si="46"/>
        <v>1492</v>
      </c>
      <c r="V93" s="19">
        <f t="shared" si="47"/>
        <v>1322</v>
      </c>
      <c r="W93" s="19">
        <f t="shared" si="48"/>
        <v>1379</v>
      </c>
      <c r="X93" s="7"/>
      <c r="Y93" s="7"/>
      <c r="Z93" s="7"/>
      <c r="AA93" s="7"/>
    </row>
    <row r="94" spans="1:27" ht="15" customHeight="1">
      <c r="A94" s="17">
        <v>82</v>
      </c>
      <c r="B94" s="18">
        <f t="shared" si="49"/>
        <v>45545</v>
      </c>
      <c r="C94" s="17">
        <f t="shared" si="57"/>
        <v>1026</v>
      </c>
      <c r="D94" s="24">
        <v>2839</v>
      </c>
      <c r="E94" s="7">
        <f t="shared" si="50"/>
        <v>1704</v>
      </c>
      <c r="F94" s="7">
        <f t="shared" si="51"/>
        <v>1837</v>
      </c>
      <c r="G94" s="7">
        <f t="shared" si="52"/>
        <v>1696</v>
      </c>
      <c r="H94" s="7">
        <f t="shared" si="53"/>
        <v>2161</v>
      </c>
      <c r="I94" s="7">
        <f t="shared" si="54"/>
        <v>2028</v>
      </c>
      <c r="J94" s="7">
        <f t="shared" si="55"/>
        <v>2169</v>
      </c>
      <c r="K94" s="7">
        <f t="shared" si="43"/>
        <v>3000</v>
      </c>
      <c r="L94" s="7">
        <f t="shared" si="44"/>
        <v>3000</v>
      </c>
      <c r="M94" s="7">
        <f t="shared" si="45"/>
        <v>3000</v>
      </c>
      <c r="N94" s="7">
        <f t="shared" si="58"/>
        <v>-839</v>
      </c>
      <c r="O94" s="7">
        <f t="shared" si="59"/>
        <v>-972</v>
      </c>
      <c r="P94" s="7">
        <f t="shared" si="60"/>
        <v>-831</v>
      </c>
      <c r="Q94" s="23">
        <v>6</v>
      </c>
      <c r="R94" s="23">
        <v>10</v>
      </c>
      <c r="S94" s="23">
        <v>6</v>
      </c>
      <c r="T94" s="19">
        <f t="shared" si="56"/>
        <v>2553</v>
      </c>
      <c r="U94" s="19">
        <f t="shared" si="46"/>
        <v>1486</v>
      </c>
      <c r="V94" s="19">
        <f t="shared" si="47"/>
        <v>1312</v>
      </c>
      <c r="W94" s="19">
        <f t="shared" si="48"/>
        <v>1373</v>
      </c>
      <c r="X94" s="7"/>
      <c r="Y94" s="7"/>
      <c r="Z94" s="7"/>
      <c r="AA94" s="7"/>
    </row>
    <row r="95" spans="1:27" ht="15" customHeight="1">
      <c r="A95" s="17">
        <v>83</v>
      </c>
      <c r="B95" s="18">
        <f t="shared" si="49"/>
        <v>45552</v>
      </c>
      <c r="C95" s="17">
        <f t="shared" si="57"/>
        <v>1026</v>
      </c>
      <c r="D95" s="24">
        <v>2840</v>
      </c>
      <c r="E95" s="7">
        <f t="shared" si="50"/>
        <v>1712</v>
      </c>
      <c r="F95" s="7">
        <f t="shared" si="51"/>
        <v>1848</v>
      </c>
      <c r="G95" s="7">
        <f t="shared" si="52"/>
        <v>1702</v>
      </c>
      <c r="H95" s="7">
        <f t="shared" si="53"/>
        <v>2154</v>
      </c>
      <c r="I95" s="7">
        <f t="shared" si="54"/>
        <v>2018</v>
      </c>
      <c r="J95" s="7">
        <f t="shared" si="55"/>
        <v>2164</v>
      </c>
      <c r="K95" s="7">
        <f t="shared" si="43"/>
        <v>3000</v>
      </c>
      <c r="L95" s="7">
        <f t="shared" si="44"/>
        <v>3000</v>
      </c>
      <c r="M95" s="7">
        <f t="shared" si="45"/>
        <v>3000</v>
      </c>
      <c r="N95" s="7">
        <f t="shared" si="58"/>
        <v>-846</v>
      </c>
      <c r="O95" s="7">
        <f t="shared" si="59"/>
        <v>-982</v>
      </c>
      <c r="P95" s="7">
        <f t="shared" si="60"/>
        <v>-836</v>
      </c>
      <c r="Q95" s="23">
        <v>7</v>
      </c>
      <c r="R95" s="23">
        <v>10</v>
      </c>
      <c r="S95" s="23">
        <v>5</v>
      </c>
      <c r="T95" s="19">
        <f t="shared" si="56"/>
        <v>2564</v>
      </c>
      <c r="U95" s="19">
        <f t="shared" si="46"/>
        <v>1479</v>
      </c>
      <c r="V95" s="19">
        <f t="shared" si="47"/>
        <v>1302</v>
      </c>
      <c r="W95" s="19">
        <f t="shared" si="48"/>
        <v>1368</v>
      </c>
      <c r="X95" s="7"/>
      <c r="Y95" s="7"/>
      <c r="Z95" s="7"/>
      <c r="AA95" s="7"/>
    </row>
    <row r="96" spans="1:27" ht="15" customHeight="1">
      <c r="A96" s="17">
        <v>84</v>
      </c>
      <c r="B96" s="18">
        <f t="shared" si="49"/>
        <v>45559</v>
      </c>
      <c r="C96" s="17">
        <f t="shared" si="57"/>
        <v>1026</v>
      </c>
      <c r="D96" s="24">
        <v>2841</v>
      </c>
      <c r="E96" s="7">
        <f t="shared" si="50"/>
        <v>1719</v>
      </c>
      <c r="F96" s="7">
        <f t="shared" si="51"/>
        <v>1859</v>
      </c>
      <c r="G96" s="7">
        <f t="shared" si="52"/>
        <v>1710</v>
      </c>
      <c r="H96" s="7">
        <f t="shared" si="53"/>
        <v>2148</v>
      </c>
      <c r="I96" s="7">
        <f t="shared" si="54"/>
        <v>2008</v>
      </c>
      <c r="J96" s="7">
        <f t="shared" si="55"/>
        <v>2157</v>
      </c>
      <c r="K96" s="7">
        <f t="shared" si="43"/>
        <v>3000</v>
      </c>
      <c r="L96" s="7">
        <f t="shared" si="44"/>
        <v>3000</v>
      </c>
      <c r="M96" s="7">
        <f t="shared" si="45"/>
        <v>3000</v>
      </c>
      <c r="N96" s="7">
        <f t="shared" si="58"/>
        <v>-852</v>
      </c>
      <c r="O96" s="7">
        <f t="shared" si="59"/>
        <v>-992</v>
      </c>
      <c r="P96" s="7">
        <f t="shared" si="60"/>
        <v>-843</v>
      </c>
      <c r="Q96" s="23">
        <v>6</v>
      </c>
      <c r="R96" s="23">
        <v>10</v>
      </c>
      <c r="S96" s="23">
        <v>7</v>
      </c>
      <c r="T96" s="19">
        <f t="shared" si="56"/>
        <v>2575</v>
      </c>
      <c r="U96" s="19">
        <f t="shared" si="46"/>
        <v>1473</v>
      </c>
      <c r="V96" s="19">
        <f t="shared" si="47"/>
        <v>1292</v>
      </c>
      <c r="W96" s="19">
        <f t="shared" si="48"/>
        <v>1361</v>
      </c>
      <c r="X96" s="7"/>
      <c r="Y96" s="7"/>
      <c r="Z96" s="7"/>
      <c r="AA96" s="7"/>
    </row>
    <row r="97" spans="1:27" ht="15" customHeight="1">
      <c r="A97" s="17">
        <v>85</v>
      </c>
      <c r="B97" s="18">
        <f>B96+6</f>
        <v>45565</v>
      </c>
      <c r="C97" s="17">
        <f t="shared" si="57"/>
        <v>1026</v>
      </c>
      <c r="D97" s="24">
        <v>2842</v>
      </c>
      <c r="E97" s="7">
        <f t="shared" si="50"/>
        <v>1727</v>
      </c>
      <c r="F97" s="7">
        <f t="shared" si="51"/>
        <v>1870</v>
      </c>
      <c r="G97" s="7">
        <f t="shared" si="52"/>
        <v>1717</v>
      </c>
      <c r="H97" s="7">
        <f t="shared" si="53"/>
        <v>2141</v>
      </c>
      <c r="I97" s="7">
        <f t="shared" si="54"/>
        <v>1998</v>
      </c>
      <c r="J97" s="7">
        <f t="shared" si="55"/>
        <v>2151</v>
      </c>
      <c r="K97" s="7">
        <f t="shared" si="43"/>
        <v>3000</v>
      </c>
      <c r="L97" s="7">
        <f t="shared" si="44"/>
        <v>3000</v>
      </c>
      <c r="M97" s="7">
        <f t="shared" si="45"/>
        <v>3000</v>
      </c>
      <c r="N97" s="7">
        <f t="shared" si="58"/>
        <v>-859</v>
      </c>
      <c r="O97" s="7">
        <f t="shared" si="59"/>
        <v>-1002</v>
      </c>
      <c r="P97" s="7">
        <f t="shared" si="60"/>
        <v>-849</v>
      </c>
      <c r="Q97" s="23">
        <v>7</v>
      </c>
      <c r="R97" s="23">
        <v>10</v>
      </c>
      <c r="S97" s="23">
        <v>6</v>
      </c>
      <c r="T97" s="19">
        <f t="shared" si="56"/>
        <v>2586</v>
      </c>
      <c r="U97" s="19">
        <f t="shared" si="46"/>
        <v>1466</v>
      </c>
      <c r="V97" s="19">
        <f t="shared" si="47"/>
        <v>1282</v>
      </c>
      <c r="W97" s="19">
        <f t="shared" si="48"/>
        <v>1355</v>
      </c>
      <c r="X97" s="7"/>
      <c r="Y97" s="7"/>
      <c r="Z97" s="7"/>
      <c r="AA97" s="7"/>
    </row>
    <row r="98" spans="1:27" ht="15" customHeight="1">
      <c r="A98" s="17">
        <v>86</v>
      </c>
      <c r="B98" s="18">
        <f t="shared" ref="B98:B143" si="61">B97+1</f>
        <v>45566</v>
      </c>
      <c r="C98" s="17">
        <f t="shared" si="57"/>
        <v>1026</v>
      </c>
      <c r="D98" s="24">
        <v>2843</v>
      </c>
      <c r="E98" s="7">
        <f t="shared" si="50"/>
        <v>1734</v>
      </c>
      <c r="F98" s="7">
        <f t="shared" si="51"/>
        <v>1881</v>
      </c>
      <c r="G98" s="7">
        <f t="shared" si="52"/>
        <v>1722</v>
      </c>
      <c r="H98" s="7">
        <f t="shared" si="53"/>
        <v>2135</v>
      </c>
      <c r="I98" s="7">
        <f t="shared" si="54"/>
        <v>1988</v>
      </c>
      <c r="J98" s="7">
        <f t="shared" si="55"/>
        <v>2147</v>
      </c>
      <c r="K98" s="7">
        <f t="shared" si="43"/>
        <v>3000</v>
      </c>
      <c r="L98" s="7">
        <f t="shared" si="44"/>
        <v>3000</v>
      </c>
      <c r="M98" s="7">
        <f t="shared" si="45"/>
        <v>3000</v>
      </c>
      <c r="N98" s="7">
        <f t="shared" si="58"/>
        <v>-865</v>
      </c>
      <c r="O98" s="7">
        <f t="shared" si="59"/>
        <v>-1012</v>
      </c>
      <c r="P98" s="7">
        <f t="shared" si="60"/>
        <v>-853</v>
      </c>
      <c r="Q98" s="23">
        <v>6</v>
      </c>
      <c r="R98" s="23">
        <v>10</v>
      </c>
      <c r="S98" s="23">
        <v>4</v>
      </c>
      <c r="T98" s="19">
        <f t="shared" si="56"/>
        <v>2597</v>
      </c>
      <c r="U98" s="19">
        <f t="shared" si="46"/>
        <v>1460</v>
      </c>
      <c r="V98" s="19">
        <f t="shared" si="47"/>
        <v>1272</v>
      </c>
      <c r="W98" s="19">
        <f t="shared" si="48"/>
        <v>1351</v>
      </c>
      <c r="X98" s="7"/>
      <c r="Y98" s="7"/>
      <c r="Z98" s="7"/>
      <c r="AA98" s="7"/>
    </row>
    <row r="99" spans="1:27" ht="15" customHeight="1">
      <c r="A99" s="17">
        <v>87</v>
      </c>
      <c r="B99" s="18">
        <f t="shared" si="61"/>
        <v>45567</v>
      </c>
      <c r="C99" s="17">
        <f t="shared" si="57"/>
        <v>1026</v>
      </c>
      <c r="D99" s="24">
        <v>2844</v>
      </c>
      <c r="E99" s="7">
        <f t="shared" si="50"/>
        <v>1740</v>
      </c>
      <c r="F99" s="7">
        <f t="shared" si="51"/>
        <v>1892</v>
      </c>
      <c r="G99" s="7">
        <f t="shared" si="52"/>
        <v>1726</v>
      </c>
      <c r="H99" s="7">
        <f t="shared" si="53"/>
        <v>2130</v>
      </c>
      <c r="I99" s="7">
        <f t="shared" si="54"/>
        <v>1978</v>
      </c>
      <c r="J99" s="7">
        <f t="shared" si="55"/>
        <v>2144</v>
      </c>
      <c r="K99" s="7">
        <f t="shared" si="43"/>
        <v>3000</v>
      </c>
      <c r="L99" s="7">
        <f t="shared" si="44"/>
        <v>3000</v>
      </c>
      <c r="M99" s="7">
        <f t="shared" si="45"/>
        <v>3000</v>
      </c>
      <c r="N99" s="7">
        <f t="shared" si="58"/>
        <v>-870</v>
      </c>
      <c r="O99" s="7">
        <f t="shared" si="59"/>
        <v>-1022</v>
      </c>
      <c r="P99" s="7">
        <f t="shared" si="60"/>
        <v>-856</v>
      </c>
      <c r="Q99" s="23">
        <v>5</v>
      </c>
      <c r="R99" s="23">
        <v>10</v>
      </c>
      <c r="S99" s="23">
        <v>3</v>
      </c>
      <c r="T99" s="19">
        <f t="shared" si="56"/>
        <v>2608</v>
      </c>
      <c r="U99" s="19">
        <f t="shared" si="46"/>
        <v>1455</v>
      </c>
      <c r="V99" s="19">
        <f t="shared" si="47"/>
        <v>1262</v>
      </c>
      <c r="W99" s="19">
        <f t="shared" si="48"/>
        <v>1348</v>
      </c>
      <c r="X99" s="7"/>
      <c r="Y99" s="7"/>
      <c r="Z99" s="7"/>
      <c r="AA99" s="7"/>
    </row>
    <row r="100" spans="1:27" ht="15" customHeight="1">
      <c r="A100" s="17">
        <v>88</v>
      </c>
      <c r="B100" s="18">
        <f t="shared" si="61"/>
        <v>45568</v>
      </c>
      <c r="C100" s="17">
        <f t="shared" si="57"/>
        <v>1026</v>
      </c>
      <c r="D100" s="24">
        <v>2845</v>
      </c>
      <c r="E100" s="7">
        <f t="shared" si="50"/>
        <v>1746</v>
      </c>
      <c r="F100" s="7">
        <f t="shared" si="51"/>
        <v>1903</v>
      </c>
      <c r="G100" s="7">
        <f t="shared" si="52"/>
        <v>1732</v>
      </c>
      <c r="H100" s="7">
        <f t="shared" si="53"/>
        <v>2125</v>
      </c>
      <c r="I100" s="7">
        <f t="shared" si="54"/>
        <v>1968</v>
      </c>
      <c r="J100" s="7">
        <f t="shared" si="55"/>
        <v>2139</v>
      </c>
      <c r="K100" s="7">
        <f t="shared" si="43"/>
        <v>3000</v>
      </c>
      <c r="L100" s="7">
        <f t="shared" si="44"/>
        <v>3000</v>
      </c>
      <c r="M100" s="7">
        <f t="shared" si="45"/>
        <v>3000</v>
      </c>
      <c r="N100" s="7">
        <f t="shared" si="58"/>
        <v>-875</v>
      </c>
      <c r="O100" s="7">
        <f t="shared" si="59"/>
        <v>-1032</v>
      </c>
      <c r="P100" s="7">
        <f t="shared" si="60"/>
        <v>-861</v>
      </c>
      <c r="Q100" s="23">
        <v>5</v>
      </c>
      <c r="R100" s="23">
        <v>10</v>
      </c>
      <c r="S100" s="23">
        <v>5</v>
      </c>
      <c r="T100" s="19">
        <f t="shared" si="56"/>
        <v>2619</v>
      </c>
      <c r="U100" s="19">
        <f t="shared" si="46"/>
        <v>1450</v>
      </c>
      <c r="V100" s="19">
        <f t="shared" si="47"/>
        <v>1252</v>
      </c>
      <c r="W100" s="19">
        <f t="shared" si="48"/>
        <v>1343</v>
      </c>
      <c r="X100" s="7"/>
      <c r="Y100" s="7"/>
      <c r="Z100" s="7"/>
      <c r="AA100" s="7"/>
    </row>
    <row r="101" spans="1:27" ht="15" customHeight="1">
      <c r="A101" s="17">
        <v>89</v>
      </c>
      <c r="B101" s="18">
        <f t="shared" si="61"/>
        <v>45569</v>
      </c>
      <c r="C101" s="17">
        <f t="shared" si="57"/>
        <v>1026</v>
      </c>
      <c r="D101" s="24">
        <v>2846</v>
      </c>
      <c r="E101" s="7">
        <f t="shared" si="50"/>
        <v>1751</v>
      </c>
      <c r="F101" s="7">
        <f t="shared" si="51"/>
        <v>1914</v>
      </c>
      <c r="G101" s="7">
        <f t="shared" si="52"/>
        <v>1737</v>
      </c>
      <c r="H101" s="7">
        <f t="shared" si="53"/>
        <v>2121</v>
      </c>
      <c r="I101" s="7">
        <f t="shared" si="54"/>
        <v>1958</v>
      </c>
      <c r="J101" s="7">
        <f t="shared" si="55"/>
        <v>2135</v>
      </c>
      <c r="K101" s="7">
        <f t="shared" ref="K101:K132" si="62">K100</f>
        <v>3000</v>
      </c>
      <c r="L101" s="7">
        <f t="shared" ref="L101:L132" si="63">L100</f>
        <v>3000</v>
      </c>
      <c r="M101" s="7">
        <f t="shared" ref="M101:M132" si="64">M100</f>
        <v>3000</v>
      </c>
      <c r="N101" s="7">
        <f t="shared" si="58"/>
        <v>-879</v>
      </c>
      <c r="O101" s="7">
        <f t="shared" si="59"/>
        <v>-1042</v>
      </c>
      <c r="P101" s="7">
        <f t="shared" si="60"/>
        <v>-865</v>
      </c>
      <c r="Q101" s="23">
        <v>4</v>
      </c>
      <c r="R101" s="23">
        <v>10</v>
      </c>
      <c r="S101" s="23">
        <v>4</v>
      </c>
      <c r="T101" s="19">
        <f t="shared" si="56"/>
        <v>2630</v>
      </c>
      <c r="U101" s="19">
        <f t="shared" si="46"/>
        <v>1446</v>
      </c>
      <c r="V101" s="19">
        <f t="shared" si="47"/>
        <v>1242</v>
      </c>
      <c r="W101" s="19">
        <f t="shared" si="48"/>
        <v>1339</v>
      </c>
      <c r="X101" s="7"/>
      <c r="Y101" s="7"/>
      <c r="Z101" s="7"/>
      <c r="AA101" s="7"/>
    </row>
    <row r="102" spans="1:27" ht="15" customHeight="1">
      <c r="A102" s="17">
        <v>90</v>
      </c>
      <c r="B102" s="18">
        <f t="shared" si="61"/>
        <v>45570</v>
      </c>
      <c r="C102" s="17">
        <f t="shared" si="57"/>
        <v>1026</v>
      </c>
      <c r="D102" s="24">
        <v>2847</v>
      </c>
      <c r="E102" s="7">
        <f t="shared" si="50"/>
        <v>1758</v>
      </c>
      <c r="F102" s="7">
        <f t="shared" si="51"/>
        <v>1925</v>
      </c>
      <c r="G102" s="7">
        <f t="shared" si="52"/>
        <v>1740</v>
      </c>
      <c r="H102" s="7">
        <f t="shared" si="53"/>
        <v>2115</v>
      </c>
      <c r="I102" s="7">
        <f t="shared" si="54"/>
        <v>1948</v>
      </c>
      <c r="J102" s="7">
        <f t="shared" si="55"/>
        <v>2133</v>
      </c>
      <c r="K102" s="7">
        <f t="shared" si="62"/>
        <v>3000</v>
      </c>
      <c r="L102" s="7">
        <f t="shared" si="63"/>
        <v>3000</v>
      </c>
      <c r="M102" s="7">
        <f t="shared" si="64"/>
        <v>3000</v>
      </c>
      <c r="N102" s="7">
        <f t="shared" si="58"/>
        <v>-885</v>
      </c>
      <c r="O102" s="7">
        <f t="shared" si="59"/>
        <v>-1052</v>
      </c>
      <c r="P102" s="7">
        <f t="shared" si="60"/>
        <v>-867</v>
      </c>
      <c r="Q102" s="23">
        <v>6</v>
      </c>
      <c r="R102" s="23">
        <v>10</v>
      </c>
      <c r="S102" s="23">
        <v>2</v>
      </c>
      <c r="T102" s="19">
        <f t="shared" si="56"/>
        <v>2641</v>
      </c>
      <c r="U102" s="19">
        <f t="shared" si="46"/>
        <v>1440</v>
      </c>
      <c r="V102" s="19">
        <f t="shared" si="47"/>
        <v>1232</v>
      </c>
      <c r="W102" s="19">
        <f t="shared" si="48"/>
        <v>1337</v>
      </c>
      <c r="X102" s="7"/>
      <c r="Y102" s="7"/>
      <c r="Z102" s="7"/>
      <c r="AA102" s="7"/>
    </row>
    <row r="103" spans="1:27" ht="15" customHeight="1">
      <c r="A103" s="17">
        <v>91</v>
      </c>
      <c r="B103" s="18">
        <f t="shared" si="61"/>
        <v>45571</v>
      </c>
      <c r="C103" s="17">
        <f t="shared" si="57"/>
        <v>1026</v>
      </c>
      <c r="D103" s="24">
        <v>2848</v>
      </c>
      <c r="E103" s="7">
        <f t="shared" si="50"/>
        <v>1764</v>
      </c>
      <c r="F103" s="7">
        <f t="shared" si="51"/>
        <v>1936</v>
      </c>
      <c r="G103" s="7">
        <f t="shared" si="52"/>
        <v>1746</v>
      </c>
      <c r="H103" s="7">
        <f t="shared" si="53"/>
        <v>2110</v>
      </c>
      <c r="I103" s="7">
        <f t="shared" si="54"/>
        <v>1938</v>
      </c>
      <c r="J103" s="7">
        <f t="shared" si="55"/>
        <v>2128</v>
      </c>
      <c r="K103" s="7">
        <f t="shared" si="62"/>
        <v>3000</v>
      </c>
      <c r="L103" s="7">
        <f t="shared" si="63"/>
        <v>3000</v>
      </c>
      <c r="M103" s="7">
        <f t="shared" si="64"/>
        <v>3000</v>
      </c>
      <c r="N103" s="7">
        <f t="shared" si="58"/>
        <v>-890</v>
      </c>
      <c r="O103" s="7">
        <f t="shared" si="59"/>
        <v>-1062</v>
      </c>
      <c r="P103" s="7">
        <f t="shared" si="60"/>
        <v>-872</v>
      </c>
      <c r="Q103" s="23">
        <v>5</v>
      </c>
      <c r="R103" s="23">
        <v>10</v>
      </c>
      <c r="S103" s="23">
        <v>5</v>
      </c>
      <c r="T103" s="19">
        <f t="shared" si="56"/>
        <v>2652</v>
      </c>
      <c r="U103" s="19">
        <f t="shared" si="46"/>
        <v>1435</v>
      </c>
      <c r="V103" s="19">
        <f t="shared" si="47"/>
        <v>1222</v>
      </c>
      <c r="W103" s="19">
        <f t="shared" si="48"/>
        <v>1332</v>
      </c>
      <c r="X103" s="7"/>
      <c r="Y103" s="7"/>
      <c r="Z103" s="7"/>
      <c r="AA103" s="7"/>
    </row>
    <row r="104" spans="1:27" ht="15" customHeight="1">
      <c r="A104" s="17">
        <v>92</v>
      </c>
      <c r="B104" s="18">
        <f t="shared" si="61"/>
        <v>45572</v>
      </c>
      <c r="C104" s="17">
        <f t="shared" si="57"/>
        <v>1026</v>
      </c>
      <c r="D104" s="24">
        <v>2849</v>
      </c>
      <c r="E104" s="7">
        <f t="shared" si="50"/>
        <v>1772</v>
      </c>
      <c r="F104" s="7">
        <f t="shared" si="51"/>
        <v>1947</v>
      </c>
      <c r="G104" s="7">
        <f t="shared" si="52"/>
        <v>1751</v>
      </c>
      <c r="H104" s="7">
        <f t="shared" si="53"/>
        <v>2103</v>
      </c>
      <c r="I104" s="7">
        <f t="shared" si="54"/>
        <v>1928</v>
      </c>
      <c r="J104" s="7">
        <f t="shared" si="55"/>
        <v>2124</v>
      </c>
      <c r="K104" s="7">
        <f t="shared" si="62"/>
        <v>3000</v>
      </c>
      <c r="L104" s="7">
        <f t="shared" si="63"/>
        <v>3000</v>
      </c>
      <c r="M104" s="7">
        <f t="shared" si="64"/>
        <v>3000</v>
      </c>
      <c r="N104" s="7">
        <f t="shared" si="58"/>
        <v>-897</v>
      </c>
      <c r="O104" s="7">
        <f t="shared" si="59"/>
        <v>-1072</v>
      </c>
      <c r="P104" s="7">
        <f t="shared" si="60"/>
        <v>-876</v>
      </c>
      <c r="Q104" s="23">
        <v>7</v>
      </c>
      <c r="R104" s="23">
        <v>10</v>
      </c>
      <c r="S104" s="23">
        <v>4</v>
      </c>
      <c r="T104" s="19">
        <f t="shared" si="56"/>
        <v>2663</v>
      </c>
      <c r="U104" s="19">
        <f t="shared" si="46"/>
        <v>1428</v>
      </c>
      <c r="V104" s="19">
        <f t="shared" si="47"/>
        <v>1212</v>
      </c>
      <c r="W104" s="19">
        <f t="shared" si="48"/>
        <v>1328</v>
      </c>
      <c r="X104" s="7"/>
      <c r="Y104" s="7"/>
      <c r="Z104" s="7"/>
      <c r="AA104" s="7"/>
    </row>
    <row r="105" spans="1:27" ht="15" customHeight="1">
      <c r="A105" s="17">
        <v>93</v>
      </c>
      <c r="B105" s="18">
        <f t="shared" si="61"/>
        <v>45573</v>
      </c>
      <c r="C105" s="17">
        <f t="shared" si="57"/>
        <v>1026</v>
      </c>
      <c r="D105" s="24">
        <v>2850</v>
      </c>
      <c r="E105" s="7">
        <f t="shared" si="50"/>
        <v>1778</v>
      </c>
      <c r="F105" s="7">
        <f t="shared" si="51"/>
        <v>1958</v>
      </c>
      <c r="G105" s="7">
        <f t="shared" si="52"/>
        <v>1757</v>
      </c>
      <c r="H105" s="7">
        <f t="shared" si="53"/>
        <v>2098</v>
      </c>
      <c r="I105" s="7">
        <f t="shared" si="54"/>
        <v>1918</v>
      </c>
      <c r="J105" s="7">
        <f t="shared" si="55"/>
        <v>2119</v>
      </c>
      <c r="K105" s="7">
        <f t="shared" si="62"/>
        <v>3000</v>
      </c>
      <c r="L105" s="7">
        <f t="shared" si="63"/>
        <v>3000</v>
      </c>
      <c r="M105" s="7">
        <f t="shared" si="64"/>
        <v>3000</v>
      </c>
      <c r="N105" s="7">
        <f t="shared" si="58"/>
        <v>-902</v>
      </c>
      <c r="O105" s="7">
        <f t="shared" si="59"/>
        <v>-1082</v>
      </c>
      <c r="P105" s="7">
        <f t="shared" si="60"/>
        <v>-881</v>
      </c>
      <c r="Q105" s="23">
        <v>5</v>
      </c>
      <c r="R105" s="23">
        <v>10</v>
      </c>
      <c r="S105" s="23">
        <v>5</v>
      </c>
      <c r="T105" s="19">
        <f t="shared" si="56"/>
        <v>2674</v>
      </c>
      <c r="U105" s="19">
        <f t="shared" si="46"/>
        <v>1423</v>
      </c>
      <c r="V105" s="19">
        <f t="shared" si="47"/>
        <v>1202</v>
      </c>
      <c r="W105" s="19">
        <f t="shared" si="48"/>
        <v>1323</v>
      </c>
      <c r="X105" s="7"/>
      <c r="Y105" s="7"/>
      <c r="Z105" s="7"/>
      <c r="AA105" s="7"/>
    </row>
    <row r="106" spans="1:27" ht="15" customHeight="1">
      <c r="A106" s="17">
        <v>94</v>
      </c>
      <c r="B106" s="18">
        <f t="shared" si="61"/>
        <v>45574</v>
      </c>
      <c r="C106" s="17">
        <f t="shared" si="57"/>
        <v>1026</v>
      </c>
      <c r="D106" s="24">
        <v>2851</v>
      </c>
      <c r="E106" s="7">
        <f t="shared" si="50"/>
        <v>1789</v>
      </c>
      <c r="F106" s="7">
        <f t="shared" si="51"/>
        <v>1969</v>
      </c>
      <c r="G106" s="7">
        <f t="shared" si="52"/>
        <v>1762</v>
      </c>
      <c r="H106" s="7">
        <f t="shared" si="53"/>
        <v>2088</v>
      </c>
      <c r="I106" s="7">
        <f t="shared" si="54"/>
        <v>1908</v>
      </c>
      <c r="J106" s="7">
        <f t="shared" si="55"/>
        <v>2115</v>
      </c>
      <c r="K106" s="7">
        <f t="shared" si="62"/>
        <v>3000</v>
      </c>
      <c r="L106" s="7">
        <f t="shared" si="63"/>
        <v>3000</v>
      </c>
      <c r="M106" s="7">
        <f t="shared" si="64"/>
        <v>3000</v>
      </c>
      <c r="N106" s="7">
        <f t="shared" si="58"/>
        <v>-912</v>
      </c>
      <c r="O106" s="7">
        <f t="shared" si="59"/>
        <v>-1092</v>
      </c>
      <c r="P106" s="7">
        <f t="shared" si="60"/>
        <v>-885</v>
      </c>
      <c r="Q106" s="23">
        <v>10</v>
      </c>
      <c r="R106" s="23">
        <v>10</v>
      </c>
      <c r="S106" s="23">
        <v>4</v>
      </c>
      <c r="T106" s="19">
        <f t="shared" si="56"/>
        <v>2685</v>
      </c>
      <c r="U106" s="19">
        <f t="shared" si="46"/>
        <v>1413</v>
      </c>
      <c r="V106" s="19">
        <f t="shared" si="47"/>
        <v>1192</v>
      </c>
      <c r="W106" s="19">
        <f t="shared" si="48"/>
        <v>1319</v>
      </c>
      <c r="X106" s="7"/>
      <c r="Y106" s="7"/>
      <c r="Z106" s="7"/>
      <c r="AA106" s="7"/>
    </row>
    <row r="107" spans="1:27" ht="15" customHeight="1">
      <c r="A107" s="17">
        <v>95</v>
      </c>
      <c r="B107" s="18">
        <f t="shared" si="61"/>
        <v>45575</v>
      </c>
      <c r="C107" s="17">
        <f t="shared" si="57"/>
        <v>1026</v>
      </c>
      <c r="D107" s="24">
        <v>2852</v>
      </c>
      <c r="E107" s="7">
        <f t="shared" si="50"/>
        <v>1800</v>
      </c>
      <c r="F107" s="7">
        <f t="shared" si="51"/>
        <v>1980</v>
      </c>
      <c r="G107" s="7">
        <f t="shared" si="52"/>
        <v>1765</v>
      </c>
      <c r="H107" s="7">
        <f t="shared" si="53"/>
        <v>2078</v>
      </c>
      <c r="I107" s="7">
        <f t="shared" si="54"/>
        <v>1898</v>
      </c>
      <c r="J107" s="7">
        <f t="shared" si="55"/>
        <v>2113</v>
      </c>
      <c r="K107" s="7">
        <f t="shared" si="62"/>
        <v>3000</v>
      </c>
      <c r="L107" s="7">
        <f t="shared" si="63"/>
        <v>3000</v>
      </c>
      <c r="M107" s="7">
        <f t="shared" si="64"/>
        <v>3000</v>
      </c>
      <c r="N107" s="7">
        <f t="shared" si="58"/>
        <v>-922</v>
      </c>
      <c r="O107" s="7">
        <f t="shared" si="59"/>
        <v>-1102</v>
      </c>
      <c r="P107" s="7">
        <f t="shared" si="60"/>
        <v>-887</v>
      </c>
      <c r="Q107" s="23">
        <v>10</v>
      </c>
      <c r="R107" s="23">
        <v>10</v>
      </c>
      <c r="S107" s="23">
        <v>2</v>
      </c>
      <c r="T107" s="19">
        <f t="shared" si="56"/>
        <v>2696</v>
      </c>
      <c r="U107" s="19">
        <f t="shared" si="46"/>
        <v>1403</v>
      </c>
      <c r="V107" s="19">
        <f t="shared" si="47"/>
        <v>1182</v>
      </c>
      <c r="W107" s="19">
        <f t="shared" si="48"/>
        <v>1317</v>
      </c>
      <c r="X107" s="7"/>
      <c r="Y107" s="7"/>
      <c r="Z107" s="7"/>
      <c r="AA107" s="7"/>
    </row>
    <row r="108" spans="1:27" ht="15" customHeight="1">
      <c r="A108" s="17">
        <v>96</v>
      </c>
      <c r="B108" s="18">
        <f t="shared" si="61"/>
        <v>45576</v>
      </c>
      <c r="C108" s="17">
        <f t="shared" si="57"/>
        <v>1026</v>
      </c>
      <c r="D108" s="24">
        <v>2853</v>
      </c>
      <c r="E108" s="7">
        <f t="shared" si="50"/>
        <v>1811</v>
      </c>
      <c r="F108" s="7">
        <f t="shared" si="51"/>
        <v>1991</v>
      </c>
      <c r="G108" s="7">
        <f t="shared" si="52"/>
        <v>1769</v>
      </c>
      <c r="H108" s="7">
        <f t="shared" si="53"/>
        <v>2068</v>
      </c>
      <c r="I108" s="7">
        <f t="shared" si="54"/>
        <v>1888</v>
      </c>
      <c r="J108" s="7">
        <f t="shared" si="55"/>
        <v>2110</v>
      </c>
      <c r="K108" s="7">
        <f t="shared" si="62"/>
        <v>3000</v>
      </c>
      <c r="L108" s="7">
        <f t="shared" si="63"/>
        <v>3000</v>
      </c>
      <c r="M108" s="7">
        <f t="shared" si="64"/>
        <v>3000</v>
      </c>
      <c r="N108" s="7">
        <f t="shared" si="58"/>
        <v>-932</v>
      </c>
      <c r="O108" s="7">
        <f t="shared" si="59"/>
        <v>-1112</v>
      </c>
      <c r="P108" s="7">
        <f t="shared" si="60"/>
        <v>-890</v>
      </c>
      <c r="Q108" s="23">
        <v>10</v>
      </c>
      <c r="R108" s="23">
        <v>10</v>
      </c>
      <c r="S108" s="23">
        <v>3</v>
      </c>
      <c r="T108" s="19">
        <f t="shared" si="56"/>
        <v>2707</v>
      </c>
      <c r="U108" s="19">
        <f t="shared" si="46"/>
        <v>1393</v>
      </c>
      <c r="V108" s="19">
        <f t="shared" si="47"/>
        <v>1172</v>
      </c>
      <c r="W108" s="19">
        <f t="shared" si="48"/>
        <v>1314</v>
      </c>
      <c r="X108" s="7"/>
      <c r="Y108" s="7"/>
      <c r="Z108" s="7"/>
      <c r="AA108" s="7"/>
    </row>
    <row r="109" spans="1:27" ht="15" customHeight="1">
      <c r="A109" s="17">
        <v>97</v>
      </c>
      <c r="B109" s="18">
        <f t="shared" si="61"/>
        <v>45577</v>
      </c>
      <c r="C109" s="17">
        <f t="shared" si="57"/>
        <v>1026</v>
      </c>
      <c r="D109" s="24">
        <v>2854</v>
      </c>
      <c r="E109" s="7">
        <f t="shared" ref="E109:E140" si="65">C109+D109-H109</f>
        <v>1822</v>
      </c>
      <c r="F109" s="7">
        <f t="shared" ref="F109:F140" si="66">C109+D109-I109</f>
        <v>2002</v>
      </c>
      <c r="G109" s="7">
        <f t="shared" ref="G109:G140" si="67">D109+C109-J109</f>
        <v>1774</v>
      </c>
      <c r="H109" s="7">
        <f t="shared" ref="H109:H140" si="68">K109+N109</f>
        <v>2058</v>
      </c>
      <c r="I109" s="7">
        <f t="shared" ref="I109:I140" si="69">L109+O109</f>
        <v>1878</v>
      </c>
      <c r="J109" s="7">
        <f t="shared" ref="J109:J140" si="70">M109+P109</f>
        <v>2106</v>
      </c>
      <c r="K109" s="7">
        <f t="shared" si="62"/>
        <v>3000</v>
      </c>
      <c r="L109" s="7">
        <f t="shared" si="63"/>
        <v>3000</v>
      </c>
      <c r="M109" s="7">
        <f t="shared" si="64"/>
        <v>3000</v>
      </c>
      <c r="N109" s="7">
        <f t="shared" si="58"/>
        <v>-942</v>
      </c>
      <c r="O109" s="7">
        <f t="shared" si="59"/>
        <v>-1122</v>
      </c>
      <c r="P109" s="7">
        <f t="shared" si="60"/>
        <v>-894</v>
      </c>
      <c r="Q109" s="23">
        <v>10</v>
      </c>
      <c r="R109" s="23">
        <v>10</v>
      </c>
      <c r="S109" s="23">
        <v>4</v>
      </c>
      <c r="T109" s="19">
        <f t="shared" ref="T109:T140" si="71">D109+C109-V109</f>
        <v>2718</v>
      </c>
      <c r="U109" s="19">
        <f t="shared" si="46"/>
        <v>1383</v>
      </c>
      <c r="V109" s="19">
        <f t="shared" si="47"/>
        <v>1162</v>
      </c>
      <c r="W109" s="19">
        <f t="shared" si="48"/>
        <v>1310</v>
      </c>
      <c r="X109" s="7"/>
      <c r="Y109" s="7"/>
      <c r="Z109" s="7"/>
      <c r="AA109" s="7"/>
    </row>
    <row r="110" spans="1:27" ht="15" customHeight="1">
      <c r="A110" s="17">
        <v>98</v>
      </c>
      <c r="B110" s="18">
        <f t="shared" si="61"/>
        <v>45578</v>
      </c>
      <c r="C110" s="17">
        <f t="shared" ref="C110:C141" si="72">C109</f>
        <v>1026</v>
      </c>
      <c r="D110" s="24">
        <v>2855</v>
      </c>
      <c r="E110" s="7">
        <f t="shared" si="65"/>
        <v>1833</v>
      </c>
      <c r="F110" s="7">
        <f t="shared" si="66"/>
        <v>2013</v>
      </c>
      <c r="G110" s="7">
        <f t="shared" si="67"/>
        <v>1780</v>
      </c>
      <c r="H110" s="7">
        <f t="shared" si="68"/>
        <v>2048</v>
      </c>
      <c r="I110" s="7">
        <f t="shared" si="69"/>
        <v>1868</v>
      </c>
      <c r="J110" s="7">
        <f t="shared" si="70"/>
        <v>2101</v>
      </c>
      <c r="K110" s="7">
        <f t="shared" si="62"/>
        <v>3000</v>
      </c>
      <c r="L110" s="7">
        <f t="shared" si="63"/>
        <v>3000</v>
      </c>
      <c r="M110" s="7">
        <f t="shared" si="64"/>
        <v>3000</v>
      </c>
      <c r="N110" s="7">
        <f t="shared" ref="N110:N141" si="73">N109-Q110</f>
        <v>-952</v>
      </c>
      <c r="O110" s="7">
        <f t="shared" ref="O110:O141" si="74">O109-R110</f>
        <v>-1132</v>
      </c>
      <c r="P110" s="7">
        <f t="shared" ref="P110:P141" si="75">P109-S110</f>
        <v>-899</v>
      </c>
      <c r="Q110" s="23">
        <v>10</v>
      </c>
      <c r="R110" s="23">
        <v>10</v>
      </c>
      <c r="S110" s="23">
        <v>5</v>
      </c>
      <c r="T110" s="19">
        <f t="shared" si="71"/>
        <v>2729</v>
      </c>
      <c r="U110" s="19">
        <f t="shared" si="46"/>
        <v>1373</v>
      </c>
      <c r="V110" s="19">
        <f t="shared" si="47"/>
        <v>1152</v>
      </c>
      <c r="W110" s="19">
        <f t="shared" si="48"/>
        <v>1305</v>
      </c>
      <c r="X110" s="7"/>
      <c r="Y110" s="7"/>
      <c r="Z110" s="7"/>
      <c r="AA110" s="7"/>
    </row>
    <row r="111" spans="1:27" ht="15" customHeight="1">
      <c r="A111" s="17">
        <v>99</v>
      </c>
      <c r="B111" s="18">
        <f t="shared" si="61"/>
        <v>45579</v>
      </c>
      <c r="C111" s="17">
        <f t="shared" si="72"/>
        <v>1026</v>
      </c>
      <c r="D111" s="24">
        <v>2856</v>
      </c>
      <c r="E111" s="7">
        <f t="shared" si="65"/>
        <v>1844</v>
      </c>
      <c r="F111" s="7">
        <f t="shared" si="66"/>
        <v>2024</v>
      </c>
      <c r="G111" s="7">
        <f t="shared" si="67"/>
        <v>1783</v>
      </c>
      <c r="H111" s="7">
        <f t="shared" si="68"/>
        <v>2038</v>
      </c>
      <c r="I111" s="7">
        <f t="shared" si="69"/>
        <v>1858</v>
      </c>
      <c r="J111" s="7">
        <f t="shared" si="70"/>
        <v>2099</v>
      </c>
      <c r="K111" s="7">
        <f t="shared" si="62"/>
        <v>3000</v>
      </c>
      <c r="L111" s="7">
        <f t="shared" si="63"/>
        <v>3000</v>
      </c>
      <c r="M111" s="7">
        <f t="shared" si="64"/>
        <v>3000</v>
      </c>
      <c r="N111" s="7">
        <f t="shared" si="73"/>
        <v>-962</v>
      </c>
      <c r="O111" s="7">
        <f t="shared" si="74"/>
        <v>-1142</v>
      </c>
      <c r="P111" s="7">
        <f t="shared" si="75"/>
        <v>-901</v>
      </c>
      <c r="Q111" s="23">
        <v>10</v>
      </c>
      <c r="R111" s="23">
        <v>10</v>
      </c>
      <c r="S111" s="23">
        <v>2</v>
      </c>
      <c r="T111" s="19">
        <f t="shared" si="71"/>
        <v>2740</v>
      </c>
      <c r="U111" s="19">
        <f t="shared" si="46"/>
        <v>1363</v>
      </c>
      <c r="V111" s="19">
        <f t="shared" si="47"/>
        <v>1142</v>
      </c>
      <c r="W111" s="19">
        <f t="shared" si="48"/>
        <v>1303</v>
      </c>
      <c r="X111" s="7"/>
      <c r="Y111" s="7"/>
      <c r="Z111" s="7"/>
      <c r="AA111" s="7"/>
    </row>
    <row r="112" spans="1:27" ht="15" customHeight="1">
      <c r="A112" s="17">
        <v>100</v>
      </c>
      <c r="B112" s="18">
        <f t="shared" si="61"/>
        <v>45580</v>
      </c>
      <c r="C112" s="17">
        <f t="shared" si="72"/>
        <v>1026</v>
      </c>
      <c r="D112" s="24">
        <v>2857</v>
      </c>
      <c r="E112" s="7">
        <f t="shared" si="65"/>
        <v>1855</v>
      </c>
      <c r="F112" s="7">
        <f t="shared" si="66"/>
        <v>2040</v>
      </c>
      <c r="G112" s="7">
        <f t="shared" si="67"/>
        <v>1790</v>
      </c>
      <c r="H112" s="7">
        <f t="shared" si="68"/>
        <v>2028</v>
      </c>
      <c r="I112" s="7">
        <f t="shared" si="69"/>
        <v>1843</v>
      </c>
      <c r="J112" s="7">
        <f t="shared" si="70"/>
        <v>2093</v>
      </c>
      <c r="K112" s="7">
        <f t="shared" si="62"/>
        <v>3000</v>
      </c>
      <c r="L112" s="7">
        <f t="shared" si="63"/>
        <v>3000</v>
      </c>
      <c r="M112" s="7">
        <f t="shared" si="64"/>
        <v>3000</v>
      </c>
      <c r="N112" s="7">
        <f t="shared" si="73"/>
        <v>-972</v>
      </c>
      <c r="O112" s="7">
        <f t="shared" si="74"/>
        <v>-1157</v>
      </c>
      <c r="P112" s="7">
        <f t="shared" si="75"/>
        <v>-907</v>
      </c>
      <c r="Q112" s="23">
        <v>10</v>
      </c>
      <c r="R112" s="23">
        <v>15</v>
      </c>
      <c r="S112" s="23">
        <v>6</v>
      </c>
      <c r="T112" s="19">
        <f t="shared" si="71"/>
        <v>1953</v>
      </c>
      <c r="U112" s="5">
        <v>1930</v>
      </c>
      <c r="V112" s="5">
        <v>1930</v>
      </c>
      <c r="W112" s="5">
        <v>1930</v>
      </c>
      <c r="X112" s="7"/>
      <c r="Y112" s="7"/>
      <c r="Z112" s="7"/>
      <c r="AA112" s="7"/>
    </row>
    <row r="113" spans="1:27" ht="15" customHeight="1">
      <c r="A113" s="17">
        <v>101</v>
      </c>
      <c r="B113" s="18">
        <f t="shared" si="61"/>
        <v>45581</v>
      </c>
      <c r="C113" s="17">
        <f t="shared" si="72"/>
        <v>1026</v>
      </c>
      <c r="D113" s="24">
        <v>2858</v>
      </c>
      <c r="E113" s="7">
        <f t="shared" si="65"/>
        <v>1866</v>
      </c>
      <c r="F113" s="7">
        <f t="shared" si="66"/>
        <v>2051</v>
      </c>
      <c r="G113" s="7">
        <f t="shared" si="67"/>
        <v>1796</v>
      </c>
      <c r="H113" s="7">
        <f t="shared" si="68"/>
        <v>2018</v>
      </c>
      <c r="I113" s="7">
        <f t="shared" si="69"/>
        <v>1833</v>
      </c>
      <c r="J113" s="7">
        <f t="shared" si="70"/>
        <v>2088</v>
      </c>
      <c r="K113" s="7">
        <f t="shared" si="62"/>
        <v>3000</v>
      </c>
      <c r="L113" s="7">
        <f t="shared" si="63"/>
        <v>3000</v>
      </c>
      <c r="M113" s="7">
        <f t="shared" si="64"/>
        <v>3000</v>
      </c>
      <c r="N113" s="7">
        <f t="shared" si="73"/>
        <v>-982</v>
      </c>
      <c r="O113" s="7">
        <f t="shared" si="74"/>
        <v>-1167</v>
      </c>
      <c r="P113" s="7">
        <f t="shared" si="75"/>
        <v>-912</v>
      </c>
      <c r="Q113" s="23">
        <v>10</v>
      </c>
      <c r="R113" s="23">
        <v>10</v>
      </c>
      <c r="S113" s="23">
        <v>5</v>
      </c>
      <c r="T113" s="19">
        <f t="shared" si="71"/>
        <v>1964</v>
      </c>
      <c r="U113" s="19">
        <f>U112-Q113</f>
        <v>1920</v>
      </c>
      <c r="V113" s="19">
        <f>V112-R113</f>
        <v>1920</v>
      </c>
      <c r="W113" s="19">
        <f>W112-S113</f>
        <v>1925</v>
      </c>
      <c r="X113" s="7"/>
      <c r="Y113" s="7"/>
      <c r="Z113" s="7"/>
      <c r="AA113" s="7"/>
    </row>
    <row r="114" spans="1:27" ht="15" customHeight="1">
      <c r="A114" s="17">
        <v>102</v>
      </c>
      <c r="B114" s="18">
        <f t="shared" si="61"/>
        <v>45582</v>
      </c>
      <c r="C114" s="17">
        <f t="shared" si="72"/>
        <v>1026</v>
      </c>
      <c r="D114" s="24">
        <v>2859</v>
      </c>
      <c r="E114" s="7">
        <f t="shared" si="65"/>
        <v>1877</v>
      </c>
      <c r="F114" s="7">
        <f t="shared" si="66"/>
        <v>2062</v>
      </c>
      <c r="G114" s="7">
        <f t="shared" si="67"/>
        <v>1803</v>
      </c>
      <c r="H114" s="7">
        <f t="shared" si="68"/>
        <v>2008</v>
      </c>
      <c r="I114" s="7">
        <f t="shared" si="69"/>
        <v>1823</v>
      </c>
      <c r="J114" s="7">
        <f t="shared" si="70"/>
        <v>2082</v>
      </c>
      <c r="K114" s="7">
        <f t="shared" si="62"/>
        <v>3000</v>
      </c>
      <c r="L114" s="7">
        <f t="shared" si="63"/>
        <v>3000</v>
      </c>
      <c r="M114" s="7">
        <f t="shared" si="64"/>
        <v>3000</v>
      </c>
      <c r="N114" s="7">
        <f t="shared" si="73"/>
        <v>-992</v>
      </c>
      <c r="O114" s="7">
        <f t="shared" si="74"/>
        <v>-1177</v>
      </c>
      <c r="P114" s="7">
        <f t="shared" si="75"/>
        <v>-918</v>
      </c>
      <c r="Q114" s="23">
        <v>10</v>
      </c>
      <c r="R114" s="23">
        <v>10</v>
      </c>
      <c r="S114" s="23">
        <v>6</v>
      </c>
      <c r="T114" s="19">
        <f t="shared" si="71"/>
        <v>1755</v>
      </c>
      <c r="U114" s="5">
        <v>2130</v>
      </c>
      <c r="V114" s="5">
        <v>2130</v>
      </c>
      <c r="W114" s="5">
        <v>2130</v>
      </c>
      <c r="X114" s="7"/>
      <c r="Y114" s="7"/>
      <c r="Z114" s="7"/>
      <c r="AA114" s="7"/>
    </row>
    <row r="115" spans="1:27" ht="15" customHeight="1">
      <c r="A115" s="17">
        <v>103</v>
      </c>
      <c r="B115" s="18">
        <f t="shared" si="61"/>
        <v>45583</v>
      </c>
      <c r="C115" s="17">
        <f t="shared" si="72"/>
        <v>1026</v>
      </c>
      <c r="D115" s="24">
        <v>2860</v>
      </c>
      <c r="E115" s="7">
        <f t="shared" si="65"/>
        <v>1888</v>
      </c>
      <c r="F115" s="7">
        <f t="shared" si="66"/>
        <v>2073</v>
      </c>
      <c r="G115" s="7">
        <f t="shared" si="67"/>
        <v>1808</v>
      </c>
      <c r="H115" s="7">
        <f t="shared" si="68"/>
        <v>1998</v>
      </c>
      <c r="I115" s="7">
        <f t="shared" si="69"/>
        <v>1813</v>
      </c>
      <c r="J115" s="7">
        <f t="shared" si="70"/>
        <v>2078</v>
      </c>
      <c r="K115" s="7">
        <f t="shared" si="62"/>
        <v>3000</v>
      </c>
      <c r="L115" s="7">
        <f t="shared" si="63"/>
        <v>3000</v>
      </c>
      <c r="M115" s="7">
        <f t="shared" si="64"/>
        <v>3000</v>
      </c>
      <c r="N115" s="7">
        <f t="shared" si="73"/>
        <v>-1002</v>
      </c>
      <c r="O115" s="7">
        <f t="shared" si="74"/>
        <v>-1187</v>
      </c>
      <c r="P115" s="7">
        <f t="shared" si="75"/>
        <v>-922</v>
      </c>
      <c r="Q115" s="23">
        <v>10</v>
      </c>
      <c r="R115" s="23">
        <v>10</v>
      </c>
      <c r="S115" s="23">
        <v>4</v>
      </c>
      <c r="T115" s="19">
        <f t="shared" si="71"/>
        <v>1766</v>
      </c>
      <c r="U115" s="19">
        <f t="shared" ref="U115:W116" si="76">U114-Q115</f>
        <v>2120</v>
      </c>
      <c r="V115" s="19">
        <f t="shared" si="76"/>
        <v>2120</v>
      </c>
      <c r="W115" s="19">
        <f t="shared" si="76"/>
        <v>2126</v>
      </c>
      <c r="X115" s="29"/>
      <c r="Y115" s="7"/>
      <c r="Z115" s="7"/>
      <c r="AA115" s="7"/>
    </row>
    <row r="116" spans="1:27" ht="15" customHeight="1">
      <c r="A116" s="17">
        <v>104</v>
      </c>
      <c r="B116" s="18">
        <f t="shared" si="61"/>
        <v>45584</v>
      </c>
      <c r="C116" s="17">
        <f t="shared" si="72"/>
        <v>1026</v>
      </c>
      <c r="D116" s="24">
        <v>2861</v>
      </c>
      <c r="E116" s="7">
        <f t="shared" si="65"/>
        <v>1899</v>
      </c>
      <c r="F116" s="7">
        <f t="shared" si="66"/>
        <v>2084</v>
      </c>
      <c r="G116" s="7">
        <f t="shared" si="67"/>
        <v>1812</v>
      </c>
      <c r="H116" s="7">
        <f t="shared" si="68"/>
        <v>1988</v>
      </c>
      <c r="I116" s="7">
        <f t="shared" si="69"/>
        <v>1803</v>
      </c>
      <c r="J116" s="7">
        <f t="shared" si="70"/>
        <v>2075</v>
      </c>
      <c r="K116" s="7">
        <f t="shared" si="62"/>
        <v>3000</v>
      </c>
      <c r="L116" s="7">
        <f t="shared" si="63"/>
        <v>3000</v>
      </c>
      <c r="M116" s="7">
        <f t="shared" si="64"/>
        <v>3000</v>
      </c>
      <c r="N116" s="7">
        <f t="shared" si="73"/>
        <v>-1012</v>
      </c>
      <c r="O116" s="7">
        <f t="shared" si="74"/>
        <v>-1197</v>
      </c>
      <c r="P116" s="7">
        <f t="shared" si="75"/>
        <v>-925</v>
      </c>
      <c r="Q116" s="23">
        <v>10</v>
      </c>
      <c r="R116" s="23">
        <v>10</v>
      </c>
      <c r="S116" s="23">
        <v>3</v>
      </c>
      <c r="T116" s="19">
        <f t="shared" si="71"/>
        <v>1777</v>
      </c>
      <c r="U116" s="19">
        <f t="shared" si="76"/>
        <v>2110</v>
      </c>
      <c r="V116" s="19">
        <f t="shared" si="76"/>
        <v>2110</v>
      </c>
      <c r="W116" s="19">
        <f t="shared" si="76"/>
        <v>2123</v>
      </c>
      <c r="X116" s="29"/>
      <c r="Y116" s="7"/>
      <c r="Z116" s="7"/>
      <c r="AA116" s="7"/>
    </row>
    <row r="117" spans="1:27" ht="15" customHeight="1">
      <c r="A117" s="17">
        <v>105</v>
      </c>
      <c r="B117" s="18">
        <f t="shared" si="61"/>
        <v>45585</v>
      </c>
      <c r="C117" s="17">
        <f t="shared" si="72"/>
        <v>1026</v>
      </c>
      <c r="D117" s="24">
        <v>2862</v>
      </c>
      <c r="E117" s="7">
        <f t="shared" si="65"/>
        <v>1910</v>
      </c>
      <c r="F117" s="7">
        <f t="shared" si="66"/>
        <v>2100</v>
      </c>
      <c r="G117" s="7">
        <f t="shared" si="67"/>
        <v>1818</v>
      </c>
      <c r="H117" s="7">
        <f t="shared" si="68"/>
        <v>1978</v>
      </c>
      <c r="I117" s="7">
        <f t="shared" si="69"/>
        <v>1788</v>
      </c>
      <c r="J117" s="7">
        <f t="shared" si="70"/>
        <v>2070</v>
      </c>
      <c r="K117" s="7">
        <f t="shared" si="62"/>
        <v>3000</v>
      </c>
      <c r="L117" s="7">
        <f t="shared" si="63"/>
        <v>3000</v>
      </c>
      <c r="M117" s="7">
        <f t="shared" si="64"/>
        <v>3000</v>
      </c>
      <c r="N117" s="7">
        <f t="shared" si="73"/>
        <v>-1022</v>
      </c>
      <c r="O117" s="7">
        <f t="shared" si="74"/>
        <v>-1212</v>
      </c>
      <c r="P117" s="7">
        <f t="shared" si="75"/>
        <v>-930</v>
      </c>
      <c r="Q117" s="23">
        <v>10</v>
      </c>
      <c r="R117" s="23">
        <v>15</v>
      </c>
      <c r="S117" s="23">
        <v>5</v>
      </c>
      <c r="T117" s="19">
        <f t="shared" si="71"/>
        <v>1548</v>
      </c>
      <c r="U117" s="5">
        <v>2340</v>
      </c>
      <c r="V117" s="5">
        <v>2340</v>
      </c>
      <c r="W117" s="5">
        <v>2340</v>
      </c>
      <c r="X117" s="29"/>
      <c r="Y117" s="7"/>
      <c r="Z117" s="7"/>
      <c r="AA117" s="7"/>
    </row>
    <row r="118" spans="1:27" ht="15" customHeight="1">
      <c r="A118" s="17">
        <v>106</v>
      </c>
      <c r="B118" s="18">
        <f t="shared" si="61"/>
        <v>45586</v>
      </c>
      <c r="C118" s="17">
        <f t="shared" si="72"/>
        <v>1026</v>
      </c>
      <c r="D118" s="24">
        <v>2863</v>
      </c>
      <c r="E118" s="7">
        <f t="shared" si="65"/>
        <v>1921</v>
      </c>
      <c r="F118" s="7">
        <f t="shared" si="66"/>
        <v>2111</v>
      </c>
      <c r="G118" s="7">
        <f t="shared" si="67"/>
        <v>1823</v>
      </c>
      <c r="H118" s="7">
        <f t="shared" si="68"/>
        <v>1968</v>
      </c>
      <c r="I118" s="7">
        <f t="shared" si="69"/>
        <v>1778</v>
      </c>
      <c r="J118" s="7">
        <f t="shared" si="70"/>
        <v>2066</v>
      </c>
      <c r="K118" s="7">
        <f t="shared" si="62"/>
        <v>3000</v>
      </c>
      <c r="L118" s="7">
        <f t="shared" si="63"/>
        <v>3000</v>
      </c>
      <c r="M118" s="7">
        <f t="shared" si="64"/>
        <v>3000</v>
      </c>
      <c r="N118" s="7">
        <f t="shared" si="73"/>
        <v>-1032</v>
      </c>
      <c r="O118" s="7">
        <f t="shared" si="74"/>
        <v>-1222</v>
      </c>
      <c r="P118" s="7">
        <f t="shared" si="75"/>
        <v>-934</v>
      </c>
      <c r="Q118" s="23">
        <v>10</v>
      </c>
      <c r="R118" s="23">
        <v>10</v>
      </c>
      <c r="S118" s="23">
        <v>4</v>
      </c>
      <c r="T118" s="19">
        <f t="shared" si="71"/>
        <v>1559</v>
      </c>
      <c r="U118" s="19">
        <f t="shared" ref="U118:W119" si="77">U117-Q118</f>
        <v>2330</v>
      </c>
      <c r="V118" s="19">
        <f t="shared" si="77"/>
        <v>2330</v>
      </c>
      <c r="W118" s="19">
        <f t="shared" si="77"/>
        <v>2336</v>
      </c>
      <c r="X118" s="29"/>
      <c r="Y118" s="7"/>
      <c r="Z118" s="7"/>
      <c r="AA118" s="7"/>
    </row>
    <row r="119" spans="1:27" ht="15" customHeight="1">
      <c r="A119" s="17">
        <v>107</v>
      </c>
      <c r="B119" s="18">
        <f t="shared" si="61"/>
        <v>45587</v>
      </c>
      <c r="C119" s="17">
        <f t="shared" si="72"/>
        <v>1026</v>
      </c>
      <c r="D119" s="24">
        <v>2864</v>
      </c>
      <c r="E119" s="7">
        <f t="shared" si="65"/>
        <v>1932</v>
      </c>
      <c r="F119" s="7">
        <f t="shared" si="66"/>
        <v>2122</v>
      </c>
      <c r="G119" s="7">
        <f t="shared" si="67"/>
        <v>1827</v>
      </c>
      <c r="H119" s="7">
        <f t="shared" si="68"/>
        <v>1958</v>
      </c>
      <c r="I119" s="7">
        <f t="shared" si="69"/>
        <v>1768</v>
      </c>
      <c r="J119" s="7">
        <f t="shared" si="70"/>
        <v>2063</v>
      </c>
      <c r="K119" s="7">
        <f t="shared" si="62"/>
        <v>3000</v>
      </c>
      <c r="L119" s="7">
        <f t="shared" si="63"/>
        <v>3000</v>
      </c>
      <c r="M119" s="7">
        <f t="shared" si="64"/>
        <v>3000</v>
      </c>
      <c r="N119" s="7">
        <f t="shared" si="73"/>
        <v>-1042</v>
      </c>
      <c r="O119" s="7">
        <f t="shared" si="74"/>
        <v>-1232</v>
      </c>
      <c r="P119" s="7">
        <f t="shared" si="75"/>
        <v>-937</v>
      </c>
      <c r="Q119" s="23">
        <v>10</v>
      </c>
      <c r="R119" s="23">
        <v>10</v>
      </c>
      <c r="S119" s="23">
        <v>3</v>
      </c>
      <c r="T119" s="19">
        <f t="shared" si="71"/>
        <v>1570</v>
      </c>
      <c r="U119" s="19">
        <f t="shared" si="77"/>
        <v>2320</v>
      </c>
      <c r="V119" s="19">
        <f t="shared" si="77"/>
        <v>2320</v>
      </c>
      <c r="W119" s="19">
        <f t="shared" si="77"/>
        <v>2333</v>
      </c>
      <c r="X119" s="29"/>
      <c r="Y119" s="7"/>
      <c r="Z119" s="7"/>
      <c r="AA119" s="7"/>
    </row>
    <row r="120" spans="1:27" ht="15" customHeight="1">
      <c r="A120" s="17">
        <v>108</v>
      </c>
      <c r="B120" s="18">
        <f t="shared" si="61"/>
        <v>45588</v>
      </c>
      <c r="C120" s="17">
        <f t="shared" si="72"/>
        <v>1026</v>
      </c>
      <c r="D120" s="24">
        <v>2865</v>
      </c>
      <c r="E120" s="7">
        <f t="shared" si="65"/>
        <v>1943</v>
      </c>
      <c r="F120" s="7">
        <f t="shared" si="66"/>
        <v>2133</v>
      </c>
      <c r="G120" s="7">
        <f t="shared" si="67"/>
        <v>1830</v>
      </c>
      <c r="H120" s="7">
        <f t="shared" si="68"/>
        <v>1948</v>
      </c>
      <c r="I120" s="7">
        <f t="shared" si="69"/>
        <v>1758</v>
      </c>
      <c r="J120" s="7">
        <f t="shared" si="70"/>
        <v>2061</v>
      </c>
      <c r="K120" s="7">
        <f t="shared" si="62"/>
        <v>3000</v>
      </c>
      <c r="L120" s="7">
        <f t="shared" si="63"/>
        <v>3000</v>
      </c>
      <c r="M120" s="7">
        <f t="shared" si="64"/>
        <v>3000</v>
      </c>
      <c r="N120" s="7">
        <f t="shared" si="73"/>
        <v>-1052</v>
      </c>
      <c r="O120" s="7">
        <f t="shared" si="74"/>
        <v>-1242</v>
      </c>
      <c r="P120" s="7">
        <f t="shared" si="75"/>
        <v>-939</v>
      </c>
      <c r="Q120" s="23">
        <v>10</v>
      </c>
      <c r="R120" s="23">
        <v>10</v>
      </c>
      <c r="S120" s="23">
        <v>2</v>
      </c>
      <c r="T120" s="19">
        <f t="shared" si="71"/>
        <v>1361</v>
      </c>
      <c r="U120" s="5">
        <v>2530</v>
      </c>
      <c r="V120" s="5">
        <v>2530</v>
      </c>
      <c r="W120" s="5">
        <v>2530</v>
      </c>
      <c r="X120" s="29"/>
      <c r="Y120" s="7"/>
      <c r="Z120" s="7"/>
      <c r="AA120" s="7"/>
    </row>
    <row r="121" spans="1:27" ht="15" customHeight="1">
      <c r="A121" s="17">
        <v>109</v>
      </c>
      <c r="B121" s="18">
        <f t="shared" si="61"/>
        <v>45589</v>
      </c>
      <c r="C121" s="17">
        <f t="shared" si="72"/>
        <v>1026</v>
      </c>
      <c r="D121" s="24">
        <v>2866</v>
      </c>
      <c r="E121" s="7">
        <f t="shared" si="65"/>
        <v>1954</v>
      </c>
      <c r="F121" s="7">
        <f t="shared" si="66"/>
        <v>2144</v>
      </c>
      <c r="G121" s="7">
        <f t="shared" si="67"/>
        <v>1836</v>
      </c>
      <c r="H121" s="7">
        <f t="shared" si="68"/>
        <v>1938</v>
      </c>
      <c r="I121" s="7">
        <f t="shared" si="69"/>
        <v>1748</v>
      </c>
      <c r="J121" s="7">
        <f t="shared" si="70"/>
        <v>2056</v>
      </c>
      <c r="K121" s="7">
        <f t="shared" si="62"/>
        <v>3000</v>
      </c>
      <c r="L121" s="7">
        <f t="shared" si="63"/>
        <v>3000</v>
      </c>
      <c r="M121" s="7">
        <f t="shared" si="64"/>
        <v>3000</v>
      </c>
      <c r="N121" s="7">
        <f t="shared" si="73"/>
        <v>-1062</v>
      </c>
      <c r="O121" s="7">
        <f t="shared" si="74"/>
        <v>-1252</v>
      </c>
      <c r="P121" s="7">
        <f t="shared" si="75"/>
        <v>-944</v>
      </c>
      <c r="Q121" s="23">
        <v>10</v>
      </c>
      <c r="R121" s="23">
        <v>10</v>
      </c>
      <c r="S121" s="23">
        <v>5</v>
      </c>
      <c r="T121" s="19">
        <f t="shared" si="71"/>
        <v>1372</v>
      </c>
      <c r="U121" s="19">
        <f t="shared" ref="U121:W122" si="78">U120-Q121</f>
        <v>2520</v>
      </c>
      <c r="V121" s="19">
        <f t="shared" si="78"/>
        <v>2520</v>
      </c>
      <c r="W121" s="19">
        <f t="shared" si="78"/>
        <v>2525</v>
      </c>
      <c r="X121" s="7"/>
      <c r="Y121" s="7"/>
      <c r="Z121" s="7"/>
      <c r="AA121" s="7"/>
    </row>
    <row r="122" spans="1:27" ht="15" customHeight="1">
      <c r="A122" s="17">
        <v>110</v>
      </c>
      <c r="B122" s="18">
        <f t="shared" si="61"/>
        <v>45590</v>
      </c>
      <c r="C122" s="17">
        <f t="shared" si="72"/>
        <v>1026</v>
      </c>
      <c r="D122" s="24">
        <v>2867</v>
      </c>
      <c r="E122" s="7">
        <f t="shared" si="65"/>
        <v>1965</v>
      </c>
      <c r="F122" s="7">
        <f t="shared" si="66"/>
        <v>2155</v>
      </c>
      <c r="G122" s="7">
        <f t="shared" si="67"/>
        <v>1841</v>
      </c>
      <c r="H122" s="7">
        <f t="shared" si="68"/>
        <v>1928</v>
      </c>
      <c r="I122" s="7">
        <f t="shared" si="69"/>
        <v>1738</v>
      </c>
      <c r="J122" s="7">
        <f t="shared" si="70"/>
        <v>2052</v>
      </c>
      <c r="K122" s="7">
        <f t="shared" si="62"/>
        <v>3000</v>
      </c>
      <c r="L122" s="7">
        <f t="shared" si="63"/>
        <v>3000</v>
      </c>
      <c r="M122" s="7">
        <f t="shared" si="64"/>
        <v>3000</v>
      </c>
      <c r="N122" s="7">
        <f t="shared" si="73"/>
        <v>-1072</v>
      </c>
      <c r="O122" s="7">
        <f t="shared" si="74"/>
        <v>-1262</v>
      </c>
      <c r="P122" s="7">
        <f t="shared" si="75"/>
        <v>-948</v>
      </c>
      <c r="Q122" s="23">
        <v>10</v>
      </c>
      <c r="R122" s="23">
        <v>10</v>
      </c>
      <c r="S122" s="23">
        <v>4</v>
      </c>
      <c r="T122" s="19">
        <f t="shared" si="71"/>
        <v>1383</v>
      </c>
      <c r="U122" s="19">
        <f t="shared" si="78"/>
        <v>2510</v>
      </c>
      <c r="V122" s="19">
        <f t="shared" si="78"/>
        <v>2510</v>
      </c>
      <c r="W122" s="19">
        <f t="shared" si="78"/>
        <v>2521</v>
      </c>
      <c r="X122" s="7"/>
      <c r="Y122" s="7"/>
      <c r="Z122" s="7"/>
      <c r="AA122" s="7"/>
    </row>
    <row r="123" spans="1:27" ht="15" customHeight="1">
      <c r="A123" s="17">
        <v>111</v>
      </c>
      <c r="B123" s="18">
        <f t="shared" si="61"/>
        <v>45591</v>
      </c>
      <c r="C123" s="17">
        <f t="shared" si="72"/>
        <v>1026</v>
      </c>
      <c r="D123" s="24">
        <v>2868</v>
      </c>
      <c r="E123" s="7">
        <f t="shared" si="65"/>
        <v>1976</v>
      </c>
      <c r="F123" s="7">
        <f t="shared" si="66"/>
        <v>2171</v>
      </c>
      <c r="G123" s="7">
        <f t="shared" si="67"/>
        <v>1850</v>
      </c>
      <c r="H123" s="7">
        <f t="shared" si="68"/>
        <v>1918</v>
      </c>
      <c r="I123" s="7">
        <f t="shared" si="69"/>
        <v>1723</v>
      </c>
      <c r="J123" s="7">
        <f t="shared" si="70"/>
        <v>2044</v>
      </c>
      <c r="K123" s="7">
        <f t="shared" si="62"/>
        <v>3000</v>
      </c>
      <c r="L123" s="7">
        <f t="shared" si="63"/>
        <v>3000</v>
      </c>
      <c r="M123" s="7">
        <f t="shared" si="64"/>
        <v>3000</v>
      </c>
      <c r="N123" s="7">
        <f t="shared" si="73"/>
        <v>-1082</v>
      </c>
      <c r="O123" s="7">
        <f t="shared" si="74"/>
        <v>-1277</v>
      </c>
      <c r="P123" s="7">
        <f t="shared" si="75"/>
        <v>-956</v>
      </c>
      <c r="Q123" s="23">
        <v>10</v>
      </c>
      <c r="R123" s="23">
        <v>15</v>
      </c>
      <c r="S123" s="23">
        <v>8</v>
      </c>
      <c r="T123" s="19">
        <f t="shared" si="71"/>
        <v>1154</v>
      </c>
      <c r="U123" s="5">
        <v>2740</v>
      </c>
      <c r="V123" s="5">
        <v>2740</v>
      </c>
      <c r="W123" s="5">
        <v>2740</v>
      </c>
      <c r="X123" s="7"/>
      <c r="Y123" s="7"/>
      <c r="Z123" s="7"/>
      <c r="AA123" s="7"/>
    </row>
    <row r="124" spans="1:27" ht="15" customHeight="1">
      <c r="A124" s="17">
        <v>112</v>
      </c>
      <c r="B124" s="18">
        <f t="shared" si="61"/>
        <v>45592</v>
      </c>
      <c r="C124" s="17">
        <f t="shared" si="72"/>
        <v>1026</v>
      </c>
      <c r="D124" s="24">
        <v>2869</v>
      </c>
      <c r="E124" s="7">
        <f t="shared" si="65"/>
        <v>1987</v>
      </c>
      <c r="F124" s="7">
        <f t="shared" si="66"/>
        <v>2182</v>
      </c>
      <c r="G124" s="7">
        <f t="shared" si="67"/>
        <v>1858</v>
      </c>
      <c r="H124" s="7">
        <f t="shared" si="68"/>
        <v>1908</v>
      </c>
      <c r="I124" s="7">
        <f t="shared" si="69"/>
        <v>1713</v>
      </c>
      <c r="J124" s="7">
        <f t="shared" si="70"/>
        <v>2037</v>
      </c>
      <c r="K124" s="7">
        <f t="shared" si="62"/>
        <v>3000</v>
      </c>
      <c r="L124" s="7">
        <f t="shared" si="63"/>
        <v>3000</v>
      </c>
      <c r="M124" s="7">
        <f t="shared" si="64"/>
        <v>3000</v>
      </c>
      <c r="N124" s="7">
        <f t="shared" si="73"/>
        <v>-1092</v>
      </c>
      <c r="O124" s="7">
        <f t="shared" si="74"/>
        <v>-1287</v>
      </c>
      <c r="P124" s="7">
        <f t="shared" si="75"/>
        <v>-963</v>
      </c>
      <c r="Q124" s="23">
        <v>10</v>
      </c>
      <c r="R124" s="23">
        <v>10</v>
      </c>
      <c r="S124" s="23">
        <v>7</v>
      </c>
      <c r="T124" s="19">
        <f t="shared" si="71"/>
        <v>1165</v>
      </c>
      <c r="U124" s="19">
        <f>U123-Q124</f>
        <v>2730</v>
      </c>
      <c r="V124" s="19">
        <f>V123-R124</f>
        <v>2730</v>
      </c>
      <c r="W124" s="19">
        <f>W123-S124</f>
        <v>2733</v>
      </c>
      <c r="X124" s="7"/>
      <c r="Y124" s="7"/>
      <c r="Z124" s="7"/>
      <c r="AA124" s="7"/>
    </row>
    <row r="125" spans="1:27" ht="15" customHeight="1">
      <c r="A125" s="17">
        <v>113</v>
      </c>
      <c r="B125" s="18">
        <f t="shared" si="61"/>
        <v>45593</v>
      </c>
      <c r="C125" s="17">
        <f t="shared" si="72"/>
        <v>1026</v>
      </c>
      <c r="D125" s="24">
        <v>2870</v>
      </c>
      <c r="E125" s="7">
        <f t="shared" si="65"/>
        <v>1998</v>
      </c>
      <c r="F125" s="7">
        <f t="shared" si="66"/>
        <v>2193</v>
      </c>
      <c r="G125" s="7">
        <f t="shared" si="67"/>
        <v>1867</v>
      </c>
      <c r="H125" s="7">
        <f t="shared" si="68"/>
        <v>1898</v>
      </c>
      <c r="I125" s="7">
        <f t="shared" si="69"/>
        <v>1703</v>
      </c>
      <c r="J125" s="7">
        <f t="shared" si="70"/>
        <v>2029</v>
      </c>
      <c r="K125" s="7">
        <f t="shared" si="62"/>
        <v>3000</v>
      </c>
      <c r="L125" s="7">
        <f t="shared" si="63"/>
        <v>3000</v>
      </c>
      <c r="M125" s="7">
        <f t="shared" si="64"/>
        <v>3000</v>
      </c>
      <c r="N125" s="7">
        <f t="shared" si="73"/>
        <v>-1102</v>
      </c>
      <c r="O125" s="7">
        <f t="shared" si="74"/>
        <v>-1297</v>
      </c>
      <c r="P125" s="7">
        <f t="shared" si="75"/>
        <v>-971</v>
      </c>
      <c r="Q125" s="23">
        <v>10</v>
      </c>
      <c r="R125" s="23">
        <v>10</v>
      </c>
      <c r="S125" s="23">
        <v>8</v>
      </c>
      <c r="T125" s="19">
        <f t="shared" si="71"/>
        <v>966</v>
      </c>
      <c r="U125" s="5">
        <v>2930</v>
      </c>
      <c r="V125" s="5">
        <v>2930</v>
      </c>
      <c r="W125" s="5">
        <v>2930</v>
      </c>
      <c r="X125" s="7"/>
      <c r="Y125" s="7"/>
      <c r="Z125" s="7"/>
      <c r="AA125" s="7"/>
    </row>
    <row r="126" spans="1:27" ht="15" customHeight="1">
      <c r="A126" s="17">
        <v>114</v>
      </c>
      <c r="B126" s="18">
        <f t="shared" si="61"/>
        <v>45594</v>
      </c>
      <c r="C126" s="17">
        <f t="shared" si="72"/>
        <v>1026</v>
      </c>
      <c r="D126" s="24">
        <v>2871</v>
      </c>
      <c r="E126" s="7">
        <f t="shared" si="65"/>
        <v>2009</v>
      </c>
      <c r="F126" s="7">
        <f t="shared" si="66"/>
        <v>2204</v>
      </c>
      <c r="G126" s="7">
        <f t="shared" si="67"/>
        <v>1874</v>
      </c>
      <c r="H126" s="7">
        <f t="shared" si="68"/>
        <v>1888</v>
      </c>
      <c r="I126" s="7">
        <f t="shared" si="69"/>
        <v>1693</v>
      </c>
      <c r="J126" s="7">
        <f t="shared" si="70"/>
        <v>2023</v>
      </c>
      <c r="K126" s="7">
        <f t="shared" si="62"/>
        <v>3000</v>
      </c>
      <c r="L126" s="7">
        <f t="shared" si="63"/>
        <v>3000</v>
      </c>
      <c r="M126" s="7">
        <f t="shared" si="64"/>
        <v>3000</v>
      </c>
      <c r="N126" s="7">
        <f t="shared" si="73"/>
        <v>-1112</v>
      </c>
      <c r="O126" s="7">
        <f t="shared" si="74"/>
        <v>-1307</v>
      </c>
      <c r="P126" s="7">
        <f t="shared" si="75"/>
        <v>-977</v>
      </c>
      <c r="Q126" s="23">
        <v>10</v>
      </c>
      <c r="R126" s="23">
        <v>10</v>
      </c>
      <c r="S126" s="23">
        <v>6</v>
      </c>
      <c r="T126" s="19">
        <f t="shared" si="71"/>
        <v>977</v>
      </c>
      <c r="U126" s="19">
        <f t="shared" ref="U126:W127" si="79">U125-Q126</f>
        <v>2920</v>
      </c>
      <c r="V126" s="19">
        <f t="shared" si="79"/>
        <v>2920</v>
      </c>
      <c r="W126" s="19">
        <f t="shared" si="79"/>
        <v>2924</v>
      </c>
      <c r="X126" s="7"/>
      <c r="Y126" s="7"/>
      <c r="Z126" s="7"/>
      <c r="AA126" s="7"/>
    </row>
    <row r="127" spans="1:27" ht="15" customHeight="1">
      <c r="A127" s="17">
        <v>115</v>
      </c>
      <c r="B127" s="18">
        <f t="shared" si="61"/>
        <v>45595</v>
      </c>
      <c r="C127" s="17">
        <f t="shared" si="72"/>
        <v>1026</v>
      </c>
      <c r="D127" s="24">
        <v>2872</v>
      </c>
      <c r="E127" s="7">
        <f t="shared" si="65"/>
        <v>2020</v>
      </c>
      <c r="F127" s="7">
        <f t="shared" si="66"/>
        <v>2215</v>
      </c>
      <c r="G127" s="7">
        <f t="shared" si="67"/>
        <v>1879</v>
      </c>
      <c r="H127" s="7">
        <f t="shared" si="68"/>
        <v>1878</v>
      </c>
      <c r="I127" s="7">
        <f t="shared" si="69"/>
        <v>1683</v>
      </c>
      <c r="J127" s="7">
        <f t="shared" si="70"/>
        <v>2019</v>
      </c>
      <c r="K127" s="7">
        <f t="shared" si="62"/>
        <v>3000</v>
      </c>
      <c r="L127" s="7">
        <f t="shared" si="63"/>
        <v>3000</v>
      </c>
      <c r="M127" s="7">
        <f t="shared" si="64"/>
        <v>3000</v>
      </c>
      <c r="N127" s="7">
        <f t="shared" si="73"/>
        <v>-1122</v>
      </c>
      <c r="O127" s="7">
        <f t="shared" si="74"/>
        <v>-1317</v>
      </c>
      <c r="P127" s="7">
        <f t="shared" si="75"/>
        <v>-981</v>
      </c>
      <c r="Q127" s="23">
        <v>10</v>
      </c>
      <c r="R127" s="23">
        <v>10</v>
      </c>
      <c r="S127" s="23">
        <v>4</v>
      </c>
      <c r="T127" s="19">
        <f t="shared" si="71"/>
        <v>988</v>
      </c>
      <c r="U127" s="19">
        <f t="shared" si="79"/>
        <v>2910</v>
      </c>
      <c r="V127" s="19">
        <f t="shared" si="79"/>
        <v>2910</v>
      </c>
      <c r="W127" s="19">
        <f t="shared" si="79"/>
        <v>2920</v>
      </c>
      <c r="X127" s="7"/>
      <c r="Y127" s="7"/>
      <c r="Z127" s="7"/>
      <c r="AA127" s="7"/>
    </row>
    <row r="128" spans="1:27" ht="15" customHeight="1">
      <c r="A128" s="17">
        <v>116</v>
      </c>
      <c r="B128" s="18">
        <f t="shared" si="61"/>
        <v>45596</v>
      </c>
      <c r="C128" s="17">
        <f t="shared" si="72"/>
        <v>1026</v>
      </c>
      <c r="D128" s="24">
        <v>2873</v>
      </c>
      <c r="E128" s="7">
        <f t="shared" si="65"/>
        <v>2031</v>
      </c>
      <c r="F128" s="7">
        <f t="shared" si="66"/>
        <v>2231</v>
      </c>
      <c r="G128" s="7">
        <f t="shared" si="67"/>
        <v>1888</v>
      </c>
      <c r="H128" s="7">
        <f t="shared" si="68"/>
        <v>1868</v>
      </c>
      <c r="I128" s="7">
        <f t="shared" si="69"/>
        <v>1668</v>
      </c>
      <c r="J128" s="7">
        <f t="shared" si="70"/>
        <v>2011</v>
      </c>
      <c r="K128" s="7">
        <f t="shared" si="62"/>
        <v>3000</v>
      </c>
      <c r="L128" s="7">
        <f t="shared" si="63"/>
        <v>3000</v>
      </c>
      <c r="M128" s="7">
        <f t="shared" si="64"/>
        <v>3000</v>
      </c>
      <c r="N128" s="7">
        <f t="shared" si="73"/>
        <v>-1132</v>
      </c>
      <c r="O128" s="7">
        <f t="shared" si="74"/>
        <v>-1332</v>
      </c>
      <c r="P128" s="7">
        <f t="shared" si="75"/>
        <v>-989</v>
      </c>
      <c r="Q128" s="23">
        <v>10</v>
      </c>
      <c r="R128" s="23">
        <v>15</v>
      </c>
      <c r="S128" s="23">
        <v>8</v>
      </c>
      <c r="T128" s="19">
        <f t="shared" si="71"/>
        <v>769</v>
      </c>
      <c r="U128" s="5">
        <v>3130</v>
      </c>
      <c r="V128" s="5">
        <v>3130</v>
      </c>
      <c r="W128" s="5">
        <v>3130</v>
      </c>
      <c r="X128" s="7"/>
      <c r="Y128" s="7"/>
      <c r="Z128" s="7"/>
      <c r="AA128" s="7"/>
    </row>
    <row r="129" spans="1:27" ht="15" customHeight="1">
      <c r="A129" s="17">
        <v>117</v>
      </c>
      <c r="B129" s="18">
        <f t="shared" si="61"/>
        <v>45597</v>
      </c>
      <c r="C129" s="17">
        <f t="shared" si="72"/>
        <v>1026</v>
      </c>
      <c r="D129" s="24">
        <v>2874</v>
      </c>
      <c r="E129" s="7">
        <f t="shared" si="65"/>
        <v>2042</v>
      </c>
      <c r="F129" s="7">
        <f t="shared" si="66"/>
        <v>2242</v>
      </c>
      <c r="G129" s="7">
        <f t="shared" si="67"/>
        <v>1896</v>
      </c>
      <c r="H129" s="7">
        <f t="shared" si="68"/>
        <v>1858</v>
      </c>
      <c r="I129" s="7">
        <f t="shared" si="69"/>
        <v>1658</v>
      </c>
      <c r="J129" s="7">
        <f t="shared" si="70"/>
        <v>2004</v>
      </c>
      <c r="K129" s="7">
        <f t="shared" si="62"/>
        <v>3000</v>
      </c>
      <c r="L129" s="7">
        <f t="shared" si="63"/>
        <v>3000</v>
      </c>
      <c r="M129" s="7">
        <f t="shared" si="64"/>
        <v>3000</v>
      </c>
      <c r="N129" s="7">
        <f t="shared" si="73"/>
        <v>-1142</v>
      </c>
      <c r="O129" s="7">
        <f t="shared" si="74"/>
        <v>-1342</v>
      </c>
      <c r="P129" s="7">
        <f t="shared" si="75"/>
        <v>-996</v>
      </c>
      <c r="Q129" s="23">
        <v>10</v>
      </c>
      <c r="R129" s="23">
        <v>10</v>
      </c>
      <c r="S129" s="23">
        <v>7</v>
      </c>
      <c r="T129" s="19">
        <f t="shared" si="71"/>
        <v>780</v>
      </c>
      <c r="U129" s="19">
        <f t="shared" ref="U129:W130" si="80">U128-Q129</f>
        <v>3120</v>
      </c>
      <c r="V129" s="19">
        <f t="shared" si="80"/>
        <v>3120</v>
      </c>
      <c r="W129" s="19">
        <f t="shared" si="80"/>
        <v>3123</v>
      </c>
      <c r="X129" s="7"/>
      <c r="Y129" s="7"/>
      <c r="Z129" s="7"/>
      <c r="AA129" s="7"/>
    </row>
    <row r="130" spans="1:27" ht="15" customHeight="1">
      <c r="A130" s="17">
        <v>118</v>
      </c>
      <c r="B130" s="18">
        <f t="shared" si="61"/>
        <v>45598</v>
      </c>
      <c r="C130" s="17">
        <f t="shared" si="72"/>
        <v>1026</v>
      </c>
      <c r="D130" s="24">
        <v>2875</v>
      </c>
      <c r="E130" s="7">
        <f t="shared" si="65"/>
        <v>2053</v>
      </c>
      <c r="F130" s="7">
        <f t="shared" si="66"/>
        <v>2253</v>
      </c>
      <c r="G130" s="7">
        <f t="shared" si="67"/>
        <v>1903</v>
      </c>
      <c r="H130" s="7">
        <f t="shared" si="68"/>
        <v>1848</v>
      </c>
      <c r="I130" s="7">
        <f t="shared" si="69"/>
        <v>1648</v>
      </c>
      <c r="J130" s="7">
        <f t="shared" si="70"/>
        <v>1998</v>
      </c>
      <c r="K130" s="7">
        <f t="shared" si="62"/>
        <v>3000</v>
      </c>
      <c r="L130" s="7">
        <f t="shared" si="63"/>
        <v>3000</v>
      </c>
      <c r="M130" s="7">
        <f t="shared" si="64"/>
        <v>3000</v>
      </c>
      <c r="N130" s="7">
        <f t="shared" si="73"/>
        <v>-1152</v>
      </c>
      <c r="O130" s="7">
        <f t="shared" si="74"/>
        <v>-1352</v>
      </c>
      <c r="P130" s="7">
        <f t="shared" si="75"/>
        <v>-1002</v>
      </c>
      <c r="Q130" s="23">
        <v>10</v>
      </c>
      <c r="R130" s="23">
        <v>10</v>
      </c>
      <c r="S130" s="23">
        <v>6</v>
      </c>
      <c r="T130" s="19">
        <f t="shared" si="71"/>
        <v>791</v>
      </c>
      <c r="U130" s="19">
        <f t="shared" si="80"/>
        <v>3110</v>
      </c>
      <c r="V130" s="19">
        <f t="shared" si="80"/>
        <v>3110</v>
      </c>
      <c r="W130" s="19">
        <f t="shared" si="80"/>
        <v>3117</v>
      </c>
      <c r="X130" s="7"/>
      <c r="Y130" s="7"/>
      <c r="Z130" s="7"/>
      <c r="AA130" s="7"/>
    </row>
    <row r="131" spans="1:27" ht="15" customHeight="1">
      <c r="A131" s="17">
        <v>119</v>
      </c>
      <c r="B131" s="18">
        <f t="shared" si="61"/>
        <v>45599</v>
      </c>
      <c r="C131" s="17">
        <f t="shared" si="72"/>
        <v>1026</v>
      </c>
      <c r="D131" s="24">
        <v>2876</v>
      </c>
      <c r="E131" s="7">
        <f t="shared" si="65"/>
        <v>2064</v>
      </c>
      <c r="F131" s="7">
        <f t="shared" si="66"/>
        <v>2269</v>
      </c>
      <c r="G131" s="7">
        <f t="shared" si="67"/>
        <v>1909</v>
      </c>
      <c r="H131" s="7">
        <f t="shared" si="68"/>
        <v>1838</v>
      </c>
      <c r="I131" s="7">
        <f t="shared" si="69"/>
        <v>1633</v>
      </c>
      <c r="J131" s="7">
        <f t="shared" si="70"/>
        <v>1993</v>
      </c>
      <c r="K131" s="7">
        <f t="shared" si="62"/>
        <v>3000</v>
      </c>
      <c r="L131" s="7">
        <f t="shared" si="63"/>
        <v>3000</v>
      </c>
      <c r="M131" s="7">
        <f t="shared" si="64"/>
        <v>3000</v>
      </c>
      <c r="N131" s="7">
        <f t="shared" si="73"/>
        <v>-1162</v>
      </c>
      <c r="O131" s="7">
        <f t="shared" si="74"/>
        <v>-1367</v>
      </c>
      <c r="P131" s="7">
        <f t="shared" si="75"/>
        <v>-1007</v>
      </c>
      <c r="Q131" s="23">
        <v>10</v>
      </c>
      <c r="R131" s="23">
        <v>15</v>
      </c>
      <c r="S131" s="23">
        <v>5</v>
      </c>
      <c r="T131" s="19">
        <f t="shared" si="71"/>
        <v>572</v>
      </c>
      <c r="U131" s="5">
        <v>3330</v>
      </c>
      <c r="V131" s="5">
        <v>3330</v>
      </c>
      <c r="W131" s="5">
        <v>3330</v>
      </c>
      <c r="X131" s="7"/>
      <c r="Y131" s="7"/>
      <c r="Z131" s="7"/>
      <c r="AA131" s="7"/>
    </row>
    <row r="132" spans="1:27" ht="15" customHeight="1">
      <c r="A132" s="17">
        <v>120</v>
      </c>
      <c r="B132" s="18">
        <f t="shared" si="61"/>
        <v>45600</v>
      </c>
      <c r="C132" s="17">
        <f t="shared" si="72"/>
        <v>1026</v>
      </c>
      <c r="D132" s="24">
        <v>2877</v>
      </c>
      <c r="E132" s="7">
        <f t="shared" si="65"/>
        <v>2075</v>
      </c>
      <c r="F132" s="7">
        <f t="shared" si="66"/>
        <v>2280</v>
      </c>
      <c r="G132" s="7">
        <f t="shared" si="67"/>
        <v>1916</v>
      </c>
      <c r="H132" s="7">
        <f t="shared" si="68"/>
        <v>1828</v>
      </c>
      <c r="I132" s="7">
        <f t="shared" si="69"/>
        <v>1623</v>
      </c>
      <c r="J132" s="7">
        <f t="shared" si="70"/>
        <v>1987</v>
      </c>
      <c r="K132" s="7">
        <f t="shared" si="62"/>
        <v>3000</v>
      </c>
      <c r="L132" s="7">
        <f t="shared" si="63"/>
        <v>3000</v>
      </c>
      <c r="M132" s="7">
        <f t="shared" si="64"/>
        <v>3000</v>
      </c>
      <c r="N132" s="7">
        <f t="shared" si="73"/>
        <v>-1172</v>
      </c>
      <c r="O132" s="7">
        <f t="shared" si="74"/>
        <v>-1377</v>
      </c>
      <c r="P132" s="7">
        <f t="shared" si="75"/>
        <v>-1013</v>
      </c>
      <c r="Q132" s="23">
        <v>10</v>
      </c>
      <c r="R132" s="23">
        <v>10</v>
      </c>
      <c r="S132" s="23">
        <v>6</v>
      </c>
      <c r="T132" s="19">
        <f t="shared" si="71"/>
        <v>583</v>
      </c>
      <c r="U132" s="19">
        <f t="shared" ref="U132:W135" si="81">U131-Q132</f>
        <v>3320</v>
      </c>
      <c r="V132" s="19">
        <f t="shared" si="81"/>
        <v>3320</v>
      </c>
      <c r="W132" s="19">
        <f t="shared" si="81"/>
        <v>3324</v>
      </c>
      <c r="X132" s="7"/>
      <c r="Y132" s="7"/>
      <c r="Z132" s="7"/>
      <c r="AA132" s="7"/>
    </row>
    <row r="133" spans="1:27" ht="15" customHeight="1">
      <c r="A133" s="17">
        <v>121</v>
      </c>
      <c r="B133" s="18">
        <f t="shared" si="61"/>
        <v>45601</v>
      </c>
      <c r="C133" s="17">
        <f t="shared" si="72"/>
        <v>1026</v>
      </c>
      <c r="D133" s="24">
        <v>2878</v>
      </c>
      <c r="E133" s="7">
        <f t="shared" si="65"/>
        <v>2086</v>
      </c>
      <c r="F133" s="7">
        <f t="shared" si="66"/>
        <v>2291</v>
      </c>
      <c r="G133" s="7">
        <f t="shared" si="67"/>
        <v>1922</v>
      </c>
      <c r="H133" s="7">
        <f t="shared" si="68"/>
        <v>1818</v>
      </c>
      <c r="I133" s="7">
        <f t="shared" si="69"/>
        <v>1613</v>
      </c>
      <c r="J133" s="7">
        <f t="shared" si="70"/>
        <v>1982</v>
      </c>
      <c r="K133" s="7">
        <f t="shared" ref="K133:K144" si="82">K132</f>
        <v>3000</v>
      </c>
      <c r="L133" s="7">
        <f t="shared" ref="L133:L144" si="83">L132</f>
        <v>3000</v>
      </c>
      <c r="M133" s="7">
        <f t="shared" ref="M133:M144" si="84">M132</f>
        <v>3000</v>
      </c>
      <c r="N133" s="7">
        <f t="shared" si="73"/>
        <v>-1182</v>
      </c>
      <c r="O133" s="7">
        <f t="shared" si="74"/>
        <v>-1387</v>
      </c>
      <c r="P133" s="7">
        <f t="shared" si="75"/>
        <v>-1018</v>
      </c>
      <c r="Q133" s="23">
        <v>10</v>
      </c>
      <c r="R133" s="23">
        <v>10</v>
      </c>
      <c r="S133" s="23">
        <v>5</v>
      </c>
      <c r="T133" s="19">
        <f t="shared" si="71"/>
        <v>594</v>
      </c>
      <c r="U133" s="19">
        <f t="shared" si="81"/>
        <v>3310</v>
      </c>
      <c r="V133" s="19">
        <f t="shared" si="81"/>
        <v>3310</v>
      </c>
      <c r="W133" s="19">
        <f t="shared" si="81"/>
        <v>3319</v>
      </c>
      <c r="X133" s="7"/>
      <c r="Y133" s="7"/>
      <c r="Z133" s="7"/>
      <c r="AA133" s="7"/>
    </row>
    <row r="134" spans="1:27" ht="15" customHeight="1">
      <c r="A134" s="17">
        <v>122</v>
      </c>
      <c r="B134" s="18">
        <f t="shared" si="61"/>
        <v>45602</v>
      </c>
      <c r="C134" s="17">
        <f t="shared" si="72"/>
        <v>1026</v>
      </c>
      <c r="D134" s="24">
        <v>2879</v>
      </c>
      <c r="E134" s="7">
        <f t="shared" si="65"/>
        <v>2097</v>
      </c>
      <c r="F134" s="7">
        <f t="shared" si="66"/>
        <v>2302</v>
      </c>
      <c r="G134" s="7">
        <f t="shared" si="67"/>
        <v>1931</v>
      </c>
      <c r="H134" s="7">
        <f t="shared" si="68"/>
        <v>1808</v>
      </c>
      <c r="I134" s="7">
        <f t="shared" si="69"/>
        <v>1603</v>
      </c>
      <c r="J134" s="7">
        <f t="shared" si="70"/>
        <v>1974</v>
      </c>
      <c r="K134" s="7">
        <f t="shared" si="82"/>
        <v>3000</v>
      </c>
      <c r="L134" s="7">
        <f t="shared" si="83"/>
        <v>3000</v>
      </c>
      <c r="M134" s="7">
        <f t="shared" si="84"/>
        <v>3000</v>
      </c>
      <c r="N134" s="7">
        <f t="shared" si="73"/>
        <v>-1192</v>
      </c>
      <c r="O134" s="7">
        <f t="shared" si="74"/>
        <v>-1397</v>
      </c>
      <c r="P134" s="7">
        <f t="shared" si="75"/>
        <v>-1026</v>
      </c>
      <c r="Q134" s="23">
        <v>10</v>
      </c>
      <c r="R134" s="23">
        <v>10</v>
      </c>
      <c r="S134" s="23">
        <v>8</v>
      </c>
      <c r="T134" s="19">
        <f t="shared" si="71"/>
        <v>605</v>
      </c>
      <c r="U134" s="19">
        <f t="shared" si="81"/>
        <v>3300</v>
      </c>
      <c r="V134" s="19">
        <f t="shared" si="81"/>
        <v>3300</v>
      </c>
      <c r="W134" s="19">
        <f t="shared" si="81"/>
        <v>3311</v>
      </c>
      <c r="X134" s="7"/>
      <c r="Y134" s="7"/>
      <c r="Z134" s="7"/>
      <c r="AA134" s="7"/>
    </row>
    <row r="135" spans="1:27" ht="15" customHeight="1">
      <c r="A135" s="17">
        <v>123</v>
      </c>
      <c r="B135" s="18">
        <f t="shared" si="61"/>
        <v>45603</v>
      </c>
      <c r="C135" s="17">
        <f t="shared" si="72"/>
        <v>1026</v>
      </c>
      <c r="D135" s="24">
        <v>2880</v>
      </c>
      <c r="E135" s="7">
        <f t="shared" si="65"/>
        <v>2108</v>
      </c>
      <c r="F135" s="7">
        <f t="shared" si="66"/>
        <v>2318</v>
      </c>
      <c r="G135" s="7">
        <f t="shared" si="67"/>
        <v>1936</v>
      </c>
      <c r="H135" s="7">
        <f t="shared" si="68"/>
        <v>1798</v>
      </c>
      <c r="I135" s="7">
        <f t="shared" si="69"/>
        <v>1588</v>
      </c>
      <c r="J135" s="7">
        <f t="shared" si="70"/>
        <v>1970</v>
      </c>
      <c r="K135" s="7">
        <f t="shared" si="82"/>
        <v>3000</v>
      </c>
      <c r="L135" s="7">
        <f t="shared" si="83"/>
        <v>3000</v>
      </c>
      <c r="M135" s="7">
        <f t="shared" si="84"/>
        <v>3000</v>
      </c>
      <c r="N135" s="7">
        <f t="shared" si="73"/>
        <v>-1202</v>
      </c>
      <c r="O135" s="7">
        <f t="shared" si="74"/>
        <v>-1412</v>
      </c>
      <c r="P135" s="7">
        <f t="shared" si="75"/>
        <v>-1030</v>
      </c>
      <c r="Q135" s="23">
        <v>10</v>
      </c>
      <c r="R135" s="23">
        <v>15</v>
      </c>
      <c r="S135" s="23">
        <v>4</v>
      </c>
      <c r="T135" s="19">
        <f t="shared" si="71"/>
        <v>621</v>
      </c>
      <c r="U135" s="19">
        <f t="shared" si="81"/>
        <v>3290</v>
      </c>
      <c r="V135" s="19">
        <f t="shared" si="81"/>
        <v>3285</v>
      </c>
      <c r="W135" s="19">
        <f t="shared" si="81"/>
        <v>3307</v>
      </c>
      <c r="X135" s="7"/>
      <c r="Y135" s="7"/>
      <c r="Z135" s="7"/>
      <c r="AA135" s="7"/>
    </row>
    <row r="136" spans="1:27" ht="15" customHeight="1">
      <c r="A136" s="17">
        <v>124</v>
      </c>
      <c r="B136" s="18">
        <f t="shared" si="61"/>
        <v>45604</v>
      </c>
      <c r="C136" s="17">
        <f t="shared" si="72"/>
        <v>1026</v>
      </c>
      <c r="D136" s="24">
        <v>2881</v>
      </c>
      <c r="E136" s="7">
        <f t="shared" si="65"/>
        <v>2119</v>
      </c>
      <c r="F136" s="7">
        <f t="shared" si="66"/>
        <v>2329</v>
      </c>
      <c r="G136" s="7">
        <f t="shared" si="67"/>
        <v>1942</v>
      </c>
      <c r="H136" s="7">
        <f t="shared" si="68"/>
        <v>1788</v>
      </c>
      <c r="I136" s="7">
        <f t="shared" si="69"/>
        <v>1578</v>
      </c>
      <c r="J136" s="7">
        <f t="shared" si="70"/>
        <v>1965</v>
      </c>
      <c r="K136" s="7">
        <f t="shared" si="82"/>
        <v>3000</v>
      </c>
      <c r="L136" s="7">
        <f t="shared" si="83"/>
        <v>3000</v>
      </c>
      <c r="M136" s="7">
        <f t="shared" si="84"/>
        <v>3000</v>
      </c>
      <c r="N136" s="7">
        <f t="shared" si="73"/>
        <v>-1212</v>
      </c>
      <c r="O136" s="7">
        <f t="shared" si="74"/>
        <v>-1422</v>
      </c>
      <c r="P136" s="7">
        <f t="shared" si="75"/>
        <v>-1035</v>
      </c>
      <c r="Q136" s="23">
        <v>10</v>
      </c>
      <c r="R136" s="23">
        <v>10</v>
      </c>
      <c r="S136" s="23">
        <v>5</v>
      </c>
      <c r="T136" s="19">
        <f t="shared" si="71"/>
        <v>377</v>
      </c>
      <c r="U136" s="5">
        <v>3530</v>
      </c>
      <c r="V136" s="5">
        <v>3530</v>
      </c>
      <c r="W136" s="5">
        <v>3530</v>
      </c>
      <c r="X136" s="7"/>
      <c r="Y136" s="7"/>
      <c r="Z136" s="7"/>
      <c r="AA136" s="7"/>
    </row>
    <row r="137" spans="1:27" ht="15" customHeight="1">
      <c r="A137" s="17">
        <v>125</v>
      </c>
      <c r="B137" s="18">
        <f t="shared" si="61"/>
        <v>45605</v>
      </c>
      <c r="C137" s="17">
        <f t="shared" si="72"/>
        <v>1026</v>
      </c>
      <c r="D137" s="24">
        <v>2882</v>
      </c>
      <c r="E137" s="7">
        <f t="shared" si="65"/>
        <v>2130</v>
      </c>
      <c r="F137" s="7">
        <f t="shared" si="66"/>
        <v>2340</v>
      </c>
      <c r="G137" s="7">
        <f t="shared" si="67"/>
        <v>1948</v>
      </c>
      <c r="H137" s="7">
        <f t="shared" si="68"/>
        <v>1778</v>
      </c>
      <c r="I137" s="7">
        <f t="shared" si="69"/>
        <v>1568</v>
      </c>
      <c r="J137" s="7">
        <f t="shared" si="70"/>
        <v>1960</v>
      </c>
      <c r="K137" s="7">
        <f t="shared" si="82"/>
        <v>3000</v>
      </c>
      <c r="L137" s="7">
        <f t="shared" si="83"/>
        <v>3000</v>
      </c>
      <c r="M137" s="7">
        <f t="shared" si="84"/>
        <v>3000</v>
      </c>
      <c r="N137" s="7">
        <f t="shared" si="73"/>
        <v>-1222</v>
      </c>
      <c r="O137" s="7">
        <f t="shared" si="74"/>
        <v>-1432</v>
      </c>
      <c r="P137" s="7">
        <f t="shared" si="75"/>
        <v>-1040</v>
      </c>
      <c r="Q137" s="23">
        <v>10</v>
      </c>
      <c r="R137" s="23">
        <v>10</v>
      </c>
      <c r="S137" s="23">
        <v>5</v>
      </c>
      <c r="T137" s="19">
        <f t="shared" si="71"/>
        <v>388</v>
      </c>
      <c r="U137" s="19">
        <f t="shared" ref="U137:W139" si="85">U136-Q137</f>
        <v>3520</v>
      </c>
      <c r="V137" s="19">
        <f t="shared" si="85"/>
        <v>3520</v>
      </c>
      <c r="W137" s="19">
        <f t="shared" si="85"/>
        <v>3525</v>
      </c>
      <c r="X137" s="7"/>
      <c r="Y137" s="7"/>
      <c r="Z137" s="7"/>
      <c r="AA137" s="7"/>
    </row>
    <row r="138" spans="1:27" ht="15" customHeight="1">
      <c r="A138" s="17">
        <v>126</v>
      </c>
      <c r="B138" s="18">
        <f t="shared" si="61"/>
        <v>45606</v>
      </c>
      <c r="C138" s="17">
        <f t="shared" si="72"/>
        <v>1026</v>
      </c>
      <c r="D138" s="24">
        <v>2883</v>
      </c>
      <c r="E138" s="7">
        <f t="shared" si="65"/>
        <v>2141</v>
      </c>
      <c r="F138" s="7">
        <f t="shared" si="66"/>
        <v>2356</v>
      </c>
      <c r="G138" s="7">
        <f t="shared" si="67"/>
        <v>1959</v>
      </c>
      <c r="H138" s="7">
        <f t="shared" si="68"/>
        <v>1768</v>
      </c>
      <c r="I138" s="7">
        <f t="shared" si="69"/>
        <v>1553</v>
      </c>
      <c r="J138" s="7">
        <f t="shared" si="70"/>
        <v>1950</v>
      </c>
      <c r="K138" s="7">
        <f t="shared" si="82"/>
        <v>3000</v>
      </c>
      <c r="L138" s="7">
        <f t="shared" si="83"/>
        <v>3000</v>
      </c>
      <c r="M138" s="7">
        <f t="shared" si="84"/>
        <v>3000</v>
      </c>
      <c r="N138" s="7">
        <f t="shared" si="73"/>
        <v>-1232</v>
      </c>
      <c r="O138" s="7">
        <f t="shared" si="74"/>
        <v>-1447</v>
      </c>
      <c r="P138" s="7">
        <f t="shared" si="75"/>
        <v>-1050</v>
      </c>
      <c r="Q138" s="23">
        <v>10</v>
      </c>
      <c r="R138" s="23">
        <v>15</v>
      </c>
      <c r="S138" s="23">
        <v>10</v>
      </c>
      <c r="T138" s="19">
        <f t="shared" si="71"/>
        <v>404</v>
      </c>
      <c r="U138" s="19">
        <f t="shared" si="85"/>
        <v>3510</v>
      </c>
      <c r="V138" s="19">
        <f t="shared" si="85"/>
        <v>3505</v>
      </c>
      <c r="W138" s="19">
        <f t="shared" si="85"/>
        <v>3515</v>
      </c>
      <c r="X138" s="7"/>
      <c r="Y138" s="7"/>
      <c r="Z138" s="7"/>
      <c r="AA138" s="7"/>
    </row>
    <row r="139" spans="1:27" ht="15" customHeight="1">
      <c r="A139" s="17">
        <v>127</v>
      </c>
      <c r="B139" s="18">
        <f t="shared" si="61"/>
        <v>45607</v>
      </c>
      <c r="C139" s="17">
        <f t="shared" si="72"/>
        <v>1026</v>
      </c>
      <c r="D139" s="24">
        <v>2884</v>
      </c>
      <c r="E139" s="7">
        <f t="shared" si="65"/>
        <v>2152</v>
      </c>
      <c r="F139" s="7">
        <f t="shared" si="66"/>
        <v>2367</v>
      </c>
      <c r="G139" s="7">
        <f t="shared" si="67"/>
        <v>1970</v>
      </c>
      <c r="H139" s="7">
        <f t="shared" si="68"/>
        <v>1758</v>
      </c>
      <c r="I139" s="7">
        <f t="shared" si="69"/>
        <v>1543</v>
      </c>
      <c r="J139" s="7">
        <f t="shared" si="70"/>
        <v>1940</v>
      </c>
      <c r="K139" s="7">
        <f t="shared" si="82"/>
        <v>3000</v>
      </c>
      <c r="L139" s="7">
        <f t="shared" si="83"/>
        <v>3000</v>
      </c>
      <c r="M139" s="7">
        <f t="shared" si="84"/>
        <v>3000</v>
      </c>
      <c r="N139" s="7">
        <f t="shared" si="73"/>
        <v>-1242</v>
      </c>
      <c r="O139" s="7">
        <f t="shared" si="74"/>
        <v>-1457</v>
      </c>
      <c r="P139" s="7">
        <f t="shared" si="75"/>
        <v>-1060</v>
      </c>
      <c r="Q139" s="23">
        <v>10</v>
      </c>
      <c r="R139" s="23">
        <v>10</v>
      </c>
      <c r="S139" s="23">
        <v>10</v>
      </c>
      <c r="T139" s="19">
        <f t="shared" si="71"/>
        <v>415</v>
      </c>
      <c r="U139" s="19">
        <f t="shared" si="85"/>
        <v>3500</v>
      </c>
      <c r="V139" s="19">
        <f t="shared" si="85"/>
        <v>3495</v>
      </c>
      <c r="W139" s="19">
        <f t="shared" si="85"/>
        <v>3505</v>
      </c>
      <c r="X139" s="7"/>
      <c r="Y139" s="7"/>
      <c r="Z139" s="7"/>
      <c r="AA139" s="7"/>
    </row>
    <row r="140" spans="1:27" ht="15" customHeight="1">
      <c r="A140" s="17">
        <v>128</v>
      </c>
      <c r="B140" s="18">
        <f t="shared" si="61"/>
        <v>45608</v>
      </c>
      <c r="C140" s="17">
        <f t="shared" si="72"/>
        <v>1026</v>
      </c>
      <c r="D140" s="24">
        <v>2885</v>
      </c>
      <c r="E140" s="7">
        <f t="shared" si="65"/>
        <v>2163</v>
      </c>
      <c r="F140" s="7">
        <f t="shared" si="66"/>
        <v>2383</v>
      </c>
      <c r="G140" s="7">
        <f t="shared" si="67"/>
        <v>1981</v>
      </c>
      <c r="H140" s="7">
        <f t="shared" si="68"/>
        <v>1748</v>
      </c>
      <c r="I140" s="7">
        <f t="shared" si="69"/>
        <v>1528</v>
      </c>
      <c r="J140" s="7">
        <f t="shared" si="70"/>
        <v>1930</v>
      </c>
      <c r="K140" s="7">
        <f t="shared" si="82"/>
        <v>3000</v>
      </c>
      <c r="L140" s="7">
        <f t="shared" si="83"/>
        <v>3000</v>
      </c>
      <c r="M140" s="7">
        <f t="shared" si="84"/>
        <v>3000</v>
      </c>
      <c r="N140" s="7">
        <f t="shared" si="73"/>
        <v>-1252</v>
      </c>
      <c r="O140" s="7">
        <f t="shared" si="74"/>
        <v>-1472</v>
      </c>
      <c r="P140" s="7">
        <f t="shared" si="75"/>
        <v>-1070</v>
      </c>
      <c r="Q140" s="23">
        <v>10</v>
      </c>
      <c r="R140" s="23">
        <v>15</v>
      </c>
      <c r="S140" s="23">
        <v>10</v>
      </c>
      <c r="T140" s="19">
        <f t="shared" si="71"/>
        <v>181</v>
      </c>
      <c r="U140" s="5">
        <v>3730</v>
      </c>
      <c r="V140" s="5">
        <v>3730</v>
      </c>
      <c r="W140" s="5">
        <v>3730</v>
      </c>
      <c r="X140" s="7"/>
      <c r="Y140" s="7"/>
      <c r="Z140" s="7"/>
      <c r="AA140" s="7"/>
    </row>
    <row r="141" spans="1:27" ht="15" customHeight="1">
      <c r="A141" s="17">
        <v>129</v>
      </c>
      <c r="B141" s="18">
        <f t="shared" si="61"/>
        <v>45609</v>
      </c>
      <c r="C141" s="17">
        <f t="shared" si="72"/>
        <v>1026</v>
      </c>
      <c r="D141" s="24">
        <v>2886</v>
      </c>
      <c r="E141" s="7">
        <f t="shared" ref="E141:E172" si="86">C141+D141-H141</f>
        <v>2174</v>
      </c>
      <c r="F141" s="7">
        <f t="shared" ref="F141:F173" si="87">C141+D141-I141</f>
        <v>2394</v>
      </c>
      <c r="G141" s="7">
        <f t="shared" ref="G141:G173" si="88">D141+C141-J141</f>
        <v>1992</v>
      </c>
      <c r="H141" s="7">
        <f t="shared" ref="H141:H173" si="89">K141+N141</f>
        <v>1738</v>
      </c>
      <c r="I141" s="7">
        <f t="shared" ref="I141:I173" si="90">L141+O141</f>
        <v>1518</v>
      </c>
      <c r="J141" s="7">
        <f t="shared" ref="J141:J173" si="91">M141+P141</f>
        <v>1920</v>
      </c>
      <c r="K141" s="7">
        <f t="shared" si="82"/>
        <v>3000</v>
      </c>
      <c r="L141" s="7">
        <f t="shared" si="83"/>
        <v>3000</v>
      </c>
      <c r="M141" s="7">
        <f t="shared" si="84"/>
        <v>3000</v>
      </c>
      <c r="N141" s="7">
        <f t="shared" si="73"/>
        <v>-1262</v>
      </c>
      <c r="O141" s="7">
        <f t="shared" si="74"/>
        <v>-1482</v>
      </c>
      <c r="P141" s="7">
        <f t="shared" si="75"/>
        <v>-1080</v>
      </c>
      <c r="Q141" s="23">
        <v>10</v>
      </c>
      <c r="R141" s="23">
        <v>10</v>
      </c>
      <c r="S141" s="23">
        <v>10</v>
      </c>
      <c r="T141" s="19">
        <f t="shared" ref="T141:T173" si="92">D141+C141-V141</f>
        <v>192</v>
      </c>
      <c r="U141" s="19">
        <f t="shared" ref="U141:W142" si="93">U140-Q141</f>
        <v>3720</v>
      </c>
      <c r="V141" s="19">
        <f t="shared" si="93"/>
        <v>3720</v>
      </c>
      <c r="W141" s="19">
        <f t="shared" si="93"/>
        <v>3720</v>
      </c>
      <c r="X141" s="7"/>
      <c r="Y141" s="7"/>
      <c r="Z141" s="7"/>
      <c r="AA141" s="7"/>
    </row>
    <row r="142" spans="1:27" ht="15" customHeight="1">
      <c r="A142" s="17">
        <v>130</v>
      </c>
      <c r="B142" s="18">
        <f t="shared" si="61"/>
        <v>45610</v>
      </c>
      <c r="C142" s="17">
        <f t="shared" ref="C142:C173" si="94">C141</f>
        <v>1026</v>
      </c>
      <c r="D142" s="24">
        <v>2887</v>
      </c>
      <c r="E142" s="7">
        <f t="shared" si="86"/>
        <v>2185</v>
      </c>
      <c r="F142" s="7">
        <f t="shared" si="87"/>
        <v>2405</v>
      </c>
      <c r="G142" s="7">
        <f t="shared" si="88"/>
        <v>1997</v>
      </c>
      <c r="H142" s="7">
        <f t="shared" si="89"/>
        <v>1728</v>
      </c>
      <c r="I142" s="7">
        <f t="shared" si="90"/>
        <v>1508</v>
      </c>
      <c r="J142" s="7">
        <f t="shared" si="91"/>
        <v>1916</v>
      </c>
      <c r="K142" s="7">
        <f t="shared" si="82"/>
        <v>3000</v>
      </c>
      <c r="L142" s="7">
        <f t="shared" si="83"/>
        <v>3000</v>
      </c>
      <c r="M142" s="7">
        <f t="shared" si="84"/>
        <v>3000</v>
      </c>
      <c r="N142" s="7">
        <f t="shared" ref="N142:N173" si="95">N141-Q142</f>
        <v>-1272</v>
      </c>
      <c r="O142" s="7">
        <f t="shared" ref="O142:O173" si="96">O141-R142</f>
        <v>-1492</v>
      </c>
      <c r="P142" s="7">
        <f t="shared" ref="P142:P173" si="97">P141-S142</f>
        <v>-1084</v>
      </c>
      <c r="Q142" s="23">
        <v>10</v>
      </c>
      <c r="R142" s="23">
        <v>10</v>
      </c>
      <c r="S142" s="23">
        <v>4</v>
      </c>
      <c r="T142" s="19">
        <f t="shared" si="92"/>
        <v>203</v>
      </c>
      <c r="U142" s="19">
        <f t="shared" si="93"/>
        <v>3710</v>
      </c>
      <c r="V142" s="19">
        <f t="shared" si="93"/>
        <v>3710</v>
      </c>
      <c r="W142" s="19">
        <f t="shared" si="93"/>
        <v>3716</v>
      </c>
      <c r="X142" s="7"/>
      <c r="Y142" s="7"/>
      <c r="Z142" s="7"/>
      <c r="AA142" s="7"/>
    </row>
    <row r="143" spans="1:27" s="142" customFormat="1" ht="15" customHeight="1">
      <c r="A143" s="145">
        <v>131</v>
      </c>
      <c r="B143" s="146">
        <f t="shared" si="61"/>
        <v>45611</v>
      </c>
      <c r="C143" s="145">
        <f t="shared" si="94"/>
        <v>1026</v>
      </c>
      <c r="D143" s="144">
        <v>2888</v>
      </c>
      <c r="E143" s="28">
        <f t="shared" si="86"/>
        <v>2196</v>
      </c>
      <c r="F143" s="28">
        <f t="shared" si="87"/>
        <v>2416</v>
      </c>
      <c r="G143" s="28">
        <f t="shared" si="88"/>
        <v>2001</v>
      </c>
      <c r="H143" s="28">
        <f t="shared" si="89"/>
        <v>1718</v>
      </c>
      <c r="I143" s="28">
        <f t="shared" si="90"/>
        <v>1498</v>
      </c>
      <c r="J143" s="28">
        <f t="shared" si="91"/>
        <v>1913</v>
      </c>
      <c r="K143" s="28">
        <f t="shared" si="82"/>
        <v>3000</v>
      </c>
      <c r="L143" s="28">
        <f t="shared" si="83"/>
        <v>3000</v>
      </c>
      <c r="M143" s="28">
        <f t="shared" si="84"/>
        <v>3000</v>
      </c>
      <c r="N143" s="28">
        <f t="shared" si="95"/>
        <v>-1282</v>
      </c>
      <c r="O143" s="28">
        <f t="shared" si="96"/>
        <v>-1502</v>
      </c>
      <c r="P143" s="28">
        <f t="shared" si="97"/>
        <v>-1087</v>
      </c>
      <c r="Q143" s="143">
        <v>10</v>
      </c>
      <c r="R143" s="143">
        <v>10</v>
      </c>
      <c r="S143" s="143">
        <v>3</v>
      </c>
      <c r="T143" s="28">
        <f t="shared" si="92"/>
        <v>-26</v>
      </c>
      <c r="U143" s="28">
        <v>3940</v>
      </c>
      <c r="V143" s="28">
        <v>3940</v>
      </c>
      <c r="W143" s="28">
        <v>3940</v>
      </c>
      <c r="X143" s="27"/>
      <c r="Y143" s="27"/>
      <c r="Z143" s="27"/>
      <c r="AA143" s="26" t="s">
        <v>9</v>
      </c>
    </row>
    <row r="144" spans="1:27" ht="15" customHeight="1">
      <c r="A144" s="17">
        <v>132</v>
      </c>
      <c r="B144" s="22">
        <f>B143+3</f>
        <v>45614</v>
      </c>
      <c r="C144" s="17">
        <f t="shared" si="94"/>
        <v>1026</v>
      </c>
      <c r="D144" s="24">
        <v>2889</v>
      </c>
      <c r="E144" s="7">
        <f t="shared" si="86"/>
        <v>2227</v>
      </c>
      <c r="F144" s="7">
        <f t="shared" si="87"/>
        <v>2447</v>
      </c>
      <c r="G144" s="7">
        <f t="shared" si="88"/>
        <v>2030</v>
      </c>
      <c r="H144" s="7">
        <f t="shared" si="89"/>
        <v>1688</v>
      </c>
      <c r="I144" s="7">
        <f t="shared" si="90"/>
        <v>1468</v>
      </c>
      <c r="J144" s="7">
        <f t="shared" si="91"/>
        <v>1885</v>
      </c>
      <c r="K144" s="7">
        <f t="shared" si="82"/>
        <v>3000</v>
      </c>
      <c r="L144" s="7">
        <f t="shared" si="83"/>
        <v>3000</v>
      </c>
      <c r="M144" s="7">
        <f t="shared" si="84"/>
        <v>3000</v>
      </c>
      <c r="N144" s="7">
        <f t="shared" si="95"/>
        <v>-1312</v>
      </c>
      <c r="O144" s="7">
        <f t="shared" si="96"/>
        <v>-1532</v>
      </c>
      <c r="P144" s="7">
        <f t="shared" si="97"/>
        <v>-1115</v>
      </c>
      <c r="Q144" s="23">
        <v>30</v>
      </c>
      <c r="R144" s="23">
        <v>30</v>
      </c>
      <c r="S144" s="23">
        <v>28</v>
      </c>
      <c r="T144" s="19">
        <f t="shared" si="92"/>
        <v>5</v>
      </c>
      <c r="U144" s="19">
        <f t="shared" ref="U144:U173" si="98">U143-Q144</f>
        <v>3910</v>
      </c>
      <c r="V144" s="19">
        <f t="shared" ref="V144:V173" si="99">V143-R144</f>
        <v>3910</v>
      </c>
      <c r="W144" s="19">
        <f t="shared" ref="W144:W173" si="100">W143-S144</f>
        <v>3912</v>
      </c>
      <c r="X144" s="7"/>
      <c r="Y144" s="7"/>
      <c r="Z144" s="7"/>
      <c r="AA144" s="7"/>
    </row>
    <row r="145" spans="1:27" ht="15" customHeight="1">
      <c r="A145" s="17">
        <v>133</v>
      </c>
      <c r="B145" s="22">
        <f>B144+4</f>
        <v>45618</v>
      </c>
      <c r="C145" s="17">
        <f t="shared" si="94"/>
        <v>1026</v>
      </c>
      <c r="D145" s="24">
        <v>2890</v>
      </c>
      <c r="E145" s="7">
        <f t="shared" si="86"/>
        <v>1273</v>
      </c>
      <c r="F145" s="7">
        <f t="shared" si="87"/>
        <v>1498</v>
      </c>
      <c r="G145" s="7">
        <f t="shared" si="88"/>
        <v>1073</v>
      </c>
      <c r="H145" s="7">
        <f t="shared" si="89"/>
        <v>2643</v>
      </c>
      <c r="I145" s="7">
        <f t="shared" si="90"/>
        <v>2418</v>
      </c>
      <c r="J145" s="7">
        <f t="shared" si="91"/>
        <v>2843</v>
      </c>
      <c r="K145" s="7">
        <f>K144+1000</f>
        <v>4000</v>
      </c>
      <c r="L145" s="7">
        <f>L144+1000</f>
        <v>4000</v>
      </c>
      <c r="M145" s="7">
        <f>M144+1000</f>
        <v>4000</v>
      </c>
      <c r="N145" s="7">
        <f t="shared" si="95"/>
        <v>-1357</v>
      </c>
      <c r="O145" s="7">
        <f t="shared" si="96"/>
        <v>-1582</v>
      </c>
      <c r="P145" s="7">
        <f t="shared" si="97"/>
        <v>-1157</v>
      </c>
      <c r="Q145" s="23">
        <v>45</v>
      </c>
      <c r="R145" s="23">
        <v>50</v>
      </c>
      <c r="S145" s="23">
        <v>42</v>
      </c>
      <c r="T145" s="19">
        <f t="shared" si="92"/>
        <v>56</v>
      </c>
      <c r="U145" s="19">
        <f t="shared" si="98"/>
        <v>3865</v>
      </c>
      <c r="V145" s="19">
        <f t="shared" si="99"/>
        <v>3860</v>
      </c>
      <c r="W145" s="19">
        <f t="shared" si="100"/>
        <v>3870</v>
      </c>
      <c r="X145" s="7"/>
      <c r="Y145" s="7"/>
      <c r="Z145" s="7"/>
      <c r="AA145" s="7"/>
    </row>
    <row r="146" spans="1:27" ht="15" customHeight="1">
      <c r="A146" s="17">
        <v>134</v>
      </c>
      <c r="B146" s="22">
        <f>B145+3</f>
        <v>45621</v>
      </c>
      <c r="C146" s="17">
        <f t="shared" si="94"/>
        <v>1026</v>
      </c>
      <c r="D146" s="24">
        <v>2891</v>
      </c>
      <c r="E146" s="7">
        <f t="shared" si="86"/>
        <v>1300</v>
      </c>
      <c r="F146" s="7">
        <f t="shared" si="87"/>
        <v>1534</v>
      </c>
      <c r="G146" s="7">
        <f t="shared" si="88"/>
        <v>1098</v>
      </c>
      <c r="H146" s="7">
        <f t="shared" si="89"/>
        <v>2617</v>
      </c>
      <c r="I146" s="7">
        <f t="shared" si="90"/>
        <v>2383</v>
      </c>
      <c r="J146" s="7">
        <f t="shared" si="91"/>
        <v>2819</v>
      </c>
      <c r="K146" s="7">
        <f t="shared" ref="K146:K173" si="101">K145</f>
        <v>4000</v>
      </c>
      <c r="L146" s="7">
        <f t="shared" ref="L146:L173" si="102">L145</f>
        <v>4000</v>
      </c>
      <c r="M146" s="7">
        <f t="shared" ref="M146:M173" si="103">M145</f>
        <v>4000</v>
      </c>
      <c r="N146" s="7">
        <f t="shared" si="95"/>
        <v>-1383</v>
      </c>
      <c r="O146" s="7">
        <f t="shared" si="96"/>
        <v>-1617</v>
      </c>
      <c r="P146" s="7">
        <f t="shared" si="97"/>
        <v>-1181</v>
      </c>
      <c r="Q146" s="23">
        <v>26</v>
      </c>
      <c r="R146" s="23">
        <v>35</v>
      </c>
      <c r="S146" s="23">
        <v>24</v>
      </c>
      <c r="T146" s="19">
        <f t="shared" si="92"/>
        <v>92</v>
      </c>
      <c r="U146" s="19">
        <f t="shared" si="98"/>
        <v>3839</v>
      </c>
      <c r="V146" s="19">
        <f t="shared" si="99"/>
        <v>3825</v>
      </c>
      <c r="W146" s="19">
        <f t="shared" si="100"/>
        <v>3846</v>
      </c>
      <c r="X146" s="7"/>
      <c r="Y146" s="7"/>
      <c r="Z146" s="7"/>
      <c r="AA146" s="7"/>
    </row>
    <row r="147" spans="1:27" ht="15" customHeight="1">
      <c r="A147" s="17">
        <v>135</v>
      </c>
      <c r="B147" s="22">
        <f>B146+4</f>
        <v>45625</v>
      </c>
      <c r="C147" s="17">
        <f t="shared" si="94"/>
        <v>1026</v>
      </c>
      <c r="D147" s="24">
        <v>2892</v>
      </c>
      <c r="E147" s="7">
        <f t="shared" si="86"/>
        <v>1344</v>
      </c>
      <c r="F147" s="7">
        <f t="shared" si="87"/>
        <v>1580</v>
      </c>
      <c r="G147" s="7">
        <f t="shared" si="88"/>
        <v>1139</v>
      </c>
      <c r="H147" s="7">
        <f t="shared" si="89"/>
        <v>2574</v>
      </c>
      <c r="I147" s="7">
        <f t="shared" si="90"/>
        <v>2338</v>
      </c>
      <c r="J147" s="7">
        <f t="shared" si="91"/>
        <v>2779</v>
      </c>
      <c r="K147" s="7">
        <f t="shared" si="101"/>
        <v>4000</v>
      </c>
      <c r="L147" s="7">
        <f t="shared" si="102"/>
        <v>4000</v>
      </c>
      <c r="M147" s="7">
        <f t="shared" si="103"/>
        <v>4000</v>
      </c>
      <c r="N147" s="7">
        <f t="shared" si="95"/>
        <v>-1426</v>
      </c>
      <c r="O147" s="7">
        <f t="shared" si="96"/>
        <v>-1662</v>
      </c>
      <c r="P147" s="7">
        <f t="shared" si="97"/>
        <v>-1221</v>
      </c>
      <c r="Q147" s="25">
        <v>43</v>
      </c>
      <c r="R147" s="25">
        <v>45</v>
      </c>
      <c r="S147" s="25">
        <v>40</v>
      </c>
      <c r="T147" s="19">
        <f t="shared" si="92"/>
        <v>138</v>
      </c>
      <c r="U147" s="19">
        <f t="shared" si="98"/>
        <v>3796</v>
      </c>
      <c r="V147" s="19">
        <f t="shared" si="99"/>
        <v>3780</v>
      </c>
      <c r="W147" s="19">
        <f t="shared" si="100"/>
        <v>3806</v>
      </c>
      <c r="X147" s="7"/>
      <c r="Y147" s="7"/>
      <c r="Z147" s="7"/>
      <c r="AA147" s="7"/>
    </row>
    <row r="148" spans="1:27" ht="15" customHeight="1">
      <c r="A148" s="17">
        <v>136</v>
      </c>
      <c r="B148" s="22">
        <f>B147+3</f>
        <v>45628</v>
      </c>
      <c r="C148" s="17">
        <f t="shared" si="94"/>
        <v>1026</v>
      </c>
      <c r="D148" s="24">
        <v>2893</v>
      </c>
      <c r="E148" s="7">
        <f t="shared" si="86"/>
        <v>1365</v>
      </c>
      <c r="F148" s="7">
        <f t="shared" si="87"/>
        <v>1607</v>
      </c>
      <c r="G148" s="7">
        <f t="shared" si="88"/>
        <v>1160</v>
      </c>
      <c r="H148" s="7">
        <f t="shared" si="89"/>
        <v>2554</v>
      </c>
      <c r="I148" s="7">
        <f t="shared" si="90"/>
        <v>2312</v>
      </c>
      <c r="J148" s="7">
        <f t="shared" si="91"/>
        <v>2759</v>
      </c>
      <c r="K148" s="7">
        <f t="shared" si="101"/>
        <v>4000</v>
      </c>
      <c r="L148" s="7">
        <f t="shared" si="102"/>
        <v>4000</v>
      </c>
      <c r="M148" s="7">
        <f t="shared" si="103"/>
        <v>4000</v>
      </c>
      <c r="N148" s="7">
        <f t="shared" si="95"/>
        <v>-1446</v>
      </c>
      <c r="O148" s="7">
        <f t="shared" si="96"/>
        <v>-1688</v>
      </c>
      <c r="P148" s="7">
        <f t="shared" si="97"/>
        <v>-1241</v>
      </c>
      <c r="Q148" s="23">
        <v>20</v>
      </c>
      <c r="R148" s="23">
        <v>26</v>
      </c>
      <c r="S148" s="23">
        <v>20</v>
      </c>
      <c r="T148" s="19">
        <f t="shared" si="92"/>
        <v>165</v>
      </c>
      <c r="U148" s="19">
        <f t="shared" si="98"/>
        <v>3776</v>
      </c>
      <c r="V148" s="19">
        <f t="shared" si="99"/>
        <v>3754</v>
      </c>
      <c r="W148" s="19">
        <f t="shared" si="100"/>
        <v>3786</v>
      </c>
      <c r="X148" s="7"/>
      <c r="Y148" s="7"/>
      <c r="Z148" s="7"/>
      <c r="AA148" s="7"/>
    </row>
    <row r="149" spans="1:27" ht="15" customHeight="1">
      <c r="A149" s="17">
        <v>137</v>
      </c>
      <c r="B149" s="22">
        <f>B148+4</f>
        <v>45632</v>
      </c>
      <c r="C149" s="17">
        <f t="shared" si="94"/>
        <v>1026</v>
      </c>
      <c r="D149" s="24">
        <v>2894</v>
      </c>
      <c r="E149" s="7">
        <f t="shared" si="86"/>
        <v>1394</v>
      </c>
      <c r="F149" s="7">
        <f t="shared" si="87"/>
        <v>1648</v>
      </c>
      <c r="G149" s="7">
        <f t="shared" si="88"/>
        <v>1191</v>
      </c>
      <c r="H149" s="7">
        <f t="shared" si="89"/>
        <v>2526</v>
      </c>
      <c r="I149" s="7">
        <f t="shared" si="90"/>
        <v>2272</v>
      </c>
      <c r="J149" s="7">
        <f t="shared" si="91"/>
        <v>2729</v>
      </c>
      <c r="K149" s="7">
        <f t="shared" si="101"/>
        <v>4000</v>
      </c>
      <c r="L149" s="7">
        <f t="shared" si="102"/>
        <v>4000</v>
      </c>
      <c r="M149" s="7">
        <f t="shared" si="103"/>
        <v>4000</v>
      </c>
      <c r="N149" s="7">
        <f t="shared" si="95"/>
        <v>-1474</v>
      </c>
      <c r="O149" s="7">
        <f t="shared" si="96"/>
        <v>-1728</v>
      </c>
      <c r="P149" s="7">
        <f t="shared" si="97"/>
        <v>-1271</v>
      </c>
      <c r="Q149" s="23">
        <v>28</v>
      </c>
      <c r="R149" s="23">
        <v>40</v>
      </c>
      <c r="S149" s="23">
        <v>30</v>
      </c>
      <c r="T149" s="19">
        <f t="shared" si="92"/>
        <v>206</v>
      </c>
      <c r="U149" s="19">
        <f t="shared" si="98"/>
        <v>3748</v>
      </c>
      <c r="V149" s="19">
        <f t="shared" si="99"/>
        <v>3714</v>
      </c>
      <c r="W149" s="19">
        <f t="shared" si="100"/>
        <v>3756</v>
      </c>
      <c r="X149" s="7"/>
      <c r="Y149" s="7"/>
      <c r="Z149" s="7"/>
      <c r="AA149" s="7"/>
    </row>
    <row r="150" spans="1:27" ht="15" customHeight="1">
      <c r="A150" s="17">
        <v>138</v>
      </c>
      <c r="B150" s="22">
        <f>B149+3</f>
        <v>45635</v>
      </c>
      <c r="C150" s="17">
        <f t="shared" si="94"/>
        <v>1026</v>
      </c>
      <c r="D150" s="24">
        <v>2895</v>
      </c>
      <c r="E150" s="7">
        <f t="shared" si="86"/>
        <v>1409</v>
      </c>
      <c r="F150" s="7">
        <f t="shared" si="87"/>
        <v>1671</v>
      </c>
      <c r="G150" s="7">
        <f t="shared" si="88"/>
        <v>1208</v>
      </c>
      <c r="H150" s="7">
        <f t="shared" si="89"/>
        <v>2512</v>
      </c>
      <c r="I150" s="7">
        <f t="shared" si="90"/>
        <v>2250</v>
      </c>
      <c r="J150" s="7">
        <f t="shared" si="91"/>
        <v>2713</v>
      </c>
      <c r="K150" s="7">
        <f t="shared" si="101"/>
        <v>4000</v>
      </c>
      <c r="L150" s="7">
        <f t="shared" si="102"/>
        <v>4000</v>
      </c>
      <c r="M150" s="7">
        <f t="shared" si="103"/>
        <v>4000</v>
      </c>
      <c r="N150" s="7">
        <f t="shared" si="95"/>
        <v>-1488</v>
      </c>
      <c r="O150" s="7">
        <f t="shared" si="96"/>
        <v>-1750</v>
      </c>
      <c r="P150" s="7">
        <f t="shared" si="97"/>
        <v>-1287</v>
      </c>
      <c r="Q150" s="23">
        <v>14</v>
      </c>
      <c r="R150" s="23">
        <v>22</v>
      </c>
      <c r="S150" s="23">
        <v>16</v>
      </c>
      <c r="T150" s="19">
        <f t="shared" si="92"/>
        <v>229</v>
      </c>
      <c r="U150" s="19">
        <f t="shared" si="98"/>
        <v>3734</v>
      </c>
      <c r="V150" s="19">
        <f t="shared" si="99"/>
        <v>3692</v>
      </c>
      <c r="W150" s="19">
        <f t="shared" si="100"/>
        <v>3740</v>
      </c>
      <c r="X150" s="7"/>
      <c r="Y150" s="7"/>
      <c r="Z150" s="7"/>
      <c r="AA150" s="7"/>
    </row>
    <row r="151" spans="1:27" ht="15" customHeight="1">
      <c r="A151" s="17">
        <v>139</v>
      </c>
      <c r="B151" s="22">
        <f>B150+4</f>
        <v>45639</v>
      </c>
      <c r="C151" s="17">
        <f t="shared" si="94"/>
        <v>1026</v>
      </c>
      <c r="D151" s="24">
        <v>2896</v>
      </c>
      <c r="E151" s="7">
        <f t="shared" si="86"/>
        <v>1434</v>
      </c>
      <c r="F151" s="7">
        <f t="shared" si="87"/>
        <v>1708</v>
      </c>
      <c r="G151" s="7">
        <f t="shared" si="88"/>
        <v>1237</v>
      </c>
      <c r="H151" s="7">
        <f t="shared" si="89"/>
        <v>2488</v>
      </c>
      <c r="I151" s="7">
        <f t="shared" si="90"/>
        <v>2214</v>
      </c>
      <c r="J151" s="7">
        <f t="shared" si="91"/>
        <v>2685</v>
      </c>
      <c r="K151" s="7">
        <f t="shared" si="101"/>
        <v>4000</v>
      </c>
      <c r="L151" s="7">
        <f t="shared" si="102"/>
        <v>4000</v>
      </c>
      <c r="M151" s="7">
        <f t="shared" si="103"/>
        <v>4000</v>
      </c>
      <c r="N151" s="7">
        <f t="shared" si="95"/>
        <v>-1512</v>
      </c>
      <c r="O151" s="7">
        <f t="shared" si="96"/>
        <v>-1786</v>
      </c>
      <c r="P151" s="7">
        <f t="shared" si="97"/>
        <v>-1315</v>
      </c>
      <c r="Q151" s="25">
        <v>24</v>
      </c>
      <c r="R151" s="25">
        <v>36</v>
      </c>
      <c r="S151" s="25">
        <v>28</v>
      </c>
      <c r="T151" s="19">
        <f t="shared" si="92"/>
        <v>266</v>
      </c>
      <c r="U151" s="19">
        <f t="shared" si="98"/>
        <v>3710</v>
      </c>
      <c r="V151" s="19">
        <f t="shared" si="99"/>
        <v>3656</v>
      </c>
      <c r="W151" s="19">
        <f t="shared" si="100"/>
        <v>3712</v>
      </c>
      <c r="X151" s="7"/>
      <c r="Y151" s="7"/>
      <c r="Z151" s="7"/>
      <c r="AA151" s="7"/>
    </row>
    <row r="152" spans="1:27" ht="15" customHeight="1">
      <c r="A152" s="17">
        <v>140</v>
      </c>
      <c r="B152" s="22">
        <f t="shared" ref="B152:B173" si="104">B151+7</f>
        <v>45646</v>
      </c>
      <c r="C152" s="17">
        <f t="shared" si="94"/>
        <v>1026</v>
      </c>
      <c r="D152" s="24">
        <v>2897</v>
      </c>
      <c r="E152" s="7">
        <f t="shared" si="86"/>
        <v>1465</v>
      </c>
      <c r="F152" s="7">
        <f t="shared" si="87"/>
        <v>1745</v>
      </c>
      <c r="G152" s="7">
        <f t="shared" si="88"/>
        <v>1268</v>
      </c>
      <c r="H152" s="7">
        <f t="shared" si="89"/>
        <v>2458</v>
      </c>
      <c r="I152" s="7">
        <f t="shared" si="90"/>
        <v>2178</v>
      </c>
      <c r="J152" s="7">
        <f t="shared" si="91"/>
        <v>2655</v>
      </c>
      <c r="K152" s="7">
        <f t="shared" si="101"/>
        <v>4000</v>
      </c>
      <c r="L152" s="7">
        <f t="shared" si="102"/>
        <v>4000</v>
      </c>
      <c r="M152" s="7">
        <f t="shared" si="103"/>
        <v>4000</v>
      </c>
      <c r="N152" s="7">
        <f t="shared" si="95"/>
        <v>-1542</v>
      </c>
      <c r="O152" s="7">
        <f t="shared" si="96"/>
        <v>-1822</v>
      </c>
      <c r="P152" s="7">
        <f t="shared" si="97"/>
        <v>-1345</v>
      </c>
      <c r="Q152" s="23">
        <v>30</v>
      </c>
      <c r="R152" s="23">
        <v>36</v>
      </c>
      <c r="S152" s="23">
        <v>30</v>
      </c>
      <c r="T152" s="19">
        <f t="shared" si="92"/>
        <v>303</v>
      </c>
      <c r="U152" s="19">
        <f t="shared" si="98"/>
        <v>3680</v>
      </c>
      <c r="V152" s="19">
        <f t="shared" si="99"/>
        <v>3620</v>
      </c>
      <c r="W152" s="19">
        <f t="shared" si="100"/>
        <v>3682</v>
      </c>
      <c r="X152" s="7"/>
      <c r="Y152" s="7"/>
      <c r="Z152" s="7"/>
      <c r="AA152" s="7"/>
    </row>
    <row r="153" spans="1:27" ht="15" customHeight="1">
      <c r="A153" s="17">
        <v>141</v>
      </c>
      <c r="B153" s="22">
        <f t="shared" si="104"/>
        <v>45653</v>
      </c>
      <c r="C153" s="17">
        <f t="shared" si="94"/>
        <v>1026</v>
      </c>
      <c r="D153" s="24">
        <v>2898</v>
      </c>
      <c r="E153" s="7">
        <f t="shared" si="86"/>
        <v>1490</v>
      </c>
      <c r="F153" s="7">
        <f t="shared" si="87"/>
        <v>1778</v>
      </c>
      <c r="G153" s="7">
        <f t="shared" si="88"/>
        <v>1289</v>
      </c>
      <c r="H153" s="7">
        <f t="shared" si="89"/>
        <v>2434</v>
      </c>
      <c r="I153" s="7">
        <f t="shared" si="90"/>
        <v>2146</v>
      </c>
      <c r="J153" s="7">
        <f t="shared" si="91"/>
        <v>2635</v>
      </c>
      <c r="K153" s="7">
        <f t="shared" si="101"/>
        <v>4000</v>
      </c>
      <c r="L153" s="7">
        <f t="shared" si="102"/>
        <v>4000</v>
      </c>
      <c r="M153" s="7">
        <f t="shared" si="103"/>
        <v>4000</v>
      </c>
      <c r="N153" s="7">
        <f t="shared" si="95"/>
        <v>-1566</v>
      </c>
      <c r="O153" s="7">
        <f t="shared" si="96"/>
        <v>-1854</v>
      </c>
      <c r="P153" s="7">
        <f t="shared" si="97"/>
        <v>-1365</v>
      </c>
      <c r="Q153" s="23">
        <v>24</v>
      </c>
      <c r="R153" s="23">
        <v>32</v>
      </c>
      <c r="S153" s="23">
        <v>20</v>
      </c>
      <c r="T153" s="19">
        <f t="shared" si="92"/>
        <v>336</v>
      </c>
      <c r="U153" s="19">
        <f t="shared" si="98"/>
        <v>3656</v>
      </c>
      <c r="V153" s="19">
        <f t="shared" si="99"/>
        <v>3588</v>
      </c>
      <c r="W153" s="19">
        <f t="shared" si="100"/>
        <v>3662</v>
      </c>
      <c r="X153" s="7"/>
      <c r="Y153" s="7"/>
      <c r="Z153" s="7"/>
      <c r="AA153" s="7"/>
    </row>
    <row r="154" spans="1:27" ht="15" customHeight="1">
      <c r="A154" s="17">
        <v>142</v>
      </c>
      <c r="B154" s="22">
        <f t="shared" si="104"/>
        <v>45660</v>
      </c>
      <c r="C154" s="17">
        <f t="shared" si="94"/>
        <v>1026</v>
      </c>
      <c r="D154" s="24">
        <v>2899</v>
      </c>
      <c r="E154" s="7">
        <f t="shared" si="86"/>
        <v>1513</v>
      </c>
      <c r="F154" s="7">
        <f t="shared" si="87"/>
        <v>1809</v>
      </c>
      <c r="G154" s="7">
        <f t="shared" si="88"/>
        <v>1310</v>
      </c>
      <c r="H154" s="7">
        <f t="shared" si="89"/>
        <v>2412</v>
      </c>
      <c r="I154" s="7">
        <f t="shared" si="90"/>
        <v>2116</v>
      </c>
      <c r="J154" s="7">
        <f t="shared" si="91"/>
        <v>2615</v>
      </c>
      <c r="K154" s="7">
        <f t="shared" si="101"/>
        <v>4000</v>
      </c>
      <c r="L154" s="7">
        <f t="shared" si="102"/>
        <v>4000</v>
      </c>
      <c r="M154" s="7">
        <f t="shared" si="103"/>
        <v>4000</v>
      </c>
      <c r="N154" s="7">
        <f t="shared" si="95"/>
        <v>-1588</v>
      </c>
      <c r="O154" s="7">
        <f t="shared" si="96"/>
        <v>-1884</v>
      </c>
      <c r="P154" s="7">
        <f t="shared" si="97"/>
        <v>-1385</v>
      </c>
      <c r="Q154" s="23">
        <v>22</v>
      </c>
      <c r="R154" s="23">
        <v>30</v>
      </c>
      <c r="S154" s="23">
        <v>20</v>
      </c>
      <c r="T154" s="19">
        <f t="shared" si="92"/>
        <v>367</v>
      </c>
      <c r="U154" s="19">
        <f t="shared" si="98"/>
        <v>3634</v>
      </c>
      <c r="V154" s="19">
        <f t="shared" si="99"/>
        <v>3558</v>
      </c>
      <c r="W154" s="19">
        <f t="shared" si="100"/>
        <v>3642</v>
      </c>
      <c r="X154" s="7"/>
      <c r="Y154" s="7"/>
      <c r="Z154" s="7"/>
      <c r="AA154" s="7"/>
    </row>
    <row r="155" spans="1:27" ht="15" customHeight="1">
      <c r="A155" s="17">
        <v>143</v>
      </c>
      <c r="B155" s="22">
        <f t="shared" si="104"/>
        <v>45667</v>
      </c>
      <c r="C155" s="17">
        <f t="shared" si="94"/>
        <v>1026</v>
      </c>
      <c r="D155" s="24">
        <v>2900</v>
      </c>
      <c r="E155" s="7">
        <f t="shared" si="86"/>
        <v>1534</v>
      </c>
      <c r="F155" s="7">
        <f t="shared" si="87"/>
        <v>1835</v>
      </c>
      <c r="G155" s="7">
        <f t="shared" si="88"/>
        <v>1329</v>
      </c>
      <c r="H155" s="7">
        <f t="shared" si="89"/>
        <v>2392</v>
      </c>
      <c r="I155" s="7">
        <f t="shared" si="90"/>
        <v>2091</v>
      </c>
      <c r="J155" s="7">
        <f t="shared" si="91"/>
        <v>2597</v>
      </c>
      <c r="K155" s="7">
        <f t="shared" si="101"/>
        <v>4000</v>
      </c>
      <c r="L155" s="7">
        <f t="shared" si="102"/>
        <v>4000</v>
      </c>
      <c r="M155" s="7">
        <f t="shared" si="103"/>
        <v>4000</v>
      </c>
      <c r="N155" s="7">
        <f t="shared" si="95"/>
        <v>-1608</v>
      </c>
      <c r="O155" s="7">
        <f t="shared" si="96"/>
        <v>-1909</v>
      </c>
      <c r="P155" s="7">
        <f t="shared" si="97"/>
        <v>-1403</v>
      </c>
      <c r="Q155" s="23">
        <v>20</v>
      </c>
      <c r="R155" s="23">
        <v>25</v>
      </c>
      <c r="S155" s="23">
        <v>18</v>
      </c>
      <c r="T155" s="19">
        <f t="shared" si="92"/>
        <v>393</v>
      </c>
      <c r="U155" s="19">
        <f t="shared" si="98"/>
        <v>3614</v>
      </c>
      <c r="V155" s="19">
        <f t="shared" si="99"/>
        <v>3533</v>
      </c>
      <c r="W155" s="19">
        <f t="shared" si="100"/>
        <v>3624</v>
      </c>
      <c r="X155" s="7"/>
      <c r="Y155" s="7"/>
      <c r="Z155" s="7"/>
      <c r="AA155" s="7"/>
    </row>
    <row r="156" spans="1:27" ht="15" customHeight="1">
      <c r="A156" s="17">
        <v>144</v>
      </c>
      <c r="B156" s="22">
        <f t="shared" si="104"/>
        <v>45674</v>
      </c>
      <c r="C156" s="17">
        <f t="shared" si="94"/>
        <v>1026</v>
      </c>
      <c r="D156" s="24">
        <v>2901</v>
      </c>
      <c r="E156" s="7">
        <f t="shared" si="86"/>
        <v>1553</v>
      </c>
      <c r="F156" s="7">
        <f t="shared" si="87"/>
        <v>1858</v>
      </c>
      <c r="G156" s="7">
        <f t="shared" si="88"/>
        <v>1346</v>
      </c>
      <c r="H156" s="7">
        <f t="shared" si="89"/>
        <v>2374</v>
      </c>
      <c r="I156" s="7">
        <f t="shared" si="90"/>
        <v>2069</v>
      </c>
      <c r="J156" s="7">
        <f t="shared" si="91"/>
        <v>2581</v>
      </c>
      <c r="K156" s="7">
        <f t="shared" si="101"/>
        <v>4000</v>
      </c>
      <c r="L156" s="7">
        <f t="shared" si="102"/>
        <v>4000</v>
      </c>
      <c r="M156" s="7">
        <f t="shared" si="103"/>
        <v>4000</v>
      </c>
      <c r="N156" s="7">
        <f t="shared" si="95"/>
        <v>-1626</v>
      </c>
      <c r="O156" s="7">
        <f t="shared" si="96"/>
        <v>-1931</v>
      </c>
      <c r="P156" s="7">
        <f t="shared" si="97"/>
        <v>-1419</v>
      </c>
      <c r="Q156" s="23">
        <v>18</v>
      </c>
      <c r="R156" s="23">
        <v>22</v>
      </c>
      <c r="S156" s="23">
        <v>16</v>
      </c>
      <c r="T156" s="19">
        <f t="shared" si="92"/>
        <v>416</v>
      </c>
      <c r="U156" s="19">
        <f t="shared" si="98"/>
        <v>3596</v>
      </c>
      <c r="V156" s="19">
        <f t="shared" si="99"/>
        <v>3511</v>
      </c>
      <c r="W156" s="19">
        <f t="shared" si="100"/>
        <v>3608</v>
      </c>
      <c r="X156" s="7"/>
      <c r="Y156" s="7"/>
      <c r="Z156" s="7"/>
      <c r="AA156" s="7"/>
    </row>
    <row r="157" spans="1:27" ht="15" customHeight="1">
      <c r="A157" s="17">
        <v>145</v>
      </c>
      <c r="B157" s="22">
        <f t="shared" si="104"/>
        <v>45681</v>
      </c>
      <c r="C157" s="17">
        <f t="shared" si="94"/>
        <v>1026</v>
      </c>
      <c r="D157" s="24">
        <v>2902</v>
      </c>
      <c r="E157" s="7">
        <f t="shared" si="86"/>
        <v>1570</v>
      </c>
      <c r="F157" s="7">
        <f t="shared" si="87"/>
        <v>1879</v>
      </c>
      <c r="G157" s="7">
        <f t="shared" si="88"/>
        <v>1361</v>
      </c>
      <c r="H157" s="7">
        <f t="shared" si="89"/>
        <v>2358</v>
      </c>
      <c r="I157" s="7">
        <f t="shared" si="90"/>
        <v>2049</v>
      </c>
      <c r="J157" s="7">
        <f t="shared" si="91"/>
        <v>2567</v>
      </c>
      <c r="K157" s="7">
        <f t="shared" si="101"/>
        <v>4000</v>
      </c>
      <c r="L157" s="7">
        <f t="shared" si="102"/>
        <v>4000</v>
      </c>
      <c r="M157" s="7">
        <f t="shared" si="103"/>
        <v>4000</v>
      </c>
      <c r="N157" s="7">
        <f t="shared" si="95"/>
        <v>-1642</v>
      </c>
      <c r="O157" s="7">
        <f t="shared" si="96"/>
        <v>-1951</v>
      </c>
      <c r="P157" s="7">
        <f t="shared" si="97"/>
        <v>-1433</v>
      </c>
      <c r="Q157" s="23">
        <v>16</v>
      </c>
      <c r="R157" s="23">
        <v>20</v>
      </c>
      <c r="S157" s="23">
        <v>14</v>
      </c>
      <c r="T157" s="19">
        <f t="shared" si="92"/>
        <v>437</v>
      </c>
      <c r="U157" s="19">
        <f t="shared" si="98"/>
        <v>3580</v>
      </c>
      <c r="V157" s="19">
        <f t="shared" si="99"/>
        <v>3491</v>
      </c>
      <c r="W157" s="19">
        <f t="shared" si="100"/>
        <v>3594</v>
      </c>
      <c r="X157" s="7"/>
      <c r="Y157" s="7"/>
      <c r="Z157" s="7"/>
      <c r="AA157" s="7"/>
    </row>
    <row r="158" spans="1:27" ht="15" customHeight="1">
      <c r="A158" s="17">
        <v>146</v>
      </c>
      <c r="B158" s="22">
        <f t="shared" si="104"/>
        <v>45688</v>
      </c>
      <c r="C158" s="17">
        <f t="shared" si="94"/>
        <v>1026</v>
      </c>
      <c r="D158" s="24">
        <v>2903</v>
      </c>
      <c r="E158" s="7">
        <f t="shared" si="86"/>
        <v>1587</v>
      </c>
      <c r="F158" s="7">
        <f t="shared" si="87"/>
        <v>1898</v>
      </c>
      <c r="G158" s="7">
        <f t="shared" si="88"/>
        <v>1376</v>
      </c>
      <c r="H158" s="7">
        <f t="shared" si="89"/>
        <v>2342</v>
      </c>
      <c r="I158" s="7">
        <f t="shared" si="90"/>
        <v>2031</v>
      </c>
      <c r="J158" s="7">
        <f t="shared" si="91"/>
        <v>2553</v>
      </c>
      <c r="K158" s="7">
        <f t="shared" si="101"/>
        <v>4000</v>
      </c>
      <c r="L158" s="7">
        <f t="shared" si="102"/>
        <v>4000</v>
      </c>
      <c r="M158" s="7">
        <f t="shared" si="103"/>
        <v>4000</v>
      </c>
      <c r="N158" s="7">
        <f t="shared" si="95"/>
        <v>-1658</v>
      </c>
      <c r="O158" s="7">
        <f t="shared" si="96"/>
        <v>-1969</v>
      </c>
      <c r="P158" s="7">
        <f t="shared" si="97"/>
        <v>-1447</v>
      </c>
      <c r="Q158" s="23">
        <v>16</v>
      </c>
      <c r="R158" s="23">
        <v>18</v>
      </c>
      <c r="S158" s="23">
        <v>14</v>
      </c>
      <c r="T158" s="19">
        <f t="shared" si="92"/>
        <v>456</v>
      </c>
      <c r="U158" s="19">
        <f t="shared" si="98"/>
        <v>3564</v>
      </c>
      <c r="V158" s="19">
        <f t="shared" si="99"/>
        <v>3473</v>
      </c>
      <c r="W158" s="19">
        <f t="shared" si="100"/>
        <v>3580</v>
      </c>
      <c r="X158" s="7"/>
      <c r="Y158" s="7"/>
      <c r="Z158" s="7"/>
      <c r="AA158" s="7"/>
    </row>
    <row r="159" spans="1:27" ht="15" customHeight="1">
      <c r="A159" s="17">
        <v>147</v>
      </c>
      <c r="B159" s="22">
        <f t="shared" si="104"/>
        <v>45695</v>
      </c>
      <c r="C159" s="17">
        <f t="shared" si="94"/>
        <v>1026</v>
      </c>
      <c r="D159" s="24">
        <v>2904</v>
      </c>
      <c r="E159" s="7">
        <f t="shared" si="86"/>
        <v>1600</v>
      </c>
      <c r="F159" s="7">
        <f t="shared" si="87"/>
        <v>1913</v>
      </c>
      <c r="G159" s="7">
        <f t="shared" si="88"/>
        <v>1387</v>
      </c>
      <c r="H159" s="7">
        <f t="shared" si="89"/>
        <v>2330</v>
      </c>
      <c r="I159" s="7">
        <f t="shared" si="90"/>
        <v>2017</v>
      </c>
      <c r="J159" s="7">
        <f t="shared" si="91"/>
        <v>2543</v>
      </c>
      <c r="K159" s="7">
        <f t="shared" si="101"/>
        <v>4000</v>
      </c>
      <c r="L159" s="7">
        <f t="shared" si="102"/>
        <v>4000</v>
      </c>
      <c r="M159" s="7">
        <f t="shared" si="103"/>
        <v>4000</v>
      </c>
      <c r="N159" s="7">
        <f t="shared" si="95"/>
        <v>-1670</v>
      </c>
      <c r="O159" s="7">
        <f t="shared" si="96"/>
        <v>-1983</v>
      </c>
      <c r="P159" s="7">
        <f t="shared" si="97"/>
        <v>-1457</v>
      </c>
      <c r="Q159" s="23">
        <v>12</v>
      </c>
      <c r="R159" s="23">
        <v>14</v>
      </c>
      <c r="S159" s="23">
        <v>10</v>
      </c>
      <c r="T159" s="19">
        <f t="shared" si="92"/>
        <v>471</v>
      </c>
      <c r="U159" s="19">
        <f t="shared" si="98"/>
        <v>3552</v>
      </c>
      <c r="V159" s="19">
        <f t="shared" si="99"/>
        <v>3459</v>
      </c>
      <c r="W159" s="19">
        <f t="shared" si="100"/>
        <v>3570</v>
      </c>
      <c r="X159" s="7"/>
      <c r="Y159" s="7"/>
      <c r="Z159" s="7"/>
      <c r="AA159" s="7"/>
    </row>
    <row r="160" spans="1:27" ht="15" customHeight="1">
      <c r="A160" s="17">
        <v>148</v>
      </c>
      <c r="B160" s="22">
        <f t="shared" si="104"/>
        <v>45702</v>
      </c>
      <c r="C160" s="17">
        <f t="shared" si="94"/>
        <v>1026</v>
      </c>
      <c r="D160" s="24">
        <v>2905</v>
      </c>
      <c r="E160" s="7">
        <f t="shared" si="86"/>
        <v>1613</v>
      </c>
      <c r="F160" s="7">
        <f t="shared" si="87"/>
        <v>1924</v>
      </c>
      <c r="G160" s="7">
        <f t="shared" si="88"/>
        <v>1397</v>
      </c>
      <c r="H160" s="7">
        <f t="shared" si="89"/>
        <v>2318</v>
      </c>
      <c r="I160" s="7">
        <f t="shared" si="90"/>
        <v>2007</v>
      </c>
      <c r="J160" s="7">
        <f t="shared" si="91"/>
        <v>2534</v>
      </c>
      <c r="K160" s="7">
        <f t="shared" si="101"/>
        <v>4000</v>
      </c>
      <c r="L160" s="7">
        <f t="shared" si="102"/>
        <v>4000</v>
      </c>
      <c r="M160" s="7">
        <f t="shared" si="103"/>
        <v>4000</v>
      </c>
      <c r="N160" s="7">
        <f t="shared" si="95"/>
        <v>-1682</v>
      </c>
      <c r="O160" s="7">
        <f t="shared" si="96"/>
        <v>-1993</v>
      </c>
      <c r="P160" s="7">
        <f t="shared" si="97"/>
        <v>-1466</v>
      </c>
      <c r="Q160" s="23">
        <v>12</v>
      </c>
      <c r="R160" s="23">
        <v>10</v>
      </c>
      <c r="S160" s="23">
        <v>9</v>
      </c>
      <c r="T160" s="19">
        <f t="shared" si="92"/>
        <v>482</v>
      </c>
      <c r="U160" s="19">
        <f t="shared" si="98"/>
        <v>3540</v>
      </c>
      <c r="V160" s="19">
        <f t="shared" si="99"/>
        <v>3449</v>
      </c>
      <c r="W160" s="19">
        <f t="shared" si="100"/>
        <v>3561</v>
      </c>
      <c r="X160" s="7"/>
      <c r="Y160" s="7"/>
      <c r="Z160" s="7"/>
      <c r="AA160" s="7"/>
    </row>
    <row r="161" spans="1:27" ht="15" customHeight="1">
      <c r="A161" s="17">
        <v>149</v>
      </c>
      <c r="B161" s="22">
        <f t="shared" si="104"/>
        <v>45709</v>
      </c>
      <c r="C161" s="17">
        <f t="shared" si="94"/>
        <v>1026</v>
      </c>
      <c r="D161" s="24">
        <v>2906</v>
      </c>
      <c r="E161" s="7">
        <f t="shared" si="86"/>
        <v>1624</v>
      </c>
      <c r="F161" s="7">
        <f t="shared" si="87"/>
        <v>1935</v>
      </c>
      <c r="G161" s="7">
        <f t="shared" si="88"/>
        <v>1407</v>
      </c>
      <c r="H161" s="7">
        <f t="shared" si="89"/>
        <v>2308</v>
      </c>
      <c r="I161" s="7">
        <f t="shared" si="90"/>
        <v>1997</v>
      </c>
      <c r="J161" s="7">
        <f t="shared" si="91"/>
        <v>2525</v>
      </c>
      <c r="K161" s="7">
        <f t="shared" si="101"/>
        <v>4000</v>
      </c>
      <c r="L161" s="7">
        <f t="shared" si="102"/>
        <v>4000</v>
      </c>
      <c r="M161" s="7">
        <f t="shared" si="103"/>
        <v>4000</v>
      </c>
      <c r="N161" s="7">
        <f t="shared" si="95"/>
        <v>-1692</v>
      </c>
      <c r="O161" s="7">
        <f t="shared" si="96"/>
        <v>-2003</v>
      </c>
      <c r="P161" s="7">
        <f t="shared" si="97"/>
        <v>-1475</v>
      </c>
      <c r="Q161" s="23">
        <v>10</v>
      </c>
      <c r="R161" s="23">
        <v>10</v>
      </c>
      <c r="S161" s="23">
        <v>9</v>
      </c>
      <c r="T161" s="19">
        <f t="shared" si="92"/>
        <v>493</v>
      </c>
      <c r="U161" s="19">
        <f t="shared" si="98"/>
        <v>3530</v>
      </c>
      <c r="V161" s="19">
        <f t="shared" si="99"/>
        <v>3439</v>
      </c>
      <c r="W161" s="19">
        <f t="shared" si="100"/>
        <v>3552</v>
      </c>
      <c r="X161" s="7"/>
      <c r="Y161" s="7"/>
      <c r="Z161" s="7"/>
      <c r="AA161" s="7"/>
    </row>
    <row r="162" spans="1:27" ht="15" customHeight="1">
      <c r="A162" s="17">
        <v>150</v>
      </c>
      <c r="B162" s="22">
        <f t="shared" si="104"/>
        <v>45716</v>
      </c>
      <c r="C162" s="17">
        <f t="shared" si="94"/>
        <v>1026</v>
      </c>
      <c r="D162" s="24">
        <v>2907</v>
      </c>
      <c r="E162" s="7">
        <f t="shared" si="86"/>
        <v>1634</v>
      </c>
      <c r="F162" s="7">
        <f t="shared" si="87"/>
        <v>1945</v>
      </c>
      <c r="G162" s="7">
        <f t="shared" si="88"/>
        <v>1416</v>
      </c>
      <c r="H162" s="7">
        <f t="shared" si="89"/>
        <v>2299</v>
      </c>
      <c r="I162" s="7">
        <f t="shared" si="90"/>
        <v>1988</v>
      </c>
      <c r="J162" s="7">
        <f t="shared" si="91"/>
        <v>2517</v>
      </c>
      <c r="K162" s="7">
        <f t="shared" si="101"/>
        <v>4000</v>
      </c>
      <c r="L162" s="7">
        <f t="shared" si="102"/>
        <v>4000</v>
      </c>
      <c r="M162" s="7">
        <f t="shared" si="103"/>
        <v>4000</v>
      </c>
      <c r="N162" s="7">
        <f t="shared" si="95"/>
        <v>-1701</v>
      </c>
      <c r="O162" s="7">
        <f t="shared" si="96"/>
        <v>-2012</v>
      </c>
      <c r="P162" s="7">
        <f t="shared" si="97"/>
        <v>-1483</v>
      </c>
      <c r="Q162" s="23">
        <v>9</v>
      </c>
      <c r="R162" s="23">
        <v>9</v>
      </c>
      <c r="S162" s="23">
        <v>8</v>
      </c>
      <c r="T162" s="19">
        <f t="shared" si="92"/>
        <v>503</v>
      </c>
      <c r="U162" s="19">
        <f t="shared" si="98"/>
        <v>3521</v>
      </c>
      <c r="V162" s="19">
        <f t="shared" si="99"/>
        <v>3430</v>
      </c>
      <c r="W162" s="19">
        <f t="shared" si="100"/>
        <v>3544</v>
      </c>
      <c r="X162" s="7"/>
      <c r="Y162" s="7"/>
      <c r="Z162" s="7"/>
      <c r="AA162" s="7"/>
    </row>
    <row r="163" spans="1:27" ht="15" customHeight="1">
      <c r="A163" s="17">
        <v>151</v>
      </c>
      <c r="B163" s="22">
        <f t="shared" si="104"/>
        <v>45723</v>
      </c>
      <c r="C163" s="17">
        <f t="shared" si="94"/>
        <v>1026</v>
      </c>
      <c r="D163" s="24">
        <v>2908</v>
      </c>
      <c r="E163" s="7">
        <f t="shared" si="86"/>
        <v>1644</v>
      </c>
      <c r="F163" s="7">
        <f t="shared" si="87"/>
        <v>1955</v>
      </c>
      <c r="G163" s="7">
        <f t="shared" si="88"/>
        <v>1425</v>
      </c>
      <c r="H163" s="7">
        <f t="shared" si="89"/>
        <v>2290</v>
      </c>
      <c r="I163" s="7">
        <f t="shared" si="90"/>
        <v>1979</v>
      </c>
      <c r="J163" s="7">
        <f t="shared" si="91"/>
        <v>2509</v>
      </c>
      <c r="K163" s="7">
        <f t="shared" si="101"/>
        <v>4000</v>
      </c>
      <c r="L163" s="7">
        <f t="shared" si="102"/>
        <v>4000</v>
      </c>
      <c r="M163" s="7">
        <f t="shared" si="103"/>
        <v>4000</v>
      </c>
      <c r="N163" s="7">
        <f t="shared" si="95"/>
        <v>-1710</v>
      </c>
      <c r="O163" s="7">
        <f t="shared" si="96"/>
        <v>-2021</v>
      </c>
      <c r="P163" s="7">
        <f t="shared" si="97"/>
        <v>-1491</v>
      </c>
      <c r="Q163" s="23">
        <v>9</v>
      </c>
      <c r="R163" s="23">
        <v>9</v>
      </c>
      <c r="S163" s="23">
        <v>8</v>
      </c>
      <c r="T163" s="19">
        <f t="shared" si="92"/>
        <v>513</v>
      </c>
      <c r="U163" s="19">
        <f t="shared" si="98"/>
        <v>3512</v>
      </c>
      <c r="V163" s="19">
        <f t="shared" si="99"/>
        <v>3421</v>
      </c>
      <c r="W163" s="19">
        <f t="shared" si="100"/>
        <v>3536</v>
      </c>
      <c r="X163" s="7"/>
      <c r="Y163" s="7"/>
      <c r="Z163" s="7"/>
      <c r="AA163" s="7"/>
    </row>
    <row r="164" spans="1:27" ht="15" customHeight="1">
      <c r="A164" s="17">
        <v>152</v>
      </c>
      <c r="B164" s="22">
        <f t="shared" si="104"/>
        <v>45730</v>
      </c>
      <c r="C164" s="17">
        <f t="shared" si="94"/>
        <v>1026</v>
      </c>
      <c r="D164" s="24">
        <v>2909</v>
      </c>
      <c r="E164" s="7">
        <f t="shared" si="86"/>
        <v>1653</v>
      </c>
      <c r="F164" s="7">
        <f t="shared" si="87"/>
        <v>1965</v>
      </c>
      <c r="G164" s="7">
        <f t="shared" si="88"/>
        <v>1434</v>
      </c>
      <c r="H164" s="7">
        <f t="shared" si="89"/>
        <v>2282</v>
      </c>
      <c r="I164" s="7">
        <f t="shared" si="90"/>
        <v>1970</v>
      </c>
      <c r="J164" s="7">
        <f t="shared" si="91"/>
        <v>2501</v>
      </c>
      <c r="K164" s="7">
        <f t="shared" si="101"/>
        <v>4000</v>
      </c>
      <c r="L164" s="7">
        <f t="shared" si="102"/>
        <v>4000</v>
      </c>
      <c r="M164" s="7">
        <f t="shared" si="103"/>
        <v>4000</v>
      </c>
      <c r="N164" s="7">
        <f t="shared" si="95"/>
        <v>-1718</v>
      </c>
      <c r="O164" s="7">
        <f t="shared" si="96"/>
        <v>-2030</v>
      </c>
      <c r="P164" s="7">
        <f t="shared" si="97"/>
        <v>-1499</v>
      </c>
      <c r="Q164" s="23">
        <v>8</v>
      </c>
      <c r="R164" s="23">
        <v>9</v>
      </c>
      <c r="S164" s="23">
        <v>8</v>
      </c>
      <c r="T164" s="19">
        <f t="shared" si="92"/>
        <v>523</v>
      </c>
      <c r="U164" s="19">
        <f t="shared" si="98"/>
        <v>3504</v>
      </c>
      <c r="V164" s="19">
        <f t="shared" si="99"/>
        <v>3412</v>
      </c>
      <c r="W164" s="19">
        <f t="shared" si="100"/>
        <v>3528</v>
      </c>
      <c r="X164" s="7"/>
      <c r="Y164" s="7"/>
      <c r="Z164" s="7"/>
      <c r="AA164" s="7"/>
    </row>
    <row r="165" spans="1:27" ht="15" customHeight="1">
      <c r="A165" s="17">
        <v>153</v>
      </c>
      <c r="B165" s="22">
        <f t="shared" si="104"/>
        <v>45737</v>
      </c>
      <c r="C165" s="17">
        <f t="shared" si="94"/>
        <v>1026</v>
      </c>
      <c r="D165" s="24">
        <v>2910</v>
      </c>
      <c r="E165" s="7">
        <f t="shared" si="86"/>
        <v>1662</v>
      </c>
      <c r="F165" s="7">
        <f t="shared" si="87"/>
        <v>1975</v>
      </c>
      <c r="G165" s="7">
        <f t="shared" si="88"/>
        <v>1441</v>
      </c>
      <c r="H165" s="7">
        <f t="shared" si="89"/>
        <v>2274</v>
      </c>
      <c r="I165" s="7">
        <f t="shared" si="90"/>
        <v>1961</v>
      </c>
      <c r="J165" s="7">
        <f t="shared" si="91"/>
        <v>2495</v>
      </c>
      <c r="K165" s="7">
        <f t="shared" si="101"/>
        <v>4000</v>
      </c>
      <c r="L165" s="7">
        <f t="shared" si="102"/>
        <v>4000</v>
      </c>
      <c r="M165" s="7">
        <f t="shared" si="103"/>
        <v>4000</v>
      </c>
      <c r="N165" s="7">
        <f t="shared" si="95"/>
        <v>-1726</v>
      </c>
      <c r="O165" s="7">
        <f t="shared" si="96"/>
        <v>-2039</v>
      </c>
      <c r="P165" s="7">
        <f t="shared" si="97"/>
        <v>-1505</v>
      </c>
      <c r="Q165" s="23">
        <v>8</v>
      </c>
      <c r="R165" s="23">
        <v>9</v>
      </c>
      <c r="S165" s="23">
        <v>6</v>
      </c>
      <c r="T165" s="19">
        <f t="shared" si="92"/>
        <v>533</v>
      </c>
      <c r="U165" s="19">
        <f t="shared" si="98"/>
        <v>3496</v>
      </c>
      <c r="V165" s="19">
        <f t="shared" si="99"/>
        <v>3403</v>
      </c>
      <c r="W165" s="19">
        <f t="shared" si="100"/>
        <v>3522</v>
      </c>
      <c r="X165" s="7"/>
      <c r="Y165" s="7"/>
      <c r="Z165" s="7"/>
      <c r="AA165" s="7"/>
    </row>
    <row r="166" spans="1:27" ht="15" customHeight="1">
      <c r="A166" s="17">
        <v>154</v>
      </c>
      <c r="B166" s="22">
        <f t="shared" si="104"/>
        <v>45744</v>
      </c>
      <c r="C166" s="17">
        <f t="shared" si="94"/>
        <v>1026</v>
      </c>
      <c r="D166" s="24">
        <v>2911</v>
      </c>
      <c r="E166" s="7">
        <f t="shared" si="86"/>
        <v>1671</v>
      </c>
      <c r="F166" s="7">
        <f t="shared" si="87"/>
        <v>1984</v>
      </c>
      <c r="G166" s="7">
        <f t="shared" si="88"/>
        <v>1448</v>
      </c>
      <c r="H166" s="7">
        <f t="shared" si="89"/>
        <v>2266</v>
      </c>
      <c r="I166" s="7">
        <f t="shared" si="90"/>
        <v>1953</v>
      </c>
      <c r="J166" s="7">
        <f t="shared" si="91"/>
        <v>2489</v>
      </c>
      <c r="K166" s="7">
        <f t="shared" si="101"/>
        <v>4000</v>
      </c>
      <c r="L166" s="7">
        <f t="shared" si="102"/>
        <v>4000</v>
      </c>
      <c r="M166" s="7">
        <f t="shared" si="103"/>
        <v>4000</v>
      </c>
      <c r="N166" s="7">
        <f t="shared" si="95"/>
        <v>-1734</v>
      </c>
      <c r="O166" s="7">
        <f t="shared" si="96"/>
        <v>-2047</v>
      </c>
      <c r="P166" s="7">
        <f t="shared" si="97"/>
        <v>-1511</v>
      </c>
      <c r="Q166" s="23">
        <v>8</v>
      </c>
      <c r="R166" s="23">
        <v>8</v>
      </c>
      <c r="S166" s="23">
        <v>6</v>
      </c>
      <c r="T166" s="19">
        <f t="shared" si="92"/>
        <v>542</v>
      </c>
      <c r="U166" s="19">
        <f t="shared" si="98"/>
        <v>3488</v>
      </c>
      <c r="V166" s="19">
        <f t="shared" si="99"/>
        <v>3395</v>
      </c>
      <c r="W166" s="19">
        <f t="shared" si="100"/>
        <v>3516</v>
      </c>
      <c r="X166" s="7"/>
      <c r="Y166" s="7"/>
      <c r="Z166" s="7"/>
      <c r="AA166" s="7"/>
    </row>
    <row r="167" spans="1:27" ht="15" customHeight="1">
      <c r="A167" s="17">
        <v>155</v>
      </c>
      <c r="B167" s="22">
        <f t="shared" si="104"/>
        <v>45751</v>
      </c>
      <c r="C167" s="17">
        <f t="shared" si="94"/>
        <v>1026</v>
      </c>
      <c r="D167" s="24">
        <v>2912</v>
      </c>
      <c r="E167" s="7">
        <f t="shared" si="86"/>
        <v>1678</v>
      </c>
      <c r="F167" s="7">
        <f t="shared" si="87"/>
        <v>1991</v>
      </c>
      <c r="G167" s="7">
        <f t="shared" si="88"/>
        <v>1455</v>
      </c>
      <c r="H167" s="7">
        <f t="shared" si="89"/>
        <v>2260</v>
      </c>
      <c r="I167" s="7">
        <f t="shared" si="90"/>
        <v>1947</v>
      </c>
      <c r="J167" s="7">
        <f t="shared" si="91"/>
        <v>2483</v>
      </c>
      <c r="K167" s="7">
        <f t="shared" si="101"/>
        <v>4000</v>
      </c>
      <c r="L167" s="7">
        <f t="shared" si="102"/>
        <v>4000</v>
      </c>
      <c r="M167" s="7">
        <f t="shared" si="103"/>
        <v>4000</v>
      </c>
      <c r="N167" s="7">
        <f t="shared" si="95"/>
        <v>-1740</v>
      </c>
      <c r="O167" s="7">
        <f t="shared" si="96"/>
        <v>-2053</v>
      </c>
      <c r="P167" s="7">
        <f t="shared" si="97"/>
        <v>-1517</v>
      </c>
      <c r="Q167" s="23">
        <v>6</v>
      </c>
      <c r="R167" s="23">
        <v>6</v>
      </c>
      <c r="S167" s="23">
        <v>6</v>
      </c>
      <c r="T167" s="19">
        <f t="shared" si="92"/>
        <v>549</v>
      </c>
      <c r="U167" s="19">
        <f t="shared" si="98"/>
        <v>3482</v>
      </c>
      <c r="V167" s="19">
        <f t="shared" si="99"/>
        <v>3389</v>
      </c>
      <c r="W167" s="19">
        <f t="shared" si="100"/>
        <v>3510</v>
      </c>
      <c r="X167" s="7"/>
      <c r="Y167" s="7"/>
      <c r="Z167" s="7"/>
      <c r="AA167" s="7"/>
    </row>
    <row r="168" spans="1:27" ht="15" customHeight="1">
      <c r="A168" s="17">
        <v>156</v>
      </c>
      <c r="B168" s="22">
        <f t="shared" si="104"/>
        <v>45758</v>
      </c>
      <c r="C168" s="17">
        <f t="shared" si="94"/>
        <v>1026</v>
      </c>
      <c r="D168" s="24">
        <v>2913</v>
      </c>
      <c r="E168" s="7">
        <f t="shared" si="86"/>
        <v>1683</v>
      </c>
      <c r="F168" s="7">
        <f t="shared" si="87"/>
        <v>1998</v>
      </c>
      <c r="G168" s="7">
        <f t="shared" si="88"/>
        <v>1460</v>
      </c>
      <c r="H168" s="7">
        <f t="shared" si="89"/>
        <v>2256</v>
      </c>
      <c r="I168" s="7">
        <f t="shared" si="90"/>
        <v>1941</v>
      </c>
      <c r="J168" s="7">
        <f t="shared" si="91"/>
        <v>2479</v>
      </c>
      <c r="K168" s="7">
        <f t="shared" si="101"/>
        <v>4000</v>
      </c>
      <c r="L168" s="7">
        <f t="shared" si="102"/>
        <v>4000</v>
      </c>
      <c r="M168" s="7">
        <f t="shared" si="103"/>
        <v>4000</v>
      </c>
      <c r="N168" s="7">
        <f t="shared" si="95"/>
        <v>-1744</v>
      </c>
      <c r="O168" s="7">
        <f t="shared" si="96"/>
        <v>-2059</v>
      </c>
      <c r="P168" s="7">
        <f t="shared" si="97"/>
        <v>-1521</v>
      </c>
      <c r="Q168" s="23">
        <v>4</v>
      </c>
      <c r="R168" s="23">
        <v>6</v>
      </c>
      <c r="S168" s="23">
        <v>4</v>
      </c>
      <c r="T168" s="19">
        <f t="shared" si="92"/>
        <v>556</v>
      </c>
      <c r="U168" s="19">
        <f t="shared" si="98"/>
        <v>3478</v>
      </c>
      <c r="V168" s="19">
        <f t="shared" si="99"/>
        <v>3383</v>
      </c>
      <c r="W168" s="19">
        <f t="shared" si="100"/>
        <v>3506</v>
      </c>
      <c r="X168" s="7"/>
      <c r="Y168" s="7"/>
      <c r="Z168" s="7"/>
      <c r="AA168" s="7"/>
    </row>
    <row r="169" spans="1:27" ht="15" customHeight="1">
      <c r="A169" s="17">
        <v>157</v>
      </c>
      <c r="B169" s="22">
        <f t="shared" si="104"/>
        <v>45765</v>
      </c>
      <c r="C169" s="17">
        <f t="shared" si="94"/>
        <v>1026</v>
      </c>
      <c r="D169" s="24">
        <v>2914</v>
      </c>
      <c r="E169" s="7">
        <f t="shared" si="86"/>
        <v>1688</v>
      </c>
      <c r="F169" s="7">
        <f t="shared" si="87"/>
        <v>2005</v>
      </c>
      <c r="G169" s="7">
        <f t="shared" si="88"/>
        <v>1465</v>
      </c>
      <c r="H169" s="7">
        <f t="shared" si="89"/>
        <v>2252</v>
      </c>
      <c r="I169" s="7">
        <f t="shared" si="90"/>
        <v>1935</v>
      </c>
      <c r="J169" s="7">
        <f t="shared" si="91"/>
        <v>2475</v>
      </c>
      <c r="K169" s="7">
        <f t="shared" si="101"/>
        <v>4000</v>
      </c>
      <c r="L169" s="7">
        <f t="shared" si="102"/>
        <v>4000</v>
      </c>
      <c r="M169" s="7">
        <f t="shared" si="103"/>
        <v>4000</v>
      </c>
      <c r="N169" s="7">
        <f t="shared" si="95"/>
        <v>-1748</v>
      </c>
      <c r="O169" s="7">
        <f t="shared" si="96"/>
        <v>-2065</v>
      </c>
      <c r="P169" s="7">
        <f t="shared" si="97"/>
        <v>-1525</v>
      </c>
      <c r="Q169" s="23">
        <v>4</v>
      </c>
      <c r="R169" s="23">
        <v>6</v>
      </c>
      <c r="S169" s="23">
        <v>4</v>
      </c>
      <c r="T169" s="19">
        <f t="shared" si="92"/>
        <v>563</v>
      </c>
      <c r="U169" s="19">
        <f t="shared" si="98"/>
        <v>3474</v>
      </c>
      <c r="V169" s="19">
        <f t="shared" si="99"/>
        <v>3377</v>
      </c>
      <c r="W169" s="19">
        <f t="shared" si="100"/>
        <v>3502</v>
      </c>
      <c r="X169" s="7"/>
      <c r="Y169" s="7"/>
      <c r="Z169" s="7"/>
      <c r="AA169" s="7"/>
    </row>
    <row r="170" spans="1:27" ht="15" customHeight="1">
      <c r="A170" s="17">
        <v>158</v>
      </c>
      <c r="B170" s="22">
        <f t="shared" si="104"/>
        <v>45772</v>
      </c>
      <c r="C170" s="17">
        <f t="shared" si="94"/>
        <v>1026</v>
      </c>
      <c r="D170" s="24">
        <v>2915</v>
      </c>
      <c r="E170" s="7">
        <f t="shared" si="86"/>
        <v>1693</v>
      </c>
      <c r="F170" s="7">
        <f t="shared" si="87"/>
        <v>2012</v>
      </c>
      <c r="G170" s="7">
        <f t="shared" si="88"/>
        <v>1468</v>
      </c>
      <c r="H170" s="7">
        <f t="shared" si="89"/>
        <v>2248</v>
      </c>
      <c r="I170" s="7">
        <f t="shared" si="90"/>
        <v>1929</v>
      </c>
      <c r="J170" s="7">
        <f t="shared" si="91"/>
        <v>2473</v>
      </c>
      <c r="K170" s="7">
        <f t="shared" si="101"/>
        <v>4000</v>
      </c>
      <c r="L170" s="7">
        <f t="shared" si="102"/>
        <v>4000</v>
      </c>
      <c r="M170" s="7">
        <f t="shared" si="103"/>
        <v>4000</v>
      </c>
      <c r="N170" s="7">
        <f t="shared" si="95"/>
        <v>-1752</v>
      </c>
      <c r="O170" s="7">
        <f t="shared" si="96"/>
        <v>-2071</v>
      </c>
      <c r="P170" s="7">
        <f t="shared" si="97"/>
        <v>-1527</v>
      </c>
      <c r="Q170" s="23">
        <v>4</v>
      </c>
      <c r="R170" s="23">
        <v>6</v>
      </c>
      <c r="S170" s="23">
        <v>2</v>
      </c>
      <c r="T170" s="19">
        <f t="shared" si="92"/>
        <v>570</v>
      </c>
      <c r="U170" s="19">
        <f t="shared" si="98"/>
        <v>3470</v>
      </c>
      <c r="V170" s="19">
        <f t="shared" si="99"/>
        <v>3371</v>
      </c>
      <c r="W170" s="19">
        <f t="shared" si="100"/>
        <v>3500</v>
      </c>
      <c r="X170" s="7"/>
      <c r="Y170" s="7"/>
      <c r="Z170" s="7"/>
      <c r="AA170" s="7"/>
    </row>
    <row r="171" spans="1:27" ht="15" customHeight="1">
      <c r="A171" s="17">
        <v>159</v>
      </c>
      <c r="B171" s="22">
        <f t="shared" si="104"/>
        <v>45779</v>
      </c>
      <c r="C171" s="17">
        <f t="shared" si="94"/>
        <v>1026</v>
      </c>
      <c r="D171" s="24">
        <v>2916</v>
      </c>
      <c r="E171" s="7">
        <f t="shared" si="86"/>
        <v>1698</v>
      </c>
      <c r="F171" s="7">
        <f t="shared" si="87"/>
        <v>2017</v>
      </c>
      <c r="G171" s="7">
        <f t="shared" si="88"/>
        <v>1471</v>
      </c>
      <c r="H171" s="7">
        <f t="shared" si="89"/>
        <v>2244</v>
      </c>
      <c r="I171" s="7">
        <f t="shared" si="90"/>
        <v>1925</v>
      </c>
      <c r="J171" s="7">
        <f t="shared" si="91"/>
        <v>2471</v>
      </c>
      <c r="K171" s="7">
        <f t="shared" si="101"/>
        <v>4000</v>
      </c>
      <c r="L171" s="7">
        <f t="shared" si="102"/>
        <v>4000</v>
      </c>
      <c r="M171" s="7">
        <f t="shared" si="103"/>
        <v>4000</v>
      </c>
      <c r="N171" s="7">
        <f t="shared" si="95"/>
        <v>-1756</v>
      </c>
      <c r="O171" s="7">
        <f t="shared" si="96"/>
        <v>-2075</v>
      </c>
      <c r="P171" s="7">
        <f t="shared" si="97"/>
        <v>-1529</v>
      </c>
      <c r="Q171" s="23">
        <v>4</v>
      </c>
      <c r="R171" s="23">
        <v>4</v>
      </c>
      <c r="S171" s="23">
        <v>2</v>
      </c>
      <c r="T171" s="19">
        <f t="shared" si="92"/>
        <v>575</v>
      </c>
      <c r="U171" s="19">
        <f t="shared" si="98"/>
        <v>3466</v>
      </c>
      <c r="V171" s="19">
        <f t="shared" si="99"/>
        <v>3367</v>
      </c>
      <c r="W171" s="19">
        <f t="shared" si="100"/>
        <v>3498</v>
      </c>
      <c r="X171" s="7"/>
      <c r="Y171" s="7"/>
      <c r="Z171" s="7"/>
      <c r="AA171" s="7"/>
    </row>
    <row r="172" spans="1:27" ht="15" customHeight="1">
      <c r="A172" s="17">
        <v>160</v>
      </c>
      <c r="B172" s="22">
        <f t="shared" si="104"/>
        <v>45786</v>
      </c>
      <c r="C172" s="17">
        <f t="shared" si="94"/>
        <v>1026</v>
      </c>
      <c r="D172" s="24">
        <v>2917</v>
      </c>
      <c r="E172" s="7">
        <f t="shared" si="86"/>
        <v>1701</v>
      </c>
      <c r="F172" s="7">
        <f t="shared" si="87"/>
        <v>2022</v>
      </c>
      <c r="G172" s="7">
        <f t="shared" si="88"/>
        <v>1474</v>
      </c>
      <c r="H172" s="7">
        <f t="shared" si="89"/>
        <v>2242</v>
      </c>
      <c r="I172" s="7">
        <f t="shared" si="90"/>
        <v>1921</v>
      </c>
      <c r="J172" s="7">
        <f t="shared" si="91"/>
        <v>2469</v>
      </c>
      <c r="K172" s="7">
        <f t="shared" si="101"/>
        <v>4000</v>
      </c>
      <c r="L172" s="7">
        <f t="shared" si="102"/>
        <v>4000</v>
      </c>
      <c r="M172" s="7">
        <f t="shared" si="103"/>
        <v>4000</v>
      </c>
      <c r="N172" s="7">
        <f t="shared" si="95"/>
        <v>-1758</v>
      </c>
      <c r="O172" s="7">
        <f t="shared" si="96"/>
        <v>-2079</v>
      </c>
      <c r="P172" s="7">
        <f t="shared" si="97"/>
        <v>-1531</v>
      </c>
      <c r="Q172" s="23">
        <v>2</v>
      </c>
      <c r="R172" s="23">
        <v>4</v>
      </c>
      <c r="S172" s="23">
        <v>2</v>
      </c>
      <c r="T172" s="19">
        <f t="shared" si="92"/>
        <v>580</v>
      </c>
      <c r="U172" s="19">
        <f t="shared" si="98"/>
        <v>3464</v>
      </c>
      <c r="V172" s="19">
        <f t="shared" si="99"/>
        <v>3363</v>
      </c>
      <c r="W172" s="19">
        <f t="shared" si="100"/>
        <v>3496</v>
      </c>
      <c r="X172" s="7"/>
      <c r="Y172" s="7"/>
      <c r="Z172" s="7"/>
      <c r="AA172" s="7"/>
    </row>
    <row r="173" spans="1:27" ht="15" customHeight="1">
      <c r="A173" s="17">
        <v>161</v>
      </c>
      <c r="B173" s="22">
        <f t="shared" si="104"/>
        <v>45793</v>
      </c>
      <c r="C173" s="17">
        <f t="shared" si="94"/>
        <v>1026</v>
      </c>
      <c r="D173" s="24">
        <v>2918</v>
      </c>
      <c r="E173" s="7">
        <f t="shared" ref="E173" si="105">C173+D173-H173</f>
        <v>1704</v>
      </c>
      <c r="F173" s="7">
        <f t="shared" si="87"/>
        <v>2026</v>
      </c>
      <c r="G173" s="7">
        <f t="shared" si="88"/>
        <v>1477</v>
      </c>
      <c r="H173" s="7">
        <f t="shared" si="89"/>
        <v>2240</v>
      </c>
      <c r="I173" s="7">
        <f t="shared" si="90"/>
        <v>1918</v>
      </c>
      <c r="J173" s="7">
        <f t="shared" si="91"/>
        <v>2467</v>
      </c>
      <c r="K173" s="7">
        <f t="shared" si="101"/>
        <v>4000</v>
      </c>
      <c r="L173" s="7">
        <f t="shared" si="102"/>
        <v>4000</v>
      </c>
      <c r="M173" s="7">
        <f t="shared" si="103"/>
        <v>4000</v>
      </c>
      <c r="N173" s="7">
        <f t="shared" si="95"/>
        <v>-1760</v>
      </c>
      <c r="O173" s="7">
        <f t="shared" si="96"/>
        <v>-2082</v>
      </c>
      <c r="P173" s="7">
        <f t="shared" si="97"/>
        <v>-1533</v>
      </c>
      <c r="Q173" s="23">
        <v>2</v>
      </c>
      <c r="R173" s="23">
        <v>3</v>
      </c>
      <c r="S173" s="23">
        <v>2</v>
      </c>
      <c r="T173" s="19">
        <f t="shared" si="92"/>
        <v>584</v>
      </c>
      <c r="U173" s="19">
        <f t="shared" si="98"/>
        <v>3462</v>
      </c>
      <c r="V173" s="19">
        <f t="shared" si="99"/>
        <v>3360</v>
      </c>
      <c r="W173" s="19">
        <f t="shared" si="100"/>
        <v>3494</v>
      </c>
      <c r="X173" s="7"/>
      <c r="Y173" s="7"/>
      <c r="Z173" s="7"/>
      <c r="AA173" s="7"/>
    </row>
    <row r="174" spans="1:27" s="133" customFormat="1" ht="15" customHeight="1">
      <c r="R174" s="141"/>
    </row>
    <row r="175" spans="1:27" s="133" customFormat="1" ht="15" customHeight="1">
      <c r="N175" s="133">
        <v>-1760</v>
      </c>
    </row>
    <row r="176" spans="1:27" s="133" customFormat="1" ht="15" customHeight="1">
      <c r="N176" s="133">
        <v>-2070</v>
      </c>
    </row>
    <row r="177" spans="14:14" s="133" customFormat="1" ht="15" customHeight="1">
      <c r="N177" s="133">
        <v>-1514</v>
      </c>
    </row>
    <row r="178" spans="14:14" s="133" customFormat="1" ht="15" customHeight="1"/>
    <row r="179" spans="14:14" s="133" customFormat="1" ht="15" customHeight="1"/>
    <row r="180" spans="14:14" s="133" customFormat="1" ht="15" customHeight="1"/>
    <row r="181" spans="14:14" s="133" customFormat="1" ht="15" customHeight="1"/>
    <row r="182" spans="14:14" s="133" customFormat="1" ht="15" customHeight="1"/>
    <row r="183" spans="14:14" s="133" customFormat="1" ht="15" customHeight="1"/>
    <row r="184" spans="14:14" s="133" customFormat="1" ht="15" customHeight="1"/>
    <row r="185" spans="14:14" s="133" customFormat="1" ht="15" customHeight="1"/>
    <row r="186" spans="14:14" s="133" customFormat="1" ht="15" customHeight="1"/>
    <row r="187" spans="14:14" s="133" customFormat="1" ht="15" customHeight="1"/>
    <row r="188" spans="14:14" s="133" customFormat="1" ht="15" customHeight="1"/>
    <row r="189" spans="14:14" s="133" customFormat="1" ht="15" customHeight="1"/>
    <row r="190" spans="14:14" s="133" customFormat="1" ht="15" customHeight="1"/>
    <row r="191" spans="14:14" s="133" customFormat="1" ht="15" customHeight="1"/>
    <row r="192" spans="14:14" s="133" customFormat="1" ht="15" customHeight="1"/>
    <row r="193" s="133" customFormat="1" ht="15" customHeight="1"/>
    <row r="194" s="133" customFormat="1" ht="15" customHeight="1"/>
    <row r="195" s="133" customFormat="1" ht="15" customHeight="1"/>
    <row r="196" s="133" customFormat="1" ht="15" customHeight="1"/>
    <row r="197" s="133" customFormat="1" ht="15" customHeight="1"/>
    <row r="198" s="133" customFormat="1" ht="15" customHeight="1"/>
    <row r="199" s="133" customFormat="1" ht="15" customHeight="1"/>
    <row r="200" s="133" customFormat="1" ht="15" customHeight="1"/>
    <row r="201" s="133" customFormat="1" ht="15" customHeight="1"/>
    <row r="202" s="133" customFormat="1" ht="15" customHeight="1"/>
    <row r="203" s="133" customFormat="1" ht="15" customHeight="1"/>
    <row r="204" s="133" customFormat="1" ht="15" customHeight="1"/>
    <row r="205" s="133" customFormat="1" ht="15" customHeight="1"/>
    <row r="206" s="133" customFormat="1" ht="15" customHeight="1"/>
    <row r="207" s="133" customFormat="1" ht="15" customHeight="1"/>
    <row r="208" s="133" customFormat="1" ht="15" customHeight="1"/>
    <row r="209" spans="1:27" s="133" customFormat="1" ht="15" customHeight="1"/>
    <row r="210" spans="1:27" s="133" customFormat="1" ht="15" customHeight="1"/>
    <row r="211" spans="1:27" ht="15" customHeight="1">
      <c r="A211" s="17"/>
      <c r="B211" s="18"/>
      <c r="C211" s="17"/>
      <c r="D211" s="16"/>
      <c r="E211" s="15"/>
      <c r="F211" s="15"/>
      <c r="G211" s="15"/>
      <c r="H211" s="7"/>
      <c r="I211" s="7"/>
      <c r="J211" s="7"/>
      <c r="K211" s="7"/>
      <c r="L211" s="7"/>
      <c r="M211" s="7"/>
      <c r="N211" s="7"/>
      <c r="O211" s="7"/>
      <c r="P211" s="7"/>
      <c r="Q211" s="15"/>
      <c r="R211" s="15"/>
      <c r="S211" s="15"/>
      <c r="T211" s="19"/>
      <c r="U211" s="19"/>
      <c r="V211" s="19"/>
      <c r="W211" s="19"/>
      <c r="X211" s="7"/>
      <c r="Y211" s="7"/>
      <c r="Z211" s="7"/>
      <c r="AA211" s="7"/>
    </row>
    <row r="212" spans="1:27" ht="15" customHeight="1">
      <c r="A212" s="17"/>
      <c r="B212" s="18"/>
      <c r="C212" s="17"/>
      <c r="D212" s="16"/>
      <c r="E212" s="15"/>
      <c r="F212" s="15"/>
      <c r="G212" s="15"/>
      <c r="H212" s="7"/>
      <c r="I212" s="7"/>
      <c r="J212" s="7"/>
      <c r="K212" s="7"/>
      <c r="L212" s="7"/>
      <c r="M212" s="7"/>
      <c r="N212" s="7"/>
      <c r="O212" s="7"/>
      <c r="P212" s="7"/>
      <c r="Q212" s="15"/>
      <c r="R212" s="15"/>
      <c r="S212" s="15"/>
      <c r="T212" s="19"/>
      <c r="U212" s="19"/>
      <c r="V212" s="19"/>
      <c r="W212" s="19"/>
      <c r="X212" s="7"/>
      <c r="Y212" s="7"/>
      <c r="Z212" s="7"/>
      <c r="AA212" s="7"/>
    </row>
    <row r="213" spans="1:27" ht="15" customHeight="1">
      <c r="A213" s="17"/>
      <c r="B213" s="18"/>
      <c r="C213" s="17"/>
      <c r="D213" s="16"/>
      <c r="E213" s="15"/>
      <c r="F213" s="15"/>
      <c r="G213" s="15"/>
      <c r="H213" s="7"/>
      <c r="I213" s="7"/>
      <c r="J213" s="7"/>
      <c r="K213" s="7"/>
      <c r="L213" s="7"/>
      <c r="M213" s="7"/>
      <c r="N213" s="7"/>
      <c r="O213" s="7"/>
      <c r="P213" s="7"/>
      <c r="Q213" s="15"/>
      <c r="R213" s="15"/>
      <c r="S213" s="15"/>
      <c r="T213" s="19"/>
      <c r="U213" s="19"/>
      <c r="V213" s="19"/>
      <c r="W213" s="19"/>
      <c r="X213" s="7"/>
      <c r="Y213" s="7"/>
      <c r="Z213" s="7"/>
      <c r="AA213" s="7"/>
    </row>
    <row r="214" spans="1:27" ht="15" customHeight="1">
      <c r="A214" s="17"/>
      <c r="B214" s="18"/>
      <c r="C214" s="17"/>
      <c r="D214" s="16"/>
      <c r="E214" s="15"/>
      <c r="F214" s="15"/>
      <c r="G214" s="15"/>
      <c r="H214" s="7"/>
      <c r="I214" s="7"/>
      <c r="J214" s="7"/>
      <c r="K214" s="7"/>
      <c r="L214" s="7"/>
      <c r="M214" s="7"/>
      <c r="N214" s="7"/>
      <c r="O214" s="7"/>
      <c r="P214" s="7"/>
      <c r="Q214" s="15"/>
      <c r="R214" s="15"/>
      <c r="S214" s="15"/>
      <c r="T214" s="19"/>
      <c r="U214" s="19"/>
      <c r="V214" s="19"/>
      <c r="W214" s="19"/>
      <c r="X214" s="7"/>
      <c r="Y214" s="7"/>
      <c r="Z214" s="7"/>
      <c r="AA214" s="7"/>
    </row>
    <row r="215" spans="1:27" ht="15" customHeight="1">
      <c r="A215" s="17"/>
      <c r="B215" s="18"/>
      <c r="C215" s="17"/>
      <c r="D215" s="16"/>
      <c r="E215" s="15"/>
      <c r="F215" s="15"/>
      <c r="G215" s="15"/>
      <c r="H215" s="7"/>
      <c r="I215" s="7"/>
      <c r="J215" s="7"/>
      <c r="K215" s="7"/>
      <c r="L215" s="7"/>
      <c r="M215" s="7"/>
      <c r="N215" s="7"/>
      <c r="O215" s="7"/>
      <c r="P215" s="7"/>
      <c r="Q215" s="15"/>
      <c r="R215" s="15"/>
      <c r="S215" s="15"/>
      <c r="T215" s="19"/>
      <c r="U215" s="19"/>
      <c r="V215" s="19"/>
      <c r="W215" s="19"/>
      <c r="X215" s="7"/>
      <c r="Y215" s="7"/>
      <c r="Z215" s="7"/>
      <c r="AA215" s="7"/>
    </row>
    <row r="216" spans="1:27" ht="15" customHeight="1">
      <c r="A216" s="17"/>
      <c r="B216" s="18"/>
      <c r="C216" s="17"/>
      <c r="D216" s="16"/>
      <c r="E216" s="15"/>
      <c r="F216" s="15"/>
      <c r="G216" s="15"/>
      <c r="H216" s="7"/>
      <c r="I216" s="7"/>
      <c r="J216" s="7"/>
      <c r="K216" s="7"/>
      <c r="L216" s="7"/>
      <c r="M216" s="7"/>
      <c r="N216" s="7"/>
      <c r="O216" s="7"/>
      <c r="P216" s="7"/>
      <c r="Q216" s="15"/>
      <c r="R216" s="15"/>
      <c r="S216" s="15"/>
      <c r="T216" s="19"/>
      <c r="U216" s="19"/>
      <c r="V216" s="19"/>
      <c r="W216" s="19"/>
      <c r="X216" s="7"/>
      <c r="Y216" s="7"/>
      <c r="Z216" s="7"/>
      <c r="AA216" s="7"/>
    </row>
    <row r="217" spans="1:27" ht="15" customHeight="1">
      <c r="A217" s="17"/>
      <c r="B217" s="18"/>
      <c r="C217" s="17"/>
      <c r="D217" s="16"/>
      <c r="E217" s="15"/>
      <c r="F217" s="15"/>
      <c r="G217" s="15"/>
      <c r="H217" s="7"/>
      <c r="I217" s="7"/>
      <c r="J217" s="7"/>
      <c r="K217" s="7"/>
      <c r="L217" s="7"/>
      <c r="M217" s="7"/>
      <c r="N217" s="7"/>
      <c r="O217" s="7"/>
      <c r="P217" s="7"/>
      <c r="Q217" s="15"/>
      <c r="R217" s="15"/>
      <c r="S217" s="15"/>
      <c r="T217" s="19"/>
      <c r="U217" s="19"/>
      <c r="V217" s="19"/>
      <c r="W217" s="19"/>
      <c r="X217" s="7"/>
      <c r="Y217" s="7"/>
      <c r="Z217" s="7"/>
      <c r="AA217" s="7"/>
    </row>
    <row r="218" spans="1:27" ht="15" customHeight="1">
      <c r="A218" s="17"/>
      <c r="B218" s="18"/>
      <c r="C218" s="17"/>
      <c r="D218" s="16"/>
      <c r="E218" s="15"/>
      <c r="F218" s="15"/>
      <c r="G218" s="15"/>
      <c r="H218" s="7"/>
      <c r="I218" s="7"/>
      <c r="J218" s="7"/>
      <c r="K218" s="7"/>
      <c r="L218" s="7"/>
      <c r="M218" s="7"/>
      <c r="N218" s="7"/>
      <c r="O218" s="7"/>
      <c r="P218" s="7"/>
      <c r="Q218" s="15"/>
      <c r="R218" s="15"/>
      <c r="S218" s="15"/>
      <c r="T218" s="19"/>
      <c r="U218" s="19"/>
      <c r="V218" s="19"/>
      <c r="W218" s="19"/>
      <c r="X218" s="7"/>
      <c r="Y218" s="7"/>
      <c r="Z218" s="7"/>
      <c r="AA218" s="7"/>
    </row>
    <row r="219" spans="1:27" ht="15" customHeight="1">
      <c r="A219" s="17"/>
      <c r="B219" s="18"/>
      <c r="C219" s="17"/>
      <c r="D219" s="16"/>
      <c r="E219" s="15"/>
      <c r="F219" s="15"/>
      <c r="G219" s="15"/>
      <c r="H219" s="7"/>
      <c r="I219" s="7"/>
      <c r="J219" s="7"/>
      <c r="K219" s="7"/>
      <c r="L219" s="7"/>
      <c r="M219" s="7"/>
      <c r="N219" s="7"/>
      <c r="O219" s="7"/>
      <c r="P219" s="7"/>
      <c r="Q219" s="15"/>
      <c r="R219" s="15"/>
      <c r="S219" s="15"/>
      <c r="T219" s="19"/>
      <c r="U219" s="19"/>
      <c r="V219" s="19"/>
      <c r="W219" s="19"/>
      <c r="X219" s="7"/>
      <c r="Y219" s="7"/>
      <c r="Z219" s="7"/>
      <c r="AA219" s="7"/>
    </row>
    <row r="220" spans="1:27" ht="15" customHeight="1">
      <c r="A220" s="17"/>
      <c r="B220" s="18"/>
      <c r="C220" s="17"/>
      <c r="D220" s="16"/>
      <c r="E220" s="15"/>
      <c r="F220" s="15"/>
      <c r="G220" s="15"/>
      <c r="H220" s="7"/>
      <c r="I220" s="7"/>
      <c r="J220" s="7"/>
      <c r="K220" s="7"/>
      <c r="L220" s="7"/>
      <c r="M220" s="7"/>
      <c r="N220" s="7"/>
      <c r="O220" s="7"/>
      <c r="P220" s="7"/>
      <c r="Q220" s="15"/>
      <c r="R220" s="15"/>
      <c r="S220" s="15"/>
      <c r="T220" s="19"/>
      <c r="U220" s="19"/>
      <c r="V220" s="19"/>
      <c r="W220" s="19"/>
      <c r="X220" s="7"/>
      <c r="Y220" s="7"/>
      <c r="Z220" s="7"/>
      <c r="AA220" s="7"/>
    </row>
    <row r="221" spans="1:27" ht="15" customHeight="1">
      <c r="A221" s="17"/>
      <c r="B221" s="18"/>
      <c r="C221" s="17"/>
      <c r="D221" s="16"/>
      <c r="E221" s="15"/>
      <c r="F221" s="15"/>
      <c r="G221" s="15"/>
      <c r="H221" s="7"/>
      <c r="I221" s="7"/>
      <c r="J221" s="7"/>
      <c r="K221" s="7"/>
      <c r="L221" s="7"/>
      <c r="M221" s="7"/>
      <c r="N221" s="7"/>
      <c r="O221" s="7"/>
      <c r="P221" s="7"/>
      <c r="Q221" s="15"/>
      <c r="R221" s="15"/>
      <c r="S221" s="15"/>
      <c r="T221" s="19"/>
      <c r="U221" s="19"/>
      <c r="V221" s="19"/>
      <c r="W221" s="19"/>
      <c r="X221" s="7"/>
      <c r="Y221" s="7"/>
      <c r="Z221" s="7"/>
      <c r="AA221" s="7"/>
    </row>
    <row r="222" spans="1:27" ht="15" customHeight="1">
      <c r="A222" s="17"/>
      <c r="B222" s="18"/>
      <c r="C222" s="17"/>
      <c r="D222" s="16"/>
      <c r="E222" s="15"/>
      <c r="F222" s="15"/>
      <c r="G222" s="15"/>
      <c r="H222" s="7"/>
      <c r="I222" s="7"/>
      <c r="J222" s="7"/>
      <c r="K222" s="7"/>
      <c r="L222" s="7"/>
      <c r="M222" s="7"/>
      <c r="N222" s="7"/>
      <c r="O222" s="7"/>
      <c r="P222" s="7"/>
      <c r="Q222" s="15"/>
      <c r="R222" s="15"/>
      <c r="S222" s="15"/>
      <c r="T222" s="19"/>
      <c r="U222" s="19"/>
      <c r="V222" s="19"/>
      <c r="W222" s="19"/>
      <c r="X222" s="7"/>
      <c r="Y222" s="7"/>
      <c r="Z222" s="7"/>
      <c r="AA222" s="7"/>
    </row>
    <row r="223" spans="1:27" ht="15" customHeight="1">
      <c r="A223" s="17"/>
      <c r="B223" s="18"/>
      <c r="C223" s="17"/>
      <c r="D223" s="16"/>
      <c r="E223" s="15"/>
      <c r="F223" s="15"/>
      <c r="G223" s="15"/>
      <c r="H223" s="7"/>
      <c r="I223" s="7"/>
      <c r="J223" s="7"/>
      <c r="K223" s="7"/>
      <c r="L223" s="7"/>
      <c r="M223" s="7"/>
      <c r="N223" s="7"/>
      <c r="O223" s="7"/>
      <c r="P223" s="7"/>
      <c r="Q223" s="15"/>
      <c r="R223" s="15"/>
      <c r="S223" s="15"/>
      <c r="T223" s="19"/>
      <c r="U223" s="19"/>
      <c r="V223" s="19"/>
      <c r="W223" s="19"/>
      <c r="X223" s="7"/>
      <c r="Y223" s="7"/>
      <c r="Z223" s="7"/>
      <c r="AA223" s="7"/>
    </row>
    <row r="224" spans="1:27" ht="15" customHeight="1">
      <c r="A224" s="17"/>
      <c r="B224" s="18"/>
      <c r="C224" s="17"/>
      <c r="D224" s="16"/>
      <c r="E224" s="15"/>
      <c r="F224" s="15"/>
      <c r="G224" s="15"/>
      <c r="H224" s="7"/>
      <c r="I224" s="7"/>
      <c r="J224" s="7"/>
      <c r="K224" s="7"/>
      <c r="L224" s="7"/>
      <c r="M224" s="7"/>
      <c r="N224" s="7"/>
      <c r="O224" s="7"/>
      <c r="P224" s="7"/>
      <c r="Q224" s="15"/>
      <c r="R224" s="15"/>
      <c r="S224" s="15"/>
      <c r="T224" s="19"/>
      <c r="U224" s="19"/>
      <c r="V224" s="19"/>
      <c r="W224" s="19"/>
      <c r="X224" s="7"/>
      <c r="Y224" s="7"/>
      <c r="Z224" s="7"/>
      <c r="AA224" s="7"/>
    </row>
    <row r="225" spans="1:27" ht="15" customHeight="1">
      <c r="A225" s="17"/>
      <c r="B225" s="18"/>
      <c r="C225" s="17"/>
      <c r="D225" s="16"/>
      <c r="E225" s="15"/>
      <c r="F225" s="15"/>
      <c r="G225" s="15"/>
      <c r="H225" s="7"/>
      <c r="I225" s="7"/>
      <c r="J225" s="7"/>
      <c r="K225" s="7"/>
      <c r="L225" s="7"/>
      <c r="M225" s="7"/>
      <c r="N225" s="7"/>
      <c r="O225" s="7"/>
      <c r="P225" s="7"/>
      <c r="Q225" s="15"/>
      <c r="R225" s="15"/>
      <c r="S225" s="15"/>
      <c r="T225" s="19"/>
      <c r="U225" s="19"/>
      <c r="V225" s="19"/>
      <c r="W225" s="19"/>
      <c r="X225" s="7"/>
      <c r="Y225" s="7"/>
      <c r="Z225" s="7"/>
      <c r="AA225" s="21"/>
    </row>
    <row r="226" spans="1:27" ht="15" customHeight="1">
      <c r="A226" s="17"/>
      <c r="B226" s="18"/>
      <c r="C226" s="17"/>
      <c r="D226" s="16"/>
      <c r="E226" s="15"/>
      <c r="F226" s="15"/>
      <c r="G226" s="15"/>
      <c r="H226" s="7"/>
      <c r="I226" s="7"/>
      <c r="J226" s="7"/>
      <c r="K226" s="7"/>
      <c r="L226" s="7"/>
      <c r="M226" s="7"/>
      <c r="N226" s="7"/>
      <c r="O226" s="7"/>
      <c r="P226" s="7"/>
      <c r="Q226" s="15"/>
      <c r="R226" s="15"/>
      <c r="S226" s="15"/>
      <c r="T226" s="19"/>
      <c r="U226" s="19"/>
      <c r="V226" s="19"/>
      <c r="W226" s="19"/>
      <c r="X226" s="7"/>
      <c r="Y226" s="7"/>
      <c r="Z226" s="7"/>
      <c r="AA226" s="20"/>
    </row>
    <row r="227" spans="1:27" ht="15" customHeight="1">
      <c r="A227" s="17"/>
      <c r="B227" s="18"/>
      <c r="C227" s="17"/>
      <c r="D227" s="16"/>
      <c r="E227" s="15"/>
      <c r="F227" s="15"/>
      <c r="G227" s="15"/>
      <c r="H227" s="7"/>
      <c r="I227" s="7"/>
      <c r="J227" s="7"/>
      <c r="K227" s="7"/>
      <c r="L227" s="7"/>
      <c r="M227" s="7"/>
      <c r="N227" s="7"/>
      <c r="O227" s="7"/>
      <c r="P227" s="7"/>
      <c r="Q227" s="15"/>
      <c r="R227" s="15"/>
      <c r="S227" s="15"/>
      <c r="T227" s="19"/>
      <c r="U227" s="19"/>
      <c r="V227" s="19"/>
      <c r="W227" s="19"/>
      <c r="X227" s="7"/>
      <c r="Y227" s="7"/>
      <c r="Z227" s="7"/>
      <c r="AA227" s="7"/>
    </row>
    <row r="228" spans="1:27" ht="15" customHeight="1">
      <c r="A228" s="17"/>
      <c r="B228" s="18"/>
      <c r="C228" s="17"/>
      <c r="D228" s="16"/>
      <c r="E228" s="15"/>
      <c r="F228" s="15"/>
      <c r="G228" s="15"/>
      <c r="H228" s="7"/>
      <c r="I228" s="7"/>
      <c r="J228" s="7"/>
      <c r="K228" s="7"/>
      <c r="L228" s="7"/>
      <c r="M228" s="7"/>
      <c r="N228" s="7"/>
      <c r="O228" s="7"/>
      <c r="P228" s="7"/>
      <c r="Q228" s="15"/>
      <c r="R228" s="15"/>
      <c r="S228" s="15"/>
      <c r="T228" s="19"/>
      <c r="U228" s="19"/>
      <c r="V228" s="19"/>
      <c r="W228" s="19"/>
      <c r="X228" s="7"/>
      <c r="Y228" s="7"/>
      <c r="Z228" s="7"/>
      <c r="AA228" s="7"/>
    </row>
    <row r="229" spans="1:27" ht="15" customHeight="1">
      <c r="A229" s="17"/>
      <c r="B229" s="18"/>
      <c r="C229" s="17"/>
      <c r="D229" s="16"/>
      <c r="E229" s="15"/>
      <c r="F229" s="15"/>
      <c r="G229" s="15"/>
      <c r="H229" s="7"/>
      <c r="I229" s="7"/>
      <c r="J229" s="7"/>
      <c r="K229" s="7"/>
      <c r="L229" s="7"/>
      <c r="M229" s="7"/>
      <c r="N229" s="7"/>
      <c r="O229" s="7"/>
      <c r="P229" s="7"/>
      <c r="Q229" s="15"/>
      <c r="R229" s="15"/>
      <c r="S229" s="15"/>
      <c r="T229" s="19"/>
      <c r="U229" s="19"/>
      <c r="V229" s="19"/>
      <c r="W229" s="19"/>
      <c r="X229" s="7"/>
      <c r="Y229" s="7"/>
      <c r="Z229" s="7"/>
      <c r="AA229" s="7"/>
    </row>
    <row r="230" spans="1:27" ht="15" customHeight="1">
      <c r="A230" s="17"/>
      <c r="B230" s="18"/>
      <c r="C230" s="17"/>
      <c r="D230" s="16"/>
      <c r="E230" s="15"/>
      <c r="F230" s="15"/>
      <c r="G230" s="15"/>
      <c r="H230" s="7"/>
      <c r="I230" s="7"/>
      <c r="J230" s="7"/>
      <c r="K230" s="7"/>
      <c r="L230" s="7"/>
      <c r="M230" s="7"/>
      <c r="N230" s="7"/>
      <c r="O230" s="7"/>
      <c r="P230" s="7"/>
      <c r="Q230" s="15"/>
      <c r="R230" s="15"/>
      <c r="S230" s="15"/>
      <c r="T230" s="19"/>
      <c r="U230" s="19"/>
      <c r="V230" s="19"/>
      <c r="W230" s="19"/>
      <c r="X230" s="7"/>
      <c r="Y230" s="7"/>
      <c r="Z230" s="7"/>
      <c r="AA230" s="5"/>
    </row>
    <row r="231" spans="1:27" ht="15" customHeight="1">
      <c r="A231" s="17"/>
      <c r="B231" s="18"/>
      <c r="C231" s="17"/>
      <c r="D231" s="16"/>
      <c r="E231" s="15"/>
      <c r="F231" s="15"/>
      <c r="G231" s="15"/>
      <c r="H231" s="7"/>
      <c r="I231" s="7"/>
      <c r="J231" s="7"/>
      <c r="K231" s="7"/>
      <c r="L231" s="7"/>
      <c r="M231" s="7"/>
      <c r="N231" s="7"/>
      <c r="O231" s="7"/>
      <c r="P231" s="7"/>
      <c r="Q231" s="15"/>
      <c r="R231" s="15"/>
      <c r="S231" s="15"/>
      <c r="T231" s="19"/>
      <c r="U231" s="19"/>
      <c r="V231" s="19"/>
      <c r="W231" s="19"/>
      <c r="X231" s="7"/>
      <c r="Y231" s="7"/>
      <c r="Z231" s="7"/>
      <c r="AA231" s="7"/>
    </row>
    <row r="232" spans="1:27" ht="15" customHeight="1">
      <c r="A232" s="17"/>
      <c r="B232" s="18"/>
      <c r="C232" s="17"/>
      <c r="D232" s="16"/>
      <c r="E232" s="15"/>
      <c r="F232" s="15"/>
      <c r="G232" s="15"/>
      <c r="H232" s="7"/>
      <c r="I232" s="7"/>
      <c r="J232" s="7"/>
      <c r="K232" s="7"/>
      <c r="L232" s="7"/>
      <c r="M232" s="7"/>
      <c r="N232" s="7"/>
      <c r="O232" s="7"/>
      <c r="P232" s="7"/>
      <c r="Q232" s="15"/>
      <c r="R232" s="15"/>
      <c r="S232" s="15"/>
      <c r="T232" s="19"/>
      <c r="U232" s="19"/>
      <c r="V232" s="19"/>
      <c r="W232" s="19"/>
      <c r="X232" s="7"/>
      <c r="Y232" s="7"/>
      <c r="Z232" s="7"/>
      <c r="AA232" s="7"/>
    </row>
    <row r="233" spans="1:27" ht="15" customHeight="1">
      <c r="A233" s="17"/>
      <c r="B233" s="18"/>
      <c r="C233" s="17"/>
      <c r="D233" s="16"/>
      <c r="E233" s="15"/>
      <c r="F233" s="15"/>
      <c r="G233" s="15"/>
      <c r="H233" s="7"/>
      <c r="I233" s="7"/>
      <c r="J233" s="7"/>
      <c r="K233" s="7"/>
      <c r="L233" s="7"/>
      <c r="M233" s="7"/>
      <c r="N233" s="7"/>
      <c r="O233" s="7"/>
      <c r="P233" s="7"/>
      <c r="Q233" s="15"/>
      <c r="R233" s="15"/>
      <c r="S233" s="15"/>
      <c r="T233" s="19"/>
      <c r="U233" s="19"/>
      <c r="V233" s="19"/>
      <c r="W233" s="19"/>
      <c r="X233" s="7"/>
      <c r="Y233" s="7"/>
      <c r="Z233" s="7"/>
      <c r="AA233" s="7"/>
    </row>
    <row r="234" spans="1:27" ht="15" customHeight="1">
      <c r="A234" s="17"/>
      <c r="B234" s="18"/>
      <c r="C234" s="17"/>
      <c r="D234" s="16"/>
      <c r="E234" s="15"/>
      <c r="F234" s="15"/>
      <c r="G234" s="15"/>
      <c r="H234" s="7"/>
      <c r="I234" s="7"/>
      <c r="J234" s="7"/>
      <c r="K234" s="7"/>
      <c r="L234" s="7"/>
      <c r="M234" s="7"/>
      <c r="N234" s="7"/>
      <c r="O234" s="7"/>
      <c r="P234" s="7"/>
      <c r="Q234" s="15"/>
      <c r="R234" s="15"/>
      <c r="S234" s="15"/>
      <c r="T234" s="19"/>
      <c r="U234" s="19"/>
      <c r="V234" s="19"/>
      <c r="W234" s="19"/>
      <c r="X234" s="7"/>
      <c r="Y234" s="7"/>
      <c r="Z234" s="7"/>
      <c r="AA234" s="7"/>
    </row>
    <row r="235" spans="1:27" ht="15" customHeight="1">
      <c r="A235" s="17"/>
      <c r="B235" s="18"/>
      <c r="C235" s="17"/>
      <c r="D235" s="16"/>
      <c r="E235" s="15"/>
      <c r="F235" s="15"/>
      <c r="G235" s="15"/>
      <c r="H235" s="7"/>
      <c r="I235" s="7"/>
      <c r="J235" s="7"/>
      <c r="K235" s="7"/>
      <c r="L235" s="7"/>
      <c r="M235" s="7"/>
      <c r="N235" s="7"/>
      <c r="O235" s="7"/>
      <c r="P235" s="7"/>
      <c r="Q235" s="15"/>
      <c r="R235" s="15"/>
      <c r="S235" s="15"/>
      <c r="T235" s="19"/>
      <c r="U235" s="19"/>
      <c r="V235" s="19"/>
      <c r="W235" s="19"/>
      <c r="X235" s="7"/>
      <c r="Y235" s="7"/>
      <c r="Z235" s="7"/>
      <c r="AA235" s="5"/>
    </row>
    <row r="236" spans="1:27" ht="15" customHeight="1">
      <c r="A236" s="17"/>
      <c r="B236" s="18"/>
      <c r="C236" s="17"/>
      <c r="D236" s="16"/>
      <c r="E236" s="15"/>
      <c r="F236" s="15"/>
      <c r="G236" s="15"/>
      <c r="H236" s="7"/>
      <c r="I236" s="7"/>
      <c r="J236" s="7"/>
      <c r="K236" s="7"/>
      <c r="L236" s="7"/>
      <c r="M236" s="7"/>
      <c r="N236" s="7"/>
      <c r="O236" s="7"/>
      <c r="P236" s="7"/>
      <c r="Q236" s="15"/>
      <c r="R236" s="15"/>
      <c r="S236" s="15"/>
      <c r="T236" s="19"/>
      <c r="U236" s="19"/>
      <c r="V236" s="19"/>
      <c r="W236" s="19"/>
      <c r="X236" s="7"/>
      <c r="Y236" s="7"/>
      <c r="Z236" s="7"/>
      <c r="AA236" s="7"/>
    </row>
    <row r="237" spans="1:27" ht="15" customHeight="1">
      <c r="A237" s="17"/>
      <c r="B237" s="18"/>
      <c r="C237" s="17"/>
      <c r="D237" s="16"/>
      <c r="E237" s="15"/>
      <c r="F237" s="15"/>
      <c r="G237" s="15"/>
      <c r="H237" s="7"/>
      <c r="I237" s="7"/>
      <c r="J237" s="7"/>
      <c r="K237" s="7"/>
      <c r="L237" s="7"/>
      <c r="M237" s="7"/>
      <c r="N237" s="7"/>
      <c r="O237" s="7"/>
      <c r="P237" s="7"/>
      <c r="Q237" s="15"/>
      <c r="R237" s="15"/>
      <c r="S237" s="15"/>
      <c r="T237" s="19"/>
      <c r="U237" s="19"/>
      <c r="V237" s="19"/>
      <c r="W237" s="19"/>
      <c r="X237" s="7"/>
      <c r="Y237" s="7"/>
      <c r="Z237" s="7"/>
      <c r="AA237" s="7"/>
    </row>
    <row r="238" spans="1:27" ht="15" customHeight="1">
      <c r="A238" s="17"/>
      <c r="B238" s="18"/>
      <c r="C238" s="17"/>
      <c r="D238" s="16"/>
      <c r="E238" s="15"/>
      <c r="F238" s="15"/>
      <c r="G238" s="15"/>
      <c r="H238" s="7"/>
      <c r="I238" s="7"/>
      <c r="J238" s="7"/>
      <c r="K238" s="7"/>
      <c r="L238" s="7"/>
      <c r="M238" s="7"/>
      <c r="N238" s="7"/>
      <c r="O238" s="7"/>
      <c r="P238" s="7"/>
      <c r="Q238" s="15"/>
      <c r="R238" s="15"/>
      <c r="S238" s="15"/>
      <c r="T238" s="19"/>
      <c r="U238" s="19"/>
      <c r="V238" s="19"/>
      <c r="W238" s="19"/>
      <c r="X238" s="7"/>
      <c r="Y238" s="7"/>
      <c r="Z238" s="7"/>
      <c r="AA238" s="7"/>
    </row>
    <row r="239" spans="1:27" ht="15" customHeight="1">
      <c r="A239" s="17"/>
      <c r="B239" s="18"/>
      <c r="C239" s="17"/>
      <c r="D239" s="16"/>
      <c r="E239" s="15"/>
      <c r="F239" s="15"/>
      <c r="G239" s="15"/>
      <c r="H239" s="7"/>
      <c r="I239" s="7"/>
      <c r="J239" s="7"/>
      <c r="K239" s="7"/>
      <c r="L239" s="7"/>
      <c r="M239" s="7"/>
      <c r="N239" s="7"/>
      <c r="O239" s="7"/>
      <c r="P239" s="7"/>
      <c r="Q239" s="15"/>
      <c r="R239" s="15"/>
      <c r="S239" s="15"/>
      <c r="T239" s="19"/>
      <c r="U239" s="19"/>
      <c r="V239" s="19"/>
      <c r="W239" s="19"/>
      <c r="X239" s="7"/>
      <c r="Y239" s="7"/>
      <c r="Z239" s="7"/>
      <c r="AA239" s="7"/>
    </row>
    <row r="240" spans="1:27" ht="15" customHeight="1">
      <c r="A240" s="17"/>
      <c r="B240" s="18"/>
      <c r="C240" s="17"/>
      <c r="D240" s="16"/>
      <c r="E240" s="15"/>
      <c r="F240" s="15"/>
      <c r="G240" s="15"/>
      <c r="H240" s="7"/>
      <c r="I240" s="7"/>
      <c r="J240" s="7"/>
      <c r="K240" s="7"/>
      <c r="L240" s="7"/>
      <c r="M240" s="7"/>
      <c r="N240" s="7"/>
      <c r="O240" s="7"/>
      <c r="P240" s="7"/>
      <c r="Q240" s="15"/>
      <c r="R240" s="15"/>
      <c r="S240" s="15"/>
      <c r="T240" s="19"/>
      <c r="U240" s="19"/>
      <c r="V240" s="19"/>
      <c r="W240" s="19"/>
      <c r="X240" s="7"/>
      <c r="Y240" s="7"/>
      <c r="Z240" s="7"/>
      <c r="AA240" s="7"/>
    </row>
    <row r="241" spans="1:27" ht="15" customHeight="1">
      <c r="A241" s="17"/>
      <c r="B241" s="18"/>
      <c r="C241" s="17"/>
      <c r="D241" s="16"/>
      <c r="E241" s="15"/>
      <c r="F241" s="15"/>
      <c r="G241" s="15"/>
      <c r="H241" s="7"/>
      <c r="I241" s="7"/>
      <c r="J241" s="7"/>
      <c r="K241" s="7"/>
      <c r="L241" s="7"/>
      <c r="M241" s="7"/>
      <c r="N241" s="7"/>
      <c r="O241" s="7"/>
      <c r="P241" s="7"/>
      <c r="Q241" s="15"/>
      <c r="R241" s="15"/>
      <c r="S241" s="15"/>
      <c r="T241" s="19"/>
      <c r="U241" s="19"/>
      <c r="V241" s="19"/>
      <c r="W241" s="19"/>
      <c r="X241" s="7"/>
      <c r="Y241" s="7"/>
      <c r="Z241" s="7"/>
      <c r="AA241" s="7"/>
    </row>
    <row r="242" spans="1:27" ht="15" customHeight="1">
      <c r="A242" s="17"/>
      <c r="B242" s="18"/>
      <c r="C242" s="17"/>
      <c r="D242" s="16"/>
      <c r="E242" s="15"/>
      <c r="F242" s="15"/>
      <c r="G242" s="15"/>
      <c r="H242" s="7"/>
      <c r="I242" s="7"/>
      <c r="J242" s="7"/>
      <c r="K242" s="7"/>
      <c r="L242" s="7"/>
      <c r="M242" s="7"/>
      <c r="N242" s="7"/>
      <c r="O242" s="7"/>
      <c r="P242" s="7"/>
      <c r="Q242" s="15"/>
      <c r="R242" s="15"/>
      <c r="S242" s="15"/>
      <c r="T242" s="19"/>
      <c r="U242" s="19"/>
      <c r="V242" s="19"/>
      <c r="W242" s="19"/>
      <c r="X242" s="7"/>
      <c r="Y242" s="7"/>
      <c r="Z242" s="7"/>
      <c r="AA242" s="7"/>
    </row>
    <row r="243" spans="1:27" ht="15" customHeight="1">
      <c r="A243" s="17"/>
      <c r="B243" s="18"/>
      <c r="C243" s="17"/>
      <c r="D243" s="16"/>
      <c r="E243" s="15"/>
      <c r="F243" s="15"/>
      <c r="G243" s="15"/>
      <c r="H243" s="7"/>
      <c r="I243" s="7"/>
      <c r="J243" s="7"/>
      <c r="K243" s="7"/>
      <c r="L243" s="7"/>
      <c r="M243" s="7"/>
      <c r="N243" s="7"/>
      <c r="O243" s="7"/>
      <c r="P243" s="7"/>
      <c r="Q243" s="15"/>
      <c r="R243" s="15"/>
      <c r="S243" s="15"/>
      <c r="T243" s="19"/>
      <c r="U243" s="19"/>
      <c r="V243" s="19"/>
      <c r="W243" s="19"/>
      <c r="X243" s="7"/>
      <c r="Y243" s="7"/>
      <c r="Z243" s="7"/>
      <c r="AA243" s="7"/>
    </row>
    <row r="244" spans="1:27" ht="15" customHeight="1">
      <c r="A244" s="17"/>
      <c r="B244" s="18"/>
      <c r="C244" s="17"/>
      <c r="D244" s="16"/>
      <c r="E244" s="15"/>
      <c r="F244" s="15"/>
      <c r="G244" s="15"/>
      <c r="H244" s="7"/>
      <c r="I244" s="7"/>
      <c r="J244" s="7"/>
      <c r="K244" s="7"/>
      <c r="L244" s="7"/>
      <c r="M244" s="7"/>
      <c r="N244" s="7"/>
      <c r="O244" s="7"/>
      <c r="P244" s="7"/>
      <c r="Q244" s="15"/>
      <c r="R244" s="15"/>
      <c r="S244" s="15"/>
      <c r="T244" s="19"/>
      <c r="U244" s="19"/>
      <c r="V244" s="19"/>
      <c r="W244" s="19"/>
      <c r="X244" s="7"/>
      <c r="Y244" s="7"/>
      <c r="Z244" s="7"/>
      <c r="AA244" s="7"/>
    </row>
    <row r="245" spans="1:27" ht="15" customHeight="1">
      <c r="A245" s="17"/>
      <c r="B245" s="18"/>
      <c r="C245" s="17"/>
      <c r="D245" s="16"/>
      <c r="E245" s="15"/>
      <c r="F245" s="15"/>
      <c r="G245" s="15"/>
      <c r="H245" s="7"/>
      <c r="I245" s="7"/>
      <c r="J245" s="7"/>
      <c r="K245" s="7"/>
      <c r="L245" s="7"/>
      <c r="M245" s="7"/>
      <c r="N245" s="7"/>
      <c r="O245" s="7"/>
      <c r="P245" s="7"/>
      <c r="Q245" s="15"/>
      <c r="R245" s="15"/>
      <c r="S245" s="15"/>
      <c r="T245" s="19"/>
      <c r="U245" s="19"/>
      <c r="V245" s="19"/>
      <c r="W245" s="19"/>
      <c r="X245" s="7"/>
      <c r="Y245" s="7"/>
      <c r="Z245" s="7"/>
      <c r="AA245" s="7"/>
    </row>
    <row r="246" spans="1:27" ht="15" customHeight="1">
      <c r="A246" s="17"/>
      <c r="B246" s="18"/>
      <c r="C246" s="17"/>
      <c r="D246" s="16"/>
      <c r="E246" s="15"/>
      <c r="F246" s="15"/>
      <c r="G246" s="15"/>
      <c r="H246" s="7"/>
      <c r="I246" s="7"/>
      <c r="J246" s="7"/>
      <c r="K246" s="7"/>
      <c r="L246" s="7"/>
      <c r="M246" s="7"/>
      <c r="N246" s="7"/>
      <c r="O246" s="7"/>
      <c r="P246" s="7"/>
      <c r="Q246" s="15"/>
      <c r="R246" s="15"/>
      <c r="S246" s="15"/>
      <c r="T246" s="19"/>
      <c r="U246" s="19"/>
      <c r="V246" s="19"/>
      <c r="W246" s="19"/>
      <c r="X246" s="7"/>
      <c r="Y246" s="7"/>
      <c r="Z246" s="7"/>
      <c r="AA246" s="7"/>
    </row>
    <row r="247" spans="1:27" ht="15" customHeight="1">
      <c r="A247" s="17"/>
      <c r="B247" s="18"/>
      <c r="C247" s="17"/>
      <c r="D247" s="16"/>
      <c r="E247" s="15"/>
      <c r="F247" s="15"/>
      <c r="G247" s="15"/>
      <c r="H247" s="7"/>
      <c r="I247" s="7"/>
      <c r="J247" s="7"/>
      <c r="K247" s="7"/>
      <c r="L247" s="7"/>
      <c r="M247" s="7"/>
      <c r="N247" s="7"/>
      <c r="O247" s="7"/>
      <c r="P247" s="7"/>
      <c r="Q247" s="15"/>
      <c r="R247" s="15"/>
      <c r="S247" s="15"/>
      <c r="T247" s="19"/>
      <c r="U247" s="19"/>
      <c r="V247" s="19"/>
      <c r="W247" s="19"/>
      <c r="X247" s="7"/>
      <c r="Y247" s="7"/>
      <c r="Z247" s="7"/>
      <c r="AA247" s="7"/>
    </row>
    <row r="248" spans="1:27" ht="15" customHeight="1">
      <c r="A248" s="17"/>
      <c r="B248" s="18"/>
      <c r="C248" s="17"/>
      <c r="D248" s="16"/>
      <c r="E248" s="15"/>
      <c r="F248" s="15"/>
      <c r="G248" s="15"/>
      <c r="H248" s="7"/>
      <c r="I248" s="7"/>
      <c r="J248" s="7"/>
      <c r="K248" s="7"/>
      <c r="L248" s="7"/>
      <c r="M248" s="7"/>
      <c r="N248" s="7"/>
      <c r="O248" s="7"/>
      <c r="P248" s="7"/>
      <c r="Q248" s="15"/>
      <c r="R248" s="15"/>
      <c r="S248" s="15"/>
      <c r="T248" s="19"/>
      <c r="U248" s="19"/>
      <c r="V248" s="19"/>
      <c r="W248" s="19"/>
      <c r="X248" s="7"/>
      <c r="Y248" s="7"/>
      <c r="Z248" s="7"/>
      <c r="AA248" s="7"/>
    </row>
    <row r="249" spans="1:27" ht="15" customHeight="1">
      <c r="A249" s="17"/>
      <c r="B249" s="18"/>
      <c r="C249" s="17"/>
      <c r="D249" s="16"/>
      <c r="E249" s="15"/>
      <c r="F249" s="15"/>
      <c r="G249" s="15"/>
      <c r="H249" s="7"/>
      <c r="I249" s="7"/>
      <c r="J249" s="7"/>
      <c r="K249" s="7"/>
      <c r="L249" s="7"/>
      <c r="M249" s="7"/>
      <c r="N249" s="7"/>
      <c r="O249" s="7"/>
      <c r="P249" s="7"/>
      <c r="Q249" s="15"/>
      <c r="R249" s="15"/>
      <c r="S249" s="15"/>
      <c r="T249" s="19"/>
      <c r="U249" s="19"/>
      <c r="V249" s="19"/>
      <c r="W249" s="19"/>
      <c r="X249" s="7"/>
      <c r="Y249" s="7"/>
      <c r="Z249" s="7"/>
      <c r="AA249" s="7"/>
    </row>
    <row r="250" spans="1:27" ht="15" customHeight="1">
      <c r="A250" s="17"/>
      <c r="B250" s="18"/>
      <c r="C250" s="17"/>
      <c r="D250" s="16"/>
      <c r="E250" s="15"/>
      <c r="F250" s="15"/>
      <c r="G250" s="15"/>
      <c r="H250" s="7"/>
      <c r="I250" s="7"/>
      <c r="J250" s="7"/>
      <c r="K250" s="7"/>
      <c r="L250" s="7"/>
      <c r="M250" s="7"/>
      <c r="N250" s="7"/>
      <c r="O250" s="7"/>
      <c r="P250" s="7"/>
      <c r="Q250" s="15"/>
      <c r="R250" s="15"/>
      <c r="S250" s="15"/>
      <c r="T250" s="19"/>
      <c r="U250" s="19"/>
      <c r="V250" s="19"/>
      <c r="W250" s="19"/>
      <c r="X250" s="7"/>
      <c r="Y250" s="7"/>
      <c r="Z250" s="7"/>
      <c r="AA250" s="7"/>
    </row>
    <row r="251" spans="1:27" ht="15" customHeight="1">
      <c r="A251" s="17"/>
      <c r="B251" s="18"/>
      <c r="C251" s="17"/>
      <c r="D251" s="16"/>
      <c r="E251" s="15"/>
      <c r="F251" s="15"/>
      <c r="G251" s="15"/>
      <c r="H251" s="7"/>
      <c r="I251" s="7"/>
      <c r="J251" s="7"/>
      <c r="K251" s="7"/>
      <c r="L251" s="7"/>
      <c r="M251" s="7"/>
      <c r="N251" s="7"/>
      <c r="O251" s="7"/>
      <c r="P251" s="7"/>
      <c r="Q251" s="15"/>
      <c r="R251" s="15"/>
      <c r="S251" s="15"/>
      <c r="T251" s="19"/>
      <c r="U251" s="19"/>
      <c r="V251" s="19"/>
      <c r="W251" s="19"/>
      <c r="X251" s="7"/>
      <c r="Y251" s="7"/>
      <c r="Z251" s="7"/>
      <c r="AA251" s="7"/>
    </row>
    <row r="252" spans="1:27" ht="15" customHeight="1">
      <c r="A252" s="17"/>
      <c r="B252" s="18"/>
      <c r="C252" s="17"/>
      <c r="D252" s="16"/>
      <c r="E252" s="15"/>
      <c r="F252" s="15"/>
      <c r="G252" s="15"/>
      <c r="H252" s="7"/>
      <c r="I252" s="7"/>
      <c r="J252" s="7"/>
      <c r="K252" s="7"/>
      <c r="L252" s="7"/>
      <c r="M252" s="7"/>
      <c r="N252" s="7"/>
      <c r="O252" s="7"/>
      <c r="P252" s="7"/>
      <c r="Q252" s="15"/>
      <c r="R252" s="15"/>
      <c r="S252" s="15"/>
      <c r="T252" s="19"/>
      <c r="U252" s="19"/>
      <c r="V252" s="19"/>
      <c r="W252" s="19"/>
      <c r="X252" s="7"/>
      <c r="Y252" s="7"/>
      <c r="Z252" s="7"/>
      <c r="AA252" s="7"/>
    </row>
    <row r="253" spans="1:27" ht="15" customHeight="1">
      <c r="A253" s="17"/>
      <c r="B253" s="18"/>
      <c r="C253" s="17"/>
      <c r="D253" s="16"/>
      <c r="E253" s="15"/>
      <c r="F253" s="15"/>
      <c r="G253" s="15"/>
      <c r="H253" s="7"/>
      <c r="I253" s="7"/>
      <c r="J253" s="7"/>
      <c r="K253" s="7"/>
      <c r="L253" s="7"/>
      <c r="M253" s="7"/>
      <c r="N253" s="7"/>
      <c r="O253" s="7"/>
      <c r="P253" s="7"/>
      <c r="Q253" s="15"/>
      <c r="R253" s="15"/>
      <c r="S253" s="15"/>
      <c r="T253" s="19"/>
      <c r="U253" s="19"/>
      <c r="V253" s="19"/>
      <c r="W253" s="19"/>
      <c r="X253" s="7"/>
      <c r="Y253" s="7"/>
      <c r="Z253" s="7"/>
      <c r="AA253" s="7"/>
    </row>
    <row r="254" spans="1:27" ht="15" customHeight="1">
      <c r="A254" s="17"/>
      <c r="B254" s="18"/>
      <c r="C254" s="17"/>
      <c r="D254" s="16"/>
      <c r="E254" s="15"/>
      <c r="F254" s="15"/>
      <c r="G254" s="15"/>
      <c r="H254" s="7"/>
      <c r="I254" s="7"/>
      <c r="J254" s="7"/>
      <c r="K254" s="7"/>
      <c r="L254" s="7"/>
      <c r="M254" s="7"/>
      <c r="N254" s="7"/>
      <c r="O254" s="7"/>
      <c r="P254" s="7"/>
      <c r="Q254" s="15"/>
      <c r="R254" s="15"/>
      <c r="S254" s="15"/>
      <c r="T254" s="19"/>
      <c r="U254" s="19"/>
      <c r="V254" s="19"/>
      <c r="W254" s="19"/>
      <c r="X254" s="7"/>
      <c r="Y254" s="7"/>
      <c r="Z254" s="7"/>
      <c r="AA254" s="7"/>
    </row>
    <row r="255" spans="1:27" ht="15" customHeight="1">
      <c r="A255" s="17"/>
      <c r="B255" s="18"/>
      <c r="C255" s="17"/>
      <c r="D255" s="16"/>
      <c r="E255" s="15"/>
      <c r="F255" s="15"/>
      <c r="G255" s="15"/>
      <c r="H255" s="7"/>
      <c r="I255" s="7"/>
      <c r="J255" s="7"/>
      <c r="K255" s="7"/>
      <c r="L255" s="7"/>
      <c r="M255" s="7"/>
      <c r="N255" s="7"/>
      <c r="O255" s="7"/>
      <c r="P255" s="7"/>
      <c r="Q255" s="15"/>
      <c r="R255" s="15"/>
      <c r="S255" s="15"/>
      <c r="T255" s="19"/>
      <c r="U255" s="19"/>
      <c r="V255" s="19"/>
      <c r="W255" s="19"/>
      <c r="X255" s="7"/>
      <c r="Y255" s="7"/>
      <c r="Z255" s="7"/>
      <c r="AA255" s="21"/>
    </row>
    <row r="256" spans="1:27" ht="15" customHeight="1">
      <c r="A256" s="17"/>
      <c r="B256" s="18"/>
      <c r="C256" s="17"/>
      <c r="D256" s="16"/>
      <c r="E256" s="15"/>
      <c r="F256" s="15"/>
      <c r="G256" s="15"/>
      <c r="H256" s="7"/>
      <c r="I256" s="7"/>
      <c r="J256" s="7"/>
      <c r="K256" s="7"/>
      <c r="L256" s="7"/>
      <c r="M256" s="7"/>
      <c r="N256" s="7"/>
      <c r="O256" s="7"/>
      <c r="P256" s="7"/>
      <c r="Q256" s="15"/>
      <c r="R256" s="15"/>
      <c r="S256" s="15"/>
      <c r="T256" s="19"/>
      <c r="U256" s="19"/>
      <c r="V256" s="19"/>
      <c r="W256" s="19"/>
      <c r="X256" s="7"/>
      <c r="Y256" s="7"/>
      <c r="Z256" s="7"/>
      <c r="AA256" s="20"/>
    </row>
    <row r="257" spans="1:27" ht="15" customHeight="1">
      <c r="A257" s="17"/>
      <c r="B257" s="18"/>
      <c r="C257" s="17"/>
      <c r="D257" s="16"/>
      <c r="E257" s="15"/>
      <c r="F257" s="15"/>
      <c r="G257" s="15"/>
      <c r="H257" s="7"/>
      <c r="I257" s="7"/>
      <c r="J257" s="7"/>
      <c r="K257" s="7"/>
      <c r="L257" s="7"/>
      <c r="M257" s="7"/>
      <c r="N257" s="7"/>
      <c r="O257" s="7"/>
      <c r="P257" s="7"/>
      <c r="Q257" s="15"/>
      <c r="R257" s="15"/>
      <c r="S257" s="15"/>
      <c r="T257" s="19"/>
      <c r="U257" s="19"/>
      <c r="V257" s="19"/>
      <c r="W257" s="19"/>
      <c r="X257" s="7"/>
      <c r="Y257" s="7"/>
      <c r="Z257" s="7"/>
      <c r="AA257" s="7"/>
    </row>
    <row r="258" spans="1:27" ht="15" customHeight="1">
      <c r="A258" s="17"/>
      <c r="B258" s="18"/>
      <c r="C258" s="17"/>
      <c r="D258" s="16"/>
      <c r="E258" s="15"/>
      <c r="F258" s="15"/>
      <c r="G258" s="15"/>
      <c r="H258" s="7"/>
      <c r="I258" s="7"/>
      <c r="J258" s="7"/>
      <c r="K258" s="7"/>
      <c r="L258" s="7"/>
      <c r="M258" s="7"/>
      <c r="N258" s="7"/>
      <c r="O258" s="7"/>
      <c r="P258" s="7"/>
      <c r="Q258" s="15"/>
      <c r="R258" s="15"/>
      <c r="S258" s="15"/>
      <c r="T258" s="19"/>
      <c r="U258" s="19"/>
      <c r="V258" s="19"/>
      <c r="W258" s="19"/>
      <c r="X258" s="7"/>
      <c r="Y258" s="7"/>
      <c r="Z258" s="7"/>
      <c r="AA258" s="7"/>
    </row>
    <row r="259" spans="1:27" ht="15" customHeight="1">
      <c r="A259" s="17"/>
      <c r="B259" s="18"/>
      <c r="C259" s="17"/>
      <c r="D259" s="16"/>
      <c r="E259" s="15"/>
      <c r="F259" s="15"/>
      <c r="G259" s="15"/>
      <c r="H259" s="7"/>
      <c r="I259" s="7"/>
      <c r="J259" s="7"/>
      <c r="K259" s="7"/>
      <c r="L259" s="7"/>
      <c r="M259" s="7"/>
      <c r="N259" s="7"/>
      <c r="O259" s="7"/>
      <c r="P259" s="7"/>
      <c r="Q259" s="15"/>
      <c r="R259" s="15"/>
      <c r="S259" s="15"/>
      <c r="T259" s="19"/>
      <c r="U259" s="19"/>
      <c r="V259" s="19"/>
      <c r="W259" s="19"/>
      <c r="X259" s="7"/>
      <c r="Y259" s="7"/>
      <c r="Z259" s="7"/>
      <c r="AA259" s="7"/>
    </row>
    <row r="260" spans="1:27" ht="15" customHeight="1">
      <c r="A260" s="17"/>
      <c r="B260" s="18"/>
      <c r="C260" s="17"/>
      <c r="D260" s="16"/>
      <c r="E260" s="15"/>
      <c r="F260" s="15"/>
      <c r="G260" s="15"/>
      <c r="H260" s="7"/>
      <c r="I260" s="7"/>
      <c r="J260" s="7"/>
      <c r="K260" s="7"/>
      <c r="L260" s="7"/>
      <c r="M260" s="7"/>
      <c r="N260" s="7"/>
      <c r="O260" s="7"/>
      <c r="P260" s="7"/>
      <c r="Q260" s="15"/>
      <c r="R260" s="15"/>
      <c r="S260" s="15"/>
      <c r="T260" s="19"/>
      <c r="U260" s="19"/>
      <c r="V260" s="19"/>
      <c r="W260" s="19"/>
      <c r="X260" s="7"/>
      <c r="Y260" s="7"/>
      <c r="Z260" s="7"/>
      <c r="AA260" s="5"/>
    </row>
    <row r="261" spans="1:27" ht="15" customHeight="1">
      <c r="A261" s="17"/>
      <c r="B261" s="18"/>
      <c r="C261" s="17"/>
      <c r="D261" s="16"/>
      <c r="E261" s="15"/>
      <c r="F261" s="15"/>
      <c r="G261" s="15"/>
      <c r="H261" s="7"/>
      <c r="I261" s="7"/>
      <c r="J261" s="7"/>
      <c r="K261" s="7"/>
      <c r="L261" s="7"/>
      <c r="M261" s="7"/>
      <c r="N261" s="7"/>
      <c r="O261" s="7"/>
      <c r="P261" s="7"/>
      <c r="Q261" s="15"/>
      <c r="R261" s="15"/>
      <c r="S261" s="15"/>
      <c r="T261" s="19"/>
      <c r="U261" s="19"/>
      <c r="V261" s="19"/>
      <c r="W261" s="19"/>
      <c r="X261" s="7"/>
      <c r="Y261" s="7"/>
      <c r="Z261" s="7"/>
      <c r="AA261" s="7"/>
    </row>
    <row r="262" spans="1:27" ht="15" customHeight="1">
      <c r="A262" s="17"/>
      <c r="B262" s="18"/>
      <c r="C262" s="17"/>
      <c r="D262" s="16"/>
      <c r="E262" s="15"/>
      <c r="F262" s="15"/>
      <c r="G262" s="15"/>
      <c r="H262" s="7"/>
      <c r="I262" s="7"/>
      <c r="J262" s="7"/>
      <c r="K262" s="7"/>
      <c r="L262" s="7"/>
      <c r="M262" s="7"/>
      <c r="N262" s="7"/>
      <c r="O262" s="7"/>
      <c r="P262" s="7"/>
      <c r="Q262" s="15"/>
      <c r="R262" s="15"/>
      <c r="S262" s="15"/>
      <c r="T262" s="19"/>
      <c r="U262" s="19"/>
      <c r="V262" s="19"/>
      <c r="W262" s="19"/>
      <c r="X262" s="7"/>
      <c r="Y262" s="7"/>
      <c r="Z262" s="7"/>
      <c r="AA262" s="7"/>
    </row>
    <row r="263" spans="1:27" ht="15" customHeight="1">
      <c r="A263" s="17"/>
      <c r="B263" s="18"/>
      <c r="C263" s="17"/>
      <c r="D263" s="16"/>
      <c r="E263" s="15"/>
      <c r="F263" s="15"/>
      <c r="G263" s="15"/>
      <c r="H263" s="7"/>
      <c r="I263" s="7"/>
      <c r="J263" s="7"/>
      <c r="K263" s="7"/>
      <c r="L263" s="7"/>
      <c r="M263" s="7"/>
      <c r="N263" s="7"/>
      <c r="O263" s="7"/>
      <c r="P263" s="7"/>
      <c r="Q263" s="15"/>
      <c r="R263" s="15"/>
      <c r="S263" s="15"/>
      <c r="T263" s="19"/>
      <c r="U263" s="19"/>
      <c r="V263" s="19"/>
      <c r="W263" s="19"/>
      <c r="X263" s="7"/>
      <c r="Y263" s="7"/>
      <c r="Z263" s="7"/>
      <c r="AA263" s="7"/>
    </row>
    <row r="264" spans="1:27" ht="15" customHeight="1">
      <c r="A264" s="17"/>
      <c r="B264" s="18"/>
      <c r="C264" s="17"/>
      <c r="D264" s="16"/>
      <c r="E264" s="15"/>
      <c r="F264" s="15"/>
      <c r="G264" s="15"/>
      <c r="H264" s="7"/>
      <c r="I264" s="7"/>
      <c r="J264" s="7"/>
      <c r="K264" s="7"/>
      <c r="L264" s="7"/>
      <c r="M264" s="7"/>
      <c r="N264" s="7"/>
      <c r="O264" s="7"/>
      <c r="P264" s="7"/>
      <c r="Q264" s="15"/>
      <c r="R264" s="15"/>
      <c r="S264" s="15"/>
      <c r="T264" s="19"/>
      <c r="U264" s="19"/>
      <c r="V264" s="19"/>
      <c r="W264" s="19"/>
      <c r="X264" s="7"/>
      <c r="Y264" s="7"/>
      <c r="Z264" s="7"/>
      <c r="AA264" s="7"/>
    </row>
    <row r="265" spans="1:27" ht="15" customHeight="1">
      <c r="A265" s="17"/>
      <c r="B265" s="18"/>
      <c r="C265" s="17"/>
      <c r="D265" s="16"/>
      <c r="E265" s="15"/>
      <c r="F265" s="15"/>
      <c r="G265" s="15"/>
      <c r="H265" s="7"/>
      <c r="I265" s="7"/>
      <c r="J265" s="7"/>
      <c r="K265" s="7"/>
      <c r="L265" s="7"/>
      <c r="M265" s="7"/>
      <c r="N265" s="7"/>
      <c r="O265" s="7"/>
      <c r="P265" s="7"/>
      <c r="Q265" s="15"/>
      <c r="R265" s="15"/>
      <c r="S265" s="15"/>
      <c r="T265" s="19"/>
      <c r="U265" s="19"/>
      <c r="V265" s="19"/>
      <c r="W265" s="19"/>
      <c r="X265" s="7"/>
      <c r="Y265" s="7"/>
      <c r="Z265" s="7"/>
      <c r="AA265" s="5"/>
    </row>
    <row r="266" spans="1:27" ht="15" customHeight="1">
      <c r="A266" s="17"/>
      <c r="B266" s="18"/>
      <c r="C266" s="17"/>
      <c r="D266" s="16"/>
      <c r="E266" s="15"/>
      <c r="F266" s="15"/>
      <c r="G266" s="15"/>
      <c r="H266" s="7"/>
      <c r="I266" s="7"/>
      <c r="J266" s="7"/>
      <c r="K266" s="7"/>
      <c r="L266" s="7"/>
      <c r="M266" s="7"/>
      <c r="N266" s="7"/>
      <c r="O266" s="7"/>
      <c r="P266" s="7"/>
      <c r="Q266" s="15"/>
      <c r="R266" s="15"/>
      <c r="S266" s="15"/>
      <c r="T266" s="19"/>
      <c r="U266" s="19"/>
      <c r="V266" s="19"/>
      <c r="W266" s="19"/>
      <c r="X266" s="7"/>
      <c r="Y266" s="7"/>
      <c r="Z266" s="7"/>
      <c r="AA266" s="7"/>
    </row>
    <row r="267" spans="1:27" ht="15" customHeight="1">
      <c r="A267" s="17"/>
      <c r="B267" s="18"/>
      <c r="C267" s="17"/>
      <c r="D267" s="16"/>
      <c r="E267" s="15"/>
      <c r="F267" s="15"/>
      <c r="G267" s="15"/>
      <c r="H267" s="7"/>
      <c r="I267" s="7"/>
      <c r="J267" s="7"/>
      <c r="K267" s="7"/>
      <c r="L267" s="7"/>
      <c r="M267" s="7"/>
      <c r="N267" s="7"/>
      <c r="O267" s="7"/>
      <c r="P267" s="7"/>
      <c r="Q267" s="15"/>
      <c r="R267" s="15"/>
      <c r="S267" s="15"/>
      <c r="T267" s="19"/>
      <c r="U267" s="19"/>
      <c r="V267" s="19"/>
      <c r="W267" s="19"/>
      <c r="X267" s="7"/>
      <c r="Y267" s="7"/>
      <c r="Z267" s="7"/>
      <c r="AA267" s="7"/>
    </row>
    <row r="268" spans="1:27" ht="15" customHeight="1">
      <c r="A268" s="17"/>
      <c r="B268" s="18"/>
      <c r="C268" s="17"/>
      <c r="D268" s="16"/>
      <c r="E268" s="15"/>
      <c r="F268" s="15"/>
      <c r="G268" s="15"/>
      <c r="H268" s="7"/>
      <c r="I268" s="7"/>
      <c r="J268" s="7"/>
      <c r="K268" s="7"/>
      <c r="L268" s="7"/>
      <c r="M268" s="7"/>
      <c r="N268" s="7"/>
      <c r="O268" s="7"/>
      <c r="P268" s="7"/>
      <c r="Q268" s="15"/>
      <c r="R268" s="15"/>
      <c r="S268" s="15"/>
      <c r="T268" s="19"/>
      <c r="U268" s="19"/>
      <c r="V268" s="19"/>
      <c r="W268" s="19"/>
      <c r="X268" s="7"/>
      <c r="Y268" s="7"/>
      <c r="Z268" s="7"/>
      <c r="AA268" s="7"/>
    </row>
    <row r="269" spans="1:27" ht="15" customHeight="1">
      <c r="A269" s="17"/>
      <c r="B269" s="18"/>
      <c r="C269" s="17"/>
      <c r="D269" s="16"/>
      <c r="E269" s="15"/>
      <c r="F269" s="15"/>
      <c r="G269" s="15"/>
      <c r="H269" s="7"/>
      <c r="I269" s="7"/>
      <c r="J269" s="7"/>
      <c r="K269" s="7"/>
      <c r="L269" s="7"/>
      <c r="M269" s="7"/>
      <c r="N269" s="7"/>
      <c r="O269" s="7"/>
      <c r="P269" s="7"/>
      <c r="Q269" s="15"/>
      <c r="R269" s="15"/>
      <c r="S269" s="15"/>
      <c r="T269" s="19"/>
      <c r="U269" s="19"/>
      <c r="V269" s="19"/>
      <c r="W269" s="19"/>
      <c r="X269" s="7"/>
      <c r="Y269" s="7"/>
      <c r="Z269" s="7"/>
      <c r="AA269" s="7"/>
    </row>
    <row r="270" spans="1:27" ht="15" customHeight="1">
      <c r="A270" s="17"/>
      <c r="B270" s="18"/>
      <c r="C270" s="17"/>
      <c r="D270" s="16"/>
      <c r="E270" s="15"/>
      <c r="F270" s="15"/>
      <c r="G270" s="15"/>
      <c r="H270" s="7"/>
      <c r="I270" s="7"/>
      <c r="J270" s="7"/>
      <c r="K270" s="7"/>
      <c r="L270" s="7"/>
      <c r="M270" s="7"/>
      <c r="N270" s="7"/>
      <c r="O270" s="7"/>
      <c r="P270" s="7"/>
      <c r="Q270" s="15"/>
      <c r="R270" s="15"/>
      <c r="S270" s="15"/>
      <c r="T270" s="19"/>
      <c r="U270" s="19"/>
      <c r="V270" s="19"/>
      <c r="W270" s="19"/>
      <c r="X270" s="7"/>
      <c r="Y270" s="7"/>
      <c r="Z270" s="7"/>
      <c r="AA270" s="7"/>
    </row>
    <row r="271" spans="1:27" ht="15" customHeight="1">
      <c r="A271" s="17"/>
      <c r="B271" s="18"/>
      <c r="C271" s="17"/>
      <c r="D271" s="16"/>
      <c r="E271" s="15"/>
      <c r="F271" s="15"/>
      <c r="G271" s="15"/>
      <c r="H271" s="7"/>
      <c r="I271" s="7"/>
      <c r="J271" s="7"/>
      <c r="K271" s="7"/>
      <c r="L271" s="7"/>
      <c r="M271" s="7"/>
      <c r="N271" s="7"/>
      <c r="O271" s="7"/>
      <c r="P271" s="7"/>
      <c r="Q271" s="15"/>
      <c r="R271" s="15"/>
      <c r="S271" s="15"/>
      <c r="T271" s="19"/>
      <c r="U271" s="19"/>
      <c r="V271" s="19"/>
      <c r="W271" s="19"/>
      <c r="X271" s="7"/>
      <c r="Y271" s="7"/>
      <c r="Z271" s="7"/>
      <c r="AA271" s="7"/>
    </row>
    <row r="272" spans="1:27" ht="15" customHeight="1">
      <c r="A272" s="17"/>
      <c r="B272" s="18"/>
      <c r="C272" s="17"/>
      <c r="D272" s="16"/>
      <c r="E272" s="15"/>
      <c r="F272" s="15"/>
      <c r="G272" s="15"/>
      <c r="H272" s="7"/>
      <c r="I272" s="7"/>
      <c r="J272" s="7"/>
      <c r="K272" s="7"/>
      <c r="L272" s="7"/>
      <c r="M272" s="7"/>
      <c r="N272" s="7"/>
      <c r="O272" s="7"/>
      <c r="P272" s="7"/>
      <c r="Q272" s="15"/>
      <c r="R272" s="15"/>
      <c r="S272" s="15"/>
      <c r="T272" s="19"/>
      <c r="U272" s="19"/>
      <c r="V272" s="19"/>
      <c r="W272" s="19"/>
      <c r="X272" s="7"/>
      <c r="Y272" s="7"/>
      <c r="Z272" s="7"/>
      <c r="AA272" s="7"/>
    </row>
    <row r="273" spans="1:27" ht="15" customHeight="1">
      <c r="A273" s="17"/>
      <c r="B273" s="18"/>
      <c r="C273" s="17"/>
      <c r="D273" s="16"/>
      <c r="E273" s="15"/>
      <c r="F273" s="15"/>
      <c r="G273" s="15"/>
      <c r="H273" s="7"/>
      <c r="I273" s="7"/>
      <c r="J273" s="7"/>
      <c r="K273" s="7"/>
      <c r="L273" s="7"/>
      <c r="M273" s="7"/>
      <c r="N273" s="7"/>
      <c r="O273" s="7"/>
      <c r="P273" s="7"/>
      <c r="Q273" s="15"/>
      <c r="R273" s="15"/>
      <c r="S273" s="15"/>
      <c r="T273" s="19"/>
      <c r="U273" s="19"/>
      <c r="V273" s="19"/>
      <c r="W273" s="19"/>
      <c r="X273" s="7"/>
      <c r="Y273" s="7"/>
      <c r="Z273" s="7"/>
      <c r="AA273" s="7"/>
    </row>
    <row r="274" spans="1:27" ht="15" customHeight="1">
      <c r="A274" s="17"/>
      <c r="B274" s="18"/>
      <c r="C274" s="17"/>
      <c r="D274" s="16"/>
      <c r="E274" s="15"/>
      <c r="F274" s="15"/>
      <c r="G274" s="15"/>
      <c r="H274" s="7"/>
      <c r="I274" s="7"/>
      <c r="J274" s="7"/>
      <c r="K274" s="7"/>
      <c r="L274" s="7"/>
      <c r="M274" s="7"/>
      <c r="N274" s="7"/>
      <c r="O274" s="7"/>
      <c r="P274" s="7"/>
      <c r="Q274" s="15"/>
      <c r="R274" s="15"/>
      <c r="S274" s="15"/>
      <c r="T274" s="19"/>
      <c r="U274" s="19"/>
      <c r="V274" s="19"/>
      <c r="W274" s="19"/>
      <c r="X274" s="7"/>
      <c r="Y274" s="7"/>
      <c r="Z274" s="7"/>
      <c r="AA274" s="7"/>
    </row>
    <row r="275" spans="1:27" ht="15" customHeight="1">
      <c r="A275" s="17"/>
      <c r="B275" s="18"/>
      <c r="C275" s="17"/>
      <c r="D275" s="16"/>
      <c r="E275" s="15"/>
      <c r="F275" s="15"/>
      <c r="G275" s="15"/>
      <c r="H275" s="7"/>
      <c r="I275" s="7"/>
      <c r="J275" s="7"/>
      <c r="K275" s="7"/>
      <c r="L275" s="7"/>
      <c r="M275" s="7"/>
      <c r="N275" s="7"/>
      <c r="O275" s="7"/>
      <c r="P275" s="7"/>
      <c r="Q275" s="15"/>
      <c r="R275" s="15"/>
      <c r="S275" s="15"/>
      <c r="T275" s="19"/>
      <c r="U275" s="19"/>
      <c r="V275" s="19"/>
      <c r="W275" s="19"/>
      <c r="X275" s="7"/>
      <c r="Y275" s="7"/>
      <c r="Z275" s="7"/>
      <c r="AA275" s="7"/>
    </row>
    <row r="276" spans="1:27" ht="15" customHeight="1">
      <c r="A276" s="17"/>
      <c r="B276" s="18"/>
      <c r="C276" s="17"/>
      <c r="D276" s="16"/>
      <c r="E276" s="15"/>
      <c r="F276" s="15"/>
      <c r="G276" s="15"/>
      <c r="H276" s="7"/>
      <c r="I276" s="7"/>
      <c r="J276" s="7"/>
      <c r="K276" s="7"/>
      <c r="L276" s="7"/>
      <c r="M276" s="7"/>
      <c r="N276" s="7"/>
      <c r="O276" s="7"/>
      <c r="P276" s="7"/>
      <c r="Q276" s="15"/>
      <c r="R276" s="15"/>
      <c r="S276" s="15"/>
      <c r="T276" s="19"/>
      <c r="U276" s="19"/>
      <c r="V276" s="19"/>
      <c r="W276" s="19"/>
      <c r="X276" s="7"/>
      <c r="Y276" s="7"/>
      <c r="Z276" s="7"/>
      <c r="AA276" s="7"/>
    </row>
    <row r="277" spans="1:27" ht="15" customHeight="1">
      <c r="A277" s="17"/>
      <c r="B277" s="18"/>
      <c r="C277" s="17"/>
      <c r="D277" s="16"/>
      <c r="E277" s="15"/>
      <c r="F277" s="15"/>
      <c r="G277" s="15"/>
      <c r="H277" s="7"/>
      <c r="I277" s="7"/>
      <c r="J277" s="7"/>
      <c r="K277" s="7"/>
      <c r="L277" s="7"/>
      <c r="M277" s="7"/>
      <c r="N277" s="7"/>
      <c r="O277" s="7"/>
      <c r="P277" s="7"/>
      <c r="Q277" s="15"/>
      <c r="R277" s="15"/>
      <c r="S277" s="15"/>
      <c r="T277" s="19"/>
      <c r="U277" s="19"/>
      <c r="V277" s="19"/>
      <c r="W277" s="19"/>
      <c r="X277" s="7"/>
      <c r="Y277" s="7"/>
      <c r="Z277" s="7"/>
      <c r="AA277" s="7"/>
    </row>
    <row r="278" spans="1:27" ht="15" customHeight="1">
      <c r="A278" s="17"/>
      <c r="B278" s="18"/>
      <c r="C278" s="17"/>
      <c r="D278" s="16"/>
      <c r="E278" s="15"/>
      <c r="F278" s="15"/>
      <c r="G278" s="15"/>
      <c r="H278" s="7"/>
      <c r="I278" s="7"/>
      <c r="J278" s="7"/>
      <c r="K278" s="7"/>
      <c r="L278" s="7"/>
      <c r="M278" s="7"/>
      <c r="N278" s="7"/>
      <c r="O278" s="7"/>
      <c r="P278" s="7"/>
      <c r="Q278" s="15"/>
      <c r="R278" s="15"/>
      <c r="S278" s="15"/>
      <c r="T278" s="19"/>
      <c r="U278" s="19"/>
      <c r="V278" s="19"/>
      <c r="W278" s="19"/>
      <c r="X278" s="7"/>
      <c r="Y278" s="7"/>
      <c r="Z278" s="7"/>
      <c r="AA278" s="7"/>
    </row>
    <row r="279" spans="1:27" ht="15" customHeight="1">
      <c r="A279" s="17"/>
      <c r="B279" s="18"/>
      <c r="C279" s="17"/>
      <c r="D279" s="16"/>
      <c r="E279" s="15"/>
      <c r="F279" s="15"/>
      <c r="G279" s="15"/>
      <c r="H279" s="7"/>
      <c r="I279" s="7"/>
      <c r="J279" s="7"/>
      <c r="K279" s="7"/>
      <c r="L279" s="7"/>
      <c r="M279" s="7"/>
      <c r="N279" s="7"/>
      <c r="O279" s="7"/>
      <c r="P279" s="7"/>
      <c r="Q279" s="15"/>
      <c r="R279" s="15"/>
      <c r="S279" s="15"/>
      <c r="T279" s="19"/>
      <c r="U279" s="19"/>
      <c r="V279" s="19"/>
      <c r="W279" s="19"/>
      <c r="X279" s="7"/>
      <c r="Y279" s="7"/>
      <c r="Z279" s="7"/>
      <c r="AA279" s="7"/>
    </row>
    <row r="280" spans="1:27" ht="15" customHeight="1">
      <c r="A280" s="17"/>
      <c r="B280" s="18"/>
      <c r="C280" s="17"/>
      <c r="D280" s="16"/>
      <c r="E280" s="15"/>
      <c r="F280" s="15"/>
      <c r="G280" s="15"/>
      <c r="H280" s="7"/>
      <c r="I280" s="7"/>
      <c r="J280" s="7"/>
      <c r="K280" s="7"/>
      <c r="L280" s="7"/>
      <c r="M280" s="7"/>
      <c r="N280" s="7"/>
      <c r="O280" s="7"/>
      <c r="P280" s="7"/>
      <c r="Q280" s="15"/>
      <c r="R280" s="15"/>
      <c r="S280" s="15"/>
      <c r="T280" s="19"/>
      <c r="U280" s="19"/>
      <c r="V280" s="19"/>
      <c r="W280" s="19"/>
      <c r="X280" s="7"/>
      <c r="Y280" s="7"/>
      <c r="Z280" s="7"/>
      <c r="AA280" s="7"/>
    </row>
    <row r="281" spans="1:27" ht="15" customHeight="1">
      <c r="A281" s="17"/>
      <c r="B281" s="18"/>
      <c r="C281" s="17"/>
      <c r="D281" s="16"/>
      <c r="E281" s="15"/>
      <c r="F281" s="15"/>
      <c r="G281" s="15"/>
      <c r="H281" s="7"/>
      <c r="I281" s="7"/>
      <c r="J281" s="7"/>
      <c r="K281" s="7"/>
      <c r="L281" s="7"/>
      <c r="M281" s="7"/>
      <c r="N281" s="7"/>
      <c r="O281" s="7"/>
      <c r="P281" s="7"/>
      <c r="Q281" s="15"/>
      <c r="R281" s="15"/>
      <c r="S281" s="15"/>
      <c r="T281" s="19"/>
      <c r="U281" s="19"/>
      <c r="V281" s="19"/>
      <c r="W281" s="19"/>
      <c r="X281" s="7"/>
      <c r="Y281" s="7"/>
      <c r="Z281" s="7"/>
      <c r="AA281" s="7"/>
    </row>
    <row r="282" spans="1:27" ht="15" customHeight="1">
      <c r="A282" s="17"/>
      <c r="B282" s="18"/>
      <c r="C282" s="17"/>
      <c r="D282" s="16"/>
      <c r="E282" s="15"/>
      <c r="F282" s="15"/>
      <c r="G282" s="15"/>
      <c r="H282" s="7"/>
      <c r="I282" s="7"/>
      <c r="J282" s="7"/>
      <c r="K282" s="7"/>
      <c r="L282" s="7"/>
      <c r="M282" s="7"/>
      <c r="N282" s="7"/>
      <c r="O282" s="7"/>
      <c r="P282" s="7"/>
      <c r="Q282" s="15"/>
      <c r="R282" s="15"/>
      <c r="S282" s="15"/>
      <c r="T282" s="19"/>
      <c r="U282" s="19"/>
      <c r="V282" s="19"/>
      <c r="W282" s="19"/>
      <c r="X282" s="7"/>
      <c r="Y282" s="7"/>
      <c r="Z282" s="7"/>
      <c r="AA282" s="7"/>
    </row>
    <row r="283" spans="1:27" ht="15" customHeight="1">
      <c r="A283" s="17"/>
      <c r="B283" s="18"/>
      <c r="C283" s="17"/>
      <c r="D283" s="16"/>
      <c r="E283" s="15"/>
      <c r="F283" s="15"/>
      <c r="G283" s="15"/>
      <c r="H283" s="7"/>
      <c r="I283" s="7"/>
      <c r="J283" s="7"/>
      <c r="K283" s="7"/>
      <c r="L283" s="7"/>
      <c r="M283" s="7"/>
      <c r="N283" s="7"/>
      <c r="O283" s="7"/>
      <c r="P283" s="7"/>
      <c r="Q283" s="15"/>
      <c r="R283" s="15"/>
      <c r="S283" s="15"/>
      <c r="T283" s="19"/>
      <c r="U283" s="19"/>
      <c r="V283" s="19"/>
      <c r="W283" s="19"/>
      <c r="X283" s="7"/>
      <c r="Y283" s="7"/>
      <c r="Z283" s="7"/>
      <c r="AA283" s="7"/>
    </row>
    <row r="284" spans="1:27" ht="15" customHeight="1">
      <c r="A284" s="17"/>
      <c r="B284" s="18"/>
      <c r="C284" s="17"/>
      <c r="D284" s="16"/>
      <c r="E284" s="15"/>
      <c r="F284" s="15"/>
      <c r="G284" s="15"/>
      <c r="H284" s="7"/>
      <c r="I284" s="7"/>
      <c r="J284" s="7"/>
      <c r="K284" s="7"/>
      <c r="L284" s="7"/>
      <c r="M284" s="7"/>
      <c r="N284" s="7"/>
      <c r="O284" s="7"/>
      <c r="P284" s="7"/>
      <c r="Q284" s="15"/>
      <c r="R284" s="15"/>
      <c r="S284" s="15"/>
      <c r="T284" s="19"/>
      <c r="U284" s="19"/>
      <c r="V284" s="19"/>
      <c r="W284" s="19"/>
      <c r="X284" s="7"/>
      <c r="Y284" s="7"/>
      <c r="Z284" s="7"/>
      <c r="AA284" s="7"/>
    </row>
    <row r="285" spans="1:27" ht="15" customHeight="1">
      <c r="A285" s="17"/>
      <c r="B285" s="18"/>
      <c r="C285" s="17"/>
      <c r="D285" s="16"/>
      <c r="E285" s="15"/>
      <c r="F285" s="15"/>
      <c r="G285" s="15"/>
      <c r="H285" s="7"/>
      <c r="I285" s="7"/>
      <c r="J285" s="7"/>
      <c r="K285" s="7"/>
      <c r="L285" s="7"/>
      <c r="M285" s="7"/>
      <c r="N285" s="7"/>
      <c r="O285" s="7"/>
      <c r="P285" s="7"/>
      <c r="Q285" s="15"/>
      <c r="R285" s="15"/>
      <c r="S285" s="15"/>
      <c r="T285" s="19"/>
      <c r="U285" s="19"/>
      <c r="V285" s="19"/>
      <c r="W285" s="19"/>
      <c r="X285" s="7"/>
      <c r="Y285" s="7"/>
      <c r="Z285" s="7"/>
      <c r="AA285" s="7"/>
    </row>
    <row r="286" spans="1:27" ht="15" customHeight="1">
      <c r="A286" s="17"/>
      <c r="B286" s="18"/>
      <c r="C286" s="17"/>
      <c r="D286" s="16"/>
      <c r="E286" s="15"/>
      <c r="F286" s="15"/>
      <c r="G286" s="15"/>
      <c r="H286" s="7"/>
      <c r="I286" s="7"/>
      <c r="J286" s="7"/>
      <c r="K286" s="7"/>
      <c r="L286" s="7"/>
      <c r="M286" s="7"/>
      <c r="N286" s="7"/>
      <c r="O286" s="7"/>
      <c r="P286" s="7"/>
      <c r="Q286" s="15"/>
      <c r="R286" s="15"/>
      <c r="S286" s="15"/>
      <c r="T286" s="5"/>
      <c r="U286" s="19"/>
      <c r="V286" s="19"/>
      <c r="W286" s="19"/>
      <c r="X286" s="7"/>
      <c r="Y286" s="7"/>
      <c r="Z286" s="7"/>
      <c r="AA286" s="21"/>
    </row>
    <row r="287" spans="1:27" ht="15" customHeight="1">
      <c r="A287" s="17"/>
      <c r="B287" s="18"/>
      <c r="C287" s="17"/>
      <c r="D287" s="16"/>
      <c r="E287" s="15"/>
      <c r="F287" s="15"/>
      <c r="G287" s="15"/>
      <c r="H287" s="7"/>
      <c r="I287" s="7"/>
      <c r="J287" s="7"/>
      <c r="K287" s="7"/>
      <c r="L287" s="7"/>
      <c r="M287" s="7"/>
      <c r="N287" s="7"/>
      <c r="O287" s="7"/>
      <c r="P287" s="7"/>
      <c r="Q287" s="15"/>
      <c r="R287" s="15"/>
      <c r="S287" s="15"/>
      <c r="T287" s="5"/>
      <c r="U287" s="19"/>
      <c r="V287" s="19"/>
      <c r="W287" s="19"/>
      <c r="X287" s="7"/>
      <c r="Y287" s="7"/>
      <c r="Z287" s="7"/>
      <c r="AA287" s="20"/>
    </row>
    <row r="288" spans="1:27" ht="15" customHeight="1">
      <c r="A288" s="17"/>
      <c r="B288" s="18"/>
      <c r="C288" s="17"/>
      <c r="D288" s="16"/>
      <c r="E288" s="15"/>
      <c r="F288" s="15"/>
      <c r="G288" s="15"/>
      <c r="H288" s="7"/>
      <c r="I288" s="7"/>
      <c r="J288" s="7"/>
      <c r="K288" s="7"/>
      <c r="L288" s="7"/>
      <c r="M288" s="7"/>
      <c r="N288" s="7"/>
      <c r="O288" s="7"/>
      <c r="P288" s="7"/>
      <c r="Q288" s="15"/>
      <c r="R288" s="15"/>
      <c r="S288" s="15"/>
      <c r="T288" s="5"/>
      <c r="U288" s="19"/>
      <c r="V288" s="19"/>
      <c r="W288" s="19"/>
      <c r="X288" s="7"/>
      <c r="Y288" s="7"/>
      <c r="Z288" s="7"/>
      <c r="AA288" s="7"/>
    </row>
    <row r="289" spans="1:27" ht="15" customHeight="1">
      <c r="A289" s="17"/>
      <c r="B289" s="18"/>
      <c r="C289" s="17"/>
      <c r="D289" s="16"/>
      <c r="E289" s="15"/>
      <c r="F289" s="15"/>
      <c r="G289" s="15"/>
      <c r="H289" s="7"/>
      <c r="I289" s="7"/>
      <c r="J289" s="7"/>
      <c r="K289" s="7"/>
      <c r="L289" s="7"/>
      <c r="M289" s="7"/>
      <c r="N289" s="7"/>
      <c r="O289" s="7"/>
      <c r="P289" s="7"/>
      <c r="Q289" s="15"/>
      <c r="R289" s="15"/>
      <c r="S289" s="15"/>
      <c r="T289" s="5"/>
      <c r="U289" s="19"/>
      <c r="V289" s="19"/>
      <c r="W289" s="19"/>
      <c r="X289" s="7"/>
      <c r="Y289" s="7"/>
      <c r="Z289" s="7"/>
      <c r="AA289" s="7"/>
    </row>
    <row r="290" spans="1:27" ht="15" customHeight="1">
      <c r="A290" s="17"/>
      <c r="B290" s="18"/>
      <c r="C290" s="17"/>
      <c r="D290" s="16"/>
      <c r="E290" s="15"/>
      <c r="F290" s="15"/>
      <c r="G290" s="15"/>
      <c r="H290" s="7"/>
      <c r="I290" s="7"/>
      <c r="J290" s="7"/>
      <c r="K290" s="7"/>
      <c r="L290" s="7"/>
      <c r="M290" s="7"/>
      <c r="N290" s="7"/>
      <c r="O290" s="7"/>
      <c r="P290" s="7"/>
      <c r="Q290" s="15"/>
      <c r="R290" s="15"/>
      <c r="S290" s="15"/>
      <c r="T290" s="5"/>
      <c r="U290" s="19"/>
      <c r="V290" s="19"/>
      <c r="W290" s="19"/>
      <c r="X290" s="7"/>
      <c r="Y290" s="7"/>
      <c r="Z290" s="7"/>
      <c r="AA290" s="7"/>
    </row>
    <row r="291" spans="1:27" ht="15" customHeight="1">
      <c r="A291" s="17"/>
      <c r="B291" s="18"/>
      <c r="C291" s="17"/>
      <c r="D291" s="16"/>
      <c r="E291" s="15"/>
      <c r="F291" s="15"/>
      <c r="G291" s="15"/>
      <c r="H291" s="7"/>
      <c r="I291" s="7"/>
      <c r="J291" s="7"/>
      <c r="K291" s="7"/>
      <c r="L291" s="7"/>
      <c r="M291" s="7"/>
      <c r="N291" s="7"/>
      <c r="O291" s="7"/>
      <c r="P291" s="7"/>
      <c r="Q291" s="15"/>
      <c r="R291" s="15"/>
      <c r="S291" s="15"/>
      <c r="T291" s="5"/>
      <c r="U291" s="19"/>
      <c r="V291" s="19"/>
      <c r="W291" s="19"/>
      <c r="X291" s="7"/>
      <c r="Y291" s="7"/>
      <c r="Z291" s="7"/>
      <c r="AA291" s="7"/>
    </row>
    <row r="292" spans="1:27" ht="15" customHeight="1">
      <c r="A292" s="17"/>
      <c r="B292" s="18"/>
      <c r="C292" s="17"/>
      <c r="D292" s="16"/>
      <c r="E292" s="15"/>
      <c r="F292" s="15"/>
      <c r="G292" s="15"/>
      <c r="H292" s="7"/>
      <c r="I292" s="7"/>
      <c r="J292" s="7"/>
      <c r="K292" s="7"/>
      <c r="L292" s="7"/>
      <c r="M292" s="7"/>
      <c r="N292" s="7"/>
      <c r="O292" s="7"/>
      <c r="P292" s="7"/>
      <c r="Q292" s="15"/>
      <c r="R292" s="15"/>
      <c r="S292" s="15"/>
      <c r="T292" s="5"/>
      <c r="U292" s="19"/>
      <c r="V292" s="19"/>
      <c r="W292" s="19"/>
      <c r="X292" s="7"/>
      <c r="Y292" s="7"/>
      <c r="Z292" s="7"/>
      <c r="AA292" s="7"/>
    </row>
    <row r="293" spans="1:27" ht="15" customHeight="1">
      <c r="A293" s="17"/>
      <c r="B293" s="18"/>
      <c r="C293" s="17"/>
      <c r="D293" s="16"/>
      <c r="E293" s="15"/>
      <c r="F293" s="15"/>
      <c r="G293" s="15"/>
      <c r="H293" s="7"/>
      <c r="I293" s="7"/>
      <c r="J293" s="7"/>
      <c r="K293" s="7"/>
      <c r="L293" s="7"/>
      <c r="M293" s="7"/>
      <c r="N293" s="7"/>
      <c r="O293" s="7"/>
      <c r="P293" s="7"/>
      <c r="Q293" s="15"/>
      <c r="R293" s="15"/>
      <c r="S293" s="15"/>
      <c r="T293" s="5"/>
      <c r="U293" s="19"/>
      <c r="V293" s="19"/>
      <c r="W293" s="19"/>
      <c r="X293" s="7"/>
      <c r="Y293" s="7"/>
      <c r="Z293" s="7"/>
      <c r="AA293" s="7"/>
    </row>
    <row r="294" spans="1:27" ht="15" customHeight="1">
      <c r="A294" s="17"/>
      <c r="B294" s="18"/>
      <c r="C294" s="17"/>
      <c r="D294" s="16"/>
      <c r="E294" s="15"/>
      <c r="F294" s="15"/>
      <c r="G294" s="15"/>
      <c r="H294" s="7"/>
      <c r="I294" s="7"/>
      <c r="J294" s="7"/>
      <c r="K294" s="7"/>
      <c r="L294" s="7"/>
      <c r="M294" s="7"/>
      <c r="N294" s="7"/>
      <c r="O294" s="7"/>
      <c r="P294" s="7"/>
      <c r="Q294" s="15"/>
      <c r="R294" s="15"/>
      <c r="S294" s="15"/>
      <c r="T294" s="5"/>
      <c r="U294" s="19"/>
      <c r="V294" s="19"/>
      <c r="W294" s="19"/>
      <c r="X294" s="7"/>
      <c r="Y294" s="7"/>
      <c r="Z294" s="7"/>
      <c r="AA294" s="7"/>
    </row>
    <row r="295" spans="1:27" ht="15" customHeight="1">
      <c r="A295" s="17"/>
      <c r="B295" s="18"/>
      <c r="C295" s="17"/>
      <c r="D295" s="16"/>
      <c r="E295" s="15"/>
      <c r="F295" s="15"/>
      <c r="G295" s="15"/>
      <c r="H295" s="7"/>
      <c r="I295" s="7"/>
      <c r="J295" s="7"/>
      <c r="K295" s="7"/>
      <c r="L295" s="7"/>
      <c r="M295" s="7"/>
      <c r="N295" s="7"/>
      <c r="O295" s="7"/>
      <c r="P295" s="7"/>
      <c r="Q295" s="15"/>
      <c r="R295" s="15"/>
      <c r="S295" s="15"/>
      <c r="T295" s="5"/>
      <c r="U295" s="19"/>
      <c r="V295" s="19"/>
      <c r="W295" s="19"/>
      <c r="X295" s="7"/>
      <c r="Y295" s="7"/>
      <c r="Z295" s="7"/>
      <c r="AA295" s="7"/>
    </row>
    <row r="296" spans="1:27" ht="15" customHeight="1">
      <c r="A296" s="17">
        <v>284</v>
      </c>
      <c r="B296" s="18"/>
      <c r="C296" s="17"/>
      <c r="D296" s="16"/>
      <c r="E296" s="15"/>
      <c r="F296" s="15"/>
      <c r="G296" s="15"/>
      <c r="H296" s="7"/>
      <c r="I296" s="7"/>
      <c r="J296" s="7"/>
      <c r="K296" s="7"/>
      <c r="L296" s="7"/>
      <c r="M296" s="7"/>
      <c r="N296" s="7"/>
      <c r="O296" s="7"/>
      <c r="P296" s="7"/>
      <c r="Q296" s="15"/>
      <c r="R296" s="15"/>
      <c r="S296" s="15"/>
      <c r="T296" s="5"/>
      <c r="U296" s="5"/>
      <c r="V296" s="5"/>
      <c r="W296" s="5"/>
      <c r="X296" s="7"/>
      <c r="Y296" s="7"/>
      <c r="Z296" s="7"/>
      <c r="AA296" s="5"/>
    </row>
    <row r="297" spans="1:27" ht="15" customHeight="1">
      <c r="A297" s="17">
        <v>285</v>
      </c>
      <c r="B297" s="18"/>
      <c r="C297" s="17"/>
      <c r="D297" s="16"/>
      <c r="E297" s="15"/>
      <c r="F297" s="15"/>
      <c r="G297" s="15"/>
      <c r="H297" s="7"/>
      <c r="I297" s="7"/>
      <c r="J297" s="7"/>
      <c r="K297" s="7"/>
      <c r="L297" s="7"/>
      <c r="M297" s="7"/>
      <c r="N297" s="7"/>
      <c r="O297" s="7"/>
      <c r="P297" s="7"/>
      <c r="Q297" s="15"/>
      <c r="R297" s="15"/>
      <c r="S297" s="15"/>
      <c r="T297" s="5"/>
      <c r="U297" s="5"/>
      <c r="V297" s="5"/>
      <c r="W297" s="5"/>
      <c r="X297" s="7"/>
      <c r="Y297" s="7"/>
      <c r="Z297" s="7"/>
      <c r="AA297" s="7"/>
    </row>
    <row r="298" spans="1:27" ht="15" customHeight="1">
      <c r="A298" s="17">
        <v>286</v>
      </c>
      <c r="B298" s="18"/>
      <c r="C298" s="17"/>
      <c r="D298" s="16"/>
      <c r="E298" s="15"/>
      <c r="F298" s="15"/>
      <c r="G298" s="15"/>
      <c r="H298" s="7"/>
      <c r="I298" s="7"/>
      <c r="J298" s="7"/>
      <c r="K298" s="7"/>
      <c r="L298" s="7"/>
      <c r="M298" s="7"/>
      <c r="N298" s="7"/>
      <c r="O298" s="7"/>
      <c r="P298" s="7"/>
      <c r="Q298" s="15"/>
      <c r="R298" s="15"/>
      <c r="S298" s="15"/>
      <c r="T298" s="5"/>
      <c r="U298" s="5"/>
      <c r="V298" s="5"/>
      <c r="W298" s="5"/>
      <c r="X298" s="7"/>
      <c r="Y298" s="7"/>
      <c r="Z298" s="7"/>
      <c r="AA298" s="7"/>
    </row>
    <row r="299" spans="1:27" ht="15" customHeight="1">
      <c r="A299" s="17">
        <v>287</v>
      </c>
      <c r="B299" s="18"/>
      <c r="C299" s="17"/>
      <c r="D299" s="16"/>
      <c r="E299" s="15"/>
      <c r="F299" s="15"/>
      <c r="G299" s="15"/>
      <c r="H299" s="7"/>
      <c r="I299" s="7"/>
      <c r="J299" s="7"/>
      <c r="K299" s="7"/>
      <c r="L299" s="7"/>
      <c r="M299" s="7"/>
      <c r="N299" s="7"/>
      <c r="O299" s="7"/>
      <c r="P299" s="7"/>
      <c r="Q299" s="15"/>
      <c r="R299" s="15"/>
      <c r="S299" s="15"/>
      <c r="T299" s="5"/>
      <c r="U299" s="5"/>
      <c r="V299" s="5"/>
      <c r="W299" s="5"/>
      <c r="X299" s="7"/>
      <c r="Y299" s="7"/>
      <c r="Z299" s="7"/>
      <c r="AA299" s="7"/>
    </row>
    <row r="300" spans="1:27" ht="15" customHeight="1">
      <c r="A300" s="17">
        <v>288</v>
      </c>
      <c r="B300" s="18"/>
      <c r="C300" s="17"/>
      <c r="D300" s="16"/>
      <c r="E300" s="15"/>
      <c r="F300" s="15"/>
      <c r="G300" s="15"/>
      <c r="H300" s="7"/>
      <c r="I300" s="7"/>
      <c r="J300" s="7"/>
      <c r="K300" s="7"/>
      <c r="L300" s="7"/>
      <c r="M300" s="7"/>
      <c r="N300" s="7"/>
      <c r="O300" s="7"/>
      <c r="P300" s="7"/>
      <c r="Q300" s="15"/>
      <c r="R300" s="15"/>
      <c r="S300" s="15"/>
      <c r="T300" s="5"/>
      <c r="U300" s="5"/>
      <c r="V300" s="5"/>
      <c r="W300" s="5"/>
      <c r="X300" s="7"/>
      <c r="Y300" s="7"/>
      <c r="Z300" s="7"/>
      <c r="AA300" s="7"/>
    </row>
    <row r="301" spans="1:27" ht="15" customHeight="1">
      <c r="A301" s="17">
        <v>289</v>
      </c>
      <c r="B301" s="18"/>
      <c r="C301" s="17"/>
      <c r="D301" s="16"/>
      <c r="E301" s="15"/>
      <c r="F301" s="15"/>
      <c r="G301" s="15"/>
      <c r="H301" s="7"/>
      <c r="I301" s="7"/>
      <c r="J301" s="7"/>
      <c r="K301" s="7"/>
      <c r="L301" s="7"/>
      <c r="M301" s="7"/>
      <c r="N301" s="7"/>
      <c r="O301" s="7"/>
      <c r="P301" s="7"/>
      <c r="Q301" s="15"/>
      <c r="R301" s="15"/>
      <c r="S301" s="15"/>
      <c r="T301" s="5"/>
      <c r="U301" s="5"/>
      <c r="V301" s="5"/>
      <c r="W301" s="5"/>
      <c r="X301" s="7"/>
      <c r="Y301" s="7"/>
      <c r="Z301" s="7"/>
      <c r="AA301" s="7"/>
    </row>
    <row r="302" spans="1:27" ht="15" customHeight="1">
      <c r="A302" s="17">
        <v>290</v>
      </c>
      <c r="B302" s="18"/>
      <c r="C302" s="17"/>
      <c r="D302" s="16"/>
      <c r="E302" s="15"/>
      <c r="F302" s="15"/>
      <c r="G302" s="15"/>
      <c r="H302" s="7"/>
      <c r="I302" s="7"/>
      <c r="J302" s="7"/>
      <c r="K302" s="7"/>
      <c r="L302" s="7"/>
      <c r="M302" s="7"/>
      <c r="N302" s="7"/>
      <c r="O302" s="7"/>
      <c r="P302" s="7"/>
      <c r="Q302" s="15"/>
      <c r="R302" s="15"/>
      <c r="S302" s="15"/>
      <c r="T302" s="5"/>
      <c r="U302" s="5"/>
      <c r="V302" s="5"/>
      <c r="W302" s="5"/>
      <c r="X302" s="7"/>
      <c r="Y302" s="7"/>
      <c r="Z302" s="7"/>
      <c r="AA302" s="7"/>
    </row>
    <row r="303" spans="1:27" ht="15" customHeight="1">
      <c r="A303" s="17">
        <v>291</v>
      </c>
      <c r="B303" s="18"/>
      <c r="C303" s="17"/>
      <c r="D303" s="16"/>
      <c r="E303" s="15"/>
      <c r="F303" s="15"/>
      <c r="G303" s="15"/>
      <c r="H303" s="7"/>
      <c r="I303" s="7"/>
      <c r="J303" s="7"/>
      <c r="K303" s="7"/>
      <c r="L303" s="7"/>
      <c r="M303" s="7"/>
      <c r="N303" s="7"/>
      <c r="O303" s="7"/>
      <c r="P303" s="7"/>
      <c r="Q303" s="15"/>
      <c r="R303" s="15"/>
      <c r="S303" s="15"/>
      <c r="T303" s="5"/>
      <c r="U303" s="5"/>
      <c r="V303" s="5"/>
      <c r="W303" s="5"/>
      <c r="X303" s="7"/>
      <c r="Y303" s="7"/>
      <c r="Z303" s="7"/>
      <c r="AA303" s="7"/>
    </row>
    <row r="304" spans="1:27" ht="15" customHeight="1">
      <c r="A304" s="17">
        <v>292</v>
      </c>
      <c r="B304" s="18"/>
      <c r="C304" s="17"/>
      <c r="D304" s="16"/>
      <c r="E304" s="15"/>
      <c r="F304" s="15"/>
      <c r="G304" s="15"/>
      <c r="H304" s="7"/>
      <c r="I304" s="7"/>
      <c r="J304" s="7"/>
      <c r="K304" s="7"/>
      <c r="L304" s="7"/>
      <c r="M304" s="7"/>
      <c r="N304" s="7"/>
      <c r="O304" s="7"/>
      <c r="P304" s="7"/>
      <c r="Q304" s="15"/>
      <c r="R304" s="15"/>
      <c r="S304" s="15"/>
      <c r="T304" s="5"/>
      <c r="U304" s="5"/>
      <c r="V304" s="5"/>
      <c r="W304" s="5"/>
      <c r="X304" s="7"/>
      <c r="Y304" s="7"/>
      <c r="Z304" s="7"/>
      <c r="AA304" s="7"/>
    </row>
    <row r="305" spans="1:27" ht="15" customHeight="1">
      <c r="A305" s="17">
        <v>293</v>
      </c>
      <c r="B305" s="18"/>
      <c r="C305" s="17"/>
      <c r="D305" s="16"/>
      <c r="E305" s="15"/>
      <c r="F305" s="15"/>
      <c r="G305" s="15"/>
      <c r="H305" s="7"/>
      <c r="I305" s="7"/>
      <c r="J305" s="7"/>
      <c r="K305" s="7"/>
      <c r="L305" s="7"/>
      <c r="M305" s="7"/>
      <c r="N305" s="7"/>
      <c r="O305" s="7"/>
      <c r="P305" s="7"/>
      <c r="Q305" s="15"/>
      <c r="R305" s="15"/>
      <c r="S305" s="15"/>
      <c r="T305" s="5"/>
      <c r="U305" s="5"/>
      <c r="V305" s="5"/>
      <c r="W305" s="5"/>
      <c r="X305" s="7"/>
      <c r="Y305" s="7"/>
      <c r="Z305" s="7"/>
      <c r="AA305" s="7"/>
    </row>
    <row r="306" spans="1:27" ht="15" customHeight="1">
      <c r="A306" s="17">
        <v>294</v>
      </c>
      <c r="B306" s="18"/>
      <c r="C306" s="17"/>
      <c r="D306" s="16"/>
      <c r="E306" s="15"/>
      <c r="F306" s="15"/>
      <c r="G306" s="15"/>
      <c r="H306" s="7"/>
      <c r="I306" s="7"/>
      <c r="J306" s="7"/>
      <c r="K306" s="7"/>
      <c r="L306" s="7"/>
      <c r="M306" s="7"/>
      <c r="N306" s="7"/>
      <c r="O306" s="7"/>
      <c r="P306" s="7"/>
      <c r="Q306" s="15"/>
      <c r="R306" s="15"/>
      <c r="S306" s="15"/>
      <c r="T306" s="5"/>
      <c r="U306" s="5"/>
      <c r="V306" s="5"/>
      <c r="W306" s="5"/>
      <c r="X306" s="7"/>
      <c r="Y306" s="7"/>
      <c r="Z306" s="7"/>
      <c r="AA306" s="7"/>
    </row>
    <row r="307" spans="1:27" ht="15" customHeight="1">
      <c r="A307" s="17">
        <v>295</v>
      </c>
      <c r="B307" s="18"/>
      <c r="C307" s="17"/>
      <c r="D307" s="16"/>
      <c r="E307" s="15"/>
      <c r="F307" s="15"/>
      <c r="G307" s="15"/>
      <c r="H307" s="7"/>
      <c r="I307" s="7"/>
      <c r="J307" s="7"/>
      <c r="K307" s="7"/>
      <c r="L307" s="7"/>
      <c r="M307" s="7"/>
      <c r="N307" s="7"/>
      <c r="O307" s="7"/>
      <c r="P307" s="7"/>
      <c r="Q307" s="15"/>
      <c r="R307" s="15"/>
      <c r="S307" s="15"/>
      <c r="T307" s="5"/>
      <c r="U307" s="5"/>
      <c r="V307" s="5"/>
      <c r="W307" s="5"/>
      <c r="X307" s="7"/>
      <c r="Y307" s="7"/>
      <c r="Z307" s="7"/>
      <c r="AA307" s="7"/>
    </row>
    <row r="308" spans="1:27" ht="15" customHeight="1">
      <c r="A308" s="17">
        <v>296</v>
      </c>
      <c r="B308" s="18"/>
      <c r="C308" s="17"/>
      <c r="D308" s="16"/>
      <c r="E308" s="15"/>
      <c r="F308" s="15"/>
      <c r="G308" s="15"/>
      <c r="H308" s="7"/>
      <c r="I308" s="7"/>
      <c r="J308" s="7"/>
      <c r="K308" s="7"/>
      <c r="L308" s="7"/>
      <c r="M308" s="7"/>
      <c r="N308" s="7"/>
      <c r="O308" s="7"/>
      <c r="P308" s="7"/>
      <c r="Q308" s="15"/>
      <c r="R308" s="15"/>
      <c r="S308" s="15"/>
      <c r="T308" s="5"/>
      <c r="U308" s="5"/>
      <c r="V308" s="5"/>
      <c r="W308" s="5"/>
      <c r="X308" s="7"/>
      <c r="Y308" s="7"/>
      <c r="Z308" s="7"/>
      <c r="AA308" s="7"/>
    </row>
    <row r="309" spans="1:27" ht="15" customHeight="1">
      <c r="A309" s="17">
        <v>297</v>
      </c>
      <c r="B309" s="18"/>
      <c r="C309" s="17"/>
      <c r="D309" s="16"/>
      <c r="E309" s="15"/>
      <c r="F309" s="15"/>
      <c r="G309" s="15"/>
      <c r="H309" s="7"/>
      <c r="I309" s="7"/>
      <c r="J309" s="7"/>
      <c r="K309" s="7"/>
      <c r="L309" s="7"/>
      <c r="M309" s="7"/>
      <c r="N309" s="7"/>
      <c r="O309" s="7"/>
      <c r="P309" s="7"/>
      <c r="Q309" s="15"/>
      <c r="R309" s="15"/>
      <c r="S309" s="15"/>
      <c r="T309" s="5"/>
      <c r="U309" s="5"/>
      <c r="V309" s="5"/>
      <c r="W309" s="5"/>
      <c r="X309" s="7"/>
      <c r="Y309" s="7"/>
      <c r="Z309" s="7"/>
      <c r="AA309" s="7"/>
    </row>
    <row r="310" spans="1:27" ht="15" customHeight="1">
      <c r="A310" s="17">
        <v>298</v>
      </c>
      <c r="B310" s="18"/>
      <c r="C310" s="17"/>
      <c r="D310" s="16"/>
      <c r="E310" s="15"/>
      <c r="F310" s="15"/>
      <c r="G310" s="15"/>
      <c r="H310" s="7"/>
      <c r="I310" s="7"/>
      <c r="J310" s="7"/>
      <c r="K310" s="7"/>
      <c r="L310" s="7"/>
      <c r="M310" s="7"/>
      <c r="N310" s="7"/>
      <c r="O310" s="7"/>
      <c r="P310" s="7"/>
      <c r="Q310" s="15"/>
      <c r="R310" s="15"/>
      <c r="S310" s="15"/>
      <c r="T310" s="5"/>
      <c r="U310" s="5"/>
      <c r="V310" s="5"/>
      <c r="W310" s="5"/>
      <c r="X310" s="7"/>
      <c r="Y310" s="7"/>
      <c r="Z310" s="7"/>
      <c r="AA310" s="7"/>
    </row>
    <row r="311" spans="1:27" ht="15" customHeight="1">
      <c r="A311" s="17">
        <v>299</v>
      </c>
      <c r="B311" s="18"/>
      <c r="C311" s="17"/>
      <c r="D311" s="16"/>
      <c r="E311" s="15"/>
      <c r="F311" s="15"/>
      <c r="G311" s="15"/>
      <c r="H311" s="7"/>
      <c r="I311" s="7"/>
      <c r="J311" s="7"/>
      <c r="K311" s="7"/>
      <c r="L311" s="7"/>
      <c r="M311" s="7"/>
      <c r="N311" s="7"/>
      <c r="O311" s="7"/>
      <c r="P311" s="7"/>
      <c r="Q311" s="15"/>
      <c r="R311" s="15"/>
      <c r="S311" s="15"/>
      <c r="T311" s="5"/>
      <c r="U311" s="5"/>
      <c r="V311" s="5"/>
      <c r="W311" s="5"/>
      <c r="X311" s="7"/>
      <c r="Y311" s="7"/>
      <c r="Z311" s="7"/>
      <c r="AA311" s="7"/>
    </row>
    <row r="312" spans="1:27" ht="15" customHeight="1">
      <c r="A312" s="17">
        <v>300</v>
      </c>
      <c r="B312" s="18"/>
      <c r="C312" s="17"/>
      <c r="D312" s="16"/>
      <c r="E312" s="15"/>
      <c r="F312" s="15"/>
      <c r="G312" s="15"/>
      <c r="H312" s="7"/>
      <c r="I312" s="7"/>
      <c r="J312" s="7"/>
      <c r="K312" s="7"/>
      <c r="L312" s="7"/>
      <c r="M312" s="7"/>
      <c r="N312" s="7"/>
      <c r="O312" s="7"/>
      <c r="P312" s="7"/>
      <c r="Q312" s="15"/>
      <c r="R312" s="15"/>
      <c r="S312" s="15"/>
      <c r="T312" s="5"/>
      <c r="U312" s="5"/>
      <c r="V312" s="5"/>
      <c r="W312" s="5"/>
      <c r="X312" s="7"/>
      <c r="Y312" s="7"/>
      <c r="Z312" s="7"/>
      <c r="AA312" s="7"/>
    </row>
    <row r="313" spans="1:27" ht="15" customHeight="1">
      <c r="A313" s="3"/>
      <c r="B313" s="14"/>
      <c r="D313" s="13"/>
      <c r="E313" s="2"/>
      <c r="F313" s="2"/>
      <c r="G313" s="2"/>
      <c r="T313" s="4" t="e">
        <f>#REF!+Q314</f>
        <v>#REF!</v>
      </c>
      <c r="U313" s="4"/>
      <c r="V313" s="4" t="e">
        <f>R314+#REF!</f>
        <v>#REF!</v>
      </c>
      <c r="W313" s="4"/>
      <c r="X313" s="4" t="e">
        <f>S314+#REF!</f>
        <v>#REF!</v>
      </c>
    </row>
    <row r="314" spans="1:27" ht="15" customHeight="1">
      <c r="A314" s="3"/>
      <c r="B314" s="14"/>
      <c r="D314" s="13"/>
      <c r="E314" s="2"/>
      <c r="F314" s="2"/>
      <c r="G314" s="2"/>
      <c r="Q314" s="2">
        <f>SUM(Q286:Q312)</f>
        <v>0</v>
      </c>
      <c r="R314" s="2">
        <f>SUM(R286:R312)</f>
        <v>0</v>
      </c>
      <c r="S314" s="2">
        <f>SUM(S286:S312)</f>
        <v>0</v>
      </c>
      <c r="T314" s="4"/>
      <c r="U314" s="4"/>
      <c r="V314" s="4"/>
      <c r="W314" s="4"/>
    </row>
    <row r="315" spans="1:27" ht="15" customHeight="1">
      <c r="C315" s="1"/>
      <c r="Q315" s="1"/>
      <c r="R315" s="1"/>
      <c r="S315" s="1"/>
    </row>
    <row r="316" spans="1:27" ht="13.2" customHeight="1">
      <c r="C316" s="1"/>
      <c r="Q316" s="1"/>
      <c r="R316" s="1"/>
      <c r="S316" s="1"/>
    </row>
    <row r="317" spans="1:27" ht="13.2" customHeight="1">
      <c r="C317" s="1"/>
      <c r="Q317" s="1"/>
      <c r="R317" s="1"/>
      <c r="S317" s="1"/>
    </row>
    <row r="318" spans="1:27" ht="13.8">
      <c r="C318" s="1"/>
      <c r="Q318" s="1"/>
      <c r="R318" s="1"/>
      <c r="S318" s="1"/>
    </row>
    <row r="319" spans="1:27" ht="13.8">
      <c r="C319" s="1"/>
      <c r="Q319" s="1"/>
      <c r="R319" s="1"/>
      <c r="S319" s="1"/>
    </row>
    <row r="320" spans="1:27" ht="15" customHeight="1">
      <c r="C320" s="1"/>
      <c r="Q320" s="1"/>
      <c r="R320" s="1"/>
      <c r="S320" s="1"/>
    </row>
    <row r="321" s="1" customFormat="1" ht="15" customHeight="1"/>
    <row r="322" s="1" customFormat="1" ht="15" customHeight="1"/>
    <row r="323" s="1" customFormat="1" ht="15" customHeight="1"/>
    <row r="324" s="1" customFormat="1" ht="15" customHeight="1"/>
    <row r="325" s="1" customFormat="1" ht="15" customHeight="1"/>
    <row r="326" s="1" customFormat="1" ht="15" customHeight="1"/>
    <row r="327" s="1" customFormat="1" ht="15" customHeight="1"/>
    <row r="328" s="1" customFormat="1" ht="15" customHeight="1"/>
    <row r="329" s="1" customFormat="1" ht="15" customHeight="1"/>
    <row r="330" s="1" customFormat="1" ht="15" customHeight="1"/>
    <row r="331" s="1" customFormat="1" ht="15" customHeight="1"/>
    <row r="332" s="1" customFormat="1" ht="15" customHeight="1"/>
    <row r="333" s="1" customFormat="1" ht="15" customHeight="1"/>
    <row r="334" s="1" customFormat="1" ht="15" customHeight="1"/>
    <row r="335" s="1" customFormat="1" ht="15" customHeight="1"/>
    <row r="336" s="1" customFormat="1" ht="15" customHeight="1"/>
    <row r="337" s="1" customFormat="1" ht="15" customHeight="1"/>
    <row r="338" s="1" customFormat="1" ht="15" customHeight="1"/>
    <row r="339" s="1" customFormat="1" ht="15" customHeight="1"/>
    <row r="340" s="1" customFormat="1" ht="15" customHeight="1"/>
    <row r="341" s="1" customFormat="1" ht="15" customHeight="1"/>
    <row r="342" s="1" customFormat="1" ht="15" customHeight="1"/>
    <row r="343" s="1" customFormat="1" ht="15" customHeight="1"/>
    <row r="344" s="1" customFormat="1" ht="15" customHeight="1"/>
    <row r="345" s="1" customFormat="1" ht="15" customHeight="1"/>
    <row r="346" s="1" customFormat="1" ht="15" customHeight="1"/>
    <row r="347" s="1" customFormat="1" ht="15" customHeight="1"/>
    <row r="348" s="1" customFormat="1" ht="15" customHeight="1"/>
    <row r="349" s="1" customFormat="1" ht="15" customHeight="1"/>
    <row r="350" s="1" customFormat="1" ht="13.2" customHeight="1"/>
    <row r="351" s="1" customFormat="1" ht="13.2" customHeight="1"/>
    <row r="352" s="1" customFormat="1" ht="60" customHeight="1"/>
    <row r="353" s="1" customFormat="1" ht="60" customHeight="1"/>
    <row r="354" s="1" customFormat="1" ht="15" customHeight="1"/>
    <row r="355" s="1" customFormat="1" ht="15" customHeight="1"/>
    <row r="356" s="1" customFormat="1" ht="15" customHeight="1"/>
    <row r="357" s="1" customFormat="1" ht="15" customHeight="1"/>
    <row r="358" s="1" customFormat="1" ht="15" customHeight="1"/>
    <row r="359" s="1" customFormat="1" ht="15" customHeight="1"/>
    <row r="360" s="1" customFormat="1" ht="15" customHeight="1"/>
    <row r="361" s="1" customFormat="1" ht="15" customHeight="1"/>
    <row r="362" s="1" customFormat="1" ht="15" customHeight="1"/>
    <row r="363" s="1" customFormat="1" ht="15" customHeight="1"/>
    <row r="364" s="1" customFormat="1" ht="15" customHeight="1"/>
    <row r="365" s="1" customFormat="1" ht="15" customHeight="1"/>
    <row r="366" s="1" customFormat="1" ht="15" customHeight="1"/>
    <row r="367" s="1" customFormat="1" ht="15" customHeight="1"/>
    <row r="368" s="1" customFormat="1" ht="15" customHeight="1"/>
    <row r="369" s="1" customFormat="1" ht="15" customHeight="1"/>
    <row r="370" s="1" customFormat="1" ht="15" customHeight="1"/>
    <row r="371" s="1" customFormat="1" ht="15" customHeight="1"/>
    <row r="372" s="1" customFormat="1" ht="15" customHeight="1"/>
    <row r="373" s="1" customFormat="1" ht="15" customHeight="1"/>
    <row r="374" s="1" customFormat="1" ht="15" customHeight="1"/>
    <row r="375" s="1" customFormat="1" ht="15" customHeight="1"/>
    <row r="376" s="1" customFormat="1" ht="15" customHeight="1"/>
    <row r="377" s="1" customFormat="1" ht="15" customHeight="1"/>
    <row r="378" s="1" customFormat="1" ht="15" customHeight="1"/>
    <row r="379" s="1" customFormat="1" ht="15" customHeight="1"/>
    <row r="380" s="1" customFormat="1" ht="15" customHeight="1"/>
    <row r="381" s="1" customFormat="1" ht="15" customHeight="1"/>
    <row r="382" s="1" customFormat="1" ht="15" customHeight="1"/>
    <row r="383" s="1" customFormat="1" ht="15" customHeight="1"/>
    <row r="384" s="1" customFormat="1" ht="15" customHeight="1"/>
    <row r="385" spans="1:19" ht="13.2" customHeight="1">
      <c r="A385" s="9"/>
      <c r="B385" s="9"/>
      <c r="C385" s="9"/>
      <c r="Q385" s="1"/>
      <c r="R385" s="1"/>
      <c r="S385" s="1"/>
    </row>
    <row r="386" spans="1:19" ht="13.2" customHeight="1">
      <c r="A386" s="9"/>
      <c r="B386" s="9"/>
      <c r="C386" s="9"/>
      <c r="Q386" s="1"/>
      <c r="R386" s="1"/>
      <c r="S386" s="1"/>
    </row>
    <row r="387" spans="1:19" ht="13.2" customHeight="1">
      <c r="C387" s="1"/>
      <c r="Q387" s="1"/>
      <c r="R387" s="1"/>
      <c r="S387" s="1"/>
    </row>
    <row r="388" spans="1:19" ht="60" customHeight="1">
      <c r="C388" s="1"/>
      <c r="Q388" s="1"/>
      <c r="R388" s="1"/>
      <c r="S388" s="1"/>
    </row>
    <row r="389" spans="1:19" ht="60" customHeight="1">
      <c r="C389" s="1"/>
      <c r="Q389" s="1"/>
      <c r="R389" s="1"/>
      <c r="S389" s="1"/>
    </row>
    <row r="390" spans="1:19" ht="15" customHeight="1">
      <c r="C390" s="1"/>
      <c r="Q390" s="1"/>
      <c r="R390" s="1"/>
      <c r="S390" s="1"/>
    </row>
    <row r="391" spans="1:19" ht="15" customHeight="1">
      <c r="C391" s="1"/>
      <c r="Q391" s="1"/>
      <c r="R391" s="1"/>
      <c r="S391" s="1"/>
    </row>
    <row r="392" spans="1:19" ht="15" customHeight="1">
      <c r="C392" s="1"/>
      <c r="Q392" s="1"/>
      <c r="R392" s="1"/>
      <c r="S392" s="1"/>
    </row>
    <row r="393" spans="1:19" ht="15" customHeight="1">
      <c r="C393" s="1"/>
      <c r="Q393" s="1"/>
      <c r="R393" s="1"/>
      <c r="S393" s="1"/>
    </row>
    <row r="394" spans="1:19" ht="15" customHeight="1">
      <c r="C394" s="1"/>
      <c r="Q394" s="1"/>
      <c r="R394" s="1"/>
      <c r="S394" s="1"/>
    </row>
    <row r="395" spans="1:19" ht="15" customHeight="1">
      <c r="C395" s="1"/>
      <c r="Q395" s="1"/>
      <c r="R395" s="1"/>
      <c r="S395" s="1"/>
    </row>
    <row r="396" spans="1:19" ht="15" customHeight="1">
      <c r="C396" s="1"/>
      <c r="Q396" s="1"/>
      <c r="R396" s="1"/>
      <c r="S396" s="1"/>
    </row>
    <row r="397" spans="1:19" ht="15" customHeight="1">
      <c r="C397" s="1"/>
      <c r="Q397" s="1"/>
      <c r="R397" s="1"/>
      <c r="S397" s="1"/>
    </row>
    <row r="398" spans="1:19" ht="15" customHeight="1">
      <c r="C398" s="1"/>
      <c r="Q398" s="1"/>
      <c r="R398" s="1"/>
      <c r="S398" s="1"/>
    </row>
    <row r="399" spans="1:19" ht="15" customHeight="1">
      <c r="C399" s="1"/>
      <c r="Q399" s="1"/>
      <c r="R399" s="1"/>
      <c r="S399" s="1"/>
    </row>
    <row r="400" spans="1:19" ht="15" customHeight="1">
      <c r="C400" s="1"/>
      <c r="Q400" s="1"/>
      <c r="R400" s="1"/>
      <c r="S400" s="1"/>
    </row>
    <row r="401" s="1" customFormat="1" ht="15" customHeight="1"/>
    <row r="402" s="1" customFormat="1" ht="15" customHeight="1"/>
    <row r="403" s="1" customFormat="1" ht="15" customHeight="1"/>
    <row r="404" s="1" customFormat="1" ht="15" customHeight="1"/>
    <row r="405" s="1" customFormat="1" ht="15" customHeight="1"/>
    <row r="406" s="1" customFormat="1" ht="15" hidden="1" customHeight="1"/>
    <row r="407" s="1" customFormat="1" ht="15" hidden="1" customHeight="1"/>
    <row r="408" s="1" customFormat="1" ht="15" hidden="1" customHeight="1"/>
    <row r="409" s="1" customFormat="1" ht="15" hidden="1" customHeight="1"/>
    <row r="410" s="1" customFormat="1" ht="15" hidden="1" customHeight="1"/>
    <row r="411" s="1" customFormat="1" ht="15" hidden="1" customHeight="1"/>
    <row r="412" s="1" customFormat="1" ht="15" hidden="1" customHeight="1"/>
    <row r="413" s="1" customFormat="1" ht="15" hidden="1" customHeight="1"/>
    <row r="414" s="1" customFormat="1" ht="15" hidden="1" customHeight="1"/>
    <row r="415" s="1" customFormat="1" ht="15" hidden="1" customHeight="1"/>
    <row r="416" s="1" customFormat="1" ht="15" hidden="1" customHeight="1"/>
    <row r="417" spans="1:19" ht="15" hidden="1" customHeight="1">
      <c r="C417" s="1"/>
      <c r="Q417" s="1"/>
      <c r="R417" s="1"/>
      <c r="S417" s="1"/>
    </row>
    <row r="418" spans="1:19" ht="15" hidden="1" customHeight="1">
      <c r="C418" s="1"/>
      <c r="Q418" s="1"/>
      <c r="R418" s="1"/>
      <c r="S418" s="1"/>
    </row>
    <row r="419" spans="1:19" ht="15" hidden="1" customHeight="1">
      <c r="C419" s="1"/>
      <c r="Q419" s="1"/>
      <c r="R419" s="1"/>
      <c r="S419" s="1"/>
    </row>
    <row r="420" spans="1:19" ht="15" hidden="1" customHeight="1">
      <c r="C420" s="1"/>
      <c r="Q420" s="1"/>
      <c r="R420" s="1"/>
      <c r="S420" s="1"/>
    </row>
    <row r="421" spans="1:19" ht="13.2" customHeight="1">
      <c r="C421" s="1"/>
      <c r="Q421" s="1"/>
      <c r="R421" s="1"/>
      <c r="S421" s="1"/>
    </row>
    <row r="422" spans="1:19" ht="13.2" customHeight="1">
      <c r="C422" s="1"/>
      <c r="Q422" s="1"/>
      <c r="R422" s="1"/>
      <c r="S422" s="1"/>
    </row>
    <row r="423" spans="1:19" ht="13.2" hidden="1" customHeight="1">
      <c r="A423" s="9"/>
      <c r="B423" s="9"/>
      <c r="C423" s="9"/>
      <c r="Q423" s="1"/>
      <c r="R423" s="1"/>
      <c r="S423" s="1"/>
    </row>
    <row r="424" spans="1:19" ht="13.2" hidden="1" customHeight="1">
      <c r="A424" s="9"/>
      <c r="B424" s="9"/>
      <c r="C424" s="9"/>
      <c r="Q424" s="1"/>
      <c r="R424" s="1"/>
      <c r="S424" s="1"/>
    </row>
    <row r="425" spans="1:19" ht="13.2" hidden="1" customHeight="1">
      <c r="C425" s="1"/>
      <c r="Q425" s="1"/>
      <c r="R425" s="1"/>
      <c r="S425" s="1"/>
    </row>
    <row r="426" spans="1:19" ht="82.95" hidden="1" customHeight="1">
      <c r="A426" s="8"/>
      <c r="B426" s="8"/>
      <c r="C426" s="8"/>
      <c r="Q426" s="1"/>
      <c r="R426" s="1"/>
      <c r="S426" s="1"/>
    </row>
    <row r="427" spans="1:19" ht="37.950000000000003" hidden="1" customHeight="1">
      <c r="A427" s="8"/>
      <c r="B427" s="8"/>
      <c r="C427" s="8"/>
      <c r="Q427" s="1"/>
      <c r="R427" s="1"/>
      <c r="S427" s="1"/>
    </row>
    <row r="428" spans="1:19" ht="16.95" hidden="1" customHeight="1">
      <c r="A428" s="4"/>
      <c r="B428" s="4"/>
      <c r="C428" s="4"/>
      <c r="Q428" s="1"/>
      <c r="R428" s="1"/>
      <c r="S428" s="1"/>
    </row>
    <row r="429" spans="1:19" ht="16.95" hidden="1" customHeight="1">
      <c r="A429" s="4"/>
      <c r="B429" s="4"/>
      <c r="C429" s="4"/>
      <c r="Q429" s="1"/>
      <c r="R429" s="1"/>
      <c r="S429" s="1"/>
    </row>
    <row r="430" spans="1:19" ht="16.95" hidden="1" customHeight="1">
      <c r="C430" s="1"/>
      <c r="Q430" s="1"/>
      <c r="R430" s="1"/>
      <c r="S430" s="1"/>
    </row>
    <row r="431" spans="1:19" ht="16.95" hidden="1" customHeight="1">
      <c r="C431" s="1"/>
      <c r="Q431" s="1"/>
      <c r="R431" s="1"/>
      <c r="S431" s="1"/>
    </row>
    <row r="432" spans="1:19" ht="16.95" hidden="1" customHeight="1">
      <c r="C432" s="1"/>
      <c r="Q432" s="1"/>
      <c r="R432" s="1"/>
      <c r="S432" s="1"/>
    </row>
    <row r="433" spans="1:19" ht="16.95" hidden="1" customHeight="1">
      <c r="C433" s="1"/>
      <c r="Q433" s="1"/>
      <c r="R433" s="1"/>
      <c r="S433" s="1"/>
    </row>
    <row r="434" spans="1:19" ht="16.95" hidden="1" customHeight="1">
      <c r="C434" s="1"/>
      <c r="Q434" s="1"/>
      <c r="R434" s="1"/>
      <c r="S434" s="1"/>
    </row>
    <row r="435" spans="1:19" ht="16.95" hidden="1" customHeight="1">
      <c r="C435" s="1"/>
      <c r="Q435" s="1"/>
      <c r="R435" s="1"/>
      <c r="S435" s="1"/>
    </row>
    <row r="436" spans="1:19" ht="16.95" hidden="1" customHeight="1">
      <c r="A436" s="5" t="s">
        <v>8</v>
      </c>
      <c r="B436" s="5">
        <v>3180</v>
      </c>
      <c r="C436" s="10">
        <v>44873</v>
      </c>
      <c r="D436" s="1" t="e">
        <f>B436-#REF!-E420</f>
        <v>#REF!</v>
      </c>
      <c r="Q436" s="1"/>
      <c r="R436" s="1"/>
      <c r="S436" s="1"/>
    </row>
    <row r="437" spans="1:19" ht="16.95" hidden="1" customHeight="1">
      <c r="C437" s="1"/>
      <c r="Q437" s="1"/>
      <c r="R437" s="1"/>
      <c r="S437" s="1"/>
    </row>
    <row r="438" spans="1:19" ht="16.95" hidden="1" customHeight="1">
      <c r="C438" s="1"/>
      <c r="Q438" s="1"/>
      <c r="R438" s="1"/>
      <c r="S438" s="1"/>
    </row>
    <row r="439" spans="1:19" ht="16.95" hidden="1" customHeight="1">
      <c r="C439" s="1"/>
      <c r="D439" s="4"/>
      <c r="E439" s="12"/>
      <c r="F439" s="11"/>
      <c r="Q439" s="1"/>
      <c r="R439" s="1"/>
      <c r="S439" s="1"/>
    </row>
    <row r="440" spans="1:19" ht="16.95" hidden="1" customHeight="1">
      <c r="C440" s="1"/>
      <c r="Q440" s="1"/>
      <c r="R440" s="1"/>
      <c r="S440" s="1"/>
    </row>
    <row r="441" spans="1:19" ht="16.95" hidden="1" customHeight="1">
      <c r="C441" s="1"/>
      <c r="Q441" s="1"/>
      <c r="R441" s="1"/>
      <c r="S441" s="1"/>
    </row>
    <row r="442" spans="1:19" ht="16.95" hidden="1" customHeight="1">
      <c r="C442" s="1"/>
      <c r="Q442" s="1"/>
      <c r="R442" s="1"/>
      <c r="S442" s="1"/>
    </row>
    <row r="443" spans="1:19" ht="16.95" hidden="1" customHeight="1">
      <c r="C443" s="1"/>
      <c r="Q443" s="1"/>
      <c r="R443" s="1"/>
      <c r="S443" s="1"/>
    </row>
    <row r="444" spans="1:19" ht="16.95" hidden="1" customHeight="1">
      <c r="C444" s="1"/>
      <c r="Q444" s="1"/>
      <c r="R444" s="1"/>
      <c r="S444" s="1"/>
    </row>
    <row r="445" spans="1:19" ht="16.95" hidden="1" customHeight="1">
      <c r="A445" s="5" t="s">
        <v>7</v>
      </c>
      <c r="B445" s="5">
        <v>3480</v>
      </c>
      <c r="C445" s="10">
        <v>44882</v>
      </c>
      <c r="D445" s="1" t="e">
        <f>B445-E420-#REF!</f>
        <v>#REF!</v>
      </c>
      <c r="Q445" s="1"/>
      <c r="R445" s="1"/>
      <c r="S445" s="1"/>
    </row>
    <row r="446" spans="1:19" ht="16.95" hidden="1" customHeight="1">
      <c r="C446" s="1"/>
      <c r="Q446" s="1"/>
      <c r="R446" s="1"/>
      <c r="S446" s="1"/>
    </row>
    <row r="447" spans="1:19" ht="16.95" hidden="1" customHeight="1">
      <c r="C447" s="1"/>
      <c r="Q447" s="1"/>
      <c r="R447" s="1"/>
      <c r="S447" s="1"/>
    </row>
    <row r="448" spans="1:19" ht="16.95" hidden="1" customHeight="1">
      <c r="C448" s="1"/>
      <c r="Q448" s="1"/>
      <c r="R448" s="1"/>
      <c r="S448" s="1"/>
    </row>
    <row r="449" spans="1:19" ht="16.95" hidden="1" customHeight="1">
      <c r="C449" s="1"/>
      <c r="Q449" s="1"/>
      <c r="R449" s="1"/>
      <c r="S449" s="1"/>
    </row>
    <row r="450" spans="1:19" ht="16.95" hidden="1" customHeight="1">
      <c r="C450" s="1"/>
      <c r="Q450" s="1"/>
      <c r="R450" s="1"/>
      <c r="S450" s="1"/>
    </row>
    <row r="451" spans="1:19" ht="16.95" hidden="1" customHeight="1">
      <c r="C451" s="1"/>
      <c r="Q451" s="1"/>
      <c r="R451" s="1"/>
      <c r="S451" s="1"/>
    </row>
    <row r="452" spans="1:19" ht="16.95" hidden="1" customHeight="1">
      <c r="C452" s="1"/>
      <c r="Q452" s="1"/>
      <c r="R452" s="1"/>
      <c r="S452" s="1"/>
    </row>
    <row r="453" spans="1:19" ht="16.95" hidden="1" customHeight="1">
      <c r="C453" s="1"/>
      <c r="Q453" s="1"/>
      <c r="R453" s="1"/>
      <c r="S453" s="1"/>
    </row>
    <row r="454" spans="1:19" ht="16.95" hidden="1" customHeight="1">
      <c r="C454" s="1"/>
      <c r="Q454" s="1"/>
      <c r="R454" s="1"/>
      <c r="S454" s="1"/>
    </row>
    <row r="455" spans="1:19" ht="16.95" hidden="1" customHeight="1">
      <c r="A455" s="5" t="s">
        <v>6</v>
      </c>
      <c r="B455" s="5">
        <v>3780</v>
      </c>
      <c r="C455" s="10">
        <v>44892</v>
      </c>
      <c r="D455" s="1" t="e">
        <f>B455-E420-#REF!</f>
        <v>#REF!</v>
      </c>
      <c r="Q455" s="1"/>
      <c r="R455" s="1"/>
      <c r="S455" s="1"/>
    </row>
    <row r="456" spans="1:19" ht="16.95" hidden="1" customHeight="1">
      <c r="C456" s="1"/>
      <c r="Q456" s="1"/>
      <c r="R456" s="1"/>
      <c r="S456" s="1"/>
    </row>
    <row r="457" spans="1:19" ht="16.95" hidden="1" customHeight="1">
      <c r="C457" s="1"/>
      <c r="D457" s="1" t="e">
        <f>SUM(#REF!)</f>
        <v>#REF!</v>
      </c>
      <c r="E457" s="1" t="e">
        <f>SUM(#REF!)</f>
        <v>#REF!</v>
      </c>
      <c r="F457" s="1" t="e">
        <f>SUM(#REF!)</f>
        <v>#REF!</v>
      </c>
      <c r="Q457" s="1"/>
      <c r="R457" s="1"/>
      <c r="S457" s="1"/>
    </row>
    <row r="458" spans="1:19" ht="16.95" hidden="1" customHeight="1">
      <c r="C458" s="1"/>
      <c r="D458" s="1" t="e">
        <f>D457+D420</f>
        <v>#REF!</v>
      </c>
      <c r="E458" s="1" t="e">
        <f>E457+E420</f>
        <v>#REF!</v>
      </c>
      <c r="F458" s="1" t="e">
        <f>F457+F420</f>
        <v>#REF!</v>
      </c>
      <c r="Q458" s="1"/>
      <c r="R458" s="1"/>
      <c r="S458" s="1"/>
    </row>
    <row r="459" spans="1:19" ht="13.2" hidden="1" customHeight="1">
      <c r="C459" s="1"/>
      <c r="Q459" s="1"/>
      <c r="R459" s="1"/>
      <c r="S459" s="1"/>
    </row>
    <row r="460" spans="1:19" ht="13.2" hidden="1" customHeight="1">
      <c r="C460" s="1"/>
      <c r="Q460" s="1"/>
      <c r="R460" s="1"/>
      <c r="S460" s="1"/>
    </row>
    <row r="461" spans="1:19" ht="13.2" hidden="1" customHeight="1">
      <c r="C461" s="1"/>
      <c r="Q461" s="1"/>
      <c r="R461" s="1"/>
      <c r="S461" s="1"/>
    </row>
    <row r="462" spans="1:19" ht="13.2" hidden="1" customHeight="1">
      <c r="A462" s="9"/>
      <c r="B462" s="9"/>
      <c r="C462" s="9"/>
      <c r="Q462" s="1"/>
      <c r="R462" s="1"/>
      <c r="S462" s="1"/>
    </row>
    <row r="463" spans="1:19" ht="13.2" hidden="1" customHeight="1">
      <c r="C463" s="1"/>
      <c r="Q463" s="1"/>
      <c r="R463" s="1"/>
      <c r="S463" s="1"/>
    </row>
    <row r="464" spans="1:19" ht="68.400000000000006" hidden="1" customHeight="1">
      <c r="A464" s="8"/>
      <c r="B464" s="8"/>
      <c r="C464" s="8"/>
      <c r="Q464" s="1"/>
      <c r="R464" s="1"/>
      <c r="S464" s="1"/>
    </row>
    <row r="465" spans="1:19" ht="51" hidden="1" customHeight="1">
      <c r="A465" s="8"/>
      <c r="B465" s="8"/>
      <c r="C465" s="8"/>
      <c r="Q465" s="1"/>
      <c r="R465" s="1"/>
      <c r="S465" s="1"/>
    </row>
    <row r="466" spans="1:19" ht="16.95" hidden="1" customHeight="1">
      <c r="C466" s="1"/>
      <c r="Q466" s="1"/>
      <c r="R466" s="1"/>
      <c r="S466" s="1"/>
    </row>
    <row r="467" spans="1:19" ht="16.95" hidden="1" customHeight="1">
      <c r="C467" s="1"/>
      <c r="Q467" s="1"/>
      <c r="R467" s="1"/>
      <c r="S467" s="1"/>
    </row>
    <row r="468" spans="1:19" ht="16.95" hidden="1" customHeight="1">
      <c r="C468" s="1"/>
      <c r="Q468" s="1"/>
      <c r="R468" s="1"/>
      <c r="S468" s="1"/>
    </row>
    <row r="469" spans="1:19" ht="16.95" hidden="1" customHeight="1">
      <c r="C469" s="1"/>
      <c r="Q469" s="1"/>
      <c r="R469" s="1"/>
      <c r="S469" s="1"/>
    </row>
    <row r="470" spans="1:19" ht="16.95" hidden="1" customHeight="1">
      <c r="C470" s="1"/>
      <c r="Q470" s="1"/>
      <c r="R470" s="1"/>
      <c r="S470" s="1"/>
    </row>
    <row r="471" spans="1:19" ht="16.95" hidden="1" customHeight="1">
      <c r="C471" s="1"/>
      <c r="Q471" s="1"/>
      <c r="R471" s="1"/>
      <c r="S471" s="1"/>
    </row>
    <row r="472" spans="1:19" ht="16.95" hidden="1" customHeight="1">
      <c r="A472" s="5" t="s">
        <v>5</v>
      </c>
      <c r="B472" s="5">
        <v>4080</v>
      </c>
      <c r="C472" s="10">
        <v>44902</v>
      </c>
      <c r="D472" s="5" t="e">
        <f>4080-E458-#REF!</f>
        <v>#REF!</v>
      </c>
      <c r="Q472" s="1"/>
      <c r="R472" s="1"/>
      <c r="S472" s="1"/>
    </row>
    <row r="473" spans="1:19" ht="16.95" hidden="1" customHeight="1">
      <c r="C473" s="1"/>
      <c r="Q473" s="1"/>
      <c r="R473" s="1"/>
      <c r="S473" s="1"/>
    </row>
    <row r="474" spans="1:19" ht="16.95" hidden="1" customHeight="1">
      <c r="C474" s="1"/>
      <c r="Q474" s="1"/>
      <c r="R474" s="1"/>
      <c r="S474" s="1"/>
    </row>
    <row r="475" spans="1:19" ht="16.95" hidden="1" customHeight="1">
      <c r="C475" s="1"/>
      <c r="Q475" s="1"/>
      <c r="R475" s="1"/>
      <c r="S475" s="1"/>
    </row>
    <row r="476" spans="1:19" ht="16.95" hidden="1" customHeight="1">
      <c r="C476" s="1"/>
      <c r="Q476" s="1"/>
      <c r="R476" s="1"/>
      <c r="S476" s="1"/>
    </row>
    <row r="477" spans="1:19" ht="16.95" hidden="1" customHeight="1">
      <c r="C477" s="1"/>
      <c r="Q477" s="1"/>
      <c r="R477" s="1"/>
      <c r="S477" s="1"/>
    </row>
    <row r="478" spans="1:19" ht="16.95" hidden="1" customHeight="1">
      <c r="C478" s="1"/>
      <c r="Q478" s="1"/>
      <c r="R478" s="1"/>
      <c r="S478" s="1"/>
    </row>
    <row r="479" spans="1:19" ht="16.95" hidden="1" customHeight="1">
      <c r="C479" s="1"/>
      <c r="Q479" s="1"/>
      <c r="R479" s="1"/>
      <c r="S479" s="1"/>
    </row>
    <row r="480" spans="1:19" ht="16.95" hidden="1" customHeight="1">
      <c r="C480" s="1"/>
      <c r="Q480" s="1"/>
      <c r="R480" s="1"/>
      <c r="S480" s="1"/>
    </row>
    <row r="481" spans="1:19" ht="16.95" hidden="1" customHeight="1">
      <c r="C481" s="1"/>
      <c r="Q481" s="1"/>
      <c r="R481" s="1"/>
      <c r="S481" s="1"/>
    </row>
    <row r="482" spans="1:19" ht="16.95" hidden="1" customHeight="1">
      <c r="C482" s="1"/>
      <c r="Q482" s="1"/>
      <c r="R482" s="1"/>
      <c r="S482" s="1"/>
    </row>
    <row r="483" spans="1:19" ht="16.95" hidden="1" customHeight="1">
      <c r="C483" s="1"/>
      <c r="Q483" s="1"/>
      <c r="R483" s="1"/>
      <c r="S483" s="1"/>
    </row>
    <row r="484" spans="1:19" ht="16.95" hidden="1" customHeight="1">
      <c r="A484" s="7" t="s">
        <v>4</v>
      </c>
      <c r="B484" s="7">
        <v>4380</v>
      </c>
      <c r="C484" s="6">
        <v>44914</v>
      </c>
      <c r="D484" s="1" t="e">
        <f>B484-E458-#REF!</f>
        <v>#REF!</v>
      </c>
      <c r="Q484" s="1"/>
      <c r="R484" s="1"/>
      <c r="S484" s="1"/>
    </row>
    <row r="485" spans="1:19" ht="16.95" hidden="1" customHeight="1">
      <c r="C485" s="1"/>
      <c r="Q485" s="1"/>
      <c r="R485" s="1"/>
      <c r="S485" s="1"/>
    </row>
    <row r="486" spans="1:19" ht="16.95" hidden="1" customHeight="1">
      <c r="C486" s="1"/>
      <c r="Q486" s="1"/>
      <c r="R486" s="1"/>
      <c r="S486" s="1"/>
    </row>
    <row r="487" spans="1:19" ht="16.95" hidden="1" customHeight="1">
      <c r="C487" s="1"/>
      <c r="Q487" s="1"/>
      <c r="R487" s="1"/>
      <c r="S487" s="1"/>
    </row>
    <row r="488" spans="1:19" ht="16.95" hidden="1" customHeight="1">
      <c r="C488" s="1"/>
      <c r="Q488" s="1"/>
      <c r="R488" s="1"/>
      <c r="S488" s="1"/>
    </row>
    <row r="489" spans="1:19" ht="16.95" hidden="1" customHeight="1">
      <c r="C489" s="1"/>
      <c r="Q489" s="1"/>
      <c r="R489" s="1"/>
      <c r="S489" s="1"/>
    </row>
    <row r="490" spans="1:19" ht="16.95" hidden="1" customHeight="1">
      <c r="C490" s="1"/>
      <c r="Q490" s="1"/>
      <c r="R490" s="1"/>
      <c r="S490" s="1"/>
    </row>
    <row r="491" spans="1:19" ht="16.95" hidden="1" customHeight="1">
      <c r="C491" s="1"/>
      <c r="Q491" s="1"/>
      <c r="R491" s="1"/>
      <c r="S491" s="1"/>
    </row>
    <row r="492" spans="1:19" ht="16.95" hidden="1" customHeight="1">
      <c r="C492" s="1"/>
      <c r="Q492" s="1"/>
      <c r="R492" s="1"/>
      <c r="S492" s="1"/>
    </row>
    <row r="493" spans="1:19" ht="16.95" hidden="1" customHeight="1">
      <c r="C493" s="1"/>
      <c r="Q493" s="1"/>
      <c r="R493" s="1"/>
      <c r="S493" s="1"/>
    </row>
    <row r="494" spans="1:19" ht="16.95" hidden="1" customHeight="1">
      <c r="C494" s="1"/>
      <c r="Q494" s="1"/>
      <c r="R494" s="1"/>
      <c r="S494" s="1"/>
    </row>
    <row r="495" spans="1:19" ht="16.95" hidden="1" customHeight="1">
      <c r="C495" s="1"/>
      <c r="D495" s="1" t="e">
        <f>SUM(#REF!)</f>
        <v>#REF!</v>
      </c>
      <c r="E495" s="1" t="e">
        <f>SUM(#REF!)</f>
        <v>#REF!</v>
      </c>
      <c r="F495" s="1" t="e">
        <f>SUM(#REF!)</f>
        <v>#REF!</v>
      </c>
      <c r="Q495" s="1"/>
      <c r="R495" s="1"/>
      <c r="S495" s="1"/>
    </row>
    <row r="496" spans="1:19" ht="16.95" hidden="1" customHeight="1">
      <c r="C496" s="1"/>
      <c r="D496" s="1" t="e">
        <f>D495+D458</f>
        <v>#REF!</v>
      </c>
      <c r="E496" s="1" t="e">
        <f>E495+E458</f>
        <v>#REF!</v>
      </c>
      <c r="F496" s="1" t="e">
        <f>F495+F458</f>
        <v>#REF!</v>
      </c>
      <c r="Q496" s="1"/>
      <c r="R496" s="1"/>
      <c r="S496" s="1"/>
    </row>
    <row r="497" spans="1:19" ht="13.2" hidden="1" customHeight="1">
      <c r="C497" s="1"/>
      <c r="Q497" s="1"/>
      <c r="R497" s="1"/>
      <c r="S497" s="1"/>
    </row>
    <row r="498" spans="1:19" ht="13.2" hidden="1" customHeight="1">
      <c r="C498" s="1"/>
      <c r="Q498" s="1"/>
      <c r="R498" s="1"/>
      <c r="S498" s="1"/>
    </row>
    <row r="499" spans="1:19" ht="13.2" hidden="1" customHeight="1">
      <c r="C499" s="1"/>
      <c r="Q499" s="1"/>
      <c r="R499" s="1"/>
      <c r="S499" s="1"/>
    </row>
    <row r="500" spans="1:19" ht="13.2" hidden="1" customHeight="1">
      <c r="A500" s="9"/>
      <c r="B500" s="9"/>
      <c r="C500" s="9"/>
      <c r="Q500" s="1"/>
      <c r="R500" s="1"/>
      <c r="S500" s="1"/>
    </row>
    <row r="501" spans="1:19" ht="13.2" hidden="1" customHeight="1">
      <c r="C501" s="1"/>
      <c r="Q501" s="1"/>
      <c r="R501" s="1"/>
      <c r="S501" s="1"/>
    </row>
    <row r="502" spans="1:19" ht="67.95" hidden="1" customHeight="1">
      <c r="A502" s="8"/>
      <c r="B502" s="8"/>
      <c r="C502" s="8"/>
      <c r="Q502" s="1"/>
      <c r="R502" s="1"/>
      <c r="S502" s="1"/>
    </row>
    <row r="503" spans="1:19" ht="53.4" hidden="1" customHeight="1">
      <c r="A503" s="8"/>
      <c r="B503" s="8"/>
      <c r="C503" s="8"/>
      <c r="Q503" s="1"/>
      <c r="R503" s="1"/>
      <c r="S503" s="1"/>
    </row>
    <row r="504" spans="1:19" ht="16.95" hidden="1" customHeight="1">
      <c r="A504" s="4"/>
      <c r="B504" s="4"/>
      <c r="C504" s="4"/>
      <c r="Q504" s="1"/>
      <c r="R504" s="1"/>
      <c r="S504" s="1"/>
    </row>
    <row r="505" spans="1:19" ht="16.95" hidden="1" customHeight="1">
      <c r="A505" s="4"/>
      <c r="B505" s="4"/>
      <c r="C505" s="4"/>
      <c r="Q505" s="1"/>
      <c r="R505" s="1"/>
      <c r="S505" s="1"/>
    </row>
    <row r="506" spans="1:19" ht="16.95" hidden="1" customHeight="1">
      <c r="C506" s="1"/>
      <c r="D506" s="4"/>
      <c r="Q506" s="1"/>
      <c r="R506" s="1"/>
      <c r="S506" s="1"/>
    </row>
    <row r="507" spans="1:19" ht="16.95" hidden="1" customHeight="1">
      <c r="C507" s="1"/>
      <c r="Q507" s="1"/>
      <c r="R507" s="1"/>
      <c r="S507" s="1"/>
    </row>
    <row r="508" spans="1:19" ht="16.95" hidden="1" customHeight="1">
      <c r="C508" s="1"/>
      <c r="Q508" s="1"/>
      <c r="R508" s="1"/>
      <c r="S508" s="1"/>
    </row>
    <row r="509" spans="1:19" ht="16.95" hidden="1" customHeight="1">
      <c r="C509" s="1"/>
      <c r="Q509" s="1"/>
      <c r="R509" s="1"/>
      <c r="S509" s="1"/>
    </row>
    <row r="510" spans="1:19" ht="16.95" hidden="1" customHeight="1">
      <c r="C510" s="1"/>
      <c r="Q510" s="1"/>
      <c r="R510" s="1"/>
      <c r="S510" s="1"/>
    </row>
    <row r="511" spans="1:19" ht="16.95" hidden="1" customHeight="1">
      <c r="C511" s="1"/>
      <c r="Q511" s="1"/>
      <c r="R511" s="1"/>
      <c r="S511" s="1"/>
    </row>
    <row r="512" spans="1:19" ht="16.95" hidden="1" customHeight="1">
      <c r="C512" s="1"/>
      <c r="Q512" s="1"/>
      <c r="R512" s="1"/>
      <c r="S512" s="1"/>
    </row>
    <row r="513" spans="1:19" ht="16.95" hidden="1" customHeight="1">
      <c r="A513" s="7" t="s">
        <v>3</v>
      </c>
      <c r="B513" s="7">
        <v>4680</v>
      </c>
      <c r="C513" s="6">
        <v>44570</v>
      </c>
      <c r="D513" s="1" t="e">
        <f>B513-E496-#REF!</f>
        <v>#REF!</v>
      </c>
      <c r="Q513" s="1"/>
      <c r="R513" s="1"/>
      <c r="S513" s="1"/>
    </row>
    <row r="514" spans="1:19" ht="16.95" hidden="1" customHeight="1">
      <c r="C514" s="1"/>
      <c r="Q514" s="1"/>
      <c r="R514" s="1"/>
      <c r="S514" s="1"/>
    </row>
    <row r="515" spans="1:19" ht="16.95" hidden="1" customHeight="1">
      <c r="C515" s="1"/>
      <c r="Q515" s="1"/>
      <c r="R515" s="1"/>
      <c r="S515" s="1"/>
    </row>
    <row r="516" spans="1:19" ht="16.95" hidden="1" customHeight="1">
      <c r="C516" s="1"/>
      <c r="Q516" s="1"/>
      <c r="R516" s="1"/>
      <c r="S516" s="1"/>
    </row>
    <row r="517" spans="1:19" ht="16.95" hidden="1" customHeight="1">
      <c r="C517" s="1"/>
      <c r="Q517" s="1"/>
      <c r="R517" s="1"/>
      <c r="S517" s="1"/>
    </row>
    <row r="518" spans="1:19" ht="16.95" hidden="1" customHeight="1">
      <c r="C518" s="1"/>
      <c r="Q518" s="1"/>
      <c r="R518" s="1"/>
      <c r="S518" s="1"/>
    </row>
    <row r="519" spans="1:19" ht="16.95" hidden="1" customHeight="1">
      <c r="C519" s="1"/>
      <c r="Q519" s="1"/>
      <c r="R519" s="1"/>
      <c r="S519" s="1"/>
    </row>
    <row r="520" spans="1:19" ht="16.95" hidden="1" customHeight="1">
      <c r="C520" s="1"/>
      <c r="Q520" s="1"/>
      <c r="R520" s="1"/>
      <c r="S520" s="1"/>
    </row>
    <row r="521" spans="1:19" ht="16.95" hidden="1" customHeight="1">
      <c r="C521" s="1"/>
      <c r="Q521" s="1"/>
      <c r="R521" s="1"/>
      <c r="S521" s="1"/>
    </row>
    <row r="522" spans="1:19" ht="16.95" hidden="1" customHeight="1">
      <c r="C522" s="1"/>
      <c r="Q522" s="1"/>
      <c r="R522" s="1"/>
      <c r="S522" s="1"/>
    </row>
    <row r="523" spans="1:19" ht="16.95" hidden="1" customHeight="1">
      <c r="C523" s="1"/>
      <c r="Q523" s="1"/>
      <c r="R523" s="1"/>
      <c r="S523" s="1"/>
    </row>
    <row r="524" spans="1:19" ht="16.95" hidden="1" customHeight="1">
      <c r="C524" s="1"/>
      <c r="Q524" s="1"/>
      <c r="R524" s="1"/>
      <c r="S524" s="1"/>
    </row>
    <row r="525" spans="1:19" ht="16.95" hidden="1" customHeight="1">
      <c r="C525" s="1"/>
      <c r="Q525" s="1"/>
      <c r="R525" s="1"/>
      <c r="S525" s="1"/>
    </row>
    <row r="526" spans="1:19" ht="16.95" hidden="1" customHeight="1">
      <c r="C526" s="1"/>
      <c r="Q526" s="1"/>
      <c r="R526" s="1"/>
      <c r="S526" s="1"/>
    </row>
    <row r="527" spans="1:19" ht="16.95" hidden="1" customHeight="1">
      <c r="C527" s="1"/>
      <c r="Q527" s="1"/>
      <c r="R527" s="1"/>
      <c r="S527" s="1"/>
    </row>
    <row r="528" spans="1:19" ht="16.95" hidden="1" customHeight="1">
      <c r="C528" s="1"/>
      <c r="Q528" s="1"/>
      <c r="R528" s="1"/>
      <c r="S528" s="1"/>
    </row>
    <row r="529" spans="1:19" ht="16.95" hidden="1" customHeight="1">
      <c r="C529" s="1"/>
      <c r="Q529" s="1"/>
      <c r="R529" s="1"/>
      <c r="S529" s="1"/>
    </row>
    <row r="530" spans="1:19" ht="16.95" hidden="1" customHeight="1">
      <c r="C530" s="1"/>
      <c r="Q530" s="1"/>
      <c r="R530" s="1"/>
      <c r="S530" s="1"/>
    </row>
    <row r="531" spans="1:19" ht="16.95" hidden="1" customHeight="1">
      <c r="C531" s="1"/>
      <c r="Q531" s="1"/>
      <c r="R531" s="1"/>
      <c r="S531" s="1"/>
    </row>
    <row r="532" spans="1:19" ht="16.95" hidden="1" customHeight="1">
      <c r="C532" s="1"/>
      <c r="Q532" s="1"/>
      <c r="R532" s="1"/>
      <c r="S532" s="1"/>
    </row>
    <row r="533" spans="1:19" ht="16.95" hidden="1" customHeight="1">
      <c r="C533" s="1"/>
      <c r="Q533" s="1"/>
      <c r="R533" s="1"/>
      <c r="S533" s="1"/>
    </row>
    <row r="534" spans="1:19" ht="16.95" hidden="1" customHeight="1">
      <c r="C534" s="1"/>
      <c r="D534" s="1" t="e">
        <f>SUM(#REF!)</f>
        <v>#REF!</v>
      </c>
      <c r="E534" s="1" t="e">
        <f>SUM(#REF!)</f>
        <v>#REF!</v>
      </c>
      <c r="F534" s="1" t="e">
        <f>SUM(#REF!)</f>
        <v>#REF!</v>
      </c>
      <c r="Q534" s="1"/>
      <c r="R534" s="1"/>
      <c r="S534" s="1"/>
    </row>
    <row r="535" spans="1:19" ht="16.95" hidden="1" customHeight="1">
      <c r="C535" s="1"/>
      <c r="D535" s="1" t="e">
        <f>D534+D496</f>
        <v>#REF!</v>
      </c>
      <c r="E535" s="1" t="e">
        <f>E534+E496</f>
        <v>#REF!</v>
      </c>
      <c r="F535" s="1" t="e">
        <f>F534+F496</f>
        <v>#REF!</v>
      </c>
      <c r="G535" s="1" t="s">
        <v>2</v>
      </c>
      <c r="Q535" s="1"/>
      <c r="R535" s="1"/>
      <c r="S535" s="1"/>
    </row>
    <row r="536" spans="1:19" ht="16.95" hidden="1" customHeight="1">
      <c r="C536" s="1"/>
      <c r="Q536" s="1"/>
      <c r="R536" s="1"/>
      <c r="S536" s="1"/>
    </row>
    <row r="537" spans="1:19" ht="13.2" hidden="1" customHeight="1">
      <c r="C537" s="1"/>
      <c r="Q537" s="1"/>
      <c r="R537" s="1"/>
      <c r="S537" s="1"/>
    </row>
    <row r="538" spans="1:19" ht="13.2" hidden="1" customHeight="1">
      <c r="A538" s="9"/>
      <c r="B538" s="9"/>
      <c r="C538" s="9"/>
      <c r="Q538" s="1"/>
      <c r="R538" s="1"/>
      <c r="S538" s="1"/>
    </row>
    <row r="539" spans="1:19" ht="13.2" hidden="1" customHeight="1">
      <c r="A539" s="9"/>
      <c r="B539" s="9"/>
      <c r="C539" s="9"/>
      <c r="Q539" s="1"/>
      <c r="R539" s="1"/>
      <c r="S539" s="1"/>
    </row>
    <row r="540" spans="1:19" ht="13.2" hidden="1" customHeight="1">
      <c r="C540" s="1"/>
      <c r="Q540" s="1"/>
      <c r="R540" s="1"/>
      <c r="S540" s="1"/>
    </row>
    <row r="541" spans="1:19" ht="76.2" hidden="1" customHeight="1">
      <c r="A541" s="8"/>
      <c r="B541" s="8"/>
      <c r="C541" s="8"/>
      <c r="Q541" s="1"/>
      <c r="R541" s="1"/>
      <c r="S541" s="1"/>
    </row>
    <row r="542" spans="1:19" ht="45" hidden="1" customHeight="1">
      <c r="A542" s="8"/>
      <c r="B542" s="8"/>
      <c r="C542" s="8"/>
      <c r="Q542" s="1"/>
      <c r="R542" s="1"/>
      <c r="S542" s="1"/>
    </row>
    <row r="543" spans="1:19" ht="16.95" hidden="1" customHeight="1">
      <c r="A543" s="4"/>
      <c r="B543" s="4"/>
      <c r="C543" s="1"/>
      <c r="Q543" s="1"/>
      <c r="R543" s="1"/>
      <c r="S543" s="1"/>
    </row>
    <row r="544" spans="1:19" ht="16.95" hidden="1" customHeight="1">
      <c r="C544" s="1"/>
      <c r="Q544" s="1"/>
      <c r="R544" s="1"/>
      <c r="S544" s="1"/>
    </row>
    <row r="545" spans="1:19" ht="16.95" hidden="1" customHeight="1">
      <c r="C545" s="1"/>
      <c r="Q545" s="1"/>
      <c r="R545" s="1"/>
      <c r="S545" s="1"/>
    </row>
    <row r="546" spans="1:19" ht="16.95" hidden="1" customHeight="1">
      <c r="C546" s="1"/>
      <c r="Q546" s="1"/>
      <c r="R546" s="1"/>
      <c r="S546" s="1"/>
    </row>
    <row r="547" spans="1:19" ht="16.95" hidden="1" customHeight="1">
      <c r="C547" s="1"/>
      <c r="Q547" s="1"/>
      <c r="R547" s="1"/>
      <c r="S547" s="1"/>
    </row>
    <row r="548" spans="1:19" ht="16.95" hidden="1" customHeight="1">
      <c r="A548" s="7" t="s">
        <v>1</v>
      </c>
      <c r="B548" s="7">
        <v>4980</v>
      </c>
      <c r="C548" s="6">
        <v>44963</v>
      </c>
      <c r="D548" s="1" t="e">
        <f>B548-E535-#REF!</f>
        <v>#REF!</v>
      </c>
      <c r="Q548" s="1"/>
      <c r="R548" s="1"/>
      <c r="S548" s="1"/>
    </row>
    <row r="549" spans="1:19" ht="16.95" hidden="1" customHeight="1">
      <c r="C549" s="1"/>
      <c r="Q549" s="1"/>
      <c r="R549" s="1"/>
      <c r="S549" s="1"/>
    </row>
    <row r="550" spans="1:19" ht="16.95" hidden="1" customHeight="1">
      <c r="C550" s="1"/>
      <c r="Q550" s="1"/>
      <c r="R550" s="1"/>
      <c r="S550" s="1"/>
    </row>
    <row r="551" spans="1:19" ht="16.95" hidden="1" customHeight="1">
      <c r="C551" s="1"/>
      <c r="Q551" s="1"/>
      <c r="R551" s="1"/>
      <c r="S551" s="1"/>
    </row>
    <row r="552" spans="1:19" ht="16.95" hidden="1" customHeight="1">
      <c r="C552" s="1"/>
      <c r="Q552" s="1"/>
      <c r="R552" s="1"/>
      <c r="S552" s="1"/>
    </row>
    <row r="553" spans="1:19" ht="16.95" hidden="1" customHeight="1">
      <c r="C553" s="1"/>
      <c r="Q553" s="1"/>
      <c r="R553" s="1"/>
      <c r="S553" s="1"/>
    </row>
    <row r="554" spans="1:19" ht="16.95" hidden="1" customHeight="1">
      <c r="C554" s="1"/>
      <c r="Q554" s="1"/>
      <c r="R554" s="1"/>
      <c r="S554" s="1"/>
    </row>
    <row r="555" spans="1:19" ht="16.95" hidden="1" customHeight="1">
      <c r="C555" s="1"/>
      <c r="Q555" s="1"/>
      <c r="R555" s="1"/>
      <c r="S555" s="1"/>
    </row>
    <row r="556" spans="1:19" ht="16.95" hidden="1" customHeight="1">
      <c r="C556" s="1"/>
      <c r="Q556" s="1"/>
      <c r="R556" s="1"/>
      <c r="S556" s="1"/>
    </row>
    <row r="557" spans="1:19" ht="16.95" hidden="1" customHeight="1">
      <c r="C557" s="1"/>
      <c r="Q557" s="1"/>
      <c r="R557" s="1"/>
      <c r="S557" s="1"/>
    </row>
    <row r="558" spans="1:19" ht="16.95" hidden="1" customHeight="1">
      <c r="C558" s="1"/>
      <c r="Q558" s="1"/>
      <c r="R558" s="1"/>
      <c r="S558" s="1"/>
    </row>
    <row r="559" spans="1:19" ht="16.95" hidden="1" customHeight="1">
      <c r="C559" s="1"/>
      <c r="Q559" s="1"/>
      <c r="R559" s="1"/>
      <c r="S559" s="1"/>
    </row>
    <row r="560" spans="1:19" ht="16.95" hidden="1" customHeight="1">
      <c r="C560" s="1"/>
      <c r="Q560" s="1"/>
      <c r="R560" s="1"/>
      <c r="S560" s="1"/>
    </row>
    <row r="561" spans="1:19" ht="16.95" hidden="1" customHeight="1">
      <c r="C561" s="1"/>
      <c r="Q561" s="1"/>
      <c r="R561" s="1"/>
      <c r="S561" s="1"/>
    </row>
    <row r="562" spans="1:19" ht="16.95" hidden="1" customHeight="1">
      <c r="C562" s="1"/>
      <c r="Q562" s="1"/>
      <c r="R562" s="1"/>
      <c r="S562" s="1"/>
    </row>
    <row r="563" spans="1:19" ht="16.95" hidden="1" customHeight="1">
      <c r="C563" s="1"/>
      <c r="Q563" s="1"/>
      <c r="R563" s="1"/>
      <c r="S563" s="1"/>
    </row>
    <row r="564" spans="1:19" ht="16.95" hidden="1" customHeight="1">
      <c r="A564" s="7" t="s">
        <v>0</v>
      </c>
      <c r="B564" s="7">
        <v>5180</v>
      </c>
      <c r="C564" s="6">
        <v>44979</v>
      </c>
      <c r="D564" s="1" t="e">
        <f>B564-E535-#REF!</f>
        <v>#REF!</v>
      </c>
      <c r="Q564" s="1"/>
      <c r="R564" s="1"/>
      <c r="S564" s="1"/>
    </row>
    <row r="565" spans="1:19" ht="16.95" hidden="1" customHeight="1">
      <c r="C565" s="1"/>
      <c r="Q565" s="1"/>
      <c r="R565" s="1"/>
      <c r="S565" s="1"/>
    </row>
    <row r="566" spans="1:19" ht="16.95" hidden="1" customHeight="1">
      <c r="C566" s="1"/>
      <c r="Q566" s="1"/>
      <c r="R566" s="1"/>
      <c r="S566" s="1"/>
    </row>
    <row r="567" spans="1:19" ht="16.95" hidden="1" customHeight="1">
      <c r="C567" s="1"/>
      <c r="Q567" s="1"/>
      <c r="R567" s="1"/>
      <c r="S567" s="1"/>
    </row>
    <row r="568" spans="1:19" ht="16.95" hidden="1" customHeight="1">
      <c r="C568" s="1"/>
      <c r="Q568" s="1"/>
      <c r="R568" s="1"/>
      <c r="S568" s="1"/>
    </row>
    <row r="569" spans="1:19" ht="16.95" hidden="1" customHeight="1">
      <c r="C569" s="1"/>
      <c r="D569" s="1" t="e">
        <f>SUM(#REF!)</f>
        <v>#REF!</v>
      </c>
      <c r="E569" s="1" t="e">
        <f>SUM(#REF!)</f>
        <v>#REF!</v>
      </c>
      <c r="F569" s="1" t="e">
        <f>SUM(#REF!)</f>
        <v>#REF!</v>
      </c>
      <c r="Q569" s="1"/>
      <c r="R569" s="1"/>
      <c r="S569" s="1"/>
    </row>
    <row r="570" spans="1:19" ht="16.95" hidden="1" customHeight="1">
      <c r="A570" s="5">
        <v>4539</v>
      </c>
      <c r="C570" s="1"/>
      <c r="D570" s="1" t="e">
        <f>D535+D569</f>
        <v>#REF!</v>
      </c>
      <c r="E570" s="1" t="e">
        <f>E535+E569</f>
        <v>#REF!</v>
      </c>
      <c r="F570" s="1" t="e">
        <f>F535+F569</f>
        <v>#REF!</v>
      </c>
      <c r="Q570" s="1"/>
      <c r="R570" s="1"/>
      <c r="S570" s="1"/>
    </row>
    <row r="571" spans="1:19" ht="13.2" hidden="1" customHeight="1">
      <c r="C571" s="1"/>
      <c r="D571" s="1">
        <v>594.6</v>
      </c>
      <c r="E571" s="1">
        <v>768</v>
      </c>
      <c r="F571" s="1">
        <v>416</v>
      </c>
      <c r="Q571" s="1"/>
      <c r="R571" s="1"/>
      <c r="S571" s="1"/>
    </row>
    <row r="572" spans="1:19" ht="13.2" hidden="1" customHeight="1">
      <c r="C572" s="1"/>
      <c r="Q572" s="1"/>
      <c r="R572" s="1"/>
      <c r="S572" s="1"/>
    </row>
    <row r="573" spans="1:19" ht="13.2" hidden="1" customHeight="1">
      <c r="C573" s="1"/>
      <c r="Q573" s="1"/>
      <c r="R573" s="1"/>
      <c r="S573" s="1"/>
    </row>
    <row r="574" spans="1:19" ht="13.2" hidden="1" customHeight="1">
      <c r="C574" s="1"/>
      <c r="Q574" s="1"/>
      <c r="R574" s="1"/>
      <c r="S574" s="1"/>
    </row>
    <row r="575" spans="1:19" ht="13.2" customHeight="1">
      <c r="C575" s="1"/>
      <c r="Q575" s="1"/>
      <c r="R575" s="1"/>
      <c r="S575" s="1"/>
    </row>
    <row r="576" spans="1:19" ht="13.2" customHeight="1">
      <c r="C576" s="1"/>
      <c r="Q576" s="1"/>
      <c r="R576" s="1"/>
      <c r="S576" s="1"/>
    </row>
    <row r="577" spans="3:19" ht="13.2" customHeight="1">
      <c r="C577" s="1"/>
      <c r="D577" s="4"/>
      <c r="E577" s="4"/>
      <c r="F577" s="4"/>
      <c r="H577" s="4"/>
      <c r="Q577" s="1"/>
      <c r="R577" s="1"/>
      <c r="S577" s="1"/>
    </row>
    <row r="578" spans="3:19" ht="13.2" customHeight="1">
      <c r="C578" s="1">
        <v>2010</v>
      </c>
      <c r="D578" s="1">
        <v>2007</v>
      </c>
      <c r="E578" s="1">
        <v>2008</v>
      </c>
      <c r="Q578" s="1"/>
      <c r="R578" s="1"/>
      <c r="S578" s="1"/>
    </row>
    <row r="579" spans="3:19" ht="13.2" customHeight="1">
      <c r="C579" s="1">
        <v>1032</v>
      </c>
      <c r="D579" s="1">
        <v>1032</v>
      </c>
      <c r="E579" s="1">
        <v>1032</v>
      </c>
      <c r="Q579" s="1"/>
      <c r="R579" s="1"/>
      <c r="S579" s="1"/>
    </row>
    <row r="580" spans="3:19" ht="13.2" customHeight="1">
      <c r="C580" s="1">
        <v>1030</v>
      </c>
      <c r="D580" s="1">
        <v>1021</v>
      </c>
      <c r="E580" s="1">
        <v>1028</v>
      </c>
      <c r="Q580" s="1"/>
      <c r="R580" s="1"/>
      <c r="S580" s="1"/>
    </row>
    <row r="581" spans="3:19" ht="13.2" customHeight="1">
      <c r="C581" s="1">
        <v>1028</v>
      </c>
      <c r="D581" s="1">
        <v>1010</v>
      </c>
      <c r="E581" s="1">
        <v>1022</v>
      </c>
      <c r="Q581" s="1"/>
      <c r="R581" s="1"/>
      <c r="S581" s="1"/>
    </row>
    <row r="582" spans="3:19" ht="13.2" customHeight="1">
      <c r="C582" s="1">
        <f>SUM(C578:C581)</f>
        <v>5100</v>
      </c>
      <c r="D582" s="1">
        <f>SUM(D578:D581)</f>
        <v>5070</v>
      </c>
      <c r="E582" s="1">
        <f>SUM(E578:E581)</f>
        <v>5090</v>
      </c>
      <c r="Q582" s="1"/>
      <c r="R582" s="1"/>
      <c r="S582" s="1"/>
    </row>
    <row r="583" spans="3:19" ht="13.2" customHeight="1">
      <c r="C583" s="4">
        <f>5100</f>
        <v>5100</v>
      </c>
      <c r="D583" s="4">
        <f>5070</f>
        <v>5070</v>
      </c>
      <c r="E583" s="4">
        <f>5090</f>
        <v>5090</v>
      </c>
      <c r="Q583" s="1"/>
      <c r="R583" s="1"/>
      <c r="S583" s="1"/>
    </row>
    <row r="584" spans="3:19" ht="13.2" customHeight="1">
      <c r="C584" s="1"/>
      <c r="Q584" s="1"/>
      <c r="R584" s="1"/>
      <c r="S584" s="1"/>
    </row>
    <row r="585" spans="3:19" ht="13.2" customHeight="1">
      <c r="C585" s="1"/>
      <c r="Q585" s="1"/>
      <c r="R585" s="1"/>
      <c r="S585" s="1"/>
    </row>
    <row r="586" spans="3:19" ht="13.2" customHeight="1">
      <c r="C586" s="1"/>
      <c r="Q586" s="1"/>
      <c r="R586" s="1"/>
      <c r="S586" s="1"/>
    </row>
    <row r="587" spans="3:19" ht="13.2" customHeight="1">
      <c r="C587" s="1"/>
      <c r="Q587" s="1"/>
      <c r="R587" s="1"/>
      <c r="S587" s="1"/>
    </row>
    <row r="588" spans="3:19" ht="13.2" customHeight="1">
      <c r="C588" s="1"/>
      <c r="Q588" s="1"/>
      <c r="R588" s="1"/>
      <c r="S588" s="1"/>
    </row>
    <row r="589" spans="3:19" ht="13.2" customHeight="1">
      <c r="C589" s="1"/>
      <c r="Q589" s="1"/>
      <c r="R589" s="1"/>
      <c r="S589" s="1"/>
    </row>
    <row r="590" spans="3:19" ht="13.2" customHeight="1">
      <c r="C590" s="1"/>
      <c r="Q590" s="1"/>
      <c r="R590" s="1"/>
      <c r="S590" s="1"/>
    </row>
    <row r="591" spans="3:19" ht="13.2" customHeight="1">
      <c r="C591" s="1"/>
      <c r="Q591" s="1"/>
      <c r="R591" s="1"/>
      <c r="S591" s="1"/>
    </row>
    <row r="592" spans="3:19" ht="13.2" customHeight="1">
      <c r="C592" s="1"/>
      <c r="Q592" s="1"/>
      <c r="R592" s="1"/>
      <c r="S592" s="1"/>
    </row>
    <row r="593" s="1" customFormat="1" ht="13.2" customHeight="1"/>
    <row r="594" s="1" customFormat="1" ht="13.2" customHeight="1"/>
    <row r="595" s="1" customFormat="1" ht="13.2" customHeight="1"/>
    <row r="596" s="1" customFormat="1" ht="13.2" customHeight="1"/>
    <row r="597" s="1" customFormat="1" ht="13.2" customHeight="1"/>
    <row r="598" s="1" customFormat="1" ht="13.2" customHeight="1"/>
    <row r="599" s="1" customFormat="1" ht="13.2" customHeight="1"/>
    <row r="600" s="1" customFormat="1" ht="13.2" customHeight="1"/>
    <row r="601" s="1" customFormat="1" ht="13.2" customHeight="1"/>
    <row r="602" s="1" customFormat="1" ht="13.2" customHeight="1"/>
    <row r="603" s="1" customFormat="1" ht="13.2" customHeight="1"/>
    <row r="604" s="1" customFormat="1" ht="13.2" customHeight="1"/>
    <row r="605" s="1" customFormat="1" ht="13.2" customHeight="1"/>
    <row r="606" s="1" customFormat="1" ht="13.2" customHeight="1"/>
    <row r="607" s="1" customFormat="1" ht="13.2" customHeight="1"/>
    <row r="608" s="1" customFormat="1" ht="13.2" customHeight="1"/>
  </sheetData>
  <mergeCells count="27">
    <mergeCell ref="A1:AA1"/>
    <mergeCell ref="A2:AA2"/>
    <mergeCell ref="A3:AA3"/>
    <mergeCell ref="A4:H4"/>
    <mergeCell ref="I4:R4"/>
    <mergeCell ref="S4:AA4"/>
    <mergeCell ref="X11:X12"/>
    <mergeCell ref="I5:R5"/>
    <mergeCell ref="S5:AA5"/>
    <mergeCell ref="A6:AA6"/>
    <mergeCell ref="M9:N9"/>
    <mergeCell ref="A10:AA10"/>
    <mergeCell ref="Z11:Z12"/>
    <mergeCell ref="AA11:AA12"/>
    <mergeCell ref="K11:M11"/>
    <mergeCell ref="A11:A12"/>
    <mergeCell ref="B11:B12"/>
    <mergeCell ref="C11:C12"/>
    <mergeCell ref="D11:D12"/>
    <mergeCell ref="E11:G11"/>
    <mergeCell ref="Y11:Y12"/>
    <mergeCell ref="A5:H5"/>
    <mergeCell ref="H11:J11"/>
    <mergeCell ref="N11:P11"/>
    <mergeCell ref="Q11:S11"/>
    <mergeCell ref="T11:T12"/>
    <mergeCell ref="U11:W11"/>
  </mergeCells>
  <pageMargins left="0.7" right="0" top="0.5" bottom="0" header="0.3" footer="0.3"/>
  <pageSetup paperSize="9" scale="55" orientation="landscape" r:id="rId1"/>
  <colBreaks count="1" manualBreakCount="1">
    <brk id="2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A3F7-BE1C-4046-B054-CAB0880E855D}">
  <sheetPr codeName="Sheet2">
    <tabColor rgb="FFFFFF00"/>
    <pageSetUpPr fitToPage="1"/>
  </sheetPr>
  <dimension ref="A1:AF333"/>
  <sheetViews>
    <sheetView topLeftCell="B1" zoomScale="80" zoomScaleNormal="80" zoomScaleSheetLayoutView="80" workbookViewId="0">
      <selection activeCell="AD14" sqref="AD14"/>
    </sheetView>
  </sheetViews>
  <sheetFormatPr defaultColWidth="9.09765625" defaultRowHeight="15.6"/>
  <cols>
    <col min="1" max="1" width="6.3984375" style="51" hidden="1" customWidth="1"/>
    <col min="2" max="2" width="11.8984375" style="59" customWidth="1"/>
    <col min="3" max="3" width="9.296875" style="54" customWidth="1"/>
    <col min="4" max="4" width="7.3984375" style="54" customWidth="1"/>
    <col min="5" max="5" width="9.3984375" style="56" customWidth="1"/>
    <col min="6" max="6" width="8.296875" style="56" customWidth="1"/>
    <col min="7" max="8" width="8.09765625" style="58" customWidth="1"/>
    <col min="9" max="9" width="9.09765625" style="58" customWidth="1"/>
    <col min="10" max="10" width="11.09765625" style="58" bestFit="1" customWidth="1"/>
    <col min="11" max="12" width="8.09765625" style="57" customWidth="1"/>
    <col min="13" max="13" width="8.09765625" style="56" customWidth="1"/>
    <col min="14" max="14" width="8.09765625" style="57" customWidth="1"/>
    <col min="15" max="15" width="8.8984375" style="57" customWidth="1"/>
    <col min="16" max="17" width="8.09765625" style="56" customWidth="1"/>
    <col min="18" max="18" width="8.09765625" style="57" customWidth="1"/>
    <col min="19" max="20" width="8.09765625" style="56" customWidth="1"/>
    <col min="21" max="21" width="9.3984375" style="56" customWidth="1"/>
    <col min="22" max="22" width="8.09765625" style="54" customWidth="1"/>
    <col min="23" max="23" width="8.09765625" style="55" customWidth="1"/>
    <col min="24" max="24" width="6.59765625" style="54" customWidth="1"/>
    <col min="25" max="25" width="5.69921875" style="52" customWidth="1"/>
    <col min="26" max="26" width="10.09765625" style="52" bestFit="1" customWidth="1"/>
    <col min="27" max="27" width="9.09765625" style="53"/>
    <col min="28" max="28" width="9.09765625" style="53" customWidth="1"/>
    <col min="29" max="30" width="9.09765625" style="53"/>
    <col min="31" max="31" width="9.09765625" style="52"/>
    <col min="32" max="16384" width="9.09765625" style="51"/>
  </cols>
  <sheetData>
    <row r="1" spans="1:31" s="1" customFormat="1" ht="13.2" customHeight="1">
      <c r="A1" s="176" t="s">
        <v>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</row>
    <row r="2" spans="1:31" s="1" customFormat="1" ht="13.2" customHeight="1">
      <c r="A2" s="176" t="s">
        <v>55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</row>
    <row r="3" spans="1:31" s="1" customFormat="1" ht="19.5" customHeight="1">
      <c r="A3" s="176" t="s">
        <v>54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</row>
    <row r="4" spans="1:31" s="1" customFormat="1" ht="17.25" customHeight="1">
      <c r="A4" s="177" t="s">
        <v>53</v>
      </c>
      <c r="B4" s="178"/>
      <c r="C4" s="178"/>
      <c r="D4" s="178"/>
      <c r="E4" s="178"/>
      <c r="F4" s="178"/>
      <c r="G4" s="178"/>
      <c r="H4" s="179"/>
      <c r="I4" s="180" t="s">
        <v>52</v>
      </c>
      <c r="J4" s="181"/>
      <c r="K4" s="181"/>
      <c r="L4" s="181"/>
      <c r="M4" s="181"/>
      <c r="N4" s="181"/>
      <c r="O4" s="181"/>
      <c r="P4" s="181"/>
      <c r="Q4" s="181"/>
      <c r="R4" s="182"/>
      <c r="S4" s="180" t="s">
        <v>51</v>
      </c>
      <c r="T4" s="181"/>
      <c r="U4" s="181"/>
      <c r="V4" s="181"/>
      <c r="W4" s="181"/>
      <c r="X4" s="181"/>
      <c r="Y4" s="181"/>
      <c r="Z4" s="181"/>
      <c r="AA4" s="182"/>
    </row>
    <row r="5" spans="1:31" s="1" customFormat="1" ht="70.05" customHeight="1">
      <c r="A5" s="183" t="s">
        <v>50</v>
      </c>
      <c r="B5" s="184"/>
      <c r="C5" s="184"/>
      <c r="D5" s="184"/>
      <c r="E5" s="184"/>
      <c r="F5" s="184"/>
      <c r="G5" s="184"/>
      <c r="H5" s="185"/>
      <c r="I5" s="165" t="s">
        <v>49</v>
      </c>
      <c r="J5" s="166"/>
      <c r="K5" s="166"/>
      <c r="L5" s="166"/>
      <c r="M5" s="166"/>
      <c r="N5" s="166"/>
      <c r="O5" s="166"/>
      <c r="P5" s="166"/>
      <c r="Q5" s="166"/>
      <c r="R5" s="167"/>
      <c r="S5" s="168" t="s">
        <v>48</v>
      </c>
      <c r="T5" s="169"/>
      <c r="U5" s="169"/>
      <c r="V5" s="169"/>
      <c r="W5" s="169"/>
      <c r="X5" s="169"/>
      <c r="Y5" s="169"/>
      <c r="Z5" s="169"/>
      <c r="AA5" s="170"/>
    </row>
    <row r="6" spans="1:31" ht="24" customHeight="1">
      <c r="A6" s="111"/>
      <c r="B6" s="191" t="s">
        <v>47</v>
      </c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3"/>
    </row>
    <row r="7" spans="1:31">
      <c r="A7" s="111"/>
      <c r="B7" s="50" t="s">
        <v>46</v>
      </c>
      <c r="C7" s="48"/>
      <c r="D7" s="48"/>
      <c r="E7" s="48"/>
      <c r="F7" s="48"/>
      <c r="G7" s="48"/>
      <c r="H7" s="48"/>
      <c r="I7" s="48"/>
      <c r="J7" s="48"/>
      <c r="K7" s="49"/>
      <c r="L7" s="49" t="s">
        <v>45</v>
      </c>
      <c r="M7" s="49"/>
      <c r="N7" s="49"/>
      <c r="O7" s="49"/>
      <c r="P7" s="48"/>
      <c r="Q7" s="48"/>
      <c r="R7" s="48"/>
      <c r="S7" s="48"/>
      <c r="T7" s="48"/>
      <c r="U7" s="48"/>
      <c r="V7" s="47"/>
      <c r="W7" s="47"/>
      <c r="X7" s="47"/>
      <c r="Y7" s="47"/>
      <c r="Z7" s="47"/>
      <c r="AA7" s="110"/>
      <c r="AB7" s="109"/>
    </row>
    <row r="8" spans="1:31" s="94" customFormat="1" ht="13.8">
      <c r="A8" s="102"/>
      <c r="B8" s="45" t="s">
        <v>44</v>
      </c>
      <c r="C8" s="42" t="str">
        <f>'[4]124+090'!C8</f>
        <v>năng</v>
      </c>
      <c r="D8" s="42"/>
      <c r="E8" s="42"/>
      <c r="F8" s="42"/>
      <c r="G8" s="42"/>
      <c r="H8" s="42"/>
      <c r="I8" s="42"/>
      <c r="J8" s="42"/>
      <c r="K8" s="43"/>
      <c r="L8" s="43" t="s">
        <v>42</v>
      </c>
      <c r="M8" s="43"/>
      <c r="N8" s="108">
        <f>'124+900 '!M8</f>
        <v>1026</v>
      </c>
      <c r="O8" s="107"/>
      <c r="P8" s="42"/>
      <c r="Q8" s="42"/>
      <c r="R8" s="42"/>
      <c r="S8" s="42"/>
      <c r="T8" s="42"/>
      <c r="U8" s="42"/>
      <c r="V8" s="41"/>
      <c r="W8" s="41"/>
      <c r="X8" s="41"/>
      <c r="Y8" s="41"/>
      <c r="Z8" s="41"/>
      <c r="AA8" s="106"/>
      <c r="AB8" s="105"/>
      <c r="AC8" s="53"/>
      <c r="AD8" s="53"/>
      <c r="AE8" s="53"/>
    </row>
    <row r="9" spans="1:31" s="94" customFormat="1" ht="13.8">
      <c r="A9" s="102"/>
      <c r="B9" s="39" t="s">
        <v>41</v>
      </c>
      <c r="C9" s="37" t="str">
        <f>'124+900 '!C9</f>
        <v>Km124+900</v>
      </c>
      <c r="D9" s="37"/>
      <c r="E9" s="37"/>
      <c r="F9" s="37"/>
      <c r="G9" s="37"/>
      <c r="H9" s="37"/>
      <c r="I9" s="37"/>
      <c r="J9" s="37"/>
      <c r="K9" s="38"/>
      <c r="L9" s="38" t="s">
        <v>39</v>
      </c>
      <c r="M9" s="38"/>
      <c r="N9" s="194">
        <f>B13</f>
        <v>45243</v>
      </c>
      <c r="O9" s="195"/>
      <c r="P9" s="37"/>
      <c r="Q9" s="37"/>
      <c r="R9" s="37"/>
      <c r="S9" s="37"/>
      <c r="T9" s="37"/>
      <c r="U9" s="37"/>
      <c r="V9" s="36"/>
      <c r="W9" s="36"/>
      <c r="X9" s="36"/>
      <c r="Y9" s="36"/>
      <c r="Z9" s="36"/>
      <c r="AA9" s="104"/>
      <c r="AB9" s="103"/>
      <c r="AC9" s="53"/>
      <c r="AD9" s="53"/>
      <c r="AE9" s="53"/>
    </row>
    <row r="10" spans="1:31" s="94" customFormat="1" ht="13.2">
      <c r="A10" s="102"/>
      <c r="B10" s="101"/>
      <c r="C10" s="100"/>
      <c r="D10" s="100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8"/>
      <c r="W10" s="98"/>
      <c r="X10" s="98"/>
      <c r="Y10" s="97"/>
      <c r="Z10" s="97"/>
      <c r="AA10" s="96"/>
      <c r="AB10" s="95"/>
      <c r="AC10" s="53"/>
      <c r="AD10" s="53"/>
      <c r="AE10" s="53"/>
    </row>
    <row r="11" spans="1:31" s="91" customFormat="1" ht="16.5" customHeight="1">
      <c r="A11" s="93"/>
      <c r="B11" s="189" t="s">
        <v>73</v>
      </c>
      <c r="C11" s="190" t="s">
        <v>72</v>
      </c>
      <c r="D11" s="190" t="s">
        <v>71</v>
      </c>
      <c r="E11" s="186" t="s">
        <v>70</v>
      </c>
      <c r="F11" s="186" t="s">
        <v>69</v>
      </c>
      <c r="G11" s="187" t="s">
        <v>68</v>
      </c>
      <c r="H11" s="187"/>
      <c r="I11" s="187"/>
      <c r="J11" s="187"/>
      <c r="K11" s="187"/>
      <c r="L11" s="187"/>
      <c r="M11" s="187" t="s">
        <v>67</v>
      </c>
      <c r="N11" s="187"/>
      <c r="O11" s="187"/>
      <c r="P11" s="187"/>
      <c r="Q11" s="187"/>
      <c r="R11" s="187"/>
      <c r="S11" s="188" t="s">
        <v>21</v>
      </c>
      <c r="T11" s="188"/>
      <c r="U11" s="188"/>
      <c r="V11" s="188"/>
      <c r="W11" s="188"/>
      <c r="X11" s="188"/>
      <c r="Y11" s="187"/>
      <c r="Z11" s="186" t="s">
        <v>66</v>
      </c>
      <c r="AA11" s="186" t="s">
        <v>65</v>
      </c>
      <c r="AB11" s="186" t="s">
        <v>65</v>
      </c>
      <c r="AC11" s="53"/>
      <c r="AD11" s="53"/>
      <c r="AE11" s="92"/>
    </row>
    <row r="12" spans="1:31" s="83" customFormat="1" ht="73.2" customHeight="1">
      <c r="A12" s="85"/>
      <c r="B12" s="189"/>
      <c r="C12" s="190"/>
      <c r="D12" s="190"/>
      <c r="E12" s="186"/>
      <c r="F12" s="186"/>
      <c r="G12" s="89" t="s">
        <v>64</v>
      </c>
      <c r="H12" s="89" t="s">
        <v>63</v>
      </c>
      <c r="I12" s="89" t="s">
        <v>62</v>
      </c>
      <c r="J12" s="89" t="s">
        <v>61</v>
      </c>
      <c r="K12" s="90" t="s">
        <v>60</v>
      </c>
      <c r="L12" s="90" t="s">
        <v>59</v>
      </c>
      <c r="M12" s="89" t="s">
        <v>64</v>
      </c>
      <c r="N12" s="89" t="s">
        <v>63</v>
      </c>
      <c r="O12" s="89" t="s">
        <v>62</v>
      </c>
      <c r="P12" s="89" t="s">
        <v>61</v>
      </c>
      <c r="Q12" s="90" t="s">
        <v>60</v>
      </c>
      <c r="R12" s="90" t="s">
        <v>59</v>
      </c>
      <c r="S12" s="89" t="s">
        <v>64</v>
      </c>
      <c r="T12" s="89" t="s">
        <v>63</v>
      </c>
      <c r="U12" s="89" t="s">
        <v>62</v>
      </c>
      <c r="V12" s="88" t="s">
        <v>61</v>
      </c>
      <c r="W12" s="87" t="s">
        <v>60</v>
      </c>
      <c r="X12" s="87" t="s">
        <v>59</v>
      </c>
      <c r="Y12" s="187"/>
      <c r="Z12" s="186"/>
      <c r="AA12" s="186"/>
      <c r="AB12" s="186"/>
      <c r="AC12" s="53"/>
      <c r="AD12" s="53"/>
      <c r="AE12" s="53"/>
    </row>
    <row r="13" spans="1:31" s="83" customFormat="1" ht="15" customHeight="1">
      <c r="A13" s="85"/>
      <c r="B13" s="74">
        <f>'124+900 '!B13</f>
        <v>45243</v>
      </c>
      <c r="C13" s="73">
        <v>0</v>
      </c>
      <c r="D13" s="86">
        <f>VLOOKUP(B13,'124+900 '!B13:AA315,2,FALSE)</f>
        <v>1026</v>
      </c>
      <c r="E13" s="67">
        <f>VLOOKUP(B13,'124+900 '!B13:AA314,3,FALSE)</f>
        <v>1381</v>
      </c>
      <c r="F13" s="67">
        <f t="shared" ref="F13:F44" si="0">D13+E13</f>
        <v>2407</v>
      </c>
      <c r="G13" s="71">
        <f>VLOOKUP(B13,'124+900 '!$B$13:$AA$314,20,FALSE)</f>
        <v>-121</v>
      </c>
      <c r="H13" s="71">
        <f>VLOOKUP(B13,'124+900 '!$B$13:$AA$314,4,FALSE)</f>
        <v>1528</v>
      </c>
      <c r="I13" s="66">
        <f t="shared" ref="I13:I44" si="1">F13-H13</f>
        <v>879</v>
      </c>
      <c r="J13" s="66">
        <f>VLOOKUP(B13,'124+900 '!$B$13:$AA$314,13,FALSE)</f>
        <v>-121</v>
      </c>
      <c r="K13" s="70">
        <v>0</v>
      </c>
      <c r="L13" s="69">
        <v>0</v>
      </c>
      <c r="M13" s="68">
        <f>VLOOKUP(B13,'124+900 '!$B$13:$AA$314,21,FALSE)</f>
        <v>-123</v>
      </c>
      <c r="N13" s="67">
        <f>VLOOKUP(B13,'124+900 '!$B$13:$AA$314,5,FALSE)</f>
        <v>1530</v>
      </c>
      <c r="O13" s="66">
        <f t="shared" ref="O13:O44" si="2">F13-N13</f>
        <v>877</v>
      </c>
      <c r="P13" s="66">
        <f>VLOOKUP(B13,'124+900 '!$B$13:$AA$314,14,FALSE)</f>
        <v>-123</v>
      </c>
      <c r="Q13" s="70">
        <v>0</v>
      </c>
      <c r="R13" s="69">
        <v>0</v>
      </c>
      <c r="S13" s="68">
        <f>VLOOKUP(B13,'124+900 '!$B$13:$AA$314,22,FALSE)</f>
        <v>-113</v>
      </c>
      <c r="T13" s="67">
        <f>VLOOKUP(B13,'124+900 '!$B$13:$AA$314,6,FALSE)</f>
        <v>1520</v>
      </c>
      <c r="U13" s="66">
        <f t="shared" ref="U13:U44" si="3">F13-T13</f>
        <v>887</v>
      </c>
      <c r="V13" s="65">
        <f>VLOOKUP(B13,'124+900 '!$B$13:$AA$314,15,FALSE)</f>
        <v>-113</v>
      </c>
      <c r="W13" s="64">
        <v>0</v>
      </c>
      <c r="X13" s="63">
        <v>0</v>
      </c>
      <c r="Y13" s="62">
        <v>0</v>
      </c>
      <c r="Z13" s="61">
        <f t="shared" ref="Z13:Z44" si="4">IF(Y13&gt;0,Y13,0)/1000</f>
        <v>0</v>
      </c>
      <c r="AA13" s="60">
        <f>Z13</f>
        <v>0</v>
      </c>
      <c r="AB13" s="60">
        <v>0</v>
      </c>
      <c r="AC13" s="53"/>
      <c r="AD13" s="216">
        <f>I13-J13</f>
        <v>1000</v>
      </c>
      <c r="AE13" s="53"/>
    </row>
    <row r="14" spans="1:31" s="83" customFormat="1" ht="15" customHeight="1">
      <c r="A14" s="85">
        <v>1</v>
      </c>
      <c r="B14" s="74">
        <f>'124+900 '!B14</f>
        <v>45244</v>
      </c>
      <c r="C14" s="73">
        <f t="shared" ref="C14:C45" si="5">B14-$B$13</f>
        <v>1</v>
      </c>
      <c r="D14" s="72">
        <f t="shared" ref="D14:D45" si="6">D13</f>
        <v>1026</v>
      </c>
      <c r="E14" s="67">
        <f>VLOOKUP(B14,'124+900 '!B14:AA314,3,FALSE)</f>
        <v>1100</v>
      </c>
      <c r="F14" s="67">
        <f t="shared" si="0"/>
        <v>2126</v>
      </c>
      <c r="G14" s="71">
        <f>VLOOKUP(B14,'124+900 '!$B$13:$AA$314,20,FALSE)</f>
        <v>-121</v>
      </c>
      <c r="H14" s="71">
        <f>VLOOKUP(B14,'124+900 '!$B$13:$AA$314,4,FALSE)</f>
        <v>1247</v>
      </c>
      <c r="I14" s="66">
        <f t="shared" si="1"/>
        <v>879</v>
      </c>
      <c r="J14" s="66">
        <f>VLOOKUP(B14,'124+900 '!$B$13:$AA$314,13,FALSE)</f>
        <v>-121</v>
      </c>
      <c r="K14" s="70">
        <f t="shared" ref="K14:K45" si="7">J14-J13</f>
        <v>0</v>
      </c>
      <c r="L14" s="69">
        <f t="shared" ref="L14:L45" si="8">L13+K14</f>
        <v>0</v>
      </c>
      <c r="M14" s="68">
        <f>VLOOKUP(B14,'124+900 '!$B$13:$AA$314,21,FALSE)</f>
        <v>-123</v>
      </c>
      <c r="N14" s="67">
        <f>VLOOKUP(B14,'124+900 '!$B$13:$AA$314,5,FALSE)</f>
        <v>1249</v>
      </c>
      <c r="O14" s="66">
        <f t="shared" si="2"/>
        <v>877</v>
      </c>
      <c r="P14" s="66">
        <f>VLOOKUP(B14,'124+900 '!$B$13:$AA$314,14,FALSE)</f>
        <v>-123</v>
      </c>
      <c r="Q14" s="70">
        <f t="shared" ref="Q14:Q45" si="9">P14-P13</f>
        <v>0</v>
      </c>
      <c r="R14" s="69">
        <f t="shared" ref="R14:R45" si="10">R13+Q14</f>
        <v>0</v>
      </c>
      <c r="S14" s="68">
        <f>VLOOKUP(B14,'124+900 '!$B$13:$AA$314,22,FALSE)</f>
        <v>-113</v>
      </c>
      <c r="T14" s="67">
        <f>VLOOKUP(B14,'124+900 '!$B$13:$AA$314,6,FALSE)</f>
        <v>1239</v>
      </c>
      <c r="U14" s="66">
        <f t="shared" si="3"/>
        <v>887</v>
      </c>
      <c r="V14" s="65">
        <f>VLOOKUP(B14,'124+900 '!$B$13:$AA$314,15,FALSE)</f>
        <v>-113</v>
      </c>
      <c r="W14" s="70">
        <f t="shared" ref="W14:W45" si="11">V14-V13</f>
        <v>0</v>
      </c>
      <c r="X14" s="69">
        <f t="shared" ref="X14:X45" si="12">X13+W14</f>
        <v>0</v>
      </c>
      <c r="Y14" s="62">
        <f t="shared" ref="Y14:Y45" si="13">M14-M13</f>
        <v>0</v>
      </c>
      <c r="Z14" s="61">
        <f t="shared" si="4"/>
        <v>0</v>
      </c>
      <c r="AA14" s="60">
        <f t="shared" ref="AA14:AA45" si="14">AA13+Z14</f>
        <v>0</v>
      </c>
      <c r="AB14" s="60">
        <f t="shared" ref="AB14:AB45" si="15">(M14-$M$13-R14)/1000</f>
        <v>0</v>
      </c>
      <c r="AC14" s="53"/>
      <c r="AD14" s="53"/>
      <c r="AE14" s="53"/>
    </row>
    <row r="15" spans="1:31" s="83" customFormat="1" ht="15" customHeight="1">
      <c r="A15" s="85">
        <f t="shared" ref="A15:A20" si="16">A14+1</f>
        <v>2</v>
      </c>
      <c r="B15" s="74">
        <f>'124+900 '!B15</f>
        <v>45245</v>
      </c>
      <c r="C15" s="73">
        <f t="shared" si="5"/>
        <v>2</v>
      </c>
      <c r="D15" s="72">
        <f t="shared" si="6"/>
        <v>1026</v>
      </c>
      <c r="E15" s="67">
        <f>VLOOKUP(B15,'124+900 '!B15:AA314,3,FALSE)</f>
        <v>1488</v>
      </c>
      <c r="F15" s="67">
        <f t="shared" si="0"/>
        <v>2514</v>
      </c>
      <c r="G15" s="71">
        <f>VLOOKUP(B15,'124+900 '!$B$13:$AA$314,20,FALSE)</f>
        <v>-121</v>
      </c>
      <c r="H15" s="71">
        <f>VLOOKUP(B15,'124+900 '!$B$13:$AA$314,4,FALSE)</f>
        <v>1635</v>
      </c>
      <c r="I15" s="66">
        <f t="shared" si="1"/>
        <v>879</v>
      </c>
      <c r="J15" s="66">
        <f>VLOOKUP(B15,'124+900 '!$B$13:$AA$314,13,FALSE)</f>
        <v>-121</v>
      </c>
      <c r="K15" s="70">
        <f t="shared" si="7"/>
        <v>0</v>
      </c>
      <c r="L15" s="69">
        <f t="shared" si="8"/>
        <v>0</v>
      </c>
      <c r="M15" s="68">
        <f>VLOOKUP(B15,'124+900 '!$B$13:$AA$314,21,FALSE)</f>
        <v>-123</v>
      </c>
      <c r="N15" s="67">
        <f>VLOOKUP(B15,'124+900 '!$B$13:$AA$314,5,FALSE)</f>
        <v>1637</v>
      </c>
      <c r="O15" s="66">
        <f t="shared" si="2"/>
        <v>877</v>
      </c>
      <c r="P15" s="66">
        <f>VLOOKUP(B15,'124+900 '!$B$13:$AA$314,14,FALSE)</f>
        <v>-123</v>
      </c>
      <c r="Q15" s="70">
        <f t="shared" si="9"/>
        <v>0</v>
      </c>
      <c r="R15" s="69">
        <f t="shared" si="10"/>
        <v>0</v>
      </c>
      <c r="S15" s="68">
        <f>VLOOKUP(B15,'124+900 '!$B$13:$AA$314,22,FALSE)</f>
        <v>-113</v>
      </c>
      <c r="T15" s="67">
        <f>VLOOKUP(B15,'124+900 '!$B$13:$AA$314,6,FALSE)</f>
        <v>1627</v>
      </c>
      <c r="U15" s="66">
        <f t="shared" si="3"/>
        <v>887</v>
      </c>
      <c r="V15" s="65">
        <f>VLOOKUP(B15,'124+900 '!$B$13:$AA$314,15,FALSE)</f>
        <v>-113</v>
      </c>
      <c r="W15" s="64">
        <f t="shared" si="11"/>
        <v>0</v>
      </c>
      <c r="X15" s="63">
        <f t="shared" si="12"/>
        <v>0</v>
      </c>
      <c r="Y15" s="62">
        <f t="shared" si="13"/>
        <v>0</v>
      </c>
      <c r="Z15" s="61">
        <f t="shared" si="4"/>
        <v>0</v>
      </c>
      <c r="AA15" s="60">
        <f t="shared" si="14"/>
        <v>0</v>
      </c>
      <c r="AB15" s="60">
        <f t="shared" si="15"/>
        <v>0</v>
      </c>
      <c r="AC15" s="53"/>
      <c r="AD15" s="53"/>
      <c r="AE15" s="84"/>
    </row>
    <row r="16" spans="1:31" s="83" customFormat="1" ht="15" customHeight="1">
      <c r="A16" s="85">
        <f t="shared" si="16"/>
        <v>3</v>
      </c>
      <c r="B16" s="74">
        <f>'124+900 '!B16</f>
        <v>45249</v>
      </c>
      <c r="C16" s="73">
        <f t="shared" si="5"/>
        <v>6</v>
      </c>
      <c r="D16" s="72">
        <f t="shared" si="6"/>
        <v>1026</v>
      </c>
      <c r="E16" s="67">
        <f>VLOOKUP(B16,'124+900 '!B16:AA314,3,FALSE)</f>
        <v>1309</v>
      </c>
      <c r="F16" s="67">
        <f t="shared" si="0"/>
        <v>2335</v>
      </c>
      <c r="G16" s="71">
        <f>VLOOKUP(B16,'124+900 '!$B$13:$AA$314,20,FALSE)</f>
        <v>-121</v>
      </c>
      <c r="H16" s="71">
        <f>VLOOKUP(B16,'124+900 '!$B$13:$AA$314,4,FALSE)</f>
        <v>1456</v>
      </c>
      <c r="I16" s="66">
        <f t="shared" si="1"/>
        <v>879</v>
      </c>
      <c r="J16" s="66">
        <f>VLOOKUP(B16,'124+900 '!$B$13:$AA$314,13,FALSE)</f>
        <v>-121</v>
      </c>
      <c r="K16" s="70">
        <f t="shared" si="7"/>
        <v>0</v>
      </c>
      <c r="L16" s="69">
        <f t="shared" si="8"/>
        <v>0</v>
      </c>
      <c r="M16" s="68">
        <f>VLOOKUP(B16,'124+900 '!$B$13:$AA$314,21,FALSE)</f>
        <v>-123</v>
      </c>
      <c r="N16" s="67">
        <f>VLOOKUP(B16,'124+900 '!$B$13:$AA$314,5,FALSE)</f>
        <v>1458</v>
      </c>
      <c r="O16" s="66">
        <f t="shared" si="2"/>
        <v>877</v>
      </c>
      <c r="P16" s="66">
        <f>VLOOKUP(B16,'124+900 '!$B$13:$AA$314,14,FALSE)</f>
        <v>-123</v>
      </c>
      <c r="Q16" s="70">
        <f t="shared" si="9"/>
        <v>0</v>
      </c>
      <c r="R16" s="69">
        <f t="shared" si="10"/>
        <v>0</v>
      </c>
      <c r="S16" s="68">
        <f>VLOOKUP(B16,'124+900 '!$B$13:$AA$314,22,FALSE)</f>
        <v>-113</v>
      </c>
      <c r="T16" s="67">
        <f>VLOOKUP(B16,'124+900 '!$B$13:$AA$314,6,FALSE)</f>
        <v>1448</v>
      </c>
      <c r="U16" s="66">
        <f t="shared" si="3"/>
        <v>887</v>
      </c>
      <c r="V16" s="65">
        <f>VLOOKUP(B16,'124+900 '!$B$13:$AA$314,15,FALSE)</f>
        <v>-113</v>
      </c>
      <c r="W16" s="64">
        <f t="shared" si="11"/>
        <v>0</v>
      </c>
      <c r="X16" s="63">
        <f t="shared" si="12"/>
        <v>0</v>
      </c>
      <c r="Y16" s="62">
        <f t="shared" si="13"/>
        <v>0</v>
      </c>
      <c r="Z16" s="61">
        <f t="shared" si="4"/>
        <v>0</v>
      </c>
      <c r="AA16" s="60">
        <f t="shared" si="14"/>
        <v>0</v>
      </c>
      <c r="AB16" s="60">
        <f t="shared" si="15"/>
        <v>0</v>
      </c>
      <c r="AC16" s="53"/>
      <c r="AD16" s="53"/>
      <c r="AE16" s="84"/>
    </row>
    <row r="17" spans="1:31" s="83" customFormat="1" ht="15" customHeight="1">
      <c r="A17" s="85">
        <f t="shared" si="16"/>
        <v>4</v>
      </c>
      <c r="B17" s="74">
        <f>'124+900 '!B17</f>
        <v>45252</v>
      </c>
      <c r="C17" s="73">
        <f t="shared" si="5"/>
        <v>9</v>
      </c>
      <c r="D17" s="72">
        <f t="shared" si="6"/>
        <v>1026</v>
      </c>
      <c r="E17" s="67">
        <f>VLOOKUP(B17,'124+900 '!B17:AA314,3,FALSE)</f>
        <v>1374</v>
      </c>
      <c r="F17" s="67">
        <f t="shared" si="0"/>
        <v>2400</v>
      </c>
      <c r="G17" s="71">
        <f>VLOOKUP(B17,'124+900 '!$B$13:$AA$314,20,FALSE)</f>
        <v>-121</v>
      </c>
      <c r="H17" s="71">
        <f>VLOOKUP(B17,'124+900 '!$B$13:$AA$314,4,FALSE)</f>
        <v>1521</v>
      </c>
      <c r="I17" s="66">
        <f t="shared" si="1"/>
        <v>879</v>
      </c>
      <c r="J17" s="66">
        <f>VLOOKUP(B17,'124+900 '!$B$13:$AA$314,13,FALSE)</f>
        <v>-121</v>
      </c>
      <c r="K17" s="70">
        <f t="shared" si="7"/>
        <v>0</v>
      </c>
      <c r="L17" s="69">
        <f t="shared" si="8"/>
        <v>0</v>
      </c>
      <c r="M17" s="68">
        <f>VLOOKUP(B17,'124+900 '!$B$13:$AA$314,21,FALSE)</f>
        <v>-123</v>
      </c>
      <c r="N17" s="67">
        <f>VLOOKUP(B17,'124+900 '!$B$13:$AA$314,5,FALSE)</f>
        <v>1523</v>
      </c>
      <c r="O17" s="66">
        <f t="shared" si="2"/>
        <v>877</v>
      </c>
      <c r="P17" s="66">
        <f>VLOOKUP(B17,'124+900 '!$B$13:$AA$314,14,FALSE)</f>
        <v>-123</v>
      </c>
      <c r="Q17" s="70">
        <f t="shared" si="9"/>
        <v>0</v>
      </c>
      <c r="R17" s="69">
        <f t="shared" si="10"/>
        <v>0</v>
      </c>
      <c r="S17" s="68">
        <f>VLOOKUP(B17,'124+900 '!$B$13:$AA$314,22,FALSE)</f>
        <v>-113</v>
      </c>
      <c r="T17" s="67">
        <f>VLOOKUP(B17,'124+900 '!$B$13:$AA$314,6,FALSE)</f>
        <v>1513</v>
      </c>
      <c r="U17" s="66">
        <f t="shared" si="3"/>
        <v>887</v>
      </c>
      <c r="V17" s="65">
        <f>VLOOKUP(B17,'124+900 '!$B$13:$AA$314,15,FALSE)</f>
        <v>-113</v>
      </c>
      <c r="W17" s="64">
        <f t="shared" si="11"/>
        <v>0</v>
      </c>
      <c r="X17" s="63">
        <f t="shared" si="12"/>
        <v>0</v>
      </c>
      <c r="Y17" s="62">
        <f t="shared" si="13"/>
        <v>0</v>
      </c>
      <c r="Z17" s="61">
        <f t="shared" si="4"/>
        <v>0</v>
      </c>
      <c r="AA17" s="60">
        <f t="shared" si="14"/>
        <v>0</v>
      </c>
      <c r="AB17" s="60">
        <f t="shared" si="15"/>
        <v>0</v>
      </c>
      <c r="AC17" s="53"/>
      <c r="AD17" s="53"/>
      <c r="AE17" s="84"/>
    </row>
    <row r="18" spans="1:31" s="83" customFormat="1" ht="15" customHeight="1">
      <c r="A18" s="85">
        <f t="shared" si="16"/>
        <v>5</v>
      </c>
      <c r="B18" s="74">
        <f>'124+900 '!B18</f>
        <v>45259</v>
      </c>
      <c r="C18" s="73">
        <f t="shared" si="5"/>
        <v>16</v>
      </c>
      <c r="D18" s="72">
        <f t="shared" si="6"/>
        <v>1026</v>
      </c>
      <c r="E18" s="67">
        <f>VLOOKUP(B18,'124+900 '!B18:AA314,3,FALSE)</f>
        <v>1448</v>
      </c>
      <c r="F18" s="67">
        <f t="shared" si="0"/>
        <v>2474</v>
      </c>
      <c r="G18" s="71">
        <f>VLOOKUP(B18,'124+900 '!$B$13:$AA$314,20,FALSE)</f>
        <v>-121</v>
      </c>
      <c r="H18" s="71">
        <f>VLOOKUP(B18,'124+900 '!$B$13:$AA$314,4,FALSE)</f>
        <v>1595</v>
      </c>
      <c r="I18" s="66">
        <f t="shared" si="1"/>
        <v>879</v>
      </c>
      <c r="J18" s="66">
        <f>VLOOKUP(B18,'124+900 '!$B$13:$AA$314,13,FALSE)</f>
        <v>-121</v>
      </c>
      <c r="K18" s="70">
        <f t="shared" si="7"/>
        <v>0</v>
      </c>
      <c r="L18" s="69">
        <f t="shared" si="8"/>
        <v>0</v>
      </c>
      <c r="M18" s="68">
        <f>VLOOKUP(B18,'124+900 '!$B$13:$AA$314,21,FALSE)</f>
        <v>-123</v>
      </c>
      <c r="N18" s="67">
        <f>VLOOKUP(B18,'124+900 '!$B$13:$AA$314,5,FALSE)</f>
        <v>1597</v>
      </c>
      <c r="O18" s="66">
        <f t="shared" si="2"/>
        <v>877</v>
      </c>
      <c r="P18" s="66">
        <f>VLOOKUP(B18,'124+900 '!$B$13:$AA$314,14,FALSE)</f>
        <v>-123</v>
      </c>
      <c r="Q18" s="70">
        <f t="shared" si="9"/>
        <v>0</v>
      </c>
      <c r="R18" s="69">
        <f t="shared" si="10"/>
        <v>0</v>
      </c>
      <c r="S18" s="68">
        <f>VLOOKUP(B18,'124+900 '!$B$13:$AA$314,22,FALSE)</f>
        <v>-113</v>
      </c>
      <c r="T18" s="67">
        <f>VLOOKUP(B18,'124+900 '!$B$13:$AA$314,6,FALSE)</f>
        <v>1587</v>
      </c>
      <c r="U18" s="66">
        <f t="shared" si="3"/>
        <v>887</v>
      </c>
      <c r="V18" s="65">
        <f>VLOOKUP(B18,'124+900 '!$B$13:$AA$314,15,FALSE)</f>
        <v>-113</v>
      </c>
      <c r="W18" s="64">
        <f t="shared" si="11"/>
        <v>0</v>
      </c>
      <c r="X18" s="63">
        <f t="shared" si="12"/>
        <v>0</v>
      </c>
      <c r="Y18" s="62">
        <f t="shared" si="13"/>
        <v>0</v>
      </c>
      <c r="Z18" s="61">
        <f t="shared" si="4"/>
        <v>0</v>
      </c>
      <c r="AA18" s="60">
        <f t="shared" si="14"/>
        <v>0</v>
      </c>
      <c r="AB18" s="60">
        <f t="shared" si="15"/>
        <v>0</v>
      </c>
      <c r="AC18" s="53"/>
      <c r="AD18" s="53"/>
      <c r="AE18" s="84"/>
    </row>
    <row r="19" spans="1:31" s="83" customFormat="1" ht="15" customHeight="1">
      <c r="A19" s="85">
        <f t="shared" si="16"/>
        <v>6</v>
      </c>
      <c r="B19" s="74">
        <f>'124+900 '!B19</f>
        <v>45263</v>
      </c>
      <c r="C19" s="73">
        <f t="shared" si="5"/>
        <v>20</v>
      </c>
      <c r="D19" s="72">
        <f t="shared" si="6"/>
        <v>1026</v>
      </c>
      <c r="E19" s="67">
        <f>VLOOKUP(B19,'124+900 '!B19:AA314,3,FALSE)</f>
        <v>1495</v>
      </c>
      <c r="F19" s="67">
        <f t="shared" si="0"/>
        <v>2521</v>
      </c>
      <c r="G19" s="71">
        <f>VLOOKUP(B19,'124+900 '!$B$13:$AA$314,20,FALSE)</f>
        <v>-121</v>
      </c>
      <c r="H19" s="71">
        <f>VLOOKUP(B19,'124+900 '!$B$13:$AA$314,4,FALSE)</f>
        <v>1642</v>
      </c>
      <c r="I19" s="66">
        <f t="shared" si="1"/>
        <v>879</v>
      </c>
      <c r="J19" s="66">
        <f>VLOOKUP(B19,'124+900 '!$B$13:$AA$314,13,FALSE)</f>
        <v>-121</v>
      </c>
      <c r="K19" s="70">
        <f t="shared" si="7"/>
        <v>0</v>
      </c>
      <c r="L19" s="69">
        <f t="shared" si="8"/>
        <v>0</v>
      </c>
      <c r="M19" s="68">
        <f>VLOOKUP(B19,'124+900 '!$B$13:$AA$314,21,FALSE)</f>
        <v>-123</v>
      </c>
      <c r="N19" s="67">
        <f>VLOOKUP(B19,'124+900 '!$B$13:$AA$314,5,FALSE)</f>
        <v>1644</v>
      </c>
      <c r="O19" s="66">
        <f t="shared" si="2"/>
        <v>877</v>
      </c>
      <c r="P19" s="66">
        <f>VLOOKUP(B19,'124+900 '!$B$13:$AA$314,14,FALSE)</f>
        <v>-123</v>
      </c>
      <c r="Q19" s="70">
        <f t="shared" si="9"/>
        <v>0</v>
      </c>
      <c r="R19" s="69">
        <f t="shared" si="10"/>
        <v>0</v>
      </c>
      <c r="S19" s="68">
        <f>VLOOKUP(B19,'124+900 '!$B$13:$AA$314,22,FALSE)</f>
        <v>-113</v>
      </c>
      <c r="T19" s="67">
        <f>VLOOKUP(B19,'124+900 '!$B$13:$AA$314,6,FALSE)</f>
        <v>1634</v>
      </c>
      <c r="U19" s="66">
        <f t="shared" si="3"/>
        <v>887</v>
      </c>
      <c r="V19" s="65">
        <f>VLOOKUP(B19,'124+900 '!$B$13:$AA$314,15,FALSE)</f>
        <v>-113</v>
      </c>
      <c r="W19" s="64">
        <f t="shared" si="11"/>
        <v>0</v>
      </c>
      <c r="X19" s="63">
        <f t="shared" si="12"/>
        <v>0</v>
      </c>
      <c r="Y19" s="62">
        <f t="shared" si="13"/>
        <v>0</v>
      </c>
      <c r="Z19" s="61">
        <f t="shared" si="4"/>
        <v>0</v>
      </c>
      <c r="AA19" s="60">
        <f t="shared" si="14"/>
        <v>0</v>
      </c>
      <c r="AB19" s="60">
        <f t="shared" si="15"/>
        <v>0</v>
      </c>
      <c r="AC19" s="53"/>
      <c r="AD19" s="53"/>
      <c r="AE19" s="84"/>
    </row>
    <row r="20" spans="1:31" s="83" customFormat="1" ht="15" customHeight="1">
      <c r="A20" s="85">
        <f t="shared" si="16"/>
        <v>7</v>
      </c>
      <c r="B20" s="74">
        <f>'124+900 '!B20</f>
        <v>45264</v>
      </c>
      <c r="C20" s="73">
        <f t="shared" si="5"/>
        <v>21</v>
      </c>
      <c r="D20" s="72">
        <f t="shared" si="6"/>
        <v>1026</v>
      </c>
      <c r="E20" s="67">
        <f>VLOOKUP(B20,'124+900 '!B20:AA314,3,FALSE)</f>
        <v>1152</v>
      </c>
      <c r="F20" s="67">
        <f t="shared" si="0"/>
        <v>2178</v>
      </c>
      <c r="G20" s="71">
        <f>VLOOKUP(B20,'124+900 '!$B$13:$AA$314,20,FALSE)</f>
        <v>-121</v>
      </c>
      <c r="H20" s="71">
        <f>VLOOKUP(B20,'124+900 '!$B$13:$AA$314,4,FALSE)</f>
        <v>1299</v>
      </c>
      <c r="I20" s="66">
        <f t="shared" si="1"/>
        <v>879</v>
      </c>
      <c r="J20" s="66">
        <f>VLOOKUP(B20,'124+900 '!$B$13:$AA$314,13,FALSE)</f>
        <v>-121</v>
      </c>
      <c r="K20" s="70">
        <f t="shared" si="7"/>
        <v>0</v>
      </c>
      <c r="L20" s="69">
        <f t="shared" si="8"/>
        <v>0</v>
      </c>
      <c r="M20" s="68">
        <f>VLOOKUP(B20,'124+900 '!$B$13:$AA$314,21,FALSE)</f>
        <v>-123</v>
      </c>
      <c r="N20" s="67">
        <f>VLOOKUP(B20,'124+900 '!$B$13:$AA$314,5,FALSE)</f>
        <v>1301</v>
      </c>
      <c r="O20" s="66">
        <f t="shared" si="2"/>
        <v>877</v>
      </c>
      <c r="P20" s="66">
        <f>VLOOKUP(B20,'124+900 '!$B$13:$AA$314,14,FALSE)</f>
        <v>-123</v>
      </c>
      <c r="Q20" s="70">
        <f t="shared" si="9"/>
        <v>0</v>
      </c>
      <c r="R20" s="69">
        <f t="shared" si="10"/>
        <v>0</v>
      </c>
      <c r="S20" s="68">
        <f>VLOOKUP(B20,'124+900 '!$B$13:$AA$314,22,FALSE)</f>
        <v>-113</v>
      </c>
      <c r="T20" s="67">
        <f>VLOOKUP(B20,'124+900 '!$B$13:$AA$314,6,FALSE)</f>
        <v>1291</v>
      </c>
      <c r="U20" s="66">
        <f t="shared" si="3"/>
        <v>887</v>
      </c>
      <c r="V20" s="65">
        <f>VLOOKUP(B20,'124+900 '!$B$13:$AA$314,15,FALSE)</f>
        <v>-113</v>
      </c>
      <c r="W20" s="64">
        <f t="shared" si="11"/>
        <v>0</v>
      </c>
      <c r="X20" s="63">
        <f t="shared" si="12"/>
        <v>0</v>
      </c>
      <c r="Y20" s="62">
        <f t="shared" si="13"/>
        <v>0</v>
      </c>
      <c r="Z20" s="61">
        <f t="shared" si="4"/>
        <v>0</v>
      </c>
      <c r="AA20" s="60">
        <f t="shared" si="14"/>
        <v>0</v>
      </c>
      <c r="AB20" s="60">
        <f t="shared" si="15"/>
        <v>0</v>
      </c>
      <c r="AC20" s="53"/>
      <c r="AD20" s="53"/>
      <c r="AE20" s="84"/>
    </row>
    <row r="21" spans="1:31" s="83" customFormat="1" ht="15" customHeight="1">
      <c r="A21" s="85"/>
      <c r="B21" s="74">
        <f>'124+900 '!B21</f>
        <v>45265</v>
      </c>
      <c r="C21" s="73">
        <f t="shared" si="5"/>
        <v>22</v>
      </c>
      <c r="D21" s="72">
        <f t="shared" si="6"/>
        <v>1026</v>
      </c>
      <c r="E21" s="67">
        <f>VLOOKUP(B21,'124+900 '!B21:AA314,3,FALSE)</f>
        <v>1480</v>
      </c>
      <c r="F21" s="67">
        <f t="shared" si="0"/>
        <v>2506</v>
      </c>
      <c r="G21" s="71">
        <f>VLOOKUP(B21,'124+900 '!$B$13:$AA$314,20,FALSE)</f>
        <v>-121</v>
      </c>
      <c r="H21" s="71">
        <f>VLOOKUP(B21,'124+900 '!$B$13:$AA$314,4,FALSE)</f>
        <v>1627</v>
      </c>
      <c r="I21" s="66">
        <f t="shared" si="1"/>
        <v>879</v>
      </c>
      <c r="J21" s="66">
        <f>VLOOKUP(B21,'124+900 '!$B$13:$AA$314,13,FALSE)</f>
        <v>-121</v>
      </c>
      <c r="K21" s="70">
        <f t="shared" si="7"/>
        <v>0</v>
      </c>
      <c r="L21" s="69">
        <f t="shared" si="8"/>
        <v>0</v>
      </c>
      <c r="M21" s="68">
        <f>VLOOKUP(B21,'124+900 '!$B$13:$AA$314,21,FALSE)</f>
        <v>-123</v>
      </c>
      <c r="N21" s="67">
        <f>VLOOKUP(B21,'124+900 '!$B$13:$AA$314,5,FALSE)</f>
        <v>1629</v>
      </c>
      <c r="O21" s="66">
        <f t="shared" si="2"/>
        <v>877</v>
      </c>
      <c r="P21" s="66">
        <f>VLOOKUP(B21,'124+900 '!$B$13:$AA$314,14,FALSE)</f>
        <v>-123</v>
      </c>
      <c r="Q21" s="70">
        <f t="shared" si="9"/>
        <v>0</v>
      </c>
      <c r="R21" s="69">
        <f t="shared" si="10"/>
        <v>0</v>
      </c>
      <c r="S21" s="68">
        <f>VLOOKUP(B21,'124+900 '!$B$13:$AA$314,22,FALSE)</f>
        <v>-113</v>
      </c>
      <c r="T21" s="67">
        <f>VLOOKUP(B21,'124+900 '!$B$13:$AA$314,6,FALSE)</f>
        <v>1619</v>
      </c>
      <c r="U21" s="66">
        <f t="shared" si="3"/>
        <v>887</v>
      </c>
      <c r="V21" s="65">
        <f>VLOOKUP(B21,'124+900 '!$B$13:$AA$314,15,FALSE)</f>
        <v>-113</v>
      </c>
      <c r="W21" s="64">
        <f t="shared" si="11"/>
        <v>0</v>
      </c>
      <c r="X21" s="63">
        <f t="shared" si="12"/>
        <v>0</v>
      </c>
      <c r="Y21" s="62">
        <f t="shared" si="13"/>
        <v>0</v>
      </c>
      <c r="Z21" s="61">
        <f t="shared" si="4"/>
        <v>0</v>
      </c>
      <c r="AA21" s="60">
        <f t="shared" si="14"/>
        <v>0</v>
      </c>
      <c r="AB21" s="60">
        <f t="shared" si="15"/>
        <v>0</v>
      </c>
      <c r="AC21" s="53"/>
      <c r="AD21" s="53"/>
      <c r="AE21" s="84"/>
    </row>
    <row r="22" spans="1:31" s="83" customFormat="1" ht="15" customHeight="1">
      <c r="A22" s="85"/>
      <c r="B22" s="74">
        <f>'124+900 '!B22</f>
        <v>45266</v>
      </c>
      <c r="C22" s="73">
        <f t="shared" si="5"/>
        <v>23</v>
      </c>
      <c r="D22" s="72">
        <f t="shared" si="6"/>
        <v>1026</v>
      </c>
      <c r="E22" s="67">
        <f>VLOOKUP(B22,'124+900 '!B22:AA314,3,FALSE)</f>
        <v>1252</v>
      </c>
      <c r="F22" s="67">
        <f t="shared" si="0"/>
        <v>2278</v>
      </c>
      <c r="G22" s="71">
        <f>VLOOKUP(B22,'124+900 '!$B$13:$AA$314,20,FALSE)</f>
        <v>-121</v>
      </c>
      <c r="H22" s="71">
        <f>VLOOKUP(B22,'124+900 '!$B$13:$AA$314,4,FALSE)</f>
        <v>1399</v>
      </c>
      <c r="I22" s="66">
        <f t="shared" si="1"/>
        <v>879</v>
      </c>
      <c r="J22" s="66">
        <f>VLOOKUP(B22,'124+900 '!$B$13:$AA$314,13,FALSE)</f>
        <v>-121</v>
      </c>
      <c r="K22" s="70">
        <f t="shared" si="7"/>
        <v>0</v>
      </c>
      <c r="L22" s="69">
        <f t="shared" si="8"/>
        <v>0</v>
      </c>
      <c r="M22" s="68">
        <f>VLOOKUP(B22,'124+900 '!$B$13:$AA$314,21,FALSE)</f>
        <v>-123</v>
      </c>
      <c r="N22" s="67">
        <f>VLOOKUP(B22,'124+900 '!$B$13:$AA$314,5,FALSE)</f>
        <v>1401</v>
      </c>
      <c r="O22" s="66">
        <f t="shared" si="2"/>
        <v>877</v>
      </c>
      <c r="P22" s="66">
        <f>VLOOKUP(B22,'124+900 '!$B$13:$AA$314,14,FALSE)</f>
        <v>-123</v>
      </c>
      <c r="Q22" s="70">
        <f t="shared" si="9"/>
        <v>0</v>
      </c>
      <c r="R22" s="69">
        <f t="shared" si="10"/>
        <v>0</v>
      </c>
      <c r="S22" s="68">
        <f>VLOOKUP(B22,'124+900 '!$B$13:$AA$314,22,FALSE)</f>
        <v>-113</v>
      </c>
      <c r="T22" s="67">
        <f>VLOOKUP(B22,'124+900 '!$B$13:$AA$314,6,FALSE)</f>
        <v>1391</v>
      </c>
      <c r="U22" s="66">
        <f t="shared" si="3"/>
        <v>887</v>
      </c>
      <c r="V22" s="65">
        <f>VLOOKUP(B22,'124+900 '!$B$13:$AA$314,15,FALSE)</f>
        <v>-113</v>
      </c>
      <c r="W22" s="64">
        <f t="shared" si="11"/>
        <v>0</v>
      </c>
      <c r="X22" s="63">
        <f t="shared" si="12"/>
        <v>0</v>
      </c>
      <c r="Y22" s="62">
        <f t="shared" si="13"/>
        <v>0</v>
      </c>
      <c r="Z22" s="61">
        <f t="shared" si="4"/>
        <v>0</v>
      </c>
      <c r="AA22" s="60">
        <f t="shared" si="14"/>
        <v>0</v>
      </c>
      <c r="AB22" s="60">
        <f t="shared" si="15"/>
        <v>0</v>
      </c>
      <c r="AC22" s="53"/>
      <c r="AD22" s="53"/>
      <c r="AE22" s="84"/>
    </row>
    <row r="23" spans="1:31" s="83" customFormat="1" ht="15" customHeight="1">
      <c r="A23" s="85"/>
      <c r="B23" s="74">
        <f>'124+900 '!B23</f>
        <v>45267</v>
      </c>
      <c r="C23" s="73">
        <f t="shared" si="5"/>
        <v>24</v>
      </c>
      <c r="D23" s="72">
        <f t="shared" si="6"/>
        <v>1026</v>
      </c>
      <c r="E23" s="67">
        <f>VLOOKUP(B23,'124+900 '!B23:AA314,3,FALSE)</f>
        <v>1432</v>
      </c>
      <c r="F23" s="67">
        <f t="shared" si="0"/>
        <v>2458</v>
      </c>
      <c r="G23" s="71">
        <f>VLOOKUP(B23,'124+900 '!$B$13:$AA$314,20,FALSE)</f>
        <v>-121</v>
      </c>
      <c r="H23" s="71">
        <f>VLOOKUP(B23,'124+900 '!$B$13:$AA$314,4,FALSE)</f>
        <v>1579</v>
      </c>
      <c r="I23" s="66">
        <f t="shared" si="1"/>
        <v>879</v>
      </c>
      <c r="J23" s="66">
        <f>VLOOKUP(B23,'124+900 '!$B$13:$AA$314,13,FALSE)</f>
        <v>-121</v>
      </c>
      <c r="K23" s="70">
        <f t="shared" si="7"/>
        <v>0</v>
      </c>
      <c r="L23" s="69">
        <f t="shared" si="8"/>
        <v>0</v>
      </c>
      <c r="M23" s="68">
        <f>VLOOKUP(B23,'124+900 '!$B$13:$AA$314,21,FALSE)</f>
        <v>-123</v>
      </c>
      <c r="N23" s="67">
        <f>VLOOKUP(B23,'124+900 '!$B$13:$AA$314,5,FALSE)</f>
        <v>1581</v>
      </c>
      <c r="O23" s="66">
        <f t="shared" si="2"/>
        <v>877</v>
      </c>
      <c r="P23" s="66">
        <f>VLOOKUP(B23,'124+900 '!$B$13:$AA$314,14,FALSE)</f>
        <v>-123</v>
      </c>
      <c r="Q23" s="70">
        <f t="shared" si="9"/>
        <v>0</v>
      </c>
      <c r="R23" s="69">
        <f t="shared" si="10"/>
        <v>0</v>
      </c>
      <c r="S23" s="68">
        <f>VLOOKUP(B23,'124+900 '!$B$13:$AA$314,22,FALSE)</f>
        <v>-113</v>
      </c>
      <c r="T23" s="67">
        <f>VLOOKUP(B23,'124+900 '!$B$13:$AA$314,6,FALSE)</f>
        <v>1571</v>
      </c>
      <c r="U23" s="66">
        <f t="shared" si="3"/>
        <v>887</v>
      </c>
      <c r="V23" s="65">
        <f>VLOOKUP(B23,'124+900 '!$B$13:$AA$314,15,FALSE)</f>
        <v>-113</v>
      </c>
      <c r="W23" s="64">
        <f t="shared" si="11"/>
        <v>0</v>
      </c>
      <c r="X23" s="63">
        <f t="shared" si="12"/>
        <v>0</v>
      </c>
      <c r="Y23" s="62">
        <f t="shared" si="13"/>
        <v>0</v>
      </c>
      <c r="Z23" s="61">
        <f t="shared" si="4"/>
        <v>0</v>
      </c>
      <c r="AA23" s="60">
        <f t="shared" si="14"/>
        <v>0</v>
      </c>
      <c r="AB23" s="60">
        <f t="shared" si="15"/>
        <v>0</v>
      </c>
      <c r="AC23" s="53"/>
      <c r="AD23" s="53"/>
      <c r="AE23" s="84"/>
    </row>
    <row r="24" spans="1:31" s="83" customFormat="1" ht="15" customHeight="1">
      <c r="A24" s="85"/>
      <c r="B24" s="74">
        <f>'124+900 '!B24</f>
        <v>45268</v>
      </c>
      <c r="C24" s="73">
        <f t="shared" si="5"/>
        <v>25</v>
      </c>
      <c r="D24" s="72">
        <f t="shared" si="6"/>
        <v>1026</v>
      </c>
      <c r="E24" s="67">
        <f>VLOOKUP(B24,'124+900 '!B24:AA314,3,FALSE)</f>
        <v>1112</v>
      </c>
      <c r="F24" s="67">
        <f t="shared" si="0"/>
        <v>2138</v>
      </c>
      <c r="G24" s="71">
        <f>VLOOKUP(B24,'124+900 '!$B$13:$AA$314,20,FALSE)</f>
        <v>-121</v>
      </c>
      <c r="H24" s="71">
        <f>VLOOKUP(B24,'124+900 '!$B$13:$AA$314,4,FALSE)</f>
        <v>1259</v>
      </c>
      <c r="I24" s="66">
        <f t="shared" si="1"/>
        <v>879</v>
      </c>
      <c r="J24" s="66">
        <f>VLOOKUP(B24,'124+900 '!$B$13:$AA$314,13,FALSE)</f>
        <v>-121</v>
      </c>
      <c r="K24" s="70">
        <f t="shared" si="7"/>
        <v>0</v>
      </c>
      <c r="L24" s="69">
        <f t="shared" si="8"/>
        <v>0</v>
      </c>
      <c r="M24" s="68">
        <f>VLOOKUP(B24,'124+900 '!$B$13:$AA$314,21,FALSE)</f>
        <v>-123</v>
      </c>
      <c r="N24" s="67">
        <f>VLOOKUP(B24,'124+900 '!$B$13:$AA$314,5,FALSE)</f>
        <v>1261</v>
      </c>
      <c r="O24" s="66">
        <f t="shared" si="2"/>
        <v>877</v>
      </c>
      <c r="P24" s="66">
        <f>VLOOKUP(B24,'124+900 '!$B$13:$AA$314,14,FALSE)</f>
        <v>-123</v>
      </c>
      <c r="Q24" s="70">
        <f t="shared" si="9"/>
        <v>0</v>
      </c>
      <c r="R24" s="69">
        <f t="shared" si="10"/>
        <v>0</v>
      </c>
      <c r="S24" s="68">
        <f>VLOOKUP(B24,'124+900 '!$B$13:$AA$314,22,FALSE)</f>
        <v>-113</v>
      </c>
      <c r="T24" s="67">
        <f>VLOOKUP(B24,'124+900 '!$B$13:$AA$314,6,FALSE)</f>
        <v>1251</v>
      </c>
      <c r="U24" s="66">
        <f t="shared" si="3"/>
        <v>887</v>
      </c>
      <c r="V24" s="65">
        <f>VLOOKUP(B24,'124+900 '!$B$13:$AA$314,15,FALSE)</f>
        <v>-113</v>
      </c>
      <c r="W24" s="64">
        <f t="shared" si="11"/>
        <v>0</v>
      </c>
      <c r="X24" s="63">
        <f t="shared" si="12"/>
        <v>0</v>
      </c>
      <c r="Y24" s="62">
        <f t="shared" si="13"/>
        <v>0</v>
      </c>
      <c r="Z24" s="61">
        <f t="shared" si="4"/>
        <v>0</v>
      </c>
      <c r="AA24" s="60">
        <f t="shared" si="14"/>
        <v>0</v>
      </c>
      <c r="AB24" s="60">
        <f t="shared" si="15"/>
        <v>0</v>
      </c>
      <c r="AC24" s="53"/>
      <c r="AD24" s="53"/>
      <c r="AE24" s="84"/>
    </row>
    <row r="25" spans="1:31" s="83" customFormat="1" ht="15" customHeight="1">
      <c r="A25" s="85"/>
      <c r="B25" s="74">
        <f>'124+900 '!B25</f>
        <v>45269</v>
      </c>
      <c r="C25" s="73">
        <f t="shared" si="5"/>
        <v>26</v>
      </c>
      <c r="D25" s="72">
        <f t="shared" si="6"/>
        <v>1026</v>
      </c>
      <c r="E25" s="67">
        <f>VLOOKUP(B25,'124+900 '!B25:AA314,3,FALSE)</f>
        <v>1337</v>
      </c>
      <c r="F25" s="67">
        <f t="shared" si="0"/>
        <v>2363</v>
      </c>
      <c r="G25" s="71">
        <f>VLOOKUP(B25,'124+900 '!$B$13:$AA$314,20,FALSE)</f>
        <v>-121</v>
      </c>
      <c r="H25" s="71">
        <f>VLOOKUP(B25,'124+900 '!$B$13:$AA$314,4,FALSE)</f>
        <v>1484</v>
      </c>
      <c r="I25" s="66">
        <f t="shared" si="1"/>
        <v>879</v>
      </c>
      <c r="J25" s="66">
        <f>VLOOKUP(B25,'124+900 '!$B$13:$AA$314,13,FALSE)</f>
        <v>-121</v>
      </c>
      <c r="K25" s="70">
        <f t="shared" si="7"/>
        <v>0</v>
      </c>
      <c r="L25" s="69">
        <f t="shared" si="8"/>
        <v>0</v>
      </c>
      <c r="M25" s="68">
        <f>VLOOKUP(B25,'124+900 '!$B$13:$AA$314,21,FALSE)</f>
        <v>-123</v>
      </c>
      <c r="N25" s="67">
        <f>VLOOKUP(B25,'124+900 '!$B$13:$AA$314,5,FALSE)</f>
        <v>1486</v>
      </c>
      <c r="O25" s="66">
        <f t="shared" si="2"/>
        <v>877</v>
      </c>
      <c r="P25" s="66">
        <f>VLOOKUP(B25,'124+900 '!$B$13:$AA$314,14,FALSE)</f>
        <v>-123</v>
      </c>
      <c r="Q25" s="70">
        <f t="shared" si="9"/>
        <v>0</v>
      </c>
      <c r="R25" s="69">
        <f t="shared" si="10"/>
        <v>0</v>
      </c>
      <c r="S25" s="68">
        <f>VLOOKUP(B25,'124+900 '!$B$13:$AA$314,22,FALSE)</f>
        <v>-113</v>
      </c>
      <c r="T25" s="67">
        <f>VLOOKUP(B25,'124+900 '!$B$13:$AA$314,6,FALSE)</f>
        <v>1476</v>
      </c>
      <c r="U25" s="66">
        <f t="shared" si="3"/>
        <v>887</v>
      </c>
      <c r="V25" s="65">
        <f>VLOOKUP(B25,'124+900 '!$B$13:$AA$314,15,FALSE)</f>
        <v>-113</v>
      </c>
      <c r="W25" s="64">
        <f t="shared" si="11"/>
        <v>0</v>
      </c>
      <c r="X25" s="63">
        <f t="shared" si="12"/>
        <v>0</v>
      </c>
      <c r="Y25" s="62">
        <f t="shared" si="13"/>
        <v>0</v>
      </c>
      <c r="Z25" s="61">
        <f t="shared" si="4"/>
        <v>0</v>
      </c>
      <c r="AA25" s="60">
        <f t="shared" si="14"/>
        <v>0</v>
      </c>
      <c r="AB25" s="60">
        <f t="shared" si="15"/>
        <v>0</v>
      </c>
      <c r="AC25" s="53"/>
      <c r="AD25" s="53"/>
      <c r="AE25" s="84"/>
    </row>
    <row r="26" spans="1:31" s="83" customFormat="1" ht="15" customHeight="1">
      <c r="A26" s="85"/>
      <c r="B26" s="74">
        <f>'124+900 '!B26</f>
        <v>45270</v>
      </c>
      <c r="C26" s="73">
        <f t="shared" si="5"/>
        <v>27</v>
      </c>
      <c r="D26" s="72">
        <f t="shared" si="6"/>
        <v>1026</v>
      </c>
      <c r="E26" s="67">
        <f>VLOOKUP(B26,'124+900 '!B26:AA314,3,FALSE)</f>
        <v>1249</v>
      </c>
      <c r="F26" s="67">
        <f t="shared" si="0"/>
        <v>2275</v>
      </c>
      <c r="G26" s="71">
        <f>VLOOKUP(B26,'124+900 '!$B$13:$AA$314,20,FALSE)</f>
        <v>-121</v>
      </c>
      <c r="H26" s="71">
        <f>VLOOKUP(B26,'124+900 '!$B$13:$AA$314,4,FALSE)</f>
        <v>1396</v>
      </c>
      <c r="I26" s="66">
        <f t="shared" si="1"/>
        <v>879</v>
      </c>
      <c r="J26" s="66">
        <f>VLOOKUP(B26,'124+900 '!$B$13:$AA$314,13,FALSE)</f>
        <v>-121</v>
      </c>
      <c r="K26" s="70">
        <f t="shared" si="7"/>
        <v>0</v>
      </c>
      <c r="L26" s="69">
        <f t="shared" si="8"/>
        <v>0</v>
      </c>
      <c r="M26" s="68">
        <f>VLOOKUP(B26,'124+900 '!$B$13:$AA$314,21,FALSE)</f>
        <v>-123</v>
      </c>
      <c r="N26" s="67">
        <f>VLOOKUP(B26,'124+900 '!$B$13:$AA$314,5,FALSE)</f>
        <v>1398</v>
      </c>
      <c r="O26" s="66">
        <f t="shared" si="2"/>
        <v>877</v>
      </c>
      <c r="P26" s="66">
        <f>VLOOKUP(B26,'124+900 '!$B$13:$AA$314,14,FALSE)</f>
        <v>-123</v>
      </c>
      <c r="Q26" s="70">
        <f t="shared" si="9"/>
        <v>0</v>
      </c>
      <c r="R26" s="69">
        <f t="shared" si="10"/>
        <v>0</v>
      </c>
      <c r="S26" s="68">
        <f>VLOOKUP(B26,'124+900 '!$B$13:$AA$314,22,FALSE)</f>
        <v>-113</v>
      </c>
      <c r="T26" s="67">
        <f>VLOOKUP(B26,'124+900 '!$B$13:$AA$314,6,FALSE)</f>
        <v>1388</v>
      </c>
      <c r="U26" s="66">
        <f t="shared" si="3"/>
        <v>887</v>
      </c>
      <c r="V26" s="65">
        <f>VLOOKUP(B26,'124+900 '!$B$13:$AA$314,15,FALSE)</f>
        <v>-113</v>
      </c>
      <c r="W26" s="64">
        <f t="shared" si="11"/>
        <v>0</v>
      </c>
      <c r="X26" s="63">
        <f t="shared" si="12"/>
        <v>0</v>
      </c>
      <c r="Y26" s="62">
        <f t="shared" si="13"/>
        <v>0</v>
      </c>
      <c r="Z26" s="61">
        <f t="shared" si="4"/>
        <v>0</v>
      </c>
      <c r="AA26" s="60">
        <f t="shared" si="14"/>
        <v>0</v>
      </c>
      <c r="AB26" s="60">
        <f t="shared" si="15"/>
        <v>0</v>
      </c>
      <c r="AC26" s="53"/>
      <c r="AD26" s="53"/>
      <c r="AE26" s="84"/>
    </row>
    <row r="27" spans="1:31" s="83" customFormat="1" ht="15" customHeight="1">
      <c r="A27" s="85"/>
      <c r="B27" s="74">
        <f>'124+900 '!B27</f>
        <v>45271</v>
      </c>
      <c r="C27" s="73">
        <f t="shared" si="5"/>
        <v>28</v>
      </c>
      <c r="D27" s="72">
        <f t="shared" si="6"/>
        <v>1026</v>
      </c>
      <c r="E27" s="67">
        <f>VLOOKUP(B27,'124+900 '!B27:AA314,3,FALSE)</f>
        <v>1485</v>
      </c>
      <c r="F27" s="67">
        <f t="shared" si="0"/>
        <v>2511</v>
      </c>
      <c r="G27" s="71">
        <f>VLOOKUP(B27,'124+900 '!$B$13:$AA$314,20,FALSE)</f>
        <v>-121</v>
      </c>
      <c r="H27" s="71">
        <f>VLOOKUP(B27,'124+900 '!$B$13:$AA$314,4,FALSE)</f>
        <v>632</v>
      </c>
      <c r="I27" s="66">
        <f t="shared" si="1"/>
        <v>1879</v>
      </c>
      <c r="J27" s="66">
        <f>VLOOKUP(B27,'124+900 '!$B$13:$AA$314,13,FALSE)</f>
        <v>-121</v>
      </c>
      <c r="K27" s="70">
        <f t="shared" si="7"/>
        <v>0</v>
      </c>
      <c r="L27" s="69">
        <f t="shared" si="8"/>
        <v>0</v>
      </c>
      <c r="M27" s="68">
        <f>VLOOKUP(B27,'124+900 '!$B$13:$AA$314,21,FALSE)</f>
        <v>-123</v>
      </c>
      <c r="N27" s="67">
        <f>VLOOKUP(B27,'124+900 '!$B$13:$AA$314,5,FALSE)</f>
        <v>634</v>
      </c>
      <c r="O27" s="66">
        <f t="shared" si="2"/>
        <v>1877</v>
      </c>
      <c r="P27" s="66">
        <f>VLOOKUP(B27,'124+900 '!$B$13:$AA$314,14,FALSE)</f>
        <v>-123</v>
      </c>
      <c r="Q27" s="70">
        <f t="shared" si="9"/>
        <v>0</v>
      </c>
      <c r="R27" s="69">
        <f t="shared" si="10"/>
        <v>0</v>
      </c>
      <c r="S27" s="68">
        <f>VLOOKUP(B27,'124+900 '!$B$13:$AA$314,22,FALSE)</f>
        <v>-113</v>
      </c>
      <c r="T27" s="67">
        <f>VLOOKUP(B27,'124+900 '!$B$13:$AA$314,6,FALSE)</f>
        <v>624</v>
      </c>
      <c r="U27" s="66">
        <f t="shared" si="3"/>
        <v>1887</v>
      </c>
      <c r="V27" s="65">
        <f>VLOOKUP(B27,'124+900 '!$B$13:$AA$314,15,FALSE)</f>
        <v>-113</v>
      </c>
      <c r="W27" s="64">
        <f t="shared" si="11"/>
        <v>0</v>
      </c>
      <c r="X27" s="63">
        <f t="shared" si="12"/>
        <v>0</v>
      </c>
      <c r="Y27" s="62">
        <f t="shared" si="13"/>
        <v>0</v>
      </c>
      <c r="Z27" s="61">
        <f t="shared" si="4"/>
        <v>0</v>
      </c>
      <c r="AA27" s="60">
        <f t="shared" si="14"/>
        <v>0</v>
      </c>
      <c r="AB27" s="60">
        <f t="shared" si="15"/>
        <v>0</v>
      </c>
      <c r="AC27" s="53"/>
      <c r="AD27" s="53"/>
      <c r="AE27" s="84"/>
    </row>
    <row r="28" spans="1:31" s="83" customFormat="1" ht="15" customHeight="1">
      <c r="A28" s="85"/>
      <c r="B28" s="74">
        <f>'124+900 '!B28</f>
        <v>45272</v>
      </c>
      <c r="C28" s="73">
        <f t="shared" si="5"/>
        <v>29</v>
      </c>
      <c r="D28" s="72">
        <f t="shared" si="6"/>
        <v>1026</v>
      </c>
      <c r="E28" s="67">
        <f>VLOOKUP(B28,'124+900 '!B28:AA314,3,FALSE)</f>
        <v>1717</v>
      </c>
      <c r="F28" s="67">
        <f t="shared" si="0"/>
        <v>2743</v>
      </c>
      <c r="G28" s="71">
        <f>VLOOKUP(B28,'124+900 '!$B$13:$AA$314,20,FALSE)</f>
        <v>0</v>
      </c>
      <c r="H28" s="71">
        <f>VLOOKUP(B28,'124+900 '!$B$13:$AA$314,4,FALSE)</f>
        <v>864</v>
      </c>
      <c r="I28" s="66">
        <f t="shared" si="1"/>
        <v>1879</v>
      </c>
      <c r="J28" s="66">
        <f>VLOOKUP(B28,'124+900 '!$B$13:$AA$314,13,FALSE)</f>
        <v>-121</v>
      </c>
      <c r="K28" s="70">
        <f t="shared" si="7"/>
        <v>0</v>
      </c>
      <c r="L28" s="69">
        <f t="shared" si="8"/>
        <v>0</v>
      </c>
      <c r="M28" s="68">
        <f>VLOOKUP(B28,'124+900 '!$B$13:$AA$314,21,FALSE)</f>
        <v>0</v>
      </c>
      <c r="N28" s="67">
        <f>VLOOKUP(B28,'124+900 '!$B$13:$AA$314,5,FALSE)</f>
        <v>866</v>
      </c>
      <c r="O28" s="66">
        <f t="shared" si="2"/>
        <v>1877</v>
      </c>
      <c r="P28" s="66">
        <f>VLOOKUP(B28,'124+900 '!$B$13:$AA$314,14,FALSE)</f>
        <v>-123</v>
      </c>
      <c r="Q28" s="70">
        <f t="shared" si="9"/>
        <v>0</v>
      </c>
      <c r="R28" s="69">
        <f t="shared" si="10"/>
        <v>0</v>
      </c>
      <c r="S28" s="68">
        <f>VLOOKUP(B28,'124+900 '!$B$13:$AA$314,22,FALSE)</f>
        <v>0</v>
      </c>
      <c r="T28" s="67">
        <f>VLOOKUP(B28,'124+900 '!$B$13:$AA$314,6,FALSE)</f>
        <v>856</v>
      </c>
      <c r="U28" s="66">
        <f t="shared" si="3"/>
        <v>1887</v>
      </c>
      <c r="V28" s="65">
        <f>VLOOKUP(B28,'124+900 '!$B$13:$AA$314,15,FALSE)</f>
        <v>-113</v>
      </c>
      <c r="W28" s="64">
        <f t="shared" si="11"/>
        <v>0</v>
      </c>
      <c r="X28" s="63">
        <f t="shared" si="12"/>
        <v>0</v>
      </c>
      <c r="Y28" s="62">
        <f t="shared" si="13"/>
        <v>123</v>
      </c>
      <c r="Z28" s="61">
        <f t="shared" si="4"/>
        <v>0.123</v>
      </c>
      <c r="AA28" s="60">
        <f t="shared" si="14"/>
        <v>0.123</v>
      </c>
      <c r="AB28" s="60">
        <f t="shared" si="15"/>
        <v>0.123</v>
      </c>
      <c r="AC28" s="53"/>
      <c r="AD28" s="53"/>
      <c r="AE28" s="84"/>
    </row>
    <row r="29" spans="1:31" s="83" customFormat="1" ht="15" customHeight="1">
      <c r="A29" s="85"/>
      <c r="B29" s="74">
        <f>'124+900 '!B29</f>
        <v>45273</v>
      </c>
      <c r="C29" s="73">
        <f t="shared" si="5"/>
        <v>30</v>
      </c>
      <c r="D29" s="72">
        <f t="shared" si="6"/>
        <v>1026</v>
      </c>
      <c r="E29" s="67">
        <f>VLOOKUP(B29,'124+900 '!B12:AA609,3,FALSE)</f>
        <v>1620</v>
      </c>
      <c r="F29" s="67">
        <f t="shared" si="0"/>
        <v>2646</v>
      </c>
      <c r="G29" s="71">
        <f>VLOOKUP(B29,'124+900 '!$B$13:$AA$314,20,FALSE)</f>
        <v>-5</v>
      </c>
      <c r="H29" s="71">
        <f>VLOOKUP(B29,'124+900 '!$B$13:$AA$314,4,FALSE)</f>
        <v>772</v>
      </c>
      <c r="I29" s="66">
        <f t="shared" si="1"/>
        <v>1874</v>
      </c>
      <c r="J29" s="66">
        <f>VLOOKUP(B29,'124+900 '!$B$13:$AA$314,13,FALSE)</f>
        <v>-126</v>
      </c>
      <c r="K29" s="70">
        <f t="shared" si="7"/>
        <v>-5</v>
      </c>
      <c r="L29" s="69">
        <f t="shared" si="8"/>
        <v>-5</v>
      </c>
      <c r="M29" s="68">
        <f>VLOOKUP(B29,'124+900 '!$B$13:$AA$314,21,FALSE)</f>
        <v>-7</v>
      </c>
      <c r="N29" s="67">
        <f>VLOOKUP(B29,'124+900 '!$B$13:$AA$314,5,FALSE)</f>
        <v>776</v>
      </c>
      <c r="O29" s="66">
        <f t="shared" si="2"/>
        <v>1870</v>
      </c>
      <c r="P29" s="66">
        <f>VLOOKUP(B29,'124+900 '!$B$13:$AA$314,14,FALSE)</f>
        <v>-130</v>
      </c>
      <c r="Q29" s="70">
        <f t="shared" si="9"/>
        <v>-7</v>
      </c>
      <c r="R29" s="69">
        <f t="shared" si="10"/>
        <v>-7</v>
      </c>
      <c r="S29" s="68">
        <f>VLOOKUP(B29,'124+900 '!$B$13:$AA$314,22,FALSE)</f>
        <v>-8</v>
      </c>
      <c r="T29" s="67">
        <f>VLOOKUP(B29,'124+900 '!$B$13:$AA$314,6,FALSE)</f>
        <v>767</v>
      </c>
      <c r="U29" s="66">
        <f t="shared" si="3"/>
        <v>1879</v>
      </c>
      <c r="V29" s="65">
        <f>VLOOKUP(B29,'124+900 '!$B$13:$AA$314,15,FALSE)</f>
        <v>-121</v>
      </c>
      <c r="W29" s="64">
        <f t="shared" si="11"/>
        <v>-8</v>
      </c>
      <c r="X29" s="63">
        <f t="shared" si="12"/>
        <v>-8</v>
      </c>
      <c r="Y29" s="62">
        <f t="shared" si="13"/>
        <v>-7</v>
      </c>
      <c r="Z29" s="61">
        <f t="shared" si="4"/>
        <v>0</v>
      </c>
      <c r="AA29" s="60">
        <f t="shared" si="14"/>
        <v>0.123</v>
      </c>
      <c r="AB29" s="60">
        <f t="shared" si="15"/>
        <v>0.123</v>
      </c>
      <c r="AC29" s="53"/>
      <c r="AD29" s="53"/>
      <c r="AE29" s="84"/>
    </row>
    <row r="30" spans="1:31" s="83" customFormat="1" ht="15" customHeight="1">
      <c r="A30" s="85"/>
      <c r="B30" s="74">
        <f>'124+900 '!B30</f>
        <v>45274</v>
      </c>
      <c r="C30" s="73">
        <f t="shared" si="5"/>
        <v>31</v>
      </c>
      <c r="D30" s="72">
        <f t="shared" si="6"/>
        <v>1026</v>
      </c>
      <c r="E30" s="67">
        <f>VLOOKUP(B30,'124+900 '!B13:AA610,3,FALSE)</f>
        <v>1856</v>
      </c>
      <c r="F30" s="67">
        <f t="shared" si="0"/>
        <v>2882</v>
      </c>
      <c r="G30" s="71">
        <f>VLOOKUP(B30,'124+900 '!$B$13:$AA$314,20,FALSE)</f>
        <v>-9</v>
      </c>
      <c r="H30" s="71">
        <f>VLOOKUP(B30,'124+900 '!$B$13:$AA$314,4,FALSE)</f>
        <v>1012</v>
      </c>
      <c r="I30" s="66">
        <f t="shared" si="1"/>
        <v>1870</v>
      </c>
      <c r="J30" s="66">
        <f>VLOOKUP(B30,'124+900 '!$B$13:$AA$314,13,FALSE)</f>
        <v>-130</v>
      </c>
      <c r="K30" s="70">
        <f t="shared" si="7"/>
        <v>-4</v>
      </c>
      <c r="L30" s="69">
        <f t="shared" si="8"/>
        <v>-9</v>
      </c>
      <c r="M30" s="68">
        <f>VLOOKUP(B30,'124+900 '!$B$13:$AA$314,21,FALSE)</f>
        <v>-14</v>
      </c>
      <c r="N30" s="67">
        <f>VLOOKUP(B30,'124+900 '!$B$13:$AA$314,5,FALSE)</f>
        <v>1019</v>
      </c>
      <c r="O30" s="66">
        <f t="shared" si="2"/>
        <v>1863</v>
      </c>
      <c r="P30" s="66">
        <f>VLOOKUP(B30,'124+900 '!$B$13:$AA$314,14,FALSE)</f>
        <v>-137</v>
      </c>
      <c r="Q30" s="70">
        <f t="shared" si="9"/>
        <v>-7</v>
      </c>
      <c r="R30" s="69">
        <f t="shared" si="10"/>
        <v>-14</v>
      </c>
      <c r="S30" s="68">
        <f>VLOOKUP(B30,'124+900 '!$B$13:$AA$314,22,FALSE)</f>
        <v>-16</v>
      </c>
      <c r="T30" s="67">
        <f>VLOOKUP(B30,'124+900 '!$B$13:$AA$314,6,FALSE)</f>
        <v>1011</v>
      </c>
      <c r="U30" s="66">
        <f t="shared" si="3"/>
        <v>1871</v>
      </c>
      <c r="V30" s="65">
        <f>VLOOKUP(B30,'124+900 '!$B$13:$AA$314,15,FALSE)</f>
        <v>-129</v>
      </c>
      <c r="W30" s="64">
        <f t="shared" si="11"/>
        <v>-8</v>
      </c>
      <c r="X30" s="63">
        <f t="shared" si="12"/>
        <v>-16</v>
      </c>
      <c r="Y30" s="62">
        <f t="shared" si="13"/>
        <v>-7</v>
      </c>
      <c r="Z30" s="61">
        <f t="shared" si="4"/>
        <v>0</v>
      </c>
      <c r="AA30" s="60">
        <f t="shared" si="14"/>
        <v>0.123</v>
      </c>
      <c r="AB30" s="60">
        <f t="shared" si="15"/>
        <v>0.123</v>
      </c>
      <c r="AC30" s="53"/>
      <c r="AD30" s="53"/>
      <c r="AE30" s="84"/>
    </row>
    <row r="31" spans="1:31" s="83" customFormat="1" ht="15" customHeight="1">
      <c r="A31" s="85"/>
      <c r="B31" s="74">
        <f>'124+900 '!B31</f>
        <v>45275</v>
      </c>
      <c r="C31" s="73">
        <f t="shared" si="5"/>
        <v>32</v>
      </c>
      <c r="D31" s="72">
        <f t="shared" si="6"/>
        <v>1026</v>
      </c>
      <c r="E31" s="67">
        <f>VLOOKUP(B31,'124+900 '!B13:AA611,3,FALSE)</f>
        <v>1902</v>
      </c>
      <c r="F31" s="67">
        <f t="shared" si="0"/>
        <v>2928</v>
      </c>
      <c r="G31" s="71">
        <f>VLOOKUP(B31,'124+900 '!$B$13:$AA$314,20,FALSE)</f>
        <v>300</v>
      </c>
      <c r="H31" s="71">
        <f>VLOOKUP(B31,'124+900 '!$B$13:$AA$314,4,FALSE)</f>
        <v>1065</v>
      </c>
      <c r="I31" s="66">
        <f t="shared" si="1"/>
        <v>1863</v>
      </c>
      <c r="J31" s="66">
        <f>VLOOKUP(B31,'124+900 '!$B$13:$AA$314,13,FALSE)</f>
        <v>-137</v>
      </c>
      <c r="K31" s="70">
        <f t="shared" si="7"/>
        <v>-7</v>
      </c>
      <c r="L31" s="69">
        <f t="shared" si="8"/>
        <v>-16</v>
      </c>
      <c r="M31" s="68">
        <f>VLOOKUP(B31,'124+900 '!$B$13:$AA$314,21,FALSE)</f>
        <v>300</v>
      </c>
      <c r="N31" s="67">
        <f>VLOOKUP(B31,'124+900 '!$B$13:$AA$314,5,FALSE)</f>
        <v>1071</v>
      </c>
      <c r="O31" s="66">
        <f t="shared" si="2"/>
        <v>1857</v>
      </c>
      <c r="P31" s="66">
        <f>VLOOKUP(B31,'124+900 '!$B$13:$AA$314,14,FALSE)</f>
        <v>-143</v>
      </c>
      <c r="Q31" s="70">
        <f t="shared" si="9"/>
        <v>-6</v>
      </c>
      <c r="R31" s="69">
        <f t="shared" si="10"/>
        <v>-20</v>
      </c>
      <c r="S31" s="68">
        <f>VLOOKUP(B31,'124+900 '!$B$13:$AA$314,22,FALSE)</f>
        <v>300</v>
      </c>
      <c r="T31" s="67">
        <f>VLOOKUP(B31,'124+900 '!$B$13:$AA$314,6,FALSE)</f>
        <v>1064</v>
      </c>
      <c r="U31" s="66">
        <f t="shared" si="3"/>
        <v>1864</v>
      </c>
      <c r="V31" s="65">
        <f>VLOOKUP(B31,'124+900 '!$B$13:$AA$314,15,FALSE)</f>
        <v>-136</v>
      </c>
      <c r="W31" s="64">
        <f t="shared" si="11"/>
        <v>-7</v>
      </c>
      <c r="X31" s="63">
        <f t="shared" si="12"/>
        <v>-23</v>
      </c>
      <c r="Y31" s="62">
        <f t="shared" si="13"/>
        <v>314</v>
      </c>
      <c r="Z31" s="61">
        <f t="shared" si="4"/>
        <v>0.314</v>
      </c>
      <c r="AA31" s="60">
        <f t="shared" si="14"/>
        <v>0.437</v>
      </c>
      <c r="AB31" s="60">
        <f t="shared" si="15"/>
        <v>0.443</v>
      </c>
      <c r="AC31" s="53"/>
      <c r="AD31" s="53"/>
      <c r="AE31" s="84"/>
    </row>
    <row r="32" spans="1:31" s="83" customFormat="1" ht="15" customHeight="1">
      <c r="A32" s="85"/>
      <c r="B32" s="74">
        <f>'124+900 '!B32</f>
        <v>45276</v>
      </c>
      <c r="C32" s="73">
        <f t="shared" si="5"/>
        <v>33</v>
      </c>
      <c r="D32" s="72">
        <f t="shared" si="6"/>
        <v>1026</v>
      </c>
      <c r="E32" s="67">
        <f>VLOOKUP(B32,'124+900 '!B14:AA612,3,FALSE)</f>
        <v>1836</v>
      </c>
      <c r="F32" s="67">
        <f t="shared" si="0"/>
        <v>2862</v>
      </c>
      <c r="G32" s="71">
        <f>VLOOKUP(B32,'124+900 '!$B$13:$AA$314,20,FALSE)</f>
        <v>295</v>
      </c>
      <c r="H32" s="71">
        <f>VLOOKUP(B32,'124+900 '!$B$13:$AA$314,4,FALSE)</f>
        <v>1004</v>
      </c>
      <c r="I32" s="66">
        <f t="shared" si="1"/>
        <v>1858</v>
      </c>
      <c r="J32" s="66">
        <f>VLOOKUP(B32,'124+900 '!$B$13:$AA$314,13,FALSE)</f>
        <v>-142</v>
      </c>
      <c r="K32" s="70">
        <f t="shared" si="7"/>
        <v>-5</v>
      </c>
      <c r="L32" s="69">
        <f t="shared" si="8"/>
        <v>-21</v>
      </c>
      <c r="M32" s="68">
        <f>VLOOKUP(B32,'124+900 '!$B$13:$AA$314,21,FALSE)</f>
        <v>293</v>
      </c>
      <c r="N32" s="67">
        <f>VLOOKUP(B32,'124+900 '!$B$13:$AA$314,5,FALSE)</f>
        <v>1012</v>
      </c>
      <c r="O32" s="66">
        <f t="shared" si="2"/>
        <v>1850</v>
      </c>
      <c r="P32" s="66">
        <f>VLOOKUP(B32,'124+900 '!$B$13:$AA$314,14,FALSE)</f>
        <v>-150</v>
      </c>
      <c r="Q32" s="70">
        <f t="shared" si="9"/>
        <v>-7</v>
      </c>
      <c r="R32" s="69">
        <f t="shared" si="10"/>
        <v>-27</v>
      </c>
      <c r="S32" s="68">
        <f>VLOOKUP(B32,'124+900 '!$B$13:$AA$314,22,FALSE)</f>
        <v>292</v>
      </c>
      <c r="T32" s="67">
        <f>VLOOKUP(B32,'124+900 '!$B$13:$AA$314,6,FALSE)</f>
        <v>1006</v>
      </c>
      <c r="U32" s="66">
        <f t="shared" si="3"/>
        <v>1856</v>
      </c>
      <c r="V32" s="65">
        <f>VLOOKUP(B32,'124+900 '!$B$13:$AA$314,15,FALSE)</f>
        <v>-144</v>
      </c>
      <c r="W32" s="64">
        <f t="shared" si="11"/>
        <v>-8</v>
      </c>
      <c r="X32" s="63">
        <f t="shared" si="12"/>
        <v>-31</v>
      </c>
      <c r="Y32" s="62">
        <f t="shared" si="13"/>
        <v>-7</v>
      </c>
      <c r="Z32" s="61">
        <f t="shared" si="4"/>
        <v>0</v>
      </c>
      <c r="AA32" s="60">
        <f t="shared" si="14"/>
        <v>0.437</v>
      </c>
      <c r="AB32" s="60">
        <f t="shared" si="15"/>
        <v>0.443</v>
      </c>
      <c r="AC32" s="53"/>
      <c r="AD32" s="53"/>
      <c r="AE32" s="84"/>
    </row>
    <row r="33" spans="1:31" s="83" customFormat="1" ht="15" customHeight="1">
      <c r="A33" s="85"/>
      <c r="B33" s="74">
        <f>'124+900 '!B33</f>
        <v>45277</v>
      </c>
      <c r="C33" s="73">
        <f t="shared" si="5"/>
        <v>34</v>
      </c>
      <c r="D33" s="72">
        <f t="shared" si="6"/>
        <v>1026</v>
      </c>
      <c r="E33" s="67">
        <f>VLOOKUP(B33,'124+900 '!B15:AA613,3,FALSE)</f>
        <v>1671</v>
      </c>
      <c r="F33" s="67">
        <f t="shared" si="0"/>
        <v>2697</v>
      </c>
      <c r="G33" s="71">
        <f>VLOOKUP(B33,'124+900 '!$B$13:$AA$314,20,FALSE)</f>
        <v>288</v>
      </c>
      <c r="H33" s="71">
        <f>VLOOKUP(B33,'124+900 '!$B$13:$AA$314,4,FALSE)</f>
        <v>846</v>
      </c>
      <c r="I33" s="66">
        <f t="shared" si="1"/>
        <v>1851</v>
      </c>
      <c r="J33" s="66">
        <f>VLOOKUP(B33,'124+900 '!$B$13:$AA$314,13,FALSE)</f>
        <v>-149</v>
      </c>
      <c r="K33" s="70">
        <f t="shared" si="7"/>
        <v>-7</v>
      </c>
      <c r="L33" s="69">
        <f t="shared" si="8"/>
        <v>-28</v>
      </c>
      <c r="M33" s="68">
        <f>VLOOKUP(B33,'124+900 '!$B$13:$AA$314,21,FALSE)</f>
        <v>287</v>
      </c>
      <c r="N33" s="67">
        <f>VLOOKUP(B33,'124+900 '!$B$13:$AA$314,5,FALSE)</f>
        <v>853</v>
      </c>
      <c r="O33" s="66">
        <f t="shared" si="2"/>
        <v>1844</v>
      </c>
      <c r="P33" s="66">
        <f>VLOOKUP(B33,'124+900 '!$B$13:$AA$314,14,FALSE)</f>
        <v>-156</v>
      </c>
      <c r="Q33" s="70">
        <f t="shared" si="9"/>
        <v>-6</v>
      </c>
      <c r="R33" s="69">
        <f t="shared" si="10"/>
        <v>-33</v>
      </c>
      <c r="S33" s="68">
        <f>VLOOKUP(B33,'124+900 '!$B$13:$AA$314,22,FALSE)</f>
        <v>286</v>
      </c>
      <c r="T33" s="67">
        <f>VLOOKUP(B33,'124+900 '!$B$13:$AA$314,6,FALSE)</f>
        <v>847</v>
      </c>
      <c r="U33" s="66">
        <f t="shared" si="3"/>
        <v>1850</v>
      </c>
      <c r="V33" s="65">
        <f>VLOOKUP(B33,'124+900 '!$B$13:$AA$314,15,FALSE)</f>
        <v>-150</v>
      </c>
      <c r="W33" s="64">
        <f t="shared" si="11"/>
        <v>-6</v>
      </c>
      <c r="X33" s="63">
        <f t="shared" si="12"/>
        <v>-37</v>
      </c>
      <c r="Y33" s="62">
        <f t="shared" si="13"/>
        <v>-6</v>
      </c>
      <c r="Z33" s="61">
        <f t="shared" si="4"/>
        <v>0</v>
      </c>
      <c r="AA33" s="60">
        <f t="shared" si="14"/>
        <v>0.437</v>
      </c>
      <c r="AB33" s="60">
        <f t="shared" si="15"/>
        <v>0.443</v>
      </c>
      <c r="AC33" s="53"/>
      <c r="AD33" s="53"/>
      <c r="AE33" s="84"/>
    </row>
    <row r="34" spans="1:31" s="83" customFormat="1" ht="15" customHeight="1">
      <c r="A34" s="85"/>
      <c r="B34" s="74">
        <f>'124+900 '!B34</f>
        <v>45278</v>
      </c>
      <c r="C34" s="73">
        <f t="shared" si="5"/>
        <v>35</v>
      </c>
      <c r="D34" s="72">
        <f t="shared" si="6"/>
        <v>1026</v>
      </c>
      <c r="E34" s="67">
        <f>VLOOKUP(B34,'124+900 '!B16:AA614,3,FALSE)</f>
        <v>1740</v>
      </c>
      <c r="F34" s="67">
        <f t="shared" si="0"/>
        <v>2766</v>
      </c>
      <c r="G34" s="71">
        <f>VLOOKUP(B34,'124+900 '!$B$13:$AA$314,20,FALSE)</f>
        <v>600</v>
      </c>
      <c r="H34" s="71">
        <f>VLOOKUP(B34,'124+900 '!$B$13:$AA$314,4,FALSE)</f>
        <v>921</v>
      </c>
      <c r="I34" s="66">
        <f t="shared" si="1"/>
        <v>1845</v>
      </c>
      <c r="J34" s="66">
        <f>VLOOKUP(B34,'124+900 '!$B$13:$AA$314,13,FALSE)</f>
        <v>-155</v>
      </c>
      <c r="K34" s="70">
        <f t="shared" si="7"/>
        <v>-6</v>
      </c>
      <c r="L34" s="69">
        <f t="shared" si="8"/>
        <v>-34</v>
      </c>
      <c r="M34" s="68">
        <f>VLOOKUP(B34,'124+900 '!$B$13:$AA$314,21,FALSE)</f>
        <v>600</v>
      </c>
      <c r="N34" s="67">
        <f>VLOOKUP(B34,'124+900 '!$B$13:$AA$314,5,FALSE)</f>
        <v>929</v>
      </c>
      <c r="O34" s="66">
        <f t="shared" si="2"/>
        <v>1837</v>
      </c>
      <c r="P34" s="66">
        <f>VLOOKUP(B34,'124+900 '!$B$13:$AA$314,14,FALSE)</f>
        <v>-163</v>
      </c>
      <c r="Q34" s="70">
        <f t="shared" si="9"/>
        <v>-7</v>
      </c>
      <c r="R34" s="69">
        <f t="shared" si="10"/>
        <v>-40</v>
      </c>
      <c r="S34" s="68">
        <f>VLOOKUP(B34,'124+900 '!$B$13:$AA$314,22,FALSE)</f>
        <v>600</v>
      </c>
      <c r="T34" s="67">
        <f>VLOOKUP(B34,'124+900 '!$B$13:$AA$314,6,FALSE)</f>
        <v>923</v>
      </c>
      <c r="U34" s="66">
        <f t="shared" si="3"/>
        <v>1843</v>
      </c>
      <c r="V34" s="65">
        <f>VLOOKUP(B34,'124+900 '!$B$13:$AA$314,15,FALSE)</f>
        <v>-157</v>
      </c>
      <c r="W34" s="64">
        <f t="shared" si="11"/>
        <v>-7</v>
      </c>
      <c r="X34" s="63">
        <f t="shared" si="12"/>
        <v>-44</v>
      </c>
      <c r="Y34" s="62">
        <f t="shared" si="13"/>
        <v>313</v>
      </c>
      <c r="Z34" s="61">
        <f t="shared" si="4"/>
        <v>0.313</v>
      </c>
      <c r="AA34" s="60">
        <f t="shared" si="14"/>
        <v>0.75</v>
      </c>
      <c r="AB34" s="60">
        <f t="shared" si="15"/>
        <v>0.76300000000000001</v>
      </c>
      <c r="AC34" s="53"/>
      <c r="AD34" s="53"/>
      <c r="AE34" s="84"/>
    </row>
    <row r="35" spans="1:31" s="83" customFormat="1" ht="15" customHeight="1">
      <c r="A35" s="85"/>
      <c r="B35" s="74">
        <f>'124+900 '!B35</f>
        <v>45279</v>
      </c>
      <c r="C35" s="73">
        <f t="shared" si="5"/>
        <v>36</v>
      </c>
      <c r="D35" s="72">
        <f t="shared" si="6"/>
        <v>1026</v>
      </c>
      <c r="E35" s="67">
        <f>VLOOKUP(B35,'124+900 '!B17:AA615,3,FALSE)</f>
        <v>1684</v>
      </c>
      <c r="F35" s="67">
        <f t="shared" si="0"/>
        <v>2710</v>
      </c>
      <c r="G35" s="71">
        <f>VLOOKUP(B35,'124+900 '!$B$13:$AA$314,20,FALSE)</f>
        <v>595</v>
      </c>
      <c r="H35" s="71">
        <f>VLOOKUP(B35,'124+900 '!$B$13:$AA$314,4,FALSE)</f>
        <v>870</v>
      </c>
      <c r="I35" s="66">
        <f t="shared" si="1"/>
        <v>1840</v>
      </c>
      <c r="J35" s="66">
        <f>VLOOKUP(B35,'124+900 '!$B$13:$AA$314,13,FALSE)</f>
        <v>-160</v>
      </c>
      <c r="K35" s="70">
        <f t="shared" si="7"/>
        <v>-5</v>
      </c>
      <c r="L35" s="69">
        <f t="shared" si="8"/>
        <v>-39</v>
      </c>
      <c r="M35" s="68">
        <f>VLOOKUP(B35,'124+900 '!$B$13:$AA$314,21,FALSE)</f>
        <v>593</v>
      </c>
      <c r="N35" s="67">
        <f>VLOOKUP(B35,'124+900 '!$B$13:$AA$314,5,FALSE)</f>
        <v>880</v>
      </c>
      <c r="O35" s="66">
        <f t="shared" si="2"/>
        <v>1830</v>
      </c>
      <c r="P35" s="66">
        <f>VLOOKUP(B35,'124+900 '!$B$13:$AA$314,14,FALSE)</f>
        <v>-170</v>
      </c>
      <c r="Q35" s="70">
        <f t="shared" si="9"/>
        <v>-7</v>
      </c>
      <c r="R35" s="69">
        <f t="shared" si="10"/>
        <v>-47</v>
      </c>
      <c r="S35" s="68">
        <f>VLOOKUP(B35,'124+900 '!$B$13:$AA$314,22,FALSE)</f>
        <v>592</v>
      </c>
      <c r="T35" s="67">
        <f>VLOOKUP(B35,'124+900 '!$B$13:$AA$314,6,FALSE)</f>
        <v>875</v>
      </c>
      <c r="U35" s="66">
        <f t="shared" si="3"/>
        <v>1835</v>
      </c>
      <c r="V35" s="65">
        <f>VLOOKUP(B35,'124+900 '!$B$13:$AA$314,15,FALSE)</f>
        <v>-165</v>
      </c>
      <c r="W35" s="64">
        <f t="shared" si="11"/>
        <v>-8</v>
      </c>
      <c r="X35" s="63">
        <f t="shared" si="12"/>
        <v>-52</v>
      </c>
      <c r="Y35" s="62">
        <f t="shared" si="13"/>
        <v>-7</v>
      </c>
      <c r="Z35" s="61">
        <f t="shared" si="4"/>
        <v>0</v>
      </c>
      <c r="AA35" s="60">
        <f t="shared" si="14"/>
        <v>0.75</v>
      </c>
      <c r="AB35" s="60">
        <f t="shared" si="15"/>
        <v>0.76300000000000001</v>
      </c>
      <c r="AC35" s="53"/>
      <c r="AD35" s="53"/>
      <c r="AE35" s="84"/>
    </row>
    <row r="36" spans="1:31" s="83" customFormat="1" ht="15" customHeight="1">
      <c r="A36" s="85"/>
      <c r="B36" s="74">
        <f>'124+900 '!B36</f>
        <v>45280</v>
      </c>
      <c r="C36" s="73">
        <f t="shared" si="5"/>
        <v>37</v>
      </c>
      <c r="D36" s="72">
        <f t="shared" si="6"/>
        <v>1026</v>
      </c>
      <c r="E36" s="67">
        <f>VLOOKUP(B36,'124+900 '!B18:AA616,3,FALSE)</f>
        <v>1957</v>
      </c>
      <c r="F36" s="67">
        <f t="shared" si="0"/>
        <v>2983</v>
      </c>
      <c r="G36" s="71">
        <f>VLOOKUP(B36,'124+900 '!$B$13:$AA$314,20,FALSE)</f>
        <v>589</v>
      </c>
      <c r="H36" s="71">
        <f>VLOOKUP(B36,'124+900 '!$B$13:$AA$314,4,FALSE)</f>
        <v>149</v>
      </c>
      <c r="I36" s="66">
        <f t="shared" si="1"/>
        <v>2834</v>
      </c>
      <c r="J36" s="66">
        <f>VLOOKUP(B36,'124+900 '!$B$13:$AA$314,13,FALSE)</f>
        <v>-166</v>
      </c>
      <c r="K36" s="70">
        <f t="shared" si="7"/>
        <v>-6</v>
      </c>
      <c r="L36" s="69">
        <f t="shared" si="8"/>
        <v>-45</v>
      </c>
      <c r="M36" s="68">
        <f>VLOOKUP(B36,'124+900 '!$B$13:$AA$314,21,FALSE)</f>
        <v>587</v>
      </c>
      <c r="N36" s="67">
        <f>VLOOKUP(B36,'124+900 '!$B$13:$AA$314,5,FALSE)</f>
        <v>159</v>
      </c>
      <c r="O36" s="66">
        <f t="shared" si="2"/>
        <v>2824</v>
      </c>
      <c r="P36" s="66">
        <f>VLOOKUP(B36,'124+900 '!$B$13:$AA$314,14,FALSE)</f>
        <v>-176</v>
      </c>
      <c r="Q36" s="70">
        <f t="shared" si="9"/>
        <v>-6</v>
      </c>
      <c r="R36" s="69">
        <f t="shared" si="10"/>
        <v>-53</v>
      </c>
      <c r="S36" s="68">
        <f>VLOOKUP(B36,'124+900 '!$B$13:$AA$314,22,FALSE)</f>
        <v>586</v>
      </c>
      <c r="T36" s="67">
        <f>VLOOKUP(B36,'124+900 '!$B$13:$AA$314,6,FALSE)</f>
        <v>154</v>
      </c>
      <c r="U36" s="66">
        <f t="shared" si="3"/>
        <v>2829</v>
      </c>
      <c r="V36" s="65">
        <f>VLOOKUP(B36,'124+900 '!$B$13:$AA$314,15,FALSE)</f>
        <v>-171</v>
      </c>
      <c r="W36" s="64">
        <f t="shared" si="11"/>
        <v>-6</v>
      </c>
      <c r="X36" s="63">
        <f t="shared" si="12"/>
        <v>-58</v>
      </c>
      <c r="Y36" s="62">
        <f t="shared" si="13"/>
        <v>-6</v>
      </c>
      <c r="Z36" s="61">
        <f t="shared" si="4"/>
        <v>0</v>
      </c>
      <c r="AA36" s="60">
        <f t="shared" si="14"/>
        <v>0.75</v>
      </c>
      <c r="AB36" s="60">
        <f t="shared" si="15"/>
        <v>0.76300000000000001</v>
      </c>
      <c r="AC36" s="53"/>
      <c r="AD36" s="53"/>
      <c r="AE36" s="84"/>
    </row>
    <row r="37" spans="1:31" s="83" customFormat="1" ht="15" customHeight="1">
      <c r="A37" s="85"/>
      <c r="B37" s="74">
        <f>'124+900 '!B37</f>
        <v>45281</v>
      </c>
      <c r="C37" s="73">
        <f t="shared" si="5"/>
        <v>38</v>
      </c>
      <c r="D37" s="72">
        <f t="shared" si="6"/>
        <v>1026</v>
      </c>
      <c r="E37" s="67">
        <f>VLOOKUP(B37,'124+900 '!B19:AA617,3,FALSE)</f>
        <v>2495</v>
      </c>
      <c r="F37" s="67">
        <f t="shared" si="0"/>
        <v>3521</v>
      </c>
      <c r="G37" s="71">
        <f>VLOOKUP(B37,'124+900 '!$B$13:$AA$314,20,FALSE)</f>
        <v>900</v>
      </c>
      <c r="H37" s="71">
        <f>VLOOKUP(B37,'124+900 '!$B$13:$AA$314,4,FALSE)</f>
        <v>692</v>
      </c>
      <c r="I37" s="66">
        <f t="shared" si="1"/>
        <v>2829</v>
      </c>
      <c r="J37" s="66">
        <f>VLOOKUP(B37,'124+900 '!$B$13:$AA$314,13,FALSE)</f>
        <v>-171</v>
      </c>
      <c r="K37" s="70">
        <f t="shared" si="7"/>
        <v>-5</v>
      </c>
      <c r="L37" s="69">
        <f t="shared" si="8"/>
        <v>-50</v>
      </c>
      <c r="M37" s="68">
        <f>VLOOKUP(B37,'124+900 '!$B$13:$AA$314,21,FALSE)</f>
        <v>900</v>
      </c>
      <c r="N37" s="67">
        <f>VLOOKUP(B37,'124+900 '!$B$13:$AA$314,5,FALSE)</f>
        <v>704</v>
      </c>
      <c r="O37" s="66">
        <f t="shared" si="2"/>
        <v>2817</v>
      </c>
      <c r="P37" s="66">
        <f>VLOOKUP(B37,'124+900 '!$B$13:$AA$314,14,FALSE)</f>
        <v>-183</v>
      </c>
      <c r="Q37" s="70">
        <f t="shared" si="9"/>
        <v>-7</v>
      </c>
      <c r="R37" s="69">
        <f t="shared" si="10"/>
        <v>-60</v>
      </c>
      <c r="S37" s="68">
        <f>VLOOKUP(B37,'124+900 '!$B$13:$AA$314,22,FALSE)</f>
        <v>900</v>
      </c>
      <c r="T37" s="67">
        <f>VLOOKUP(B37,'124+900 '!$B$13:$AA$314,6,FALSE)</f>
        <v>699</v>
      </c>
      <c r="U37" s="66">
        <f t="shared" si="3"/>
        <v>2822</v>
      </c>
      <c r="V37" s="65">
        <f>VLOOKUP(B37,'124+900 '!$B$13:$AA$314,15,FALSE)</f>
        <v>-178</v>
      </c>
      <c r="W37" s="64">
        <f t="shared" si="11"/>
        <v>-7</v>
      </c>
      <c r="X37" s="63">
        <f t="shared" si="12"/>
        <v>-65</v>
      </c>
      <c r="Y37" s="62">
        <f t="shared" si="13"/>
        <v>313</v>
      </c>
      <c r="Z37" s="61">
        <f t="shared" si="4"/>
        <v>0.313</v>
      </c>
      <c r="AA37" s="60">
        <f t="shared" si="14"/>
        <v>1.0629999999999999</v>
      </c>
      <c r="AB37" s="60">
        <f t="shared" si="15"/>
        <v>1.083</v>
      </c>
      <c r="AC37" s="53"/>
      <c r="AD37" s="53"/>
      <c r="AE37" s="84"/>
    </row>
    <row r="38" spans="1:31" s="83" customFormat="1" ht="15" customHeight="1">
      <c r="A38" s="85"/>
      <c r="B38" s="74">
        <f>'124+900 '!B38</f>
        <v>45285</v>
      </c>
      <c r="C38" s="73">
        <f t="shared" si="5"/>
        <v>42</v>
      </c>
      <c r="D38" s="72">
        <f t="shared" si="6"/>
        <v>1026</v>
      </c>
      <c r="E38" s="67">
        <f>VLOOKUP(B38,'124+900 '!B20:AA618,3,FALSE)</f>
        <v>2458</v>
      </c>
      <c r="F38" s="67">
        <f t="shared" si="0"/>
        <v>3484</v>
      </c>
      <c r="G38" s="71">
        <f>VLOOKUP(B38,'124+900 '!$B$13:$AA$314,20,FALSE)</f>
        <v>894</v>
      </c>
      <c r="H38" s="71">
        <f>VLOOKUP(B38,'124+900 '!$B$13:$AA$314,4,FALSE)</f>
        <v>661</v>
      </c>
      <c r="I38" s="66">
        <f t="shared" si="1"/>
        <v>2823</v>
      </c>
      <c r="J38" s="66">
        <f>VLOOKUP(B38,'124+900 '!$B$13:$AA$314,13,FALSE)</f>
        <v>-177</v>
      </c>
      <c r="K38" s="70">
        <f t="shared" si="7"/>
        <v>-6</v>
      </c>
      <c r="L38" s="69">
        <f t="shared" si="8"/>
        <v>-56</v>
      </c>
      <c r="M38" s="68">
        <f>VLOOKUP(B38,'124+900 '!$B$13:$AA$314,21,FALSE)</f>
        <v>893</v>
      </c>
      <c r="N38" s="67">
        <f>VLOOKUP(B38,'124+900 '!$B$13:$AA$314,5,FALSE)</f>
        <v>674</v>
      </c>
      <c r="O38" s="66">
        <f t="shared" si="2"/>
        <v>2810</v>
      </c>
      <c r="P38" s="66">
        <f>VLOOKUP(B38,'124+900 '!$B$13:$AA$314,14,FALSE)</f>
        <v>-190</v>
      </c>
      <c r="Q38" s="70">
        <f t="shared" si="9"/>
        <v>-7</v>
      </c>
      <c r="R38" s="69">
        <f t="shared" si="10"/>
        <v>-67</v>
      </c>
      <c r="S38" s="68">
        <f>VLOOKUP(B38,'124+900 '!$B$13:$AA$314,22,FALSE)</f>
        <v>894</v>
      </c>
      <c r="T38" s="67">
        <f>VLOOKUP(B38,'124+900 '!$B$13:$AA$314,6,FALSE)</f>
        <v>668</v>
      </c>
      <c r="U38" s="66">
        <f t="shared" si="3"/>
        <v>2816</v>
      </c>
      <c r="V38" s="65">
        <f>VLOOKUP(B38,'124+900 '!$B$13:$AA$314,15,FALSE)</f>
        <v>-184</v>
      </c>
      <c r="W38" s="64">
        <f t="shared" si="11"/>
        <v>-6</v>
      </c>
      <c r="X38" s="63">
        <f t="shared" si="12"/>
        <v>-71</v>
      </c>
      <c r="Y38" s="62">
        <f t="shared" si="13"/>
        <v>-7</v>
      </c>
      <c r="Z38" s="61">
        <f t="shared" si="4"/>
        <v>0</v>
      </c>
      <c r="AA38" s="60">
        <f t="shared" si="14"/>
        <v>1.0629999999999999</v>
      </c>
      <c r="AB38" s="60">
        <f t="shared" si="15"/>
        <v>1.083</v>
      </c>
      <c r="AC38" s="53"/>
      <c r="AD38" s="53"/>
      <c r="AE38" s="84"/>
    </row>
    <row r="39" spans="1:31" s="83" customFormat="1" ht="15" customHeight="1">
      <c r="A39" s="85"/>
      <c r="B39" s="74">
        <f>'124+900 '!B39</f>
        <v>45288</v>
      </c>
      <c r="C39" s="73">
        <f t="shared" si="5"/>
        <v>45</v>
      </c>
      <c r="D39" s="72">
        <f t="shared" si="6"/>
        <v>1026</v>
      </c>
      <c r="E39" s="67">
        <f>VLOOKUP(B39,'124+900 '!B21:AA619,3,FALSE)</f>
        <v>2156</v>
      </c>
      <c r="F39" s="67">
        <f t="shared" si="0"/>
        <v>3182</v>
      </c>
      <c r="G39" s="71">
        <f>VLOOKUP(B39,'124+900 '!$B$13:$AA$314,20,FALSE)</f>
        <v>886</v>
      </c>
      <c r="H39" s="71">
        <f>VLOOKUP(B39,'124+900 '!$B$13:$AA$314,4,FALSE)</f>
        <v>367</v>
      </c>
      <c r="I39" s="66">
        <f t="shared" si="1"/>
        <v>2815</v>
      </c>
      <c r="J39" s="66">
        <f>VLOOKUP(B39,'124+900 '!$B$13:$AA$314,13,FALSE)</f>
        <v>-185</v>
      </c>
      <c r="K39" s="70">
        <f t="shared" si="7"/>
        <v>-8</v>
      </c>
      <c r="L39" s="69">
        <f t="shared" si="8"/>
        <v>-64</v>
      </c>
      <c r="M39" s="68">
        <f>VLOOKUP(B39,'124+900 '!$B$13:$AA$314,21,FALSE)</f>
        <v>890</v>
      </c>
      <c r="N39" s="67">
        <f>VLOOKUP(B39,'124+900 '!$B$13:$AA$314,5,FALSE)</f>
        <v>375</v>
      </c>
      <c r="O39" s="66">
        <f t="shared" si="2"/>
        <v>2807</v>
      </c>
      <c r="P39" s="66">
        <f>VLOOKUP(B39,'124+900 '!$B$13:$AA$314,14,FALSE)</f>
        <v>-193</v>
      </c>
      <c r="Q39" s="70">
        <f t="shared" si="9"/>
        <v>-3</v>
      </c>
      <c r="R39" s="69">
        <f t="shared" si="10"/>
        <v>-70</v>
      </c>
      <c r="S39" s="68">
        <f>VLOOKUP(B39,'124+900 '!$B$13:$AA$314,22,FALSE)</f>
        <v>889</v>
      </c>
      <c r="T39" s="67">
        <f>VLOOKUP(B39,'124+900 '!$B$13:$AA$314,6,FALSE)</f>
        <v>371</v>
      </c>
      <c r="U39" s="66">
        <f t="shared" si="3"/>
        <v>2811</v>
      </c>
      <c r="V39" s="65">
        <f>VLOOKUP(B39,'124+900 '!$B$13:$AA$314,15,FALSE)</f>
        <v>-189</v>
      </c>
      <c r="W39" s="64">
        <f t="shared" si="11"/>
        <v>-5</v>
      </c>
      <c r="X39" s="63">
        <f t="shared" si="12"/>
        <v>-76</v>
      </c>
      <c r="Y39" s="62">
        <f t="shared" si="13"/>
        <v>-3</v>
      </c>
      <c r="Z39" s="61">
        <f t="shared" si="4"/>
        <v>0</v>
      </c>
      <c r="AA39" s="60">
        <f t="shared" si="14"/>
        <v>1.0629999999999999</v>
      </c>
      <c r="AB39" s="60">
        <f t="shared" si="15"/>
        <v>1.083</v>
      </c>
      <c r="AC39" s="53"/>
      <c r="AD39" s="53"/>
      <c r="AE39" s="84"/>
    </row>
    <row r="40" spans="1:31" s="83" customFormat="1" ht="15" customHeight="1">
      <c r="A40" s="85"/>
      <c r="B40" s="74">
        <f>'124+900 '!B40</f>
        <v>45295</v>
      </c>
      <c r="C40" s="73">
        <f t="shared" si="5"/>
        <v>52</v>
      </c>
      <c r="D40" s="72">
        <f t="shared" si="6"/>
        <v>1026</v>
      </c>
      <c r="E40" s="67">
        <f>VLOOKUP(B40,'124+900 '!B22:AA620,3,FALSE)</f>
        <v>2311</v>
      </c>
      <c r="F40" s="67">
        <f t="shared" si="0"/>
        <v>3337</v>
      </c>
      <c r="G40" s="71">
        <f>VLOOKUP(B40,'124+900 '!$B$13:$AA$314,20,FALSE)</f>
        <v>876</v>
      </c>
      <c r="H40" s="71">
        <f>VLOOKUP(B40,'124+900 '!$B$13:$AA$314,4,FALSE)</f>
        <v>532</v>
      </c>
      <c r="I40" s="66">
        <f t="shared" si="1"/>
        <v>2805</v>
      </c>
      <c r="J40" s="66">
        <f>VLOOKUP(B40,'124+900 '!$B$13:$AA$314,13,FALSE)</f>
        <v>-195</v>
      </c>
      <c r="K40" s="70">
        <f t="shared" si="7"/>
        <v>-10</v>
      </c>
      <c r="L40" s="69">
        <f t="shared" si="8"/>
        <v>-74</v>
      </c>
      <c r="M40" s="68">
        <f>VLOOKUP(B40,'124+900 '!$B$13:$AA$314,21,FALSE)</f>
        <v>878</v>
      </c>
      <c r="N40" s="67">
        <f>VLOOKUP(B40,'124+900 '!$B$13:$AA$314,5,FALSE)</f>
        <v>542</v>
      </c>
      <c r="O40" s="66">
        <f t="shared" si="2"/>
        <v>2795</v>
      </c>
      <c r="P40" s="66">
        <f>VLOOKUP(B40,'124+900 '!$B$13:$AA$314,14,FALSE)</f>
        <v>-205</v>
      </c>
      <c r="Q40" s="70">
        <f t="shared" si="9"/>
        <v>-12</v>
      </c>
      <c r="R40" s="69">
        <f t="shared" si="10"/>
        <v>-82</v>
      </c>
      <c r="S40" s="68">
        <f>VLOOKUP(B40,'124+900 '!$B$13:$AA$314,22,FALSE)</f>
        <v>879</v>
      </c>
      <c r="T40" s="67">
        <f>VLOOKUP(B40,'124+900 '!$B$13:$AA$314,6,FALSE)</f>
        <v>536</v>
      </c>
      <c r="U40" s="66">
        <f t="shared" si="3"/>
        <v>2801</v>
      </c>
      <c r="V40" s="65">
        <f>VLOOKUP(B40,'124+900 '!$B$13:$AA$314,15,FALSE)</f>
        <v>-199</v>
      </c>
      <c r="W40" s="64">
        <f t="shared" si="11"/>
        <v>-10</v>
      </c>
      <c r="X40" s="63">
        <f t="shared" si="12"/>
        <v>-86</v>
      </c>
      <c r="Y40" s="62">
        <f t="shared" si="13"/>
        <v>-12</v>
      </c>
      <c r="Z40" s="61">
        <f t="shared" si="4"/>
        <v>0</v>
      </c>
      <c r="AA40" s="60">
        <f t="shared" si="14"/>
        <v>1.0629999999999999</v>
      </c>
      <c r="AB40" s="60">
        <f t="shared" si="15"/>
        <v>1.083</v>
      </c>
      <c r="AC40" s="53"/>
      <c r="AD40" s="53"/>
      <c r="AE40" s="84"/>
    </row>
    <row r="41" spans="1:31" s="83" customFormat="1" ht="15" customHeight="1">
      <c r="A41" s="85"/>
      <c r="B41" s="74">
        <f>'124+900 '!B41</f>
        <v>45302</v>
      </c>
      <c r="C41" s="73">
        <f t="shared" si="5"/>
        <v>59</v>
      </c>
      <c r="D41" s="72">
        <f t="shared" si="6"/>
        <v>1026</v>
      </c>
      <c r="E41" s="67">
        <f>VLOOKUP(B41,'124+900 '!B23:AA621,3,FALSE)</f>
        <v>2100</v>
      </c>
      <c r="F41" s="67">
        <f t="shared" si="0"/>
        <v>3126</v>
      </c>
      <c r="G41" s="71">
        <f>VLOOKUP(B41,'124+900 '!$B$13:$AA$314,20,FALSE)</f>
        <v>854</v>
      </c>
      <c r="H41" s="71">
        <f>VLOOKUP(B41,'124+900 '!$B$13:$AA$314,4,FALSE)</f>
        <v>343</v>
      </c>
      <c r="I41" s="66">
        <f t="shared" si="1"/>
        <v>2783</v>
      </c>
      <c r="J41" s="66">
        <f>VLOOKUP(B41,'124+900 '!$B$13:$AA$314,13,FALSE)</f>
        <v>-217</v>
      </c>
      <c r="K41" s="70">
        <f t="shared" si="7"/>
        <v>-22</v>
      </c>
      <c r="L41" s="69">
        <f t="shared" si="8"/>
        <v>-96</v>
      </c>
      <c r="M41" s="68">
        <f>VLOOKUP(B41,'124+900 '!$B$13:$AA$314,21,FALSE)</f>
        <v>858</v>
      </c>
      <c r="N41" s="67">
        <f>VLOOKUP(B41,'124+900 '!$B$13:$AA$314,5,FALSE)</f>
        <v>351</v>
      </c>
      <c r="O41" s="66">
        <f t="shared" si="2"/>
        <v>2775</v>
      </c>
      <c r="P41" s="66">
        <f>VLOOKUP(B41,'124+900 '!$B$13:$AA$314,14,FALSE)</f>
        <v>-225</v>
      </c>
      <c r="Q41" s="70">
        <f t="shared" si="9"/>
        <v>-20</v>
      </c>
      <c r="R41" s="69">
        <f t="shared" si="10"/>
        <v>-102</v>
      </c>
      <c r="S41" s="68">
        <f>VLOOKUP(B41,'124+900 '!$B$13:$AA$314,22,FALSE)</f>
        <v>861</v>
      </c>
      <c r="T41" s="67">
        <f>VLOOKUP(B41,'124+900 '!$B$13:$AA$314,6,FALSE)</f>
        <v>343</v>
      </c>
      <c r="U41" s="66">
        <f t="shared" si="3"/>
        <v>2783</v>
      </c>
      <c r="V41" s="65">
        <f>VLOOKUP(B41,'124+900 '!$B$13:$AA$314,15,FALSE)</f>
        <v>-217</v>
      </c>
      <c r="W41" s="64">
        <f t="shared" si="11"/>
        <v>-18</v>
      </c>
      <c r="X41" s="63">
        <f t="shared" si="12"/>
        <v>-104</v>
      </c>
      <c r="Y41" s="62">
        <f t="shared" si="13"/>
        <v>-20</v>
      </c>
      <c r="Z41" s="61">
        <f t="shared" si="4"/>
        <v>0</v>
      </c>
      <c r="AA41" s="60">
        <f t="shared" si="14"/>
        <v>1.0629999999999999</v>
      </c>
      <c r="AB41" s="60">
        <f t="shared" si="15"/>
        <v>1.083</v>
      </c>
      <c r="AC41" s="53"/>
      <c r="AD41" s="53"/>
      <c r="AE41" s="84"/>
    </row>
    <row r="42" spans="1:31" s="83" customFormat="1" ht="15" customHeight="1">
      <c r="A42" s="85"/>
      <c r="B42" s="74">
        <f>'124+900 '!B42</f>
        <v>45309</v>
      </c>
      <c r="C42" s="73">
        <f t="shared" si="5"/>
        <v>66</v>
      </c>
      <c r="D42" s="72">
        <f t="shared" si="6"/>
        <v>1026</v>
      </c>
      <c r="E42" s="67">
        <f>VLOOKUP(B42,'124+900 '!B24:AA622,3,FALSE)</f>
        <v>2313</v>
      </c>
      <c r="F42" s="67">
        <f t="shared" si="0"/>
        <v>3339</v>
      </c>
      <c r="G42" s="71">
        <f>VLOOKUP(B42,'124+900 '!$B$13:$AA$314,20,FALSE)</f>
        <v>834</v>
      </c>
      <c r="H42" s="71">
        <f>VLOOKUP(B42,'124+900 '!$B$13:$AA$314,4,FALSE)</f>
        <v>576</v>
      </c>
      <c r="I42" s="66">
        <f t="shared" si="1"/>
        <v>2763</v>
      </c>
      <c r="J42" s="66">
        <f>VLOOKUP(B42,'124+900 '!$B$13:$AA$314,13,FALSE)</f>
        <v>-237</v>
      </c>
      <c r="K42" s="70">
        <f t="shared" si="7"/>
        <v>-20</v>
      </c>
      <c r="L42" s="69">
        <f t="shared" si="8"/>
        <v>-116</v>
      </c>
      <c r="M42" s="68">
        <f>VLOOKUP(B42,'124+900 '!$B$13:$AA$314,21,FALSE)</f>
        <v>840</v>
      </c>
      <c r="N42" s="67">
        <f>VLOOKUP(B42,'124+900 '!$B$13:$AA$314,5,FALSE)</f>
        <v>582</v>
      </c>
      <c r="O42" s="66">
        <f t="shared" si="2"/>
        <v>2757</v>
      </c>
      <c r="P42" s="66">
        <f>VLOOKUP(B42,'124+900 '!$B$13:$AA$314,14,FALSE)</f>
        <v>-243</v>
      </c>
      <c r="Q42" s="70">
        <f t="shared" si="9"/>
        <v>-18</v>
      </c>
      <c r="R42" s="69">
        <f t="shared" si="10"/>
        <v>-120</v>
      </c>
      <c r="S42" s="68">
        <f>VLOOKUP(B42,'124+900 '!$B$13:$AA$314,22,FALSE)</f>
        <v>845</v>
      </c>
      <c r="T42" s="67">
        <f>VLOOKUP(B42,'124+900 '!$B$13:$AA$314,6,FALSE)</f>
        <v>572</v>
      </c>
      <c r="U42" s="66">
        <f t="shared" si="3"/>
        <v>2767</v>
      </c>
      <c r="V42" s="65">
        <f>VLOOKUP(B42,'124+900 '!$B$13:$AA$314,15,FALSE)</f>
        <v>-233</v>
      </c>
      <c r="W42" s="64">
        <f t="shared" si="11"/>
        <v>-16</v>
      </c>
      <c r="X42" s="63">
        <f t="shared" si="12"/>
        <v>-120</v>
      </c>
      <c r="Y42" s="62">
        <f t="shared" si="13"/>
        <v>-18</v>
      </c>
      <c r="Z42" s="61">
        <f t="shared" si="4"/>
        <v>0</v>
      </c>
      <c r="AA42" s="60">
        <f t="shared" si="14"/>
        <v>1.0629999999999999</v>
      </c>
      <c r="AB42" s="60">
        <f t="shared" si="15"/>
        <v>1.083</v>
      </c>
      <c r="AC42" s="53"/>
      <c r="AD42" s="53"/>
      <c r="AE42" s="84"/>
    </row>
    <row r="43" spans="1:31" s="83" customFormat="1" ht="15" customHeight="1">
      <c r="A43" s="85"/>
      <c r="B43" s="74">
        <f>'124+900 '!B43</f>
        <v>45316</v>
      </c>
      <c r="C43" s="73">
        <f t="shared" si="5"/>
        <v>73</v>
      </c>
      <c r="D43" s="72">
        <f t="shared" si="6"/>
        <v>1026</v>
      </c>
      <c r="E43" s="67">
        <f>VLOOKUP(B43,'124+900 '!B25:AA623,3,FALSE)</f>
        <v>2322</v>
      </c>
      <c r="F43" s="67">
        <f t="shared" si="0"/>
        <v>3348</v>
      </c>
      <c r="G43" s="71">
        <f>VLOOKUP(B43,'124+900 '!$B$13:$AA$314,20,FALSE)</f>
        <v>815</v>
      </c>
      <c r="H43" s="71">
        <f>VLOOKUP(B43,'124+900 '!$B$13:$AA$314,4,FALSE)</f>
        <v>604</v>
      </c>
      <c r="I43" s="66">
        <f t="shared" si="1"/>
        <v>2744</v>
      </c>
      <c r="J43" s="66">
        <f>VLOOKUP(B43,'124+900 '!$B$13:$AA$314,13,FALSE)</f>
        <v>-256</v>
      </c>
      <c r="K43" s="70">
        <f t="shared" si="7"/>
        <v>-19</v>
      </c>
      <c r="L43" s="69">
        <f t="shared" si="8"/>
        <v>-135</v>
      </c>
      <c r="M43" s="68">
        <f>VLOOKUP(B43,'124+900 '!$B$13:$AA$314,21,FALSE)</f>
        <v>823</v>
      </c>
      <c r="N43" s="67">
        <f>VLOOKUP(B43,'124+900 '!$B$13:$AA$314,5,FALSE)</f>
        <v>608</v>
      </c>
      <c r="O43" s="66">
        <f t="shared" si="2"/>
        <v>2740</v>
      </c>
      <c r="P43" s="66">
        <f>VLOOKUP(B43,'124+900 '!$B$13:$AA$314,14,FALSE)</f>
        <v>-260</v>
      </c>
      <c r="Q43" s="70">
        <f t="shared" si="9"/>
        <v>-17</v>
      </c>
      <c r="R43" s="69">
        <f t="shared" si="10"/>
        <v>-137</v>
      </c>
      <c r="S43" s="68">
        <f>VLOOKUP(B43,'124+900 '!$B$13:$AA$314,22,FALSE)</f>
        <v>829</v>
      </c>
      <c r="T43" s="67">
        <f>VLOOKUP(B43,'124+900 '!$B$13:$AA$314,6,FALSE)</f>
        <v>597</v>
      </c>
      <c r="U43" s="66">
        <f t="shared" si="3"/>
        <v>2751</v>
      </c>
      <c r="V43" s="65">
        <f>VLOOKUP(B43,'124+900 '!$B$13:$AA$314,15,FALSE)</f>
        <v>-249</v>
      </c>
      <c r="W43" s="64">
        <f t="shared" si="11"/>
        <v>-16</v>
      </c>
      <c r="X43" s="63">
        <f t="shared" si="12"/>
        <v>-136</v>
      </c>
      <c r="Y43" s="62">
        <f t="shared" si="13"/>
        <v>-17</v>
      </c>
      <c r="Z43" s="61">
        <f t="shared" si="4"/>
        <v>0</v>
      </c>
      <c r="AA43" s="60">
        <f t="shared" si="14"/>
        <v>1.0629999999999999</v>
      </c>
      <c r="AB43" s="60">
        <f t="shared" si="15"/>
        <v>1.083</v>
      </c>
      <c r="AC43" s="53"/>
      <c r="AD43" s="53"/>
      <c r="AE43" s="84"/>
    </row>
    <row r="44" spans="1:31" s="83" customFormat="1" ht="15" customHeight="1">
      <c r="A44" s="85"/>
      <c r="B44" s="74">
        <f>'124+900 '!B44</f>
        <v>45323</v>
      </c>
      <c r="C44" s="73">
        <f t="shared" si="5"/>
        <v>80</v>
      </c>
      <c r="D44" s="72">
        <f t="shared" si="6"/>
        <v>1026</v>
      </c>
      <c r="E44" s="67">
        <f>VLOOKUP(B44,'124+900 '!B26:AA624,3,FALSE)</f>
        <v>2183</v>
      </c>
      <c r="F44" s="67">
        <f t="shared" si="0"/>
        <v>3209</v>
      </c>
      <c r="G44" s="71">
        <f>VLOOKUP(B44,'124+900 '!$B$13:$AA$314,20,FALSE)</f>
        <v>797</v>
      </c>
      <c r="H44" s="71">
        <f>VLOOKUP(B44,'124+900 '!$B$13:$AA$314,4,FALSE)</f>
        <v>483</v>
      </c>
      <c r="I44" s="66">
        <f t="shared" si="1"/>
        <v>2726</v>
      </c>
      <c r="J44" s="66">
        <f>VLOOKUP(B44,'124+900 '!$B$13:$AA$314,13,FALSE)</f>
        <v>-274</v>
      </c>
      <c r="K44" s="70">
        <f t="shared" si="7"/>
        <v>-18</v>
      </c>
      <c r="L44" s="69">
        <f t="shared" si="8"/>
        <v>-153</v>
      </c>
      <c r="M44" s="68">
        <f>VLOOKUP(B44,'124+900 '!$B$13:$AA$314,21,FALSE)</f>
        <v>807</v>
      </c>
      <c r="N44" s="67">
        <f>VLOOKUP(B44,'124+900 '!$B$13:$AA$314,5,FALSE)</f>
        <v>485</v>
      </c>
      <c r="O44" s="66">
        <f t="shared" si="2"/>
        <v>2724</v>
      </c>
      <c r="P44" s="66">
        <f>VLOOKUP(B44,'124+900 '!$B$13:$AA$314,14,FALSE)</f>
        <v>-276</v>
      </c>
      <c r="Q44" s="70">
        <f t="shared" si="9"/>
        <v>-16</v>
      </c>
      <c r="R44" s="69">
        <f t="shared" si="10"/>
        <v>-153</v>
      </c>
      <c r="S44" s="68">
        <f>VLOOKUP(B44,'124+900 '!$B$13:$AA$314,22,FALSE)</f>
        <v>814</v>
      </c>
      <c r="T44" s="67">
        <f>VLOOKUP(B44,'124+900 '!$B$13:$AA$314,6,FALSE)</f>
        <v>473</v>
      </c>
      <c r="U44" s="66">
        <f t="shared" si="3"/>
        <v>2736</v>
      </c>
      <c r="V44" s="65">
        <f>VLOOKUP(B44,'124+900 '!$B$13:$AA$314,15,FALSE)</f>
        <v>-264</v>
      </c>
      <c r="W44" s="64">
        <f t="shared" si="11"/>
        <v>-15</v>
      </c>
      <c r="X44" s="63">
        <f t="shared" si="12"/>
        <v>-151</v>
      </c>
      <c r="Y44" s="62">
        <f t="shared" si="13"/>
        <v>-16</v>
      </c>
      <c r="Z44" s="61">
        <f t="shared" si="4"/>
        <v>0</v>
      </c>
      <c r="AA44" s="60">
        <f t="shared" si="14"/>
        <v>1.0629999999999999</v>
      </c>
      <c r="AB44" s="60">
        <f t="shared" si="15"/>
        <v>1.083</v>
      </c>
      <c r="AC44" s="53"/>
      <c r="AD44" s="53"/>
      <c r="AE44" s="84"/>
    </row>
    <row r="45" spans="1:31" s="83" customFormat="1" ht="15" customHeight="1">
      <c r="A45" s="85"/>
      <c r="B45" s="74">
        <f>'124+900 '!B45</f>
        <v>45330</v>
      </c>
      <c r="C45" s="73">
        <f t="shared" si="5"/>
        <v>87</v>
      </c>
      <c r="D45" s="72">
        <f t="shared" si="6"/>
        <v>1026</v>
      </c>
      <c r="E45" s="67">
        <f>VLOOKUP(B45,'124+900 '!B27:AA625,3,FALSE)</f>
        <v>2240</v>
      </c>
      <c r="F45" s="67">
        <f t="shared" ref="F45:F76" si="17">D45+E45</f>
        <v>3266</v>
      </c>
      <c r="G45" s="71">
        <f>VLOOKUP(B45,'124+900 '!$B$13:$AA$314,20,FALSE)</f>
        <v>780</v>
      </c>
      <c r="H45" s="71">
        <f>VLOOKUP(B45,'124+900 '!$B$13:$AA$314,4,FALSE)</f>
        <v>557</v>
      </c>
      <c r="I45" s="66">
        <f t="shared" ref="I45:I76" si="18">F45-H45</f>
        <v>2709</v>
      </c>
      <c r="J45" s="66">
        <f>VLOOKUP(B45,'124+900 '!$B$13:$AA$314,13,FALSE)</f>
        <v>-291</v>
      </c>
      <c r="K45" s="70">
        <f t="shared" si="7"/>
        <v>-17</v>
      </c>
      <c r="L45" s="69">
        <f t="shared" si="8"/>
        <v>-170</v>
      </c>
      <c r="M45" s="68">
        <f>VLOOKUP(B45,'124+900 '!$B$13:$AA$314,21,FALSE)</f>
        <v>793</v>
      </c>
      <c r="N45" s="67">
        <f>VLOOKUP(B45,'124+900 '!$B$13:$AA$314,5,FALSE)</f>
        <v>556</v>
      </c>
      <c r="O45" s="66">
        <f t="shared" ref="O45:O76" si="19">F45-N45</f>
        <v>2710</v>
      </c>
      <c r="P45" s="66">
        <f>VLOOKUP(B45,'124+900 '!$B$13:$AA$314,14,FALSE)</f>
        <v>-290</v>
      </c>
      <c r="Q45" s="70">
        <f t="shared" si="9"/>
        <v>-14</v>
      </c>
      <c r="R45" s="69">
        <f t="shared" si="10"/>
        <v>-167</v>
      </c>
      <c r="S45" s="68">
        <f>VLOOKUP(B45,'124+900 '!$B$13:$AA$314,22,FALSE)</f>
        <v>801</v>
      </c>
      <c r="T45" s="67">
        <f>VLOOKUP(B45,'124+900 '!$B$13:$AA$314,6,FALSE)</f>
        <v>543</v>
      </c>
      <c r="U45" s="66">
        <f t="shared" ref="U45:U76" si="20">F45-T45</f>
        <v>2723</v>
      </c>
      <c r="V45" s="65">
        <f>VLOOKUP(B45,'124+900 '!$B$13:$AA$314,15,FALSE)</f>
        <v>-277</v>
      </c>
      <c r="W45" s="64">
        <f t="shared" si="11"/>
        <v>-13</v>
      </c>
      <c r="X45" s="63">
        <f t="shared" si="12"/>
        <v>-164</v>
      </c>
      <c r="Y45" s="62">
        <f t="shared" si="13"/>
        <v>-14</v>
      </c>
      <c r="Z45" s="61">
        <f t="shared" ref="Z45:Z76" si="21">IF(Y45&gt;0,Y45,0)/1000</f>
        <v>0</v>
      </c>
      <c r="AA45" s="60">
        <f t="shared" si="14"/>
        <v>1.0629999999999999</v>
      </c>
      <c r="AB45" s="60">
        <f t="shared" si="15"/>
        <v>1.083</v>
      </c>
      <c r="AC45" s="53"/>
      <c r="AD45" s="53"/>
      <c r="AE45" s="84"/>
    </row>
    <row r="46" spans="1:31" s="83" customFormat="1" ht="15" customHeight="1">
      <c r="A46" s="85"/>
      <c r="B46" s="74">
        <f>'124+900 '!B46</f>
        <v>45337</v>
      </c>
      <c r="C46" s="73">
        <f t="shared" ref="C46:C77" si="22">B46-$B$13</f>
        <v>94</v>
      </c>
      <c r="D46" s="72">
        <f t="shared" ref="D46:D77" si="23">D45</f>
        <v>1026</v>
      </c>
      <c r="E46" s="67">
        <f>VLOOKUP(B46,'124+900 '!B28:AA626,3,FALSE)</f>
        <v>2478</v>
      </c>
      <c r="F46" s="67">
        <f t="shared" si="17"/>
        <v>3504</v>
      </c>
      <c r="G46" s="71">
        <f>VLOOKUP(B46,'124+900 '!$B$13:$AA$314,20,FALSE)</f>
        <v>766</v>
      </c>
      <c r="H46" s="71">
        <f>VLOOKUP(B46,'124+900 '!$B$13:$AA$314,4,FALSE)</f>
        <v>809</v>
      </c>
      <c r="I46" s="66">
        <f t="shared" si="18"/>
        <v>2695</v>
      </c>
      <c r="J46" s="66">
        <f>VLOOKUP(B46,'124+900 '!$B$13:$AA$314,13,FALSE)</f>
        <v>-305</v>
      </c>
      <c r="K46" s="70">
        <f t="shared" ref="K46:K77" si="24">J46-J45</f>
        <v>-14</v>
      </c>
      <c r="L46" s="69">
        <f t="shared" ref="L46:L77" si="25">L45+K46</f>
        <v>-184</v>
      </c>
      <c r="M46" s="68">
        <f>VLOOKUP(B46,'124+900 '!$B$13:$AA$314,21,FALSE)</f>
        <v>780</v>
      </c>
      <c r="N46" s="67">
        <f>VLOOKUP(B46,'124+900 '!$B$13:$AA$314,5,FALSE)</f>
        <v>807</v>
      </c>
      <c r="O46" s="66">
        <f t="shared" si="19"/>
        <v>2697</v>
      </c>
      <c r="P46" s="66">
        <f>VLOOKUP(B46,'124+900 '!$B$13:$AA$314,14,FALSE)</f>
        <v>-303</v>
      </c>
      <c r="Q46" s="70">
        <f t="shared" ref="Q46:Q77" si="26">P46-P45</f>
        <v>-13</v>
      </c>
      <c r="R46" s="69">
        <f t="shared" ref="R46:R77" si="27">R45+Q46</f>
        <v>-180</v>
      </c>
      <c r="S46" s="68">
        <f>VLOOKUP(B46,'124+900 '!$B$13:$AA$314,22,FALSE)</f>
        <v>788</v>
      </c>
      <c r="T46" s="67">
        <f>VLOOKUP(B46,'124+900 '!$B$13:$AA$314,6,FALSE)</f>
        <v>794</v>
      </c>
      <c r="U46" s="66">
        <f t="shared" si="20"/>
        <v>2710</v>
      </c>
      <c r="V46" s="65">
        <f>VLOOKUP(B46,'124+900 '!$B$13:$AA$314,15,FALSE)</f>
        <v>-290</v>
      </c>
      <c r="W46" s="64">
        <f t="shared" ref="W46:W77" si="28">V46-V45</f>
        <v>-13</v>
      </c>
      <c r="X46" s="63">
        <f t="shared" ref="X46:X77" si="29">X45+W46</f>
        <v>-177</v>
      </c>
      <c r="Y46" s="62">
        <f t="shared" ref="Y46:Y77" si="30">M46-M45</f>
        <v>-13</v>
      </c>
      <c r="Z46" s="61">
        <f t="shared" si="21"/>
        <v>0</v>
      </c>
      <c r="AA46" s="60">
        <f t="shared" ref="AA46:AA77" si="31">AA45+Z46</f>
        <v>1.0629999999999999</v>
      </c>
      <c r="AB46" s="60">
        <f t="shared" ref="AB46:AB77" si="32">(M46-$M$13-R46)/1000</f>
        <v>1.083</v>
      </c>
      <c r="AC46" s="53"/>
      <c r="AD46" s="53"/>
      <c r="AE46" s="84"/>
    </row>
    <row r="47" spans="1:31" s="83" customFormat="1" ht="15" customHeight="1">
      <c r="A47" s="85"/>
      <c r="B47" s="74">
        <f>'124+900 '!B47</f>
        <v>45344</v>
      </c>
      <c r="C47" s="73">
        <f t="shared" si="22"/>
        <v>101</v>
      </c>
      <c r="D47" s="72">
        <f t="shared" si="23"/>
        <v>1026</v>
      </c>
      <c r="E47" s="67">
        <f>VLOOKUP(B47,'124+900 '!B29:AA627,3,FALSE)</f>
        <v>2205</v>
      </c>
      <c r="F47" s="67">
        <f t="shared" si="17"/>
        <v>3231</v>
      </c>
      <c r="G47" s="71">
        <f>VLOOKUP(B47,'124+900 '!$B$13:$AA$314,20,FALSE)</f>
        <v>754</v>
      </c>
      <c r="H47" s="71">
        <f>VLOOKUP(B47,'124+900 '!$B$13:$AA$314,4,FALSE)</f>
        <v>548</v>
      </c>
      <c r="I47" s="66">
        <f t="shared" si="18"/>
        <v>2683</v>
      </c>
      <c r="J47" s="66">
        <f>VLOOKUP(B47,'124+900 '!$B$13:$AA$314,13,FALSE)</f>
        <v>-317</v>
      </c>
      <c r="K47" s="70">
        <f t="shared" si="24"/>
        <v>-12</v>
      </c>
      <c r="L47" s="69">
        <f t="shared" si="25"/>
        <v>-196</v>
      </c>
      <c r="M47" s="68">
        <f>VLOOKUP(B47,'124+900 '!$B$13:$AA$314,21,FALSE)</f>
        <v>770</v>
      </c>
      <c r="N47" s="67">
        <f>VLOOKUP(B47,'124+900 '!$B$13:$AA$314,5,FALSE)</f>
        <v>544</v>
      </c>
      <c r="O47" s="66">
        <f t="shared" si="19"/>
        <v>2687</v>
      </c>
      <c r="P47" s="66">
        <f>VLOOKUP(B47,'124+900 '!$B$13:$AA$314,14,FALSE)</f>
        <v>-313</v>
      </c>
      <c r="Q47" s="70">
        <f t="shared" si="26"/>
        <v>-10</v>
      </c>
      <c r="R47" s="69">
        <f t="shared" si="27"/>
        <v>-190</v>
      </c>
      <c r="S47" s="68">
        <f>VLOOKUP(B47,'124+900 '!$B$13:$AA$314,22,FALSE)</f>
        <v>777</v>
      </c>
      <c r="T47" s="67">
        <f>VLOOKUP(B47,'124+900 '!$B$13:$AA$314,6,FALSE)</f>
        <v>532</v>
      </c>
      <c r="U47" s="66">
        <f t="shared" si="20"/>
        <v>2699</v>
      </c>
      <c r="V47" s="65">
        <f>VLOOKUP(B47,'124+900 '!$B$13:$AA$314,15,FALSE)</f>
        <v>-301</v>
      </c>
      <c r="W47" s="64">
        <f t="shared" si="28"/>
        <v>-11</v>
      </c>
      <c r="X47" s="63">
        <f t="shared" si="29"/>
        <v>-188</v>
      </c>
      <c r="Y47" s="62">
        <f t="shared" si="30"/>
        <v>-10</v>
      </c>
      <c r="Z47" s="61">
        <f t="shared" si="21"/>
        <v>0</v>
      </c>
      <c r="AA47" s="60">
        <f t="shared" si="31"/>
        <v>1.0629999999999999</v>
      </c>
      <c r="AB47" s="60">
        <f t="shared" si="32"/>
        <v>1.083</v>
      </c>
      <c r="AC47" s="53"/>
      <c r="AD47" s="53"/>
      <c r="AE47" s="84"/>
    </row>
    <row r="48" spans="1:31" s="83" customFormat="1" ht="15" customHeight="1">
      <c r="A48" s="85"/>
      <c r="B48" s="74">
        <f>'124+900 '!B48</f>
        <v>45351</v>
      </c>
      <c r="C48" s="73">
        <f t="shared" si="22"/>
        <v>108</v>
      </c>
      <c r="D48" s="72">
        <f t="shared" si="23"/>
        <v>1026</v>
      </c>
      <c r="E48" s="67">
        <f>VLOOKUP(B48,'124+900 '!B30:AA628,3,FALSE)</f>
        <v>2350</v>
      </c>
      <c r="F48" s="67">
        <f t="shared" si="17"/>
        <v>3376</v>
      </c>
      <c r="G48" s="71">
        <f>VLOOKUP(B48,'124+900 '!$B$13:$AA$314,20,FALSE)</f>
        <v>743</v>
      </c>
      <c r="H48" s="71">
        <f>VLOOKUP(B48,'124+900 '!$B$13:$AA$314,4,FALSE)</f>
        <v>704</v>
      </c>
      <c r="I48" s="66">
        <f t="shared" si="18"/>
        <v>2672</v>
      </c>
      <c r="J48" s="66">
        <f>VLOOKUP(B48,'124+900 '!$B$13:$AA$314,13,FALSE)</f>
        <v>-328</v>
      </c>
      <c r="K48" s="70">
        <f t="shared" si="24"/>
        <v>-11</v>
      </c>
      <c r="L48" s="69">
        <f t="shared" si="25"/>
        <v>-207</v>
      </c>
      <c r="M48" s="68">
        <f>VLOOKUP(B48,'124+900 '!$B$13:$AA$314,21,FALSE)</f>
        <v>760</v>
      </c>
      <c r="N48" s="67">
        <f>VLOOKUP(B48,'124+900 '!$B$13:$AA$314,5,FALSE)</f>
        <v>699</v>
      </c>
      <c r="O48" s="66">
        <f t="shared" si="19"/>
        <v>2677</v>
      </c>
      <c r="P48" s="66">
        <f>VLOOKUP(B48,'124+900 '!$B$13:$AA$314,14,FALSE)</f>
        <v>-323</v>
      </c>
      <c r="Q48" s="70">
        <f t="shared" si="26"/>
        <v>-10</v>
      </c>
      <c r="R48" s="69">
        <f t="shared" si="27"/>
        <v>-200</v>
      </c>
      <c r="S48" s="68">
        <f>VLOOKUP(B48,'124+900 '!$B$13:$AA$314,22,FALSE)</f>
        <v>767</v>
      </c>
      <c r="T48" s="67">
        <f>VLOOKUP(B48,'124+900 '!$B$13:$AA$314,6,FALSE)</f>
        <v>687</v>
      </c>
      <c r="U48" s="66">
        <f t="shared" si="20"/>
        <v>2689</v>
      </c>
      <c r="V48" s="65">
        <f>VLOOKUP(B48,'124+900 '!$B$13:$AA$314,15,FALSE)</f>
        <v>-311</v>
      </c>
      <c r="W48" s="64">
        <f t="shared" si="28"/>
        <v>-10</v>
      </c>
      <c r="X48" s="63">
        <f t="shared" si="29"/>
        <v>-198</v>
      </c>
      <c r="Y48" s="62">
        <f t="shared" si="30"/>
        <v>-10</v>
      </c>
      <c r="Z48" s="61">
        <f t="shared" si="21"/>
        <v>0</v>
      </c>
      <c r="AA48" s="60">
        <f t="shared" si="31"/>
        <v>1.0629999999999999</v>
      </c>
      <c r="AB48" s="60">
        <f t="shared" si="32"/>
        <v>1.083</v>
      </c>
      <c r="AC48" s="53"/>
      <c r="AD48" s="53"/>
      <c r="AE48" s="84"/>
    </row>
    <row r="49" spans="1:31" s="83" customFormat="1" ht="15" customHeight="1">
      <c r="A49" s="85"/>
      <c r="B49" s="74">
        <f>'124+900 '!B49</f>
        <v>45357</v>
      </c>
      <c r="C49" s="73">
        <f t="shared" si="22"/>
        <v>114</v>
      </c>
      <c r="D49" s="72">
        <f t="shared" si="23"/>
        <v>1026</v>
      </c>
      <c r="E49" s="67">
        <f>VLOOKUP(B49,'124+900 '!B31:AA629,3,FALSE)</f>
        <v>2308</v>
      </c>
      <c r="F49" s="67">
        <f t="shared" si="17"/>
        <v>3334</v>
      </c>
      <c r="G49" s="71">
        <f>VLOOKUP(B49,'124+900 '!$B$13:$AA$314,20,FALSE)</f>
        <v>735</v>
      </c>
      <c r="H49" s="71">
        <f>VLOOKUP(B49,'124+900 '!$B$13:$AA$314,4,FALSE)</f>
        <v>670</v>
      </c>
      <c r="I49" s="66">
        <f t="shared" si="18"/>
        <v>2664</v>
      </c>
      <c r="J49" s="66">
        <f>VLOOKUP(B49,'124+900 '!$B$13:$AA$314,13,FALSE)</f>
        <v>-336</v>
      </c>
      <c r="K49" s="70">
        <f t="shared" si="24"/>
        <v>-8</v>
      </c>
      <c r="L49" s="69">
        <f t="shared" si="25"/>
        <v>-215</v>
      </c>
      <c r="M49" s="68">
        <f>VLOOKUP(B49,'124+900 '!$B$13:$AA$314,21,FALSE)</f>
        <v>752</v>
      </c>
      <c r="N49" s="67">
        <f>VLOOKUP(B49,'124+900 '!$B$13:$AA$314,5,FALSE)</f>
        <v>665</v>
      </c>
      <c r="O49" s="66">
        <f t="shared" si="19"/>
        <v>2669</v>
      </c>
      <c r="P49" s="66">
        <f>VLOOKUP(B49,'124+900 '!$B$13:$AA$314,14,FALSE)</f>
        <v>-331</v>
      </c>
      <c r="Q49" s="70">
        <f t="shared" si="26"/>
        <v>-8</v>
      </c>
      <c r="R49" s="69">
        <f t="shared" si="27"/>
        <v>-208</v>
      </c>
      <c r="S49" s="68">
        <f>VLOOKUP(B49,'124+900 '!$B$13:$AA$314,22,FALSE)</f>
        <v>759</v>
      </c>
      <c r="T49" s="67">
        <f>VLOOKUP(B49,'124+900 '!$B$13:$AA$314,6,FALSE)</f>
        <v>653</v>
      </c>
      <c r="U49" s="66">
        <f t="shared" si="20"/>
        <v>2681</v>
      </c>
      <c r="V49" s="65">
        <f>VLOOKUP(B49,'124+900 '!$B$13:$AA$314,15,FALSE)</f>
        <v>-319</v>
      </c>
      <c r="W49" s="64">
        <f t="shared" si="28"/>
        <v>-8</v>
      </c>
      <c r="X49" s="63">
        <f t="shared" si="29"/>
        <v>-206</v>
      </c>
      <c r="Y49" s="62">
        <f t="shared" si="30"/>
        <v>-8</v>
      </c>
      <c r="Z49" s="61">
        <f t="shared" si="21"/>
        <v>0</v>
      </c>
      <c r="AA49" s="60">
        <f t="shared" si="31"/>
        <v>1.0629999999999999</v>
      </c>
      <c r="AB49" s="60">
        <f t="shared" si="32"/>
        <v>1.083</v>
      </c>
      <c r="AC49" s="53"/>
      <c r="AD49" s="53"/>
      <c r="AE49" s="84"/>
    </row>
    <row r="50" spans="1:31" s="83" customFormat="1" ht="15" customHeight="1">
      <c r="A50" s="85"/>
      <c r="B50" s="74">
        <f>'124+900 '!B50</f>
        <v>45358</v>
      </c>
      <c r="C50" s="73">
        <f t="shared" si="22"/>
        <v>115</v>
      </c>
      <c r="D50" s="72">
        <f t="shared" si="23"/>
        <v>1026</v>
      </c>
      <c r="E50" s="67">
        <f>VLOOKUP(B50,'124+900 '!B32:AA630,3,FALSE)</f>
        <v>2208</v>
      </c>
      <c r="F50" s="67">
        <f t="shared" si="17"/>
        <v>3234</v>
      </c>
      <c r="G50" s="71">
        <f>VLOOKUP(B50,'124+900 '!$B$13:$AA$314,20,FALSE)</f>
        <v>730</v>
      </c>
      <c r="H50" s="71">
        <f>VLOOKUP(B50,'124+900 '!$B$13:$AA$314,4,FALSE)</f>
        <v>575</v>
      </c>
      <c r="I50" s="66">
        <f t="shared" si="18"/>
        <v>2659</v>
      </c>
      <c r="J50" s="66">
        <f>VLOOKUP(B50,'124+900 '!$B$13:$AA$314,13,FALSE)</f>
        <v>-341</v>
      </c>
      <c r="K50" s="70">
        <f t="shared" si="24"/>
        <v>-5</v>
      </c>
      <c r="L50" s="69">
        <f t="shared" si="25"/>
        <v>-220</v>
      </c>
      <c r="M50" s="68">
        <f>VLOOKUP(B50,'124+900 '!$B$13:$AA$314,21,FALSE)</f>
        <v>748</v>
      </c>
      <c r="N50" s="67">
        <f>VLOOKUP(B50,'124+900 '!$B$13:$AA$314,5,FALSE)</f>
        <v>569</v>
      </c>
      <c r="O50" s="66">
        <f t="shared" si="19"/>
        <v>2665</v>
      </c>
      <c r="P50" s="66">
        <f>VLOOKUP(B50,'124+900 '!$B$13:$AA$314,14,FALSE)</f>
        <v>-335</v>
      </c>
      <c r="Q50" s="70">
        <f t="shared" si="26"/>
        <v>-4</v>
      </c>
      <c r="R50" s="69">
        <f t="shared" si="27"/>
        <v>-212</v>
      </c>
      <c r="S50" s="68">
        <f>VLOOKUP(B50,'124+900 '!$B$13:$AA$314,22,FALSE)</f>
        <v>756</v>
      </c>
      <c r="T50" s="67">
        <f>VLOOKUP(B50,'124+900 '!$B$13:$AA$314,6,FALSE)</f>
        <v>556</v>
      </c>
      <c r="U50" s="66">
        <f t="shared" si="20"/>
        <v>2678</v>
      </c>
      <c r="V50" s="65">
        <f>VLOOKUP(B50,'124+900 '!$B$13:$AA$314,15,FALSE)</f>
        <v>-322</v>
      </c>
      <c r="W50" s="64">
        <f t="shared" si="28"/>
        <v>-3</v>
      </c>
      <c r="X50" s="63">
        <f t="shared" si="29"/>
        <v>-209</v>
      </c>
      <c r="Y50" s="62">
        <f t="shared" si="30"/>
        <v>-4</v>
      </c>
      <c r="Z50" s="61">
        <f t="shared" si="21"/>
        <v>0</v>
      </c>
      <c r="AA50" s="60">
        <f t="shared" si="31"/>
        <v>1.0629999999999999</v>
      </c>
      <c r="AB50" s="60">
        <f t="shared" si="32"/>
        <v>1.083</v>
      </c>
      <c r="AC50" s="53"/>
      <c r="AD50" s="53"/>
      <c r="AE50" s="84"/>
    </row>
    <row r="51" spans="1:31" s="83" customFormat="1" ht="15" customHeight="1">
      <c r="A51" s="85"/>
      <c r="B51" s="74">
        <f>'124+900 '!B51</f>
        <v>45359</v>
      </c>
      <c r="C51" s="73">
        <f t="shared" si="22"/>
        <v>116</v>
      </c>
      <c r="D51" s="72">
        <f t="shared" si="23"/>
        <v>1026</v>
      </c>
      <c r="E51" s="67">
        <f>VLOOKUP(B51,'124+900 '!B33:AA631,3,FALSE)</f>
        <v>2114</v>
      </c>
      <c r="F51" s="67">
        <f t="shared" si="17"/>
        <v>3140</v>
      </c>
      <c r="G51" s="71">
        <f>VLOOKUP(B51,'124+900 '!$B$13:$AA$314,20,FALSE)</f>
        <v>726</v>
      </c>
      <c r="H51" s="71">
        <f>VLOOKUP(B51,'124+900 '!$B$13:$AA$314,4,FALSE)</f>
        <v>485</v>
      </c>
      <c r="I51" s="66">
        <f t="shared" si="18"/>
        <v>2655</v>
      </c>
      <c r="J51" s="66">
        <f>VLOOKUP(B51,'124+900 '!$B$13:$AA$314,13,FALSE)</f>
        <v>-345</v>
      </c>
      <c r="K51" s="70">
        <f t="shared" si="24"/>
        <v>-4</v>
      </c>
      <c r="L51" s="69">
        <f t="shared" si="25"/>
        <v>-224</v>
      </c>
      <c r="M51" s="68">
        <f>VLOOKUP(B51,'124+900 '!$B$13:$AA$314,21,FALSE)</f>
        <v>744</v>
      </c>
      <c r="N51" s="67">
        <f>VLOOKUP(B51,'124+900 '!$B$13:$AA$314,5,FALSE)</f>
        <v>479</v>
      </c>
      <c r="O51" s="66">
        <f t="shared" si="19"/>
        <v>2661</v>
      </c>
      <c r="P51" s="66">
        <f>VLOOKUP(B51,'124+900 '!$B$13:$AA$314,14,FALSE)</f>
        <v>-339</v>
      </c>
      <c r="Q51" s="70">
        <f t="shared" si="26"/>
        <v>-4</v>
      </c>
      <c r="R51" s="69">
        <f t="shared" si="27"/>
        <v>-216</v>
      </c>
      <c r="S51" s="68">
        <f>VLOOKUP(B51,'124+900 '!$B$13:$AA$314,22,FALSE)</f>
        <v>753</v>
      </c>
      <c r="T51" s="67">
        <f>VLOOKUP(B51,'124+900 '!$B$13:$AA$314,6,FALSE)</f>
        <v>465</v>
      </c>
      <c r="U51" s="66">
        <f t="shared" si="20"/>
        <v>2675</v>
      </c>
      <c r="V51" s="65">
        <f>VLOOKUP(B51,'124+900 '!$B$13:$AA$314,15,FALSE)</f>
        <v>-325</v>
      </c>
      <c r="W51" s="64">
        <f t="shared" si="28"/>
        <v>-3</v>
      </c>
      <c r="X51" s="63">
        <f t="shared" si="29"/>
        <v>-212</v>
      </c>
      <c r="Y51" s="62">
        <f t="shared" si="30"/>
        <v>-4</v>
      </c>
      <c r="Z51" s="61">
        <f t="shared" si="21"/>
        <v>0</v>
      </c>
      <c r="AA51" s="60">
        <f t="shared" si="31"/>
        <v>1.0629999999999999</v>
      </c>
      <c r="AB51" s="60">
        <f t="shared" si="32"/>
        <v>1.083</v>
      </c>
      <c r="AC51" s="53"/>
      <c r="AD51" s="53"/>
      <c r="AE51" s="84"/>
    </row>
    <row r="52" spans="1:31" s="83" customFormat="1" ht="15" customHeight="1">
      <c r="A52" s="85"/>
      <c r="B52" s="74">
        <f>'124+900 '!B52</f>
        <v>45360</v>
      </c>
      <c r="C52" s="73">
        <f t="shared" si="22"/>
        <v>117</v>
      </c>
      <c r="D52" s="72">
        <f t="shared" si="23"/>
        <v>1026</v>
      </c>
      <c r="E52" s="67">
        <f>VLOOKUP(B52,'124+900 '!B34:AA632,3,FALSE)</f>
        <v>2408</v>
      </c>
      <c r="F52" s="67">
        <f t="shared" si="17"/>
        <v>3434</v>
      </c>
      <c r="G52" s="71">
        <f>VLOOKUP(B52,'124+900 '!$B$13:$AA$314,20,FALSE)</f>
        <v>1200</v>
      </c>
      <c r="H52" s="71">
        <f>VLOOKUP(B52,'124+900 '!$B$13:$AA$314,4,FALSE)</f>
        <v>789</v>
      </c>
      <c r="I52" s="66">
        <f t="shared" si="18"/>
        <v>2645</v>
      </c>
      <c r="J52" s="66">
        <f>VLOOKUP(B52,'124+900 '!$B$13:$AA$314,13,FALSE)</f>
        <v>-355</v>
      </c>
      <c r="K52" s="70">
        <f t="shared" si="24"/>
        <v>-10</v>
      </c>
      <c r="L52" s="69">
        <f t="shared" si="25"/>
        <v>-234</v>
      </c>
      <c r="M52" s="68">
        <f>VLOOKUP(B52,'124+900 '!$B$13:$AA$314,21,FALSE)</f>
        <v>1200</v>
      </c>
      <c r="N52" s="67">
        <f>VLOOKUP(B52,'124+900 '!$B$13:$AA$314,5,FALSE)</f>
        <v>779</v>
      </c>
      <c r="O52" s="66">
        <f t="shared" si="19"/>
        <v>2655</v>
      </c>
      <c r="P52" s="66">
        <f>VLOOKUP(B52,'124+900 '!$B$13:$AA$314,14,FALSE)</f>
        <v>-345</v>
      </c>
      <c r="Q52" s="70">
        <f t="shared" si="26"/>
        <v>-6</v>
      </c>
      <c r="R52" s="69">
        <f t="shared" si="27"/>
        <v>-222</v>
      </c>
      <c r="S52" s="68">
        <f>VLOOKUP(B52,'124+900 '!$B$13:$AA$314,22,FALSE)</f>
        <v>1200</v>
      </c>
      <c r="T52" s="67">
        <f>VLOOKUP(B52,'124+900 '!$B$13:$AA$314,6,FALSE)</f>
        <v>764</v>
      </c>
      <c r="U52" s="66">
        <f t="shared" si="20"/>
        <v>2670</v>
      </c>
      <c r="V52" s="65">
        <f>VLOOKUP(B52,'124+900 '!$B$13:$AA$314,15,FALSE)</f>
        <v>-330</v>
      </c>
      <c r="W52" s="64">
        <f t="shared" si="28"/>
        <v>-5</v>
      </c>
      <c r="X52" s="63">
        <f t="shared" si="29"/>
        <v>-217</v>
      </c>
      <c r="Y52" s="62">
        <f t="shared" si="30"/>
        <v>456</v>
      </c>
      <c r="Z52" s="61">
        <f t="shared" si="21"/>
        <v>0.45600000000000002</v>
      </c>
      <c r="AA52" s="60">
        <f t="shared" si="31"/>
        <v>1.5189999999999999</v>
      </c>
      <c r="AB52" s="60">
        <f t="shared" si="32"/>
        <v>1.5449999999999999</v>
      </c>
      <c r="AC52" s="53"/>
      <c r="AD52" s="53"/>
      <c r="AE52" s="84"/>
    </row>
    <row r="53" spans="1:31" s="83" customFormat="1" ht="15" customHeight="1">
      <c r="A53" s="85"/>
      <c r="B53" s="74">
        <f>'124+900 '!B53</f>
        <v>45361</v>
      </c>
      <c r="C53" s="73">
        <f t="shared" si="22"/>
        <v>118</v>
      </c>
      <c r="D53" s="72">
        <f t="shared" si="23"/>
        <v>1026</v>
      </c>
      <c r="E53" s="67">
        <f>VLOOKUP(B53,'124+900 '!B35:AA633,3,FALSE)</f>
        <v>2159</v>
      </c>
      <c r="F53" s="67">
        <f t="shared" si="17"/>
        <v>3185</v>
      </c>
      <c r="G53" s="71">
        <f>VLOOKUP(B53,'124+900 '!$B$13:$AA$314,20,FALSE)</f>
        <v>1190</v>
      </c>
      <c r="H53" s="71">
        <f>VLOOKUP(B53,'124+900 '!$B$13:$AA$314,4,FALSE)</f>
        <v>550</v>
      </c>
      <c r="I53" s="66">
        <f t="shared" si="18"/>
        <v>2635</v>
      </c>
      <c r="J53" s="66">
        <f>VLOOKUP(B53,'124+900 '!$B$13:$AA$314,13,FALSE)</f>
        <v>-365</v>
      </c>
      <c r="K53" s="70">
        <f t="shared" si="24"/>
        <v>-10</v>
      </c>
      <c r="L53" s="69">
        <f t="shared" si="25"/>
        <v>-244</v>
      </c>
      <c r="M53" s="68">
        <f>VLOOKUP(B53,'124+900 '!$B$13:$AA$314,21,FALSE)</f>
        <v>1194</v>
      </c>
      <c r="N53" s="67">
        <f>VLOOKUP(B53,'124+900 '!$B$13:$AA$314,5,FALSE)</f>
        <v>536</v>
      </c>
      <c r="O53" s="66">
        <f t="shared" si="19"/>
        <v>2649</v>
      </c>
      <c r="P53" s="66">
        <f>VLOOKUP(B53,'124+900 '!$B$13:$AA$314,14,FALSE)</f>
        <v>-351</v>
      </c>
      <c r="Q53" s="70">
        <f t="shared" si="26"/>
        <v>-6</v>
      </c>
      <c r="R53" s="69">
        <f t="shared" si="27"/>
        <v>-228</v>
      </c>
      <c r="S53" s="68">
        <f>VLOOKUP(B53,'124+900 '!$B$13:$AA$314,22,FALSE)</f>
        <v>1195</v>
      </c>
      <c r="T53" s="67">
        <f>VLOOKUP(B53,'124+900 '!$B$13:$AA$314,6,FALSE)</f>
        <v>520</v>
      </c>
      <c r="U53" s="66">
        <f t="shared" si="20"/>
        <v>2665</v>
      </c>
      <c r="V53" s="65">
        <f>VLOOKUP(B53,'124+900 '!$B$13:$AA$314,15,FALSE)</f>
        <v>-335</v>
      </c>
      <c r="W53" s="64">
        <f t="shared" si="28"/>
        <v>-5</v>
      </c>
      <c r="X53" s="63">
        <f t="shared" si="29"/>
        <v>-222</v>
      </c>
      <c r="Y53" s="62">
        <f t="shared" si="30"/>
        <v>-6</v>
      </c>
      <c r="Z53" s="61">
        <f t="shared" si="21"/>
        <v>0</v>
      </c>
      <c r="AA53" s="60">
        <f t="shared" si="31"/>
        <v>1.5189999999999999</v>
      </c>
      <c r="AB53" s="60">
        <f t="shared" si="32"/>
        <v>1.5449999999999999</v>
      </c>
      <c r="AC53" s="53"/>
      <c r="AD53" s="53"/>
      <c r="AE53" s="84"/>
    </row>
    <row r="54" spans="1:31" s="83" customFormat="1" ht="15" customHeight="1">
      <c r="A54" s="85"/>
      <c r="B54" s="74">
        <f>'124+900 '!B54</f>
        <v>45362</v>
      </c>
      <c r="C54" s="73">
        <f t="shared" si="22"/>
        <v>119</v>
      </c>
      <c r="D54" s="72">
        <f t="shared" si="23"/>
        <v>1026</v>
      </c>
      <c r="E54" s="67">
        <f>VLOOKUP(B54,'124+900 '!B36:AA634,3,FALSE)</f>
        <v>2438</v>
      </c>
      <c r="F54" s="67">
        <f t="shared" si="17"/>
        <v>3464</v>
      </c>
      <c r="G54" s="71">
        <f>VLOOKUP(B54,'124+900 '!$B$13:$AA$314,20,FALSE)</f>
        <v>1180</v>
      </c>
      <c r="H54" s="71">
        <f>VLOOKUP(B54,'124+900 '!$B$13:$AA$314,4,FALSE)</f>
        <v>839</v>
      </c>
      <c r="I54" s="66">
        <f t="shared" si="18"/>
        <v>2625</v>
      </c>
      <c r="J54" s="66">
        <f>VLOOKUP(B54,'124+900 '!$B$13:$AA$314,13,FALSE)</f>
        <v>-375</v>
      </c>
      <c r="K54" s="70">
        <f t="shared" si="24"/>
        <v>-10</v>
      </c>
      <c r="L54" s="69">
        <f t="shared" si="25"/>
        <v>-254</v>
      </c>
      <c r="M54" s="68">
        <f>VLOOKUP(B54,'124+900 '!$B$13:$AA$314,21,FALSE)</f>
        <v>1189</v>
      </c>
      <c r="N54" s="67">
        <f>VLOOKUP(B54,'124+900 '!$B$13:$AA$314,5,FALSE)</f>
        <v>820</v>
      </c>
      <c r="O54" s="66">
        <f t="shared" si="19"/>
        <v>2644</v>
      </c>
      <c r="P54" s="66">
        <f>VLOOKUP(B54,'124+900 '!$B$13:$AA$314,14,FALSE)</f>
        <v>-356</v>
      </c>
      <c r="Q54" s="70">
        <f t="shared" si="26"/>
        <v>-5</v>
      </c>
      <c r="R54" s="69">
        <f t="shared" si="27"/>
        <v>-233</v>
      </c>
      <c r="S54" s="68">
        <f>VLOOKUP(B54,'124+900 '!$B$13:$AA$314,22,FALSE)</f>
        <v>1190</v>
      </c>
      <c r="T54" s="67">
        <f>VLOOKUP(B54,'124+900 '!$B$13:$AA$314,6,FALSE)</f>
        <v>804</v>
      </c>
      <c r="U54" s="66">
        <f t="shared" si="20"/>
        <v>2660</v>
      </c>
      <c r="V54" s="65">
        <f>VLOOKUP(B54,'124+900 '!$B$13:$AA$314,15,FALSE)</f>
        <v>-340</v>
      </c>
      <c r="W54" s="64">
        <f t="shared" si="28"/>
        <v>-5</v>
      </c>
      <c r="X54" s="63">
        <f t="shared" si="29"/>
        <v>-227</v>
      </c>
      <c r="Y54" s="62">
        <f t="shared" si="30"/>
        <v>-5</v>
      </c>
      <c r="Z54" s="61">
        <f t="shared" si="21"/>
        <v>0</v>
      </c>
      <c r="AA54" s="60">
        <f t="shared" si="31"/>
        <v>1.5189999999999999</v>
      </c>
      <c r="AB54" s="60">
        <f t="shared" si="32"/>
        <v>1.5449999999999999</v>
      </c>
      <c r="AC54" s="53"/>
      <c r="AD54" s="53"/>
      <c r="AE54" s="84"/>
    </row>
    <row r="55" spans="1:31" s="83" customFormat="1" ht="15" customHeight="1">
      <c r="A55" s="85"/>
      <c r="B55" s="74">
        <f>'124+900 '!B55</f>
        <v>45363</v>
      </c>
      <c r="C55" s="73">
        <f t="shared" si="22"/>
        <v>120</v>
      </c>
      <c r="D55" s="72">
        <f t="shared" si="23"/>
        <v>1026</v>
      </c>
      <c r="E55" s="67">
        <f>VLOOKUP(B55,'124+900 '!B37:AA635,3,FALSE)</f>
        <v>2387</v>
      </c>
      <c r="F55" s="67">
        <f t="shared" si="17"/>
        <v>3413</v>
      </c>
      <c r="G55" s="71">
        <f>VLOOKUP(B55,'124+900 '!$B$13:$AA$314,20,FALSE)</f>
        <v>1170</v>
      </c>
      <c r="H55" s="71">
        <f>VLOOKUP(B55,'124+900 '!$B$13:$AA$314,4,FALSE)</f>
        <v>798</v>
      </c>
      <c r="I55" s="66">
        <f t="shared" si="18"/>
        <v>2615</v>
      </c>
      <c r="J55" s="66">
        <f>VLOOKUP(B55,'124+900 '!$B$13:$AA$314,13,FALSE)</f>
        <v>-385</v>
      </c>
      <c r="K55" s="70">
        <f t="shared" si="24"/>
        <v>-10</v>
      </c>
      <c r="L55" s="69">
        <f t="shared" si="25"/>
        <v>-264</v>
      </c>
      <c r="M55" s="68">
        <f>VLOOKUP(B55,'124+900 '!$B$13:$AA$314,21,FALSE)</f>
        <v>1183</v>
      </c>
      <c r="N55" s="67">
        <f>VLOOKUP(B55,'124+900 '!$B$13:$AA$314,5,FALSE)</f>
        <v>775</v>
      </c>
      <c r="O55" s="66">
        <f t="shared" si="19"/>
        <v>2638</v>
      </c>
      <c r="P55" s="66">
        <f>VLOOKUP(B55,'124+900 '!$B$13:$AA$314,14,FALSE)</f>
        <v>-362</v>
      </c>
      <c r="Q55" s="70">
        <f t="shared" si="26"/>
        <v>-6</v>
      </c>
      <c r="R55" s="69">
        <f t="shared" si="27"/>
        <v>-239</v>
      </c>
      <c r="S55" s="68">
        <f>VLOOKUP(B55,'124+900 '!$B$13:$AA$314,22,FALSE)</f>
        <v>1186</v>
      </c>
      <c r="T55" s="67">
        <f>VLOOKUP(B55,'124+900 '!$B$13:$AA$314,6,FALSE)</f>
        <v>757</v>
      </c>
      <c r="U55" s="66">
        <f t="shared" si="20"/>
        <v>2656</v>
      </c>
      <c r="V55" s="65">
        <f>VLOOKUP(B55,'124+900 '!$B$13:$AA$314,15,FALSE)</f>
        <v>-344</v>
      </c>
      <c r="W55" s="64">
        <f t="shared" si="28"/>
        <v>-4</v>
      </c>
      <c r="X55" s="63">
        <f t="shared" si="29"/>
        <v>-231</v>
      </c>
      <c r="Y55" s="62">
        <f t="shared" si="30"/>
        <v>-6</v>
      </c>
      <c r="Z55" s="61">
        <f t="shared" si="21"/>
        <v>0</v>
      </c>
      <c r="AA55" s="60">
        <f t="shared" si="31"/>
        <v>1.5189999999999999</v>
      </c>
      <c r="AB55" s="60">
        <f t="shared" si="32"/>
        <v>1.5449999999999999</v>
      </c>
      <c r="AC55" s="53"/>
      <c r="AD55" s="53"/>
      <c r="AE55" s="84"/>
    </row>
    <row r="56" spans="1:31" s="83" customFormat="1" ht="15" customHeight="1">
      <c r="A56" s="85"/>
      <c r="B56" s="74">
        <f>'124+900 '!B56</f>
        <v>45364</v>
      </c>
      <c r="C56" s="73">
        <f t="shared" si="22"/>
        <v>121</v>
      </c>
      <c r="D56" s="72">
        <f t="shared" si="23"/>
        <v>1026</v>
      </c>
      <c r="E56" s="67">
        <f>VLOOKUP(B56,'124+900 '!B38:AA636,3,FALSE)</f>
        <v>2293</v>
      </c>
      <c r="F56" s="67">
        <f t="shared" si="17"/>
        <v>3319</v>
      </c>
      <c r="G56" s="71">
        <f>VLOOKUP(B56,'124+900 '!$B$13:$AA$314,20,FALSE)</f>
        <v>1160</v>
      </c>
      <c r="H56" s="71">
        <f>VLOOKUP(B56,'124+900 '!$B$13:$AA$314,4,FALSE)</f>
        <v>714</v>
      </c>
      <c r="I56" s="66">
        <f t="shared" si="18"/>
        <v>2605</v>
      </c>
      <c r="J56" s="66">
        <f>VLOOKUP(B56,'124+900 '!$B$13:$AA$314,13,FALSE)</f>
        <v>-395</v>
      </c>
      <c r="K56" s="70">
        <f t="shared" si="24"/>
        <v>-10</v>
      </c>
      <c r="L56" s="69">
        <f t="shared" si="25"/>
        <v>-274</v>
      </c>
      <c r="M56" s="68">
        <f>VLOOKUP(B56,'124+900 '!$B$13:$AA$314,21,FALSE)</f>
        <v>1178</v>
      </c>
      <c r="N56" s="67">
        <f>VLOOKUP(B56,'124+900 '!$B$13:$AA$314,5,FALSE)</f>
        <v>686</v>
      </c>
      <c r="O56" s="66">
        <f t="shared" si="19"/>
        <v>2633</v>
      </c>
      <c r="P56" s="66">
        <f>VLOOKUP(B56,'124+900 '!$B$13:$AA$314,14,FALSE)</f>
        <v>-367</v>
      </c>
      <c r="Q56" s="70">
        <f t="shared" si="26"/>
        <v>-5</v>
      </c>
      <c r="R56" s="69">
        <f t="shared" si="27"/>
        <v>-244</v>
      </c>
      <c r="S56" s="68">
        <f>VLOOKUP(B56,'124+900 '!$B$13:$AA$314,22,FALSE)</f>
        <v>1181</v>
      </c>
      <c r="T56" s="67">
        <f>VLOOKUP(B56,'124+900 '!$B$13:$AA$314,6,FALSE)</f>
        <v>668</v>
      </c>
      <c r="U56" s="66">
        <f t="shared" si="20"/>
        <v>2651</v>
      </c>
      <c r="V56" s="65">
        <f>VLOOKUP(B56,'124+900 '!$B$13:$AA$314,15,FALSE)</f>
        <v>-349</v>
      </c>
      <c r="W56" s="64">
        <f t="shared" si="28"/>
        <v>-5</v>
      </c>
      <c r="X56" s="63">
        <f t="shared" si="29"/>
        <v>-236</v>
      </c>
      <c r="Y56" s="62">
        <f t="shared" si="30"/>
        <v>-5</v>
      </c>
      <c r="Z56" s="61">
        <f t="shared" si="21"/>
        <v>0</v>
      </c>
      <c r="AA56" s="60">
        <f t="shared" si="31"/>
        <v>1.5189999999999999</v>
      </c>
      <c r="AB56" s="60">
        <f t="shared" si="32"/>
        <v>1.5449999999999999</v>
      </c>
      <c r="AC56" s="53"/>
      <c r="AD56" s="53"/>
      <c r="AE56" s="84"/>
    </row>
    <row r="57" spans="1:31" s="83" customFormat="1" ht="15" customHeight="1">
      <c r="A57" s="85"/>
      <c r="B57" s="74">
        <f>'124+900 '!B57</f>
        <v>45365</v>
      </c>
      <c r="C57" s="73">
        <f t="shared" si="22"/>
        <v>122</v>
      </c>
      <c r="D57" s="72">
        <f t="shared" si="23"/>
        <v>1026</v>
      </c>
      <c r="E57" s="67">
        <f>VLOOKUP(B57,'124+900 '!B39:AA637,3,FALSE)</f>
        <v>2378</v>
      </c>
      <c r="F57" s="67">
        <f t="shared" si="17"/>
        <v>3404</v>
      </c>
      <c r="G57" s="71">
        <f>VLOOKUP(B57,'124+900 '!$B$13:$AA$314,20,FALSE)</f>
        <v>1150</v>
      </c>
      <c r="H57" s="71">
        <f>VLOOKUP(B57,'124+900 '!$B$13:$AA$314,4,FALSE)</f>
        <v>809</v>
      </c>
      <c r="I57" s="66">
        <f t="shared" si="18"/>
        <v>2595</v>
      </c>
      <c r="J57" s="66">
        <f>VLOOKUP(B57,'124+900 '!$B$13:$AA$314,13,FALSE)</f>
        <v>-405</v>
      </c>
      <c r="K57" s="70">
        <f t="shared" si="24"/>
        <v>-10</v>
      </c>
      <c r="L57" s="69">
        <f t="shared" si="25"/>
        <v>-284</v>
      </c>
      <c r="M57" s="68">
        <f>VLOOKUP(B57,'124+900 '!$B$13:$AA$314,21,FALSE)</f>
        <v>1172</v>
      </c>
      <c r="N57" s="67">
        <f>VLOOKUP(B57,'124+900 '!$B$13:$AA$314,5,FALSE)</f>
        <v>777</v>
      </c>
      <c r="O57" s="66">
        <f t="shared" si="19"/>
        <v>2627</v>
      </c>
      <c r="P57" s="66">
        <f>VLOOKUP(B57,'124+900 '!$B$13:$AA$314,14,FALSE)</f>
        <v>-373</v>
      </c>
      <c r="Q57" s="70">
        <f t="shared" si="26"/>
        <v>-6</v>
      </c>
      <c r="R57" s="69">
        <f t="shared" si="27"/>
        <v>-250</v>
      </c>
      <c r="S57" s="68">
        <f>VLOOKUP(B57,'124+900 '!$B$13:$AA$314,22,FALSE)</f>
        <v>1177</v>
      </c>
      <c r="T57" s="67">
        <f>VLOOKUP(B57,'124+900 '!$B$13:$AA$314,6,FALSE)</f>
        <v>757</v>
      </c>
      <c r="U57" s="66">
        <f t="shared" si="20"/>
        <v>2647</v>
      </c>
      <c r="V57" s="65">
        <f>VLOOKUP(B57,'124+900 '!$B$13:$AA$314,15,FALSE)</f>
        <v>-353</v>
      </c>
      <c r="W57" s="64">
        <f t="shared" si="28"/>
        <v>-4</v>
      </c>
      <c r="X57" s="63">
        <f t="shared" si="29"/>
        <v>-240</v>
      </c>
      <c r="Y57" s="62">
        <f t="shared" si="30"/>
        <v>-6</v>
      </c>
      <c r="Z57" s="61">
        <f t="shared" si="21"/>
        <v>0</v>
      </c>
      <c r="AA57" s="60">
        <f t="shared" si="31"/>
        <v>1.5189999999999999</v>
      </c>
      <c r="AB57" s="60">
        <f t="shared" si="32"/>
        <v>1.5449999999999999</v>
      </c>
      <c r="AC57" s="53"/>
      <c r="AD57" s="53"/>
      <c r="AE57" s="84"/>
    </row>
    <row r="58" spans="1:31" s="83" customFormat="1" ht="15" customHeight="1">
      <c r="A58" s="85"/>
      <c r="B58" s="74">
        <f>'124+900 '!B58</f>
        <v>45366</v>
      </c>
      <c r="C58" s="73">
        <f t="shared" si="22"/>
        <v>123</v>
      </c>
      <c r="D58" s="72">
        <f t="shared" si="23"/>
        <v>1026</v>
      </c>
      <c r="E58" s="67">
        <f>VLOOKUP(B58,'124+900 '!B40:AA638,3,FALSE)</f>
        <v>2297</v>
      </c>
      <c r="F58" s="67">
        <f t="shared" si="17"/>
        <v>3323</v>
      </c>
      <c r="G58" s="71">
        <f>VLOOKUP(B58,'124+900 '!$B$13:$AA$314,20,FALSE)</f>
        <v>1140</v>
      </c>
      <c r="H58" s="71">
        <f>VLOOKUP(B58,'124+900 '!$B$13:$AA$314,4,FALSE)</f>
        <v>738</v>
      </c>
      <c r="I58" s="66">
        <f t="shared" si="18"/>
        <v>2585</v>
      </c>
      <c r="J58" s="66">
        <f>VLOOKUP(B58,'124+900 '!$B$13:$AA$314,13,FALSE)</f>
        <v>-415</v>
      </c>
      <c r="K58" s="70">
        <f t="shared" si="24"/>
        <v>-10</v>
      </c>
      <c r="L58" s="69">
        <f t="shared" si="25"/>
        <v>-294</v>
      </c>
      <c r="M58" s="68">
        <f>VLOOKUP(B58,'124+900 '!$B$13:$AA$314,21,FALSE)</f>
        <v>1167</v>
      </c>
      <c r="N58" s="67">
        <f>VLOOKUP(B58,'124+900 '!$B$13:$AA$314,5,FALSE)</f>
        <v>701</v>
      </c>
      <c r="O58" s="66">
        <f t="shared" si="19"/>
        <v>2622</v>
      </c>
      <c r="P58" s="66">
        <f>VLOOKUP(B58,'124+900 '!$B$13:$AA$314,14,FALSE)</f>
        <v>-378</v>
      </c>
      <c r="Q58" s="70">
        <f t="shared" si="26"/>
        <v>-5</v>
      </c>
      <c r="R58" s="69">
        <f t="shared" si="27"/>
        <v>-255</v>
      </c>
      <c r="S58" s="68">
        <f>VLOOKUP(B58,'124+900 '!$B$13:$AA$314,22,FALSE)</f>
        <v>1172</v>
      </c>
      <c r="T58" s="67">
        <f>VLOOKUP(B58,'124+900 '!$B$13:$AA$314,6,FALSE)</f>
        <v>681</v>
      </c>
      <c r="U58" s="66">
        <f t="shared" si="20"/>
        <v>2642</v>
      </c>
      <c r="V58" s="65">
        <f>VLOOKUP(B58,'124+900 '!$B$13:$AA$314,15,FALSE)</f>
        <v>-358</v>
      </c>
      <c r="W58" s="64">
        <f t="shared" si="28"/>
        <v>-5</v>
      </c>
      <c r="X58" s="63">
        <f t="shared" si="29"/>
        <v>-245</v>
      </c>
      <c r="Y58" s="62">
        <f t="shared" si="30"/>
        <v>-5</v>
      </c>
      <c r="Z58" s="61">
        <f t="shared" si="21"/>
        <v>0</v>
      </c>
      <c r="AA58" s="60">
        <f t="shared" si="31"/>
        <v>1.5189999999999999</v>
      </c>
      <c r="AB58" s="60">
        <f t="shared" si="32"/>
        <v>1.5449999999999999</v>
      </c>
      <c r="AC58" s="53"/>
      <c r="AD58" s="53"/>
      <c r="AE58" s="84"/>
    </row>
    <row r="59" spans="1:31" s="83" customFormat="1" ht="15" customHeight="1">
      <c r="A59" s="85"/>
      <c r="B59" s="74">
        <f>'124+900 '!B59</f>
        <v>45367</v>
      </c>
      <c r="C59" s="73">
        <f t="shared" si="22"/>
        <v>124</v>
      </c>
      <c r="D59" s="72">
        <f t="shared" si="23"/>
        <v>1026</v>
      </c>
      <c r="E59" s="67">
        <f>VLOOKUP(B59,'124+900 '!B41:AA639,3,FALSE)</f>
        <v>2276</v>
      </c>
      <c r="F59" s="67">
        <f t="shared" si="17"/>
        <v>3302</v>
      </c>
      <c r="G59" s="71">
        <f>VLOOKUP(B59,'124+900 '!$B$13:$AA$314,20,FALSE)</f>
        <v>1130</v>
      </c>
      <c r="H59" s="71">
        <f>VLOOKUP(B59,'124+900 '!$B$13:$AA$314,4,FALSE)</f>
        <v>727</v>
      </c>
      <c r="I59" s="66">
        <f t="shared" si="18"/>
        <v>2575</v>
      </c>
      <c r="J59" s="66">
        <f>VLOOKUP(B59,'124+900 '!$B$13:$AA$314,13,FALSE)</f>
        <v>-425</v>
      </c>
      <c r="K59" s="70">
        <f t="shared" si="24"/>
        <v>-10</v>
      </c>
      <c r="L59" s="69">
        <f t="shared" si="25"/>
        <v>-304</v>
      </c>
      <c r="M59" s="68">
        <f>VLOOKUP(B59,'124+900 '!$B$13:$AA$314,21,FALSE)</f>
        <v>1161</v>
      </c>
      <c r="N59" s="67">
        <f>VLOOKUP(B59,'124+900 '!$B$13:$AA$314,5,FALSE)</f>
        <v>686</v>
      </c>
      <c r="O59" s="66">
        <f t="shared" si="19"/>
        <v>2616</v>
      </c>
      <c r="P59" s="66">
        <f>VLOOKUP(B59,'124+900 '!$B$13:$AA$314,14,FALSE)</f>
        <v>-384</v>
      </c>
      <c r="Q59" s="70">
        <f t="shared" si="26"/>
        <v>-6</v>
      </c>
      <c r="R59" s="69">
        <f t="shared" si="27"/>
        <v>-261</v>
      </c>
      <c r="S59" s="68">
        <f>VLOOKUP(B59,'124+900 '!$B$13:$AA$314,22,FALSE)</f>
        <v>1168</v>
      </c>
      <c r="T59" s="67">
        <f>VLOOKUP(B59,'124+900 '!$B$13:$AA$314,6,FALSE)</f>
        <v>664</v>
      </c>
      <c r="U59" s="66">
        <f t="shared" si="20"/>
        <v>2638</v>
      </c>
      <c r="V59" s="65">
        <f>VLOOKUP(B59,'124+900 '!$B$13:$AA$314,15,FALSE)</f>
        <v>-362</v>
      </c>
      <c r="W59" s="64">
        <f t="shared" si="28"/>
        <v>-4</v>
      </c>
      <c r="X59" s="63">
        <f t="shared" si="29"/>
        <v>-249</v>
      </c>
      <c r="Y59" s="62">
        <f t="shared" si="30"/>
        <v>-6</v>
      </c>
      <c r="Z59" s="61">
        <f t="shared" si="21"/>
        <v>0</v>
      </c>
      <c r="AA59" s="60">
        <f t="shared" si="31"/>
        <v>1.5189999999999999</v>
      </c>
      <c r="AB59" s="60">
        <f t="shared" si="32"/>
        <v>1.5449999999999999</v>
      </c>
      <c r="AC59" s="53"/>
      <c r="AD59" s="53"/>
      <c r="AE59" s="84"/>
    </row>
    <row r="60" spans="1:31" s="83" customFormat="1" ht="15" customHeight="1">
      <c r="A60" s="85"/>
      <c r="B60" s="74">
        <f>'124+900 '!B60</f>
        <v>45368</v>
      </c>
      <c r="C60" s="73">
        <f t="shared" si="22"/>
        <v>125</v>
      </c>
      <c r="D60" s="72">
        <f t="shared" si="23"/>
        <v>1026</v>
      </c>
      <c r="E60" s="67">
        <f>VLOOKUP(B60,'124+900 '!B41:AA640,3,FALSE)</f>
        <v>2250</v>
      </c>
      <c r="F60" s="67">
        <f t="shared" si="17"/>
        <v>3276</v>
      </c>
      <c r="G60" s="71">
        <f>VLOOKUP(B60,'124+900 '!$B$13:$AA$314,20,FALSE)</f>
        <v>1500</v>
      </c>
      <c r="H60" s="71">
        <f>VLOOKUP(B60,'124+900 '!$B$13:$AA$314,4,FALSE)</f>
        <v>711</v>
      </c>
      <c r="I60" s="66">
        <f t="shared" si="18"/>
        <v>2565</v>
      </c>
      <c r="J60" s="66">
        <f>VLOOKUP(B60,'124+900 '!$B$13:$AA$314,13,FALSE)</f>
        <v>-435</v>
      </c>
      <c r="K60" s="70">
        <f t="shared" si="24"/>
        <v>-10</v>
      </c>
      <c r="L60" s="69">
        <f t="shared" si="25"/>
        <v>-314</v>
      </c>
      <c r="M60" s="68">
        <f>VLOOKUP(B60,'124+900 '!$B$13:$AA$314,21,FALSE)</f>
        <v>1500</v>
      </c>
      <c r="N60" s="67">
        <f>VLOOKUP(B60,'124+900 '!$B$13:$AA$314,5,FALSE)</f>
        <v>670</v>
      </c>
      <c r="O60" s="66">
        <f t="shared" si="19"/>
        <v>2606</v>
      </c>
      <c r="P60" s="66">
        <f>VLOOKUP(B60,'124+900 '!$B$13:$AA$314,14,FALSE)</f>
        <v>-394</v>
      </c>
      <c r="Q60" s="70">
        <f t="shared" si="26"/>
        <v>-10</v>
      </c>
      <c r="R60" s="69">
        <f t="shared" si="27"/>
        <v>-271</v>
      </c>
      <c r="S60" s="68">
        <f>VLOOKUP(B60,'124+900 '!$B$13:$AA$314,22,FALSE)</f>
        <v>1500</v>
      </c>
      <c r="T60" s="67">
        <f>VLOOKUP(B60,'124+900 '!$B$13:$AA$314,6,FALSE)</f>
        <v>643</v>
      </c>
      <c r="U60" s="66">
        <f t="shared" si="20"/>
        <v>2633</v>
      </c>
      <c r="V60" s="65">
        <f>VLOOKUP(B60,'124+900 '!$B$13:$AA$314,15,FALSE)</f>
        <v>-367</v>
      </c>
      <c r="W60" s="64">
        <f t="shared" si="28"/>
        <v>-5</v>
      </c>
      <c r="X60" s="63">
        <f t="shared" si="29"/>
        <v>-254</v>
      </c>
      <c r="Y60" s="62">
        <f t="shared" si="30"/>
        <v>339</v>
      </c>
      <c r="Z60" s="61">
        <f t="shared" si="21"/>
        <v>0.33900000000000002</v>
      </c>
      <c r="AA60" s="60">
        <f t="shared" si="31"/>
        <v>1.8579999999999999</v>
      </c>
      <c r="AB60" s="60">
        <f t="shared" si="32"/>
        <v>1.8939999999999999</v>
      </c>
      <c r="AC60" s="53"/>
      <c r="AD60" s="53"/>
      <c r="AE60" s="84"/>
    </row>
    <row r="61" spans="1:31" s="83" customFormat="1" ht="15" customHeight="1">
      <c r="A61" s="85"/>
      <c r="B61" s="74">
        <f>'124+900 '!B61</f>
        <v>45369</v>
      </c>
      <c r="C61" s="73">
        <f t="shared" si="22"/>
        <v>126</v>
      </c>
      <c r="D61" s="72">
        <f t="shared" si="23"/>
        <v>1026</v>
      </c>
      <c r="E61" s="67">
        <f>VLOOKUP(B61,'124+900 '!B41:AA641,3,FALSE)</f>
        <v>2458</v>
      </c>
      <c r="F61" s="67">
        <f t="shared" si="17"/>
        <v>3484</v>
      </c>
      <c r="G61" s="71">
        <f>VLOOKUP(B61,'124+900 '!$B$13:$AA$314,20,FALSE)</f>
        <v>1490</v>
      </c>
      <c r="H61" s="71">
        <f>VLOOKUP(B61,'124+900 '!$B$13:$AA$314,4,FALSE)</f>
        <v>929</v>
      </c>
      <c r="I61" s="66">
        <f t="shared" si="18"/>
        <v>2555</v>
      </c>
      <c r="J61" s="66">
        <f>VLOOKUP(B61,'124+900 '!$B$13:$AA$314,13,FALSE)</f>
        <v>-445</v>
      </c>
      <c r="K61" s="70">
        <f t="shared" si="24"/>
        <v>-10</v>
      </c>
      <c r="L61" s="69">
        <f t="shared" si="25"/>
        <v>-324</v>
      </c>
      <c r="M61" s="68">
        <f>VLOOKUP(B61,'124+900 '!$B$13:$AA$314,21,FALSE)</f>
        <v>1490</v>
      </c>
      <c r="N61" s="67">
        <f>VLOOKUP(B61,'124+900 '!$B$13:$AA$314,5,FALSE)</f>
        <v>888</v>
      </c>
      <c r="O61" s="66">
        <f t="shared" si="19"/>
        <v>2596</v>
      </c>
      <c r="P61" s="66">
        <f>VLOOKUP(B61,'124+900 '!$B$13:$AA$314,14,FALSE)</f>
        <v>-404</v>
      </c>
      <c r="Q61" s="70">
        <f t="shared" si="26"/>
        <v>-10</v>
      </c>
      <c r="R61" s="69">
        <f t="shared" si="27"/>
        <v>-281</v>
      </c>
      <c r="S61" s="68">
        <f>VLOOKUP(B61,'124+900 '!$B$13:$AA$314,22,FALSE)</f>
        <v>1496</v>
      </c>
      <c r="T61" s="67">
        <f>VLOOKUP(B61,'124+900 '!$B$13:$AA$314,6,FALSE)</f>
        <v>855</v>
      </c>
      <c r="U61" s="66">
        <f t="shared" si="20"/>
        <v>2629</v>
      </c>
      <c r="V61" s="65">
        <f>VLOOKUP(B61,'124+900 '!$B$13:$AA$314,15,FALSE)</f>
        <v>-371</v>
      </c>
      <c r="W61" s="64">
        <f t="shared" si="28"/>
        <v>-4</v>
      </c>
      <c r="X61" s="63">
        <f t="shared" si="29"/>
        <v>-258</v>
      </c>
      <c r="Y61" s="62">
        <f t="shared" si="30"/>
        <v>-10</v>
      </c>
      <c r="Z61" s="61">
        <f t="shared" si="21"/>
        <v>0</v>
      </c>
      <c r="AA61" s="60">
        <f t="shared" si="31"/>
        <v>1.8579999999999999</v>
      </c>
      <c r="AB61" s="60">
        <f t="shared" si="32"/>
        <v>1.8939999999999999</v>
      </c>
      <c r="AC61" s="53"/>
      <c r="AD61" s="53"/>
      <c r="AE61" s="84"/>
    </row>
    <row r="62" spans="1:31" s="83" customFormat="1" ht="15" customHeight="1">
      <c r="A62" s="85"/>
      <c r="B62" s="74">
        <f>'124+900 '!B62</f>
        <v>45370</v>
      </c>
      <c r="C62" s="73">
        <f t="shared" si="22"/>
        <v>127</v>
      </c>
      <c r="D62" s="72">
        <f t="shared" si="23"/>
        <v>1026</v>
      </c>
      <c r="E62" s="67">
        <f>VLOOKUP(B62,'124+900 '!B41:AA642,3,FALSE)</f>
        <v>2108</v>
      </c>
      <c r="F62" s="67">
        <f t="shared" si="17"/>
        <v>3134</v>
      </c>
      <c r="G62" s="71">
        <f>VLOOKUP(B62,'124+900 '!$B$13:$AA$314,20,FALSE)</f>
        <v>1480</v>
      </c>
      <c r="H62" s="71">
        <f>VLOOKUP(B62,'124+900 '!$B$13:$AA$314,4,FALSE)</f>
        <v>589</v>
      </c>
      <c r="I62" s="66">
        <f t="shared" si="18"/>
        <v>2545</v>
      </c>
      <c r="J62" s="66">
        <f>VLOOKUP(B62,'124+900 '!$B$13:$AA$314,13,FALSE)</f>
        <v>-455</v>
      </c>
      <c r="K62" s="70">
        <f t="shared" si="24"/>
        <v>-10</v>
      </c>
      <c r="L62" s="69">
        <f t="shared" si="25"/>
        <v>-334</v>
      </c>
      <c r="M62" s="68">
        <f>VLOOKUP(B62,'124+900 '!$B$13:$AA$314,21,FALSE)</f>
        <v>1480</v>
      </c>
      <c r="N62" s="67">
        <f>VLOOKUP(B62,'124+900 '!$B$13:$AA$314,5,FALSE)</f>
        <v>548</v>
      </c>
      <c r="O62" s="66">
        <f t="shared" si="19"/>
        <v>2586</v>
      </c>
      <c r="P62" s="66">
        <f>VLOOKUP(B62,'124+900 '!$B$13:$AA$314,14,FALSE)</f>
        <v>-414</v>
      </c>
      <c r="Q62" s="70">
        <f t="shared" si="26"/>
        <v>-10</v>
      </c>
      <c r="R62" s="69">
        <f t="shared" si="27"/>
        <v>-291</v>
      </c>
      <c r="S62" s="68">
        <f>VLOOKUP(B62,'124+900 '!$B$13:$AA$314,22,FALSE)</f>
        <v>1491</v>
      </c>
      <c r="T62" s="67">
        <f>VLOOKUP(B62,'124+900 '!$B$13:$AA$314,6,FALSE)</f>
        <v>510</v>
      </c>
      <c r="U62" s="66">
        <f t="shared" si="20"/>
        <v>2624</v>
      </c>
      <c r="V62" s="65">
        <f>VLOOKUP(B62,'124+900 '!$B$13:$AA$314,15,FALSE)</f>
        <v>-376</v>
      </c>
      <c r="W62" s="64">
        <f t="shared" si="28"/>
        <v>-5</v>
      </c>
      <c r="X62" s="63">
        <f t="shared" si="29"/>
        <v>-263</v>
      </c>
      <c r="Y62" s="62">
        <f t="shared" si="30"/>
        <v>-10</v>
      </c>
      <c r="Z62" s="61">
        <f t="shared" si="21"/>
        <v>0</v>
      </c>
      <c r="AA62" s="60">
        <f t="shared" si="31"/>
        <v>1.8579999999999999</v>
      </c>
      <c r="AB62" s="60">
        <f t="shared" si="32"/>
        <v>1.8939999999999999</v>
      </c>
      <c r="AC62" s="53"/>
      <c r="AD62" s="53"/>
      <c r="AE62" s="84"/>
    </row>
    <row r="63" spans="1:31" s="83" customFormat="1" ht="15" customHeight="1">
      <c r="A63" s="85"/>
      <c r="B63" s="74">
        <f>'124+900 '!B63</f>
        <v>45371</v>
      </c>
      <c r="C63" s="73">
        <f t="shared" si="22"/>
        <v>128</v>
      </c>
      <c r="D63" s="72">
        <f t="shared" si="23"/>
        <v>1026</v>
      </c>
      <c r="E63" s="67">
        <f>VLOOKUP(B63,'124+900 '!B41:AA643,3,FALSE)</f>
        <v>2364</v>
      </c>
      <c r="F63" s="67">
        <f t="shared" si="17"/>
        <v>3390</v>
      </c>
      <c r="G63" s="71">
        <f>VLOOKUP(B63,'124+900 '!$B$13:$AA$314,20,FALSE)</f>
        <v>1470</v>
      </c>
      <c r="H63" s="71">
        <f>VLOOKUP(B63,'124+900 '!$B$13:$AA$314,4,FALSE)</f>
        <v>855</v>
      </c>
      <c r="I63" s="66">
        <f t="shared" si="18"/>
        <v>2535</v>
      </c>
      <c r="J63" s="66">
        <f>VLOOKUP(B63,'124+900 '!$B$13:$AA$314,13,FALSE)</f>
        <v>-465</v>
      </c>
      <c r="K63" s="70">
        <f t="shared" si="24"/>
        <v>-10</v>
      </c>
      <c r="L63" s="69">
        <f t="shared" si="25"/>
        <v>-344</v>
      </c>
      <c r="M63" s="68">
        <f>VLOOKUP(B63,'124+900 '!$B$13:$AA$314,21,FALSE)</f>
        <v>1470</v>
      </c>
      <c r="N63" s="67">
        <f>VLOOKUP(B63,'124+900 '!$B$13:$AA$314,5,FALSE)</f>
        <v>814</v>
      </c>
      <c r="O63" s="66">
        <f t="shared" si="19"/>
        <v>2576</v>
      </c>
      <c r="P63" s="66">
        <f>VLOOKUP(B63,'124+900 '!$B$13:$AA$314,14,FALSE)</f>
        <v>-424</v>
      </c>
      <c r="Q63" s="70">
        <f t="shared" si="26"/>
        <v>-10</v>
      </c>
      <c r="R63" s="69">
        <f t="shared" si="27"/>
        <v>-301</v>
      </c>
      <c r="S63" s="68">
        <f>VLOOKUP(B63,'124+900 '!$B$13:$AA$314,22,FALSE)</f>
        <v>1488</v>
      </c>
      <c r="T63" s="67">
        <f>VLOOKUP(B63,'124+900 '!$B$13:$AA$314,6,FALSE)</f>
        <v>769</v>
      </c>
      <c r="U63" s="66">
        <f t="shared" si="20"/>
        <v>2621</v>
      </c>
      <c r="V63" s="65">
        <f>VLOOKUP(B63,'124+900 '!$B$13:$AA$314,15,FALSE)</f>
        <v>-379</v>
      </c>
      <c r="W63" s="64">
        <f t="shared" si="28"/>
        <v>-3</v>
      </c>
      <c r="X63" s="63">
        <f t="shared" si="29"/>
        <v>-266</v>
      </c>
      <c r="Y63" s="62">
        <f t="shared" si="30"/>
        <v>-10</v>
      </c>
      <c r="Z63" s="61">
        <f t="shared" si="21"/>
        <v>0</v>
      </c>
      <c r="AA63" s="60">
        <f t="shared" si="31"/>
        <v>1.8579999999999999</v>
      </c>
      <c r="AB63" s="60">
        <f t="shared" si="32"/>
        <v>1.8939999999999999</v>
      </c>
      <c r="AC63" s="53"/>
      <c r="AD63" s="53"/>
      <c r="AE63" s="84"/>
    </row>
    <row r="64" spans="1:31" s="83" customFormat="1" ht="15" customHeight="1">
      <c r="A64" s="85"/>
      <c r="B64" s="74">
        <f>'124+900 '!B64</f>
        <v>45372</v>
      </c>
      <c r="C64" s="73">
        <f t="shared" si="22"/>
        <v>129</v>
      </c>
      <c r="D64" s="72">
        <f t="shared" si="23"/>
        <v>1026</v>
      </c>
      <c r="E64" s="67">
        <f>VLOOKUP(B64,'124+900 '!B41:AA644,3,FALSE)</f>
        <v>2357</v>
      </c>
      <c r="F64" s="67">
        <f t="shared" si="17"/>
        <v>3383</v>
      </c>
      <c r="G64" s="71">
        <f>VLOOKUP(B64,'124+900 '!$B$13:$AA$314,20,FALSE)</f>
        <v>1460</v>
      </c>
      <c r="H64" s="71">
        <f>VLOOKUP(B64,'124+900 '!$B$13:$AA$314,4,FALSE)</f>
        <v>858</v>
      </c>
      <c r="I64" s="66">
        <f t="shared" si="18"/>
        <v>2525</v>
      </c>
      <c r="J64" s="66">
        <f>VLOOKUP(B64,'124+900 '!$B$13:$AA$314,13,FALSE)</f>
        <v>-475</v>
      </c>
      <c r="K64" s="70">
        <f t="shared" si="24"/>
        <v>-10</v>
      </c>
      <c r="L64" s="69">
        <f t="shared" si="25"/>
        <v>-354</v>
      </c>
      <c r="M64" s="68">
        <f>VLOOKUP(B64,'124+900 '!$B$13:$AA$314,21,FALSE)</f>
        <v>1460</v>
      </c>
      <c r="N64" s="67">
        <f>VLOOKUP(B64,'124+900 '!$B$13:$AA$314,5,FALSE)</f>
        <v>817</v>
      </c>
      <c r="O64" s="66">
        <f t="shared" si="19"/>
        <v>2566</v>
      </c>
      <c r="P64" s="66">
        <f>VLOOKUP(B64,'124+900 '!$B$13:$AA$314,14,FALSE)</f>
        <v>-434</v>
      </c>
      <c r="Q64" s="70">
        <f t="shared" si="26"/>
        <v>-10</v>
      </c>
      <c r="R64" s="69">
        <f t="shared" si="27"/>
        <v>-311</v>
      </c>
      <c r="S64" s="68">
        <f>VLOOKUP(B64,'124+900 '!$B$13:$AA$314,22,FALSE)</f>
        <v>1483</v>
      </c>
      <c r="T64" s="67">
        <f>VLOOKUP(B64,'124+900 '!$B$13:$AA$314,6,FALSE)</f>
        <v>767</v>
      </c>
      <c r="U64" s="66">
        <f t="shared" si="20"/>
        <v>2616</v>
      </c>
      <c r="V64" s="65">
        <f>VLOOKUP(B64,'124+900 '!$B$13:$AA$314,15,FALSE)</f>
        <v>-384</v>
      </c>
      <c r="W64" s="64">
        <f t="shared" si="28"/>
        <v>-5</v>
      </c>
      <c r="X64" s="63">
        <f t="shared" si="29"/>
        <v>-271</v>
      </c>
      <c r="Y64" s="62">
        <f t="shared" si="30"/>
        <v>-10</v>
      </c>
      <c r="Z64" s="61">
        <f t="shared" si="21"/>
        <v>0</v>
      </c>
      <c r="AA64" s="60">
        <f t="shared" si="31"/>
        <v>1.8579999999999999</v>
      </c>
      <c r="AB64" s="60">
        <f t="shared" si="32"/>
        <v>1.8939999999999999</v>
      </c>
      <c r="AC64" s="53"/>
      <c r="AD64" s="53"/>
      <c r="AE64" s="84"/>
    </row>
    <row r="65" spans="1:32" s="83" customFormat="1" ht="15" customHeight="1">
      <c r="A65" s="85"/>
      <c r="B65" s="74">
        <f>'124+900 '!B65</f>
        <v>45373</v>
      </c>
      <c r="C65" s="73">
        <f t="shared" si="22"/>
        <v>130</v>
      </c>
      <c r="D65" s="72">
        <f t="shared" si="23"/>
        <v>1026</v>
      </c>
      <c r="E65" s="67">
        <f>VLOOKUP(B65,'124+900 '!B41:AA645,3,FALSE)</f>
        <v>2313</v>
      </c>
      <c r="F65" s="67">
        <f t="shared" si="17"/>
        <v>3339</v>
      </c>
      <c r="G65" s="71">
        <f>VLOOKUP(B65,'124+900 '!$B$13:$AA$314,20,FALSE)</f>
        <v>1450</v>
      </c>
      <c r="H65" s="71">
        <f>VLOOKUP(B65,'124+900 '!$B$13:$AA$314,4,FALSE)</f>
        <v>824</v>
      </c>
      <c r="I65" s="66">
        <f t="shared" si="18"/>
        <v>2515</v>
      </c>
      <c r="J65" s="66">
        <f>VLOOKUP(B65,'124+900 '!$B$13:$AA$314,13,FALSE)</f>
        <v>-485</v>
      </c>
      <c r="K65" s="70">
        <f t="shared" si="24"/>
        <v>-10</v>
      </c>
      <c r="L65" s="69">
        <f t="shared" si="25"/>
        <v>-364</v>
      </c>
      <c r="M65" s="68">
        <f>VLOOKUP(B65,'124+900 '!$B$13:$AA$314,21,FALSE)</f>
        <v>1450</v>
      </c>
      <c r="N65" s="67">
        <f>VLOOKUP(B65,'124+900 '!$B$13:$AA$314,5,FALSE)</f>
        <v>783</v>
      </c>
      <c r="O65" s="66">
        <f t="shared" si="19"/>
        <v>2556</v>
      </c>
      <c r="P65" s="66">
        <f>VLOOKUP(B65,'124+900 '!$B$13:$AA$314,14,FALSE)</f>
        <v>-444</v>
      </c>
      <c r="Q65" s="70">
        <f t="shared" si="26"/>
        <v>-10</v>
      </c>
      <c r="R65" s="69">
        <f t="shared" si="27"/>
        <v>-321</v>
      </c>
      <c r="S65" s="68">
        <f>VLOOKUP(B65,'124+900 '!$B$13:$AA$314,22,FALSE)</f>
        <v>1479</v>
      </c>
      <c r="T65" s="67">
        <f>VLOOKUP(B65,'124+900 '!$B$13:$AA$314,6,FALSE)</f>
        <v>727</v>
      </c>
      <c r="U65" s="66">
        <f t="shared" si="20"/>
        <v>2612</v>
      </c>
      <c r="V65" s="65">
        <f>VLOOKUP(B65,'124+900 '!$B$13:$AA$314,15,FALSE)</f>
        <v>-388</v>
      </c>
      <c r="W65" s="64">
        <f t="shared" si="28"/>
        <v>-4</v>
      </c>
      <c r="X65" s="63">
        <f t="shared" si="29"/>
        <v>-275</v>
      </c>
      <c r="Y65" s="62">
        <f t="shared" si="30"/>
        <v>-10</v>
      </c>
      <c r="Z65" s="61">
        <f t="shared" si="21"/>
        <v>0</v>
      </c>
      <c r="AA65" s="60">
        <f t="shared" si="31"/>
        <v>1.8579999999999999</v>
      </c>
      <c r="AB65" s="60">
        <f t="shared" si="32"/>
        <v>1.8939999999999999</v>
      </c>
      <c r="AC65" s="53"/>
      <c r="AD65" s="53"/>
      <c r="AE65" s="84"/>
    </row>
    <row r="66" spans="1:32" s="83" customFormat="1" ht="15" customHeight="1">
      <c r="A66" s="85"/>
      <c r="B66" s="74">
        <f>'124+900 '!B66</f>
        <v>45374</v>
      </c>
      <c r="C66" s="73">
        <f t="shared" si="22"/>
        <v>131</v>
      </c>
      <c r="D66" s="72">
        <f t="shared" si="23"/>
        <v>1026</v>
      </c>
      <c r="E66" s="67">
        <f>VLOOKUP(B66,'124+900 '!B41:AA646,3,FALSE)</f>
        <v>2234</v>
      </c>
      <c r="F66" s="67">
        <f t="shared" si="17"/>
        <v>3260</v>
      </c>
      <c r="G66" s="71">
        <f>VLOOKUP(B66,'124+900 '!$B$13:$AA$314,20,FALSE)</f>
        <v>1440</v>
      </c>
      <c r="H66" s="71">
        <f>VLOOKUP(B66,'124+900 '!$B$13:$AA$314,4,FALSE)</f>
        <v>755</v>
      </c>
      <c r="I66" s="66">
        <f t="shared" si="18"/>
        <v>2505</v>
      </c>
      <c r="J66" s="66">
        <f>VLOOKUP(B66,'124+900 '!$B$13:$AA$314,13,FALSE)</f>
        <v>-495</v>
      </c>
      <c r="K66" s="70">
        <f t="shared" si="24"/>
        <v>-10</v>
      </c>
      <c r="L66" s="69">
        <f t="shared" si="25"/>
        <v>-374</v>
      </c>
      <c r="M66" s="68">
        <f>VLOOKUP(B66,'124+900 '!$B$13:$AA$314,21,FALSE)</f>
        <v>1440</v>
      </c>
      <c r="N66" s="67">
        <f>VLOOKUP(B66,'124+900 '!$B$13:$AA$314,5,FALSE)</f>
        <v>714</v>
      </c>
      <c r="O66" s="66">
        <f t="shared" si="19"/>
        <v>2546</v>
      </c>
      <c r="P66" s="66">
        <f>VLOOKUP(B66,'124+900 '!$B$13:$AA$314,14,FALSE)</f>
        <v>-454</v>
      </c>
      <c r="Q66" s="70">
        <f t="shared" si="26"/>
        <v>-10</v>
      </c>
      <c r="R66" s="69">
        <f t="shared" si="27"/>
        <v>-331</v>
      </c>
      <c r="S66" s="68">
        <f>VLOOKUP(B66,'124+900 '!$B$13:$AA$314,22,FALSE)</f>
        <v>1474</v>
      </c>
      <c r="T66" s="67">
        <f>VLOOKUP(B66,'124+900 '!$B$13:$AA$314,6,FALSE)</f>
        <v>653</v>
      </c>
      <c r="U66" s="66">
        <f t="shared" si="20"/>
        <v>2607</v>
      </c>
      <c r="V66" s="65">
        <f>VLOOKUP(B66,'124+900 '!$B$13:$AA$314,15,FALSE)</f>
        <v>-393</v>
      </c>
      <c r="W66" s="64">
        <f t="shared" si="28"/>
        <v>-5</v>
      </c>
      <c r="X66" s="63">
        <f t="shared" si="29"/>
        <v>-280</v>
      </c>
      <c r="Y66" s="62">
        <f t="shared" si="30"/>
        <v>-10</v>
      </c>
      <c r="Z66" s="61">
        <f t="shared" si="21"/>
        <v>0</v>
      </c>
      <c r="AA66" s="60">
        <f t="shared" si="31"/>
        <v>1.8579999999999999</v>
      </c>
      <c r="AB66" s="60">
        <f t="shared" si="32"/>
        <v>1.8939999999999999</v>
      </c>
      <c r="AC66" s="53"/>
      <c r="AD66" s="53"/>
      <c r="AE66" s="84"/>
    </row>
    <row r="67" spans="1:32" s="83" customFormat="1" ht="15" customHeight="1">
      <c r="A67" s="85"/>
      <c r="B67" s="74">
        <f>'124+900 '!B67</f>
        <v>45375</v>
      </c>
      <c r="C67" s="73">
        <f t="shared" si="22"/>
        <v>132</v>
      </c>
      <c r="D67" s="72">
        <f t="shared" si="23"/>
        <v>1026</v>
      </c>
      <c r="E67" s="67">
        <f>VLOOKUP(B67,'124+900 '!B42:AA647,3,FALSE)</f>
        <v>2490</v>
      </c>
      <c r="F67" s="67">
        <f t="shared" si="17"/>
        <v>3516</v>
      </c>
      <c r="G67" s="71">
        <f>VLOOKUP(B67,'124+900 '!$B$13:$AA$314,20,FALSE)</f>
        <v>1430</v>
      </c>
      <c r="H67" s="71">
        <f>VLOOKUP(B67,'124+900 '!$B$13:$AA$314,4,FALSE)</f>
        <v>1021</v>
      </c>
      <c r="I67" s="66">
        <f t="shared" si="18"/>
        <v>2495</v>
      </c>
      <c r="J67" s="66">
        <f>VLOOKUP(B67,'124+900 '!$B$13:$AA$314,13,FALSE)</f>
        <v>-505</v>
      </c>
      <c r="K67" s="70">
        <f t="shared" si="24"/>
        <v>-10</v>
      </c>
      <c r="L67" s="69">
        <f t="shared" si="25"/>
        <v>-384</v>
      </c>
      <c r="M67" s="68">
        <f>VLOOKUP(B67,'124+900 '!$B$13:$AA$314,21,FALSE)</f>
        <v>1430</v>
      </c>
      <c r="N67" s="67">
        <f>VLOOKUP(B67,'124+900 '!$B$13:$AA$314,5,FALSE)</f>
        <v>980</v>
      </c>
      <c r="O67" s="66">
        <f t="shared" si="19"/>
        <v>2536</v>
      </c>
      <c r="P67" s="66">
        <f>VLOOKUP(B67,'124+900 '!$B$13:$AA$314,14,FALSE)</f>
        <v>-464</v>
      </c>
      <c r="Q67" s="70">
        <f t="shared" si="26"/>
        <v>-10</v>
      </c>
      <c r="R67" s="69">
        <f t="shared" si="27"/>
        <v>-341</v>
      </c>
      <c r="S67" s="68">
        <f>VLOOKUP(B67,'124+900 '!$B$13:$AA$314,22,FALSE)</f>
        <v>1470</v>
      </c>
      <c r="T67" s="67">
        <f>VLOOKUP(B67,'124+900 '!$B$13:$AA$314,6,FALSE)</f>
        <v>913</v>
      </c>
      <c r="U67" s="66">
        <f t="shared" si="20"/>
        <v>2603</v>
      </c>
      <c r="V67" s="65">
        <f>VLOOKUP(B67,'124+900 '!$B$13:$AA$314,15,FALSE)</f>
        <v>-397</v>
      </c>
      <c r="W67" s="64">
        <f t="shared" si="28"/>
        <v>-4</v>
      </c>
      <c r="X67" s="63">
        <f t="shared" si="29"/>
        <v>-284</v>
      </c>
      <c r="Y67" s="62">
        <f t="shared" si="30"/>
        <v>-10</v>
      </c>
      <c r="Z67" s="61">
        <f t="shared" si="21"/>
        <v>0</v>
      </c>
      <c r="AA67" s="60">
        <f t="shared" si="31"/>
        <v>1.8579999999999999</v>
      </c>
      <c r="AB67" s="60">
        <f t="shared" si="32"/>
        <v>1.8939999999999999</v>
      </c>
      <c r="AC67" s="53"/>
      <c r="AD67" s="53"/>
      <c r="AE67" s="84"/>
    </row>
    <row r="68" spans="1:32" s="83" customFormat="1" ht="15" customHeight="1">
      <c r="A68" s="85"/>
      <c r="B68" s="74">
        <f>'124+900 '!B68</f>
        <v>45376</v>
      </c>
      <c r="C68" s="73">
        <f t="shared" si="22"/>
        <v>133</v>
      </c>
      <c r="D68" s="72">
        <f t="shared" si="23"/>
        <v>1026</v>
      </c>
      <c r="E68" s="67">
        <f>VLOOKUP(B68,'124+900 '!B43:AA648,3,FALSE)</f>
        <v>2833</v>
      </c>
      <c r="F68" s="67">
        <f t="shared" si="17"/>
        <v>3859</v>
      </c>
      <c r="G68" s="71">
        <f>VLOOKUP(B68,'124+900 '!$B$13:$AA$314,20,FALSE)</f>
        <v>1420</v>
      </c>
      <c r="H68" s="71">
        <f>VLOOKUP(B68,'124+900 '!$B$13:$AA$314,4,FALSE)</f>
        <v>1374</v>
      </c>
      <c r="I68" s="66">
        <f t="shared" si="18"/>
        <v>2485</v>
      </c>
      <c r="J68" s="66">
        <f>VLOOKUP(B68,'124+900 '!$B$13:$AA$314,13,FALSE)</f>
        <v>-515</v>
      </c>
      <c r="K68" s="70">
        <f t="shared" si="24"/>
        <v>-10</v>
      </c>
      <c r="L68" s="69">
        <f t="shared" si="25"/>
        <v>-394</v>
      </c>
      <c r="M68" s="68">
        <f>VLOOKUP(B68,'124+900 '!$B$13:$AA$314,21,FALSE)</f>
        <v>1420</v>
      </c>
      <c r="N68" s="67">
        <f>VLOOKUP(B68,'124+900 '!$B$13:$AA$314,5,FALSE)</f>
        <v>1333</v>
      </c>
      <c r="O68" s="66">
        <f t="shared" si="19"/>
        <v>2526</v>
      </c>
      <c r="P68" s="66">
        <f>VLOOKUP(B68,'124+900 '!$B$13:$AA$314,14,FALSE)</f>
        <v>-474</v>
      </c>
      <c r="Q68" s="70">
        <f t="shared" si="26"/>
        <v>-10</v>
      </c>
      <c r="R68" s="69">
        <f t="shared" si="27"/>
        <v>-351</v>
      </c>
      <c r="S68" s="68">
        <f>VLOOKUP(B68,'124+900 '!$B$13:$AA$314,22,FALSE)</f>
        <v>1467</v>
      </c>
      <c r="T68" s="67">
        <f>VLOOKUP(B68,'124+900 '!$B$13:$AA$314,6,FALSE)</f>
        <v>1259</v>
      </c>
      <c r="U68" s="66">
        <f t="shared" si="20"/>
        <v>2600</v>
      </c>
      <c r="V68" s="65">
        <f>VLOOKUP(B68,'124+900 '!$B$13:$AA$314,15,FALSE)</f>
        <v>-400</v>
      </c>
      <c r="W68" s="64">
        <f t="shared" si="28"/>
        <v>-3</v>
      </c>
      <c r="X68" s="63">
        <f t="shared" si="29"/>
        <v>-287</v>
      </c>
      <c r="Y68" s="62">
        <f t="shared" si="30"/>
        <v>-10</v>
      </c>
      <c r="Z68" s="61">
        <f t="shared" si="21"/>
        <v>0</v>
      </c>
      <c r="AA68" s="60">
        <f t="shared" si="31"/>
        <v>1.8579999999999999</v>
      </c>
      <c r="AB68" s="60">
        <f t="shared" si="32"/>
        <v>1.8939999999999999</v>
      </c>
      <c r="AC68" s="53"/>
      <c r="AD68" s="53"/>
      <c r="AE68" s="84"/>
    </row>
    <row r="69" spans="1:32" s="83" customFormat="1" ht="15" customHeight="1">
      <c r="A69" s="85"/>
      <c r="B69" s="74">
        <f>'124+900 '!B69</f>
        <v>45377</v>
      </c>
      <c r="C69" s="73">
        <f t="shared" si="22"/>
        <v>134</v>
      </c>
      <c r="D69" s="72">
        <f t="shared" si="23"/>
        <v>1026</v>
      </c>
      <c r="E69" s="67">
        <f>VLOOKUP(B69,'124+900 '!B44:AA649,3,FALSE)</f>
        <v>2819</v>
      </c>
      <c r="F69" s="67">
        <f t="shared" si="17"/>
        <v>3845</v>
      </c>
      <c r="G69" s="71">
        <f>VLOOKUP(B69,'124+900 '!$B$13:$AA$314,20,FALSE)</f>
        <v>1800</v>
      </c>
      <c r="H69" s="71">
        <f>VLOOKUP(B69,'124+900 '!$B$13:$AA$314,4,FALSE)</f>
        <v>1370</v>
      </c>
      <c r="I69" s="66">
        <f t="shared" si="18"/>
        <v>2475</v>
      </c>
      <c r="J69" s="66">
        <f>VLOOKUP(B69,'124+900 '!$B$13:$AA$314,13,FALSE)</f>
        <v>-525</v>
      </c>
      <c r="K69" s="70">
        <f t="shared" si="24"/>
        <v>-10</v>
      </c>
      <c r="L69" s="69">
        <f t="shared" si="25"/>
        <v>-404</v>
      </c>
      <c r="M69" s="68">
        <f>VLOOKUP(B69,'124+900 '!$B$13:$AA$314,21,FALSE)</f>
        <v>1800</v>
      </c>
      <c r="N69" s="67">
        <f>VLOOKUP(B69,'124+900 '!$B$13:$AA$314,5,FALSE)</f>
        <v>1329</v>
      </c>
      <c r="O69" s="66">
        <f t="shared" si="19"/>
        <v>2516</v>
      </c>
      <c r="P69" s="66">
        <f>VLOOKUP(B69,'124+900 '!$B$13:$AA$314,14,FALSE)</f>
        <v>-484</v>
      </c>
      <c r="Q69" s="70">
        <f t="shared" si="26"/>
        <v>-10</v>
      </c>
      <c r="R69" s="69">
        <f t="shared" si="27"/>
        <v>-361</v>
      </c>
      <c r="S69" s="68">
        <f>VLOOKUP(B69,'124+900 '!$B$13:$AA$314,22,FALSE)</f>
        <v>1800</v>
      </c>
      <c r="T69" s="67">
        <f>VLOOKUP(B69,'124+900 '!$B$13:$AA$314,6,FALSE)</f>
        <v>1249</v>
      </c>
      <c r="U69" s="66">
        <f t="shared" si="20"/>
        <v>2596</v>
      </c>
      <c r="V69" s="65">
        <f>VLOOKUP(B69,'124+900 '!$B$13:$AA$314,15,FALSE)</f>
        <v>-404</v>
      </c>
      <c r="W69" s="64">
        <f t="shared" si="28"/>
        <v>-4</v>
      </c>
      <c r="X69" s="63">
        <f t="shared" si="29"/>
        <v>-291</v>
      </c>
      <c r="Y69" s="62">
        <f t="shared" si="30"/>
        <v>380</v>
      </c>
      <c r="Z69" s="61">
        <f t="shared" si="21"/>
        <v>0.38</v>
      </c>
      <c r="AA69" s="60">
        <f t="shared" si="31"/>
        <v>2.238</v>
      </c>
      <c r="AB69" s="60">
        <f t="shared" si="32"/>
        <v>2.2839999999999998</v>
      </c>
      <c r="AC69" s="53"/>
      <c r="AD69" s="53"/>
      <c r="AE69" s="84"/>
    </row>
    <row r="70" spans="1:32" s="83" customFormat="1" ht="15" customHeight="1">
      <c r="A70" s="85"/>
      <c r="B70" s="74">
        <f>'124+900 '!B70</f>
        <v>45380</v>
      </c>
      <c r="C70" s="73">
        <f t="shared" si="22"/>
        <v>137</v>
      </c>
      <c r="D70" s="72">
        <f t="shared" si="23"/>
        <v>1026</v>
      </c>
      <c r="E70" s="67">
        <f>VLOOKUP(B70,'124+900 '!B45:AA650,3,FALSE)</f>
        <v>2701</v>
      </c>
      <c r="F70" s="67">
        <f t="shared" si="17"/>
        <v>3727</v>
      </c>
      <c r="G70" s="71">
        <f>VLOOKUP(B70,'124+900 '!$B$13:$AA$314,20,FALSE)</f>
        <v>1790</v>
      </c>
      <c r="H70" s="71">
        <f>VLOOKUP(B70,'124+900 '!$B$13:$AA$314,4,FALSE)</f>
        <v>1262</v>
      </c>
      <c r="I70" s="66">
        <f t="shared" si="18"/>
        <v>2465</v>
      </c>
      <c r="J70" s="66">
        <f>VLOOKUP(B70,'124+900 '!$B$13:$AA$314,13,FALSE)</f>
        <v>-535</v>
      </c>
      <c r="K70" s="70">
        <f t="shared" si="24"/>
        <v>-10</v>
      </c>
      <c r="L70" s="69">
        <f t="shared" si="25"/>
        <v>-414</v>
      </c>
      <c r="M70" s="68">
        <f>VLOOKUP(B70,'124+900 '!$B$13:$AA$314,21,FALSE)</f>
        <v>1790</v>
      </c>
      <c r="N70" s="67">
        <f>VLOOKUP(B70,'124+900 '!$B$13:$AA$314,5,FALSE)</f>
        <v>1221</v>
      </c>
      <c r="O70" s="66">
        <f t="shared" si="19"/>
        <v>2506</v>
      </c>
      <c r="P70" s="66">
        <f>VLOOKUP(B70,'124+900 '!$B$13:$AA$314,14,FALSE)</f>
        <v>-494</v>
      </c>
      <c r="Q70" s="70">
        <f t="shared" si="26"/>
        <v>-10</v>
      </c>
      <c r="R70" s="69">
        <f t="shared" si="27"/>
        <v>-371</v>
      </c>
      <c r="S70" s="68">
        <f>VLOOKUP(B70,'124+900 '!$B$13:$AA$314,22,FALSE)</f>
        <v>1790</v>
      </c>
      <c r="T70" s="67">
        <f>VLOOKUP(B70,'124+900 '!$B$13:$AA$314,6,FALSE)</f>
        <v>1141</v>
      </c>
      <c r="U70" s="66">
        <f t="shared" si="20"/>
        <v>2586</v>
      </c>
      <c r="V70" s="65">
        <f>VLOOKUP(B70,'124+900 '!$B$13:$AA$314,15,FALSE)</f>
        <v>-414</v>
      </c>
      <c r="W70" s="64">
        <f t="shared" si="28"/>
        <v>-10</v>
      </c>
      <c r="X70" s="63">
        <f t="shared" si="29"/>
        <v>-301</v>
      </c>
      <c r="Y70" s="62">
        <f t="shared" si="30"/>
        <v>-10</v>
      </c>
      <c r="Z70" s="61">
        <f t="shared" si="21"/>
        <v>0</v>
      </c>
      <c r="AA70" s="60">
        <f t="shared" si="31"/>
        <v>2.238</v>
      </c>
      <c r="AB70" s="60">
        <f t="shared" si="32"/>
        <v>2.2839999999999998</v>
      </c>
      <c r="AC70" s="53"/>
      <c r="AD70" s="53"/>
      <c r="AE70" s="84"/>
    </row>
    <row r="71" spans="1:32" s="83" customFormat="1" ht="15" customHeight="1">
      <c r="A71" s="85"/>
      <c r="B71" s="74">
        <f>'124+900 '!B71</f>
        <v>45384</v>
      </c>
      <c r="C71" s="73">
        <f t="shared" si="22"/>
        <v>141</v>
      </c>
      <c r="D71" s="72">
        <f t="shared" si="23"/>
        <v>1026</v>
      </c>
      <c r="E71" s="67">
        <f>VLOOKUP(B71,'124+900 '!B46:AA651,3,FALSE)</f>
        <v>2783</v>
      </c>
      <c r="F71" s="67">
        <f t="shared" si="17"/>
        <v>3809</v>
      </c>
      <c r="G71" s="71">
        <f>VLOOKUP(B71,'124+900 '!$B$13:$AA$314,20,FALSE)</f>
        <v>1776</v>
      </c>
      <c r="H71" s="71">
        <f>VLOOKUP(B71,'124+900 '!$B$13:$AA$314,4,FALSE)</f>
        <v>1358</v>
      </c>
      <c r="I71" s="66">
        <f t="shared" si="18"/>
        <v>2451</v>
      </c>
      <c r="J71" s="66">
        <f>VLOOKUP(B71,'124+900 '!$B$13:$AA$314,13,FALSE)</f>
        <v>-549</v>
      </c>
      <c r="K71" s="70">
        <f t="shared" si="24"/>
        <v>-14</v>
      </c>
      <c r="L71" s="69">
        <f t="shared" si="25"/>
        <v>-428</v>
      </c>
      <c r="M71" s="68">
        <f>VLOOKUP(B71,'124+900 '!$B$13:$AA$314,21,FALSE)</f>
        <v>1774</v>
      </c>
      <c r="N71" s="67">
        <f>VLOOKUP(B71,'124+900 '!$B$13:$AA$314,5,FALSE)</f>
        <v>1319</v>
      </c>
      <c r="O71" s="66">
        <f t="shared" si="19"/>
        <v>2490</v>
      </c>
      <c r="P71" s="66">
        <f>VLOOKUP(B71,'124+900 '!$B$13:$AA$314,14,FALSE)</f>
        <v>-510</v>
      </c>
      <c r="Q71" s="70">
        <f t="shared" si="26"/>
        <v>-16</v>
      </c>
      <c r="R71" s="69">
        <f t="shared" si="27"/>
        <v>-387</v>
      </c>
      <c r="S71" s="68">
        <f>VLOOKUP(B71,'124+900 '!$B$13:$AA$314,22,FALSE)</f>
        <v>1776</v>
      </c>
      <c r="T71" s="67">
        <f>VLOOKUP(B71,'124+900 '!$B$13:$AA$314,6,FALSE)</f>
        <v>1237</v>
      </c>
      <c r="U71" s="66">
        <f t="shared" si="20"/>
        <v>2572</v>
      </c>
      <c r="V71" s="65">
        <f>VLOOKUP(B71,'124+900 '!$B$13:$AA$314,15,FALSE)</f>
        <v>-428</v>
      </c>
      <c r="W71" s="64">
        <f t="shared" si="28"/>
        <v>-14</v>
      </c>
      <c r="X71" s="63">
        <f t="shared" si="29"/>
        <v>-315</v>
      </c>
      <c r="Y71" s="62">
        <f t="shared" si="30"/>
        <v>-16</v>
      </c>
      <c r="Z71" s="61">
        <f t="shared" si="21"/>
        <v>0</v>
      </c>
      <c r="AA71" s="60">
        <f t="shared" si="31"/>
        <v>2.238</v>
      </c>
      <c r="AB71" s="60">
        <f t="shared" si="32"/>
        <v>2.2839999999999998</v>
      </c>
      <c r="AC71" s="53"/>
      <c r="AD71" s="53"/>
      <c r="AE71" s="84"/>
    </row>
    <row r="72" spans="1:32" s="83" customFormat="1" ht="15" customHeight="1">
      <c r="A72" s="85"/>
      <c r="B72" s="74">
        <f>'124+900 '!B72</f>
        <v>45391</v>
      </c>
      <c r="C72" s="73">
        <f t="shared" si="22"/>
        <v>148</v>
      </c>
      <c r="D72" s="72">
        <f t="shared" si="23"/>
        <v>1026</v>
      </c>
      <c r="E72" s="67">
        <f>VLOOKUP(B72,'124+900 '!B47:AA652,3,FALSE)</f>
        <v>2753</v>
      </c>
      <c r="F72" s="67">
        <f t="shared" si="17"/>
        <v>3779</v>
      </c>
      <c r="G72" s="71">
        <f>VLOOKUP(B72,'124+900 '!$B$13:$AA$314,20,FALSE)</f>
        <v>1761</v>
      </c>
      <c r="H72" s="71">
        <f>VLOOKUP(B72,'124+900 '!$B$13:$AA$314,4,FALSE)</f>
        <v>1343</v>
      </c>
      <c r="I72" s="66">
        <f t="shared" si="18"/>
        <v>2436</v>
      </c>
      <c r="J72" s="66">
        <f>VLOOKUP(B72,'124+900 '!$B$13:$AA$314,13,FALSE)</f>
        <v>-564</v>
      </c>
      <c r="K72" s="70">
        <f t="shared" si="24"/>
        <v>-15</v>
      </c>
      <c r="L72" s="69">
        <f t="shared" si="25"/>
        <v>-443</v>
      </c>
      <c r="M72" s="68">
        <f>VLOOKUP(B72,'124+900 '!$B$13:$AA$314,21,FALSE)</f>
        <v>1743</v>
      </c>
      <c r="N72" s="67">
        <f>VLOOKUP(B72,'124+900 '!$B$13:$AA$314,5,FALSE)</f>
        <v>1320</v>
      </c>
      <c r="O72" s="66">
        <f t="shared" si="19"/>
        <v>2459</v>
      </c>
      <c r="P72" s="66">
        <f>VLOOKUP(B72,'124+900 '!$B$13:$AA$314,14,FALSE)</f>
        <v>-541</v>
      </c>
      <c r="Q72" s="70">
        <f t="shared" si="26"/>
        <v>-31</v>
      </c>
      <c r="R72" s="69">
        <f t="shared" si="27"/>
        <v>-418</v>
      </c>
      <c r="S72" s="68">
        <f>VLOOKUP(B72,'124+900 '!$B$13:$AA$314,22,FALSE)</f>
        <v>1750</v>
      </c>
      <c r="T72" s="67">
        <f>VLOOKUP(B72,'124+900 '!$B$13:$AA$314,6,FALSE)</f>
        <v>1233</v>
      </c>
      <c r="U72" s="66">
        <f t="shared" si="20"/>
        <v>2546</v>
      </c>
      <c r="V72" s="65">
        <f>VLOOKUP(B72,'124+900 '!$B$13:$AA$314,15,FALSE)</f>
        <v>-454</v>
      </c>
      <c r="W72" s="64">
        <f t="shared" si="28"/>
        <v>-26</v>
      </c>
      <c r="X72" s="63">
        <f t="shared" si="29"/>
        <v>-341</v>
      </c>
      <c r="Y72" s="62">
        <f t="shared" si="30"/>
        <v>-31</v>
      </c>
      <c r="Z72" s="61">
        <f t="shared" si="21"/>
        <v>0</v>
      </c>
      <c r="AA72" s="60">
        <f t="shared" si="31"/>
        <v>2.238</v>
      </c>
      <c r="AB72" s="60">
        <f t="shared" si="32"/>
        <v>2.2839999999999998</v>
      </c>
      <c r="AC72" s="53"/>
      <c r="AD72" s="53"/>
      <c r="AE72" s="84"/>
    </row>
    <row r="73" spans="1:32" s="83" customFormat="1" ht="15" customHeight="1">
      <c r="A73" s="85"/>
      <c r="B73" s="74">
        <f>'124+900 '!B73</f>
        <v>45398</v>
      </c>
      <c r="C73" s="73">
        <f t="shared" si="22"/>
        <v>155</v>
      </c>
      <c r="D73" s="72">
        <f t="shared" si="23"/>
        <v>1026</v>
      </c>
      <c r="E73" s="67">
        <f>VLOOKUP(B73,'124+900 '!B48:AA653,3,FALSE)</f>
        <v>2992</v>
      </c>
      <c r="F73" s="67">
        <f t="shared" si="17"/>
        <v>4018</v>
      </c>
      <c r="G73" s="71">
        <f>VLOOKUP(B73,'124+900 '!$B$13:$AA$314,20,FALSE)</f>
        <v>1741</v>
      </c>
      <c r="H73" s="71">
        <f>VLOOKUP(B73,'124+900 '!$B$13:$AA$314,4,FALSE)</f>
        <v>1602</v>
      </c>
      <c r="I73" s="66">
        <f t="shared" si="18"/>
        <v>2416</v>
      </c>
      <c r="J73" s="66">
        <f>VLOOKUP(B73,'124+900 '!$B$13:$AA$314,13,FALSE)</f>
        <v>-584</v>
      </c>
      <c r="K73" s="70">
        <f t="shared" si="24"/>
        <v>-20</v>
      </c>
      <c r="L73" s="69">
        <f t="shared" si="25"/>
        <v>-463</v>
      </c>
      <c r="M73" s="68">
        <f>VLOOKUP(B73,'124+900 '!$B$13:$AA$314,21,FALSE)</f>
        <v>1715</v>
      </c>
      <c r="N73" s="67">
        <f>VLOOKUP(B73,'124+900 '!$B$13:$AA$314,5,FALSE)</f>
        <v>1587</v>
      </c>
      <c r="O73" s="66">
        <f t="shared" si="19"/>
        <v>2431</v>
      </c>
      <c r="P73" s="66">
        <f>VLOOKUP(B73,'124+900 '!$B$13:$AA$314,14,FALSE)</f>
        <v>-569</v>
      </c>
      <c r="Q73" s="70">
        <f t="shared" si="26"/>
        <v>-28</v>
      </c>
      <c r="R73" s="69">
        <f t="shared" si="27"/>
        <v>-446</v>
      </c>
      <c r="S73" s="68">
        <f>VLOOKUP(B73,'124+900 '!$B$13:$AA$314,22,FALSE)</f>
        <v>1727</v>
      </c>
      <c r="T73" s="67">
        <f>VLOOKUP(B73,'124+900 '!$B$13:$AA$314,6,FALSE)</f>
        <v>1495</v>
      </c>
      <c r="U73" s="66">
        <f t="shared" si="20"/>
        <v>2523</v>
      </c>
      <c r="V73" s="65">
        <f>VLOOKUP(B73,'124+900 '!$B$13:$AA$314,15,FALSE)</f>
        <v>-477</v>
      </c>
      <c r="W73" s="64">
        <f t="shared" si="28"/>
        <v>-23</v>
      </c>
      <c r="X73" s="63">
        <f t="shared" si="29"/>
        <v>-364</v>
      </c>
      <c r="Y73" s="62">
        <f t="shared" si="30"/>
        <v>-28</v>
      </c>
      <c r="Z73" s="61">
        <f t="shared" si="21"/>
        <v>0</v>
      </c>
      <c r="AA73" s="60">
        <f t="shared" si="31"/>
        <v>2.238</v>
      </c>
      <c r="AB73" s="60">
        <f t="shared" si="32"/>
        <v>2.2839999999999998</v>
      </c>
      <c r="AC73" s="53"/>
      <c r="AD73" s="53"/>
      <c r="AE73" s="84"/>
    </row>
    <row r="74" spans="1:32" s="83" customFormat="1" ht="15" customHeight="1">
      <c r="A74" s="85"/>
      <c r="B74" s="74">
        <f>'124+900 '!B74</f>
        <v>45405</v>
      </c>
      <c r="C74" s="73">
        <f t="shared" si="22"/>
        <v>162</v>
      </c>
      <c r="D74" s="72">
        <f t="shared" si="23"/>
        <v>1026</v>
      </c>
      <c r="E74" s="67">
        <f>VLOOKUP(B74,'124+900 '!B49:AA654,3,FALSE)</f>
        <v>2825</v>
      </c>
      <c r="F74" s="67">
        <f t="shared" si="17"/>
        <v>3851</v>
      </c>
      <c r="G74" s="71">
        <f>VLOOKUP(B74,'124+900 '!$B$13:$AA$314,20,FALSE)</f>
        <v>1722</v>
      </c>
      <c r="H74" s="71">
        <f>VLOOKUP(B74,'124+900 '!$B$13:$AA$314,4,FALSE)</f>
        <v>1454</v>
      </c>
      <c r="I74" s="66">
        <f t="shared" si="18"/>
        <v>2397</v>
      </c>
      <c r="J74" s="66">
        <f>VLOOKUP(B74,'124+900 '!$B$13:$AA$314,13,FALSE)</f>
        <v>-603</v>
      </c>
      <c r="K74" s="70">
        <f t="shared" si="24"/>
        <v>-19</v>
      </c>
      <c r="L74" s="69">
        <f t="shared" si="25"/>
        <v>-482</v>
      </c>
      <c r="M74" s="68">
        <f>VLOOKUP(B74,'124+900 '!$B$13:$AA$314,21,FALSE)</f>
        <v>1688</v>
      </c>
      <c r="N74" s="67">
        <f>VLOOKUP(B74,'124+900 '!$B$13:$AA$314,5,FALSE)</f>
        <v>1447</v>
      </c>
      <c r="O74" s="66">
        <f t="shared" si="19"/>
        <v>2404</v>
      </c>
      <c r="P74" s="66">
        <f>VLOOKUP(B74,'124+900 '!$B$13:$AA$314,14,FALSE)</f>
        <v>-596</v>
      </c>
      <c r="Q74" s="70">
        <f t="shared" si="26"/>
        <v>-27</v>
      </c>
      <c r="R74" s="69">
        <f t="shared" si="27"/>
        <v>-473</v>
      </c>
      <c r="S74" s="68">
        <f>VLOOKUP(B74,'124+900 '!$B$13:$AA$314,22,FALSE)</f>
        <v>1703</v>
      </c>
      <c r="T74" s="67">
        <f>VLOOKUP(B74,'124+900 '!$B$13:$AA$314,6,FALSE)</f>
        <v>1352</v>
      </c>
      <c r="U74" s="66">
        <f t="shared" si="20"/>
        <v>2499</v>
      </c>
      <c r="V74" s="65">
        <f>VLOOKUP(B74,'124+900 '!$B$13:$AA$314,15,FALSE)</f>
        <v>-501</v>
      </c>
      <c r="W74" s="64">
        <f t="shared" si="28"/>
        <v>-24</v>
      </c>
      <c r="X74" s="63">
        <f t="shared" si="29"/>
        <v>-388</v>
      </c>
      <c r="Y74" s="62">
        <f t="shared" si="30"/>
        <v>-27</v>
      </c>
      <c r="Z74" s="61">
        <f t="shared" si="21"/>
        <v>0</v>
      </c>
      <c r="AA74" s="60">
        <f t="shared" si="31"/>
        <v>2.238</v>
      </c>
      <c r="AB74" s="60">
        <f t="shared" si="32"/>
        <v>2.2839999999999998</v>
      </c>
      <c r="AC74" s="53"/>
      <c r="AD74" s="53"/>
      <c r="AE74" s="84"/>
    </row>
    <row r="75" spans="1:32" s="79" customFormat="1" ht="15" customHeight="1">
      <c r="A75" s="82"/>
      <c r="B75" s="74">
        <f>'124+900 '!B75</f>
        <v>45412</v>
      </c>
      <c r="C75" s="73">
        <f t="shared" si="22"/>
        <v>169</v>
      </c>
      <c r="D75" s="72">
        <f t="shared" si="23"/>
        <v>1026</v>
      </c>
      <c r="E75" s="67">
        <f>VLOOKUP(B75,'124+900 '!B50:AA655,3,FALSE)</f>
        <v>2809</v>
      </c>
      <c r="F75" s="67">
        <f t="shared" si="17"/>
        <v>3835</v>
      </c>
      <c r="G75" s="71">
        <f>VLOOKUP(B75,'124+900 '!$B$13:$AA$314,20,FALSE)</f>
        <v>1705</v>
      </c>
      <c r="H75" s="71">
        <f>VLOOKUP(B75,'124+900 '!$B$13:$AA$314,4,FALSE)</f>
        <v>1455</v>
      </c>
      <c r="I75" s="66">
        <f t="shared" si="18"/>
        <v>2380</v>
      </c>
      <c r="J75" s="66">
        <f>VLOOKUP(B75,'124+900 '!$B$13:$AA$314,13,FALSE)</f>
        <v>-620</v>
      </c>
      <c r="K75" s="70">
        <f t="shared" si="24"/>
        <v>-17</v>
      </c>
      <c r="L75" s="69">
        <f t="shared" si="25"/>
        <v>-499</v>
      </c>
      <c r="M75" s="68">
        <f>VLOOKUP(B75,'124+900 '!$B$13:$AA$314,21,FALSE)</f>
        <v>1658</v>
      </c>
      <c r="N75" s="67">
        <f>VLOOKUP(B75,'124+900 '!$B$13:$AA$314,5,FALSE)</f>
        <v>1461</v>
      </c>
      <c r="O75" s="66">
        <f t="shared" si="19"/>
        <v>2374</v>
      </c>
      <c r="P75" s="66">
        <f>VLOOKUP(B75,'124+900 '!$B$13:$AA$314,14,FALSE)</f>
        <v>-626</v>
      </c>
      <c r="Q75" s="70">
        <f t="shared" si="26"/>
        <v>-30</v>
      </c>
      <c r="R75" s="69">
        <f t="shared" si="27"/>
        <v>-503</v>
      </c>
      <c r="S75" s="68">
        <f>VLOOKUP(B75,'124+900 '!$B$13:$AA$314,22,FALSE)</f>
        <v>1680</v>
      </c>
      <c r="T75" s="67">
        <f>VLOOKUP(B75,'124+900 '!$B$13:$AA$314,6,FALSE)</f>
        <v>1359</v>
      </c>
      <c r="U75" s="66">
        <f t="shared" si="20"/>
        <v>2476</v>
      </c>
      <c r="V75" s="65">
        <f>VLOOKUP(B75,'124+900 '!$B$13:$AA$314,15,FALSE)</f>
        <v>-524</v>
      </c>
      <c r="W75" s="64">
        <f t="shared" si="28"/>
        <v>-23</v>
      </c>
      <c r="X75" s="63">
        <f t="shared" si="29"/>
        <v>-411</v>
      </c>
      <c r="Y75" s="62">
        <f t="shared" si="30"/>
        <v>-30</v>
      </c>
      <c r="Z75" s="61">
        <f t="shared" si="21"/>
        <v>0</v>
      </c>
      <c r="AA75" s="60">
        <f t="shared" si="31"/>
        <v>2.238</v>
      </c>
      <c r="AB75" s="60">
        <f t="shared" si="32"/>
        <v>2.2839999999999998</v>
      </c>
      <c r="AC75" s="53"/>
      <c r="AD75" s="53"/>
      <c r="AE75" s="53"/>
      <c r="AF75" s="53"/>
    </row>
    <row r="76" spans="1:32" s="79" customFormat="1" ht="15" customHeight="1">
      <c r="A76" s="82">
        <v>42307</v>
      </c>
      <c r="B76" s="74">
        <f>'124+900 '!B76</f>
        <v>45419</v>
      </c>
      <c r="C76" s="73">
        <f t="shared" si="22"/>
        <v>176</v>
      </c>
      <c r="D76" s="72">
        <f t="shared" si="23"/>
        <v>1026</v>
      </c>
      <c r="E76" s="67">
        <f>VLOOKUP(B76,'124+900 '!B51:AA656,3,FALSE)</f>
        <v>2767</v>
      </c>
      <c r="F76" s="67">
        <f t="shared" si="17"/>
        <v>3793</v>
      </c>
      <c r="G76" s="71">
        <f>VLOOKUP(B76,'124+900 '!$B$13:$AA$314,20,FALSE)</f>
        <v>1687</v>
      </c>
      <c r="H76" s="71">
        <f>VLOOKUP(B76,'124+900 '!$B$13:$AA$314,4,FALSE)</f>
        <v>1431</v>
      </c>
      <c r="I76" s="66">
        <f t="shared" si="18"/>
        <v>2362</v>
      </c>
      <c r="J76" s="66">
        <f>VLOOKUP(B76,'124+900 '!$B$13:$AA$314,13,FALSE)</f>
        <v>-638</v>
      </c>
      <c r="K76" s="70">
        <f t="shared" si="24"/>
        <v>-18</v>
      </c>
      <c r="L76" s="69">
        <f t="shared" si="25"/>
        <v>-517</v>
      </c>
      <c r="M76" s="68">
        <f>VLOOKUP(B76,'124+900 '!$B$13:$AA$314,21,FALSE)</f>
        <v>1632</v>
      </c>
      <c r="N76" s="67">
        <f>VLOOKUP(B76,'124+900 '!$B$13:$AA$314,5,FALSE)</f>
        <v>1445</v>
      </c>
      <c r="O76" s="66">
        <f t="shared" si="19"/>
        <v>2348</v>
      </c>
      <c r="P76" s="66">
        <f>VLOOKUP(B76,'124+900 '!$B$13:$AA$314,14,FALSE)</f>
        <v>-652</v>
      </c>
      <c r="Q76" s="70">
        <f t="shared" si="26"/>
        <v>-26</v>
      </c>
      <c r="R76" s="69">
        <f t="shared" si="27"/>
        <v>-529</v>
      </c>
      <c r="S76" s="68">
        <f>VLOOKUP(B76,'124+900 '!$B$13:$AA$314,22,FALSE)</f>
        <v>1656</v>
      </c>
      <c r="T76" s="67">
        <f>VLOOKUP(B76,'124+900 '!$B$13:$AA$314,6,FALSE)</f>
        <v>1341</v>
      </c>
      <c r="U76" s="66">
        <f t="shared" si="20"/>
        <v>2452</v>
      </c>
      <c r="V76" s="65">
        <f>VLOOKUP(B76,'124+900 '!$B$13:$AA$314,15,FALSE)</f>
        <v>-548</v>
      </c>
      <c r="W76" s="64">
        <f t="shared" si="28"/>
        <v>-24</v>
      </c>
      <c r="X76" s="63">
        <f t="shared" si="29"/>
        <v>-435</v>
      </c>
      <c r="Y76" s="62">
        <f t="shared" si="30"/>
        <v>-26</v>
      </c>
      <c r="Z76" s="61">
        <f t="shared" si="21"/>
        <v>0</v>
      </c>
      <c r="AA76" s="60">
        <f t="shared" si="31"/>
        <v>2.238</v>
      </c>
      <c r="AB76" s="60">
        <f t="shared" si="32"/>
        <v>2.2839999999999998</v>
      </c>
      <c r="AC76" s="53"/>
      <c r="AD76" s="53"/>
      <c r="AE76" s="53"/>
      <c r="AF76" s="53"/>
    </row>
    <row r="77" spans="1:32" s="79" customFormat="1" ht="15" customHeight="1">
      <c r="A77" s="82" t="s">
        <v>58</v>
      </c>
      <c r="B77" s="74">
        <f>'124+900 '!B77</f>
        <v>45426</v>
      </c>
      <c r="C77" s="73">
        <f t="shared" si="22"/>
        <v>183</v>
      </c>
      <c r="D77" s="72">
        <f t="shared" si="23"/>
        <v>1026</v>
      </c>
      <c r="E77" s="67">
        <f>VLOOKUP(B77,'124+900 '!B52:AA657,3,FALSE)</f>
        <v>2992</v>
      </c>
      <c r="F77" s="67">
        <f t="shared" ref="F77:F108" si="33">D77+E77</f>
        <v>4018</v>
      </c>
      <c r="G77" s="71">
        <f>VLOOKUP(B77,'124+900 '!$B$13:$AA$314,20,FALSE)</f>
        <v>1671</v>
      </c>
      <c r="H77" s="71">
        <f>VLOOKUP(B77,'124+900 '!$B$13:$AA$314,4,FALSE)</f>
        <v>1672</v>
      </c>
      <c r="I77" s="66">
        <f t="shared" ref="I77:I108" si="34">F77-H77</f>
        <v>2346</v>
      </c>
      <c r="J77" s="66">
        <f>VLOOKUP(B77,'124+900 '!$B$13:$AA$314,13,FALSE)</f>
        <v>-654</v>
      </c>
      <c r="K77" s="70">
        <f t="shared" si="24"/>
        <v>-16</v>
      </c>
      <c r="L77" s="69">
        <f t="shared" si="25"/>
        <v>-533</v>
      </c>
      <c r="M77" s="68">
        <f>VLOOKUP(B77,'124+900 '!$B$13:$AA$314,21,FALSE)</f>
        <v>1602</v>
      </c>
      <c r="N77" s="67">
        <f>VLOOKUP(B77,'124+900 '!$B$13:$AA$314,5,FALSE)</f>
        <v>1700</v>
      </c>
      <c r="O77" s="66">
        <f t="shared" ref="O77:O108" si="35">F77-N77</f>
        <v>2318</v>
      </c>
      <c r="P77" s="66">
        <f>VLOOKUP(B77,'124+900 '!$B$13:$AA$314,14,FALSE)</f>
        <v>-682</v>
      </c>
      <c r="Q77" s="70">
        <f t="shared" si="26"/>
        <v>-30</v>
      </c>
      <c r="R77" s="69">
        <f t="shared" si="27"/>
        <v>-559</v>
      </c>
      <c r="S77" s="68">
        <f>VLOOKUP(B77,'124+900 '!$B$13:$AA$314,22,FALSE)</f>
        <v>1630</v>
      </c>
      <c r="T77" s="67">
        <f>VLOOKUP(B77,'124+900 '!$B$13:$AA$314,6,FALSE)</f>
        <v>1592</v>
      </c>
      <c r="U77" s="66">
        <f t="shared" ref="U77:U108" si="36">F77-T77</f>
        <v>2426</v>
      </c>
      <c r="V77" s="65">
        <f>VLOOKUP(B77,'124+900 '!$B$13:$AA$314,15,FALSE)</f>
        <v>-574</v>
      </c>
      <c r="W77" s="64">
        <f t="shared" si="28"/>
        <v>-26</v>
      </c>
      <c r="X77" s="63">
        <f t="shared" si="29"/>
        <v>-461</v>
      </c>
      <c r="Y77" s="62">
        <f t="shared" si="30"/>
        <v>-30</v>
      </c>
      <c r="Z77" s="61">
        <f t="shared" ref="Z77:Z108" si="37">IF(Y77&gt;0,Y77,0)/1000</f>
        <v>0</v>
      </c>
      <c r="AA77" s="60">
        <f t="shared" si="31"/>
        <v>2.238</v>
      </c>
      <c r="AB77" s="60">
        <f t="shared" si="32"/>
        <v>2.2839999999999998</v>
      </c>
      <c r="AC77" s="53"/>
      <c r="AD77" s="53"/>
      <c r="AE77" s="53"/>
      <c r="AF77" s="53"/>
    </row>
    <row r="78" spans="1:32" s="79" customFormat="1" ht="15" customHeight="1">
      <c r="A78" s="82">
        <v>42313</v>
      </c>
      <c r="B78" s="74">
        <f>'124+900 '!B78</f>
        <v>45433</v>
      </c>
      <c r="C78" s="73">
        <f t="shared" ref="C78:C109" si="38">B78-$B$13</f>
        <v>190</v>
      </c>
      <c r="D78" s="72">
        <f t="shared" ref="D78:D109" si="39">D77</f>
        <v>1026</v>
      </c>
      <c r="E78" s="67">
        <f>VLOOKUP(B78,'124+900 '!B53:AA658,3,FALSE)</f>
        <v>2827</v>
      </c>
      <c r="F78" s="67">
        <f t="shared" si="33"/>
        <v>3853</v>
      </c>
      <c r="G78" s="71">
        <f>VLOOKUP(B78,'124+900 '!$B$13:$AA$314,20,FALSE)</f>
        <v>1655</v>
      </c>
      <c r="H78" s="71">
        <f>VLOOKUP(B78,'124+900 '!$B$13:$AA$314,4,FALSE)</f>
        <v>1523</v>
      </c>
      <c r="I78" s="66">
        <f t="shared" si="34"/>
        <v>2330</v>
      </c>
      <c r="J78" s="66">
        <f>VLOOKUP(B78,'124+900 '!$B$13:$AA$314,13,FALSE)</f>
        <v>-670</v>
      </c>
      <c r="K78" s="70">
        <f t="shared" ref="K78:K109" si="40">J78-J77</f>
        <v>-16</v>
      </c>
      <c r="L78" s="69">
        <f t="shared" ref="L78:L109" si="41">L77+K78</f>
        <v>-549</v>
      </c>
      <c r="M78" s="68">
        <f>VLOOKUP(B78,'124+900 '!$B$13:$AA$314,21,FALSE)</f>
        <v>1577</v>
      </c>
      <c r="N78" s="67">
        <f>VLOOKUP(B78,'124+900 '!$B$13:$AA$314,5,FALSE)</f>
        <v>1560</v>
      </c>
      <c r="O78" s="66">
        <f t="shared" si="35"/>
        <v>2293</v>
      </c>
      <c r="P78" s="66">
        <f>VLOOKUP(B78,'124+900 '!$B$13:$AA$314,14,FALSE)</f>
        <v>-707</v>
      </c>
      <c r="Q78" s="70">
        <f t="shared" ref="Q78:Q109" si="42">P78-P77</f>
        <v>-25</v>
      </c>
      <c r="R78" s="69">
        <f t="shared" ref="R78:R109" si="43">R77+Q78</f>
        <v>-584</v>
      </c>
      <c r="S78" s="68">
        <f>VLOOKUP(B78,'124+900 '!$B$13:$AA$314,22,FALSE)</f>
        <v>1606</v>
      </c>
      <c r="T78" s="67">
        <f>VLOOKUP(B78,'124+900 '!$B$13:$AA$314,6,FALSE)</f>
        <v>1451</v>
      </c>
      <c r="U78" s="66">
        <f t="shared" si="36"/>
        <v>2402</v>
      </c>
      <c r="V78" s="65">
        <f>VLOOKUP(B78,'124+900 '!$B$13:$AA$314,15,FALSE)</f>
        <v>-598</v>
      </c>
      <c r="W78" s="64">
        <f t="shared" ref="W78:W109" si="44">V78-V77</f>
        <v>-24</v>
      </c>
      <c r="X78" s="63">
        <f t="shared" ref="X78:X109" si="45">X77+W78</f>
        <v>-485</v>
      </c>
      <c r="Y78" s="62">
        <f t="shared" ref="Y78:Y109" si="46">M78-M77</f>
        <v>-25</v>
      </c>
      <c r="Z78" s="61">
        <f t="shared" si="37"/>
        <v>0</v>
      </c>
      <c r="AA78" s="60">
        <f t="shared" ref="AA78:AA109" si="47">AA77+Z78</f>
        <v>2.238</v>
      </c>
      <c r="AB78" s="60">
        <f t="shared" ref="AB78:AB109" si="48">(M78-$M$13-R78)/1000</f>
        <v>2.2839999999999998</v>
      </c>
      <c r="AC78" s="53"/>
      <c r="AD78" s="53"/>
      <c r="AE78" s="53"/>
      <c r="AF78" s="53"/>
    </row>
    <row r="79" spans="1:32" s="79" customFormat="1" ht="15" customHeight="1">
      <c r="A79" s="82">
        <v>42319</v>
      </c>
      <c r="B79" s="74">
        <f>'124+900 '!B79</f>
        <v>45440</v>
      </c>
      <c r="C79" s="73">
        <f t="shared" si="38"/>
        <v>197</v>
      </c>
      <c r="D79" s="72">
        <f t="shared" si="39"/>
        <v>1026</v>
      </c>
      <c r="E79" s="67">
        <f>VLOOKUP(B79,'124+900 '!B54:AA659,3,FALSE)</f>
        <v>2956</v>
      </c>
      <c r="F79" s="67">
        <f t="shared" si="33"/>
        <v>3982</v>
      </c>
      <c r="G79" s="71">
        <f>VLOOKUP(B79,'124+900 '!$B$13:$AA$314,20,FALSE)</f>
        <v>1638</v>
      </c>
      <c r="H79" s="71">
        <f>VLOOKUP(B79,'124+900 '!$B$13:$AA$314,4,FALSE)</f>
        <v>1669</v>
      </c>
      <c r="I79" s="66">
        <f t="shared" si="34"/>
        <v>2313</v>
      </c>
      <c r="J79" s="66">
        <f>VLOOKUP(B79,'124+900 '!$B$13:$AA$314,13,FALSE)</f>
        <v>-687</v>
      </c>
      <c r="K79" s="70">
        <f t="shared" si="40"/>
        <v>-17</v>
      </c>
      <c r="L79" s="69">
        <f t="shared" si="41"/>
        <v>-566</v>
      </c>
      <c r="M79" s="68">
        <f>VLOOKUP(B79,'124+900 '!$B$13:$AA$314,21,FALSE)</f>
        <v>1547</v>
      </c>
      <c r="N79" s="67">
        <f>VLOOKUP(B79,'124+900 '!$B$13:$AA$314,5,FALSE)</f>
        <v>1719</v>
      </c>
      <c r="O79" s="66">
        <f t="shared" si="35"/>
        <v>2263</v>
      </c>
      <c r="P79" s="66">
        <f>VLOOKUP(B79,'124+900 '!$B$13:$AA$314,14,FALSE)</f>
        <v>-737</v>
      </c>
      <c r="Q79" s="70">
        <f t="shared" si="42"/>
        <v>-30</v>
      </c>
      <c r="R79" s="69">
        <f t="shared" si="43"/>
        <v>-614</v>
      </c>
      <c r="S79" s="68">
        <f>VLOOKUP(B79,'124+900 '!$B$13:$AA$314,22,FALSE)</f>
        <v>1583</v>
      </c>
      <c r="T79" s="67">
        <f>VLOOKUP(B79,'124+900 '!$B$13:$AA$314,6,FALSE)</f>
        <v>1603</v>
      </c>
      <c r="U79" s="66">
        <f t="shared" si="36"/>
        <v>2379</v>
      </c>
      <c r="V79" s="65">
        <f>VLOOKUP(B79,'124+900 '!$B$13:$AA$314,15,FALSE)</f>
        <v>-621</v>
      </c>
      <c r="W79" s="64">
        <f t="shared" si="44"/>
        <v>-23</v>
      </c>
      <c r="X79" s="63">
        <f t="shared" si="45"/>
        <v>-508</v>
      </c>
      <c r="Y79" s="62">
        <f t="shared" si="46"/>
        <v>-30</v>
      </c>
      <c r="Z79" s="61">
        <f t="shared" si="37"/>
        <v>0</v>
      </c>
      <c r="AA79" s="60">
        <f t="shared" si="47"/>
        <v>2.238</v>
      </c>
      <c r="AB79" s="60">
        <f t="shared" si="48"/>
        <v>2.2839999999999998</v>
      </c>
      <c r="AC79" s="53"/>
      <c r="AD79" s="53"/>
      <c r="AE79" s="53"/>
      <c r="AF79" s="53"/>
    </row>
    <row r="80" spans="1:32" s="79" customFormat="1" ht="15" customHeight="1">
      <c r="A80" s="82">
        <v>42322</v>
      </c>
      <c r="B80" s="74">
        <f>'124+900 '!B80</f>
        <v>45447</v>
      </c>
      <c r="C80" s="73">
        <f t="shared" si="38"/>
        <v>204</v>
      </c>
      <c r="D80" s="72">
        <f t="shared" si="39"/>
        <v>1026</v>
      </c>
      <c r="E80" s="67">
        <f>VLOOKUP(B80,'124+900 '!B55:AA660,3,FALSE)</f>
        <v>2917</v>
      </c>
      <c r="F80" s="67">
        <f t="shared" si="33"/>
        <v>3943</v>
      </c>
      <c r="G80" s="71">
        <f>VLOOKUP(B80,'124+900 '!$B$13:$AA$314,20,FALSE)</f>
        <v>1620</v>
      </c>
      <c r="H80" s="71">
        <f>VLOOKUP(B80,'124+900 '!$B$13:$AA$314,4,FALSE)</f>
        <v>1648</v>
      </c>
      <c r="I80" s="66">
        <f t="shared" si="34"/>
        <v>2295</v>
      </c>
      <c r="J80" s="66">
        <f>VLOOKUP(B80,'124+900 '!$B$13:$AA$314,13,FALSE)</f>
        <v>-705</v>
      </c>
      <c r="K80" s="70">
        <f t="shared" si="40"/>
        <v>-18</v>
      </c>
      <c r="L80" s="69">
        <f t="shared" si="41"/>
        <v>-584</v>
      </c>
      <c r="M80" s="68">
        <f>VLOOKUP(B80,'124+900 '!$B$13:$AA$314,21,FALSE)</f>
        <v>1520</v>
      </c>
      <c r="N80" s="67">
        <f>VLOOKUP(B80,'124+900 '!$B$13:$AA$314,5,FALSE)</f>
        <v>1707</v>
      </c>
      <c r="O80" s="66">
        <f t="shared" si="35"/>
        <v>2236</v>
      </c>
      <c r="P80" s="66">
        <f>VLOOKUP(B80,'124+900 '!$B$13:$AA$314,14,FALSE)</f>
        <v>-764</v>
      </c>
      <c r="Q80" s="70">
        <f t="shared" si="42"/>
        <v>-27</v>
      </c>
      <c r="R80" s="69">
        <f t="shared" si="43"/>
        <v>-641</v>
      </c>
      <c r="S80" s="68">
        <f>VLOOKUP(B80,'124+900 '!$B$13:$AA$314,22,FALSE)</f>
        <v>1561</v>
      </c>
      <c r="T80" s="67">
        <f>VLOOKUP(B80,'124+900 '!$B$13:$AA$314,6,FALSE)</f>
        <v>1586</v>
      </c>
      <c r="U80" s="66">
        <f t="shared" si="36"/>
        <v>2357</v>
      </c>
      <c r="V80" s="65">
        <f>VLOOKUP(B80,'124+900 '!$B$13:$AA$314,15,FALSE)</f>
        <v>-643</v>
      </c>
      <c r="W80" s="64">
        <f t="shared" si="44"/>
        <v>-22</v>
      </c>
      <c r="X80" s="63">
        <f t="shared" si="45"/>
        <v>-530</v>
      </c>
      <c r="Y80" s="62">
        <f t="shared" si="46"/>
        <v>-27</v>
      </c>
      <c r="Z80" s="61">
        <f t="shared" si="37"/>
        <v>0</v>
      </c>
      <c r="AA80" s="60">
        <f t="shared" si="47"/>
        <v>2.238</v>
      </c>
      <c r="AB80" s="60">
        <f t="shared" si="48"/>
        <v>2.2839999999999998</v>
      </c>
      <c r="AC80" s="53"/>
      <c r="AD80" s="53"/>
      <c r="AE80" s="53"/>
      <c r="AF80" s="53"/>
    </row>
    <row r="81" spans="1:32" s="79" customFormat="1" ht="15" customHeight="1">
      <c r="A81" s="82" t="s">
        <v>57</v>
      </c>
      <c r="B81" s="74">
        <f>'124+900 '!B81</f>
        <v>45454</v>
      </c>
      <c r="C81" s="73">
        <f t="shared" si="38"/>
        <v>211</v>
      </c>
      <c r="D81" s="72">
        <f t="shared" si="39"/>
        <v>1026</v>
      </c>
      <c r="E81" s="67">
        <f>VLOOKUP(B81,'124+900 '!B56:AA661,3,FALSE)</f>
        <v>2826</v>
      </c>
      <c r="F81" s="67">
        <f t="shared" si="33"/>
        <v>3852</v>
      </c>
      <c r="G81" s="71">
        <f>VLOOKUP(B81,'124+900 '!$B$13:$AA$314,20,FALSE)</f>
        <v>1601</v>
      </c>
      <c r="H81" s="71">
        <f>VLOOKUP(B81,'124+900 '!$B$13:$AA$314,4,FALSE)</f>
        <v>1576</v>
      </c>
      <c r="I81" s="66">
        <f t="shared" si="34"/>
        <v>2276</v>
      </c>
      <c r="J81" s="66">
        <f>VLOOKUP(B81,'124+900 '!$B$13:$AA$314,13,FALSE)</f>
        <v>-724</v>
      </c>
      <c r="K81" s="70">
        <f t="shared" si="40"/>
        <v>-19</v>
      </c>
      <c r="L81" s="69">
        <f t="shared" si="41"/>
        <v>-603</v>
      </c>
      <c r="M81" s="68">
        <f>VLOOKUP(B81,'124+900 '!$B$13:$AA$314,21,FALSE)</f>
        <v>1491</v>
      </c>
      <c r="N81" s="67">
        <f>VLOOKUP(B81,'124+900 '!$B$13:$AA$314,5,FALSE)</f>
        <v>1645</v>
      </c>
      <c r="O81" s="66">
        <f t="shared" si="35"/>
        <v>2207</v>
      </c>
      <c r="P81" s="66">
        <f>VLOOKUP(B81,'124+900 '!$B$13:$AA$314,14,FALSE)</f>
        <v>-793</v>
      </c>
      <c r="Q81" s="70">
        <f t="shared" si="42"/>
        <v>-29</v>
      </c>
      <c r="R81" s="69">
        <f t="shared" si="43"/>
        <v>-670</v>
      </c>
      <c r="S81" s="68">
        <f>VLOOKUP(B81,'124+900 '!$B$13:$AA$314,22,FALSE)</f>
        <v>1540</v>
      </c>
      <c r="T81" s="67">
        <f>VLOOKUP(B81,'124+900 '!$B$13:$AA$314,6,FALSE)</f>
        <v>1516</v>
      </c>
      <c r="U81" s="66">
        <f t="shared" si="36"/>
        <v>2336</v>
      </c>
      <c r="V81" s="65">
        <f>VLOOKUP(B81,'124+900 '!$B$13:$AA$314,15,FALSE)</f>
        <v>-664</v>
      </c>
      <c r="W81" s="64">
        <f t="shared" si="44"/>
        <v>-21</v>
      </c>
      <c r="X81" s="63">
        <f t="shared" si="45"/>
        <v>-551</v>
      </c>
      <c r="Y81" s="62">
        <f t="shared" si="46"/>
        <v>-29</v>
      </c>
      <c r="Z81" s="61">
        <f t="shared" si="37"/>
        <v>0</v>
      </c>
      <c r="AA81" s="60">
        <f t="shared" si="47"/>
        <v>2.238</v>
      </c>
      <c r="AB81" s="60">
        <f t="shared" si="48"/>
        <v>2.2839999999999998</v>
      </c>
      <c r="AC81" s="53"/>
      <c r="AD81" s="53"/>
      <c r="AE81" s="53"/>
      <c r="AF81" s="53"/>
    </row>
    <row r="82" spans="1:32" s="79" customFormat="1" ht="15" customHeight="1">
      <c r="A82" s="82"/>
      <c r="B82" s="74">
        <f>'124+900 '!B82</f>
        <v>45461</v>
      </c>
      <c r="C82" s="73">
        <f t="shared" si="38"/>
        <v>218</v>
      </c>
      <c r="D82" s="72">
        <f t="shared" si="39"/>
        <v>1026</v>
      </c>
      <c r="E82" s="67">
        <f>VLOOKUP(B82,'124+900 '!B57:AA662,3,FALSE)</f>
        <v>2827</v>
      </c>
      <c r="F82" s="67">
        <f t="shared" si="33"/>
        <v>3853</v>
      </c>
      <c r="G82" s="71">
        <f>VLOOKUP(B82,'124+900 '!$B$13:$AA$314,20,FALSE)</f>
        <v>1586</v>
      </c>
      <c r="H82" s="71">
        <f>VLOOKUP(B82,'124+900 '!$B$13:$AA$314,4,FALSE)</f>
        <v>1592</v>
      </c>
      <c r="I82" s="66">
        <f t="shared" si="34"/>
        <v>2261</v>
      </c>
      <c r="J82" s="66">
        <f>VLOOKUP(B82,'124+900 '!$B$13:$AA$314,13,FALSE)</f>
        <v>-739</v>
      </c>
      <c r="K82" s="70">
        <f t="shared" si="40"/>
        <v>-15</v>
      </c>
      <c r="L82" s="69">
        <f t="shared" si="41"/>
        <v>-618</v>
      </c>
      <c r="M82" s="68">
        <f>VLOOKUP(B82,'124+900 '!$B$13:$AA$314,21,FALSE)</f>
        <v>1463</v>
      </c>
      <c r="N82" s="67">
        <f>VLOOKUP(B82,'124+900 '!$B$13:$AA$314,5,FALSE)</f>
        <v>1674</v>
      </c>
      <c r="O82" s="66">
        <f t="shared" si="35"/>
        <v>2179</v>
      </c>
      <c r="P82" s="66">
        <f>VLOOKUP(B82,'124+900 '!$B$13:$AA$314,14,FALSE)</f>
        <v>-821</v>
      </c>
      <c r="Q82" s="70">
        <f t="shared" si="42"/>
        <v>-28</v>
      </c>
      <c r="R82" s="69">
        <f t="shared" si="43"/>
        <v>-698</v>
      </c>
      <c r="S82" s="68">
        <f>VLOOKUP(B82,'124+900 '!$B$13:$AA$314,22,FALSE)</f>
        <v>1520</v>
      </c>
      <c r="T82" s="67">
        <f>VLOOKUP(B82,'124+900 '!$B$13:$AA$314,6,FALSE)</f>
        <v>1537</v>
      </c>
      <c r="U82" s="66">
        <f t="shared" si="36"/>
        <v>2316</v>
      </c>
      <c r="V82" s="65">
        <f>VLOOKUP(B82,'124+900 '!$B$13:$AA$314,15,FALSE)</f>
        <v>-684</v>
      </c>
      <c r="W82" s="64">
        <f t="shared" si="44"/>
        <v>-20</v>
      </c>
      <c r="X82" s="63">
        <f t="shared" si="45"/>
        <v>-571</v>
      </c>
      <c r="Y82" s="62">
        <f t="shared" si="46"/>
        <v>-28</v>
      </c>
      <c r="Z82" s="61">
        <f t="shared" si="37"/>
        <v>0</v>
      </c>
      <c r="AA82" s="60">
        <f t="shared" si="47"/>
        <v>2.238</v>
      </c>
      <c r="AB82" s="60">
        <f t="shared" si="48"/>
        <v>2.2839999999999998</v>
      </c>
      <c r="AC82" s="53"/>
      <c r="AD82" s="53"/>
      <c r="AE82" s="53"/>
      <c r="AF82" s="53"/>
    </row>
    <row r="83" spans="1:32" s="79" customFormat="1" ht="15" customHeight="1">
      <c r="A83" s="82"/>
      <c r="B83" s="74">
        <f>'124+900 '!B83</f>
        <v>45468</v>
      </c>
      <c r="C83" s="73">
        <f t="shared" si="38"/>
        <v>225</v>
      </c>
      <c r="D83" s="72">
        <f t="shared" si="39"/>
        <v>1026</v>
      </c>
      <c r="E83" s="67">
        <f>VLOOKUP(B83,'124+900 '!B58:AA663,3,FALSE)</f>
        <v>2828</v>
      </c>
      <c r="F83" s="67">
        <f t="shared" si="33"/>
        <v>3854</v>
      </c>
      <c r="G83" s="71">
        <f>VLOOKUP(B83,'124+900 '!$B$13:$AA$314,20,FALSE)</f>
        <v>1576</v>
      </c>
      <c r="H83" s="71">
        <f>VLOOKUP(B83,'124+900 '!$B$13:$AA$314,4,FALSE)</f>
        <v>1603</v>
      </c>
      <c r="I83" s="66">
        <f t="shared" si="34"/>
        <v>2251</v>
      </c>
      <c r="J83" s="66">
        <f>VLOOKUP(B83,'124+900 '!$B$13:$AA$314,13,FALSE)</f>
        <v>-749</v>
      </c>
      <c r="K83" s="70">
        <f t="shared" si="40"/>
        <v>-10</v>
      </c>
      <c r="L83" s="69">
        <f t="shared" si="41"/>
        <v>-628</v>
      </c>
      <c r="M83" s="68">
        <f>VLOOKUP(B83,'124+900 '!$B$13:$AA$314,21,FALSE)</f>
        <v>1437</v>
      </c>
      <c r="N83" s="67">
        <f>VLOOKUP(B83,'124+900 '!$B$13:$AA$314,5,FALSE)</f>
        <v>1701</v>
      </c>
      <c r="O83" s="66">
        <f t="shared" si="35"/>
        <v>2153</v>
      </c>
      <c r="P83" s="66">
        <f>VLOOKUP(B83,'124+900 '!$B$13:$AA$314,14,FALSE)</f>
        <v>-847</v>
      </c>
      <c r="Q83" s="70">
        <f t="shared" si="42"/>
        <v>-26</v>
      </c>
      <c r="R83" s="69">
        <f t="shared" si="43"/>
        <v>-724</v>
      </c>
      <c r="S83" s="68">
        <f>VLOOKUP(B83,'124+900 '!$B$13:$AA$314,22,FALSE)</f>
        <v>1501</v>
      </c>
      <c r="T83" s="67">
        <f>VLOOKUP(B83,'124+900 '!$B$13:$AA$314,6,FALSE)</f>
        <v>1557</v>
      </c>
      <c r="U83" s="66">
        <f t="shared" si="36"/>
        <v>2297</v>
      </c>
      <c r="V83" s="65">
        <f>VLOOKUP(B83,'124+900 '!$B$13:$AA$314,15,FALSE)</f>
        <v>-703</v>
      </c>
      <c r="W83" s="64">
        <f t="shared" si="44"/>
        <v>-19</v>
      </c>
      <c r="X83" s="63">
        <f t="shared" si="45"/>
        <v>-590</v>
      </c>
      <c r="Y83" s="62">
        <f t="shared" si="46"/>
        <v>-26</v>
      </c>
      <c r="Z83" s="61">
        <f t="shared" si="37"/>
        <v>0</v>
      </c>
      <c r="AA83" s="60">
        <f t="shared" si="47"/>
        <v>2.238</v>
      </c>
      <c r="AB83" s="60">
        <f t="shared" si="48"/>
        <v>2.2839999999999998</v>
      </c>
      <c r="AC83" s="53"/>
      <c r="AD83" s="53"/>
      <c r="AE83" s="53"/>
      <c r="AF83" s="53"/>
    </row>
    <row r="84" spans="1:32" s="79" customFormat="1" ht="15" customHeight="1">
      <c r="A84" s="82"/>
      <c r="B84" s="74">
        <f>'124+900 '!B84</f>
        <v>45475</v>
      </c>
      <c r="C84" s="73">
        <f t="shared" si="38"/>
        <v>232</v>
      </c>
      <c r="D84" s="72">
        <f t="shared" si="39"/>
        <v>1026</v>
      </c>
      <c r="E84" s="67">
        <f>VLOOKUP(B84,'124+900 '!B59:AA664,3,FALSE)</f>
        <v>2829</v>
      </c>
      <c r="F84" s="67">
        <f t="shared" si="33"/>
        <v>3855</v>
      </c>
      <c r="G84" s="71">
        <f>VLOOKUP(B84,'124+900 '!$B$13:$AA$314,20,FALSE)</f>
        <v>1566</v>
      </c>
      <c r="H84" s="71">
        <f>VLOOKUP(B84,'124+900 '!$B$13:$AA$314,4,FALSE)</f>
        <v>1614</v>
      </c>
      <c r="I84" s="66">
        <f t="shared" si="34"/>
        <v>2241</v>
      </c>
      <c r="J84" s="66">
        <f>VLOOKUP(B84,'124+900 '!$B$13:$AA$314,13,FALSE)</f>
        <v>-759</v>
      </c>
      <c r="K84" s="70">
        <f t="shared" si="40"/>
        <v>-10</v>
      </c>
      <c r="L84" s="69">
        <f t="shared" si="41"/>
        <v>-638</v>
      </c>
      <c r="M84" s="68">
        <f>VLOOKUP(B84,'124+900 '!$B$13:$AA$314,21,FALSE)</f>
        <v>1412</v>
      </c>
      <c r="N84" s="67">
        <f>VLOOKUP(B84,'124+900 '!$B$13:$AA$314,5,FALSE)</f>
        <v>1727</v>
      </c>
      <c r="O84" s="66">
        <f t="shared" si="35"/>
        <v>2128</v>
      </c>
      <c r="P84" s="66">
        <f>VLOOKUP(B84,'124+900 '!$B$13:$AA$314,14,FALSE)</f>
        <v>-872</v>
      </c>
      <c r="Q84" s="70">
        <f t="shared" si="42"/>
        <v>-25</v>
      </c>
      <c r="R84" s="69">
        <f t="shared" si="43"/>
        <v>-749</v>
      </c>
      <c r="S84" s="68">
        <f>VLOOKUP(B84,'124+900 '!$B$13:$AA$314,22,FALSE)</f>
        <v>1483</v>
      </c>
      <c r="T84" s="67">
        <f>VLOOKUP(B84,'124+900 '!$B$13:$AA$314,6,FALSE)</f>
        <v>1576</v>
      </c>
      <c r="U84" s="66">
        <f t="shared" si="36"/>
        <v>2279</v>
      </c>
      <c r="V84" s="65">
        <f>VLOOKUP(B84,'124+900 '!$B$13:$AA$314,15,FALSE)</f>
        <v>-721</v>
      </c>
      <c r="W84" s="64">
        <f t="shared" si="44"/>
        <v>-18</v>
      </c>
      <c r="X84" s="63">
        <f t="shared" si="45"/>
        <v>-608</v>
      </c>
      <c r="Y84" s="62">
        <f t="shared" si="46"/>
        <v>-25</v>
      </c>
      <c r="Z84" s="61">
        <f t="shared" si="37"/>
        <v>0</v>
      </c>
      <c r="AA84" s="60">
        <f t="shared" si="47"/>
        <v>2.238</v>
      </c>
      <c r="AB84" s="60">
        <f t="shared" si="48"/>
        <v>2.2839999999999998</v>
      </c>
      <c r="AC84" s="53"/>
      <c r="AD84" s="53"/>
      <c r="AE84" s="53"/>
      <c r="AF84" s="53"/>
    </row>
    <row r="85" spans="1:32" s="79" customFormat="1" ht="15" customHeight="1">
      <c r="A85" s="82"/>
      <c r="B85" s="74">
        <f>'124+900 '!B85</f>
        <v>45482</v>
      </c>
      <c r="C85" s="73">
        <f t="shared" si="38"/>
        <v>239</v>
      </c>
      <c r="D85" s="72">
        <f t="shared" si="39"/>
        <v>1026</v>
      </c>
      <c r="E85" s="67">
        <f>VLOOKUP(B85,'124+900 '!B60:AA665,3,FALSE)</f>
        <v>2830</v>
      </c>
      <c r="F85" s="67">
        <f t="shared" si="33"/>
        <v>3856</v>
      </c>
      <c r="G85" s="71">
        <f>VLOOKUP(B85,'124+900 '!$B$13:$AA$314,20,FALSE)</f>
        <v>1557</v>
      </c>
      <c r="H85" s="71">
        <f>VLOOKUP(B85,'124+900 '!$B$13:$AA$314,4,FALSE)</f>
        <v>1624</v>
      </c>
      <c r="I85" s="66">
        <f t="shared" si="34"/>
        <v>2232</v>
      </c>
      <c r="J85" s="66">
        <f>VLOOKUP(B85,'124+900 '!$B$13:$AA$314,13,FALSE)</f>
        <v>-768</v>
      </c>
      <c r="K85" s="70">
        <f t="shared" si="40"/>
        <v>-9</v>
      </c>
      <c r="L85" s="69">
        <f t="shared" si="41"/>
        <v>-647</v>
      </c>
      <c r="M85" s="68">
        <f>VLOOKUP(B85,'124+900 '!$B$13:$AA$314,21,FALSE)</f>
        <v>1402</v>
      </c>
      <c r="N85" s="67">
        <f>VLOOKUP(B85,'124+900 '!$B$13:$AA$314,5,FALSE)</f>
        <v>1738</v>
      </c>
      <c r="O85" s="66">
        <f t="shared" si="35"/>
        <v>2118</v>
      </c>
      <c r="P85" s="66">
        <f>VLOOKUP(B85,'124+900 '!$B$13:$AA$314,14,FALSE)</f>
        <v>-882</v>
      </c>
      <c r="Q85" s="70">
        <f t="shared" si="42"/>
        <v>-10</v>
      </c>
      <c r="R85" s="69">
        <f t="shared" si="43"/>
        <v>-759</v>
      </c>
      <c r="S85" s="68">
        <f>VLOOKUP(B85,'124+900 '!$B$13:$AA$314,22,FALSE)</f>
        <v>1466</v>
      </c>
      <c r="T85" s="67">
        <f>VLOOKUP(B85,'124+900 '!$B$13:$AA$314,6,FALSE)</f>
        <v>1594</v>
      </c>
      <c r="U85" s="66">
        <f t="shared" si="36"/>
        <v>2262</v>
      </c>
      <c r="V85" s="65">
        <f>VLOOKUP(B85,'124+900 '!$B$13:$AA$314,15,FALSE)</f>
        <v>-738</v>
      </c>
      <c r="W85" s="64">
        <f t="shared" si="44"/>
        <v>-17</v>
      </c>
      <c r="X85" s="63">
        <f t="shared" si="45"/>
        <v>-625</v>
      </c>
      <c r="Y85" s="62">
        <f t="shared" si="46"/>
        <v>-10</v>
      </c>
      <c r="Z85" s="61">
        <f t="shared" si="37"/>
        <v>0</v>
      </c>
      <c r="AA85" s="60">
        <f t="shared" si="47"/>
        <v>2.238</v>
      </c>
      <c r="AB85" s="60">
        <f t="shared" si="48"/>
        <v>2.2839999999999998</v>
      </c>
      <c r="AC85" s="53"/>
      <c r="AD85" s="53"/>
      <c r="AE85" s="53"/>
      <c r="AF85" s="53"/>
    </row>
    <row r="86" spans="1:32" s="79" customFormat="1" ht="15" customHeight="1">
      <c r="A86" s="82"/>
      <c r="B86" s="74">
        <f>'124+900 '!B86</f>
        <v>45489</v>
      </c>
      <c r="C86" s="73">
        <f t="shared" si="38"/>
        <v>246</v>
      </c>
      <c r="D86" s="72">
        <f t="shared" si="39"/>
        <v>1026</v>
      </c>
      <c r="E86" s="67">
        <f>VLOOKUP(B86,'124+900 '!B61:AA666,3,FALSE)</f>
        <v>2831</v>
      </c>
      <c r="F86" s="67">
        <f t="shared" si="33"/>
        <v>3857</v>
      </c>
      <c r="G86" s="71">
        <f>VLOOKUP(B86,'124+900 '!$B$13:$AA$314,20,FALSE)</f>
        <v>1549</v>
      </c>
      <c r="H86" s="71">
        <f>VLOOKUP(B86,'124+900 '!$B$13:$AA$314,4,FALSE)</f>
        <v>1633</v>
      </c>
      <c r="I86" s="66">
        <f t="shared" si="34"/>
        <v>2224</v>
      </c>
      <c r="J86" s="66">
        <f>VLOOKUP(B86,'124+900 '!$B$13:$AA$314,13,FALSE)</f>
        <v>-776</v>
      </c>
      <c r="K86" s="70">
        <f t="shared" si="40"/>
        <v>-8</v>
      </c>
      <c r="L86" s="69">
        <f t="shared" si="41"/>
        <v>-655</v>
      </c>
      <c r="M86" s="68">
        <f>VLOOKUP(B86,'124+900 '!$B$13:$AA$314,21,FALSE)</f>
        <v>1392</v>
      </c>
      <c r="N86" s="67">
        <f>VLOOKUP(B86,'124+900 '!$B$13:$AA$314,5,FALSE)</f>
        <v>1749</v>
      </c>
      <c r="O86" s="66">
        <f t="shared" si="35"/>
        <v>2108</v>
      </c>
      <c r="P86" s="66">
        <f>VLOOKUP(B86,'124+900 '!$B$13:$AA$314,14,FALSE)</f>
        <v>-892</v>
      </c>
      <c r="Q86" s="70">
        <f t="shared" si="42"/>
        <v>-10</v>
      </c>
      <c r="R86" s="69">
        <f t="shared" si="43"/>
        <v>-769</v>
      </c>
      <c r="S86" s="68">
        <f>VLOOKUP(B86,'124+900 '!$B$13:$AA$314,22,FALSE)</f>
        <v>1450</v>
      </c>
      <c r="T86" s="67">
        <f>VLOOKUP(B86,'124+900 '!$B$13:$AA$314,6,FALSE)</f>
        <v>1611</v>
      </c>
      <c r="U86" s="66">
        <f t="shared" si="36"/>
        <v>2246</v>
      </c>
      <c r="V86" s="65">
        <f>VLOOKUP(B86,'124+900 '!$B$13:$AA$314,15,FALSE)</f>
        <v>-754</v>
      </c>
      <c r="W86" s="64">
        <f t="shared" si="44"/>
        <v>-16</v>
      </c>
      <c r="X86" s="63">
        <f t="shared" si="45"/>
        <v>-641</v>
      </c>
      <c r="Y86" s="62">
        <f t="shared" si="46"/>
        <v>-10</v>
      </c>
      <c r="Z86" s="61">
        <f t="shared" si="37"/>
        <v>0</v>
      </c>
      <c r="AA86" s="60">
        <f t="shared" si="47"/>
        <v>2.238</v>
      </c>
      <c r="AB86" s="60">
        <f t="shared" si="48"/>
        <v>2.2839999999999998</v>
      </c>
      <c r="AC86" s="53"/>
      <c r="AD86" s="53"/>
      <c r="AE86" s="53"/>
      <c r="AF86" s="53"/>
    </row>
    <row r="87" spans="1:32" s="79" customFormat="1" ht="15" customHeight="1">
      <c r="A87" s="82"/>
      <c r="B87" s="74">
        <f>'124+900 '!B87</f>
        <v>45496</v>
      </c>
      <c r="C87" s="73">
        <f t="shared" si="38"/>
        <v>253</v>
      </c>
      <c r="D87" s="72">
        <f t="shared" si="39"/>
        <v>1026</v>
      </c>
      <c r="E87" s="67">
        <f>VLOOKUP(B87,'124+900 '!B62:AA667,3,FALSE)</f>
        <v>2832</v>
      </c>
      <c r="F87" s="67">
        <f t="shared" si="33"/>
        <v>3858</v>
      </c>
      <c r="G87" s="71">
        <f>VLOOKUP(B87,'124+900 '!$B$13:$AA$314,20,FALSE)</f>
        <v>1540</v>
      </c>
      <c r="H87" s="71">
        <f>VLOOKUP(B87,'124+900 '!$B$13:$AA$314,4,FALSE)</f>
        <v>1643</v>
      </c>
      <c r="I87" s="66">
        <f t="shared" si="34"/>
        <v>2215</v>
      </c>
      <c r="J87" s="66">
        <f>VLOOKUP(B87,'124+900 '!$B$13:$AA$314,13,FALSE)</f>
        <v>-785</v>
      </c>
      <c r="K87" s="70">
        <f t="shared" si="40"/>
        <v>-9</v>
      </c>
      <c r="L87" s="69">
        <f t="shared" si="41"/>
        <v>-664</v>
      </c>
      <c r="M87" s="68">
        <f>VLOOKUP(B87,'124+900 '!$B$13:$AA$314,21,FALSE)</f>
        <v>1382</v>
      </c>
      <c r="N87" s="67">
        <f>VLOOKUP(B87,'124+900 '!$B$13:$AA$314,5,FALSE)</f>
        <v>1760</v>
      </c>
      <c r="O87" s="66">
        <f t="shared" si="35"/>
        <v>2098</v>
      </c>
      <c r="P87" s="66">
        <f>VLOOKUP(B87,'124+900 '!$B$13:$AA$314,14,FALSE)</f>
        <v>-902</v>
      </c>
      <c r="Q87" s="70">
        <f t="shared" si="42"/>
        <v>-10</v>
      </c>
      <c r="R87" s="69">
        <f t="shared" si="43"/>
        <v>-779</v>
      </c>
      <c r="S87" s="68">
        <f>VLOOKUP(B87,'124+900 '!$B$13:$AA$314,22,FALSE)</f>
        <v>1435</v>
      </c>
      <c r="T87" s="67">
        <f>VLOOKUP(B87,'124+900 '!$B$13:$AA$314,6,FALSE)</f>
        <v>1627</v>
      </c>
      <c r="U87" s="66">
        <f t="shared" si="36"/>
        <v>2231</v>
      </c>
      <c r="V87" s="65">
        <f>VLOOKUP(B87,'124+900 '!$B$13:$AA$314,15,FALSE)</f>
        <v>-769</v>
      </c>
      <c r="W87" s="64">
        <f t="shared" si="44"/>
        <v>-15</v>
      </c>
      <c r="X87" s="63">
        <f t="shared" si="45"/>
        <v>-656</v>
      </c>
      <c r="Y87" s="62">
        <f t="shared" si="46"/>
        <v>-10</v>
      </c>
      <c r="Z87" s="61">
        <f t="shared" si="37"/>
        <v>0</v>
      </c>
      <c r="AA87" s="60">
        <f t="shared" si="47"/>
        <v>2.238</v>
      </c>
      <c r="AB87" s="60">
        <f t="shared" si="48"/>
        <v>2.2839999999999998</v>
      </c>
      <c r="AC87" s="53"/>
      <c r="AD87" s="53"/>
      <c r="AE87" s="53"/>
      <c r="AF87" s="53"/>
    </row>
    <row r="88" spans="1:32" s="79" customFormat="1" ht="15" customHeight="1">
      <c r="A88" s="82"/>
      <c r="B88" s="74">
        <f>'124+900 '!B88</f>
        <v>45503</v>
      </c>
      <c r="C88" s="73">
        <f t="shared" si="38"/>
        <v>260</v>
      </c>
      <c r="D88" s="72">
        <f t="shared" si="39"/>
        <v>1026</v>
      </c>
      <c r="E88" s="67">
        <f>VLOOKUP(B88,'124+900 '!B63:AA668,3,FALSE)</f>
        <v>2833</v>
      </c>
      <c r="F88" s="67">
        <f t="shared" si="33"/>
        <v>3859</v>
      </c>
      <c r="G88" s="71">
        <f>VLOOKUP(B88,'124+900 '!$B$13:$AA$314,20,FALSE)</f>
        <v>1532</v>
      </c>
      <c r="H88" s="71">
        <f>VLOOKUP(B88,'124+900 '!$B$13:$AA$314,4,FALSE)</f>
        <v>1652</v>
      </c>
      <c r="I88" s="66">
        <f t="shared" si="34"/>
        <v>2207</v>
      </c>
      <c r="J88" s="66">
        <f>VLOOKUP(B88,'124+900 '!$B$13:$AA$314,13,FALSE)</f>
        <v>-793</v>
      </c>
      <c r="K88" s="70">
        <f t="shared" si="40"/>
        <v>-8</v>
      </c>
      <c r="L88" s="69">
        <f t="shared" si="41"/>
        <v>-672</v>
      </c>
      <c r="M88" s="68">
        <f>VLOOKUP(B88,'124+900 '!$B$13:$AA$314,21,FALSE)</f>
        <v>1372</v>
      </c>
      <c r="N88" s="67">
        <f>VLOOKUP(B88,'124+900 '!$B$13:$AA$314,5,FALSE)</f>
        <v>1771</v>
      </c>
      <c r="O88" s="66">
        <f t="shared" si="35"/>
        <v>2088</v>
      </c>
      <c r="P88" s="66">
        <f>VLOOKUP(B88,'124+900 '!$B$13:$AA$314,14,FALSE)</f>
        <v>-912</v>
      </c>
      <c r="Q88" s="70">
        <f t="shared" si="42"/>
        <v>-10</v>
      </c>
      <c r="R88" s="69">
        <f t="shared" si="43"/>
        <v>-789</v>
      </c>
      <c r="S88" s="68">
        <f>VLOOKUP(B88,'124+900 '!$B$13:$AA$314,22,FALSE)</f>
        <v>1421</v>
      </c>
      <c r="T88" s="67">
        <f>VLOOKUP(B88,'124+900 '!$B$13:$AA$314,6,FALSE)</f>
        <v>1642</v>
      </c>
      <c r="U88" s="66">
        <f t="shared" si="36"/>
        <v>2217</v>
      </c>
      <c r="V88" s="65">
        <f>VLOOKUP(B88,'124+900 '!$B$13:$AA$314,15,FALSE)</f>
        <v>-783</v>
      </c>
      <c r="W88" s="64">
        <f t="shared" si="44"/>
        <v>-14</v>
      </c>
      <c r="X88" s="63">
        <f t="shared" si="45"/>
        <v>-670</v>
      </c>
      <c r="Y88" s="62">
        <f t="shared" si="46"/>
        <v>-10</v>
      </c>
      <c r="Z88" s="61">
        <f t="shared" si="37"/>
        <v>0</v>
      </c>
      <c r="AA88" s="60">
        <f t="shared" si="47"/>
        <v>2.238</v>
      </c>
      <c r="AB88" s="60">
        <f t="shared" si="48"/>
        <v>2.2839999999999998</v>
      </c>
      <c r="AC88" s="53"/>
      <c r="AD88" s="53"/>
      <c r="AE88" s="53"/>
      <c r="AF88" s="53"/>
    </row>
    <row r="89" spans="1:32" s="79" customFormat="1" ht="15" customHeight="1">
      <c r="A89" s="82"/>
      <c r="B89" s="74">
        <f>'124+900 '!B89</f>
        <v>45510</v>
      </c>
      <c r="C89" s="73">
        <f t="shared" si="38"/>
        <v>267</v>
      </c>
      <c r="D89" s="72">
        <f t="shared" si="39"/>
        <v>1026</v>
      </c>
      <c r="E89" s="67">
        <f>VLOOKUP(B89,'124+900 '!B64:AA669,3,FALSE)</f>
        <v>2834</v>
      </c>
      <c r="F89" s="67">
        <f t="shared" si="33"/>
        <v>3860</v>
      </c>
      <c r="G89" s="71">
        <f>VLOOKUP(B89,'124+900 '!$B$13:$AA$314,20,FALSE)</f>
        <v>1523</v>
      </c>
      <c r="H89" s="71">
        <f>VLOOKUP(B89,'124+900 '!$B$13:$AA$314,4,FALSE)</f>
        <v>1662</v>
      </c>
      <c r="I89" s="66">
        <f t="shared" si="34"/>
        <v>2198</v>
      </c>
      <c r="J89" s="66">
        <f>VLOOKUP(B89,'124+900 '!$B$13:$AA$314,13,FALSE)</f>
        <v>-802</v>
      </c>
      <c r="K89" s="70">
        <f t="shared" si="40"/>
        <v>-9</v>
      </c>
      <c r="L89" s="69">
        <f t="shared" si="41"/>
        <v>-681</v>
      </c>
      <c r="M89" s="68">
        <f>VLOOKUP(B89,'124+900 '!$B$13:$AA$314,21,FALSE)</f>
        <v>1362</v>
      </c>
      <c r="N89" s="67">
        <f>VLOOKUP(B89,'124+900 '!$B$13:$AA$314,5,FALSE)</f>
        <v>1782</v>
      </c>
      <c r="O89" s="66">
        <f t="shared" si="35"/>
        <v>2078</v>
      </c>
      <c r="P89" s="66">
        <f>VLOOKUP(B89,'124+900 '!$B$13:$AA$314,14,FALSE)</f>
        <v>-922</v>
      </c>
      <c r="Q89" s="70">
        <f t="shared" si="42"/>
        <v>-10</v>
      </c>
      <c r="R89" s="69">
        <f t="shared" si="43"/>
        <v>-799</v>
      </c>
      <c r="S89" s="68">
        <f>VLOOKUP(B89,'124+900 '!$B$13:$AA$314,22,FALSE)</f>
        <v>1411</v>
      </c>
      <c r="T89" s="67">
        <f>VLOOKUP(B89,'124+900 '!$B$13:$AA$314,6,FALSE)</f>
        <v>1653</v>
      </c>
      <c r="U89" s="66">
        <f t="shared" si="36"/>
        <v>2207</v>
      </c>
      <c r="V89" s="65">
        <f>VLOOKUP(B89,'124+900 '!$B$13:$AA$314,15,FALSE)</f>
        <v>-793</v>
      </c>
      <c r="W89" s="64">
        <f t="shared" si="44"/>
        <v>-10</v>
      </c>
      <c r="X89" s="63">
        <f t="shared" si="45"/>
        <v>-680</v>
      </c>
      <c r="Y89" s="62">
        <f t="shared" si="46"/>
        <v>-10</v>
      </c>
      <c r="Z89" s="61">
        <f t="shared" si="37"/>
        <v>0</v>
      </c>
      <c r="AA89" s="60">
        <f t="shared" si="47"/>
        <v>2.238</v>
      </c>
      <c r="AB89" s="60">
        <f t="shared" si="48"/>
        <v>2.2839999999999998</v>
      </c>
      <c r="AC89" s="53"/>
      <c r="AD89" s="53"/>
      <c r="AE89" s="53"/>
      <c r="AF89" s="53"/>
    </row>
    <row r="90" spans="1:32" s="79" customFormat="1" ht="15" customHeight="1">
      <c r="A90" s="82"/>
      <c r="B90" s="74">
        <f>'124+900 '!B90</f>
        <v>45517</v>
      </c>
      <c r="C90" s="73">
        <f t="shared" si="38"/>
        <v>274</v>
      </c>
      <c r="D90" s="72">
        <f t="shared" si="39"/>
        <v>1026</v>
      </c>
      <c r="E90" s="67">
        <f>VLOOKUP(B90,'124+900 '!B65:AA670,3,FALSE)</f>
        <v>2835</v>
      </c>
      <c r="F90" s="67">
        <f t="shared" si="33"/>
        <v>3861</v>
      </c>
      <c r="G90" s="71">
        <f>VLOOKUP(B90,'124+900 '!$B$13:$AA$314,20,FALSE)</f>
        <v>1515</v>
      </c>
      <c r="H90" s="71">
        <f>VLOOKUP(B90,'124+900 '!$B$13:$AA$314,4,FALSE)</f>
        <v>1671</v>
      </c>
      <c r="I90" s="66">
        <f t="shared" si="34"/>
        <v>2190</v>
      </c>
      <c r="J90" s="66">
        <f>VLOOKUP(B90,'124+900 '!$B$13:$AA$314,13,FALSE)</f>
        <v>-810</v>
      </c>
      <c r="K90" s="70">
        <f t="shared" si="40"/>
        <v>-8</v>
      </c>
      <c r="L90" s="69">
        <f t="shared" si="41"/>
        <v>-689</v>
      </c>
      <c r="M90" s="68">
        <f>VLOOKUP(B90,'124+900 '!$B$13:$AA$314,21,FALSE)</f>
        <v>1352</v>
      </c>
      <c r="N90" s="67">
        <f>VLOOKUP(B90,'124+900 '!$B$13:$AA$314,5,FALSE)</f>
        <v>1793</v>
      </c>
      <c r="O90" s="66">
        <f t="shared" si="35"/>
        <v>2068</v>
      </c>
      <c r="P90" s="66">
        <f>VLOOKUP(B90,'124+900 '!$B$13:$AA$314,14,FALSE)</f>
        <v>-932</v>
      </c>
      <c r="Q90" s="70">
        <f t="shared" si="42"/>
        <v>-10</v>
      </c>
      <c r="R90" s="69">
        <f t="shared" si="43"/>
        <v>-809</v>
      </c>
      <c r="S90" s="68">
        <f>VLOOKUP(B90,'124+900 '!$B$13:$AA$314,22,FALSE)</f>
        <v>1402</v>
      </c>
      <c r="T90" s="67">
        <f>VLOOKUP(B90,'124+900 '!$B$13:$AA$314,6,FALSE)</f>
        <v>1663</v>
      </c>
      <c r="U90" s="66">
        <f t="shared" si="36"/>
        <v>2198</v>
      </c>
      <c r="V90" s="65">
        <f>VLOOKUP(B90,'124+900 '!$B$13:$AA$314,15,FALSE)</f>
        <v>-802</v>
      </c>
      <c r="W90" s="64">
        <f t="shared" si="44"/>
        <v>-9</v>
      </c>
      <c r="X90" s="63">
        <f t="shared" si="45"/>
        <v>-689</v>
      </c>
      <c r="Y90" s="62">
        <f t="shared" si="46"/>
        <v>-10</v>
      </c>
      <c r="Z90" s="61">
        <f t="shared" si="37"/>
        <v>0</v>
      </c>
      <c r="AA90" s="60">
        <f t="shared" si="47"/>
        <v>2.238</v>
      </c>
      <c r="AB90" s="60">
        <f t="shared" si="48"/>
        <v>2.2839999999999998</v>
      </c>
      <c r="AC90" s="53"/>
      <c r="AD90" s="53"/>
      <c r="AE90" s="53"/>
      <c r="AF90" s="53"/>
    </row>
    <row r="91" spans="1:32" s="79" customFormat="1" ht="15" customHeight="1">
      <c r="A91" s="82"/>
      <c r="B91" s="74">
        <f>'124+900 '!B91</f>
        <v>45524</v>
      </c>
      <c r="C91" s="73">
        <f t="shared" si="38"/>
        <v>281</v>
      </c>
      <c r="D91" s="72">
        <f t="shared" si="39"/>
        <v>1026</v>
      </c>
      <c r="E91" s="67">
        <f>VLOOKUP(B91,'124+900 '!B66:AA671,3,FALSE)</f>
        <v>2836</v>
      </c>
      <c r="F91" s="67">
        <f t="shared" si="33"/>
        <v>3862</v>
      </c>
      <c r="G91" s="71">
        <f>VLOOKUP(B91,'124+900 '!$B$13:$AA$314,20,FALSE)</f>
        <v>1507</v>
      </c>
      <c r="H91" s="71">
        <f>VLOOKUP(B91,'124+900 '!$B$13:$AA$314,4,FALSE)</f>
        <v>1680</v>
      </c>
      <c r="I91" s="66">
        <f t="shared" si="34"/>
        <v>2182</v>
      </c>
      <c r="J91" s="66">
        <f>VLOOKUP(B91,'124+900 '!$B$13:$AA$314,13,FALSE)</f>
        <v>-818</v>
      </c>
      <c r="K91" s="70">
        <f t="shared" si="40"/>
        <v>-8</v>
      </c>
      <c r="L91" s="69">
        <f t="shared" si="41"/>
        <v>-697</v>
      </c>
      <c r="M91" s="68">
        <f>VLOOKUP(B91,'124+900 '!$B$13:$AA$314,21,FALSE)</f>
        <v>1342</v>
      </c>
      <c r="N91" s="67">
        <f>VLOOKUP(B91,'124+900 '!$B$13:$AA$314,5,FALSE)</f>
        <v>1804</v>
      </c>
      <c r="O91" s="66">
        <f t="shared" si="35"/>
        <v>2058</v>
      </c>
      <c r="P91" s="66">
        <f>VLOOKUP(B91,'124+900 '!$B$13:$AA$314,14,FALSE)</f>
        <v>-942</v>
      </c>
      <c r="Q91" s="70">
        <f t="shared" si="42"/>
        <v>-10</v>
      </c>
      <c r="R91" s="69">
        <f t="shared" si="43"/>
        <v>-819</v>
      </c>
      <c r="S91" s="68">
        <f>VLOOKUP(B91,'124+900 '!$B$13:$AA$314,22,FALSE)</f>
        <v>1394</v>
      </c>
      <c r="T91" s="67">
        <f>VLOOKUP(B91,'124+900 '!$B$13:$AA$314,6,FALSE)</f>
        <v>1672</v>
      </c>
      <c r="U91" s="66">
        <f t="shared" si="36"/>
        <v>2190</v>
      </c>
      <c r="V91" s="65">
        <f>VLOOKUP(B91,'124+900 '!$B$13:$AA$314,15,FALSE)</f>
        <v>-810</v>
      </c>
      <c r="W91" s="64">
        <f t="shared" si="44"/>
        <v>-8</v>
      </c>
      <c r="X91" s="63">
        <f t="shared" si="45"/>
        <v>-697</v>
      </c>
      <c r="Y91" s="62">
        <f t="shared" si="46"/>
        <v>-10</v>
      </c>
      <c r="Z91" s="61">
        <f t="shared" si="37"/>
        <v>0</v>
      </c>
      <c r="AA91" s="60">
        <f t="shared" si="47"/>
        <v>2.238</v>
      </c>
      <c r="AB91" s="60">
        <f t="shared" si="48"/>
        <v>2.2839999999999998</v>
      </c>
      <c r="AC91" s="53"/>
      <c r="AD91" s="53"/>
      <c r="AE91" s="53"/>
      <c r="AF91" s="53"/>
    </row>
    <row r="92" spans="1:32" s="79" customFormat="1" ht="15" customHeight="1" thickBot="1">
      <c r="A92" s="81"/>
      <c r="B92" s="74">
        <f>'124+900 '!B92</f>
        <v>45531</v>
      </c>
      <c r="C92" s="73">
        <f t="shared" si="38"/>
        <v>288</v>
      </c>
      <c r="D92" s="72">
        <f t="shared" si="39"/>
        <v>1026</v>
      </c>
      <c r="E92" s="67">
        <f>VLOOKUP(B92,'124+900 '!B67:AA672,3,FALSE)</f>
        <v>2837</v>
      </c>
      <c r="F92" s="67">
        <f t="shared" si="33"/>
        <v>3863</v>
      </c>
      <c r="G92" s="71">
        <f>VLOOKUP(B92,'124+900 '!$B$13:$AA$314,20,FALSE)</f>
        <v>1499</v>
      </c>
      <c r="H92" s="71">
        <f>VLOOKUP(B92,'124+900 '!$B$13:$AA$314,4,FALSE)</f>
        <v>1689</v>
      </c>
      <c r="I92" s="66">
        <f t="shared" si="34"/>
        <v>2174</v>
      </c>
      <c r="J92" s="66">
        <f>VLOOKUP(B92,'124+900 '!$B$13:$AA$314,13,FALSE)</f>
        <v>-826</v>
      </c>
      <c r="K92" s="70">
        <f t="shared" si="40"/>
        <v>-8</v>
      </c>
      <c r="L92" s="69">
        <f t="shared" si="41"/>
        <v>-705</v>
      </c>
      <c r="M92" s="68">
        <f>VLOOKUP(B92,'124+900 '!$B$13:$AA$314,21,FALSE)</f>
        <v>1332</v>
      </c>
      <c r="N92" s="67">
        <f>VLOOKUP(B92,'124+900 '!$B$13:$AA$314,5,FALSE)</f>
        <v>1815</v>
      </c>
      <c r="O92" s="66">
        <f t="shared" si="35"/>
        <v>2048</v>
      </c>
      <c r="P92" s="66">
        <f>VLOOKUP(B92,'124+900 '!$B$13:$AA$314,14,FALSE)</f>
        <v>-952</v>
      </c>
      <c r="Q92" s="70">
        <f t="shared" si="42"/>
        <v>-10</v>
      </c>
      <c r="R92" s="69">
        <f t="shared" si="43"/>
        <v>-829</v>
      </c>
      <c r="S92" s="68">
        <f>VLOOKUP(B92,'124+900 '!$B$13:$AA$314,22,FALSE)</f>
        <v>1386</v>
      </c>
      <c r="T92" s="67">
        <f>VLOOKUP(B92,'124+900 '!$B$13:$AA$314,6,FALSE)</f>
        <v>1681</v>
      </c>
      <c r="U92" s="66">
        <f t="shared" si="36"/>
        <v>2182</v>
      </c>
      <c r="V92" s="65">
        <f>VLOOKUP(B92,'124+900 '!$B$13:$AA$314,15,FALSE)</f>
        <v>-818</v>
      </c>
      <c r="W92" s="64">
        <f t="shared" si="44"/>
        <v>-8</v>
      </c>
      <c r="X92" s="63">
        <f t="shared" si="45"/>
        <v>-705</v>
      </c>
      <c r="Y92" s="62">
        <f t="shared" si="46"/>
        <v>-10</v>
      </c>
      <c r="Z92" s="61">
        <f t="shared" si="37"/>
        <v>0</v>
      </c>
      <c r="AA92" s="60">
        <f t="shared" si="47"/>
        <v>2.238</v>
      </c>
      <c r="AB92" s="60">
        <f t="shared" si="48"/>
        <v>2.2839999999999998</v>
      </c>
      <c r="AC92" s="53"/>
      <c r="AD92" s="53"/>
      <c r="AE92" s="53"/>
      <c r="AF92" s="53"/>
    </row>
    <row r="93" spans="1:32" s="79" customFormat="1" ht="15" customHeight="1" thickTop="1">
      <c r="A93" s="80"/>
      <c r="B93" s="74">
        <f>'124+900 '!B93</f>
        <v>45538</v>
      </c>
      <c r="C93" s="73">
        <f t="shared" si="38"/>
        <v>295</v>
      </c>
      <c r="D93" s="72">
        <f t="shared" si="39"/>
        <v>1026</v>
      </c>
      <c r="E93" s="67">
        <f>VLOOKUP(B93,'124+900 '!B68:AA673,3,FALSE)</f>
        <v>2838</v>
      </c>
      <c r="F93" s="67">
        <f t="shared" si="33"/>
        <v>3864</v>
      </c>
      <c r="G93" s="71">
        <f>VLOOKUP(B93,'124+900 '!$B$13:$AA$314,20,FALSE)</f>
        <v>1492</v>
      </c>
      <c r="H93" s="71">
        <f>VLOOKUP(B93,'124+900 '!$B$13:$AA$314,4,FALSE)</f>
        <v>1697</v>
      </c>
      <c r="I93" s="66">
        <f t="shared" si="34"/>
        <v>2167</v>
      </c>
      <c r="J93" s="66">
        <f>VLOOKUP(B93,'124+900 '!$B$13:$AA$314,13,FALSE)</f>
        <v>-833</v>
      </c>
      <c r="K93" s="70">
        <f t="shared" si="40"/>
        <v>-7</v>
      </c>
      <c r="L93" s="69">
        <f t="shared" si="41"/>
        <v>-712</v>
      </c>
      <c r="M93" s="68">
        <f>VLOOKUP(B93,'124+900 '!$B$13:$AA$314,21,FALSE)</f>
        <v>1322</v>
      </c>
      <c r="N93" s="67">
        <f>VLOOKUP(B93,'124+900 '!$B$13:$AA$314,5,FALSE)</f>
        <v>1826</v>
      </c>
      <c r="O93" s="66">
        <f t="shared" si="35"/>
        <v>2038</v>
      </c>
      <c r="P93" s="66">
        <f>VLOOKUP(B93,'124+900 '!$B$13:$AA$314,14,FALSE)</f>
        <v>-962</v>
      </c>
      <c r="Q93" s="70">
        <f t="shared" si="42"/>
        <v>-10</v>
      </c>
      <c r="R93" s="69">
        <f t="shared" si="43"/>
        <v>-839</v>
      </c>
      <c r="S93" s="68">
        <f>VLOOKUP(B93,'124+900 '!$B$13:$AA$314,22,FALSE)</f>
        <v>1379</v>
      </c>
      <c r="T93" s="67">
        <f>VLOOKUP(B93,'124+900 '!$B$13:$AA$314,6,FALSE)</f>
        <v>1689</v>
      </c>
      <c r="U93" s="66">
        <f t="shared" si="36"/>
        <v>2175</v>
      </c>
      <c r="V93" s="65">
        <f>VLOOKUP(B93,'124+900 '!$B$13:$AA$314,15,FALSE)</f>
        <v>-825</v>
      </c>
      <c r="W93" s="64">
        <f t="shared" si="44"/>
        <v>-7</v>
      </c>
      <c r="X93" s="63">
        <f t="shared" si="45"/>
        <v>-712</v>
      </c>
      <c r="Y93" s="62">
        <f t="shared" si="46"/>
        <v>-10</v>
      </c>
      <c r="Z93" s="61">
        <f t="shared" si="37"/>
        <v>0</v>
      </c>
      <c r="AA93" s="60">
        <f t="shared" si="47"/>
        <v>2.238</v>
      </c>
      <c r="AB93" s="60">
        <f t="shared" si="48"/>
        <v>2.2839999999999998</v>
      </c>
      <c r="AC93" s="53"/>
      <c r="AD93" s="53"/>
      <c r="AE93" s="53"/>
      <c r="AF93" s="53"/>
    </row>
    <row r="94" spans="1:32" s="79" customFormat="1" ht="15" customHeight="1">
      <c r="A94" s="80"/>
      <c r="B94" s="74">
        <f>'124+900 '!B94</f>
        <v>45545</v>
      </c>
      <c r="C94" s="73">
        <f t="shared" si="38"/>
        <v>302</v>
      </c>
      <c r="D94" s="72">
        <f t="shared" si="39"/>
        <v>1026</v>
      </c>
      <c r="E94" s="67">
        <f>VLOOKUP(B94,'124+900 '!B69:AA674,3,FALSE)</f>
        <v>2839</v>
      </c>
      <c r="F94" s="67">
        <f t="shared" si="33"/>
        <v>3865</v>
      </c>
      <c r="G94" s="71">
        <f>VLOOKUP(B94,'124+900 '!$B$13:$AA$314,20,FALSE)</f>
        <v>1486</v>
      </c>
      <c r="H94" s="71">
        <f>VLOOKUP(B94,'124+900 '!$B$13:$AA$314,4,FALSE)</f>
        <v>1704</v>
      </c>
      <c r="I94" s="66">
        <f t="shared" si="34"/>
        <v>2161</v>
      </c>
      <c r="J94" s="66">
        <f>VLOOKUP(B94,'124+900 '!$B$13:$AA$314,13,FALSE)</f>
        <v>-839</v>
      </c>
      <c r="K94" s="70">
        <f t="shared" si="40"/>
        <v>-6</v>
      </c>
      <c r="L94" s="69">
        <f t="shared" si="41"/>
        <v>-718</v>
      </c>
      <c r="M94" s="68">
        <f>VLOOKUP(B94,'124+900 '!$B$13:$AA$314,21,FALSE)</f>
        <v>1312</v>
      </c>
      <c r="N94" s="67">
        <f>VLOOKUP(B94,'124+900 '!$B$13:$AA$314,5,FALSE)</f>
        <v>1837</v>
      </c>
      <c r="O94" s="66">
        <f t="shared" si="35"/>
        <v>2028</v>
      </c>
      <c r="P94" s="66">
        <f>VLOOKUP(B94,'124+900 '!$B$13:$AA$314,14,FALSE)</f>
        <v>-972</v>
      </c>
      <c r="Q94" s="70">
        <f t="shared" si="42"/>
        <v>-10</v>
      </c>
      <c r="R94" s="69">
        <f t="shared" si="43"/>
        <v>-849</v>
      </c>
      <c r="S94" s="68">
        <f>VLOOKUP(B94,'124+900 '!$B$13:$AA$314,22,FALSE)</f>
        <v>1373</v>
      </c>
      <c r="T94" s="67">
        <f>VLOOKUP(B94,'124+900 '!$B$13:$AA$314,6,FALSE)</f>
        <v>1696</v>
      </c>
      <c r="U94" s="66">
        <f t="shared" si="36"/>
        <v>2169</v>
      </c>
      <c r="V94" s="65">
        <f>VLOOKUP(B94,'124+900 '!$B$13:$AA$314,15,FALSE)</f>
        <v>-831</v>
      </c>
      <c r="W94" s="64">
        <f t="shared" si="44"/>
        <v>-6</v>
      </c>
      <c r="X94" s="63">
        <f t="shared" si="45"/>
        <v>-718</v>
      </c>
      <c r="Y94" s="62">
        <f t="shared" si="46"/>
        <v>-10</v>
      </c>
      <c r="Z94" s="61">
        <f t="shared" si="37"/>
        <v>0</v>
      </c>
      <c r="AA94" s="60">
        <f t="shared" si="47"/>
        <v>2.238</v>
      </c>
      <c r="AB94" s="60">
        <f t="shared" si="48"/>
        <v>2.2839999999999998</v>
      </c>
      <c r="AC94" s="53"/>
      <c r="AD94" s="53"/>
      <c r="AE94" s="53"/>
      <c r="AF94" s="53"/>
    </row>
    <row r="95" spans="1:32" s="79" customFormat="1" ht="15" customHeight="1">
      <c r="A95" s="80"/>
      <c r="B95" s="74">
        <f>'124+900 '!B95</f>
        <v>45552</v>
      </c>
      <c r="C95" s="73">
        <f t="shared" si="38"/>
        <v>309</v>
      </c>
      <c r="D95" s="72">
        <f t="shared" si="39"/>
        <v>1026</v>
      </c>
      <c r="E95" s="67">
        <f>VLOOKUP(B95,'124+900 '!B70:AA675,3,FALSE)</f>
        <v>2840</v>
      </c>
      <c r="F95" s="67">
        <f t="shared" si="33"/>
        <v>3866</v>
      </c>
      <c r="G95" s="71">
        <f>VLOOKUP(B95,'124+900 '!$B$13:$AA$314,20,FALSE)</f>
        <v>1479</v>
      </c>
      <c r="H95" s="71">
        <f>VLOOKUP(B95,'124+900 '!$B$13:$AA$314,4,FALSE)</f>
        <v>1712</v>
      </c>
      <c r="I95" s="66">
        <f t="shared" si="34"/>
        <v>2154</v>
      </c>
      <c r="J95" s="66">
        <f>VLOOKUP(B95,'124+900 '!$B$13:$AA$314,13,FALSE)</f>
        <v>-846</v>
      </c>
      <c r="K95" s="70">
        <f t="shared" si="40"/>
        <v>-7</v>
      </c>
      <c r="L95" s="69">
        <f t="shared" si="41"/>
        <v>-725</v>
      </c>
      <c r="M95" s="68">
        <f>VLOOKUP(B95,'124+900 '!$B$13:$AA$314,21,FALSE)</f>
        <v>1302</v>
      </c>
      <c r="N95" s="67">
        <f>VLOOKUP(B95,'124+900 '!$B$13:$AA$314,5,FALSE)</f>
        <v>1848</v>
      </c>
      <c r="O95" s="66">
        <f t="shared" si="35"/>
        <v>2018</v>
      </c>
      <c r="P95" s="66">
        <f>VLOOKUP(B95,'124+900 '!$B$13:$AA$314,14,FALSE)</f>
        <v>-982</v>
      </c>
      <c r="Q95" s="70">
        <f t="shared" si="42"/>
        <v>-10</v>
      </c>
      <c r="R95" s="69">
        <f t="shared" si="43"/>
        <v>-859</v>
      </c>
      <c r="S95" s="68">
        <f>VLOOKUP(B95,'124+900 '!$B$13:$AA$314,22,FALSE)</f>
        <v>1368</v>
      </c>
      <c r="T95" s="67">
        <f>VLOOKUP(B95,'124+900 '!$B$13:$AA$314,6,FALSE)</f>
        <v>1702</v>
      </c>
      <c r="U95" s="66">
        <f t="shared" si="36"/>
        <v>2164</v>
      </c>
      <c r="V95" s="65">
        <f>VLOOKUP(B95,'124+900 '!$B$13:$AA$314,15,FALSE)</f>
        <v>-836</v>
      </c>
      <c r="W95" s="64">
        <f t="shared" si="44"/>
        <v>-5</v>
      </c>
      <c r="X95" s="63">
        <f t="shared" si="45"/>
        <v>-723</v>
      </c>
      <c r="Y95" s="62">
        <f t="shared" si="46"/>
        <v>-10</v>
      </c>
      <c r="Z95" s="61">
        <f t="shared" si="37"/>
        <v>0</v>
      </c>
      <c r="AA95" s="60">
        <f t="shared" si="47"/>
        <v>2.238</v>
      </c>
      <c r="AB95" s="60">
        <f t="shared" si="48"/>
        <v>2.2839999999999998</v>
      </c>
      <c r="AC95" s="53"/>
      <c r="AD95" s="53"/>
      <c r="AE95" s="53"/>
      <c r="AF95" s="53"/>
    </row>
    <row r="96" spans="1:32" s="79" customFormat="1" ht="15" customHeight="1">
      <c r="A96" s="80"/>
      <c r="B96" s="74">
        <f>'124+900 '!B96</f>
        <v>45559</v>
      </c>
      <c r="C96" s="73">
        <f t="shared" si="38"/>
        <v>316</v>
      </c>
      <c r="D96" s="72">
        <f t="shared" si="39"/>
        <v>1026</v>
      </c>
      <c r="E96" s="67">
        <f>VLOOKUP(B96,'124+900 '!B71:AA676,3,FALSE)</f>
        <v>2841</v>
      </c>
      <c r="F96" s="67">
        <f t="shared" si="33"/>
        <v>3867</v>
      </c>
      <c r="G96" s="71">
        <f>VLOOKUP(B96,'124+900 '!$B$13:$AA$314,20,FALSE)</f>
        <v>1473</v>
      </c>
      <c r="H96" s="71">
        <f>VLOOKUP(B96,'124+900 '!$B$13:$AA$314,4,FALSE)</f>
        <v>1719</v>
      </c>
      <c r="I96" s="66">
        <f t="shared" si="34"/>
        <v>2148</v>
      </c>
      <c r="J96" s="66">
        <f>VLOOKUP(B96,'124+900 '!$B$13:$AA$314,13,FALSE)</f>
        <v>-852</v>
      </c>
      <c r="K96" s="70">
        <f t="shared" si="40"/>
        <v>-6</v>
      </c>
      <c r="L96" s="69">
        <f t="shared" si="41"/>
        <v>-731</v>
      </c>
      <c r="M96" s="68">
        <f>VLOOKUP(B96,'124+900 '!$B$13:$AA$314,21,FALSE)</f>
        <v>1292</v>
      </c>
      <c r="N96" s="67">
        <f>VLOOKUP(B96,'124+900 '!$B$13:$AA$314,5,FALSE)</f>
        <v>1859</v>
      </c>
      <c r="O96" s="66">
        <f t="shared" si="35"/>
        <v>2008</v>
      </c>
      <c r="P96" s="66">
        <f>VLOOKUP(B96,'124+900 '!$B$13:$AA$314,14,FALSE)</f>
        <v>-992</v>
      </c>
      <c r="Q96" s="70">
        <f t="shared" si="42"/>
        <v>-10</v>
      </c>
      <c r="R96" s="69">
        <f t="shared" si="43"/>
        <v>-869</v>
      </c>
      <c r="S96" s="68">
        <f>VLOOKUP(B96,'124+900 '!$B$13:$AA$314,22,FALSE)</f>
        <v>1361</v>
      </c>
      <c r="T96" s="67">
        <f>VLOOKUP(B96,'124+900 '!$B$13:$AA$314,6,FALSE)</f>
        <v>1710</v>
      </c>
      <c r="U96" s="66">
        <f t="shared" si="36"/>
        <v>2157</v>
      </c>
      <c r="V96" s="65">
        <f>VLOOKUP(B96,'124+900 '!$B$13:$AA$314,15,FALSE)</f>
        <v>-843</v>
      </c>
      <c r="W96" s="64">
        <f t="shared" si="44"/>
        <v>-7</v>
      </c>
      <c r="X96" s="63">
        <f t="shared" si="45"/>
        <v>-730</v>
      </c>
      <c r="Y96" s="62">
        <f t="shared" si="46"/>
        <v>-10</v>
      </c>
      <c r="Z96" s="61">
        <f t="shared" si="37"/>
        <v>0</v>
      </c>
      <c r="AA96" s="60">
        <f t="shared" si="47"/>
        <v>2.238</v>
      </c>
      <c r="AB96" s="60">
        <f t="shared" si="48"/>
        <v>2.2839999999999998</v>
      </c>
      <c r="AC96" s="53"/>
      <c r="AD96" s="53"/>
      <c r="AE96" s="53"/>
      <c r="AF96" s="53"/>
    </row>
    <row r="97" spans="1:32" s="79" customFormat="1" ht="15" customHeight="1">
      <c r="A97" s="80"/>
      <c r="B97" s="74">
        <f>'124+900 '!B97</f>
        <v>45565</v>
      </c>
      <c r="C97" s="73">
        <f t="shared" si="38"/>
        <v>322</v>
      </c>
      <c r="D97" s="72">
        <f t="shared" si="39"/>
        <v>1026</v>
      </c>
      <c r="E97" s="67">
        <f>VLOOKUP(B97,'124+900 '!B72:AA677,3,FALSE)</f>
        <v>2842</v>
      </c>
      <c r="F97" s="67">
        <f t="shared" si="33"/>
        <v>3868</v>
      </c>
      <c r="G97" s="71">
        <f>VLOOKUP(B97,'124+900 '!$B$13:$AA$314,20,FALSE)</f>
        <v>1466</v>
      </c>
      <c r="H97" s="71">
        <f>VLOOKUP(B97,'124+900 '!$B$13:$AA$314,4,FALSE)</f>
        <v>1727</v>
      </c>
      <c r="I97" s="66">
        <f t="shared" si="34"/>
        <v>2141</v>
      </c>
      <c r="J97" s="66">
        <f>VLOOKUP(B97,'124+900 '!$B$13:$AA$314,13,FALSE)</f>
        <v>-859</v>
      </c>
      <c r="K97" s="70">
        <f t="shared" si="40"/>
        <v>-7</v>
      </c>
      <c r="L97" s="69">
        <f t="shared" si="41"/>
        <v>-738</v>
      </c>
      <c r="M97" s="68">
        <f>VLOOKUP(B97,'124+900 '!$B$13:$AA$314,21,FALSE)</f>
        <v>1282</v>
      </c>
      <c r="N97" s="67">
        <f>VLOOKUP(B97,'124+900 '!$B$13:$AA$314,5,FALSE)</f>
        <v>1870</v>
      </c>
      <c r="O97" s="66">
        <f t="shared" si="35"/>
        <v>1998</v>
      </c>
      <c r="P97" s="66">
        <f>VLOOKUP(B97,'124+900 '!$B$13:$AA$314,14,FALSE)</f>
        <v>-1002</v>
      </c>
      <c r="Q97" s="70">
        <f t="shared" si="42"/>
        <v>-10</v>
      </c>
      <c r="R97" s="69">
        <f t="shared" si="43"/>
        <v>-879</v>
      </c>
      <c r="S97" s="68">
        <f>VLOOKUP(B97,'124+900 '!$B$13:$AA$314,22,FALSE)</f>
        <v>1355</v>
      </c>
      <c r="T97" s="67">
        <f>VLOOKUP(B97,'124+900 '!$B$13:$AA$314,6,FALSE)</f>
        <v>1717</v>
      </c>
      <c r="U97" s="66">
        <f t="shared" si="36"/>
        <v>2151</v>
      </c>
      <c r="V97" s="65">
        <f>VLOOKUP(B97,'124+900 '!$B$13:$AA$314,15,FALSE)</f>
        <v>-849</v>
      </c>
      <c r="W97" s="64">
        <f t="shared" si="44"/>
        <v>-6</v>
      </c>
      <c r="X97" s="63">
        <f t="shared" si="45"/>
        <v>-736</v>
      </c>
      <c r="Y97" s="62">
        <f t="shared" si="46"/>
        <v>-10</v>
      </c>
      <c r="Z97" s="61">
        <f t="shared" si="37"/>
        <v>0</v>
      </c>
      <c r="AA97" s="60">
        <f t="shared" si="47"/>
        <v>2.238</v>
      </c>
      <c r="AB97" s="60">
        <f t="shared" si="48"/>
        <v>2.2839999999999998</v>
      </c>
      <c r="AC97" s="53"/>
      <c r="AD97" s="53"/>
      <c r="AE97" s="53"/>
      <c r="AF97" s="53"/>
    </row>
    <row r="98" spans="1:32" s="79" customFormat="1" ht="15" customHeight="1">
      <c r="A98" s="80"/>
      <c r="B98" s="74">
        <f>'124+900 '!B98</f>
        <v>45566</v>
      </c>
      <c r="C98" s="73">
        <f t="shared" si="38"/>
        <v>323</v>
      </c>
      <c r="D98" s="72">
        <f t="shared" si="39"/>
        <v>1026</v>
      </c>
      <c r="E98" s="67">
        <f>VLOOKUP(B98,'124+900 '!B73:AA678,3,FALSE)</f>
        <v>2843</v>
      </c>
      <c r="F98" s="67">
        <f t="shared" si="33"/>
        <v>3869</v>
      </c>
      <c r="G98" s="71">
        <f>VLOOKUP(B98,'124+900 '!$B$13:$AA$314,20,FALSE)</f>
        <v>1460</v>
      </c>
      <c r="H98" s="71">
        <f>VLOOKUP(B98,'124+900 '!$B$13:$AA$314,4,FALSE)</f>
        <v>1734</v>
      </c>
      <c r="I98" s="66">
        <f t="shared" si="34"/>
        <v>2135</v>
      </c>
      <c r="J98" s="66">
        <f>VLOOKUP(B98,'124+900 '!$B$13:$AA$314,13,FALSE)</f>
        <v>-865</v>
      </c>
      <c r="K98" s="70">
        <f t="shared" si="40"/>
        <v>-6</v>
      </c>
      <c r="L98" s="69">
        <f t="shared" si="41"/>
        <v>-744</v>
      </c>
      <c r="M98" s="68">
        <f>VLOOKUP(B98,'124+900 '!$B$13:$AA$314,21,FALSE)</f>
        <v>1272</v>
      </c>
      <c r="N98" s="67">
        <f>VLOOKUP(B98,'124+900 '!$B$13:$AA$314,5,FALSE)</f>
        <v>1881</v>
      </c>
      <c r="O98" s="66">
        <f t="shared" si="35"/>
        <v>1988</v>
      </c>
      <c r="P98" s="66">
        <f>VLOOKUP(B98,'124+900 '!$B$13:$AA$314,14,FALSE)</f>
        <v>-1012</v>
      </c>
      <c r="Q98" s="70">
        <f t="shared" si="42"/>
        <v>-10</v>
      </c>
      <c r="R98" s="69">
        <f t="shared" si="43"/>
        <v>-889</v>
      </c>
      <c r="S98" s="68">
        <f>VLOOKUP(B98,'124+900 '!$B$13:$AA$314,22,FALSE)</f>
        <v>1351</v>
      </c>
      <c r="T98" s="67">
        <f>VLOOKUP(B98,'124+900 '!$B$13:$AA$314,6,FALSE)</f>
        <v>1722</v>
      </c>
      <c r="U98" s="66">
        <f t="shared" si="36"/>
        <v>2147</v>
      </c>
      <c r="V98" s="65">
        <f>VLOOKUP(B98,'124+900 '!$B$13:$AA$314,15,FALSE)</f>
        <v>-853</v>
      </c>
      <c r="W98" s="64">
        <f t="shared" si="44"/>
        <v>-4</v>
      </c>
      <c r="X98" s="63">
        <f t="shared" si="45"/>
        <v>-740</v>
      </c>
      <c r="Y98" s="62">
        <f t="shared" si="46"/>
        <v>-10</v>
      </c>
      <c r="Z98" s="61">
        <f t="shared" si="37"/>
        <v>0</v>
      </c>
      <c r="AA98" s="60">
        <f t="shared" si="47"/>
        <v>2.238</v>
      </c>
      <c r="AB98" s="60">
        <f t="shared" si="48"/>
        <v>2.2839999999999998</v>
      </c>
      <c r="AC98" s="53"/>
      <c r="AD98" s="53"/>
      <c r="AE98" s="53"/>
      <c r="AF98" s="53"/>
    </row>
    <row r="99" spans="1:32" s="79" customFormat="1" ht="15" customHeight="1">
      <c r="A99" s="80"/>
      <c r="B99" s="74">
        <f>'124+900 '!B99</f>
        <v>45567</v>
      </c>
      <c r="C99" s="73">
        <f t="shared" si="38"/>
        <v>324</v>
      </c>
      <c r="D99" s="72">
        <f t="shared" si="39"/>
        <v>1026</v>
      </c>
      <c r="E99" s="67">
        <f>VLOOKUP(B99,'124+900 '!B74:AA679,3,FALSE)</f>
        <v>2844</v>
      </c>
      <c r="F99" s="67">
        <f t="shared" si="33"/>
        <v>3870</v>
      </c>
      <c r="G99" s="71">
        <f>VLOOKUP(B99,'124+900 '!$B$13:$AA$314,20,FALSE)</f>
        <v>1455</v>
      </c>
      <c r="H99" s="71">
        <f>VLOOKUP(B99,'124+900 '!$B$13:$AA$314,4,FALSE)</f>
        <v>1740</v>
      </c>
      <c r="I99" s="66">
        <f t="shared" si="34"/>
        <v>2130</v>
      </c>
      <c r="J99" s="66">
        <f>VLOOKUP(B99,'124+900 '!$B$13:$AA$314,13,FALSE)</f>
        <v>-870</v>
      </c>
      <c r="K99" s="70">
        <f t="shared" si="40"/>
        <v>-5</v>
      </c>
      <c r="L99" s="69">
        <f t="shared" si="41"/>
        <v>-749</v>
      </c>
      <c r="M99" s="68">
        <f>VLOOKUP(B99,'124+900 '!$B$13:$AA$314,21,FALSE)</f>
        <v>1262</v>
      </c>
      <c r="N99" s="67">
        <f>VLOOKUP(B99,'124+900 '!$B$13:$AA$314,5,FALSE)</f>
        <v>1892</v>
      </c>
      <c r="O99" s="66">
        <f t="shared" si="35"/>
        <v>1978</v>
      </c>
      <c r="P99" s="66">
        <f>VLOOKUP(B99,'124+900 '!$B$13:$AA$314,14,FALSE)</f>
        <v>-1022</v>
      </c>
      <c r="Q99" s="70">
        <f t="shared" si="42"/>
        <v>-10</v>
      </c>
      <c r="R99" s="69">
        <f t="shared" si="43"/>
        <v>-899</v>
      </c>
      <c r="S99" s="68">
        <f>VLOOKUP(B99,'124+900 '!$B$13:$AA$314,22,FALSE)</f>
        <v>1348</v>
      </c>
      <c r="T99" s="67">
        <f>VLOOKUP(B99,'124+900 '!$B$13:$AA$314,6,FALSE)</f>
        <v>1726</v>
      </c>
      <c r="U99" s="66">
        <f t="shared" si="36"/>
        <v>2144</v>
      </c>
      <c r="V99" s="65">
        <f>VLOOKUP(B99,'124+900 '!$B$13:$AA$314,15,FALSE)</f>
        <v>-856</v>
      </c>
      <c r="W99" s="64">
        <f t="shared" si="44"/>
        <v>-3</v>
      </c>
      <c r="X99" s="63">
        <f t="shared" si="45"/>
        <v>-743</v>
      </c>
      <c r="Y99" s="62">
        <f t="shared" si="46"/>
        <v>-10</v>
      </c>
      <c r="Z99" s="61">
        <f t="shared" si="37"/>
        <v>0</v>
      </c>
      <c r="AA99" s="60">
        <f t="shared" si="47"/>
        <v>2.238</v>
      </c>
      <c r="AB99" s="60">
        <f t="shared" si="48"/>
        <v>2.2839999999999998</v>
      </c>
      <c r="AC99" s="53"/>
      <c r="AD99" s="53"/>
      <c r="AE99" s="53"/>
      <c r="AF99" s="53"/>
    </row>
    <row r="100" spans="1:32" s="79" customFormat="1" ht="15" customHeight="1">
      <c r="A100" s="80"/>
      <c r="B100" s="74">
        <f>'124+900 '!B100</f>
        <v>45568</v>
      </c>
      <c r="C100" s="73">
        <f t="shared" si="38"/>
        <v>325</v>
      </c>
      <c r="D100" s="72">
        <f t="shared" si="39"/>
        <v>1026</v>
      </c>
      <c r="E100" s="67">
        <f>VLOOKUP(B100,'124+900 '!B75:AA680,3,FALSE)</f>
        <v>2845</v>
      </c>
      <c r="F100" s="67">
        <f t="shared" si="33"/>
        <v>3871</v>
      </c>
      <c r="G100" s="71">
        <f>VLOOKUP(B100,'124+900 '!$B$13:$AA$314,20,FALSE)</f>
        <v>1450</v>
      </c>
      <c r="H100" s="71">
        <f>VLOOKUP(B100,'124+900 '!$B$13:$AA$314,4,FALSE)</f>
        <v>1746</v>
      </c>
      <c r="I100" s="66">
        <f t="shared" si="34"/>
        <v>2125</v>
      </c>
      <c r="J100" s="66">
        <f>VLOOKUP(B100,'124+900 '!$B$13:$AA$314,13,FALSE)</f>
        <v>-875</v>
      </c>
      <c r="K100" s="70">
        <f t="shared" si="40"/>
        <v>-5</v>
      </c>
      <c r="L100" s="69">
        <f t="shared" si="41"/>
        <v>-754</v>
      </c>
      <c r="M100" s="68">
        <f>VLOOKUP(B100,'124+900 '!$B$13:$AA$314,21,FALSE)</f>
        <v>1252</v>
      </c>
      <c r="N100" s="67">
        <f>VLOOKUP(B100,'124+900 '!$B$13:$AA$314,5,FALSE)</f>
        <v>1903</v>
      </c>
      <c r="O100" s="66">
        <f t="shared" si="35"/>
        <v>1968</v>
      </c>
      <c r="P100" s="66">
        <f>VLOOKUP(B100,'124+900 '!$B$13:$AA$314,14,FALSE)</f>
        <v>-1032</v>
      </c>
      <c r="Q100" s="70">
        <f t="shared" si="42"/>
        <v>-10</v>
      </c>
      <c r="R100" s="69">
        <f t="shared" si="43"/>
        <v>-909</v>
      </c>
      <c r="S100" s="68">
        <f>VLOOKUP(B100,'124+900 '!$B$13:$AA$314,22,FALSE)</f>
        <v>1343</v>
      </c>
      <c r="T100" s="67">
        <f>VLOOKUP(B100,'124+900 '!$B$13:$AA$314,6,FALSE)</f>
        <v>1732</v>
      </c>
      <c r="U100" s="66">
        <f t="shared" si="36"/>
        <v>2139</v>
      </c>
      <c r="V100" s="65">
        <f>VLOOKUP(B100,'124+900 '!$B$13:$AA$314,15,FALSE)</f>
        <v>-861</v>
      </c>
      <c r="W100" s="64">
        <f t="shared" si="44"/>
        <v>-5</v>
      </c>
      <c r="X100" s="63">
        <f t="shared" si="45"/>
        <v>-748</v>
      </c>
      <c r="Y100" s="62">
        <f t="shared" si="46"/>
        <v>-10</v>
      </c>
      <c r="Z100" s="61">
        <f t="shared" si="37"/>
        <v>0</v>
      </c>
      <c r="AA100" s="60">
        <f t="shared" si="47"/>
        <v>2.238</v>
      </c>
      <c r="AB100" s="60">
        <f t="shared" si="48"/>
        <v>2.2839999999999998</v>
      </c>
      <c r="AC100" s="53"/>
      <c r="AD100" s="53"/>
      <c r="AE100" s="53"/>
      <c r="AF100" s="53"/>
    </row>
    <row r="101" spans="1:32" s="79" customFormat="1" ht="15" customHeight="1">
      <c r="A101" s="80"/>
      <c r="B101" s="74">
        <f>'124+900 '!B101</f>
        <v>45569</v>
      </c>
      <c r="C101" s="73">
        <f t="shared" si="38"/>
        <v>326</v>
      </c>
      <c r="D101" s="72">
        <f t="shared" si="39"/>
        <v>1026</v>
      </c>
      <c r="E101" s="67">
        <f>VLOOKUP(B101,'124+900 '!B76:AA681,3,FALSE)</f>
        <v>2846</v>
      </c>
      <c r="F101" s="67">
        <f t="shared" si="33"/>
        <v>3872</v>
      </c>
      <c r="G101" s="71">
        <f>VLOOKUP(B101,'124+900 '!$B$13:$AA$314,20,FALSE)</f>
        <v>1446</v>
      </c>
      <c r="H101" s="71">
        <f>VLOOKUP(B101,'124+900 '!$B$13:$AA$314,4,FALSE)</f>
        <v>1751</v>
      </c>
      <c r="I101" s="66">
        <f t="shared" si="34"/>
        <v>2121</v>
      </c>
      <c r="J101" s="66">
        <f>VLOOKUP(B101,'124+900 '!$B$13:$AA$314,13,FALSE)</f>
        <v>-879</v>
      </c>
      <c r="K101" s="70">
        <f t="shared" si="40"/>
        <v>-4</v>
      </c>
      <c r="L101" s="69">
        <f t="shared" si="41"/>
        <v>-758</v>
      </c>
      <c r="M101" s="68">
        <f>VLOOKUP(B101,'124+900 '!$B$13:$AA$314,21,FALSE)</f>
        <v>1242</v>
      </c>
      <c r="N101" s="67">
        <f>VLOOKUP(B101,'124+900 '!$B$13:$AA$314,5,FALSE)</f>
        <v>1914</v>
      </c>
      <c r="O101" s="66">
        <f t="shared" si="35"/>
        <v>1958</v>
      </c>
      <c r="P101" s="66">
        <f>VLOOKUP(B101,'124+900 '!$B$13:$AA$314,14,FALSE)</f>
        <v>-1042</v>
      </c>
      <c r="Q101" s="70">
        <f t="shared" si="42"/>
        <v>-10</v>
      </c>
      <c r="R101" s="69">
        <f t="shared" si="43"/>
        <v>-919</v>
      </c>
      <c r="S101" s="68">
        <f>VLOOKUP(B101,'124+900 '!$B$13:$AA$314,22,FALSE)</f>
        <v>1339</v>
      </c>
      <c r="T101" s="67">
        <f>VLOOKUP(B101,'124+900 '!$B$13:$AA$314,6,FALSE)</f>
        <v>1737</v>
      </c>
      <c r="U101" s="66">
        <f t="shared" si="36"/>
        <v>2135</v>
      </c>
      <c r="V101" s="65">
        <f>VLOOKUP(B101,'124+900 '!$B$13:$AA$314,15,FALSE)</f>
        <v>-865</v>
      </c>
      <c r="W101" s="64">
        <f t="shared" si="44"/>
        <v>-4</v>
      </c>
      <c r="X101" s="63">
        <f t="shared" si="45"/>
        <v>-752</v>
      </c>
      <c r="Y101" s="62">
        <f t="shared" si="46"/>
        <v>-10</v>
      </c>
      <c r="Z101" s="61">
        <f t="shared" si="37"/>
        <v>0</v>
      </c>
      <c r="AA101" s="60">
        <f t="shared" si="47"/>
        <v>2.238</v>
      </c>
      <c r="AB101" s="60">
        <f t="shared" si="48"/>
        <v>2.2839999999999998</v>
      </c>
      <c r="AC101" s="53"/>
      <c r="AD101" s="53"/>
      <c r="AE101" s="53"/>
      <c r="AF101" s="53"/>
    </row>
    <row r="102" spans="1:32" s="79" customFormat="1" ht="15" customHeight="1">
      <c r="A102" s="80"/>
      <c r="B102" s="74">
        <f>'124+900 '!B102</f>
        <v>45570</v>
      </c>
      <c r="C102" s="73">
        <f t="shared" si="38"/>
        <v>327</v>
      </c>
      <c r="D102" s="72">
        <f t="shared" si="39"/>
        <v>1026</v>
      </c>
      <c r="E102" s="67">
        <f>VLOOKUP(B102,'124+900 '!B77:AA682,3,FALSE)</f>
        <v>2847</v>
      </c>
      <c r="F102" s="67">
        <f t="shared" si="33"/>
        <v>3873</v>
      </c>
      <c r="G102" s="71">
        <f>VLOOKUP(B102,'124+900 '!$B$13:$AA$314,20,FALSE)</f>
        <v>1440</v>
      </c>
      <c r="H102" s="71">
        <f>VLOOKUP(B102,'124+900 '!$B$13:$AA$314,4,FALSE)</f>
        <v>1758</v>
      </c>
      <c r="I102" s="66">
        <f t="shared" si="34"/>
        <v>2115</v>
      </c>
      <c r="J102" s="66">
        <f>VLOOKUP(B102,'124+900 '!$B$13:$AA$314,13,FALSE)</f>
        <v>-885</v>
      </c>
      <c r="K102" s="70">
        <f t="shared" si="40"/>
        <v>-6</v>
      </c>
      <c r="L102" s="69">
        <f t="shared" si="41"/>
        <v>-764</v>
      </c>
      <c r="M102" s="68">
        <f>VLOOKUP(B102,'124+900 '!$B$13:$AA$314,21,FALSE)</f>
        <v>1232</v>
      </c>
      <c r="N102" s="67">
        <f>VLOOKUP(B102,'124+900 '!$B$13:$AA$314,5,FALSE)</f>
        <v>1925</v>
      </c>
      <c r="O102" s="66">
        <f t="shared" si="35"/>
        <v>1948</v>
      </c>
      <c r="P102" s="66">
        <f>VLOOKUP(B102,'124+900 '!$B$13:$AA$314,14,FALSE)</f>
        <v>-1052</v>
      </c>
      <c r="Q102" s="70">
        <f t="shared" si="42"/>
        <v>-10</v>
      </c>
      <c r="R102" s="69">
        <f t="shared" si="43"/>
        <v>-929</v>
      </c>
      <c r="S102" s="68">
        <f>VLOOKUP(B102,'124+900 '!$B$13:$AA$314,22,FALSE)</f>
        <v>1337</v>
      </c>
      <c r="T102" s="67">
        <f>VLOOKUP(B102,'124+900 '!$B$13:$AA$314,6,FALSE)</f>
        <v>1740</v>
      </c>
      <c r="U102" s="66">
        <f t="shared" si="36"/>
        <v>2133</v>
      </c>
      <c r="V102" s="65">
        <f>VLOOKUP(B102,'124+900 '!$B$13:$AA$314,15,FALSE)</f>
        <v>-867</v>
      </c>
      <c r="W102" s="64">
        <f t="shared" si="44"/>
        <v>-2</v>
      </c>
      <c r="X102" s="63">
        <f t="shared" si="45"/>
        <v>-754</v>
      </c>
      <c r="Y102" s="62">
        <f t="shared" si="46"/>
        <v>-10</v>
      </c>
      <c r="Z102" s="61">
        <f t="shared" si="37"/>
        <v>0</v>
      </c>
      <c r="AA102" s="60">
        <f t="shared" si="47"/>
        <v>2.238</v>
      </c>
      <c r="AB102" s="60">
        <f t="shared" si="48"/>
        <v>2.2839999999999998</v>
      </c>
      <c r="AC102" s="53"/>
      <c r="AD102" s="53"/>
      <c r="AE102" s="53"/>
      <c r="AF102" s="53"/>
    </row>
    <row r="103" spans="1:32" s="79" customFormat="1" ht="15" customHeight="1">
      <c r="A103" s="80"/>
      <c r="B103" s="74">
        <f>'124+900 '!B103</f>
        <v>45571</v>
      </c>
      <c r="C103" s="73">
        <f t="shared" si="38"/>
        <v>328</v>
      </c>
      <c r="D103" s="72">
        <f t="shared" si="39"/>
        <v>1026</v>
      </c>
      <c r="E103" s="67">
        <f>VLOOKUP(B103,'124+900 '!B78:AA683,3,FALSE)</f>
        <v>2848</v>
      </c>
      <c r="F103" s="67">
        <f t="shared" si="33"/>
        <v>3874</v>
      </c>
      <c r="G103" s="71">
        <f>VLOOKUP(B103,'124+900 '!$B$13:$AA$314,20,FALSE)</f>
        <v>1435</v>
      </c>
      <c r="H103" s="71">
        <f>VLOOKUP(B103,'124+900 '!$B$13:$AA$314,4,FALSE)</f>
        <v>1764</v>
      </c>
      <c r="I103" s="66">
        <f t="shared" si="34"/>
        <v>2110</v>
      </c>
      <c r="J103" s="66">
        <f>VLOOKUP(B103,'124+900 '!$B$13:$AA$314,13,FALSE)</f>
        <v>-890</v>
      </c>
      <c r="K103" s="70">
        <f t="shared" si="40"/>
        <v>-5</v>
      </c>
      <c r="L103" s="69">
        <f t="shared" si="41"/>
        <v>-769</v>
      </c>
      <c r="M103" s="68">
        <f>VLOOKUP(B103,'124+900 '!$B$13:$AA$314,21,FALSE)</f>
        <v>1222</v>
      </c>
      <c r="N103" s="67">
        <f>VLOOKUP(B103,'124+900 '!$B$13:$AA$314,5,FALSE)</f>
        <v>1936</v>
      </c>
      <c r="O103" s="66">
        <f t="shared" si="35"/>
        <v>1938</v>
      </c>
      <c r="P103" s="66">
        <f>VLOOKUP(B103,'124+900 '!$B$13:$AA$314,14,FALSE)</f>
        <v>-1062</v>
      </c>
      <c r="Q103" s="70">
        <f t="shared" si="42"/>
        <v>-10</v>
      </c>
      <c r="R103" s="69">
        <f t="shared" si="43"/>
        <v>-939</v>
      </c>
      <c r="S103" s="68">
        <f>VLOOKUP(B103,'124+900 '!$B$13:$AA$314,22,FALSE)</f>
        <v>1332</v>
      </c>
      <c r="T103" s="67">
        <f>VLOOKUP(B103,'124+900 '!$B$13:$AA$314,6,FALSE)</f>
        <v>1746</v>
      </c>
      <c r="U103" s="66">
        <f t="shared" si="36"/>
        <v>2128</v>
      </c>
      <c r="V103" s="65">
        <f>VLOOKUP(B103,'124+900 '!$B$13:$AA$314,15,FALSE)</f>
        <v>-872</v>
      </c>
      <c r="W103" s="64">
        <f t="shared" si="44"/>
        <v>-5</v>
      </c>
      <c r="X103" s="63">
        <f t="shared" si="45"/>
        <v>-759</v>
      </c>
      <c r="Y103" s="62">
        <f t="shared" si="46"/>
        <v>-10</v>
      </c>
      <c r="Z103" s="61">
        <f t="shared" si="37"/>
        <v>0</v>
      </c>
      <c r="AA103" s="60">
        <f t="shared" si="47"/>
        <v>2.238</v>
      </c>
      <c r="AB103" s="60">
        <f t="shared" si="48"/>
        <v>2.2839999999999998</v>
      </c>
      <c r="AC103" s="53"/>
      <c r="AD103" s="53"/>
      <c r="AE103" s="53"/>
      <c r="AF103" s="53"/>
    </row>
    <row r="104" spans="1:32" s="79" customFormat="1" ht="15" customHeight="1">
      <c r="A104" s="80"/>
      <c r="B104" s="74">
        <f>'124+900 '!B104</f>
        <v>45572</v>
      </c>
      <c r="C104" s="73">
        <f t="shared" si="38"/>
        <v>329</v>
      </c>
      <c r="D104" s="72">
        <f t="shared" si="39"/>
        <v>1026</v>
      </c>
      <c r="E104" s="67">
        <f>VLOOKUP(B104,'124+900 '!B79:AA684,3,FALSE)</f>
        <v>2849</v>
      </c>
      <c r="F104" s="67">
        <f t="shared" si="33"/>
        <v>3875</v>
      </c>
      <c r="G104" s="71">
        <f>VLOOKUP(B104,'124+900 '!$B$13:$AA$314,20,FALSE)</f>
        <v>1428</v>
      </c>
      <c r="H104" s="71">
        <f>VLOOKUP(B104,'124+900 '!$B$13:$AA$314,4,FALSE)</f>
        <v>1772</v>
      </c>
      <c r="I104" s="66">
        <f t="shared" si="34"/>
        <v>2103</v>
      </c>
      <c r="J104" s="66">
        <f>VLOOKUP(B104,'124+900 '!$B$13:$AA$314,13,FALSE)</f>
        <v>-897</v>
      </c>
      <c r="K104" s="70">
        <f t="shared" si="40"/>
        <v>-7</v>
      </c>
      <c r="L104" s="69">
        <f t="shared" si="41"/>
        <v>-776</v>
      </c>
      <c r="M104" s="68">
        <f>VLOOKUP(B104,'124+900 '!$B$13:$AA$314,21,FALSE)</f>
        <v>1212</v>
      </c>
      <c r="N104" s="67">
        <f>VLOOKUP(B104,'124+900 '!$B$13:$AA$314,5,FALSE)</f>
        <v>1947</v>
      </c>
      <c r="O104" s="66">
        <f t="shared" si="35"/>
        <v>1928</v>
      </c>
      <c r="P104" s="66">
        <f>VLOOKUP(B104,'124+900 '!$B$13:$AA$314,14,FALSE)</f>
        <v>-1072</v>
      </c>
      <c r="Q104" s="70">
        <f t="shared" si="42"/>
        <v>-10</v>
      </c>
      <c r="R104" s="69">
        <f t="shared" si="43"/>
        <v>-949</v>
      </c>
      <c r="S104" s="68">
        <f>VLOOKUP(B104,'124+900 '!$B$13:$AA$314,22,FALSE)</f>
        <v>1328</v>
      </c>
      <c r="T104" s="67">
        <f>VLOOKUP(B104,'124+900 '!$B$13:$AA$314,6,FALSE)</f>
        <v>1751</v>
      </c>
      <c r="U104" s="66">
        <f t="shared" si="36"/>
        <v>2124</v>
      </c>
      <c r="V104" s="65">
        <f>VLOOKUP(B104,'124+900 '!$B$13:$AA$314,15,FALSE)</f>
        <v>-876</v>
      </c>
      <c r="W104" s="64">
        <f t="shared" si="44"/>
        <v>-4</v>
      </c>
      <c r="X104" s="63">
        <f t="shared" si="45"/>
        <v>-763</v>
      </c>
      <c r="Y104" s="62">
        <f t="shared" si="46"/>
        <v>-10</v>
      </c>
      <c r="Z104" s="61">
        <f t="shared" si="37"/>
        <v>0</v>
      </c>
      <c r="AA104" s="60">
        <f t="shared" si="47"/>
        <v>2.238</v>
      </c>
      <c r="AB104" s="60">
        <f t="shared" si="48"/>
        <v>2.2839999999999998</v>
      </c>
      <c r="AC104" s="53"/>
      <c r="AD104" s="53"/>
      <c r="AE104" s="53"/>
      <c r="AF104" s="53"/>
    </row>
    <row r="105" spans="1:32" s="79" customFormat="1" ht="15" customHeight="1">
      <c r="A105" s="80"/>
      <c r="B105" s="74">
        <f>'124+900 '!B105</f>
        <v>45573</v>
      </c>
      <c r="C105" s="73">
        <f t="shared" si="38"/>
        <v>330</v>
      </c>
      <c r="D105" s="72">
        <f t="shared" si="39"/>
        <v>1026</v>
      </c>
      <c r="E105" s="67">
        <f>VLOOKUP(B105,'124+900 '!B80:AA685,3,FALSE)</f>
        <v>2850</v>
      </c>
      <c r="F105" s="67">
        <f t="shared" si="33"/>
        <v>3876</v>
      </c>
      <c r="G105" s="71">
        <f>VLOOKUP(B105,'124+900 '!$B$13:$AA$314,20,FALSE)</f>
        <v>1423</v>
      </c>
      <c r="H105" s="71">
        <f>VLOOKUP(B105,'124+900 '!$B$13:$AA$314,4,FALSE)</f>
        <v>1778</v>
      </c>
      <c r="I105" s="66">
        <f t="shared" si="34"/>
        <v>2098</v>
      </c>
      <c r="J105" s="66">
        <f>VLOOKUP(B105,'124+900 '!$B$13:$AA$314,13,FALSE)</f>
        <v>-902</v>
      </c>
      <c r="K105" s="70">
        <f t="shared" si="40"/>
        <v>-5</v>
      </c>
      <c r="L105" s="69">
        <f t="shared" si="41"/>
        <v>-781</v>
      </c>
      <c r="M105" s="68">
        <f>VLOOKUP(B105,'124+900 '!$B$13:$AA$314,21,FALSE)</f>
        <v>1202</v>
      </c>
      <c r="N105" s="67">
        <f>VLOOKUP(B105,'124+900 '!$B$13:$AA$314,5,FALSE)</f>
        <v>1958</v>
      </c>
      <c r="O105" s="66">
        <f t="shared" si="35"/>
        <v>1918</v>
      </c>
      <c r="P105" s="66">
        <f>VLOOKUP(B105,'124+900 '!$B$13:$AA$314,14,FALSE)</f>
        <v>-1082</v>
      </c>
      <c r="Q105" s="70">
        <f t="shared" si="42"/>
        <v>-10</v>
      </c>
      <c r="R105" s="69">
        <f t="shared" si="43"/>
        <v>-959</v>
      </c>
      <c r="S105" s="68">
        <f>VLOOKUP(B105,'124+900 '!$B$13:$AA$314,22,FALSE)</f>
        <v>1323</v>
      </c>
      <c r="T105" s="67">
        <f>VLOOKUP(B105,'124+900 '!$B$13:$AA$314,6,FALSE)</f>
        <v>1757</v>
      </c>
      <c r="U105" s="66">
        <f t="shared" si="36"/>
        <v>2119</v>
      </c>
      <c r="V105" s="65">
        <f>VLOOKUP(B105,'124+900 '!$B$13:$AA$314,15,FALSE)</f>
        <v>-881</v>
      </c>
      <c r="W105" s="64">
        <f t="shared" si="44"/>
        <v>-5</v>
      </c>
      <c r="X105" s="63">
        <f t="shared" si="45"/>
        <v>-768</v>
      </c>
      <c r="Y105" s="62">
        <f t="shared" si="46"/>
        <v>-10</v>
      </c>
      <c r="Z105" s="61">
        <f t="shared" si="37"/>
        <v>0</v>
      </c>
      <c r="AA105" s="60">
        <f t="shared" si="47"/>
        <v>2.238</v>
      </c>
      <c r="AB105" s="60">
        <f t="shared" si="48"/>
        <v>2.2839999999999998</v>
      </c>
      <c r="AC105" s="53"/>
      <c r="AD105" s="53"/>
      <c r="AE105" s="53"/>
      <c r="AF105" s="53"/>
    </row>
    <row r="106" spans="1:32" s="79" customFormat="1" ht="15" customHeight="1">
      <c r="A106" s="80"/>
      <c r="B106" s="74">
        <f>'124+900 '!B106</f>
        <v>45574</v>
      </c>
      <c r="C106" s="73">
        <f t="shared" si="38"/>
        <v>331</v>
      </c>
      <c r="D106" s="72">
        <f t="shared" si="39"/>
        <v>1026</v>
      </c>
      <c r="E106" s="67">
        <f>VLOOKUP(B106,'124+900 '!B81:AA686,3,FALSE)</f>
        <v>2851</v>
      </c>
      <c r="F106" s="67">
        <f t="shared" si="33"/>
        <v>3877</v>
      </c>
      <c r="G106" s="71">
        <f>VLOOKUP(B106,'124+900 '!$B$13:$AA$314,20,FALSE)</f>
        <v>1413</v>
      </c>
      <c r="H106" s="71">
        <f>VLOOKUP(B106,'124+900 '!$B$13:$AA$314,4,FALSE)</f>
        <v>1789</v>
      </c>
      <c r="I106" s="66">
        <f t="shared" si="34"/>
        <v>2088</v>
      </c>
      <c r="J106" s="66">
        <f>VLOOKUP(B106,'124+900 '!$B$13:$AA$314,13,FALSE)</f>
        <v>-912</v>
      </c>
      <c r="K106" s="70">
        <f t="shared" si="40"/>
        <v>-10</v>
      </c>
      <c r="L106" s="69">
        <f t="shared" si="41"/>
        <v>-791</v>
      </c>
      <c r="M106" s="68">
        <f>VLOOKUP(B106,'124+900 '!$B$13:$AA$314,21,FALSE)</f>
        <v>1192</v>
      </c>
      <c r="N106" s="67">
        <f>VLOOKUP(B106,'124+900 '!$B$13:$AA$314,5,FALSE)</f>
        <v>1969</v>
      </c>
      <c r="O106" s="66">
        <f t="shared" si="35"/>
        <v>1908</v>
      </c>
      <c r="P106" s="66">
        <f>VLOOKUP(B106,'124+900 '!$B$13:$AA$314,14,FALSE)</f>
        <v>-1092</v>
      </c>
      <c r="Q106" s="70">
        <f t="shared" si="42"/>
        <v>-10</v>
      </c>
      <c r="R106" s="69">
        <f t="shared" si="43"/>
        <v>-969</v>
      </c>
      <c r="S106" s="68">
        <f>VLOOKUP(B106,'124+900 '!$B$13:$AA$314,22,FALSE)</f>
        <v>1319</v>
      </c>
      <c r="T106" s="67">
        <f>VLOOKUP(B106,'124+900 '!$B$13:$AA$314,6,FALSE)</f>
        <v>1762</v>
      </c>
      <c r="U106" s="66">
        <f t="shared" si="36"/>
        <v>2115</v>
      </c>
      <c r="V106" s="65">
        <f>VLOOKUP(B106,'124+900 '!$B$13:$AA$314,15,FALSE)</f>
        <v>-885</v>
      </c>
      <c r="W106" s="64">
        <f t="shared" si="44"/>
        <v>-4</v>
      </c>
      <c r="X106" s="63">
        <f t="shared" si="45"/>
        <v>-772</v>
      </c>
      <c r="Y106" s="62">
        <f t="shared" si="46"/>
        <v>-10</v>
      </c>
      <c r="Z106" s="61">
        <f t="shared" si="37"/>
        <v>0</v>
      </c>
      <c r="AA106" s="60">
        <f t="shared" si="47"/>
        <v>2.238</v>
      </c>
      <c r="AB106" s="60">
        <f t="shared" si="48"/>
        <v>2.2839999999999998</v>
      </c>
      <c r="AC106" s="53"/>
      <c r="AD106" s="53"/>
      <c r="AE106" s="53"/>
      <c r="AF106" s="53"/>
    </row>
    <row r="107" spans="1:32" s="79" customFormat="1" ht="15" customHeight="1">
      <c r="A107" s="80"/>
      <c r="B107" s="74">
        <f>'124+900 '!B107</f>
        <v>45575</v>
      </c>
      <c r="C107" s="73">
        <f t="shared" si="38"/>
        <v>332</v>
      </c>
      <c r="D107" s="72">
        <f t="shared" si="39"/>
        <v>1026</v>
      </c>
      <c r="E107" s="67">
        <f>VLOOKUP(B107,'124+900 '!B82:AA687,3,FALSE)</f>
        <v>2852</v>
      </c>
      <c r="F107" s="67">
        <f t="shared" si="33"/>
        <v>3878</v>
      </c>
      <c r="G107" s="71">
        <f>VLOOKUP(B107,'124+900 '!$B$13:$AA$314,20,FALSE)</f>
        <v>1403</v>
      </c>
      <c r="H107" s="71">
        <f>VLOOKUP(B107,'124+900 '!$B$13:$AA$314,4,FALSE)</f>
        <v>1800</v>
      </c>
      <c r="I107" s="66">
        <f t="shared" si="34"/>
        <v>2078</v>
      </c>
      <c r="J107" s="66">
        <f>VLOOKUP(B107,'124+900 '!$B$13:$AA$314,13,FALSE)</f>
        <v>-922</v>
      </c>
      <c r="K107" s="70">
        <f t="shared" si="40"/>
        <v>-10</v>
      </c>
      <c r="L107" s="69">
        <f t="shared" si="41"/>
        <v>-801</v>
      </c>
      <c r="M107" s="68">
        <f>VLOOKUP(B107,'124+900 '!$B$13:$AA$314,21,FALSE)</f>
        <v>1182</v>
      </c>
      <c r="N107" s="67">
        <f>VLOOKUP(B107,'124+900 '!$B$13:$AA$314,5,FALSE)</f>
        <v>1980</v>
      </c>
      <c r="O107" s="66">
        <f t="shared" si="35"/>
        <v>1898</v>
      </c>
      <c r="P107" s="66">
        <f>VLOOKUP(B107,'124+900 '!$B$13:$AA$314,14,FALSE)</f>
        <v>-1102</v>
      </c>
      <c r="Q107" s="70">
        <f t="shared" si="42"/>
        <v>-10</v>
      </c>
      <c r="R107" s="69">
        <f t="shared" si="43"/>
        <v>-979</v>
      </c>
      <c r="S107" s="68">
        <f>VLOOKUP(B107,'124+900 '!$B$13:$AA$314,22,FALSE)</f>
        <v>1317</v>
      </c>
      <c r="T107" s="67">
        <f>VLOOKUP(B107,'124+900 '!$B$13:$AA$314,6,FALSE)</f>
        <v>1765</v>
      </c>
      <c r="U107" s="66">
        <f t="shared" si="36"/>
        <v>2113</v>
      </c>
      <c r="V107" s="65">
        <f>VLOOKUP(B107,'124+900 '!$B$13:$AA$314,15,FALSE)</f>
        <v>-887</v>
      </c>
      <c r="W107" s="64">
        <f t="shared" si="44"/>
        <v>-2</v>
      </c>
      <c r="X107" s="63">
        <f t="shared" si="45"/>
        <v>-774</v>
      </c>
      <c r="Y107" s="62">
        <f t="shared" si="46"/>
        <v>-10</v>
      </c>
      <c r="Z107" s="61">
        <f t="shared" si="37"/>
        <v>0</v>
      </c>
      <c r="AA107" s="60">
        <f t="shared" si="47"/>
        <v>2.238</v>
      </c>
      <c r="AB107" s="60">
        <f t="shared" si="48"/>
        <v>2.2839999999999998</v>
      </c>
      <c r="AC107" s="53"/>
      <c r="AD107" s="53"/>
      <c r="AE107" s="53"/>
      <c r="AF107" s="53"/>
    </row>
    <row r="108" spans="1:32" s="79" customFormat="1" ht="15" customHeight="1">
      <c r="A108" s="80"/>
      <c r="B108" s="74">
        <f>'124+900 '!B108</f>
        <v>45576</v>
      </c>
      <c r="C108" s="73">
        <f t="shared" si="38"/>
        <v>333</v>
      </c>
      <c r="D108" s="72">
        <f t="shared" si="39"/>
        <v>1026</v>
      </c>
      <c r="E108" s="67">
        <f>VLOOKUP(B108,'124+900 '!B83:AA688,3,FALSE)</f>
        <v>2853</v>
      </c>
      <c r="F108" s="67">
        <f t="shared" si="33"/>
        <v>3879</v>
      </c>
      <c r="G108" s="71">
        <f>VLOOKUP(B108,'124+900 '!$B$13:$AA$314,20,FALSE)</f>
        <v>1393</v>
      </c>
      <c r="H108" s="71">
        <f>VLOOKUP(B108,'124+900 '!$B$13:$AA$314,4,FALSE)</f>
        <v>1811</v>
      </c>
      <c r="I108" s="66">
        <f t="shared" si="34"/>
        <v>2068</v>
      </c>
      <c r="J108" s="66">
        <f>VLOOKUP(B108,'124+900 '!$B$13:$AA$314,13,FALSE)</f>
        <v>-932</v>
      </c>
      <c r="K108" s="70">
        <f t="shared" si="40"/>
        <v>-10</v>
      </c>
      <c r="L108" s="69">
        <f t="shared" si="41"/>
        <v>-811</v>
      </c>
      <c r="M108" s="68">
        <f>VLOOKUP(B108,'124+900 '!$B$13:$AA$314,21,FALSE)</f>
        <v>1172</v>
      </c>
      <c r="N108" s="67">
        <f>VLOOKUP(B108,'124+900 '!$B$13:$AA$314,5,FALSE)</f>
        <v>1991</v>
      </c>
      <c r="O108" s="66">
        <f t="shared" si="35"/>
        <v>1888</v>
      </c>
      <c r="P108" s="66">
        <f>VLOOKUP(B108,'124+900 '!$B$13:$AA$314,14,FALSE)</f>
        <v>-1112</v>
      </c>
      <c r="Q108" s="70">
        <f t="shared" si="42"/>
        <v>-10</v>
      </c>
      <c r="R108" s="69">
        <f t="shared" si="43"/>
        <v>-989</v>
      </c>
      <c r="S108" s="68">
        <f>VLOOKUP(B108,'124+900 '!$B$13:$AA$314,22,FALSE)</f>
        <v>1314</v>
      </c>
      <c r="T108" s="67">
        <f>VLOOKUP(B108,'124+900 '!$B$13:$AA$314,6,FALSE)</f>
        <v>1769</v>
      </c>
      <c r="U108" s="66">
        <f t="shared" si="36"/>
        <v>2110</v>
      </c>
      <c r="V108" s="65">
        <f>VLOOKUP(B108,'124+900 '!$B$13:$AA$314,15,FALSE)</f>
        <v>-890</v>
      </c>
      <c r="W108" s="64">
        <f t="shared" si="44"/>
        <v>-3</v>
      </c>
      <c r="X108" s="63">
        <f t="shared" si="45"/>
        <v>-777</v>
      </c>
      <c r="Y108" s="62">
        <f t="shared" si="46"/>
        <v>-10</v>
      </c>
      <c r="Z108" s="61">
        <f t="shared" si="37"/>
        <v>0</v>
      </c>
      <c r="AA108" s="60">
        <f t="shared" si="47"/>
        <v>2.238</v>
      </c>
      <c r="AB108" s="60">
        <f t="shared" si="48"/>
        <v>2.2839999999999998</v>
      </c>
      <c r="AC108" s="53"/>
      <c r="AD108" s="53"/>
      <c r="AE108" s="53"/>
      <c r="AF108" s="53"/>
    </row>
    <row r="109" spans="1:32" s="79" customFormat="1" ht="15" customHeight="1">
      <c r="A109" s="80"/>
      <c r="B109" s="74">
        <f>'124+900 '!B109</f>
        <v>45577</v>
      </c>
      <c r="C109" s="73">
        <f t="shared" si="38"/>
        <v>334</v>
      </c>
      <c r="D109" s="72">
        <f t="shared" si="39"/>
        <v>1026</v>
      </c>
      <c r="E109" s="67">
        <f>VLOOKUP(B109,'124+900 '!B84:AA689,3,FALSE)</f>
        <v>2854</v>
      </c>
      <c r="F109" s="67">
        <f t="shared" ref="F109:F140" si="49">D109+E109</f>
        <v>3880</v>
      </c>
      <c r="G109" s="71">
        <f>VLOOKUP(B109,'124+900 '!$B$13:$AA$314,20,FALSE)</f>
        <v>1383</v>
      </c>
      <c r="H109" s="71">
        <f>VLOOKUP(B109,'124+900 '!$B$13:$AA$314,4,FALSE)</f>
        <v>1822</v>
      </c>
      <c r="I109" s="66">
        <f t="shared" ref="I109:I140" si="50">F109-H109</f>
        <v>2058</v>
      </c>
      <c r="J109" s="66">
        <f>VLOOKUP(B109,'124+900 '!$B$13:$AA$314,13,FALSE)</f>
        <v>-942</v>
      </c>
      <c r="K109" s="70">
        <f t="shared" si="40"/>
        <v>-10</v>
      </c>
      <c r="L109" s="69">
        <f t="shared" si="41"/>
        <v>-821</v>
      </c>
      <c r="M109" s="68">
        <f>VLOOKUP(B109,'124+900 '!$B$13:$AA$314,21,FALSE)</f>
        <v>1162</v>
      </c>
      <c r="N109" s="67">
        <f>VLOOKUP(B109,'124+900 '!$B$13:$AA$314,5,FALSE)</f>
        <v>2002</v>
      </c>
      <c r="O109" s="66">
        <f t="shared" ref="O109:O140" si="51">F109-N109</f>
        <v>1878</v>
      </c>
      <c r="P109" s="66">
        <f>VLOOKUP(B109,'124+900 '!$B$13:$AA$314,14,FALSE)</f>
        <v>-1122</v>
      </c>
      <c r="Q109" s="70">
        <f t="shared" si="42"/>
        <v>-10</v>
      </c>
      <c r="R109" s="69">
        <f t="shared" si="43"/>
        <v>-999</v>
      </c>
      <c r="S109" s="68">
        <f>VLOOKUP(B109,'124+900 '!$B$13:$AA$314,22,FALSE)</f>
        <v>1310</v>
      </c>
      <c r="T109" s="67">
        <f>VLOOKUP(B109,'124+900 '!$B$13:$AA$314,6,FALSE)</f>
        <v>1774</v>
      </c>
      <c r="U109" s="66">
        <f t="shared" ref="U109:U140" si="52">F109-T109</f>
        <v>2106</v>
      </c>
      <c r="V109" s="65">
        <f>VLOOKUP(B109,'124+900 '!$B$13:$AA$314,15,FALSE)</f>
        <v>-894</v>
      </c>
      <c r="W109" s="64">
        <f t="shared" si="44"/>
        <v>-4</v>
      </c>
      <c r="X109" s="63">
        <f t="shared" si="45"/>
        <v>-781</v>
      </c>
      <c r="Y109" s="62">
        <f t="shared" si="46"/>
        <v>-10</v>
      </c>
      <c r="Z109" s="61">
        <f t="shared" ref="Z109:Z140" si="53">IF(Y109&gt;0,Y109,0)/1000</f>
        <v>0</v>
      </c>
      <c r="AA109" s="60">
        <f t="shared" si="47"/>
        <v>2.238</v>
      </c>
      <c r="AB109" s="60">
        <f t="shared" si="48"/>
        <v>2.2839999999999998</v>
      </c>
      <c r="AC109" s="53"/>
      <c r="AD109" s="53"/>
      <c r="AE109" s="53"/>
      <c r="AF109" s="53"/>
    </row>
    <row r="110" spans="1:32" s="79" customFormat="1" ht="15" customHeight="1">
      <c r="A110" s="80"/>
      <c r="B110" s="74">
        <f>'124+900 '!B110</f>
        <v>45578</v>
      </c>
      <c r="C110" s="73">
        <f t="shared" ref="C110:C141" si="54">B110-$B$13</f>
        <v>335</v>
      </c>
      <c r="D110" s="72">
        <f t="shared" ref="D110:D141" si="55">D109</f>
        <v>1026</v>
      </c>
      <c r="E110" s="67">
        <f>VLOOKUP(B110,'124+900 '!B85:AA690,3,FALSE)</f>
        <v>2855</v>
      </c>
      <c r="F110" s="67">
        <f t="shared" si="49"/>
        <v>3881</v>
      </c>
      <c r="G110" s="71">
        <f>VLOOKUP(B110,'124+900 '!$B$13:$AA$314,20,FALSE)</f>
        <v>1373</v>
      </c>
      <c r="H110" s="71">
        <f>VLOOKUP(B110,'124+900 '!$B$13:$AA$314,4,FALSE)</f>
        <v>1833</v>
      </c>
      <c r="I110" s="66">
        <f t="shared" si="50"/>
        <v>2048</v>
      </c>
      <c r="J110" s="66">
        <f>VLOOKUP(B110,'124+900 '!$B$13:$AA$314,13,FALSE)</f>
        <v>-952</v>
      </c>
      <c r="K110" s="70">
        <f t="shared" ref="K110:K141" si="56">J110-J109</f>
        <v>-10</v>
      </c>
      <c r="L110" s="69">
        <f t="shared" ref="L110:L141" si="57">L109+K110</f>
        <v>-831</v>
      </c>
      <c r="M110" s="68">
        <f>VLOOKUP(B110,'124+900 '!$B$13:$AA$314,21,FALSE)</f>
        <v>1152</v>
      </c>
      <c r="N110" s="67">
        <f>VLOOKUP(B110,'124+900 '!$B$13:$AA$314,5,FALSE)</f>
        <v>2013</v>
      </c>
      <c r="O110" s="66">
        <f t="shared" si="51"/>
        <v>1868</v>
      </c>
      <c r="P110" s="66">
        <f>VLOOKUP(B110,'124+900 '!$B$13:$AA$314,14,FALSE)</f>
        <v>-1132</v>
      </c>
      <c r="Q110" s="70">
        <f t="shared" ref="Q110:Q141" si="58">P110-P109</f>
        <v>-10</v>
      </c>
      <c r="R110" s="69">
        <f t="shared" ref="R110:R141" si="59">R109+Q110</f>
        <v>-1009</v>
      </c>
      <c r="S110" s="68">
        <f>VLOOKUP(B110,'124+900 '!$B$13:$AA$314,22,FALSE)</f>
        <v>1305</v>
      </c>
      <c r="T110" s="67">
        <f>VLOOKUP(B110,'124+900 '!$B$13:$AA$314,6,FALSE)</f>
        <v>1780</v>
      </c>
      <c r="U110" s="66">
        <f t="shared" si="52"/>
        <v>2101</v>
      </c>
      <c r="V110" s="65">
        <f>VLOOKUP(B110,'124+900 '!$B$13:$AA$314,15,FALSE)</f>
        <v>-899</v>
      </c>
      <c r="W110" s="64">
        <f t="shared" ref="W110:W141" si="60">V110-V109</f>
        <v>-5</v>
      </c>
      <c r="X110" s="63">
        <f t="shared" ref="X110:X141" si="61">X109+W110</f>
        <v>-786</v>
      </c>
      <c r="Y110" s="62">
        <f t="shared" ref="Y110:Y141" si="62">M110-M109</f>
        <v>-10</v>
      </c>
      <c r="Z110" s="61">
        <f t="shared" si="53"/>
        <v>0</v>
      </c>
      <c r="AA110" s="60">
        <f t="shared" ref="AA110:AA141" si="63">AA109+Z110</f>
        <v>2.238</v>
      </c>
      <c r="AB110" s="60">
        <f t="shared" ref="AB110:AB141" si="64">(M110-$M$13-R110)/1000</f>
        <v>2.2839999999999998</v>
      </c>
      <c r="AC110" s="53"/>
      <c r="AD110" s="53"/>
      <c r="AE110" s="53"/>
      <c r="AF110" s="53"/>
    </row>
    <row r="111" spans="1:32" s="79" customFormat="1" ht="15" customHeight="1">
      <c r="A111" s="80"/>
      <c r="B111" s="74">
        <f>'124+900 '!B111</f>
        <v>45579</v>
      </c>
      <c r="C111" s="73">
        <f t="shared" si="54"/>
        <v>336</v>
      </c>
      <c r="D111" s="72">
        <f t="shared" si="55"/>
        <v>1026</v>
      </c>
      <c r="E111" s="67">
        <f>VLOOKUP(B111,'124+900 '!B86:AA691,3,FALSE)</f>
        <v>2856</v>
      </c>
      <c r="F111" s="67">
        <f t="shared" si="49"/>
        <v>3882</v>
      </c>
      <c r="G111" s="71">
        <f>VLOOKUP(B111,'124+900 '!$B$13:$AA$314,20,FALSE)</f>
        <v>1363</v>
      </c>
      <c r="H111" s="71">
        <f>VLOOKUP(B111,'124+900 '!$B$13:$AA$314,4,FALSE)</f>
        <v>1844</v>
      </c>
      <c r="I111" s="66">
        <f t="shared" si="50"/>
        <v>2038</v>
      </c>
      <c r="J111" s="66">
        <f>VLOOKUP(B111,'124+900 '!$B$13:$AA$314,13,FALSE)</f>
        <v>-962</v>
      </c>
      <c r="K111" s="70">
        <f t="shared" si="56"/>
        <v>-10</v>
      </c>
      <c r="L111" s="69">
        <f t="shared" si="57"/>
        <v>-841</v>
      </c>
      <c r="M111" s="68">
        <f>VLOOKUP(B111,'124+900 '!$B$13:$AA$314,21,FALSE)</f>
        <v>1142</v>
      </c>
      <c r="N111" s="67">
        <f>VLOOKUP(B111,'124+900 '!$B$13:$AA$314,5,FALSE)</f>
        <v>2024</v>
      </c>
      <c r="O111" s="66">
        <f t="shared" si="51"/>
        <v>1858</v>
      </c>
      <c r="P111" s="66">
        <f>VLOOKUP(B111,'124+900 '!$B$13:$AA$314,14,FALSE)</f>
        <v>-1142</v>
      </c>
      <c r="Q111" s="70">
        <f t="shared" si="58"/>
        <v>-10</v>
      </c>
      <c r="R111" s="69">
        <f t="shared" si="59"/>
        <v>-1019</v>
      </c>
      <c r="S111" s="68">
        <f>VLOOKUP(B111,'124+900 '!$B$13:$AA$314,22,FALSE)</f>
        <v>1303</v>
      </c>
      <c r="T111" s="67">
        <f>VLOOKUP(B111,'124+900 '!$B$13:$AA$314,6,FALSE)</f>
        <v>1783</v>
      </c>
      <c r="U111" s="66">
        <f t="shared" si="52"/>
        <v>2099</v>
      </c>
      <c r="V111" s="65">
        <f>VLOOKUP(B111,'124+900 '!$B$13:$AA$314,15,FALSE)</f>
        <v>-901</v>
      </c>
      <c r="W111" s="64">
        <f t="shared" si="60"/>
        <v>-2</v>
      </c>
      <c r="X111" s="63">
        <f t="shared" si="61"/>
        <v>-788</v>
      </c>
      <c r="Y111" s="62">
        <f t="shared" si="62"/>
        <v>-10</v>
      </c>
      <c r="Z111" s="61">
        <f t="shared" si="53"/>
        <v>0</v>
      </c>
      <c r="AA111" s="60">
        <f t="shared" si="63"/>
        <v>2.238</v>
      </c>
      <c r="AB111" s="60">
        <f t="shared" si="64"/>
        <v>2.2839999999999998</v>
      </c>
      <c r="AC111" s="53"/>
      <c r="AD111" s="53"/>
      <c r="AE111" s="53"/>
      <c r="AF111" s="53"/>
    </row>
    <row r="112" spans="1:32" s="79" customFormat="1" ht="15" customHeight="1">
      <c r="A112" s="80"/>
      <c r="B112" s="74">
        <f>'124+900 '!B112</f>
        <v>45580</v>
      </c>
      <c r="C112" s="73">
        <f t="shared" si="54"/>
        <v>337</v>
      </c>
      <c r="D112" s="72">
        <f t="shared" si="55"/>
        <v>1026</v>
      </c>
      <c r="E112" s="67">
        <f>VLOOKUP(B112,'124+900 '!B87:AA692,3,FALSE)</f>
        <v>2857</v>
      </c>
      <c r="F112" s="67">
        <f t="shared" si="49"/>
        <v>3883</v>
      </c>
      <c r="G112" s="71">
        <f>VLOOKUP(B112,'124+900 '!$B$13:$AA$314,20,FALSE)</f>
        <v>1930</v>
      </c>
      <c r="H112" s="71">
        <f>VLOOKUP(B112,'124+900 '!$B$13:$AA$314,4,FALSE)</f>
        <v>1855</v>
      </c>
      <c r="I112" s="66">
        <f t="shared" si="50"/>
        <v>2028</v>
      </c>
      <c r="J112" s="66">
        <f>VLOOKUP(B112,'124+900 '!$B$13:$AA$314,13,FALSE)</f>
        <v>-972</v>
      </c>
      <c r="K112" s="70">
        <f t="shared" si="56"/>
        <v>-10</v>
      </c>
      <c r="L112" s="69">
        <f t="shared" si="57"/>
        <v>-851</v>
      </c>
      <c r="M112" s="68">
        <f>VLOOKUP(B112,'124+900 '!$B$13:$AA$314,21,FALSE)</f>
        <v>1930</v>
      </c>
      <c r="N112" s="67">
        <f>VLOOKUP(B112,'124+900 '!$B$13:$AA$314,5,FALSE)</f>
        <v>2040</v>
      </c>
      <c r="O112" s="66">
        <f t="shared" si="51"/>
        <v>1843</v>
      </c>
      <c r="P112" s="66">
        <f>VLOOKUP(B112,'124+900 '!$B$13:$AA$314,14,FALSE)</f>
        <v>-1157</v>
      </c>
      <c r="Q112" s="70">
        <f t="shared" si="58"/>
        <v>-15</v>
      </c>
      <c r="R112" s="69">
        <f t="shared" si="59"/>
        <v>-1034</v>
      </c>
      <c r="S112" s="68">
        <f>VLOOKUP(B112,'124+900 '!$B$13:$AA$314,22,FALSE)</f>
        <v>1930</v>
      </c>
      <c r="T112" s="67">
        <f>VLOOKUP(B112,'124+900 '!$B$13:$AA$314,6,FALSE)</f>
        <v>1790</v>
      </c>
      <c r="U112" s="66">
        <f t="shared" si="52"/>
        <v>2093</v>
      </c>
      <c r="V112" s="65">
        <f>VLOOKUP(B112,'124+900 '!$B$13:$AA$314,15,FALSE)</f>
        <v>-907</v>
      </c>
      <c r="W112" s="64">
        <f t="shared" si="60"/>
        <v>-6</v>
      </c>
      <c r="X112" s="63">
        <f t="shared" si="61"/>
        <v>-794</v>
      </c>
      <c r="Y112" s="62">
        <f t="shared" si="62"/>
        <v>788</v>
      </c>
      <c r="Z112" s="61">
        <f t="shared" si="53"/>
        <v>0.78800000000000003</v>
      </c>
      <c r="AA112" s="60">
        <f t="shared" si="63"/>
        <v>3.0259999999999998</v>
      </c>
      <c r="AB112" s="60">
        <f t="shared" si="64"/>
        <v>3.0870000000000002</v>
      </c>
      <c r="AC112" s="53"/>
      <c r="AD112" s="53"/>
      <c r="AE112" s="53"/>
      <c r="AF112" s="53"/>
    </row>
    <row r="113" spans="1:32" s="79" customFormat="1" ht="15" customHeight="1">
      <c r="A113" s="80"/>
      <c r="B113" s="74">
        <f>'124+900 '!B113</f>
        <v>45581</v>
      </c>
      <c r="C113" s="73">
        <f t="shared" si="54"/>
        <v>338</v>
      </c>
      <c r="D113" s="72">
        <f t="shared" si="55"/>
        <v>1026</v>
      </c>
      <c r="E113" s="67">
        <f>VLOOKUP(B113,'124+900 '!B88:AA693,3,FALSE)</f>
        <v>2858</v>
      </c>
      <c r="F113" s="67">
        <f t="shared" si="49"/>
        <v>3884</v>
      </c>
      <c r="G113" s="71">
        <f>VLOOKUP(B113,'124+900 '!$B$13:$AA$314,20,FALSE)</f>
        <v>1920</v>
      </c>
      <c r="H113" s="71">
        <f>VLOOKUP(B113,'124+900 '!$B$13:$AA$314,4,FALSE)</f>
        <v>1866</v>
      </c>
      <c r="I113" s="66">
        <f t="shared" si="50"/>
        <v>2018</v>
      </c>
      <c r="J113" s="66">
        <f>VLOOKUP(B113,'124+900 '!$B$13:$AA$314,13,FALSE)</f>
        <v>-982</v>
      </c>
      <c r="K113" s="70">
        <f t="shared" si="56"/>
        <v>-10</v>
      </c>
      <c r="L113" s="69">
        <f t="shared" si="57"/>
        <v>-861</v>
      </c>
      <c r="M113" s="68">
        <f>VLOOKUP(B113,'124+900 '!$B$13:$AA$314,21,FALSE)</f>
        <v>1920</v>
      </c>
      <c r="N113" s="67">
        <f>VLOOKUP(B113,'124+900 '!$B$13:$AA$314,5,FALSE)</f>
        <v>2051</v>
      </c>
      <c r="O113" s="66">
        <f t="shared" si="51"/>
        <v>1833</v>
      </c>
      <c r="P113" s="66">
        <f>VLOOKUP(B113,'124+900 '!$B$13:$AA$314,14,FALSE)</f>
        <v>-1167</v>
      </c>
      <c r="Q113" s="70">
        <f t="shared" si="58"/>
        <v>-10</v>
      </c>
      <c r="R113" s="69">
        <f t="shared" si="59"/>
        <v>-1044</v>
      </c>
      <c r="S113" s="68">
        <f>VLOOKUP(B113,'124+900 '!$B$13:$AA$314,22,FALSE)</f>
        <v>1925</v>
      </c>
      <c r="T113" s="67">
        <f>VLOOKUP(B113,'124+900 '!$B$13:$AA$314,6,FALSE)</f>
        <v>1796</v>
      </c>
      <c r="U113" s="66">
        <f t="shared" si="52"/>
        <v>2088</v>
      </c>
      <c r="V113" s="65">
        <f>VLOOKUP(B113,'124+900 '!$B$13:$AA$314,15,FALSE)</f>
        <v>-912</v>
      </c>
      <c r="W113" s="64">
        <f t="shared" si="60"/>
        <v>-5</v>
      </c>
      <c r="X113" s="63">
        <f t="shared" si="61"/>
        <v>-799</v>
      </c>
      <c r="Y113" s="62">
        <f t="shared" si="62"/>
        <v>-10</v>
      </c>
      <c r="Z113" s="61">
        <f t="shared" si="53"/>
        <v>0</v>
      </c>
      <c r="AA113" s="60">
        <f t="shared" si="63"/>
        <v>3.0259999999999998</v>
      </c>
      <c r="AB113" s="60">
        <f t="shared" si="64"/>
        <v>3.0870000000000002</v>
      </c>
      <c r="AC113" s="53"/>
      <c r="AD113" s="53"/>
      <c r="AE113" s="53"/>
      <c r="AF113" s="53"/>
    </row>
    <row r="114" spans="1:32" s="79" customFormat="1" ht="15" customHeight="1">
      <c r="A114" s="80"/>
      <c r="B114" s="74">
        <f>'124+900 '!B114</f>
        <v>45582</v>
      </c>
      <c r="C114" s="73">
        <f t="shared" si="54"/>
        <v>339</v>
      </c>
      <c r="D114" s="72">
        <f t="shared" si="55"/>
        <v>1026</v>
      </c>
      <c r="E114" s="67">
        <f>VLOOKUP(B114,'124+900 '!B89:AA694,3,FALSE)</f>
        <v>2859</v>
      </c>
      <c r="F114" s="67">
        <f t="shared" si="49"/>
        <v>3885</v>
      </c>
      <c r="G114" s="71">
        <f>VLOOKUP(B114,'124+900 '!$B$13:$AA$314,20,FALSE)</f>
        <v>2130</v>
      </c>
      <c r="H114" s="71">
        <f>VLOOKUP(B114,'124+900 '!$B$13:$AA$314,4,FALSE)</f>
        <v>1877</v>
      </c>
      <c r="I114" s="66">
        <f t="shared" si="50"/>
        <v>2008</v>
      </c>
      <c r="J114" s="66">
        <f>VLOOKUP(B114,'124+900 '!$B$13:$AA$314,13,FALSE)</f>
        <v>-992</v>
      </c>
      <c r="K114" s="70">
        <f t="shared" si="56"/>
        <v>-10</v>
      </c>
      <c r="L114" s="69">
        <f t="shared" si="57"/>
        <v>-871</v>
      </c>
      <c r="M114" s="68">
        <f>VLOOKUP(B114,'124+900 '!$B$13:$AA$314,21,FALSE)</f>
        <v>2130</v>
      </c>
      <c r="N114" s="67">
        <f>VLOOKUP(B114,'124+900 '!$B$13:$AA$314,5,FALSE)</f>
        <v>2062</v>
      </c>
      <c r="O114" s="66">
        <f t="shared" si="51"/>
        <v>1823</v>
      </c>
      <c r="P114" s="66">
        <f>VLOOKUP(B114,'124+900 '!$B$13:$AA$314,14,FALSE)</f>
        <v>-1177</v>
      </c>
      <c r="Q114" s="70">
        <f t="shared" si="58"/>
        <v>-10</v>
      </c>
      <c r="R114" s="69">
        <f t="shared" si="59"/>
        <v>-1054</v>
      </c>
      <c r="S114" s="68">
        <f>VLOOKUP(B114,'124+900 '!$B$13:$AA$314,22,FALSE)</f>
        <v>2130</v>
      </c>
      <c r="T114" s="67">
        <f>VLOOKUP(B114,'124+900 '!$B$13:$AA$314,6,FALSE)</f>
        <v>1803</v>
      </c>
      <c r="U114" s="66">
        <f t="shared" si="52"/>
        <v>2082</v>
      </c>
      <c r="V114" s="65">
        <f>VLOOKUP(B114,'124+900 '!$B$13:$AA$314,15,FALSE)</f>
        <v>-918</v>
      </c>
      <c r="W114" s="64">
        <f t="shared" si="60"/>
        <v>-6</v>
      </c>
      <c r="X114" s="63">
        <f t="shared" si="61"/>
        <v>-805</v>
      </c>
      <c r="Y114" s="62">
        <f t="shared" si="62"/>
        <v>210</v>
      </c>
      <c r="Z114" s="61">
        <f t="shared" si="53"/>
        <v>0.21</v>
      </c>
      <c r="AA114" s="60">
        <f t="shared" si="63"/>
        <v>3.2359999999999998</v>
      </c>
      <c r="AB114" s="60">
        <f t="shared" si="64"/>
        <v>3.3069999999999999</v>
      </c>
      <c r="AC114" s="53"/>
      <c r="AD114" s="53"/>
      <c r="AE114" s="53"/>
      <c r="AF114" s="53"/>
    </row>
    <row r="115" spans="1:32" s="79" customFormat="1" ht="15" customHeight="1">
      <c r="A115" s="80"/>
      <c r="B115" s="74">
        <f>'124+900 '!B115</f>
        <v>45583</v>
      </c>
      <c r="C115" s="73">
        <f t="shared" si="54"/>
        <v>340</v>
      </c>
      <c r="D115" s="72">
        <f t="shared" si="55"/>
        <v>1026</v>
      </c>
      <c r="E115" s="67">
        <f>VLOOKUP(B115,'124+900 '!B90:AA695,3,FALSE)</f>
        <v>2860</v>
      </c>
      <c r="F115" s="67">
        <f t="shared" si="49"/>
        <v>3886</v>
      </c>
      <c r="G115" s="71">
        <f>VLOOKUP(B115,'124+900 '!$B$13:$AA$314,20,FALSE)</f>
        <v>2120</v>
      </c>
      <c r="H115" s="71">
        <f>VLOOKUP(B115,'124+900 '!$B$13:$AA$314,4,FALSE)</f>
        <v>1888</v>
      </c>
      <c r="I115" s="66">
        <f t="shared" si="50"/>
        <v>1998</v>
      </c>
      <c r="J115" s="66">
        <f>VLOOKUP(B115,'124+900 '!$B$13:$AA$314,13,FALSE)</f>
        <v>-1002</v>
      </c>
      <c r="K115" s="70">
        <f t="shared" si="56"/>
        <v>-10</v>
      </c>
      <c r="L115" s="69">
        <f t="shared" si="57"/>
        <v>-881</v>
      </c>
      <c r="M115" s="68">
        <f>VLOOKUP(B115,'124+900 '!$B$13:$AA$314,21,FALSE)</f>
        <v>2120</v>
      </c>
      <c r="N115" s="67">
        <f>VLOOKUP(B115,'124+900 '!$B$13:$AA$314,5,FALSE)</f>
        <v>2073</v>
      </c>
      <c r="O115" s="66">
        <f t="shared" si="51"/>
        <v>1813</v>
      </c>
      <c r="P115" s="66">
        <f>VLOOKUP(B115,'124+900 '!$B$13:$AA$314,14,FALSE)</f>
        <v>-1187</v>
      </c>
      <c r="Q115" s="70">
        <f t="shared" si="58"/>
        <v>-10</v>
      </c>
      <c r="R115" s="69">
        <f t="shared" si="59"/>
        <v>-1064</v>
      </c>
      <c r="S115" s="68">
        <f>VLOOKUP(B115,'124+900 '!$B$13:$AA$314,22,FALSE)</f>
        <v>2126</v>
      </c>
      <c r="T115" s="67">
        <f>VLOOKUP(B115,'124+900 '!$B$13:$AA$314,6,FALSE)</f>
        <v>1808</v>
      </c>
      <c r="U115" s="66">
        <f t="shared" si="52"/>
        <v>2078</v>
      </c>
      <c r="V115" s="65">
        <f>VLOOKUP(B115,'124+900 '!$B$13:$AA$314,15,FALSE)</f>
        <v>-922</v>
      </c>
      <c r="W115" s="64">
        <f t="shared" si="60"/>
        <v>-4</v>
      </c>
      <c r="X115" s="63">
        <f t="shared" si="61"/>
        <v>-809</v>
      </c>
      <c r="Y115" s="62">
        <f t="shared" si="62"/>
        <v>-10</v>
      </c>
      <c r="Z115" s="61">
        <f t="shared" si="53"/>
        <v>0</v>
      </c>
      <c r="AA115" s="60">
        <f t="shared" si="63"/>
        <v>3.2359999999999998</v>
      </c>
      <c r="AB115" s="60">
        <f t="shared" si="64"/>
        <v>3.3069999999999999</v>
      </c>
      <c r="AC115" s="53"/>
      <c r="AD115" s="53"/>
      <c r="AE115" s="53"/>
      <c r="AF115" s="53"/>
    </row>
    <row r="116" spans="1:32" s="79" customFormat="1" ht="15" customHeight="1">
      <c r="A116" s="80"/>
      <c r="B116" s="74">
        <f>'124+900 '!B116</f>
        <v>45584</v>
      </c>
      <c r="C116" s="73">
        <f t="shared" si="54"/>
        <v>341</v>
      </c>
      <c r="D116" s="72">
        <f t="shared" si="55"/>
        <v>1026</v>
      </c>
      <c r="E116" s="67">
        <f>VLOOKUP(B116,'124+900 '!B91:AA696,3,FALSE)</f>
        <v>2861</v>
      </c>
      <c r="F116" s="67">
        <f t="shared" si="49"/>
        <v>3887</v>
      </c>
      <c r="G116" s="71">
        <f>VLOOKUP(B116,'124+900 '!$B$13:$AA$314,20,FALSE)</f>
        <v>2110</v>
      </c>
      <c r="H116" s="71">
        <f>VLOOKUP(B116,'124+900 '!$B$13:$AA$314,4,FALSE)</f>
        <v>1899</v>
      </c>
      <c r="I116" s="66">
        <f t="shared" si="50"/>
        <v>1988</v>
      </c>
      <c r="J116" s="66">
        <f>VLOOKUP(B116,'124+900 '!$B$13:$AA$314,13,FALSE)</f>
        <v>-1012</v>
      </c>
      <c r="K116" s="70">
        <f t="shared" si="56"/>
        <v>-10</v>
      </c>
      <c r="L116" s="69">
        <f t="shared" si="57"/>
        <v>-891</v>
      </c>
      <c r="M116" s="68">
        <f>VLOOKUP(B116,'124+900 '!$B$13:$AA$314,21,FALSE)</f>
        <v>2110</v>
      </c>
      <c r="N116" s="67">
        <f>VLOOKUP(B116,'124+900 '!$B$13:$AA$314,5,FALSE)</f>
        <v>2084</v>
      </c>
      <c r="O116" s="66">
        <f t="shared" si="51"/>
        <v>1803</v>
      </c>
      <c r="P116" s="66">
        <f>VLOOKUP(B116,'124+900 '!$B$13:$AA$314,14,FALSE)</f>
        <v>-1197</v>
      </c>
      <c r="Q116" s="70">
        <f t="shared" si="58"/>
        <v>-10</v>
      </c>
      <c r="R116" s="69">
        <f t="shared" si="59"/>
        <v>-1074</v>
      </c>
      <c r="S116" s="68">
        <f>VLOOKUP(B116,'124+900 '!$B$13:$AA$314,22,FALSE)</f>
        <v>2123</v>
      </c>
      <c r="T116" s="67">
        <f>VLOOKUP(B116,'124+900 '!$B$13:$AA$314,6,FALSE)</f>
        <v>1812</v>
      </c>
      <c r="U116" s="66">
        <f t="shared" si="52"/>
        <v>2075</v>
      </c>
      <c r="V116" s="65">
        <f>VLOOKUP(B116,'124+900 '!$B$13:$AA$314,15,FALSE)</f>
        <v>-925</v>
      </c>
      <c r="W116" s="64">
        <f t="shared" si="60"/>
        <v>-3</v>
      </c>
      <c r="X116" s="63">
        <f t="shared" si="61"/>
        <v>-812</v>
      </c>
      <c r="Y116" s="62">
        <f t="shared" si="62"/>
        <v>-10</v>
      </c>
      <c r="Z116" s="61">
        <f t="shared" si="53"/>
        <v>0</v>
      </c>
      <c r="AA116" s="60">
        <f t="shared" si="63"/>
        <v>3.2359999999999998</v>
      </c>
      <c r="AB116" s="60">
        <f t="shared" si="64"/>
        <v>3.3069999999999999</v>
      </c>
      <c r="AC116" s="53"/>
      <c r="AD116" s="53"/>
      <c r="AE116" s="53"/>
      <c r="AF116" s="53"/>
    </row>
    <row r="117" spans="1:32" s="79" customFormat="1" ht="15" customHeight="1">
      <c r="A117" s="80"/>
      <c r="B117" s="74">
        <f>'124+900 '!B117</f>
        <v>45585</v>
      </c>
      <c r="C117" s="73">
        <f t="shared" si="54"/>
        <v>342</v>
      </c>
      <c r="D117" s="72">
        <f t="shared" si="55"/>
        <v>1026</v>
      </c>
      <c r="E117" s="67">
        <f>VLOOKUP(B117,'124+900 '!B92:AA697,3,FALSE)</f>
        <v>2862</v>
      </c>
      <c r="F117" s="67">
        <f t="shared" si="49"/>
        <v>3888</v>
      </c>
      <c r="G117" s="71">
        <f>VLOOKUP(B117,'124+900 '!$B$13:$AA$314,20,FALSE)</f>
        <v>2340</v>
      </c>
      <c r="H117" s="71">
        <f>VLOOKUP(B117,'124+900 '!$B$13:$AA$314,4,FALSE)</f>
        <v>1910</v>
      </c>
      <c r="I117" s="66">
        <f t="shared" si="50"/>
        <v>1978</v>
      </c>
      <c r="J117" s="66">
        <f>VLOOKUP(B117,'124+900 '!$B$13:$AA$314,13,FALSE)</f>
        <v>-1022</v>
      </c>
      <c r="K117" s="70">
        <f t="shared" si="56"/>
        <v>-10</v>
      </c>
      <c r="L117" s="69">
        <f t="shared" si="57"/>
        <v>-901</v>
      </c>
      <c r="M117" s="68">
        <f>VLOOKUP(B117,'124+900 '!$B$13:$AA$314,21,FALSE)</f>
        <v>2340</v>
      </c>
      <c r="N117" s="67">
        <f>VLOOKUP(B117,'124+900 '!$B$13:$AA$314,5,FALSE)</f>
        <v>2100</v>
      </c>
      <c r="O117" s="66">
        <f t="shared" si="51"/>
        <v>1788</v>
      </c>
      <c r="P117" s="66">
        <f>VLOOKUP(B117,'124+900 '!$B$13:$AA$314,14,FALSE)</f>
        <v>-1212</v>
      </c>
      <c r="Q117" s="70">
        <f t="shared" si="58"/>
        <v>-15</v>
      </c>
      <c r="R117" s="69">
        <f t="shared" si="59"/>
        <v>-1089</v>
      </c>
      <c r="S117" s="68">
        <f>VLOOKUP(B117,'124+900 '!$B$13:$AA$314,22,FALSE)</f>
        <v>2340</v>
      </c>
      <c r="T117" s="67">
        <f>VLOOKUP(B117,'124+900 '!$B$13:$AA$314,6,FALSE)</f>
        <v>1818</v>
      </c>
      <c r="U117" s="66">
        <f t="shared" si="52"/>
        <v>2070</v>
      </c>
      <c r="V117" s="65">
        <f>VLOOKUP(B117,'124+900 '!$B$13:$AA$314,15,FALSE)</f>
        <v>-930</v>
      </c>
      <c r="W117" s="64">
        <f t="shared" si="60"/>
        <v>-5</v>
      </c>
      <c r="X117" s="63">
        <f t="shared" si="61"/>
        <v>-817</v>
      </c>
      <c r="Y117" s="62">
        <f t="shared" si="62"/>
        <v>230</v>
      </c>
      <c r="Z117" s="61">
        <f t="shared" si="53"/>
        <v>0.23</v>
      </c>
      <c r="AA117" s="60">
        <f t="shared" si="63"/>
        <v>3.4659999999999997</v>
      </c>
      <c r="AB117" s="60">
        <f t="shared" si="64"/>
        <v>3.552</v>
      </c>
      <c r="AC117" s="53"/>
      <c r="AD117" s="53"/>
      <c r="AE117" s="53"/>
      <c r="AF117" s="53"/>
    </row>
    <row r="118" spans="1:32" s="79" customFormat="1" ht="15" customHeight="1">
      <c r="A118" s="80"/>
      <c r="B118" s="74">
        <f>'124+900 '!B118</f>
        <v>45586</v>
      </c>
      <c r="C118" s="73">
        <f t="shared" si="54"/>
        <v>343</v>
      </c>
      <c r="D118" s="72">
        <f t="shared" si="55"/>
        <v>1026</v>
      </c>
      <c r="E118" s="67">
        <f>VLOOKUP(B118,'124+900 '!B93:AA698,3,FALSE)</f>
        <v>2863</v>
      </c>
      <c r="F118" s="67">
        <f t="shared" si="49"/>
        <v>3889</v>
      </c>
      <c r="G118" s="71">
        <f>VLOOKUP(B118,'124+900 '!$B$13:$AA$314,20,FALSE)</f>
        <v>2330</v>
      </c>
      <c r="H118" s="71">
        <f>VLOOKUP(B118,'124+900 '!$B$13:$AA$314,4,FALSE)</f>
        <v>1921</v>
      </c>
      <c r="I118" s="66">
        <f t="shared" si="50"/>
        <v>1968</v>
      </c>
      <c r="J118" s="66">
        <f>VLOOKUP(B118,'124+900 '!$B$13:$AA$314,13,FALSE)</f>
        <v>-1032</v>
      </c>
      <c r="K118" s="70">
        <f t="shared" si="56"/>
        <v>-10</v>
      </c>
      <c r="L118" s="69">
        <f t="shared" si="57"/>
        <v>-911</v>
      </c>
      <c r="M118" s="68">
        <f>VLOOKUP(B118,'124+900 '!$B$13:$AA$314,21,FALSE)</f>
        <v>2330</v>
      </c>
      <c r="N118" s="67">
        <f>VLOOKUP(B118,'124+900 '!$B$13:$AA$314,5,FALSE)</f>
        <v>2111</v>
      </c>
      <c r="O118" s="66">
        <f t="shared" si="51"/>
        <v>1778</v>
      </c>
      <c r="P118" s="66">
        <f>VLOOKUP(B118,'124+900 '!$B$13:$AA$314,14,FALSE)</f>
        <v>-1222</v>
      </c>
      <c r="Q118" s="70">
        <f t="shared" si="58"/>
        <v>-10</v>
      </c>
      <c r="R118" s="69">
        <f t="shared" si="59"/>
        <v>-1099</v>
      </c>
      <c r="S118" s="68">
        <f>VLOOKUP(B118,'124+900 '!$B$13:$AA$314,22,FALSE)</f>
        <v>2336</v>
      </c>
      <c r="T118" s="67">
        <f>VLOOKUP(B118,'124+900 '!$B$13:$AA$314,6,FALSE)</f>
        <v>1823</v>
      </c>
      <c r="U118" s="66">
        <f t="shared" si="52"/>
        <v>2066</v>
      </c>
      <c r="V118" s="65">
        <f>VLOOKUP(B118,'124+900 '!$B$13:$AA$314,15,FALSE)</f>
        <v>-934</v>
      </c>
      <c r="W118" s="64">
        <f t="shared" si="60"/>
        <v>-4</v>
      </c>
      <c r="X118" s="63">
        <f t="shared" si="61"/>
        <v>-821</v>
      </c>
      <c r="Y118" s="62">
        <f t="shared" si="62"/>
        <v>-10</v>
      </c>
      <c r="Z118" s="61">
        <f t="shared" si="53"/>
        <v>0</v>
      </c>
      <c r="AA118" s="60">
        <f t="shared" si="63"/>
        <v>3.4659999999999997</v>
      </c>
      <c r="AB118" s="60">
        <f t="shared" si="64"/>
        <v>3.552</v>
      </c>
      <c r="AC118" s="53"/>
      <c r="AD118" s="53"/>
      <c r="AE118" s="53"/>
      <c r="AF118" s="53"/>
    </row>
    <row r="119" spans="1:32" s="79" customFormat="1" ht="15" customHeight="1">
      <c r="A119" s="80"/>
      <c r="B119" s="74">
        <f>'124+900 '!B119</f>
        <v>45587</v>
      </c>
      <c r="C119" s="73">
        <f t="shared" si="54"/>
        <v>344</v>
      </c>
      <c r="D119" s="72">
        <f t="shared" si="55"/>
        <v>1026</v>
      </c>
      <c r="E119" s="67">
        <f>VLOOKUP(B119,'124+900 '!B94:AA699,3,FALSE)</f>
        <v>2864</v>
      </c>
      <c r="F119" s="67">
        <f t="shared" si="49"/>
        <v>3890</v>
      </c>
      <c r="G119" s="71">
        <f>VLOOKUP(B119,'124+900 '!$B$13:$AA$314,20,FALSE)</f>
        <v>2320</v>
      </c>
      <c r="H119" s="71">
        <f>VLOOKUP(B119,'124+900 '!$B$13:$AA$314,4,FALSE)</f>
        <v>1932</v>
      </c>
      <c r="I119" s="66">
        <f t="shared" si="50"/>
        <v>1958</v>
      </c>
      <c r="J119" s="66">
        <f>VLOOKUP(B119,'124+900 '!$B$13:$AA$314,13,FALSE)</f>
        <v>-1042</v>
      </c>
      <c r="K119" s="70">
        <f t="shared" si="56"/>
        <v>-10</v>
      </c>
      <c r="L119" s="69">
        <f t="shared" si="57"/>
        <v>-921</v>
      </c>
      <c r="M119" s="68">
        <f>VLOOKUP(B119,'124+900 '!$B$13:$AA$314,21,FALSE)</f>
        <v>2320</v>
      </c>
      <c r="N119" s="67">
        <f>VLOOKUP(B119,'124+900 '!$B$13:$AA$314,5,FALSE)</f>
        <v>2122</v>
      </c>
      <c r="O119" s="66">
        <f t="shared" si="51"/>
        <v>1768</v>
      </c>
      <c r="P119" s="66">
        <f>VLOOKUP(B119,'124+900 '!$B$13:$AA$314,14,FALSE)</f>
        <v>-1232</v>
      </c>
      <c r="Q119" s="70">
        <f t="shared" si="58"/>
        <v>-10</v>
      </c>
      <c r="R119" s="69">
        <f t="shared" si="59"/>
        <v>-1109</v>
      </c>
      <c r="S119" s="68">
        <f>VLOOKUP(B119,'124+900 '!$B$13:$AA$314,22,FALSE)</f>
        <v>2333</v>
      </c>
      <c r="T119" s="67">
        <f>VLOOKUP(B119,'124+900 '!$B$13:$AA$314,6,FALSE)</f>
        <v>1827</v>
      </c>
      <c r="U119" s="66">
        <f t="shared" si="52"/>
        <v>2063</v>
      </c>
      <c r="V119" s="65">
        <f>VLOOKUP(B119,'124+900 '!$B$13:$AA$314,15,FALSE)</f>
        <v>-937</v>
      </c>
      <c r="W119" s="64">
        <f t="shared" si="60"/>
        <v>-3</v>
      </c>
      <c r="X119" s="63">
        <f t="shared" si="61"/>
        <v>-824</v>
      </c>
      <c r="Y119" s="62">
        <f t="shared" si="62"/>
        <v>-10</v>
      </c>
      <c r="Z119" s="61">
        <f t="shared" si="53"/>
        <v>0</v>
      </c>
      <c r="AA119" s="60">
        <f t="shared" si="63"/>
        <v>3.4659999999999997</v>
      </c>
      <c r="AB119" s="60">
        <f t="shared" si="64"/>
        <v>3.552</v>
      </c>
      <c r="AC119" s="53"/>
      <c r="AD119" s="53"/>
      <c r="AE119" s="53"/>
      <c r="AF119" s="53"/>
    </row>
    <row r="120" spans="1:32" s="79" customFormat="1" ht="15" customHeight="1">
      <c r="A120" s="80"/>
      <c r="B120" s="74">
        <f>'124+900 '!B120</f>
        <v>45588</v>
      </c>
      <c r="C120" s="73">
        <f t="shared" si="54"/>
        <v>345</v>
      </c>
      <c r="D120" s="72">
        <f t="shared" si="55"/>
        <v>1026</v>
      </c>
      <c r="E120" s="67">
        <f>VLOOKUP(B120,'124+900 '!B95:AA700,3,FALSE)</f>
        <v>2865</v>
      </c>
      <c r="F120" s="67">
        <f t="shared" si="49"/>
        <v>3891</v>
      </c>
      <c r="G120" s="71">
        <f>VLOOKUP(B120,'124+900 '!$B$13:$AA$314,20,FALSE)</f>
        <v>2530</v>
      </c>
      <c r="H120" s="71">
        <f>VLOOKUP(B120,'124+900 '!$B$13:$AA$314,4,FALSE)</f>
        <v>1943</v>
      </c>
      <c r="I120" s="66">
        <f t="shared" si="50"/>
        <v>1948</v>
      </c>
      <c r="J120" s="66">
        <f>VLOOKUP(B120,'124+900 '!$B$13:$AA$314,13,FALSE)</f>
        <v>-1052</v>
      </c>
      <c r="K120" s="70">
        <f t="shared" si="56"/>
        <v>-10</v>
      </c>
      <c r="L120" s="69">
        <f t="shared" si="57"/>
        <v>-931</v>
      </c>
      <c r="M120" s="68">
        <f>VLOOKUP(B120,'124+900 '!$B$13:$AA$314,21,FALSE)</f>
        <v>2530</v>
      </c>
      <c r="N120" s="67">
        <f>VLOOKUP(B120,'124+900 '!$B$13:$AA$314,5,FALSE)</f>
        <v>2133</v>
      </c>
      <c r="O120" s="66">
        <f t="shared" si="51"/>
        <v>1758</v>
      </c>
      <c r="P120" s="66">
        <f>VLOOKUP(B120,'124+900 '!$B$13:$AA$314,14,FALSE)</f>
        <v>-1242</v>
      </c>
      <c r="Q120" s="70">
        <f t="shared" si="58"/>
        <v>-10</v>
      </c>
      <c r="R120" s="69">
        <f t="shared" si="59"/>
        <v>-1119</v>
      </c>
      <c r="S120" s="68">
        <f>VLOOKUP(B120,'124+900 '!$B$13:$AA$314,22,FALSE)</f>
        <v>2530</v>
      </c>
      <c r="T120" s="67">
        <f>VLOOKUP(B120,'124+900 '!$B$13:$AA$314,6,FALSE)</f>
        <v>1830</v>
      </c>
      <c r="U120" s="66">
        <f t="shared" si="52"/>
        <v>2061</v>
      </c>
      <c r="V120" s="65">
        <f>VLOOKUP(B120,'124+900 '!$B$13:$AA$314,15,FALSE)</f>
        <v>-939</v>
      </c>
      <c r="W120" s="64">
        <f t="shared" si="60"/>
        <v>-2</v>
      </c>
      <c r="X120" s="63">
        <f t="shared" si="61"/>
        <v>-826</v>
      </c>
      <c r="Y120" s="62">
        <f t="shared" si="62"/>
        <v>210</v>
      </c>
      <c r="Z120" s="61">
        <f t="shared" si="53"/>
        <v>0.21</v>
      </c>
      <c r="AA120" s="60">
        <f t="shared" si="63"/>
        <v>3.6759999999999997</v>
      </c>
      <c r="AB120" s="60">
        <f t="shared" si="64"/>
        <v>3.7719999999999998</v>
      </c>
      <c r="AC120" s="53"/>
      <c r="AD120" s="53"/>
      <c r="AE120" s="53"/>
      <c r="AF120" s="53"/>
    </row>
    <row r="121" spans="1:32" s="79" customFormat="1" ht="15" customHeight="1">
      <c r="A121" s="80"/>
      <c r="B121" s="74">
        <f>'124+900 '!B121</f>
        <v>45589</v>
      </c>
      <c r="C121" s="73">
        <f t="shared" si="54"/>
        <v>346</v>
      </c>
      <c r="D121" s="72">
        <f t="shared" si="55"/>
        <v>1026</v>
      </c>
      <c r="E121" s="67">
        <f>VLOOKUP(B121,'124+900 '!B96:AA701,3,FALSE)</f>
        <v>2866</v>
      </c>
      <c r="F121" s="67">
        <f t="shared" si="49"/>
        <v>3892</v>
      </c>
      <c r="G121" s="71">
        <f>VLOOKUP(B121,'124+900 '!$B$13:$AA$314,20,FALSE)</f>
        <v>2520</v>
      </c>
      <c r="H121" s="71">
        <f>VLOOKUP(B121,'124+900 '!$B$13:$AA$314,4,FALSE)</f>
        <v>1954</v>
      </c>
      <c r="I121" s="66">
        <f t="shared" si="50"/>
        <v>1938</v>
      </c>
      <c r="J121" s="66">
        <f>VLOOKUP(B121,'124+900 '!$B$13:$AA$314,13,FALSE)</f>
        <v>-1062</v>
      </c>
      <c r="K121" s="70">
        <f t="shared" si="56"/>
        <v>-10</v>
      </c>
      <c r="L121" s="69">
        <f t="shared" si="57"/>
        <v>-941</v>
      </c>
      <c r="M121" s="68">
        <f>VLOOKUP(B121,'124+900 '!$B$13:$AA$314,21,FALSE)</f>
        <v>2520</v>
      </c>
      <c r="N121" s="67">
        <f>VLOOKUP(B121,'124+900 '!$B$13:$AA$314,5,FALSE)</f>
        <v>2144</v>
      </c>
      <c r="O121" s="66">
        <f t="shared" si="51"/>
        <v>1748</v>
      </c>
      <c r="P121" s="66">
        <f>VLOOKUP(B121,'124+900 '!$B$13:$AA$314,14,FALSE)</f>
        <v>-1252</v>
      </c>
      <c r="Q121" s="70">
        <f t="shared" si="58"/>
        <v>-10</v>
      </c>
      <c r="R121" s="69">
        <f t="shared" si="59"/>
        <v>-1129</v>
      </c>
      <c r="S121" s="68">
        <f>VLOOKUP(B121,'124+900 '!$B$13:$AA$314,22,FALSE)</f>
        <v>2525</v>
      </c>
      <c r="T121" s="67">
        <f>VLOOKUP(B121,'124+900 '!$B$13:$AA$314,6,FALSE)</f>
        <v>1836</v>
      </c>
      <c r="U121" s="66">
        <f t="shared" si="52"/>
        <v>2056</v>
      </c>
      <c r="V121" s="65">
        <f>VLOOKUP(B121,'124+900 '!$B$13:$AA$314,15,FALSE)</f>
        <v>-944</v>
      </c>
      <c r="W121" s="64">
        <f t="shared" si="60"/>
        <v>-5</v>
      </c>
      <c r="X121" s="63">
        <f t="shared" si="61"/>
        <v>-831</v>
      </c>
      <c r="Y121" s="62">
        <f t="shared" si="62"/>
        <v>-10</v>
      </c>
      <c r="Z121" s="61">
        <f t="shared" si="53"/>
        <v>0</v>
      </c>
      <c r="AA121" s="60">
        <f t="shared" si="63"/>
        <v>3.6759999999999997</v>
      </c>
      <c r="AB121" s="60">
        <f t="shared" si="64"/>
        <v>3.7719999999999998</v>
      </c>
      <c r="AC121" s="53"/>
      <c r="AD121" s="53"/>
      <c r="AE121" s="53"/>
      <c r="AF121" s="53"/>
    </row>
    <row r="122" spans="1:32" s="79" customFormat="1" ht="15" customHeight="1">
      <c r="A122" s="80"/>
      <c r="B122" s="74">
        <f>'124+900 '!B122</f>
        <v>45590</v>
      </c>
      <c r="C122" s="73">
        <f t="shared" si="54"/>
        <v>347</v>
      </c>
      <c r="D122" s="72">
        <f t="shared" si="55"/>
        <v>1026</v>
      </c>
      <c r="E122" s="67">
        <f>VLOOKUP(B122,'124+900 '!B97:AA702,3,FALSE)</f>
        <v>2867</v>
      </c>
      <c r="F122" s="67">
        <f t="shared" si="49"/>
        <v>3893</v>
      </c>
      <c r="G122" s="71">
        <f>VLOOKUP(B122,'124+900 '!$B$13:$AA$314,20,FALSE)</f>
        <v>2510</v>
      </c>
      <c r="H122" s="71">
        <f>VLOOKUP(B122,'124+900 '!$B$13:$AA$314,4,FALSE)</f>
        <v>1965</v>
      </c>
      <c r="I122" s="66">
        <f t="shared" si="50"/>
        <v>1928</v>
      </c>
      <c r="J122" s="66">
        <f>VLOOKUP(B122,'124+900 '!$B$13:$AA$314,13,FALSE)</f>
        <v>-1072</v>
      </c>
      <c r="K122" s="70">
        <f t="shared" si="56"/>
        <v>-10</v>
      </c>
      <c r="L122" s="69">
        <f t="shared" si="57"/>
        <v>-951</v>
      </c>
      <c r="M122" s="68">
        <f>VLOOKUP(B122,'124+900 '!$B$13:$AA$314,21,FALSE)</f>
        <v>2510</v>
      </c>
      <c r="N122" s="67">
        <f>VLOOKUP(B122,'124+900 '!$B$13:$AA$314,5,FALSE)</f>
        <v>2155</v>
      </c>
      <c r="O122" s="66">
        <f t="shared" si="51"/>
        <v>1738</v>
      </c>
      <c r="P122" s="66">
        <f>VLOOKUP(B122,'124+900 '!$B$13:$AA$314,14,FALSE)</f>
        <v>-1262</v>
      </c>
      <c r="Q122" s="70">
        <f t="shared" si="58"/>
        <v>-10</v>
      </c>
      <c r="R122" s="69">
        <f t="shared" si="59"/>
        <v>-1139</v>
      </c>
      <c r="S122" s="68">
        <f>VLOOKUP(B122,'124+900 '!$B$13:$AA$314,22,FALSE)</f>
        <v>2521</v>
      </c>
      <c r="T122" s="67">
        <f>VLOOKUP(B122,'124+900 '!$B$13:$AA$314,6,FALSE)</f>
        <v>1841</v>
      </c>
      <c r="U122" s="66">
        <f t="shared" si="52"/>
        <v>2052</v>
      </c>
      <c r="V122" s="65">
        <f>VLOOKUP(B122,'124+900 '!$B$13:$AA$314,15,FALSE)</f>
        <v>-948</v>
      </c>
      <c r="W122" s="64">
        <f t="shared" si="60"/>
        <v>-4</v>
      </c>
      <c r="X122" s="63">
        <f t="shared" si="61"/>
        <v>-835</v>
      </c>
      <c r="Y122" s="62">
        <f t="shared" si="62"/>
        <v>-10</v>
      </c>
      <c r="Z122" s="61">
        <f t="shared" si="53"/>
        <v>0</v>
      </c>
      <c r="AA122" s="60">
        <f t="shared" si="63"/>
        <v>3.6759999999999997</v>
      </c>
      <c r="AB122" s="60">
        <f t="shared" si="64"/>
        <v>3.7719999999999998</v>
      </c>
      <c r="AC122" s="53"/>
      <c r="AD122" s="53"/>
      <c r="AE122" s="53"/>
      <c r="AF122" s="53"/>
    </row>
    <row r="123" spans="1:32" s="79" customFormat="1" ht="15" customHeight="1">
      <c r="A123" s="80"/>
      <c r="B123" s="74">
        <f>'124+900 '!B123</f>
        <v>45591</v>
      </c>
      <c r="C123" s="73">
        <f t="shared" si="54"/>
        <v>348</v>
      </c>
      <c r="D123" s="72">
        <f t="shared" si="55"/>
        <v>1026</v>
      </c>
      <c r="E123" s="67">
        <f>VLOOKUP(B123,'124+900 '!B98:AA703,3,FALSE)</f>
        <v>2868</v>
      </c>
      <c r="F123" s="67">
        <f t="shared" si="49"/>
        <v>3894</v>
      </c>
      <c r="G123" s="71">
        <f>VLOOKUP(B123,'124+900 '!$B$13:$AA$314,20,FALSE)</f>
        <v>2740</v>
      </c>
      <c r="H123" s="71">
        <f>VLOOKUP(B123,'124+900 '!$B$13:$AA$314,4,FALSE)</f>
        <v>1976</v>
      </c>
      <c r="I123" s="66">
        <f t="shared" si="50"/>
        <v>1918</v>
      </c>
      <c r="J123" s="66">
        <f>VLOOKUP(B123,'124+900 '!$B$13:$AA$314,13,FALSE)</f>
        <v>-1082</v>
      </c>
      <c r="K123" s="70">
        <f t="shared" si="56"/>
        <v>-10</v>
      </c>
      <c r="L123" s="69">
        <f t="shared" si="57"/>
        <v>-961</v>
      </c>
      <c r="M123" s="68">
        <f>VLOOKUP(B123,'124+900 '!$B$13:$AA$314,21,FALSE)</f>
        <v>2740</v>
      </c>
      <c r="N123" s="67">
        <f>VLOOKUP(B123,'124+900 '!$B$13:$AA$314,5,FALSE)</f>
        <v>2171</v>
      </c>
      <c r="O123" s="66">
        <f t="shared" si="51"/>
        <v>1723</v>
      </c>
      <c r="P123" s="66">
        <f>VLOOKUP(B123,'124+900 '!$B$13:$AA$314,14,FALSE)</f>
        <v>-1277</v>
      </c>
      <c r="Q123" s="70">
        <f t="shared" si="58"/>
        <v>-15</v>
      </c>
      <c r="R123" s="69">
        <f t="shared" si="59"/>
        <v>-1154</v>
      </c>
      <c r="S123" s="68">
        <f>VLOOKUP(B123,'124+900 '!$B$13:$AA$314,22,FALSE)</f>
        <v>2740</v>
      </c>
      <c r="T123" s="67">
        <f>VLOOKUP(B123,'124+900 '!$B$13:$AA$314,6,FALSE)</f>
        <v>1850</v>
      </c>
      <c r="U123" s="66">
        <f t="shared" si="52"/>
        <v>2044</v>
      </c>
      <c r="V123" s="65">
        <f>VLOOKUP(B123,'124+900 '!$B$13:$AA$314,15,FALSE)</f>
        <v>-956</v>
      </c>
      <c r="W123" s="64">
        <f t="shared" si="60"/>
        <v>-8</v>
      </c>
      <c r="X123" s="63">
        <f t="shared" si="61"/>
        <v>-843</v>
      </c>
      <c r="Y123" s="62">
        <f t="shared" si="62"/>
        <v>230</v>
      </c>
      <c r="Z123" s="61">
        <f t="shared" si="53"/>
        <v>0.23</v>
      </c>
      <c r="AA123" s="60">
        <f t="shared" si="63"/>
        <v>3.9059999999999997</v>
      </c>
      <c r="AB123" s="60">
        <f t="shared" si="64"/>
        <v>4.0170000000000003</v>
      </c>
      <c r="AC123" s="53"/>
      <c r="AD123" s="53"/>
      <c r="AE123" s="53"/>
      <c r="AF123" s="53"/>
    </row>
    <row r="124" spans="1:32" s="79" customFormat="1" ht="15" customHeight="1">
      <c r="A124" s="80"/>
      <c r="B124" s="74">
        <f>'124+900 '!B124</f>
        <v>45592</v>
      </c>
      <c r="C124" s="73">
        <f t="shared" si="54"/>
        <v>349</v>
      </c>
      <c r="D124" s="72">
        <f t="shared" si="55"/>
        <v>1026</v>
      </c>
      <c r="E124" s="67">
        <f>VLOOKUP(B124,'124+900 '!B99:AA704,3,FALSE)</f>
        <v>2869</v>
      </c>
      <c r="F124" s="67">
        <f t="shared" si="49"/>
        <v>3895</v>
      </c>
      <c r="G124" s="71">
        <f>VLOOKUP(B124,'124+900 '!$B$13:$AA$314,20,FALSE)</f>
        <v>2730</v>
      </c>
      <c r="H124" s="71">
        <f>VLOOKUP(B124,'124+900 '!$B$13:$AA$314,4,FALSE)</f>
        <v>1987</v>
      </c>
      <c r="I124" s="66">
        <f t="shared" si="50"/>
        <v>1908</v>
      </c>
      <c r="J124" s="66">
        <f>VLOOKUP(B124,'124+900 '!$B$13:$AA$314,13,FALSE)</f>
        <v>-1092</v>
      </c>
      <c r="K124" s="70">
        <f t="shared" si="56"/>
        <v>-10</v>
      </c>
      <c r="L124" s="69">
        <f t="shared" si="57"/>
        <v>-971</v>
      </c>
      <c r="M124" s="68">
        <f>VLOOKUP(B124,'124+900 '!$B$13:$AA$314,21,FALSE)</f>
        <v>2730</v>
      </c>
      <c r="N124" s="67">
        <f>VLOOKUP(B124,'124+900 '!$B$13:$AA$314,5,FALSE)</f>
        <v>2182</v>
      </c>
      <c r="O124" s="66">
        <f t="shared" si="51"/>
        <v>1713</v>
      </c>
      <c r="P124" s="66">
        <f>VLOOKUP(B124,'124+900 '!$B$13:$AA$314,14,FALSE)</f>
        <v>-1287</v>
      </c>
      <c r="Q124" s="70">
        <f t="shared" si="58"/>
        <v>-10</v>
      </c>
      <c r="R124" s="69">
        <f t="shared" si="59"/>
        <v>-1164</v>
      </c>
      <c r="S124" s="68">
        <f>VLOOKUP(B124,'124+900 '!$B$13:$AA$314,22,FALSE)</f>
        <v>2733</v>
      </c>
      <c r="T124" s="67">
        <f>VLOOKUP(B124,'124+900 '!$B$13:$AA$314,6,FALSE)</f>
        <v>1858</v>
      </c>
      <c r="U124" s="66">
        <f t="shared" si="52"/>
        <v>2037</v>
      </c>
      <c r="V124" s="65">
        <f>VLOOKUP(B124,'124+900 '!$B$13:$AA$314,15,FALSE)</f>
        <v>-963</v>
      </c>
      <c r="W124" s="64">
        <f t="shared" si="60"/>
        <v>-7</v>
      </c>
      <c r="X124" s="63">
        <f t="shared" si="61"/>
        <v>-850</v>
      </c>
      <c r="Y124" s="62">
        <f t="shared" si="62"/>
        <v>-10</v>
      </c>
      <c r="Z124" s="61">
        <f t="shared" si="53"/>
        <v>0</v>
      </c>
      <c r="AA124" s="60">
        <f t="shared" si="63"/>
        <v>3.9059999999999997</v>
      </c>
      <c r="AB124" s="60">
        <f t="shared" si="64"/>
        <v>4.0170000000000003</v>
      </c>
      <c r="AC124" s="53"/>
      <c r="AD124" s="53"/>
      <c r="AE124" s="53"/>
      <c r="AF124" s="53"/>
    </row>
    <row r="125" spans="1:32" s="79" customFormat="1" ht="15" customHeight="1">
      <c r="A125" s="80"/>
      <c r="B125" s="74">
        <f>'124+900 '!B125</f>
        <v>45593</v>
      </c>
      <c r="C125" s="73">
        <f t="shared" si="54"/>
        <v>350</v>
      </c>
      <c r="D125" s="72">
        <f t="shared" si="55"/>
        <v>1026</v>
      </c>
      <c r="E125" s="67">
        <f>VLOOKUP(B125,'124+900 '!B100:AA705,3,FALSE)</f>
        <v>2870</v>
      </c>
      <c r="F125" s="67">
        <f t="shared" si="49"/>
        <v>3896</v>
      </c>
      <c r="G125" s="71">
        <f>VLOOKUP(B125,'124+900 '!$B$13:$AA$314,20,FALSE)</f>
        <v>2930</v>
      </c>
      <c r="H125" s="71">
        <f>VLOOKUP(B125,'124+900 '!$B$13:$AA$314,4,FALSE)</f>
        <v>1998</v>
      </c>
      <c r="I125" s="66">
        <f t="shared" si="50"/>
        <v>1898</v>
      </c>
      <c r="J125" s="66">
        <f>VLOOKUP(B125,'124+900 '!$B$13:$AA$314,13,FALSE)</f>
        <v>-1102</v>
      </c>
      <c r="K125" s="70">
        <f t="shared" si="56"/>
        <v>-10</v>
      </c>
      <c r="L125" s="69">
        <f t="shared" si="57"/>
        <v>-981</v>
      </c>
      <c r="M125" s="68">
        <f>VLOOKUP(B125,'124+900 '!$B$13:$AA$314,21,FALSE)</f>
        <v>2930</v>
      </c>
      <c r="N125" s="67">
        <f>VLOOKUP(B125,'124+900 '!$B$13:$AA$314,5,FALSE)</f>
        <v>2193</v>
      </c>
      <c r="O125" s="66">
        <f t="shared" si="51"/>
        <v>1703</v>
      </c>
      <c r="P125" s="66">
        <f>VLOOKUP(B125,'124+900 '!$B$13:$AA$314,14,FALSE)</f>
        <v>-1297</v>
      </c>
      <c r="Q125" s="70">
        <f t="shared" si="58"/>
        <v>-10</v>
      </c>
      <c r="R125" s="69">
        <f t="shared" si="59"/>
        <v>-1174</v>
      </c>
      <c r="S125" s="68">
        <f>VLOOKUP(B125,'124+900 '!$B$13:$AA$314,22,FALSE)</f>
        <v>2930</v>
      </c>
      <c r="T125" s="67">
        <f>VLOOKUP(B125,'124+900 '!$B$13:$AA$314,6,FALSE)</f>
        <v>1867</v>
      </c>
      <c r="U125" s="66">
        <f t="shared" si="52"/>
        <v>2029</v>
      </c>
      <c r="V125" s="65">
        <f>VLOOKUP(B125,'124+900 '!$B$13:$AA$314,15,FALSE)</f>
        <v>-971</v>
      </c>
      <c r="W125" s="64">
        <f t="shared" si="60"/>
        <v>-8</v>
      </c>
      <c r="X125" s="63">
        <f t="shared" si="61"/>
        <v>-858</v>
      </c>
      <c r="Y125" s="62">
        <f t="shared" si="62"/>
        <v>200</v>
      </c>
      <c r="Z125" s="61">
        <f t="shared" si="53"/>
        <v>0.2</v>
      </c>
      <c r="AA125" s="60">
        <f t="shared" si="63"/>
        <v>4.1059999999999999</v>
      </c>
      <c r="AB125" s="60">
        <f t="shared" si="64"/>
        <v>4.2270000000000003</v>
      </c>
      <c r="AC125" s="53"/>
      <c r="AD125" s="53"/>
      <c r="AE125" s="53"/>
      <c r="AF125" s="53"/>
    </row>
    <row r="126" spans="1:32" s="79" customFormat="1" ht="15" customHeight="1">
      <c r="A126" s="80"/>
      <c r="B126" s="74">
        <f>'124+900 '!B126</f>
        <v>45594</v>
      </c>
      <c r="C126" s="73">
        <f t="shared" si="54"/>
        <v>351</v>
      </c>
      <c r="D126" s="72">
        <f t="shared" si="55"/>
        <v>1026</v>
      </c>
      <c r="E126" s="67">
        <f>VLOOKUP(B126,'124+900 '!B101:AA706,3,FALSE)</f>
        <v>2871</v>
      </c>
      <c r="F126" s="67">
        <f t="shared" si="49"/>
        <v>3897</v>
      </c>
      <c r="G126" s="71">
        <f>VLOOKUP(B126,'124+900 '!$B$13:$AA$314,20,FALSE)</f>
        <v>2920</v>
      </c>
      <c r="H126" s="71">
        <f>VLOOKUP(B126,'124+900 '!$B$13:$AA$314,4,FALSE)</f>
        <v>2009</v>
      </c>
      <c r="I126" s="66">
        <f t="shared" si="50"/>
        <v>1888</v>
      </c>
      <c r="J126" s="66">
        <f>VLOOKUP(B126,'124+900 '!$B$13:$AA$314,13,FALSE)</f>
        <v>-1112</v>
      </c>
      <c r="K126" s="70">
        <f t="shared" si="56"/>
        <v>-10</v>
      </c>
      <c r="L126" s="69">
        <f t="shared" si="57"/>
        <v>-991</v>
      </c>
      <c r="M126" s="68">
        <f>VLOOKUP(B126,'124+900 '!$B$13:$AA$314,21,FALSE)</f>
        <v>2920</v>
      </c>
      <c r="N126" s="67">
        <f>VLOOKUP(B126,'124+900 '!$B$13:$AA$314,5,FALSE)</f>
        <v>2204</v>
      </c>
      <c r="O126" s="66">
        <f t="shared" si="51"/>
        <v>1693</v>
      </c>
      <c r="P126" s="66">
        <f>VLOOKUP(B126,'124+900 '!$B$13:$AA$314,14,FALSE)</f>
        <v>-1307</v>
      </c>
      <c r="Q126" s="70">
        <f t="shared" si="58"/>
        <v>-10</v>
      </c>
      <c r="R126" s="69">
        <f t="shared" si="59"/>
        <v>-1184</v>
      </c>
      <c r="S126" s="68">
        <f>VLOOKUP(B126,'124+900 '!$B$13:$AA$314,22,FALSE)</f>
        <v>2924</v>
      </c>
      <c r="T126" s="67">
        <f>VLOOKUP(B126,'124+900 '!$B$13:$AA$314,6,FALSE)</f>
        <v>1874</v>
      </c>
      <c r="U126" s="66">
        <f t="shared" si="52"/>
        <v>2023</v>
      </c>
      <c r="V126" s="65">
        <f>VLOOKUP(B126,'124+900 '!$B$13:$AA$314,15,FALSE)</f>
        <v>-977</v>
      </c>
      <c r="W126" s="64">
        <f t="shared" si="60"/>
        <v>-6</v>
      </c>
      <c r="X126" s="63">
        <f t="shared" si="61"/>
        <v>-864</v>
      </c>
      <c r="Y126" s="62">
        <f t="shared" si="62"/>
        <v>-10</v>
      </c>
      <c r="Z126" s="61">
        <f t="shared" si="53"/>
        <v>0</v>
      </c>
      <c r="AA126" s="60">
        <f t="shared" si="63"/>
        <v>4.1059999999999999</v>
      </c>
      <c r="AB126" s="60">
        <f t="shared" si="64"/>
        <v>4.2270000000000003</v>
      </c>
      <c r="AC126" s="53"/>
      <c r="AD126" s="53"/>
      <c r="AE126" s="53"/>
      <c r="AF126" s="53"/>
    </row>
    <row r="127" spans="1:32" s="79" customFormat="1" ht="15" customHeight="1">
      <c r="A127" s="80"/>
      <c r="B127" s="74">
        <f>'124+900 '!B127</f>
        <v>45595</v>
      </c>
      <c r="C127" s="73">
        <f t="shared" si="54"/>
        <v>352</v>
      </c>
      <c r="D127" s="72">
        <f t="shared" si="55"/>
        <v>1026</v>
      </c>
      <c r="E127" s="67">
        <f>VLOOKUP(B127,'124+900 '!B102:AA707,3,FALSE)</f>
        <v>2872</v>
      </c>
      <c r="F127" s="67">
        <f t="shared" si="49"/>
        <v>3898</v>
      </c>
      <c r="G127" s="71">
        <f>VLOOKUP(B127,'124+900 '!$B$13:$AA$314,20,FALSE)</f>
        <v>2910</v>
      </c>
      <c r="H127" s="71">
        <f>VLOOKUP(B127,'124+900 '!$B$13:$AA$314,4,FALSE)</f>
        <v>2020</v>
      </c>
      <c r="I127" s="66">
        <f t="shared" si="50"/>
        <v>1878</v>
      </c>
      <c r="J127" s="66">
        <f>VLOOKUP(B127,'124+900 '!$B$13:$AA$314,13,FALSE)</f>
        <v>-1122</v>
      </c>
      <c r="K127" s="70">
        <f t="shared" si="56"/>
        <v>-10</v>
      </c>
      <c r="L127" s="69">
        <f t="shared" si="57"/>
        <v>-1001</v>
      </c>
      <c r="M127" s="68">
        <f>VLOOKUP(B127,'124+900 '!$B$13:$AA$314,21,FALSE)</f>
        <v>2910</v>
      </c>
      <c r="N127" s="67">
        <f>VLOOKUP(B127,'124+900 '!$B$13:$AA$314,5,FALSE)</f>
        <v>2215</v>
      </c>
      <c r="O127" s="66">
        <f t="shared" si="51"/>
        <v>1683</v>
      </c>
      <c r="P127" s="66">
        <f>VLOOKUP(B127,'124+900 '!$B$13:$AA$314,14,FALSE)</f>
        <v>-1317</v>
      </c>
      <c r="Q127" s="70">
        <f t="shared" si="58"/>
        <v>-10</v>
      </c>
      <c r="R127" s="69">
        <f t="shared" si="59"/>
        <v>-1194</v>
      </c>
      <c r="S127" s="68">
        <f>VLOOKUP(B127,'124+900 '!$B$13:$AA$314,22,FALSE)</f>
        <v>2920</v>
      </c>
      <c r="T127" s="67">
        <f>VLOOKUP(B127,'124+900 '!$B$13:$AA$314,6,FALSE)</f>
        <v>1879</v>
      </c>
      <c r="U127" s="66">
        <f t="shared" si="52"/>
        <v>2019</v>
      </c>
      <c r="V127" s="65">
        <f>VLOOKUP(B127,'124+900 '!$B$13:$AA$314,15,FALSE)</f>
        <v>-981</v>
      </c>
      <c r="W127" s="64">
        <f t="shared" si="60"/>
        <v>-4</v>
      </c>
      <c r="X127" s="63">
        <f t="shared" si="61"/>
        <v>-868</v>
      </c>
      <c r="Y127" s="62">
        <f t="shared" si="62"/>
        <v>-10</v>
      </c>
      <c r="Z127" s="61">
        <f t="shared" si="53"/>
        <v>0</v>
      </c>
      <c r="AA127" s="60">
        <f t="shared" si="63"/>
        <v>4.1059999999999999</v>
      </c>
      <c r="AB127" s="60">
        <f t="shared" si="64"/>
        <v>4.2270000000000003</v>
      </c>
      <c r="AC127" s="53"/>
      <c r="AD127" s="53"/>
      <c r="AE127" s="53"/>
      <c r="AF127" s="53"/>
    </row>
    <row r="128" spans="1:32" s="79" customFormat="1" ht="15" customHeight="1">
      <c r="A128" s="80"/>
      <c r="B128" s="74">
        <f>'124+900 '!B128</f>
        <v>45596</v>
      </c>
      <c r="C128" s="73">
        <f t="shared" si="54"/>
        <v>353</v>
      </c>
      <c r="D128" s="72">
        <f t="shared" si="55"/>
        <v>1026</v>
      </c>
      <c r="E128" s="67">
        <f>VLOOKUP(B128,'124+900 '!B103:AA708,3,FALSE)</f>
        <v>2873</v>
      </c>
      <c r="F128" s="67">
        <f t="shared" si="49"/>
        <v>3899</v>
      </c>
      <c r="G128" s="71">
        <f>VLOOKUP(B128,'124+900 '!$B$13:$AA$314,20,FALSE)</f>
        <v>3130</v>
      </c>
      <c r="H128" s="71">
        <f>VLOOKUP(B128,'124+900 '!$B$13:$AA$314,4,FALSE)</f>
        <v>2031</v>
      </c>
      <c r="I128" s="66">
        <f t="shared" si="50"/>
        <v>1868</v>
      </c>
      <c r="J128" s="66">
        <f>VLOOKUP(B128,'124+900 '!$B$13:$AA$314,13,FALSE)</f>
        <v>-1132</v>
      </c>
      <c r="K128" s="70">
        <f t="shared" si="56"/>
        <v>-10</v>
      </c>
      <c r="L128" s="69">
        <f t="shared" si="57"/>
        <v>-1011</v>
      </c>
      <c r="M128" s="68">
        <f>VLOOKUP(B128,'124+900 '!$B$13:$AA$314,21,FALSE)</f>
        <v>3130</v>
      </c>
      <c r="N128" s="67">
        <f>VLOOKUP(B128,'124+900 '!$B$13:$AA$314,5,FALSE)</f>
        <v>2231</v>
      </c>
      <c r="O128" s="66">
        <f t="shared" si="51"/>
        <v>1668</v>
      </c>
      <c r="P128" s="66">
        <f>VLOOKUP(B128,'124+900 '!$B$13:$AA$314,14,FALSE)</f>
        <v>-1332</v>
      </c>
      <c r="Q128" s="70">
        <f t="shared" si="58"/>
        <v>-15</v>
      </c>
      <c r="R128" s="69">
        <f t="shared" si="59"/>
        <v>-1209</v>
      </c>
      <c r="S128" s="68">
        <f>VLOOKUP(B128,'124+900 '!$B$13:$AA$314,22,FALSE)</f>
        <v>3130</v>
      </c>
      <c r="T128" s="67">
        <f>VLOOKUP(B128,'124+900 '!$B$13:$AA$314,6,FALSE)</f>
        <v>1888</v>
      </c>
      <c r="U128" s="66">
        <f t="shared" si="52"/>
        <v>2011</v>
      </c>
      <c r="V128" s="65">
        <f>VLOOKUP(B128,'124+900 '!$B$13:$AA$314,15,FALSE)</f>
        <v>-989</v>
      </c>
      <c r="W128" s="64">
        <f t="shared" si="60"/>
        <v>-8</v>
      </c>
      <c r="X128" s="63">
        <f t="shared" si="61"/>
        <v>-876</v>
      </c>
      <c r="Y128" s="62">
        <f t="shared" si="62"/>
        <v>220</v>
      </c>
      <c r="Z128" s="61">
        <f t="shared" si="53"/>
        <v>0.22</v>
      </c>
      <c r="AA128" s="60">
        <f t="shared" si="63"/>
        <v>4.3259999999999996</v>
      </c>
      <c r="AB128" s="60">
        <f t="shared" si="64"/>
        <v>4.4619999999999997</v>
      </c>
      <c r="AC128" s="53"/>
      <c r="AD128" s="53"/>
      <c r="AE128" s="53"/>
      <c r="AF128" s="53"/>
    </row>
    <row r="129" spans="1:32" s="79" customFormat="1" ht="15" customHeight="1">
      <c r="A129" s="80"/>
      <c r="B129" s="74">
        <f>'124+900 '!B129</f>
        <v>45597</v>
      </c>
      <c r="C129" s="73">
        <f t="shared" si="54"/>
        <v>354</v>
      </c>
      <c r="D129" s="72">
        <f t="shared" si="55"/>
        <v>1026</v>
      </c>
      <c r="E129" s="67">
        <f>VLOOKUP(B129,'124+900 '!B104:AA709,3,FALSE)</f>
        <v>2874</v>
      </c>
      <c r="F129" s="67">
        <f t="shared" si="49"/>
        <v>3900</v>
      </c>
      <c r="G129" s="71">
        <f>VLOOKUP(B129,'124+900 '!$B$13:$AA$314,20,FALSE)</f>
        <v>3120</v>
      </c>
      <c r="H129" s="71">
        <f>VLOOKUP(B129,'124+900 '!$B$13:$AA$314,4,FALSE)</f>
        <v>2042</v>
      </c>
      <c r="I129" s="66">
        <f t="shared" si="50"/>
        <v>1858</v>
      </c>
      <c r="J129" s="66">
        <f>VLOOKUP(B129,'124+900 '!$B$13:$AA$314,13,FALSE)</f>
        <v>-1142</v>
      </c>
      <c r="K129" s="70">
        <f t="shared" si="56"/>
        <v>-10</v>
      </c>
      <c r="L129" s="69">
        <f t="shared" si="57"/>
        <v>-1021</v>
      </c>
      <c r="M129" s="68">
        <f>VLOOKUP(B129,'124+900 '!$B$13:$AA$314,21,FALSE)</f>
        <v>3120</v>
      </c>
      <c r="N129" s="67">
        <f>VLOOKUP(B129,'124+900 '!$B$13:$AA$314,5,FALSE)</f>
        <v>2242</v>
      </c>
      <c r="O129" s="66">
        <f t="shared" si="51"/>
        <v>1658</v>
      </c>
      <c r="P129" s="66">
        <f>VLOOKUP(B129,'124+900 '!$B$13:$AA$314,14,FALSE)</f>
        <v>-1342</v>
      </c>
      <c r="Q129" s="70">
        <f t="shared" si="58"/>
        <v>-10</v>
      </c>
      <c r="R129" s="69">
        <f t="shared" si="59"/>
        <v>-1219</v>
      </c>
      <c r="S129" s="68">
        <f>VLOOKUP(B129,'124+900 '!$B$13:$AA$314,22,FALSE)</f>
        <v>3123</v>
      </c>
      <c r="T129" s="67">
        <f>VLOOKUP(B129,'124+900 '!$B$13:$AA$314,6,FALSE)</f>
        <v>1896</v>
      </c>
      <c r="U129" s="66">
        <f t="shared" si="52"/>
        <v>2004</v>
      </c>
      <c r="V129" s="65">
        <f>VLOOKUP(B129,'124+900 '!$B$13:$AA$314,15,FALSE)</f>
        <v>-996</v>
      </c>
      <c r="W129" s="64">
        <f t="shared" si="60"/>
        <v>-7</v>
      </c>
      <c r="X129" s="63">
        <f t="shared" si="61"/>
        <v>-883</v>
      </c>
      <c r="Y129" s="62">
        <f t="shared" si="62"/>
        <v>-10</v>
      </c>
      <c r="Z129" s="61">
        <f t="shared" si="53"/>
        <v>0</v>
      </c>
      <c r="AA129" s="60">
        <f t="shared" si="63"/>
        <v>4.3259999999999996</v>
      </c>
      <c r="AB129" s="60">
        <f t="shared" si="64"/>
        <v>4.4619999999999997</v>
      </c>
      <c r="AC129" s="53"/>
      <c r="AD129" s="53"/>
      <c r="AE129" s="53"/>
      <c r="AF129" s="53"/>
    </row>
    <row r="130" spans="1:32" s="79" customFormat="1" ht="15" customHeight="1">
      <c r="A130" s="80"/>
      <c r="B130" s="74">
        <f>'124+900 '!B130</f>
        <v>45598</v>
      </c>
      <c r="C130" s="73">
        <f t="shared" si="54"/>
        <v>355</v>
      </c>
      <c r="D130" s="72">
        <f t="shared" si="55"/>
        <v>1026</v>
      </c>
      <c r="E130" s="67">
        <f>VLOOKUP(B130,'124+900 '!B105:AA710,3,FALSE)</f>
        <v>2875</v>
      </c>
      <c r="F130" s="67">
        <f t="shared" si="49"/>
        <v>3901</v>
      </c>
      <c r="G130" s="71">
        <f>VLOOKUP(B130,'124+900 '!$B$13:$AA$314,20,FALSE)</f>
        <v>3110</v>
      </c>
      <c r="H130" s="71">
        <f>VLOOKUP(B130,'124+900 '!$B$13:$AA$314,4,FALSE)</f>
        <v>2053</v>
      </c>
      <c r="I130" s="66">
        <f t="shared" si="50"/>
        <v>1848</v>
      </c>
      <c r="J130" s="66">
        <f>VLOOKUP(B130,'124+900 '!$B$13:$AA$314,13,FALSE)</f>
        <v>-1152</v>
      </c>
      <c r="K130" s="70">
        <f t="shared" si="56"/>
        <v>-10</v>
      </c>
      <c r="L130" s="69">
        <f t="shared" si="57"/>
        <v>-1031</v>
      </c>
      <c r="M130" s="68">
        <f>VLOOKUP(B130,'124+900 '!$B$13:$AA$314,21,FALSE)</f>
        <v>3110</v>
      </c>
      <c r="N130" s="67">
        <f>VLOOKUP(B130,'124+900 '!$B$13:$AA$314,5,FALSE)</f>
        <v>2253</v>
      </c>
      <c r="O130" s="66">
        <f t="shared" si="51"/>
        <v>1648</v>
      </c>
      <c r="P130" s="66">
        <f>VLOOKUP(B130,'124+900 '!$B$13:$AA$314,14,FALSE)</f>
        <v>-1352</v>
      </c>
      <c r="Q130" s="70">
        <f t="shared" si="58"/>
        <v>-10</v>
      </c>
      <c r="R130" s="69">
        <f t="shared" si="59"/>
        <v>-1229</v>
      </c>
      <c r="S130" s="68">
        <f>VLOOKUP(B130,'124+900 '!$B$13:$AA$314,22,FALSE)</f>
        <v>3117</v>
      </c>
      <c r="T130" s="67">
        <f>VLOOKUP(B130,'124+900 '!$B$13:$AA$314,6,FALSE)</f>
        <v>1903</v>
      </c>
      <c r="U130" s="66">
        <f t="shared" si="52"/>
        <v>1998</v>
      </c>
      <c r="V130" s="65">
        <f>VLOOKUP(B130,'124+900 '!$B$13:$AA$314,15,FALSE)</f>
        <v>-1002</v>
      </c>
      <c r="W130" s="64">
        <f t="shared" si="60"/>
        <v>-6</v>
      </c>
      <c r="X130" s="63">
        <f t="shared" si="61"/>
        <v>-889</v>
      </c>
      <c r="Y130" s="62">
        <f t="shared" si="62"/>
        <v>-10</v>
      </c>
      <c r="Z130" s="61">
        <f t="shared" si="53"/>
        <v>0</v>
      </c>
      <c r="AA130" s="60">
        <f t="shared" si="63"/>
        <v>4.3259999999999996</v>
      </c>
      <c r="AB130" s="60">
        <f t="shared" si="64"/>
        <v>4.4619999999999997</v>
      </c>
      <c r="AC130" s="53"/>
      <c r="AD130" s="53"/>
      <c r="AE130" s="53"/>
      <c r="AF130" s="53"/>
    </row>
    <row r="131" spans="1:32" s="79" customFormat="1" ht="15" customHeight="1">
      <c r="A131" s="80"/>
      <c r="B131" s="74">
        <f>'124+900 '!B131</f>
        <v>45599</v>
      </c>
      <c r="C131" s="73">
        <f t="shared" si="54"/>
        <v>356</v>
      </c>
      <c r="D131" s="72">
        <f t="shared" si="55"/>
        <v>1026</v>
      </c>
      <c r="E131" s="67">
        <f>VLOOKUP(B131,'124+900 '!B106:AA711,3,FALSE)</f>
        <v>2876</v>
      </c>
      <c r="F131" s="67">
        <f t="shared" si="49"/>
        <v>3902</v>
      </c>
      <c r="G131" s="71">
        <f>VLOOKUP(B131,'124+900 '!$B$13:$AA$314,20,FALSE)</f>
        <v>3330</v>
      </c>
      <c r="H131" s="71">
        <f>VLOOKUP(B131,'124+900 '!$B$13:$AA$314,4,FALSE)</f>
        <v>2064</v>
      </c>
      <c r="I131" s="66">
        <f t="shared" si="50"/>
        <v>1838</v>
      </c>
      <c r="J131" s="66">
        <f>VLOOKUP(B131,'124+900 '!$B$13:$AA$314,13,FALSE)</f>
        <v>-1162</v>
      </c>
      <c r="K131" s="70">
        <f t="shared" si="56"/>
        <v>-10</v>
      </c>
      <c r="L131" s="69">
        <f t="shared" si="57"/>
        <v>-1041</v>
      </c>
      <c r="M131" s="68">
        <f>VLOOKUP(B131,'124+900 '!$B$13:$AA$314,21,FALSE)</f>
        <v>3330</v>
      </c>
      <c r="N131" s="67">
        <f>VLOOKUP(B131,'124+900 '!$B$13:$AA$314,5,FALSE)</f>
        <v>2269</v>
      </c>
      <c r="O131" s="66">
        <f t="shared" si="51"/>
        <v>1633</v>
      </c>
      <c r="P131" s="66">
        <f>VLOOKUP(B131,'124+900 '!$B$13:$AA$314,14,FALSE)</f>
        <v>-1367</v>
      </c>
      <c r="Q131" s="70">
        <f t="shared" si="58"/>
        <v>-15</v>
      </c>
      <c r="R131" s="69">
        <f t="shared" si="59"/>
        <v>-1244</v>
      </c>
      <c r="S131" s="68">
        <f>VLOOKUP(B131,'124+900 '!$B$13:$AA$314,22,FALSE)</f>
        <v>3330</v>
      </c>
      <c r="T131" s="67">
        <f>VLOOKUP(B131,'124+900 '!$B$13:$AA$314,6,FALSE)</f>
        <v>1909</v>
      </c>
      <c r="U131" s="66">
        <f t="shared" si="52"/>
        <v>1993</v>
      </c>
      <c r="V131" s="65">
        <f>VLOOKUP(B131,'124+900 '!$B$13:$AA$314,15,FALSE)</f>
        <v>-1007</v>
      </c>
      <c r="W131" s="64">
        <f t="shared" si="60"/>
        <v>-5</v>
      </c>
      <c r="X131" s="63">
        <f t="shared" si="61"/>
        <v>-894</v>
      </c>
      <c r="Y131" s="62">
        <f t="shared" si="62"/>
        <v>220</v>
      </c>
      <c r="Z131" s="61">
        <f t="shared" si="53"/>
        <v>0.22</v>
      </c>
      <c r="AA131" s="60">
        <f t="shared" si="63"/>
        <v>4.5459999999999994</v>
      </c>
      <c r="AB131" s="60">
        <f t="shared" si="64"/>
        <v>4.6970000000000001</v>
      </c>
      <c r="AC131" s="53"/>
      <c r="AD131" s="53"/>
      <c r="AE131" s="53"/>
      <c r="AF131" s="53"/>
    </row>
    <row r="132" spans="1:32" s="79" customFormat="1" ht="15" customHeight="1">
      <c r="A132" s="80"/>
      <c r="B132" s="74">
        <f>'124+900 '!B132</f>
        <v>45600</v>
      </c>
      <c r="C132" s="73">
        <f t="shared" si="54"/>
        <v>357</v>
      </c>
      <c r="D132" s="72">
        <f t="shared" si="55"/>
        <v>1026</v>
      </c>
      <c r="E132" s="67">
        <f>VLOOKUP(B132,'124+900 '!B107:AA712,3,FALSE)</f>
        <v>2877</v>
      </c>
      <c r="F132" s="67">
        <f t="shared" si="49"/>
        <v>3903</v>
      </c>
      <c r="G132" s="71">
        <f>VLOOKUP(B132,'124+900 '!$B$13:$AA$314,20,FALSE)</f>
        <v>3320</v>
      </c>
      <c r="H132" s="71">
        <f>VLOOKUP(B132,'124+900 '!$B$13:$AA$314,4,FALSE)</f>
        <v>2075</v>
      </c>
      <c r="I132" s="66">
        <f t="shared" si="50"/>
        <v>1828</v>
      </c>
      <c r="J132" s="66">
        <f>VLOOKUP(B132,'124+900 '!$B$13:$AA$314,13,FALSE)</f>
        <v>-1172</v>
      </c>
      <c r="K132" s="70">
        <f t="shared" si="56"/>
        <v>-10</v>
      </c>
      <c r="L132" s="69">
        <f t="shared" si="57"/>
        <v>-1051</v>
      </c>
      <c r="M132" s="68">
        <f>VLOOKUP(B132,'124+900 '!$B$13:$AA$314,21,FALSE)</f>
        <v>3320</v>
      </c>
      <c r="N132" s="67">
        <f>VLOOKUP(B132,'124+900 '!$B$13:$AA$314,5,FALSE)</f>
        <v>2280</v>
      </c>
      <c r="O132" s="66">
        <f t="shared" si="51"/>
        <v>1623</v>
      </c>
      <c r="P132" s="66">
        <f>VLOOKUP(B132,'124+900 '!$B$13:$AA$314,14,FALSE)</f>
        <v>-1377</v>
      </c>
      <c r="Q132" s="70">
        <f t="shared" si="58"/>
        <v>-10</v>
      </c>
      <c r="R132" s="69">
        <f t="shared" si="59"/>
        <v>-1254</v>
      </c>
      <c r="S132" s="68">
        <f>VLOOKUP(B132,'124+900 '!$B$13:$AA$314,22,FALSE)</f>
        <v>3324</v>
      </c>
      <c r="T132" s="67">
        <f>VLOOKUP(B132,'124+900 '!$B$13:$AA$314,6,FALSE)</f>
        <v>1916</v>
      </c>
      <c r="U132" s="66">
        <f t="shared" si="52"/>
        <v>1987</v>
      </c>
      <c r="V132" s="65">
        <f>VLOOKUP(B132,'124+900 '!$B$13:$AA$314,15,FALSE)</f>
        <v>-1013</v>
      </c>
      <c r="W132" s="64">
        <f t="shared" si="60"/>
        <v>-6</v>
      </c>
      <c r="X132" s="63">
        <f t="shared" si="61"/>
        <v>-900</v>
      </c>
      <c r="Y132" s="62">
        <f t="shared" si="62"/>
        <v>-10</v>
      </c>
      <c r="Z132" s="61">
        <f t="shared" si="53"/>
        <v>0</v>
      </c>
      <c r="AA132" s="60">
        <f t="shared" si="63"/>
        <v>4.5459999999999994</v>
      </c>
      <c r="AB132" s="60">
        <f t="shared" si="64"/>
        <v>4.6970000000000001</v>
      </c>
      <c r="AC132" s="53"/>
      <c r="AD132" s="53"/>
      <c r="AE132" s="53"/>
      <c r="AF132" s="53"/>
    </row>
    <row r="133" spans="1:32" s="79" customFormat="1" ht="15" customHeight="1">
      <c r="A133" s="80"/>
      <c r="B133" s="74">
        <f>'124+900 '!B133</f>
        <v>45601</v>
      </c>
      <c r="C133" s="73">
        <f t="shared" si="54"/>
        <v>358</v>
      </c>
      <c r="D133" s="72">
        <f t="shared" si="55"/>
        <v>1026</v>
      </c>
      <c r="E133" s="67">
        <f>VLOOKUP(B133,'124+900 '!B108:AA713,3,FALSE)</f>
        <v>2878</v>
      </c>
      <c r="F133" s="67">
        <f t="shared" si="49"/>
        <v>3904</v>
      </c>
      <c r="G133" s="71">
        <f>VLOOKUP(B133,'124+900 '!$B$13:$AA$314,20,FALSE)</f>
        <v>3310</v>
      </c>
      <c r="H133" s="71">
        <f>VLOOKUP(B133,'124+900 '!$B$13:$AA$314,4,FALSE)</f>
        <v>2086</v>
      </c>
      <c r="I133" s="66">
        <f t="shared" si="50"/>
        <v>1818</v>
      </c>
      <c r="J133" s="66">
        <f>VLOOKUP(B133,'124+900 '!$B$13:$AA$314,13,FALSE)</f>
        <v>-1182</v>
      </c>
      <c r="K133" s="70">
        <f t="shared" si="56"/>
        <v>-10</v>
      </c>
      <c r="L133" s="69">
        <f t="shared" si="57"/>
        <v>-1061</v>
      </c>
      <c r="M133" s="68">
        <f>VLOOKUP(B133,'124+900 '!$B$13:$AA$314,21,FALSE)</f>
        <v>3310</v>
      </c>
      <c r="N133" s="67">
        <f>VLOOKUP(B133,'124+900 '!$B$13:$AA$314,5,FALSE)</f>
        <v>2291</v>
      </c>
      <c r="O133" s="66">
        <f t="shared" si="51"/>
        <v>1613</v>
      </c>
      <c r="P133" s="66">
        <f>VLOOKUP(B133,'124+900 '!$B$13:$AA$314,14,FALSE)</f>
        <v>-1387</v>
      </c>
      <c r="Q133" s="70">
        <f t="shared" si="58"/>
        <v>-10</v>
      </c>
      <c r="R133" s="69">
        <f t="shared" si="59"/>
        <v>-1264</v>
      </c>
      <c r="S133" s="68">
        <f>VLOOKUP(B133,'124+900 '!$B$13:$AA$314,22,FALSE)</f>
        <v>3319</v>
      </c>
      <c r="T133" s="67">
        <f>VLOOKUP(B133,'124+900 '!$B$13:$AA$314,6,FALSE)</f>
        <v>1922</v>
      </c>
      <c r="U133" s="66">
        <f t="shared" si="52"/>
        <v>1982</v>
      </c>
      <c r="V133" s="65">
        <f>VLOOKUP(B133,'124+900 '!$B$13:$AA$314,15,FALSE)</f>
        <v>-1018</v>
      </c>
      <c r="W133" s="64">
        <f t="shared" si="60"/>
        <v>-5</v>
      </c>
      <c r="X133" s="63">
        <f t="shared" si="61"/>
        <v>-905</v>
      </c>
      <c r="Y133" s="62">
        <f t="shared" si="62"/>
        <v>-10</v>
      </c>
      <c r="Z133" s="61">
        <f t="shared" si="53"/>
        <v>0</v>
      </c>
      <c r="AA133" s="60">
        <f t="shared" si="63"/>
        <v>4.5459999999999994</v>
      </c>
      <c r="AB133" s="60">
        <f t="shared" si="64"/>
        <v>4.6970000000000001</v>
      </c>
      <c r="AC133" s="53"/>
      <c r="AD133" s="53"/>
      <c r="AE133" s="53"/>
      <c r="AF133" s="53"/>
    </row>
    <row r="134" spans="1:32" s="79" customFormat="1" ht="15" customHeight="1">
      <c r="A134" s="80"/>
      <c r="B134" s="74">
        <f>'124+900 '!B134</f>
        <v>45602</v>
      </c>
      <c r="C134" s="73">
        <f t="shared" si="54"/>
        <v>359</v>
      </c>
      <c r="D134" s="72">
        <f t="shared" si="55"/>
        <v>1026</v>
      </c>
      <c r="E134" s="67">
        <f>VLOOKUP(B134,'124+900 '!B109:AA714,3,FALSE)</f>
        <v>2879</v>
      </c>
      <c r="F134" s="67">
        <f t="shared" si="49"/>
        <v>3905</v>
      </c>
      <c r="G134" s="71">
        <f>VLOOKUP(B134,'124+900 '!$B$13:$AA$314,20,FALSE)</f>
        <v>3300</v>
      </c>
      <c r="H134" s="71">
        <f>VLOOKUP(B134,'124+900 '!$B$13:$AA$314,4,FALSE)</f>
        <v>2097</v>
      </c>
      <c r="I134" s="66">
        <f t="shared" si="50"/>
        <v>1808</v>
      </c>
      <c r="J134" s="66">
        <f>VLOOKUP(B134,'124+900 '!$B$13:$AA$314,13,FALSE)</f>
        <v>-1192</v>
      </c>
      <c r="K134" s="70">
        <f t="shared" si="56"/>
        <v>-10</v>
      </c>
      <c r="L134" s="69">
        <f t="shared" si="57"/>
        <v>-1071</v>
      </c>
      <c r="M134" s="68">
        <f>VLOOKUP(B134,'124+900 '!$B$13:$AA$314,21,FALSE)</f>
        <v>3300</v>
      </c>
      <c r="N134" s="67">
        <f>VLOOKUP(B134,'124+900 '!$B$13:$AA$314,5,FALSE)</f>
        <v>2302</v>
      </c>
      <c r="O134" s="66">
        <f t="shared" si="51"/>
        <v>1603</v>
      </c>
      <c r="P134" s="66">
        <f>VLOOKUP(B134,'124+900 '!$B$13:$AA$314,14,FALSE)</f>
        <v>-1397</v>
      </c>
      <c r="Q134" s="70">
        <f t="shared" si="58"/>
        <v>-10</v>
      </c>
      <c r="R134" s="69">
        <f t="shared" si="59"/>
        <v>-1274</v>
      </c>
      <c r="S134" s="68">
        <f>VLOOKUP(B134,'124+900 '!$B$13:$AA$314,22,FALSE)</f>
        <v>3311</v>
      </c>
      <c r="T134" s="67">
        <f>VLOOKUP(B134,'124+900 '!$B$13:$AA$314,6,FALSE)</f>
        <v>1931</v>
      </c>
      <c r="U134" s="66">
        <f t="shared" si="52"/>
        <v>1974</v>
      </c>
      <c r="V134" s="65">
        <f>VLOOKUP(B134,'124+900 '!$B$13:$AA$314,15,FALSE)</f>
        <v>-1026</v>
      </c>
      <c r="W134" s="64">
        <f t="shared" si="60"/>
        <v>-8</v>
      </c>
      <c r="X134" s="63">
        <f t="shared" si="61"/>
        <v>-913</v>
      </c>
      <c r="Y134" s="62">
        <f t="shared" si="62"/>
        <v>-10</v>
      </c>
      <c r="Z134" s="61">
        <f t="shared" si="53"/>
        <v>0</v>
      </c>
      <c r="AA134" s="60">
        <f t="shared" si="63"/>
        <v>4.5459999999999994</v>
      </c>
      <c r="AB134" s="60">
        <f t="shared" si="64"/>
        <v>4.6970000000000001</v>
      </c>
      <c r="AC134" s="53"/>
      <c r="AD134" s="53"/>
      <c r="AE134" s="53"/>
      <c r="AF134" s="53"/>
    </row>
    <row r="135" spans="1:32" s="79" customFormat="1" ht="15" customHeight="1">
      <c r="A135" s="80"/>
      <c r="B135" s="74">
        <f>'124+900 '!B135</f>
        <v>45603</v>
      </c>
      <c r="C135" s="73">
        <f t="shared" si="54"/>
        <v>360</v>
      </c>
      <c r="D135" s="72">
        <f t="shared" si="55"/>
        <v>1026</v>
      </c>
      <c r="E135" s="67">
        <f>VLOOKUP(B135,'124+900 '!B110:AA715,3,FALSE)</f>
        <v>2880</v>
      </c>
      <c r="F135" s="67">
        <f t="shared" si="49"/>
        <v>3906</v>
      </c>
      <c r="G135" s="71">
        <f>VLOOKUP(B135,'124+900 '!$B$13:$AA$314,20,FALSE)</f>
        <v>3290</v>
      </c>
      <c r="H135" s="71">
        <f>VLOOKUP(B135,'124+900 '!$B$13:$AA$314,4,FALSE)</f>
        <v>2108</v>
      </c>
      <c r="I135" s="66">
        <f t="shared" si="50"/>
        <v>1798</v>
      </c>
      <c r="J135" s="66">
        <f>VLOOKUP(B135,'124+900 '!$B$13:$AA$314,13,FALSE)</f>
        <v>-1202</v>
      </c>
      <c r="K135" s="70">
        <f t="shared" si="56"/>
        <v>-10</v>
      </c>
      <c r="L135" s="69">
        <f t="shared" si="57"/>
        <v>-1081</v>
      </c>
      <c r="M135" s="68">
        <f>VLOOKUP(B135,'124+900 '!$B$13:$AA$314,21,FALSE)</f>
        <v>3285</v>
      </c>
      <c r="N135" s="67">
        <f>VLOOKUP(B135,'124+900 '!$B$13:$AA$314,5,FALSE)</f>
        <v>2318</v>
      </c>
      <c r="O135" s="66">
        <f t="shared" si="51"/>
        <v>1588</v>
      </c>
      <c r="P135" s="66">
        <f>VLOOKUP(B135,'124+900 '!$B$13:$AA$314,14,FALSE)</f>
        <v>-1412</v>
      </c>
      <c r="Q135" s="70">
        <f t="shared" si="58"/>
        <v>-15</v>
      </c>
      <c r="R135" s="69">
        <f t="shared" si="59"/>
        <v>-1289</v>
      </c>
      <c r="S135" s="68">
        <f>VLOOKUP(B135,'124+900 '!$B$13:$AA$314,22,FALSE)</f>
        <v>3307</v>
      </c>
      <c r="T135" s="67">
        <f>VLOOKUP(B135,'124+900 '!$B$13:$AA$314,6,FALSE)</f>
        <v>1936</v>
      </c>
      <c r="U135" s="66">
        <f t="shared" si="52"/>
        <v>1970</v>
      </c>
      <c r="V135" s="65">
        <f>VLOOKUP(B135,'124+900 '!$B$13:$AA$314,15,FALSE)</f>
        <v>-1030</v>
      </c>
      <c r="W135" s="64">
        <f t="shared" si="60"/>
        <v>-4</v>
      </c>
      <c r="X135" s="63">
        <f t="shared" si="61"/>
        <v>-917</v>
      </c>
      <c r="Y135" s="62">
        <f t="shared" si="62"/>
        <v>-15</v>
      </c>
      <c r="Z135" s="61">
        <f t="shared" si="53"/>
        <v>0</v>
      </c>
      <c r="AA135" s="60">
        <f t="shared" si="63"/>
        <v>4.5459999999999994</v>
      </c>
      <c r="AB135" s="60">
        <f t="shared" si="64"/>
        <v>4.6970000000000001</v>
      </c>
      <c r="AC135" s="53"/>
      <c r="AD135" s="53"/>
      <c r="AE135" s="53"/>
      <c r="AF135" s="53"/>
    </row>
    <row r="136" spans="1:32" s="79" customFormat="1" ht="15" customHeight="1">
      <c r="A136" s="80"/>
      <c r="B136" s="74">
        <f>'124+900 '!B136</f>
        <v>45604</v>
      </c>
      <c r="C136" s="73">
        <f t="shared" si="54"/>
        <v>361</v>
      </c>
      <c r="D136" s="72">
        <f t="shared" si="55"/>
        <v>1026</v>
      </c>
      <c r="E136" s="67">
        <f>VLOOKUP(B136,'124+900 '!B111:AA716,3,FALSE)</f>
        <v>2881</v>
      </c>
      <c r="F136" s="67">
        <f t="shared" si="49"/>
        <v>3907</v>
      </c>
      <c r="G136" s="71">
        <f>VLOOKUP(B136,'124+900 '!$B$13:$AA$314,20,FALSE)</f>
        <v>3530</v>
      </c>
      <c r="H136" s="71">
        <f>VLOOKUP(B136,'124+900 '!$B$13:$AA$314,4,FALSE)</f>
        <v>2119</v>
      </c>
      <c r="I136" s="66">
        <f t="shared" si="50"/>
        <v>1788</v>
      </c>
      <c r="J136" s="66">
        <f>VLOOKUP(B136,'124+900 '!$B$13:$AA$314,13,FALSE)</f>
        <v>-1212</v>
      </c>
      <c r="K136" s="70">
        <f t="shared" si="56"/>
        <v>-10</v>
      </c>
      <c r="L136" s="69">
        <f t="shared" si="57"/>
        <v>-1091</v>
      </c>
      <c r="M136" s="68">
        <f>VLOOKUP(B136,'124+900 '!$B$13:$AA$314,21,FALSE)</f>
        <v>3530</v>
      </c>
      <c r="N136" s="67">
        <f>VLOOKUP(B136,'124+900 '!$B$13:$AA$314,5,FALSE)</f>
        <v>2329</v>
      </c>
      <c r="O136" s="66">
        <f t="shared" si="51"/>
        <v>1578</v>
      </c>
      <c r="P136" s="66">
        <f>VLOOKUP(B136,'124+900 '!$B$13:$AA$314,14,FALSE)</f>
        <v>-1422</v>
      </c>
      <c r="Q136" s="70">
        <f t="shared" si="58"/>
        <v>-10</v>
      </c>
      <c r="R136" s="69">
        <f t="shared" si="59"/>
        <v>-1299</v>
      </c>
      <c r="S136" s="68">
        <f>VLOOKUP(B136,'124+900 '!$B$13:$AA$314,22,FALSE)</f>
        <v>3530</v>
      </c>
      <c r="T136" s="67">
        <f>VLOOKUP(B136,'124+900 '!$B$13:$AA$314,6,FALSE)</f>
        <v>1942</v>
      </c>
      <c r="U136" s="66">
        <f t="shared" si="52"/>
        <v>1965</v>
      </c>
      <c r="V136" s="65">
        <f>VLOOKUP(B136,'124+900 '!$B$13:$AA$314,15,FALSE)</f>
        <v>-1035</v>
      </c>
      <c r="W136" s="64">
        <f t="shared" si="60"/>
        <v>-5</v>
      </c>
      <c r="X136" s="63">
        <f t="shared" si="61"/>
        <v>-922</v>
      </c>
      <c r="Y136" s="62">
        <f t="shared" si="62"/>
        <v>245</v>
      </c>
      <c r="Z136" s="61">
        <f t="shared" si="53"/>
        <v>0.245</v>
      </c>
      <c r="AA136" s="60">
        <f t="shared" si="63"/>
        <v>4.7909999999999995</v>
      </c>
      <c r="AB136" s="60">
        <f t="shared" si="64"/>
        <v>4.952</v>
      </c>
      <c r="AC136" s="53"/>
      <c r="AD136" s="53"/>
      <c r="AE136" s="53"/>
      <c r="AF136" s="53"/>
    </row>
    <row r="137" spans="1:32" s="79" customFormat="1" ht="15" customHeight="1">
      <c r="A137" s="80"/>
      <c r="B137" s="74">
        <f>'124+900 '!B137</f>
        <v>45605</v>
      </c>
      <c r="C137" s="73">
        <f t="shared" si="54"/>
        <v>362</v>
      </c>
      <c r="D137" s="72">
        <f t="shared" si="55"/>
        <v>1026</v>
      </c>
      <c r="E137" s="67">
        <f>VLOOKUP(B137,'124+900 '!B112:AA717,3,FALSE)</f>
        <v>2882</v>
      </c>
      <c r="F137" s="67">
        <f t="shared" si="49"/>
        <v>3908</v>
      </c>
      <c r="G137" s="71">
        <f>VLOOKUP(B137,'124+900 '!$B$13:$AA$314,20,FALSE)</f>
        <v>3520</v>
      </c>
      <c r="H137" s="71">
        <f>VLOOKUP(B137,'124+900 '!$B$13:$AA$314,4,FALSE)</f>
        <v>2130</v>
      </c>
      <c r="I137" s="66">
        <f t="shared" si="50"/>
        <v>1778</v>
      </c>
      <c r="J137" s="66">
        <f>VLOOKUP(B137,'124+900 '!$B$13:$AA$314,13,FALSE)</f>
        <v>-1222</v>
      </c>
      <c r="K137" s="70">
        <f t="shared" si="56"/>
        <v>-10</v>
      </c>
      <c r="L137" s="69">
        <f t="shared" si="57"/>
        <v>-1101</v>
      </c>
      <c r="M137" s="68">
        <f>VLOOKUP(B137,'124+900 '!$B$13:$AA$314,21,FALSE)</f>
        <v>3520</v>
      </c>
      <c r="N137" s="67">
        <f>VLOOKUP(B137,'124+900 '!$B$13:$AA$314,5,FALSE)</f>
        <v>2340</v>
      </c>
      <c r="O137" s="66">
        <f t="shared" si="51"/>
        <v>1568</v>
      </c>
      <c r="P137" s="66">
        <f>VLOOKUP(B137,'124+900 '!$B$13:$AA$314,14,FALSE)</f>
        <v>-1432</v>
      </c>
      <c r="Q137" s="70">
        <f t="shared" si="58"/>
        <v>-10</v>
      </c>
      <c r="R137" s="69">
        <f t="shared" si="59"/>
        <v>-1309</v>
      </c>
      <c r="S137" s="68">
        <f>VLOOKUP(B137,'124+900 '!$B$13:$AA$314,22,FALSE)</f>
        <v>3525</v>
      </c>
      <c r="T137" s="67">
        <f>VLOOKUP(B137,'124+900 '!$B$13:$AA$314,6,FALSE)</f>
        <v>1948</v>
      </c>
      <c r="U137" s="66">
        <f t="shared" si="52"/>
        <v>1960</v>
      </c>
      <c r="V137" s="65">
        <f>VLOOKUP(B137,'124+900 '!$B$13:$AA$314,15,FALSE)</f>
        <v>-1040</v>
      </c>
      <c r="W137" s="64">
        <f t="shared" si="60"/>
        <v>-5</v>
      </c>
      <c r="X137" s="63">
        <f t="shared" si="61"/>
        <v>-927</v>
      </c>
      <c r="Y137" s="62">
        <f t="shared" si="62"/>
        <v>-10</v>
      </c>
      <c r="Z137" s="61">
        <f t="shared" si="53"/>
        <v>0</v>
      </c>
      <c r="AA137" s="60">
        <f t="shared" si="63"/>
        <v>4.7909999999999995</v>
      </c>
      <c r="AB137" s="60">
        <f t="shared" si="64"/>
        <v>4.952</v>
      </c>
      <c r="AC137" s="53"/>
      <c r="AD137" s="53"/>
      <c r="AE137" s="53"/>
      <c r="AF137" s="53"/>
    </row>
    <row r="138" spans="1:32" s="79" customFormat="1" ht="15" customHeight="1">
      <c r="A138" s="80"/>
      <c r="B138" s="74">
        <f>'124+900 '!B138</f>
        <v>45606</v>
      </c>
      <c r="C138" s="73">
        <f t="shared" si="54"/>
        <v>363</v>
      </c>
      <c r="D138" s="72">
        <f t="shared" si="55"/>
        <v>1026</v>
      </c>
      <c r="E138" s="67">
        <f>VLOOKUP(B138,'124+900 '!B113:AA718,3,FALSE)</f>
        <v>2883</v>
      </c>
      <c r="F138" s="67">
        <f t="shared" si="49"/>
        <v>3909</v>
      </c>
      <c r="G138" s="71">
        <f>VLOOKUP(B138,'124+900 '!$B$13:$AA$314,20,FALSE)</f>
        <v>3510</v>
      </c>
      <c r="H138" s="71">
        <f>VLOOKUP(B138,'124+900 '!$B$13:$AA$314,4,FALSE)</f>
        <v>2141</v>
      </c>
      <c r="I138" s="66">
        <f t="shared" si="50"/>
        <v>1768</v>
      </c>
      <c r="J138" s="66">
        <f>VLOOKUP(B138,'124+900 '!$B$13:$AA$314,13,FALSE)</f>
        <v>-1232</v>
      </c>
      <c r="K138" s="70">
        <f t="shared" si="56"/>
        <v>-10</v>
      </c>
      <c r="L138" s="69">
        <f t="shared" si="57"/>
        <v>-1111</v>
      </c>
      <c r="M138" s="68">
        <f>VLOOKUP(B138,'124+900 '!$B$13:$AA$314,21,FALSE)</f>
        <v>3505</v>
      </c>
      <c r="N138" s="67">
        <f>VLOOKUP(B138,'124+900 '!$B$13:$AA$314,5,FALSE)</f>
        <v>2356</v>
      </c>
      <c r="O138" s="66">
        <f t="shared" si="51"/>
        <v>1553</v>
      </c>
      <c r="P138" s="66">
        <f>VLOOKUP(B138,'124+900 '!$B$13:$AA$314,14,FALSE)</f>
        <v>-1447</v>
      </c>
      <c r="Q138" s="70">
        <f t="shared" si="58"/>
        <v>-15</v>
      </c>
      <c r="R138" s="69">
        <f t="shared" si="59"/>
        <v>-1324</v>
      </c>
      <c r="S138" s="68">
        <f>VLOOKUP(B138,'124+900 '!$B$13:$AA$314,22,FALSE)</f>
        <v>3515</v>
      </c>
      <c r="T138" s="67">
        <f>VLOOKUP(B138,'124+900 '!$B$13:$AA$314,6,FALSE)</f>
        <v>1959</v>
      </c>
      <c r="U138" s="66">
        <f t="shared" si="52"/>
        <v>1950</v>
      </c>
      <c r="V138" s="65">
        <f>VLOOKUP(B138,'124+900 '!$B$13:$AA$314,15,FALSE)</f>
        <v>-1050</v>
      </c>
      <c r="W138" s="64">
        <f t="shared" si="60"/>
        <v>-10</v>
      </c>
      <c r="X138" s="63">
        <f t="shared" si="61"/>
        <v>-937</v>
      </c>
      <c r="Y138" s="62">
        <f t="shared" si="62"/>
        <v>-15</v>
      </c>
      <c r="Z138" s="61">
        <f t="shared" si="53"/>
        <v>0</v>
      </c>
      <c r="AA138" s="60">
        <f t="shared" si="63"/>
        <v>4.7909999999999995</v>
      </c>
      <c r="AB138" s="60">
        <f t="shared" si="64"/>
        <v>4.952</v>
      </c>
      <c r="AC138" s="53"/>
      <c r="AD138" s="53"/>
      <c r="AE138" s="53"/>
      <c r="AF138" s="53"/>
    </row>
    <row r="139" spans="1:32" s="79" customFormat="1" ht="15" customHeight="1">
      <c r="A139" s="80"/>
      <c r="B139" s="74">
        <f>'124+900 '!B139</f>
        <v>45607</v>
      </c>
      <c r="C139" s="73">
        <f t="shared" si="54"/>
        <v>364</v>
      </c>
      <c r="D139" s="72">
        <f t="shared" si="55"/>
        <v>1026</v>
      </c>
      <c r="E139" s="67">
        <f>VLOOKUP(B139,'124+900 '!B114:AA719,3,FALSE)</f>
        <v>2884</v>
      </c>
      <c r="F139" s="67">
        <f t="shared" si="49"/>
        <v>3910</v>
      </c>
      <c r="G139" s="71">
        <f>VLOOKUP(B139,'124+900 '!$B$13:$AA$314,20,FALSE)</f>
        <v>3500</v>
      </c>
      <c r="H139" s="71">
        <f>VLOOKUP(B139,'124+900 '!$B$13:$AA$314,4,FALSE)</f>
        <v>2152</v>
      </c>
      <c r="I139" s="66">
        <f t="shared" si="50"/>
        <v>1758</v>
      </c>
      <c r="J139" s="66">
        <f>VLOOKUP(B139,'124+900 '!$B$13:$AA$314,13,FALSE)</f>
        <v>-1242</v>
      </c>
      <c r="K139" s="70">
        <f t="shared" si="56"/>
        <v>-10</v>
      </c>
      <c r="L139" s="69">
        <f t="shared" si="57"/>
        <v>-1121</v>
      </c>
      <c r="M139" s="68">
        <f>VLOOKUP(B139,'124+900 '!$B$13:$AA$314,21,FALSE)</f>
        <v>3495</v>
      </c>
      <c r="N139" s="67">
        <f>VLOOKUP(B139,'124+900 '!$B$13:$AA$314,5,FALSE)</f>
        <v>2367</v>
      </c>
      <c r="O139" s="66">
        <f t="shared" si="51"/>
        <v>1543</v>
      </c>
      <c r="P139" s="66">
        <f>VLOOKUP(B139,'124+900 '!$B$13:$AA$314,14,FALSE)</f>
        <v>-1457</v>
      </c>
      <c r="Q139" s="70">
        <f t="shared" si="58"/>
        <v>-10</v>
      </c>
      <c r="R139" s="69">
        <f t="shared" si="59"/>
        <v>-1334</v>
      </c>
      <c r="S139" s="68">
        <f>VLOOKUP(B139,'124+900 '!$B$13:$AA$314,22,FALSE)</f>
        <v>3505</v>
      </c>
      <c r="T139" s="67">
        <f>VLOOKUP(B139,'124+900 '!$B$13:$AA$314,6,FALSE)</f>
        <v>1970</v>
      </c>
      <c r="U139" s="66">
        <f t="shared" si="52"/>
        <v>1940</v>
      </c>
      <c r="V139" s="65">
        <f>VLOOKUP(B139,'124+900 '!$B$13:$AA$314,15,FALSE)</f>
        <v>-1060</v>
      </c>
      <c r="W139" s="64">
        <f t="shared" si="60"/>
        <v>-10</v>
      </c>
      <c r="X139" s="63">
        <f t="shared" si="61"/>
        <v>-947</v>
      </c>
      <c r="Y139" s="62">
        <f t="shared" si="62"/>
        <v>-10</v>
      </c>
      <c r="Z139" s="61">
        <f t="shared" si="53"/>
        <v>0</v>
      </c>
      <c r="AA139" s="60">
        <f t="shared" si="63"/>
        <v>4.7909999999999995</v>
      </c>
      <c r="AB139" s="60">
        <f t="shared" si="64"/>
        <v>4.952</v>
      </c>
      <c r="AC139" s="53"/>
      <c r="AD139" s="53"/>
      <c r="AE139" s="53"/>
      <c r="AF139" s="53"/>
    </row>
    <row r="140" spans="1:32" s="79" customFormat="1" ht="15" customHeight="1">
      <c r="A140" s="80"/>
      <c r="B140" s="74">
        <f>'124+900 '!B140</f>
        <v>45608</v>
      </c>
      <c r="C140" s="73">
        <f t="shared" si="54"/>
        <v>365</v>
      </c>
      <c r="D140" s="72">
        <f t="shared" si="55"/>
        <v>1026</v>
      </c>
      <c r="E140" s="67">
        <f>VLOOKUP(B140,'124+900 '!B115:AA720,3,FALSE)</f>
        <v>2885</v>
      </c>
      <c r="F140" s="67">
        <f t="shared" si="49"/>
        <v>3911</v>
      </c>
      <c r="G140" s="71">
        <f>VLOOKUP(B140,'124+900 '!$B$13:$AA$314,20,FALSE)</f>
        <v>3730</v>
      </c>
      <c r="H140" s="71">
        <f>VLOOKUP(B140,'124+900 '!$B$13:$AA$314,4,FALSE)</f>
        <v>2163</v>
      </c>
      <c r="I140" s="66">
        <f t="shared" si="50"/>
        <v>1748</v>
      </c>
      <c r="J140" s="66">
        <f>VLOOKUP(B140,'124+900 '!$B$13:$AA$314,13,FALSE)</f>
        <v>-1252</v>
      </c>
      <c r="K140" s="70">
        <f t="shared" si="56"/>
        <v>-10</v>
      </c>
      <c r="L140" s="69">
        <f t="shared" si="57"/>
        <v>-1131</v>
      </c>
      <c r="M140" s="68">
        <f>VLOOKUP(B140,'124+900 '!$B$13:$AA$314,21,FALSE)</f>
        <v>3730</v>
      </c>
      <c r="N140" s="67">
        <f>VLOOKUP(B140,'124+900 '!$B$13:$AA$314,5,FALSE)</f>
        <v>2383</v>
      </c>
      <c r="O140" s="66">
        <f t="shared" si="51"/>
        <v>1528</v>
      </c>
      <c r="P140" s="66">
        <f>VLOOKUP(B140,'124+900 '!$B$13:$AA$314,14,FALSE)</f>
        <v>-1472</v>
      </c>
      <c r="Q140" s="70">
        <f t="shared" si="58"/>
        <v>-15</v>
      </c>
      <c r="R140" s="69">
        <f t="shared" si="59"/>
        <v>-1349</v>
      </c>
      <c r="S140" s="68">
        <f>VLOOKUP(B140,'124+900 '!$B$13:$AA$314,22,FALSE)</f>
        <v>3730</v>
      </c>
      <c r="T140" s="67">
        <f>VLOOKUP(B140,'124+900 '!$B$13:$AA$314,6,FALSE)</f>
        <v>1981</v>
      </c>
      <c r="U140" s="66">
        <f t="shared" si="52"/>
        <v>1930</v>
      </c>
      <c r="V140" s="65">
        <f>VLOOKUP(B140,'124+900 '!$B$13:$AA$314,15,FALSE)</f>
        <v>-1070</v>
      </c>
      <c r="W140" s="64">
        <f t="shared" si="60"/>
        <v>-10</v>
      </c>
      <c r="X140" s="63">
        <f t="shared" si="61"/>
        <v>-957</v>
      </c>
      <c r="Y140" s="62">
        <f t="shared" si="62"/>
        <v>235</v>
      </c>
      <c r="Z140" s="61">
        <f t="shared" si="53"/>
        <v>0.23499999999999999</v>
      </c>
      <c r="AA140" s="60">
        <f t="shared" si="63"/>
        <v>5.0259999999999998</v>
      </c>
      <c r="AB140" s="60">
        <f t="shared" si="64"/>
        <v>5.202</v>
      </c>
      <c r="AC140" s="53"/>
      <c r="AD140" s="53"/>
      <c r="AE140" s="53"/>
      <c r="AF140" s="53"/>
    </row>
    <row r="141" spans="1:32" s="79" customFormat="1" ht="15" customHeight="1">
      <c r="A141" s="80"/>
      <c r="B141" s="74">
        <f>'124+900 '!B141</f>
        <v>45609</v>
      </c>
      <c r="C141" s="73">
        <f t="shared" si="54"/>
        <v>366</v>
      </c>
      <c r="D141" s="72">
        <f t="shared" si="55"/>
        <v>1026</v>
      </c>
      <c r="E141" s="67">
        <f>VLOOKUP(B141,'124+900 '!B116:AA721,3,FALSE)</f>
        <v>2886</v>
      </c>
      <c r="F141" s="67">
        <f t="shared" ref="F141:F172" si="65">D141+E141</f>
        <v>3912</v>
      </c>
      <c r="G141" s="71">
        <f>VLOOKUP(B141,'124+900 '!$B$13:$AA$314,20,FALSE)</f>
        <v>3720</v>
      </c>
      <c r="H141" s="71">
        <f>VLOOKUP(B141,'124+900 '!$B$13:$AA$314,4,FALSE)</f>
        <v>2174</v>
      </c>
      <c r="I141" s="66">
        <f t="shared" ref="I141:I172" si="66">F141-H141</f>
        <v>1738</v>
      </c>
      <c r="J141" s="66">
        <f>VLOOKUP(B141,'124+900 '!$B$13:$AA$314,13,FALSE)</f>
        <v>-1262</v>
      </c>
      <c r="K141" s="70">
        <f t="shared" si="56"/>
        <v>-10</v>
      </c>
      <c r="L141" s="69">
        <f t="shared" si="57"/>
        <v>-1141</v>
      </c>
      <c r="M141" s="68">
        <f>VLOOKUP(B141,'124+900 '!$B$13:$AA$314,21,FALSE)</f>
        <v>3720</v>
      </c>
      <c r="N141" s="67">
        <f>VLOOKUP(B141,'124+900 '!$B$13:$AA$314,5,FALSE)</f>
        <v>2394</v>
      </c>
      <c r="O141" s="66">
        <f t="shared" ref="O141:O172" si="67">F141-N141</f>
        <v>1518</v>
      </c>
      <c r="P141" s="66">
        <f>VLOOKUP(B141,'124+900 '!$B$13:$AA$314,14,FALSE)</f>
        <v>-1482</v>
      </c>
      <c r="Q141" s="70">
        <f t="shared" si="58"/>
        <v>-10</v>
      </c>
      <c r="R141" s="69">
        <f t="shared" si="59"/>
        <v>-1359</v>
      </c>
      <c r="S141" s="68">
        <f>VLOOKUP(B141,'124+900 '!$B$13:$AA$314,22,FALSE)</f>
        <v>3720</v>
      </c>
      <c r="T141" s="67">
        <f>VLOOKUP(B141,'124+900 '!$B$13:$AA$314,6,FALSE)</f>
        <v>1992</v>
      </c>
      <c r="U141" s="66">
        <f t="shared" ref="U141:U172" si="68">F141-T141</f>
        <v>1920</v>
      </c>
      <c r="V141" s="65">
        <f>VLOOKUP(B141,'124+900 '!$B$13:$AA$314,15,FALSE)</f>
        <v>-1080</v>
      </c>
      <c r="W141" s="64">
        <f t="shared" si="60"/>
        <v>-10</v>
      </c>
      <c r="X141" s="63">
        <f t="shared" si="61"/>
        <v>-967</v>
      </c>
      <c r="Y141" s="62">
        <f t="shared" si="62"/>
        <v>-10</v>
      </c>
      <c r="Z141" s="61">
        <f t="shared" ref="Z141:Z172" si="69">IF(Y141&gt;0,Y141,0)/1000</f>
        <v>0</v>
      </c>
      <c r="AA141" s="60">
        <f t="shared" si="63"/>
        <v>5.0259999999999998</v>
      </c>
      <c r="AB141" s="60">
        <f t="shared" si="64"/>
        <v>5.202</v>
      </c>
      <c r="AC141" s="53"/>
      <c r="AD141" s="53"/>
      <c r="AE141" s="53"/>
      <c r="AF141" s="53"/>
    </row>
    <row r="142" spans="1:32" s="79" customFormat="1" ht="15" customHeight="1">
      <c r="A142" s="80"/>
      <c r="B142" s="74">
        <f>'124+900 '!B142</f>
        <v>45610</v>
      </c>
      <c r="C142" s="73">
        <f t="shared" ref="C142:C173" si="70">B142-$B$13</f>
        <v>367</v>
      </c>
      <c r="D142" s="72">
        <f t="shared" ref="D142:D173" si="71">D141</f>
        <v>1026</v>
      </c>
      <c r="E142" s="67">
        <f>VLOOKUP(B142,'124+900 '!B117:AA722,3,FALSE)</f>
        <v>2887</v>
      </c>
      <c r="F142" s="67">
        <f t="shared" si="65"/>
        <v>3913</v>
      </c>
      <c r="G142" s="71">
        <f>VLOOKUP(B142,'124+900 '!$B$13:$AA$314,20,FALSE)</f>
        <v>3710</v>
      </c>
      <c r="H142" s="71">
        <f>VLOOKUP(B142,'124+900 '!$B$13:$AA$314,4,FALSE)</f>
        <v>2185</v>
      </c>
      <c r="I142" s="66">
        <f t="shared" si="66"/>
        <v>1728</v>
      </c>
      <c r="J142" s="66">
        <f>VLOOKUP(B142,'124+900 '!$B$13:$AA$314,13,FALSE)</f>
        <v>-1272</v>
      </c>
      <c r="K142" s="70">
        <f t="shared" ref="K142:K173" si="72">J142-J141</f>
        <v>-10</v>
      </c>
      <c r="L142" s="69">
        <f t="shared" ref="L142:L173" si="73">L141+K142</f>
        <v>-1151</v>
      </c>
      <c r="M142" s="68">
        <f>VLOOKUP(B142,'124+900 '!$B$13:$AA$314,21,FALSE)</f>
        <v>3710</v>
      </c>
      <c r="N142" s="67">
        <f>VLOOKUP(B142,'124+900 '!$B$13:$AA$314,5,FALSE)</f>
        <v>2405</v>
      </c>
      <c r="O142" s="66">
        <f t="shared" si="67"/>
        <v>1508</v>
      </c>
      <c r="P142" s="66">
        <f>VLOOKUP(B142,'124+900 '!$B$13:$AA$314,14,FALSE)</f>
        <v>-1492</v>
      </c>
      <c r="Q142" s="70">
        <f t="shared" ref="Q142:Q173" si="74">P142-P141</f>
        <v>-10</v>
      </c>
      <c r="R142" s="69">
        <f t="shared" ref="R142:R173" si="75">R141+Q142</f>
        <v>-1369</v>
      </c>
      <c r="S142" s="68">
        <f>VLOOKUP(B142,'124+900 '!$B$13:$AA$314,22,FALSE)</f>
        <v>3716</v>
      </c>
      <c r="T142" s="67">
        <f>VLOOKUP(B142,'124+900 '!$B$13:$AA$314,6,FALSE)</f>
        <v>1997</v>
      </c>
      <c r="U142" s="66">
        <f t="shared" si="68"/>
        <v>1916</v>
      </c>
      <c r="V142" s="65">
        <f>VLOOKUP(B142,'124+900 '!$B$13:$AA$314,15,FALSE)</f>
        <v>-1084</v>
      </c>
      <c r="W142" s="64">
        <f t="shared" ref="W142:W173" si="76">V142-V141</f>
        <v>-4</v>
      </c>
      <c r="X142" s="63">
        <f t="shared" ref="X142:X173" si="77">X141+W142</f>
        <v>-971</v>
      </c>
      <c r="Y142" s="62">
        <f t="shared" ref="Y142:Y173" si="78">M142-M141</f>
        <v>-10</v>
      </c>
      <c r="Z142" s="61">
        <f t="shared" si="69"/>
        <v>0</v>
      </c>
      <c r="AA142" s="60">
        <f t="shared" ref="AA142:AA173" si="79">AA141+Z142</f>
        <v>5.0259999999999998</v>
      </c>
      <c r="AB142" s="60">
        <f t="shared" ref="AB142:AB173" si="80">(M142-$M$13-R142)/1000</f>
        <v>5.202</v>
      </c>
      <c r="AC142" s="53"/>
      <c r="AD142" s="53"/>
      <c r="AE142" s="53"/>
      <c r="AF142" s="53"/>
    </row>
    <row r="143" spans="1:32" s="79" customFormat="1" ht="15" customHeight="1">
      <c r="A143" s="80"/>
      <c r="B143" s="74">
        <f>'124+900 '!B143</f>
        <v>45611</v>
      </c>
      <c r="C143" s="73">
        <f t="shared" si="70"/>
        <v>368</v>
      </c>
      <c r="D143" s="72">
        <f t="shared" si="71"/>
        <v>1026</v>
      </c>
      <c r="E143" s="67">
        <f>VLOOKUP(B143,'124+900 '!B118:AA723,3,FALSE)</f>
        <v>2888</v>
      </c>
      <c r="F143" s="67">
        <f t="shared" si="65"/>
        <v>3914</v>
      </c>
      <c r="G143" s="71">
        <f>VLOOKUP(B143,'124+900 '!$B$13:$AA$314,20,FALSE)</f>
        <v>3940</v>
      </c>
      <c r="H143" s="71">
        <f>VLOOKUP(B143,'124+900 '!$B$13:$AA$314,4,FALSE)</f>
        <v>2196</v>
      </c>
      <c r="I143" s="66">
        <f t="shared" si="66"/>
        <v>1718</v>
      </c>
      <c r="J143" s="66">
        <f>VLOOKUP(B143,'124+900 '!$B$13:$AA$314,13,FALSE)</f>
        <v>-1282</v>
      </c>
      <c r="K143" s="70">
        <f t="shared" si="72"/>
        <v>-10</v>
      </c>
      <c r="L143" s="69">
        <f t="shared" si="73"/>
        <v>-1161</v>
      </c>
      <c r="M143" s="68">
        <f>VLOOKUP(B143,'124+900 '!$B$13:$AA$314,21,FALSE)</f>
        <v>3940</v>
      </c>
      <c r="N143" s="67">
        <f>VLOOKUP(B143,'124+900 '!$B$13:$AA$314,5,FALSE)</f>
        <v>2416</v>
      </c>
      <c r="O143" s="66">
        <f t="shared" si="67"/>
        <v>1498</v>
      </c>
      <c r="P143" s="66">
        <f>VLOOKUP(B143,'124+900 '!$B$13:$AA$314,14,FALSE)</f>
        <v>-1502</v>
      </c>
      <c r="Q143" s="70">
        <f t="shared" si="74"/>
        <v>-10</v>
      </c>
      <c r="R143" s="69">
        <f t="shared" si="75"/>
        <v>-1379</v>
      </c>
      <c r="S143" s="68">
        <f>VLOOKUP(B143,'124+900 '!$B$13:$AA$314,22,FALSE)</f>
        <v>3940</v>
      </c>
      <c r="T143" s="67">
        <f>VLOOKUP(B143,'124+900 '!$B$13:$AA$314,6,FALSE)</f>
        <v>2001</v>
      </c>
      <c r="U143" s="66">
        <f t="shared" si="68"/>
        <v>1913</v>
      </c>
      <c r="V143" s="65">
        <f>VLOOKUP(B143,'124+900 '!$B$13:$AA$314,15,FALSE)</f>
        <v>-1087</v>
      </c>
      <c r="W143" s="64">
        <f t="shared" si="76"/>
        <v>-3</v>
      </c>
      <c r="X143" s="63">
        <f t="shared" si="77"/>
        <v>-974</v>
      </c>
      <c r="Y143" s="62">
        <f t="shared" si="78"/>
        <v>230</v>
      </c>
      <c r="Z143" s="61">
        <f t="shared" si="69"/>
        <v>0.23</v>
      </c>
      <c r="AA143" s="60">
        <f t="shared" si="79"/>
        <v>5.2560000000000002</v>
      </c>
      <c r="AB143" s="60">
        <f t="shared" si="80"/>
        <v>5.4420000000000002</v>
      </c>
      <c r="AC143" s="53"/>
      <c r="AD143" s="53"/>
      <c r="AE143" s="53"/>
      <c r="AF143" s="53"/>
    </row>
    <row r="144" spans="1:32" s="79" customFormat="1" ht="15" customHeight="1">
      <c r="A144" s="80"/>
      <c r="B144" s="74">
        <f>'124+900 '!B144</f>
        <v>45614</v>
      </c>
      <c r="C144" s="73">
        <f t="shared" si="70"/>
        <v>371</v>
      </c>
      <c r="D144" s="72">
        <f t="shared" si="71"/>
        <v>1026</v>
      </c>
      <c r="E144" s="67">
        <f>VLOOKUP(B144,'124+900 '!B119:AA724,3,FALSE)</f>
        <v>2889</v>
      </c>
      <c r="F144" s="67">
        <f t="shared" si="65"/>
        <v>3915</v>
      </c>
      <c r="G144" s="71">
        <f>VLOOKUP(B144,'124+900 '!$B$13:$AA$314,20,FALSE)</f>
        <v>3910</v>
      </c>
      <c r="H144" s="71">
        <f>VLOOKUP(B144,'124+900 '!$B$13:$AA$314,4,FALSE)</f>
        <v>2227</v>
      </c>
      <c r="I144" s="66">
        <f t="shared" si="66"/>
        <v>1688</v>
      </c>
      <c r="J144" s="66">
        <f>VLOOKUP(B144,'124+900 '!$B$13:$AA$314,13,FALSE)</f>
        <v>-1312</v>
      </c>
      <c r="K144" s="70">
        <f t="shared" si="72"/>
        <v>-30</v>
      </c>
      <c r="L144" s="69">
        <f t="shared" si="73"/>
        <v>-1191</v>
      </c>
      <c r="M144" s="68">
        <f>VLOOKUP(B144,'124+900 '!$B$13:$AA$314,21,FALSE)</f>
        <v>3910</v>
      </c>
      <c r="N144" s="67">
        <f>VLOOKUP(B144,'124+900 '!$B$13:$AA$314,5,FALSE)</f>
        <v>2447</v>
      </c>
      <c r="O144" s="66">
        <f t="shared" si="67"/>
        <v>1468</v>
      </c>
      <c r="P144" s="66">
        <f>VLOOKUP(B144,'124+900 '!$B$13:$AA$314,14,FALSE)</f>
        <v>-1532</v>
      </c>
      <c r="Q144" s="70">
        <f t="shared" si="74"/>
        <v>-30</v>
      </c>
      <c r="R144" s="69">
        <f t="shared" si="75"/>
        <v>-1409</v>
      </c>
      <c r="S144" s="68">
        <f>VLOOKUP(B144,'124+900 '!$B$13:$AA$314,22,FALSE)</f>
        <v>3912</v>
      </c>
      <c r="T144" s="67">
        <f>VLOOKUP(B144,'124+900 '!$B$13:$AA$314,6,FALSE)</f>
        <v>2030</v>
      </c>
      <c r="U144" s="66">
        <f t="shared" si="68"/>
        <v>1885</v>
      </c>
      <c r="V144" s="65">
        <f>VLOOKUP(B144,'124+900 '!$B$13:$AA$314,15,FALSE)</f>
        <v>-1115</v>
      </c>
      <c r="W144" s="64">
        <f t="shared" si="76"/>
        <v>-28</v>
      </c>
      <c r="X144" s="63">
        <f t="shared" si="77"/>
        <v>-1002</v>
      </c>
      <c r="Y144" s="62">
        <f t="shared" si="78"/>
        <v>-30</v>
      </c>
      <c r="Z144" s="61">
        <f t="shared" si="69"/>
        <v>0</v>
      </c>
      <c r="AA144" s="60">
        <f t="shared" si="79"/>
        <v>5.2560000000000002</v>
      </c>
      <c r="AB144" s="60">
        <f t="shared" si="80"/>
        <v>5.4420000000000002</v>
      </c>
      <c r="AC144" s="53"/>
      <c r="AD144" s="53"/>
      <c r="AE144" s="53"/>
      <c r="AF144" s="53"/>
    </row>
    <row r="145" spans="1:32" s="79" customFormat="1" ht="15" customHeight="1">
      <c r="A145" s="80"/>
      <c r="B145" s="74">
        <f>'124+900 '!B145</f>
        <v>45618</v>
      </c>
      <c r="C145" s="73">
        <f t="shared" si="70"/>
        <v>375</v>
      </c>
      <c r="D145" s="72">
        <f t="shared" si="71"/>
        <v>1026</v>
      </c>
      <c r="E145" s="67">
        <f>VLOOKUP(B145,'124+900 '!B120:AA725,3,FALSE)</f>
        <v>2890</v>
      </c>
      <c r="F145" s="67">
        <f t="shared" si="65"/>
        <v>3916</v>
      </c>
      <c r="G145" s="71">
        <f>VLOOKUP(B145,'124+900 '!$B$13:$AA$314,20,FALSE)</f>
        <v>3865</v>
      </c>
      <c r="H145" s="71">
        <f>VLOOKUP(B145,'124+900 '!$B$13:$AA$314,4,FALSE)</f>
        <v>1273</v>
      </c>
      <c r="I145" s="66">
        <f t="shared" si="66"/>
        <v>2643</v>
      </c>
      <c r="J145" s="66">
        <f>VLOOKUP(B145,'124+900 '!$B$13:$AA$314,13,FALSE)</f>
        <v>-1357</v>
      </c>
      <c r="K145" s="70">
        <f t="shared" si="72"/>
        <v>-45</v>
      </c>
      <c r="L145" s="69">
        <f t="shared" si="73"/>
        <v>-1236</v>
      </c>
      <c r="M145" s="68">
        <f>VLOOKUP(B145,'124+900 '!$B$13:$AA$314,21,FALSE)</f>
        <v>3860</v>
      </c>
      <c r="N145" s="67">
        <f>VLOOKUP(B145,'124+900 '!$B$13:$AA$314,5,FALSE)</f>
        <v>1498</v>
      </c>
      <c r="O145" s="66">
        <f t="shared" si="67"/>
        <v>2418</v>
      </c>
      <c r="P145" s="66">
        <f>VLOOKUP(B145,'124+900 '!$B$13:$AA$314,14,FALSE)</f>
        <v>-1582</v>
      </c>
      <c r="Q145" s="70">
        <f t="shared" si="74"/>
        <v>-50</v>
      </c>
      <c r="R145" s="69">
        <f t="shared" si="75"/>
        <v>-1459</v>
      </c>
      <c r="S145" s="68">
        <f>VLOOKUP(B145,'124+900 '!$B$13:$AA$314,22,FALSE)</f>
        <v>3870</v>
      </c>
      <c r="T145" s="67">
        <f>VLOOKUP(B145,'124+900 '!$B$13:$AA$314,6,FALSE)</f>
        <v>1073</v>
      </c>
      <c r="U145" s="66">
        <f t="shared" si="68"/>
        <v>2843</v>
      </c>
      <c r="V145" s="65">
        <f>VLOOKUP(B145,'124+900 '!$B$13:$AA$314,15,FALSE)</f>
        <v>-1157</v>
      </c>
      <c r="W145" s="64">
        <f t="shared" si="76"/>
        <v>-42</v>
      </c>
      <c r="X145" s="63">
        <f t="shared" si="77"/>
        <v>-1044</v>
      </c>
      <c r="Y145" s="62">
        <f t="shared" si="78"/>
        <v>-50</v>
      </c>
      <c r="Z145" s="61">
        <f t="shared" si="69"/>
        <v>0</v>
      </c>
      <c r="AA145" s="60">
        <f t="shared" si="79"/>
        <v>5.2560000000000002</v>
      </c>
      <c r="AB145" s="60">
        <f t="shared" si="80"/>
        <v>5.4420000000000002</v>
      </c>
      <c r="AC145" s="53"/>
      <c r="AD145" s="53"/>
      <c r="AE145" s="53"/>
      <c r="AF145" s="53"/>
    </row>
    <row r="146" spans="1:32" s="79" customFormat="1" ht="15" customHeight="1">
      <c r="A146" s="80"/>
      <c r="B146" s="74">
        <f>'124+900 '!B146</f>
        <v>45621</v>
      </c>
      <c r="C146" s="73">
        <f t="shared" si="70"/>
        <v>378</v>
      </c>
      <c r="D146" s="72">
        <f t="shared" si="71"/>
        <v>1026</v>
      </c>
      <c r="E146" s="67">
        <f>VLOOKUP(B146,'124+900 '!B121:AA726,3,FALSE)</f>
        <v>2891</v>
      </c>
      <c r="F146" s="67">
        <f t="shared" si="65"/>
        <v>3917</v>
      </c>
      <c r="G146" s="71">
        <f>VLOOKUP(B146,'124+900 '!$B$13:$AA$314,20,FALSE)</f>
        <v>3839</v>
      </c>
      <c r="H146" s="71">
        <f>VLOOKUP(B146,'124+900 '!$B$13:$AA$314,4,FALSE)</f>
        <v>1300</v>
      </c>
      <c r="I146" s="66">
        <f t="shared" si="66"/>
        <v>2617</v>
      </c>
      <c r="J146" s="66">
        <f>VLOOKUP(B146,'124+900 '!$B$13:$AA$314,13,FALSE)</f>
        <v>-1383</v>
      </c>
      <c r="K146" s="70">
        <f t="shared" si="72"/>
        <v>-26</v>
      </c>
      <c r="L146" s="69">
        <f t="shared" si="73"/>
        <v>-1262</v>
      </c>
      <c r="M146" s="68">
        <f>VLOOKUP(B146,'124+900 '!$B$13:$AA$314,21,FALSE)</f>
        <v>3825</v>
      </c>
      <c r="N146" s="67">
        <f>VLOOKUP(B146,'124+900 '!$B$13:$AA$314,5,FALSE)</f>
        <v>1534</v>
      </c>
      <c r="O146" s="66">
        <f t="shared" si="67"/>
        <v>2383</v>
      </c>
      <c r="P146" s="66">
        <f>VLOOKUP(B146,'124+900 '!$B$13:$AA$314,14,FALSE)</f>
        <v>-1617</v>
      </c>
      <c r="Q146" s="70">
        <f t="shared" si="74"/>
        <v>-35</v>
      </c>
      <c r="R146" s="69">
        <f t="shared" si="75"/>
        <v>-1494</v>
      </c>
      <c r="S146" s="68">
        <f>VLOOKUP(B146,'124+900 '!$B$13:$AA$314,22,FALSE)</f>
        <v>3846</v>
      </c>
      <c r="T146" s="67">
        <f>VLOOKUP(B146,'124+900 '!$B$13:$AA$314,6,FALSE)</f>
        <v>1098</v>
      </c>
      <c r="U146" s="66">
        <f t="shared" si="68"/>
        <v>2819</v>
      </c>
      <c r="V146" s="65">
        <f>VLOOKUP(B146,'124+900 '!$B$13:$AA$314,15,FALSE)</f>
        <v>-1181</v>
      </c>
      <c r="W146" s="64">
        <f t="shared" si="76"/>
        <v>-24</v>
      </c>
      <c r="X146" s="63">
        <f t="shared" si="77"/>
        <v>-1068</v>
      </c>
      <c r="Y146" s="62">
        <f t="shared" si="78"/>
        <v>-35</v>
      </c>
      <c r="Z146" s="61">
        <f t="shared" si="69"/>
        <v>0</v>
      </c>
      <c r="AA146" s="60">
        <f t="shared" si="79"/>
        <v>5.2560000000000002</v>
      </c>
      <c r="AB146" s="60">
        <f t="shared" si="80"/>
        <v>5.4420000000000002</v>
      </c>
      <c r="AC146" s="53"/>
      <c r="AD146" s="53"/>
      <c r="AE146" s="53"/>
      <c r="AF146" s="53"/>
    </row>
    <row r="147" spans="1:32" s="79" customFormat="1" ht="15" customHeight="1">
      <c r="A147" s="80"/>
      <c r="B147" s="74">
        <f>'124+900 '!B147</f>
        <v>45625</v>
      </c>
      <c r="C147" s="73">
        <f t="shared" si="70"/>
        <v>382</v>
      </c>
      <c r="D147" s="72">
        <f t="shared" si="71"/>
        <v>1026</v>
      </c>
      <c r="E147" s="67">
        <f>VLOOKUP(B147,'124+900 '!B122:AA727,3,FALSE)</f>
        <v>2892</v>
      </c>
      <c r="F147" s="67">
        <f t="shared" si="65"/>
        <v>3918</v>
      </c>
      <c r="G147" s="71">
        <f>VLOOKUP(B147,'124+900 '!$B$13:$AA$314,20,FALSE)</f>
        <v>3796</v>
      </c>
      <c r="H147" s="71">
        <f>VLOOKUP(B147,'124+900 '!$B$13:$AA$314,4,FALSE)</f>
        <v>1344</v>
      </c>
      <c r="I147" s="66">
        <f t="shared" si="66"/>
        <v>2574</v>
      </c>
      <c r="J147" s="66">
        <f>VLOOKUP(B147,'124+900 '!$B$13:$AA$314,13,FALSE)</f>
        <v>-1426</v>
      </c>
      <c r="K147" s="70">
        <f t="shared" si="72"/>
        <v>-43</v>
      </c>
      <c r="L147" s="69">
        <f t="shared" si="73"/>
        <v>-1305</v>
      </c>
      <c r="M147" s="68">
        <f>VLOOKUP(B147,'124+900 '!$B$13:$AA$314,21,FALSE)</f>
        <v>3780</v>
      </c>
      <c r="N147" s="67">
        <f>VLOOKUP(B147,'124+900 '!$B$13:$AA$314,5,FALSE)</f>
        <v>1580</v>
      </c>
      <c r="O147" s="66">
        <f t="shared" si="67"/>
        <v>2338</v>
      </c>
      <c r="P147" s="66">
        <f>VLOOKUP(B147,'124+900 '!$B$13:$AA$314,14,FALSE)</f>
        <v>-1662</v>
      </c>
      <c r="Q147" s="70">
        <f t="shared" si="74"/>
        <v>-45</v>
      </c>
      <c r="R147" s="69">
        <f t="shared" si="75"/>
        <v>-1539</v>
      </c>
      <c r="S147" s="68">
        <f>VLOOKUP(B147,'124+900 '!$B$13:$AA$314,22,FALSE)</f>
        <v>3806</v>
      </c>
      <c r="T147" s="67">
        <f>VLOOKUP(B147,'124+900 '!$B$13:$AA$314,6,FALSE)</f>
        <v>1139</v>
      </c>
      <c r="U147" s="66">
        <f t="shared" si="68"/>
        <v>2779</v>
      </c>
      <c r="V147" s="65">
        <f>VLOOKUP(B147,'124+900 '!$B$13:$AA$314,15,FALSE)</f>
        <v>-1221</v>
      </c>
      <c r="W147" s="64">
        <f t="shared" si="76"/>
        <v>-40</v>
      </c>
      <c r="X147" s="63">
        <f t="shared" si="77"/>
        <v>-1108</v>
      </c>
      <c r="Y147" s="62">
        <f t="shared" si="78"/>
        <v>-45</v>
      </c>
      <c r="Z147" s="61">
        <f t="shared" si="69"/>
        <v>0</v>
      </c>
      <c r="AA147" s="60">
        <f t="shared" si="79"/>
        <v>5.2560000000000002</v>
      </c>
      <c r="AB147" s="60">
        <f t="shared" si="80"/>
        <v>5.4420000000000002</v>
      </c>
      <c r="AC147" s="53"/>
      <c r="AD147" s="53"/>
      <c r="AE147" s="53"/>
      <c r="AF147" s="53"/>
    </row>
    <row r="148" spans="1:32" s="79" customFormat="1" ht="15" customHeight="1">
      <c r="A148" s="80"/>
      <c r="B148" s="74">
        <f>'124+900 '!B148</f>
        <v>45628</v>
      </c>
      <c r="C148" s="73">
        <f t="shared" si="70"/>
        <v>385</v>
      </c>
      <c r="D148" s="72">
        <f t="shared" si="71"/>
        <v>1026</v>
      </c>
      <c r="E148" s="67">
        <f>VLOOKUP(B148,'124+900 '!B123:AA728,3,FALSE)</f>
        <v>2893</v>
      </c>
      <c r="F148" s="67">
        <f t="shared" si="65"/>
        <v>3919</v>
      </c>
      <c r="G148" s="71">
        <f>VLOOKUP(B148,'124+900 '!$B$13:$AA$314,20,FALSE)</f>
        <v>3776</v>
      </c>
      <c r="H148" s="71">
        <f>VLOOKUP(B148,'124+900 '!$B$13:$AA$314,4,FALSE)</f>
        <v>1365</v>
      </c>
      <c r="I148" s="66">
        <f t="shared" si="66"/>
        <v>2554</v>
      </c>
      <c r="J148" s="66">
        <f>VLOOKUP(B148,'124+900 '!$B$13:$AA$314,13,FALSE)</f>
        <v>-1446</v>
      </c>
      <c r="K148" s="70">
        <f t="shared" si="72"/>
        <v>-20</v>
      </c>
      <c r="L148" s="69">
        <f t="shared" si="73"/>
        <v>-1325</v>
      </c>
      <c r="M148" s="68">
        <f>VLOOKUP(B148,'124+900 '!$B$13:$AA$314,21,FALSE)</f>
        <v>3754</v>
      </c>
      <c r="N148" s="67">
        <f>VLOOKUP(B148,'124+900 '!$B$13:$AA$314,5,FALSE)</f>
        <v>1607</v>
      </c>
      <c r="O148" s="66">
        <f t="shared" si="67"/>
        <v>2312</v>
      </c>
      <c r="P148" s="66">
        <f>VLOOKUP(B148,'124+900 '!$B$13:$AA$314,14,FALSE)</f>
        <v>-1688</v>
      </c>
      <c r="Q148" s="70">
        <f t="shared" si="74"/>
        <v>-26</v>
      </c>
      <c r="R148" s="69">
        <f t="shared" si="75"/>
        <v>-1565</v>
      </c>
      <c r="S148" s="68">
        <f>VLOOKUP(B148,'124+900 '!$B$13:$AA$314,22,FALSE)</f>
        <v>3786</v>
      </c>
      <c r="T148" s="67">
        <f>VLOOKUP(B148,'124+900 '!$B$13:$AA$314,6,FALSE)</f>
        <v>1160</v>
      </c>
      <c r="U148" s="66">
        <f t="shared" si="68"/>
        <v>2759</v>
      </c>
      <c r="V148" s="65">
        <f>VLOOKUP(B148,'124+900 '!$B$13:$AA$314,15,FALSE)</f>
        <v>-1241</v>
      </c>
      <c r="W148" s="64">
        <f t="shared" si="76"/>
        <v>-20</v>
      </c>
      <c r="X148" s="63">
        <f t="shared" si="77"/>
        <v>-1128</v>
      </c>
      <c r="Y148" s="62">
        <f t="shared" si="78"/>
        <v>-26</v>
      </c>
      <c r="Z148" s="61">
        <f t="shared" si="69"/>
        <v>0</v>
      </c>
      <c r="AA148" s="60">
        <f t="shared" si="79"/>
        <v>5.2560000000000002</v>
      </c>
      <c r="AB148" s="60">
        <f t="shared" si="80"/>
        <v>5.4420000000000002</v>
      </c>
      <c r="AC148" s="53"/>
      <c r="AD148" s="53"/>
      <c r="AE148" s="53"/>
      <c r="AF148" s="53"/>
    </row>
    <row r="149" spans="1:32" s="79" customFormat="1" ht="15" customHeight="1">
      <c r="A149" s="80"/>
      <c r="B149" s="74">
        <f>'124+900 '!B149</f>
        <v>45632</v>
      </c>
      <c r="C149" s="73">
        <f t="shared" si="70"/>
        <v>389</v>
      </c>
      <c r="D149" s="72">
        <f t="shared" si="71"/>
        <v>1026</v>
      </c>
      <c r="E149" s="67">
        <f>VLOOKUP(B149,'124+900 '!B124:AA729,3,FALSE)</f>
        <v>2894</v>
      </c>
      <c r="F149" s="67">
        <f t="shared" si="65"/>
        <v>3920</v>
      </c>
      <c r="G149" s="71">
        <f>VLOOKUP(B149,'124+900 '!$B$13:$AA$314,20,FALSE)</f>
        <v>3748</v>
      </c>
      <c r="H149" s="71">
        <f>VLOOKUP(B149,'124+900 '!$B$13:$AA$314,4,FALSE)</f>
        <v>1394</v>
      </c>
      <c r="I149" s="66">
        <f t="shared" si="66"/>
        <v>2526</v>
      </c>
      <c r="J149" s="66">
        <f>VLOOKUP(B149,'124+900 '!$B$13:$AA$314,13,FALSE)</f>
        <v>-1474</v>
      </c>
      <c r="K149" s="70">
        <f t="shared" si="72"/>
        <v>-28</v>
      </c>
      <c r="L149" s="69">
        <f t="shared" si="73"/>
        <v>-1353</v>
      </c>
      <c r="M149" s="68">
        <f>VLOOKUP(B149,'124+900 '!$B$13:$AA$314,21,FALSE)</f>
        <v>3714</v>
      </c>
      <c r="N149" s="67">
        <f>VLOOKUP(B149,'124+900 '!$B$13:$AA$314,5,FALSE)</f>
        <v>1648</v>
      </c>
      <c r="O149" s="66">
        <f t="shared" si="67"/>
        <v>2272</v>
      </c>
      <c r="P149" s="66">
        <f>VLOOKUP(B149,'124+900 '!$B$13:$AA$314,14,FALSE)</f>
        <v>-1728</v>
      </c>
      <c r="Q149" s="70">
        <f t="shared" si="74"/>
        <v>-40</v>
      </c>
      <c r="R149" s="69">
        <f t="shared" si="75"/>
        <v>-1605</v>
      </c>
      <c r="S149" s="68">
        <f>VLOOKUP(B149,'124+900 '!$B$13:$AA$314,22,FALSE)</f>
        <v>3756</v>
      </c>
      <c r="T149" s="67">
        <f>VLOOKUP(B149,'124+900 '!$B$13:$AA$314,6,FALSE)</f>
        <v>1191</v>
      </c>
      <c r="U149" s="66">
        <f t="shared" si="68"/>
        <v>2729</v>
      </c>
      <c r="V149" s="65">
        <f>VLOOKUP(B149,'124+900 '!$B$13:$AA$314,15,FALSE)</f>
        <v>-1271</v>
      </c>
      <c r="W149" s="64">
        <f t="shared" si="76"/>
        <v>-30</v>
      </c>
      <c r="X149" s="63">
        <f t="shared" si="77"/>
        <v>-1158</v>
      </c>
      <c r="Y149" s="62">
        <f t="shared" si="78"/>
        <v>-40</v>
      </c>
      <c r="Z149" s="61">
        <f t="shared" si="69"/>
        <v>0</v>
      </c>
      <c r="AA149" s="60">
        <f t="shared" si="79"/>
        <v>5.2560000000000002</v>
      </c>
      <c r="AB149" s="60">
        <f t="shared" si="80"/>
        <v>5.4420000000000002</v>
      </c>
      <c r="AC149" s="53"/>
      <c r="AD149" s="53"/>
      <c r="AE149" s="53"/>
      <c r="AF149" s="53"/>
    </row>
    <row r="150" spans="1:32" s="79" customFormat="1" ht="15" customHeight="1">
      <c r="A150" s="80"/>
      <c r="B150" s="74">
        <f>'124+900 '!B150</f>
        <v>45635</v>
      </c>
      <c r="C150" s="73">
        <f t="shared" si="70"/>
        <v>392</v>
      </c>
      <c r="D150" s="72">
        <f t="shared" si="71"/>
        <v>1026</v>
      </c>
      <c r="E150" s="67">
        <f>VLOOKUP(B150,'124+900 '!B125:AA730,3,FALSE)</f>
        <v>2895</v>
      </c>
      <c r="F150" s="67">
        <f t="shared" si="65"/>
        <v>3921</v>
      </c>
      <c r="G150" s="71">
        <f>VLOOKUP(B150,'124+900 '!$B$13:$AA$314,20,FALSE)</f>
        <v>3734</v>
      </c>
      <c r="H150" s="71">
        <f>VLOOKUP(B150,'124+900 '!$B$13:$AA$314,4,FALSE)</f>
        <v>1409</v>
      </c>
      <c r="I150" s="66">
        <f t="shared" si="66"/>
        <v>2512</v>
      </c>
      <c r="J150" s="66">
        <f>VLOOKUP(B150,'124+900 '!$B$13:$AA$314,13,FALSE)</f>
        <v>-1488</v>
      </c>
      <c r="K150" s="70">
        <f t="shared" si="72"/>
        <v>-14</v>
      </c>
      <c r="L150" s="69">
        <f t="shared" si="73"/>
        <v>-1367</v>
      </c>
      <c r="M150" s="68">
        <f>VLOOKUP(B150,'124+900 '!$B$13:$AA$314,21,FALSE)</f>
        <v>3692</v>
      </c>
      <c r="N150" s="67">
        <f>VLOOKUP(B150,'124+900 '!$B$13:$AA$314,5,FALSE)</f>
        <v>1671</v>
      </c>
      <c r="O150" s="66">
        <f t="shared" si="67"/>
        <v>2250</v>
      </c>
      <c r="P150" s="66">
        <f>VLOOKUP(B150,'124+900 '!$B$13:$AA$314,14,FALSE)</f>
        <v>-1750</v>
      </c>
      <c r="Q150" s="70">
        <f t="shared" si="74"/>
        <v>-22</v>
      </c>
      <c r="R150" s="69">
        <f t="shared" si="75"/>
        <v>-1627</v>
      </c>
      <c r="S150" s="68">
        <f>VLOOKUP(B150,'124+900 '!$B$13:$AA$314,22,FALSE)</f>
        <v>3740</v>
      </c>
      <c r="T150" s="67">
        <f>VLOOKUP(B150,'124+900 '!$B$13:$AA$314,6,FALSE)</f>
        <v>1208</v>
      </c>
      <c r="U150" s="66">
        <f t="shared" si="68"/>
        <v>2713</v>
      </c>
      <c r="V150" s="65">
        <f>VLOOKUP(B150,'124+900 '!$B$13:$AA$314,15,FALSE)</f>
        <v>-1287</v>
      </c>
      <c r="W150" s="64">
        <f t="shared" si="76"/>
        <v>-16</v>
      </c>
      <c r="X150" s="63">
        <f t="shared" si="77"/>
        <v>-1174</v>
      </c>
      <c r="Y150" s="62">
        <f t="shared" si="78"/>
        <v>-22</v>
      </c>
      <c r="Z150" s="61">
        <f t="shared" si="69"/>
        <v>0</v>
      </c>
      <c r="AA150" s="60">
        <f t="shared" si="79"/>
        <v>5.2560000000000002</v>
      </c>
      <c r="AB150" s="60">
        <f t="shared" si="80"/>
        <v>5.4420000000000002</v>
      </c>
      <c r="AC150" s="53"/>
      <c r="AD150" s="53"/>
      <c r="AE150" s="53"/>
      <c r="AF150" s="53"/>
    </row>
    <row r="151" spans="1:32" s="79" customFormat="1" ht="15" customHeight="1">
      <c r="A151" s="80"/>
      <c r="B151" s="74">
        <f>'124+900 '!B151</f>
        <v>45639</v>
      </c>
      <c r="C151" s="73">
        <f t="shared" si="70"/>
        <v>396</v>
      </c>
      <c r="D151" s="72">
        <f t="shared" si="71"/>
        <v>1026</v>
      </c>
      <c r="E151" s="67">
        <f>VLOOKUP(B151,'124+900 '!B126:AA731,3,FALSE)</f>
        <v>2896</v>
      </c>
      <c r="F151" s="67">
        <f t="shared" si="65"/>
        <v>3922</v>
      </c>
      <c r="G151" s="71">
        <f>VLOOKUP(B151,'124+900 '!$B$13:$AA$314,20,FALSE)</f>
        <v>3710</v>
      </c>
      <c r="H151" s="71">
        <f>VLOOKUP(B151,'124+900 '!$B$13:$AA$314,4,FALSE)</f>
        <v>1434</v>
      </c>
      <c r="I151" s="66">
        <f t="shared" si="66"/>
        <v>2488</v>
      </c>
      <c r="J151" s="66">
        <f>VLOOKUP(B151,'124+900 '!$B$13:$AA$314,13,FALSE)</f>
        <v>-1512</v>
      </c>
      <c r="K151" s="70">
        <f t="shared" si="72"/>
        <v>-24</v>
      </c>
      <c r="L151" s="69">
        <f t="shared" si="73"/>
        <v>-1391</v>
      </c>
      <c r="M151" s="68">
        <f>VLOOKUP(B151,'124+900 '!$B$13:$AA$314,21,FALSE)</f>
        <v>3656</v>
      </c>
      <c r="N151" s="67">
        <f>VLOOKUP(B151,'124+900 '!$B$13:$AA$314,5,FALSE)</f>
        <v>1708</v>
      </c>
      <c r="O151" s="66">
        <f t="shared" si="67"/>
        <v>2214</v>
      </c>
      <c r="P151" s="66">
        <f>VLOOKUP(B151,'124+900 '!$B$13:$AA$314,14,FALSE)</f>
        <v>-1786</v>
      </c>
      <c r="Q151" s="70">
        <f t="shared" si="74"/>
        <v>-36</v>
      </c>
      <c r="R151" s="69">
        <f t="shared" si="75"/>
        <v>-1663</v>
      </c>
      <c r="S151" s="68">
        <f>VLOOKUP(B151,'124+900 '!$B$13:$AA$314,22,FALSE)</f>
        <v>3712</v>
      </c>
      <c r="T151" s="67">
        <f>VLOOKUP(B151,'124+900 '!$B$13:$AA$314,6,FALSE)</f>
        <v>1237</v>
      </c>
      <c r="U151" s="66">
        <f t="shared" si="68"/>
        <v>2685</v>
      </c>
      <c r="V151" s="65">
        <f>VLOOKUP(B151,'124+900 '!$B$13:$AA$314,15,FALSE)</f>
        <v>-1315</v>
      </c>
      <c r="W151" s="64">
        <f t="shared" si="76"/>
        <v>-28</v>
      </c>
      <c r="X151" s="63">
        <f t="shared" si="77"/>
        <v>-1202</v>
      </c>
      <c r="Y151" s="62">
        <f t="shared" si="78"/>
        <v>-36</v>
      </c>
      <c r="Z151" s="61">
        <f t="shared" si="69"/>
        <v>0</v>
      </c>
      <c r="AA151" s="60">
        <f t="shared" si="79"/>
        <v>5.2560000000000002</v>
      </c>
      <c r="AB151" s="60">
        <f t="shared" si="80"/>
        <v>5.4420000000000002</v>
      </c>
      <c r="AC151" s="53"/>
      <c r="AD151" s="53"/>
      <c r="AE151" s="53"/>
      <c r="AF151" s="53"/>
    </row>
    <row r="152" spans="1:32" s="79" customFormat="1" ht="15" customHeight="1">
      <c r="A152" s="80"/>
      <c r="B152" s="74">
        <f>'124+900 '!B152</f>
        <v>45646</v>
      </c>
      <c r="C152" s="73">
        <f t="shared" si="70"/>
        <v>403</v>
      </c>
      <c r="D152" s="72">
        <f t="shared" si="71"/>
        <v>1026</v>
      </c>
      <c r="E152" s="67">
        <f>VLOOKUP(B152,'124+900 '!B127:AA732,3,FALSE)</f>
        <v>2897</v>
      </c>
      <c r="F152" s="67">
        <f t="shared" si="65"/>
        <v>3923</v>
      </c>
      <c r="G152" s="71">
        <f>VLOOKUP(B152,'124+900 '!$B$13:$AA$314,20,FALSE)</f>
        <v>3680</v>
      </c>
      <c r="H152" s="71">
        <f>VLOOKUP(B152,'124+900 '!$B$13:$AA$314,4,FALSE)</f>
        <v>1465</v>
      </c>
      <c r="I152" s="66">
        <f t="shared" si="66"/>
        <v>2458</v>
      </c>
      <c r="J152" s="66">
        <f>VLOOKUP(B152,'124+900 '!$B$13:$AA$314,13,FALSE)</f>
        <v>-1542</v>
      </c>
      <c r="K152" s="70">
        <f t="shared" si="72"/>
        <v>-30</v>
      </c>
      <c r="L152" s="69">
        <f t="shared" si="73"/>
        <v>-1421</v>
      </c>
      <c r="M152" s="68">
        <f>VLOOKUP(B152,'124+900 '!$B$13:$AA$314,21,FALSE)</f>
        <v>3620</v>
      </c>
      <c r="N152" s="67">
        <f>VLOOKUP(B152,'124+900 '!$B$13:$AA$314,5,FALSE)</f>
        <v>1745</v>
      </c>
      <c r="O152" s="66">
        <f t="shared" si="67"/>
        <v>2178</v>
      </c>
      <c r="P152" s="66">
        <f>VLOOKUP(B152,'124+900 '!$B$13:$AA$314,14,FALSE)</f>
        <v>-1822</v>
      </c>
      <c r="Q152" s="70">
        <f t="shared" si="74"/>
        <v>-36</v>
      </c>
      <c r="R152" s="69">
        <f t="shared" si="75"/>
        <v>-1699</v>
      </c>
      <c r="S152" s="68">
        <f>VLOOKUP(B152,'124+900 '!$B$13:$AA$314,22,FALSE)</f>
        <v>3682</v>
      </c>
      <c r="T152" s="67">
        <f>VLOOKUP(B152,'124+900 '!$B$13:$AA$314,6,FALSE)</f>
        <v>1268</v>
      </c>
      <c r="U152" s="66">
        <f t="shared" si="68"/>
        <v>2655</v>
      </c>
      <c r="V152" s="65">
        <f>VLOOKUP(B152,'124+900 '!$B$13:$AA$314,15,FALSE)</f>
        <v>-1345</v>
      </c>
      <c r="W152" s="64">
        <f t="shared" si="76"/>
        <v>-30</v>
      </c>
      <c r="X152" s="63">
        <f t="shared" si="77"/>
        <v>-1232</v>
      </c>
      <c r="Y152" s="62">
        <f t="shared" si="78"/>
        <v>-36</v>
      </c>
      <c r="Z152" s="61">
        <f t="shared" si="69"/>
        <v>0</v>
      </c>
      <c r="AA152" s="60">
        <f t="shared" si="79"/>
        <v>5.2560000000000002</v>
      </c>
      <c r="AB152" s="60">
        <f t="shared" si="80"/>
        <v>5.4420000000000002</v>
      </c>
      <c r="AC152" s="53"/>
      <c r="AD152" s="53"/>
      <c r="AE152" s="53"/>
      <c r="AF152" s="53"/>
    </row>
    <row r="153" spans="1:32" s="79" customFormat="1" ht="15" customHeight="1">
      <c r="A153" s="80"/>
      <c r="B153" s="74">
        <f>'124+900 '!B153</f>
        <v>45653</v>
      </c>
      <c r="C153" s="73">
        <f t="shared" si="70"/>
        <v>410</v>
      </c>
      <c r="D153" s="72">
        <f t="shared" si="71"/>
        <v>1026</v>
      </c>
      <c r="E153" s="67">
        <f>VLOOKUP(B153,'124+900 '!B128:AA733,3,FALSE)</f>
        <v>2898</v>
      </c>
      <c r="F153" s="67">
        <f t="shared" si="65"/>
        <v>3924</v>
      </c>
      <c r="G153" s="71">
        <f>VLOOKUP(B153,'124+900 '!$B$13:$AA$314,20,FALSE)</f>
        <v>3656</v>
      </c>
      <c r="H153" s="71">
        <f>VLOOKUP(B153,'124+900 '!$B$13:$AA$314,4,FALSE)</f>
        <v>1490</v>
      </c>
      <c r="I153" s="66">
        <f t="shared" si="66"/>
        <v>2434</v>
      </c>
      <c r="J153" s="66">
        <f>VLOOKUP(B153,'124+900 '!$B$13:$AA$314,13,FALSE)</f>
        <v>-1566</v>
      </c>
      <c r="K153" s="70">
        <f t="shared" si="72"/>
        <v>-24</v>
      </c>
      <c r="L153" s="69">
        <f t="shared" si="73"/>
        <v>-1445</v>
      </c>
      <c r="M153" s="68">
        <f>VLOOKUP(B153,'124+900 '!$B$13:$AA$314,21,FALSE)</f>
        <v>3588</v>
      </c>
      <c r="N153" s="67">
        <f>VLOOKUP(B153,'124+900 '!$B$13:$AA$314,5,FALSE)</f>
        <v>1778</v>
      </c>
      <c r="O153" s="66">
        <f t="shared" si="67"/>
        <v>2146</v>
      </c>
      <c r="P153" s="66">
        <f>VLOOKUP(B153,'124+900 '!$B$13:$AA$314,14,FALSE)</f>
        <v>-1854</v>
      </c>
      <c r="Q153" s="70">
        <f t="shared" si="74"/>
        <v>-32</v>
      </c>
      <c r="R153" s="69">
        <f t="shared" si="75"/>
        <v>-1731</v>
      </c>
      <c r="S153" s="68">
        <f>VLOOKUP(B153,'124+900 '!$B$13:$AA$314,22,FALSE)</f>
        <v>3662</v>
      </c>
      <c r="T153" s="67">
        <f>VLOOKUP(B153,'124+900 '!$B$13:$AA$314,6,FALSE)</f>
        <v>1289</v>
      </c>
      <c r="U153" s="66">
        <f t="shared" si="68"/>
        <v>2635</v>
      </c>
      <c r="V153" s="65">
        <f>VLOOKUP(B153,'124+900 '!$B$13:$AA$314,15,FALSE)</f>
        <v>-1365</v>
      </c>
      <c r="W153" s="64">
        <f t="shared" si="76"/>
        <v>-20</v>
      </c>
      <c r="X153" s="63">
        <f t="shared" si="77"/>
        <v>-1252</v>
      </c>
      <c r="Y153" s="62">
        <f t="shared" si="78"/>
        <v>-32</v>
      </c>
      <c r="Z153" s="61">
        <f t="shared" si="69"/>
        <v>0</v>
      </c>
      <c r="AA153" s="60">
        <f t="shared" si="79"/>
        <v>5.2560000000000002</v>
      </c>
      <c r="AB153" s="60">
        <f t="shared" si="80"/>
        <v>5.4420000000000002</v>
      </c>
      <c r="AC153" s="53"/>
      <c r="AD153" s="53"/>
      <c r="AE153" s="53"/>
      <c r="AF153" s="53"/>
    </row>
    <row r="154" spans="1:32" s="79" customFormat="1" ht="15" customHeight="1">
      <c r="A154" s="80"/>
      <c r="B154" s="74">
        <f>'124+900 '!B154</f>
        <v>45660</v>
      </c>
      <c r="C154" s="73">
        <f t="shared" si="70"/>
        <v>417</v>
      </c>
      <c r="D154" s="72">
        <f t="shared" si="71"/>
        <v>1026</v>
      </c>
      <c r="E154" s="67">
        <f>VLOOKUP(B154,'124+900 '!B129:AA734,3,FALSE)</f>
        <v>2899</v>
      </c>
      <c r="F154" s="67">
        <f t="shared" si="65"/>
        <v>3925</v>
      </c>
      <c r="G154" s="71">
        <f>VLOOKUP(B154,'124+900 '!$B$13:$AA$314,20,FALSE)</f>
        <v>3634</v>
      </c>
      <c r="H154" s="71">
        <f>VLOOKUP(B154,'124+900 '!$B$13:$AA$314,4,FALSE)</f>
        <v>1513</v>
      </c>
      <c r="I154" s="66">
        <f t="shared" si="66"/>
        <v>2412</v>
      </c>
      <c r="J154" s="66">
        <f>VLOOKUP(B154,'124+900 '!$B$13:$AA$314,13,FALSE)</f>
        <v>-1588</v>
      </c>
      <c r="K154" s="70">
        <f t="shared" si="72"/>
        <v>-22</v>
      </c>
      <c r="L154" s="69">
        <f t="shared" si="73"/>
        <v>-1467</v>
      </c>
      <c r="M154" s="68">
        <f>VLOOKUP(B154,'124+900 '!$B$13:$AA$314,21,FALSE)</f>
        <v>3558</v>
      </c>
      <c r="N154" s="67">
        <f>VLOOKUP(B154,'124+900 '!$B$13:$AA$314,5,FALSE)</f>
        <v>1809</v>
      </c>
      <c r="O154" s="66">
        <f t="shared" si="67"/>
        <v>2116</v>
      </c>
      <c r="P154" s="66">
        <f>VLOOKUP(B154,'124+900 '!$B$13:$AA$314,14,FALSE)</f>
        <v>-1884</v>
      </c>
      <c r="Q154" s="70">
        <f t="shared" si="74"/>
        <v>-30</v>
      </c>
      <c r="R154" s="69">
        <f t="shared" si="75"/>
        <v>-1761</v>
      </c>
      <c r="S154" s="68">
        <f>VLOOKUP(B154,'124+900 '!$B$13:$AA$314,22,FALSE)</f>
        <v>3642</v>
      </c>
      <c r="T154" s="67">
        <f>VLOOKUP(B154,'124+900 '!$B$13:$AA$314,6,FALSE)</f>
        <v>1310</v>
      </c>
      <c r="U154" s="66">
        <f t="shared" si="68"/>
        <v>2615</v>
      </c>
      <c r="V154" s="65">
        <f>VLOOKUP(B154,'124+900 '!$B$13:$AA$314,15,FALSE)</f>
        <v>-1385</v>
      </c>
      <c r="W154" s="64">
        <f t="shared" si="76"/>
        <v>-20</v>
      </c>
      <c r="X154" s="63">
        <f t="shared" si="77"/>
        <v>-1272</v>
      </c>
      <c r="Y154" s="62">
        <f t="shared" si="78"/>
        <v>-30</v>
      </c>
      <c r="Z154" s="61">
        <f t="shared" si="69"/>
        <v>0</v>
      </c>
      <c r="AA154" s="60">
        <f t="shared" si="79"/>
        <v>5.2560000000000002</v>
      </c>
      <c r="AB154" s="60">
        <f t="shared" si="80"/>
        <v>5.4420000000000002</v>
      </c>
      <c r="AC154" s="53"/>
      <c r="AD154" s="53"/>
      <c r="AE154" s="53"/>
      <c r="AF154" s="53"/>
    </row>
    <row r="155" spans="1:32" s="79" customFormat="1" ht="15" customHeight="1">
      <c r="A155" s="80"/>
      <c r="B155" s="74">
        <f>'124+900 '!B155</f>
        <v>45667</v>
      </c>
      <c r="C155" s="73">
        <f t="shared" si="70"/>
        <v>424</v>
      </c>
      <c r="D155" s="72">
        <f t="shared" si="71"/>
        <v>1026</v>
      </c>
      <c r="E155" s="67">
        <f>VLOOKUP(B155,'124+900 '!B130:AA735,3,FALSE)</f>
        <v>2900</v>
      </c>
      <c r="F155" s="67">
        <f t="shared" si="65"/>
        <v>3926</v>
      </c>
      <c r="G155" s="71">
        <f>VLOOKUP(B155,'124+900 '!$B$13:$AA$314,20,FALSE)</f>
        <v>3614</v>
      </c>
      <c r="H155" s="71">
        <f>VLOOKUP(B155,'124+900 '!$B$13:$AA$314,4,FALSE)</f>
        <v>1534</v>
      </c>
      <c r="I155" s="66">
        <f t="shared" si="66"/>
        <v>2392</v>
      </c>
      <c r="J155" s="66">
        <f>VLOOKUP(B155,'124+900 '!$B$13:$AA$314,13,FALSE)</f>
        <v>-1608</v>
      </c>
      <c r="K155" s="70">
        <f t="shared" si="72"/>
        <v>-20</v>
      </c>
      <c r="L155" s="69">
        <f t="shared" si="73"/>
        <v>-1487</v>
      </c>
      <c r="M155" s="68">
        <f>VLOOKUP(B155,'124+900 '!$B$13:$AA$314,21,FALSE)</f>
        <v>3533</v>
      </c>
      <c r="N155" s="67">
        <f>VLOOKUP(B155,'124+900 '!$B$13:$AA$314,5,FALSE)</f>
        <v>1835</v>
      </c>
      <c r="O155" s="66">
        <f t="shared" si="67"/>
        <v>2091</v>
      </c>
      <c r="P155" s="66">
        <f>VLOOKUP(B155,'124+900 '!$B$13:$AA$314,14,FALSE)</f>
        <v>-1909</v>
      </c>
      <c r="Q155" s="70">
        <f t="shared" si="74"/>
        <v>-25</v>
      </c>
      <c r="R155" s="69">
        <f t="shared" si="75"/>
        <v>-1786</v>
      </c>
      <c r="S155" s="68">
        <f>VLOOKUP(B155,'124+900 '!$B$13:$AA$314,22,FALSE)</f>
        <v>3624</v>
      </c>
      <c r="T155" s="67">
        <f>VLOOKUP(B155,'124+900 '!$B$13:$AA$314,6,FALSE)</f>
        <v>1329</v>
      </c>
      <c r="U155" s="66">
        <f t="shared" si="68"/>
        <v>2597</v>
      </c>
      <c r="V155" s="65">
        <f>VLOOKUP(B155,'124+900 '!$B$13:$AA$314,15,FALSE)</f>
        <v>-1403</v>
      </c>
      <c r="W155" s="64">
        <f t="shared" si="76"/>
        <v>-18</v>
      </c>
      <c r="X155" s="63">
        <f t="shared" si="77"/>
        <v>-1290</v>
      </c>
      <c r="Y155" s="62">
        <f t="shared" si="78"/>
        <v>-25</v>
      </c>
      <c r="Z155" s="61">
        <f t="shared" si="69"/>
        <v>0</v>
      </c>
      <c r="AA155" s="60">
        <f t="shared" si="79"/>
        <v>5.2560000000000002</v>
      </c>
      <c r="AB155" s="60">
        <f t="shared" si="80"/>
        <v>5.4420000000000002</v>
      </c>
      <c r="AC155" s="53"/>
      <c r="AD155" s="53"/>
      <c r="AE155" s="53"/>
      <c r="AF155" s="53"/>
    </row>
    <row r="156" spans="1:32" s="79" customFormat="1" ht="15" customHeight="1">
      <c r="A156" s="80"/>
      <c r="B156" s="74">
        <f>'124+900 '!B156</f>
        <v>45674</v>
      </c>
      <c r="C156" s="73">
        <f t="shared" si="70"/>
        <v>431</v>
      </c>
      <c r="D156" s="72">
        <f t="shared" si="71"/>
        <v>1026</v>
      </c>
      <c r="E156" s="67">
        <f>VLOOKUP(B156,'124+900 '!B131:AA736,3,FALSE)</f>
        <v>2901</v>
      </c>
      <c r="F156" s="67">
        <f t="shared" si="65"/>
        <v>3927</v>
      </c>
      <c r="G156" s="71">
        <f>VLOOKUP(B156,'124+900 '!$B$13:$AA$314,20,FALSE)</f>
        <v>3596</v>
      </c>
      <c r="H156" s="71">
        <f>VLOOKUP(B156,'124+900 '!$B$13:$AA$314,4,FALSE)</f>
        <v>1553</v>
      </c>
      <c r="I156" s="66">
        <f t="shared" si="66"/>
        <v>2374</v>
      </c>
      <c r="J156" s="66">
        <f>VLOOKUP(B156,'124+900 '!$B$13:$AA$314,13,FALSE)</f>
        <v>-1626</v>
      </c>
      <c r="K156" s="70">
        <f t="shared" si="72"/>
        <v>-18</v>
      </c>
      <c r="L156" s="69">
        <f t="shared" si="73"/>
        <v>-1505</v>
      </c>
      <c r="M156" s="68">
        <f>VLOOKUP(B156,'124+900 '!$B$13:$AA$314,21,FALSE)</f>
        <v>3511</v>
      </c>
      <c r="N156" s="67">
        <f>VLOOKUP(B156,'124+900 '!$B$13:$AA$314,5,FALSE)</f>
        <v>1858</v>
      </c>
      <c r="O156" s="66">
        <f t="shared" si="67"/>
        <v>2069</v>
      </c>
      <c r="P156" s="66">
        <f>VLOOKUP(B156,'124+900 '!$B$13:$AA$314,14,FALSE)</f>
        <v>-1931</v>
      </c>
      <c r="Q156" s="70">
        <f t="shared" si="74"/>
        <v>-22</v>
      </c>
      <c r="R156" s="69">
        <f t="shared" si="75"/>
        <v>-1808</v>
      </c>
      <c r="S156" s="68">
        <f>VLOOKUP(B156,'124+900 '!$B$13:$AA$314,22,FALSE)</f>
        <v>3608</v>
      </c>
      <c r="T156" s="67">
        <f>VLOOKUP(B156,'124+900 '!$B$13:$AA$314,6,FALSE)</f>
        <v>1346</v>
      </c>
      <c r="U156" s="66">
        <f t="shared" si="68"/>
        <v>2581</v>
      </c>
      <c r="V156" s="65">
        <f>VLOOKUP(B156,'124+900 '!$B$13:$AA$314,15,FALSE)</f>
        <v>-1419</v>
      </c>
      <c r="W156" s="64">
        <f t="shared" si="76"/>
        <v>-16</v>
      </c>
      <c r="X156" s="63">
        <f t="shared" si="77"/>
        <v>-1306</v>
      </c>
      <c r="Y156" s="62">
        <f t="shared" si="78"/>
        <v>-22</v>
      </c>
      <c r="Z156" s="61">
        <f t="shared" si="69"/>
        <v>0</v>
      </c>
      <c r="AA156" s="60">
        <f t="shared" si="79"/>
        <v>5.2560000000000002</v>
      </c>
      <c r="AB156" s="60">
        <f t="shared" si="80"/>
        <v>5.4420000000000002</v>
      </c>
      <c r="AC156" s="53"/>
      <c r="AD156" s="53"/>
      <c r="AE156" s="53"/>
      <c r="AF156" s="53"/>
    </row>
    <row r="157" spans="1:32" s="79" customFormat="1" ht="15" customHeight="1">
      <c r="A157" s="80"/>
      <c r="B157" s="74">
        <f>'124+900 '!B157</f>
        <v>45681</v>
      </c>
      <c r="C157" s="73">
        <f t="shared" si="70"/>
        <v>438</v>
      </c>
      <c r="D157" s="72">
        <f t="shared" si="71"/>
        <v>1026</v>
      </c>
      <c r="E157" s="67">
        <f>VLOOKUP(B157,'124+900 '!B132:AA737,3,FALSE)</f>
        <v>2902</v>
      </c>
      <c r="F157" s="67">
        <f t="shared" si="65"/>
        <v>3928</v>
      </c>
      <c r="G157" s="71">
        <f>VLOOKUP(B157,'124+900 '!$B$13:$AA$314,20,FALSE)</f>
        <v>3580</v>
      </c>
      <c r="H157" s="71">
        <f>VLOOKUP(B157,'124+900 '!$B$13:$AA$314,4,FALSE)</f>
        <v>1570</v>
      </c>
      <c r="I157" s="66">
        <f t="shared" si="66"/>
        <v>2358</v>
      </c>
      <c r="J157" s="66">
        <f>VLOOKUP(B157,'124+900 '!$B$13:$AA$314,13,FALSE)</f>
        <v>-1642</v>
      </c>
      <c r="K157" s="70">
        <f t="shared" si="72"/>
        <v>-16</v>
      </c>
      <c r="L157" s="69">
        <f t="shared" si="73"/>
        <v>-1521</v>
      </c>
      <c r="M157" s="68">
        <f>VLOOKUP(B157,'124+900 '!$B$13:$AA$314,21,FALSE)</f>
        <v>3491</v>
      </c>
      <c r="N157" s="67">
        <f>VLOOKUP(B157,'124+900 '!$B$13:$AA$314,5,FALSE)</f>
        <v>1879</v>
      </c>
      <c r="O157" s="66">
        <f t="shared" si="67"/>
        <v>2049</v>
      </c>
      <c r="P157" s="66">
        <f>VLOOKUP(B157,'124+900 '!$B$13:$AA$314,14,FALSE)</f>
        <v>-1951</v>
      </c>
      <c r="Q157" s="70">
        <f t="shared" si="74"/>
        <v>-20</v>
      </c>
      <c r="R157" s="69">
        <f t="shared" si="75"/>
        <v>-1828</v>
      </c>
      <c r="S157" s="68">
        <f>VLOOKUP(B157,'124+900 '!$B$13:$AA$314,22,FALSE)</f>
        <v>3594</v>
      </c>
      <c r="T157" s="67">
        <f>VLOOKUP(B157,'124+900 '!$B$13:$AA$314,6,FALSE)</f>
        <v>1361</v>
      </c>
      <c r="U157" s="66">
        <f t="shared" si="68"/>
        <v>2567</v>
      </c>
      <c r="V157" s="65">
        <f>VLOOKUP(B157,'124+900 '!$B$13:$AA$314,15,FALSE)</f>
        <v>-1433</v>
      </c>
      <c r="W157" s="64">
        <f t="shared" si="76"/>
        <v>-14</v>
      </c>
      <c r="X157" s="63">
        <f t="shared" si="77"/>
        <v>-1320</v>
      </c>
      <c r="Y157" s="62">
        <f t="shared" si="78"/>
        <v>-20</v>
      </c>
      <c r="Z157" s="61">
        <f t="shared" si="69"/>
        <v>0</v>
      </c>
      <c r="AA157" s="60">
        <f t="shared" si="79"/>
        <v>5.2560000000000002</v>
      </c>
      <c r="AB157" s="60">
        <f t="shared" si="80"/>
        <v>5.4420000000000002</v>
      </c>
      <c r="AC157" s="53"/>
      <c r="AD157" s="53"/>
      <c r="AE157" s="53"/>
      <c r="AF157" s="53"/>
    </row>
    <row r="158" spans="1:32" s="79" customFormat="1" ht="15" customHeight="1">
      <c r="A158" s="80"/>
      <c r="B158" s="74">
        <f>'124+900 '!B158</f>
        <v>45688</v>
      </c>
      <c r="C158" s="73">
        <f t="shared" si="70"/>
        <v>445</v>
      </c>
      <c r="D158" s="72">
        <f t="shared" si="71"/>
        <v>1026</v>
      </c>
      <c r="E158" s="67">
        <f>VLOOKUP(B158,'124+900 '!B133:AA738,3,FALSE)</f>
        <v>2903</v>
      </c>
      <c r="F158" s="67">
        <f t="shared" si="65"/>
        <v>3929</v>
      </c>
      <c r="G158" s="71">
        <f>VLOOKUP(B158,'124+900 '!$B$13:$AA$314,20,FALSE)</f>
        <v>3564</v>
      </c>
      <c r="H158" s="71">
        <f>VLOOKUP(B158,'124+900 '!$B$13:$AA$314,4,FALSE)</f>
        <v>1587</v>
      </c>
      <c r="I158" s="66">
        <f t="shared" si="66"/>
        <v>2342</v>
      </c>
      <c r="J158" s="66">
        <f>VLOOKUP(B158,'124+900 '!$B$13:$AA$314,13,FALSE)</f>
        <v>-1658</v>
      </c>
      <c r="K158" s="70">
        <f t="shared" si="72"/>
        <v>-16</v>
      </c>
      <c r="L158" s="69">
        <f t="shared" si="73"/>
        <v>-1537</v>
      </c>
      <c r="M158" s="68">
        <f>VLOOKUP(B158,'124+900 '!$B$13:$AA$314,21,FALSE)</f>
        <v>3473</v>
      </c>
      <c r="N158" s="67">
        <f>VLOOKUP(B158,'124+900 '!$B$13:$AA$314,5,FALSE)</f>
        <v>1898</v>
      </c>
      <c r="O158" s="66">
        <f t="shared" si="67"/>
        <v>2031</v>
      </c>
      <c r="P158" s="66">
        <f>VLOOKUP(B158,'124+900 '!$B$13:$AA$314,14,FALSE)</f>
        <v>-1969</v>
      </c>
      <c r="Q158" s="70">
        <f t="shared" si="74"/>
        <v>-18</v>
      </c>
      <c r="R158" s="69">
        <f t="shared" si="75"/>
        <v>-1846</v>
      </c>
      <c r="S158" s="68">
        <f>VLOOKUP(B158,'124+900 '!$B$13:$AA$314,22,FALSE)</f>
        <v>3580</v>
      </c>
      <c r="T158" s="67">
        <f>VLOOKUP(B158,'124+900 '!$B$13:$AA$314,6,FALSE)</f>
        <v>1376</v>
      </c>
      <c r="U158" s="66">
        <f t="shared" si="68"/>
        <v>2553</v>
      </c>
      <c r="V158" s="65">
        <f>VLOOKUP(B158,'124+900 '!$B$13:$AA$314,15,FALSE)</f>
        <v>-1447</v>
      </c>
      <c r="W158" s="64">
        <f t="shared" si="76"/>
        <v>-14</v>
      </c>
      <c r="X158" s="63">
        <f t="shared" si="77"/>
        <v>-1334</v>
      </c>
      <c r="Y158" s="62">
        <f t="shared" si="78"/>
        <v>-18</v>
      </c>
      <c r="Z158" s="61">
        <f t="shared" si="69"/>
        <v>0</v>
      </c>
      <c r="AA158" s="60">
        <f t="shared" si="79"/>
        <v>5.2560000000000002</v>
      </c>
      <c r="AB158" s="60">
        <f t="shared" si="80"/>
        <v>5.4420000000000002</v>
      </c>
      <c r="AC158" s="53"/>
      <c r="AD158" s="53"/>
      <c r="AE158" s="53"/>
      <c r="AF158" s="53"/>
    </row>
    <row r="159" spans="1:32" s="79" customFormat="1" ht="15" customHeight="1">
      <c r="A159" s="80"/>
      <c r="B159" s="74">
        <f>'124+900 '!B159</f>
        <v>45695</v>
      </c>
      <c r="C159" s="73">
        <f t="shared" si="70"/>
        <v>452</v>
      </c>
      <c r="D159" s="72">
        <f t="shared" si="71"/>
        <v>1026</v>
      </c>
      <c r="E159" s="67">
        <f>VLOOKUP(B159,'124+900 '!B134:AA739,3,FALSE)</f>
        <v>2904</v>
      </c>
      <c r="F159" s="67">
        <f t="shared" si="65"/>
        <v>3930</v>
      </c>
      <c r="G159" s="71">
        <f>VLOOKUP(B159,'124+900 '!$B$13:$AA$314,20,FALSE)</f>
        <v>3552</v>
      </c>
      <c r="H159" s="71">
        <f>VLOOKUP(B159,'124+900 '!$B$13:$AA$314,4,FALSE)</f>
        <v>1600</v>
      </c>
      <c r="I159" s="66">
        <f t="shared" si="66"/>
        <v>2330</v>
      </c>
      <c r="J159" s="66">
        <f>VLOOKUP(B159,'124+900 '!$B$13:$AA$314,13,FALSE)</f>
        <v>-1670</v>
      </c>
      <c r="K159" s="70">
        <f t="shared" si="72"/>
        <v>-12</v>
      </c>
      <c r="L159" s="69">
        <f t="shared" si="73"/>
        <v>-1549</v>
      </c>
      <c r="M159" s="68">
        <f>VLOOKUP(B159,'124+900 '!$B$13:$AA$314,21,FALSE)</f>
        <v>3459</v>
      </c>
      <c r="N159" s="67">
        <f>VLOOKUP(B159,'124+900 '!$B$13:$AA$314,5,FALSE)</f>
        <v>1913</v>
      </c>
      <c r="O159" s="66">
        <f t="shared" si="67"/>
        <v>2017</v>
      </c>
      <c r="P159" s="66">
        <f>VLOOKUP(B159,'124+900 '!$B$13:$AA$314,14,FALSE)</f>
        <v>-1983</v>
      </c>
      <c r="Q159" s="70">
        <f t="shared" si="74"/>
        <v>-14</v>
      </c>
      <c r="R159" s="69">
        <f t="shared" si="75"/>
        <v>-1860</v>
      </c>
      <c r="S159" s="68">
        <f>VLOOKUP(B159,'124+900 '!$B$13:$AA$314,22,FALSE)</f>
        <v>3570</v>
      </c>
      <c r="T159" s="67">
        <f>VLOOKUP(B159,'124+900 '!$B$13:$AA$314,6,FALSE)</f>
        <v>1387</v>
      </c>
      <c r="U159" s="66">
        <f t="shared" si="68"/>
        <v>2543</v>
      </c>
      <c r="V159" s="65">
        <f>VLOOKUP(B159,'124+900 '!$B$13:$AA$314,15,FALSE)</f>
        <v>-1457</v>
      </c>
      <c r="W159" s="64">
        <f t="shared" si="76"/>
        <v>-10</v>
      </c>
      <c r="X159" s="63">
        <f t="shared" si="77"/>
        <v>-1344</v>
      </c>
      <c r="Y159" s="62">
        <f t="shared" si="78"/>
        <v>-14</v>
      </c>
      <c r="Z159" s="61">
        <f t="shared" si="69"/>
        <v>0</v>
      </c>
      <c r="AA159" s="60">
        <f t="shared" si="79"/>
        <v>5.2560000000000002</v>
      </c>
      <c r="AB159" s="60">
        <f t="shared" si="80"/>
        <v>5.4420000000000002</v>
      </c>
      <c r="AC159" s="53"/>
      <c r="AD159" s="53"/>
      <c r="AE159" s="53"/>
      <c r="AF159" s="53"/>
    </row>
    <row r="160" spans="1:32" s="79" customFormat="1" ht="15" customHeight="1">
      <c r="A160" s="80"/>
      <c r="B160" s="74">
        <f>'124+900 '!B160</f>
        <v>45702</v>
      </c>
      <c r="C160" s="73">
        <f t="shared" si="70"/>
        <v>459</v>
      </c>
      <c r="D160" s="72">
        <f t="shared" si="71"/>
        <v>1026</v>
      </c>
      <c r="E160" s="67">
        <f>VLOOKUP(B160,'124+900 '!B135:AA740,3,FALSE)</f>
        <v>2905</v>
      </c>
      <c r="F160" s="67">
        <f t="shared" si="65"/>
        <v>3931</v>
      </c>
      <c r="G160" s="71">
        <f>VLOOKUP(B160,'124+900 '!$B$13:$AA$314,20,FALSE)</f>
        <v>3540</v>
      </c>
      <c r="H160" s="71">
        <f>VLOOKUP(B160,'124+900 '!$B$13:$AA$314,4,FALSE)</f>
        <v>1613</v>
      </c>
      <c r="I160" s="66">
        <f t="shared" si="66"/>
        <v>2318</v>
      </c>
      <c r="J160" s="66">
        <f>VLOOKUP(B160,'124+900 '!$B$13:$AA$314,13,FALSE)</f>
        <v>-1682</v>
      </c>
      <c r="K160" s="70">
        <f t="shared" si="72"/>
        <v>-12</v>
      </c>
      <c r="L160" s="69">
        <f t="shared" si="73"/>
        <v>-1561</v>
      </c>
      <c r="M160" s="68">
        <f>VLOOKUP(B160,'124+900 '!$B$13:$AA$314,21,FALSE)</f>
        <v>3449</v>
      </c>
      <c r="N160" s="67">
        <f>VLOOKUP(B160,'124+900 '!$B$13:$AA$314,5,FALSE)</f>
        <v>1924</v>
      </c>
      <c r="O160" s="66">
        <f t="shared" si="67"/>
        <v>2007</v>
      </c>
      <c r="P160" s="66">
        <f>VLOOKUP(B160,'124+900 '!$B$13:$AA$314,14,FALSE)</f>
        <v>-1993</v>
      </c>
      <c r="Q160" s="70">
        <f t="shared" si="74"/>
        <v>-10</v>
      </c>
      <c r="R160" s="69">
        <f t="shared" si="75"/>
        <v>-1870</v>
      </c>
      <c r="S160" s="68">
        <f>VLOOKUP(B160,'124+900 '!$B$13:$AA$314,22,FALSE)</f>
        <v>3561</v>
      </c>
      <c r="T160" s="67">
        <f>VLOOKUP(B160,'124+900 '!$B$13:$AA$314,6,FALSE)</f>
        <v>1397</v>
      </c>
      <c r="U160" s="66">
        <f t="shared" si="68"/>
        <v>2534</v>
      </c>
      <c r="V160" s="65">
        <f>VLOOKUP(B160,'124+900 '!$B$13:$AA$314,15,FALSE)</f>
        <v>-1466</v>
      </c>
      <c r="W160" s="64">
        <f t="shared" si="76"/>
        <v>-9</v>
      </c>
      <c r="X160" s="63">
        <f t="shared" si="77"/>
        <v>-1353</v>
      </c>
      <c r="Y160" s="62">
        <f t="shared" si="78"/>
        <v>-10</v>
      </c>
      <c r="Z160" s="61">
        <f t="shared" si="69"/>
        <v>0</v>
      </c>
      <c r="AA160" s="60">
        <f t="shared" si="79"/>
        <v>5.2560000000000002</v>
      </c>
      <c r="AB160" s="60">
        <f t="shared" si="80"/>
        <v>5.4420000000000002</v>
      </c>
      <c r="AC160" s="53"/>
      <c r="AD160" s="53"/>
      <c r="AE160" s="53"/>
      <c r="AF160" s="53"/>
    </row>
    <row r="161" spans="1:32" ht="15" customHeight="1">
      <c r="A161" s="78"/>
      <c r="B161" s="74">
        <f>'124+900 '!B161</f>
        <v>45709</v>
      </c>
      <c r="C161" s="73">
        <f t="shared" si="70"/>
        <v>466</v>
      </c>
      <c r="D161" s="72">
        <f t="shared" si="71"/>
        <v>1026</v>
      </c>
      <c r="E161" s="67">
        <f>VLOOKUP(B161,'124+900 '!B136:AA741,3,FALSE)</f>
        <v>2906</v>
      </c>
      <c r="F161" s="67">
        <f t="shared" si="65"/>
        <v>3932</v>
      </c>
      <c r="G161" s="71">
        <f>VLOOKUP(B161,'124+900 '!$B$13:$AA$314,20,FALSE)</f>
        <v>3530</v>
      </c>
      <c r="H161" s="71">
        <f>VLOOKUP(B161,'124+900 '!$B$13:$AA$314,4,FALSE)</f>
        <v>1624</v>
      </c>
      <c r="I161" s="66">
        <f t="shared" si="66"/>
        <v>2308</v>
      </c>
      <c r="J161" s="66">
        <f>VLOOKUP(B161,'124+900 '!$B$13:$AA$314,13,FALSE)</f>
        <v>-1692</v>
      </c>
      <c r="K161" s="70">
        <f t="shared" si="72"/>
        <v>-10</v>
      </c>
      <c r="L161" s="69">
        <f t="shared" si="73"/>
        <v>-1571</v>
      </c>
      <c r="M161" s="68">
        <f>VLOOKUP(B161,'124+900 '!$B$13:$AA$314,21,FALSE)</f>
        <v>3439</v>
      </c>
      <c r="N161" s="67">
        <f>VLOOKUP(B161,'124+900 '!$B$13:$AA$314,5,FALSE)</f>
        <v>1935</v>
      </c>
      <c r="O161" s="66">
        <f t="shared" si="67"/>
        <v>1997</v>
      </c>
      <c r="P161" s="66">
        <f>VLOOKUP(B161,'124+900 '!$B$13:$AA$314,14,FALSE)</f>
        <v>-2003</v>
      </c>
      <c r="Q161" s="70">
        <f t="shared" si="74"/>
        <v>-10</v>
      </c>
      <c r="R161" s="69">
        <f t="shared" si="75"/>
        <v>-1880</v>
      </c>
      <c r="S161" s="68">
        <f>VLOOKUP(B161,'124+900 '!$B$13:$AA$314,22,FALSE)</f>
        <v>3552</v>
      </c>
      <c r="T161" s="67">
        <f>VLOOKUP(B161,'124+900 '!$B$13:$AA$314,6,FALSE)</f>
        <v>1407</v>
      </c>
      <c r="U161" s="66">
        <f t="shared" si="68"/>
        <v>2525</v>
      </c>
      <c r="V161" s="65">
        <f>VLOOKUP(B161,'124+900 '!$B$13:$AA$314,15,FALSE)</f>
        <v>-1475</v>
      </c>
      <c r="W161" s="64">
        <f t="shared" si="76"/>
        <v>-9</v>
      </c>
      <c r="X161" s="63">
        <f t="shared" si="77"/>
        <v>-1362</v>
      </c>
      <c r="Y161" s="62">
        <f t="shared" si="78"/>
        <v>-10</v>
      </c>
      <c r="Z161" s="61">
        <f t="shared" si="69"/>
        <v>0</v>
      </c>
      <c r="AA161" s="60">
        <f t="shared" si="79"/>
        <v>5.2560000000000002</v>
      </c>
      <c r="AB161" s="60">
        <f t="shared" si="80"/>
        <v>5.4420000000000002</v>
      </c>
      <c r="AE161" s="53"/>
      <c r="AF161" s="52"/>
    </row>
    <row r="162" spans="1:32" ht="15" customHeight="1">
      <c r="A162" s="77"/>
      <c r="B162" s="74">
        <f>'124+900 '!B162</f>
        <v>45716</v>
      </c>
      <c r="C162" s="73">
        <f t="shared" si="70"/>
        <v>473</v>
      </c>
      <c r="D162" s="72">
        <f t="shared" si="71"/>
        <v>1026</v>
      </c>
      <c r="E162" s="67">
        <f>VLOOKUP(B162,'124+900 '!B137:AA742,3,FALSE)</f>
        <v>2907</v>
      </c>
      <c r="F162" s="67">
        <f t="shared" si="65"/>
        <v>3933</v>
      </c>
      <c r="G162" s="71">
        <f>VLOOKUP(B162,'124+900 '!$B$13:$AA$314,20,FALSE)</f>
        <v>3521</v>
      </c>
      <c r="H162" s="71">
        <f>VLOOKUP(B162,'124+900 '!$B$13:$AA$314,4,FALSE)</f>
        <v>1634</v>
      </c>
      <c r="I162" s="66">
        <f t="shared" si="66"/>
        <v>2299</v>
      </c>
      <c r="J162" s="66">
        <f>VLOOKUP(B162,'124+900 '!$B$13:$AA$314,13,FALSE)</f>
        <v>-1701</v>
      </c>
      <c r="K162" s="70">
        <f t="shared" si="72"/>
        <v>-9</v>
      </c>
      <c r="L162" s="69">
        <f t="shared" si="73"/>
        <v>-1580</v>
      </c>
      <c r="M162" s="68">
        <f>VLOOKUP(B162,'124+900 '!$B$13:$AA$314,21,FALSE)</f>
        <v>3430</v>
      </c>
      <c r="N162" s="67">
        <f>VLOOKUP(B162,'124+900 '!$B$13:$AA$314,5,FALSE)</f>
        <v>1945</v>
      </c>
      <c r="O162" s="66">
        <f t="shared" si="67"/>
        <v>1988</v>
      </c>
      <c r="P162" s="66">
        <f>VLOOKUP(B162,'124+900 '!$B$13:$AA$314,14,FALSE)</f>
        <v>-2012</v>
      </c>
      <c r="Q162" s="70">
        <f t="shared" si="74"/>
        <v>-9</v>
      </c>
      <c r="R162" s="69">
        <f t="shared" si="75"/>
        <v>-1889</v>
      </c>
      <c r="S162" s="68">
        <f>VLOOKUP(B162,'124+900 '!$B$13:$AA$314,22,FALSE)</f>
        <v>3544</v>
      </c>
      <c r="T162" s="67">
        <f>VLOOKUP(B162,'124+900 '!$B$13:$AA$314,6,FALSE)</f>
        <v>1416</v>
      </c>
      <c r="U162" s="66">
        <f t="shared" si="68"/>
        <v>2517</v>
      </c>
      <c r="V162" s="65">
        <f>VLOOKUP(B162,'124+900 '!$B$13:$AA$314,15,FALSE)</f>
        <v>-1483</v>
      </c>
      <c r="W162" s="64">
        <f t="shared" si="76"/>
        <v>-8</v>
      </c>
      <c r="X162" s="63">
        <f t="shared" si="77"/>
        <v>-1370</v>
      </c>
      <c r="Y162" s="62">
        <f t="shared" si="78"/>
        <v>-9</v>
      </c>
      <c r="Z162" s="61">
        <f t="shared" si="69"/>
        <v>0</v>
      </c>
      <c r="AA162" s="60">
        <f t="shared" si="79"/>
        <v>5.2560000000000002</v>
      </c>
      <c r="AB162" s="60">
        <f t="shared" si="80"/>
        <v>5.4420000000000002</v>
      </c>
      <c r="AE162" s="53"/>
      <c r="AF162" s="52"/>
    </row>
    <row r="163" spans="1:32" ht="15" customHeight="1">
      <c r="A163" s="77"/>
      <c r="B163" s="74">
        <f>'124+900 '!B163</f>
        <v>45723</v>
      </c>
      <c r="C163" s="73">
        <f t="shared" si="70"/>
        <v>480</v>
      </c>
      <c r="D163" s="72">
        <f t="shared" si="71"/>
        <v>1026</v>
      </c>
      <c r="E163" s="67">
        <f>VLOOKUP(B163,'124+900 '!B138:AA743,3,FALSE)</f>
        <v>2908</v>
      </c>
      <c r="F163" s="67">
        <f t="shared" si="65"/>
        <v>3934</v>
      </c>
      <c r="G163" s="71">
        <f>VLOOKUP(B163,'124+900 '!$B$13:$AA$314,20,FALSE)</f>
        <v>3512</v>
      </c>
      <c r="H163" s="71">
        <f>VLOOKUP(B163,'124+900 '!$B$13:$AA$314,4,FALSE)</f>
        <v>1644</v>
      </c>
      <c r="I163" s="66">
        <f t="shared" si="66"/>
        <v>2290</v>
      </c>
      <c r="J163" s="66">
        <f>VLOOKUP(B163,'124+900 '!$B$13:$AA$314,13,FALSE)</f>
        <v>-1710</v>
      </c>
      <c r="K163" s="70">
        <f t="shared" si="72"/>
        <v>-9</v>
      </c>
      <c r="L163" s="69">
        <f t="shared" si="73"/>
        <v>-1589</v>
      </c>
      <c r="M163" s="68">
        <f>VLOOKUP(B163,'124+900 '!$B$13:$AA$314,21,FALSE)</f>
        <v>3421</v>
      </c>
      <c r="N163" s="67">
        <f>VLOOKUP(B163,'124+900 '!$B$13:$AA$314,5,FALSE)</f>
        <v>1955</v>
      </c>
      <c r="O163" s="66">
        <f t="shared" si="67"/>
        <v>1979</v>
      </c>
      <c r="P163" s="66">
        <f>VLOOKUP(B163,'124+900 '!$B$13:$AA$314,14,FALSE)</f>
        <v>-2021</v>
      </c>
      <c r="Q163" s="70">
        <f t="shared" si="74"/>
        <v>-9</v>
      </c>
      <c r="R163" s="69">
        <f t="shared" si="75"/>
        <v>-1898</v>
      </c>
      <c r="S163" s="68">
        <f>VLOOKUP(B163,'124+900 '!$B$13:$AA$314,22,FALSE)</f>
        <v>3536</v>
      </c>
      <c r="T163" s="67">
        <f>VLOOKUP(B163,'124+900 '!$B$13:$AA$314,6,FALSE)</f>
        <v>1425</v>
      </c>
      <c r="U163" s="66">
        <f t="shared" si="68"/>
        <v>2509</v>
      </c>
      <c r="V163" s="65">
        <f>VLOOKUP(B163,'124+900 '!$B$13:$AA$314,15,FALSE)</f>
        <v>-1491</v>
      </c>
      <c r="W163" s="64">
        <f t="shared" si="76"/>
        <v>-8</v>
      </c>
      <c r="X163" s="63">
        <f t="shared" si="77"/>
        <v>-1378</v>
      </c>
      <c r="Y163" s="62">
        <f t="shared" si="78"/>
        <v>-9</v>
      </c>
      <c r="Z163" s="61">
        <f t="shared" si="69"/>
        <v>0</v>
      </c>
      <c r="AA163" s="60">
        <f t="shared" si="79"/>
        <v>5.2560000000000002</v>
      </c>
      <c r="AB163" s="60">
        <f t="shared" si="80"/>
        <v>5.4420000000000002</v>
      </c>
      <c r="AE163" s="53"/>
      <c r="AF163" s="52"/>
    </row>
    <row r="164" spans="1:32" ht="15" customHeight="1">
      <c r="A164" s="76"/>
      <c r="B164" s="74">
        <f>'124+900 '!B164</f>
        <v>45730</v>
      </c>
      <c r="C164" s="73">
        <f t="shared" si="70"/>
        <v>487</v>
      </c>
      <c r="D164" s="72">
        <f t="shared" si="71"/>
        <v>1026</v>
      </c>
      <c r="E164" s="67">
        <f>VLOOKUP(B164,'124+900 '!B139:AA744,3,FALSE)</f>
        <v>2909</v>
      </c>
      <c r="F164" s="67">
        <f t="shared" si="65"/>
        <v>3935</v>
      </c>
      <c r="G164" s="71">
        <f>VLOOKUP(B164,'124+900 '!$B$13:$AA$314,20,FALSE)</f>
        <v>3504</v>
      </c>
      <c r="H164" s="71">
        <f>VLOOKUP(B164,'124+900 '!$B$13:$AA$314,4,FALSE)</f>
        <v>1653</v>
      </c>
      <c r="I164" s="66">
        <f t="shared" si="66"/>
        <v>2282</v>
      </c>
      <c r="J164" s="66">
        <f>VLOOKUP(B164,'124+900 '!$B$13:$AA$314,13,FALSE)</f>
        <v>-1718</v>
      </c>
      <c r="K164" s="70">
        <f t="shared" si="72"/>
        <v>-8</v>
      </c>
      <c r="L164" s="69">
        <f t="shared" si="73"/>
        <v>-1597</v>
      </c>
      <c r="M164" s="68">
        <f>VLOOKUP(B164,'124+900 '!$B$13:$AA$314,21,FALSE)</f>
        <v>3412</v>
      </c>
      <c r="N164" s="67">
        <f>VLOOKUP(B164,'124+900 '!$B$13:$AA$314,5,FALSE)</f>
        <v>1965</v>
      </c>
      <c r="O164" s="66">
        <f t="shared" si="67"/>
        <v>1970</v>
      </c>
      <c r="P164" s="66">
        <f>VLOOKUP(B164,'124+900 '!$B$13:$AA$314,14,FALSE)</f>
        <v>-2030</v>
      </c>
      <c r="Q164" s="70">
        <f t="shared" si="74"/>
        <v>-9</v>
      </c>
      <c r="R164" s="69">
        <f t="shared" si="75"/>
        <v>-1907</v>
      </c>
      <c r="S164" s="68">
        <f>VLOOKUP(B164,'124+900 '!$B$13:$AA$314,22,FALSE)</f>
        <v>3528</v>
      </c>
      <c r="T164" s="67">
        <f>VLOOKUP(B164,'124+900 '!$B$13:$AA$314,6,FALSE)</f>
        <v>1434</v>
      </c>
      <c r="U164" s="66">
        <f t="shared" si="68"/>
        <v>2501</v>
      </c>
      <c r="V164" s="65">
        <f>VLOOKUP(B164,'124+900 '!$B$13:$AA$314,15,FALSE)</f>
        <v>-1499</v>
      </c>
      <c r="W164" s="64">
        <f t="shared" si="76"/>
        <v>-8</v>
      </c>
      <c r="X164" s="63">
        <f t="shared" si="77"/>
        <v>-1386</v>
      </c>
      <c r="Y164" s="62">
        <f t="shared" si="78"/>
        <v>-9</v>
      </c>
      <c r="Z164" s="61">
        <f t="shared" si="69"/>
        <v>0</v>
      </c>
      <c r="AA164" s="60">
        <f t="shared" si="79"/>
        <v>5.2560000000000002</v>
      </c>
      <c r="AB164" s="60">
        <f t="shared" si="80"/>
        <v>5.4420000000000002</v>
      </c>
      <c r="AE164" s="53"/>
      <c r="AF164" s="52"/>
    </row>
    <row r="165" spans="1:32" ht="15" customHeight="1">
      <c r="A165" s="75"/>
      <c r="B165" s="74">
        <f>'124+900 '!B165</f>
        <v>45737</v>
      </c>
      <c r="C165" s="73">
        <f t="shared" si="70"/>
        <v>494</v>
      </c>
      <c r="D165" s="72">
        <f t="shared" si="71"/>
        <v>1026</v>
      </c>
      <c r="E165" s="67">
        <f>VLOOKUP(B165,'124+900 '!B140:AA745,3,FALSE)</f>
        <v>2910</v>
      </c>
      <c r="F165" s="67">
        <f t="shared" si="65"/>
        <v>3936</v>
      </c>
      <c r="G165" s="71">
        <f>VLOOKUP(B165,'124+900 '!$B$13:$AA$314,20,FALSE)</f>
        <v>3496</v>
      </c>
      <c r="H165" s="71">
        <f>VLOOKUP(B165,'124+900 '!$B$13:$AA$314,4,FALSE)</f>
        <v>1662</v>
      </c>
      <c r="I165" s="66">
        <f t="shared" si="66"/>
        <v>2274</v>
      </c>
      <c r="J165" s="66">
        <f>VLOOKUP(B165,'124+900 '!$B$13:$AA$314,13,FALSE)</f>
        <v>-1726</v>
      </c>
      <c r="K165" s="70">
        <f t="shared" si="72"/>
        <v>-8</v>
      </c>
      <c r="L165" s="69">
        <f t="shared" si="73"/>
        <v>-1605</v>
      </c>
      <c r="M165" s="68">
        <f>VLOOKUP(B165,'124+900 '!$B$13:$AA$314,21,FALSE)</f>
        <v>3403</v>
      </c>
      <c r="N165" s="67">
        <f>VLOOKUP(B165,'124+900 '!$B$13:$AA$314,5,FALSE)</f>
        <v>1975</v>
      </c>
      <c r="O165" s="66">
        <f t="shared" si="67"/>
        <v>1961</v>
      </c>
      <c r="P165" s="66">
        <f>VLOOKUP(B165,'124+900 '!$B$13:$AA$314,14,FALSE)</f>
        <v>-2039</v>
      </c>
      <c r="Q165" s="70">
        <f t="shared" si="74"/>
        <v>-9</v>
      </c>
      <c r="R165" s="69">
        <f t="shared" si="75"/>
        <v>-1916</v>
      </c>
      <c r="S165" s="68">
        <f>VLOOKUP(B165,'124+900 '!$B$13:$AA$314,22,FALSE)</f>
        <v>3522</v>
      </c>
      <c r="T165" s="67">
        <f>VLOOKUP(B165,'124+900 '!$B$13:$AA$314,6,FALSE)</f>
        <v>1441</v>
      </c>
      <c r="U165" s="66">
        <f t="shared" si="68"/>
        <v>2495</v>
      </c>
      <c r="V165" s="65">
        <f>VLOOKUP(B165,'124+900 '!$B$13:$AA$314,15,FALSE)</f>
        <v>-1505</v>
      </c>
      <c r="W165" s="64">
        <f t="shared" si="76"/>
        <v>-6</v>
      </c>
      <c r="X165" s="63">
        <f t="shared" si="77"/>
        <v>-1392</v>
      </c>
      <c r="Y165" s="62">
        <f t="shared" si="78"/>
        <v>-9</v>
      </c>
      <c r="Z165" s="61">
        <f t="shared" si="69"/>
        <v>0</v>
      </c>
      <c r="AA165" s="60">
        <f t="shared" si="79"/>
        <v>5.2560000000000002</v>
      </c>
      <c r="AB165" s="60">
        <f t="shared" si="80"/>
        <v>5.4420000000000002</v>
      </c>
      <c r="AE165" s="53"/>
      <c r="AF165" s="52"/>
    </row>
    <row r="166" spans="1:32" ht="15" customHeight="1">
      <c r="A166" s="75"/>
      <c r="B166" s="74">
        <f>'124+900 '!B166</f>
        <v>45744</v>
      </c>
      <c r="C166" s="73">
        <f t="shared" si="70"/>
        <v>501</v>
      </c>
      <c r="D166" s="72">
        <f t="shared" si="71"/>
        <v>1026</v>
      </c>
      <c r="E166" s="67">
        <f>VLOOKUP(B166,'124+900 '!B141:AA746,3,FALSE)</f>
        <v>2911</v>
      </c>
      <c r="F166" s="67">
        <f t="shared" si="65"/>
        <v>3937</v>
      </c>
      <c r="G166" s="71">
        <f>VLOOKUP(B166,'124+900 '!$B$13:$AA$314,20,FALSE)</f>
        <v>3488</v>
      </c>
      <c r="H166" s="71">
        <f>VLOOKUP(B166,'124+900 '!$B$13:$AA$314,4,FALSE)</f>
        <v>1671</v>
      </c>
      <c r="I166" s="66">
        <f t="shared" si="66"/>
        <v>2266</v>
      </c>
      <c r="J166" s="66">
        <f>VLOOKUP(B166,'124+900 '!$B$13:$AA$314,13,FALSE)</f>
        <v>-1734</v>
      </c>
      <c r="K166" s="70">
        <f t="shared" si="72"/>
        <v>-8</v>
      </c>
      <c r="L166" s="69">
        <f t="shared" si="73"/>
        <v>-1613</v>
      </c>
      <c r="M166" s="68">
        <f>VLOOKUP(B166,'124+900 '!$B$13:$AA$314,21,FALSE)</f>
        <v>3395</v>
      </c>
      <c r="N166" s="67">
        <f>VLOOKUP(B166,'124+900 '!$B$13:$AA$314,5,FALSE)</f>
        <v>1984</v>
      </c>
      <c r="O166" s="66">
        <f t="shared" si="67"/>
        <v>1953</v>
      </c>
      <c r="P166" s="66">
        <f>VLOOKUP(B166,'124+900 '!$B$13:$AA$314,14,FALSE)</f>
        <v>-2047</v>
      </c>
      <c r="Q166" s="70">
        <f t="shared" si="74"/>
        <v>-8</v>
      </c>
      <c r="R166" s="69">
        <f t="shared" si="75"/>
        <v>-1924</v>
      </c>
      <c r="S166" s="68">
        <f>VLOOKUP(B166,'124+900 '!$B$13:$AA$314,22,FALSE)</f>
        <v>3516</v>
      </c>
      <c r="T166" s="67">
        <f>VLOOKUP(B166,'124+900 '!$B$13:$AA$314,6,FALSE)</f>
        <v>1448</v>
      </c>
      <c r="U166" s="66">
        <f t="shared" si="68"/>
        <v>2489</v>
      </c>
      <c r="V166" s="65">
        <f>VLOOKUP(B166,'124+900 '!$B$13:$AA$314,15,FALSE)</f>
        <v>-1511</v>
      </c>
      <c r="W166" s="64">
        <f t="shared" si="76"/>
        <v>-6</v>
      </c>
      <c r="X166" s="63">
        <f t="shared" si="77"/>
        <v>-1398</v>
      </c>
      <c r="Y166" s="62">
        <f t="shared" si="78"/>
        <v>-8</v>
      </c>
      <c r="Z166" s="61">
        <f t="shared" si="69"/>
        <v>0</v>
      </c>
      <c r="AA166" s="60">
        <f t="shared" si="79"/>
        <v>5.2560000000000002</v>
      </c>
      <c r="AB166" s="60">
        <f t="shared" si="80"/>
        <v>5.4420000000000002</v>
      </c>
      <c r="AE166" s="53"/>
      <c r="AF166" s="52"/>
    </row>
    <row r="167" spans="1:32" ht="15" customHeight="1">
      <c r="A167" s="75"/>
      <c r="B167" s="74">
        <f>'124+900 '!B167</f>
        <v>45751</v>
      </c>
      <c r="C167" s="73">
        <f t="shared" si="70"/>
        <v>508</v>
      </c>
      <c r="D167" s="72">
        <f t="shared" si="71"/>
        <v>1026</v>
      </c>
      <c r="E167" s="67">
        <f>VLOOKUP(B167,'124+900 '!B142:AA747,3,FALSE)</f>
        <v>2912</v>
      </c>
      <c r="F167" s="67">
        <f t="shared" si="65"/>
        <v>3938</v>
      </c>
      <c r="G167" s="71">
        <f>VLOOKUP(B167,'124+900 '!$B$13:$AA$314,20,FALSE)</f>
        <v>3482</v>
      </c>
      <c r="H167" s="71">
        <f>VLOOKUP(B167,'124+900 '!$B$13:$AA$314,4,FALSE)</f>
        <v>1678</v>
      </c>
      <c r="I167" s="66">
        <f t="shared" si="66"/>
        <v>2260</v>
      </c>
      <c r="J167" s="66">
        <f>VLOOKUP(B167,'124+900 '!$B$13:$AA$314,13,FALSE)</f>
        <v>-1740</v>
      </c>
      <c r="K167" s="70">
        <f t="shared" si="72"/>
        <v>-6</v>
      </c>
      <c r="L167" s="69">
        <f t="shared" si="73"/>
        <v>-1619</v>
      </c>
      <c r="M167" s="68">
        <f>VLOOKUP(B167,'124+900 '!$B$13:$AA$314,21,FALSE)</f>
        <v>3389</v>
      </c>
      <c r="N167" s="67">
        <f>VLOOKUP(B167,'124+900 '!$B$13:$AA$314,5,FALSE)</f>
        <v>1991</v>
      </c>
      <c r="O167" s="66">
        <f t="shared" si="67"/>
        <v>1947</v>
      </c>
      <c r="P167" s="66">
        <f>VLOOKUP(B167,'124+900 '!$B$13:$AA$314,14,FALSE)</f>
        <v>-2053</v>
      </c>
      <c r="Q167" s="70">
        <f t="shared" si="74"/>
        <v>-6</v>
      </c>
      <c r="R167" s="69">
        <f t="shared" si="75"/>
        <v>-1930</v>
      </c>
      <c r="S167" s="68">
        <f>VLOOKUP(B167,'124+900 '!$B$13:$AA$314,22,FALSE)</f>
        <v>3510</v>
      </c>
      <c r="T167" s="67">
        <f>VLOOKUP(B167,'124+900 '!$B$13:$AA$314,6,FALSE)</f>
        <v>1455</v>
      </c>
      <c r="U167" s="66">
        <f t="shared" si="68"/>
        <v>2483</v>
      </c>
      <c r="V167" s="65">
        <f>VLOOKUP(B167,'124+900 '!$B$13:$AA$314,15,FALSE)</f>
        <v>-1517</v>
      </c>
      <c r="W167" s="64">
        <f t="shared" si="76"/>
        <v>-6</v>
      </c>
      <c r="X167" s="63">
        <f t="shared" si="77"/>
        <v>-1404</v>
      </c>
      <c r="Y167" s="62">
        <f t="shared" si="78"/>
        <v>-6</v>
      </c>
      <c r="Z167" s="61">
        <f t="shared" si="69"/>
        <v>0</v>
      </c>
      <c r="AA167" s="60">
        <f t="shared" si="79"/>
        <v>5.2560000000000002</v>
      </c>
      <c r="AB167" s="60">
        <f t="shared" si="80"/>
        <v>5.4420000000000002</v>
      </c>
      <c r="AE167" s="53"/>
      <c r="AF167" s="52"/>
    </row>
    <row r="168" spans="1:32" ht="15" customHeight="1">
      <c r="A168" s="75"/>
      <c r="B168" s="74">
        <f>'124+900 '!B168</f>
        <v>45758</v>
      </c>
      <c r="C168" s="73">
        <f t="shared" si="70"/>
        <v>515</v>
      </c>
      <c r="D168" s="72">
        <f t="shared" si="71"/>
        <v>1026</v>
      </c>
      <c r="E168" s="67">
        <f>VLOOKUP(B168,'124+900 '!B143:AA748,3,FALSE)</f>
        <v>2913</v>
      </c>
      <c r="F168" s="67">
        <f t="shared" si="65"/>
        <v>3939</v>
      </c>
      <c r="G168" s="71">
        <f>VLOOKUP(B168,'124+900 '!$B$13:$AA$314,20,FALSE)</f>
        <v>3478</v>
      </c>
      <c r="H168" s="71">
        <f>VLOOKUP(B168,'124+900 '!$B$13:$AA$314,4,FALSE)</f>
        <v>1683</v>
      </c>
      <c r="I168" s="66">
        <f t="shared" si="66"/>
        <v>2256</v>
      </c>
      <c r="J168" s="66">
        <f>VLOOKUP(B168,'124+900 '!$B$13:$AA$314,13,FALSE)</f>
        <v>-1744</v>
      </c>
      <c r="K168" s="70">
        <f t="shared" si="72"/>
        <v>-4</v>
      </c>
      <c r="L168" s="69">
        <f t="shared" si="73"/>
        <v>-1623</v>
      </c>
      <c r="M168" s="68">
        <f>VLOOKUP(B168,'124+900 '!$B$13:$AA$314,21,FALSE)</f>
        <v>3383</v>
      </c>
      <c r="N168" s="67">
        <f>VLOOKUP(B168,'124+900 '!$B$13:$AA$314,5,FALSE)</f>
        <v>1998</v>
      </c>
      <c r="O168" s="66">
        <f t="shared" si="67"/>
        <v>1941</v>
      </c>
      <c r="P168" s="66">
        <f>VLOOKUP(B168,'124+900 '!$B$13:$AA$314,14,FALSE)</f>
        <v>-2059</v>
      </c>
      <c r="Q168" s="70">
        <f t="shared" si="74"/>
        <v>-6</v>
      </c>
      <c r="R168" s="69">
        <f t="shared" si="75"/>
        <v>-1936</v>
      </c>
      <c r="S168" s="68">
        <f>VLOOKUP(B168,'124+900 '!$B$13:$AA$314,22,FALSE)</f>
        <v>3506</v>
      </c>
      <c r="T168" s="67">
        <f>VLOOKUP(B168,'124+900 '!$B$13:$AA$314,6,FALSE)</f>
        <v>1460</v>
      </c>
      <c r="U168" s="66">
        <f t="shared" si="68"/>
        <v>2479</v>
      </c>
      <c r="V168" s="65">
        <f>VLOOKUP(B168,'124+900 '!$B$13:$AA$314,15,FALSE)</f>
        <v>-1521</v>
      </c>
      <c r="W168" s="64">
        <f t="shared" si="76"/>
        <v>-4</v>
      </c>
      <c r="X168" s="63">
        <f t="shared" si="77"/>
        <v>-1408</v>
      </c>
      <c r="Y168" s="62">
        <f t="shared" si="78"/>
        <v>-6</v>
      </c>
      <c r="Z168" s="61">
        <f t="shared" si="69"/>
        <v>0</v>
      </c>
      <c r="AA168" s="60">
        <f t="shared" si="79"/>
        <v>5.2560000000000002</v>
      </c>
      <c r="AB168" s="60">
        <f t="shared" si="80"/>
        <v>5.4420000000000002</v>
      </c>
      <c r="AE168" s="53"/>
      <c r="AF168" s="52"/>
    </row>
    <row r="169" spans="1:32" ht="15" customHeight="1">
      <c r="B169" s="74">
        <f>'124+900 '!B169</f>
        <v>45765</v>
      </c>
      <c r="C169" s="73">
        <f t="shared" si="70"/>
        <v>522</v>
      </c>
      <c r="D169" s="72">
        <f t="shared" si="71"/>
        <v>1026</v>
      </c>
      <c r="E169" s="67">
        <f>VLOOKUP(B169,'124+900 '!B144:AA749,3,FALSE)</f>
        <v>2914</v>
      </c>
      <c r="F169" s="67">
        <f t="shared" si="65"/>
        <v>3940</v>
      </c>
      <c r="G169" s="71">
        <f>VLOOKUP(B169,'124+900 '!$B$13:$AA$314,20,FALSE)</f>
        <v>3474</v>
      </c>
      <c r="H169" s="71">
        <f>VLOOKUP(B169,'124+900 '!$B$13:$AA$314,4,FALSE)</f>
        <v>1688</v>
      </c>
      <c r="I169" s="66">
        <f t="shared" si="66"/>
        <v>2252</v>
      </c>
      <c r="J169" s="66">
        <f>VLOOKUP(B169,'124+900 '!$B$13:$AA$314,13,FALSE)</f>
        <v>-1748</v>
      </c>
      <c r="K169" s="70">
        <f t="shared" si="72"/>
        <v>-4</v>
      </c>
      <c r="L169" s="69">
        <f t="shared" si="73"/>
        <v>-1627</v>
      </c>
      <c r="M169" s="68">
        <f>VLOOKUP(B169,'124+900 '!$B$13:$AA$314,21,FALSE)</f>
        <v>3377</v>
      </c>
      <c r="N169" s="67">
        <f>VLOOKUP(B169,'124+900 '!$B$13:$AA$314,5,FALSE)</f>
        <v>2005</v>
      </c>
      <c r="O169" s="66">
        <f t="shared" si="67"/>
        <v>1935</v>
      </c>
      <c r="P169" s="66">
        <f>VLOOKUP(B169,'124+900 '!$B$13:$AA$314,14,FALSE)</f>
        <v>-2065</v>
      </c>
      <c r="Q169" s="70">
        <f t="shared" si="74"/>
        <v>-6</v>
      </c>
      <c r="R169" s="69">
        <f t="shared" si="75"/>
        <v>-1942</v>
      </c>
      <c r="S169" s="68">
        <f>VLOOKUP(B169,'124+900 '!$B$13:$AA$314,22,FALSE)</f>
        <v>3502</v>
      </c>
      <c r="T169" s="67">
        <f>VLOOKUP(B169,'124+900 '!$B$13:$AA$314,6,FALSE)</f>
        <v>1465</v>
      </c>
      <c r="U169" s="66">
        <f t="shared" si="68"/>
        <v>2475</v>
      </c>
      <c r="V169" s="65">
        <f>VLOOKUP(B169,'124+900 '!$B$13:$AA$314,15,FALSE)</f>
        <v>-1525</v>
      </c>
      <c r="W169" s="64">
        <f t="shared" si="76"/>
        <v>-4</v>
      </c>
      <c r="X169" s="63">
        <f t="shared" si="77"/>
        <v>-1412</v>
      </c>
      <c r="Y169" s="62">
        <f t="shared" si="78"/>
        <v>-6</v>
      </c>
      <c r="Z169" s="61">
        <f t="shared" si="69"/>
        <v>0</v>
      </c>
      <c r="AA169" s="60">
        <f t="shared" si="79"/>
        <v>5.2560000000000002</v>
      </c>
      <c r="AB169" s="60">
        <f t="shared" si="80"/>
        <v>5.4420000000000002</v>
      </c>
    </row>
    <row r="170" spans="1:32" ht="15" customHeight="1">
      <c r="B170" s="74">
        <f>'124+900 '!B170</f>
        <v>45772</v>
      </c>
      <c r="C170" s="73">
        <f t="shared" si="70"/>
        <v>529</v>
      </c>
      <c r="D170" s="72">
        <f t="shared" si="71"/>
        <v>1026</v>
      </c>
      <c r="E170" s="67">
        <f>VLOOKUP(B170,'124+900 '!B145:AA750,3,FALSE)</f>
        <v>2915</v>
      </c>
      <c r="F170" s="67">
        <f t="shared" si="65"/>
        <v>3941</v>
      </c>
      <c r="G170" s="71">
        <f>VLOOKUP(B170,'124+900 '!$B$13:$AA$314,20,FALSE)</f>
        <v>3470</v>
      </c>
      <c r="H170" s="71">
        <f>VLOOKUP(B170,'124+900 '!$B$13:$AA$314,4,FALSE)</f>
        <v>1693</v>
      </c>
      <c r="I170" s="66">
        <f t="shared" si="66"/>
        <v>2248</v>
      </c>
      <c r="J170" s="66">
        <f>VLOOKUP(B170,'124+900 '!$B$13:$AA$314,13,FALSE)</f>
        <v>-1752</v>
      </c>
      <c r="K170" s="70">
        <f t="shared" si="72"/>
        <v>-4</v>
      </c>
      <c r="L170" s="69">
        <f t="shared" si="73"/>
        <v>-1631</v>
      </c>
      <c r="M170" s="68">
        <f>VLOOKUP(B170,'124+900 '!$B$13:$AA$314,21,FALSE)</f>
        <v>3371</v>
      </c>
      <c r="N170" s="67">
        <f>VLOOKUP(B170,'124+900 '!$B$13:$AA$314,5,FALSE)</f>
        <v>2012</v>
      </c>
      <c r="O170" s="66">
        <f t="shared" si="67"/>
        <v>1929</v>
      </c>
      <c r="P170" s="66">
        <f>VLOOKUP(B170,'124+900 '!$B$13:$AA$314,14,FALSE)</f>
        <v>-2071</v>
      </c>
      <c r="Q170" s="70">
        <f t="shared" si="74"/>
        <v>-6</v>
      </c>
      <c r="R170" s="69">
        <f t="shared" si="75"/>
        <v>-1948</v>
      </c>
      <c r="S170" s="68">
        <f>VLOOKUP(B170,'124+900 '!$B$13:$AA$314,22,FALSE)</f>
        <v>3500</v>
      </c>
      <c r="T170" s="67">
        <f>VLOOKUP(B170,'124+900 '!$B$13:$AA$314,6,FALSE)</f>
        <v>1468</v>
      </c>
      <c r="U170" s="66">
        <f t="shared" si="68"/>
        <v>2473</v>
      </c>
      <c r="V170" s="65">
        <f>VLOOKUP(B170,'124+900 '!$B$13:$AA$314,15,FALSE)</f>
        <v>-1527</v>
      </c>
      <c r="W170" s="64">
        <f t="shared" si="76"/>
        <v>-2</v>
      </c>
      <c r="X170" s="63">
        <f t="shared" si="77"/>
        <v>-1414</v>
      </c>
      <c r="Y170" s="62">
        <f t="shared" si="78"/>
        <v>-6</v>
      </c>
      <c r="Z170" s="61">
        <f t="shared" si="69"/>
        <v>0</v>
      </c>
      <c r="AA170" s="60">
        <f t="shared" si="79"/>
        <v>5.2560000000000002</v>
      </c>
      <c r="AB170" s="60">
        <f t="shared" si="80"/>
        <v>5.4420000000000002</v>
      </c>
    </row>
    <row r="171" spans="1:32" ht="15" customHeight="1">
      <c r="B171" s="74">
        <f>'124+900 '!B171</f>
        <v>45779</v>
      </c>
      <c r="C171" s="73">
        <f t="shared" si="70"/>
        <v>536</v>
      </c>
      <c r="D171" s="72">
        <f t="shared" si="71"/>
        <v>1026</v>
      </c>
      <c r="E171" s="67">
        <f>VLOOKUP(B171,'124+900 '!B146:AA751,3,FALSE)</f>
        <v>2916</v>
      </c>
      <c r="F171" s="67">
        <f t="shared" si="65"/>
        <v>3942</v>
      </c>
      <c r="G171" s="71">
        <f>VLOOKUP(B171,'124+900 '!$B$13:$AA$314,20,FALSE)</f>
        <v>3466</v>
      </c>
      <c r="H171" s="71">
        <f>VLOOKUP(B171,'124+900 '!$B$13:$AA$314,4,FALSE)</f>
        <v>1698</v>
      </c>
      <c r="I171" s="66">
        <f t="shared" si="66"/>
        <v>2244</v>
      </c>
      <c r="J171" s="66">
        <f>VLOOKUP(B171,'124+900 '!$B$13:$AA$314,13,FALSE)</f>
        <v>-1756</v>
      </c>
      <c r="K171" s="70">
        <f t="shared" si="72"/>
        <v>-4</v>
      </c>
      <c r="L171" s="69">
        <f t="shared" si="73"/>
        <v>-1635</v>
      </c>
      <c r="M171" s="68">
        <f>VLOOKUP(B171,'124+900 '!$B$13:$AA$314,21,FALSE)</f>
        <v>3367</v>
      </c>
      <c r="N171" s="67">
        <f>VLOOKUP(B171,'124+900 '!$B$13:$AA$314,5,FALSE)</f>
        <v>2017</v>
      </c>
      <c r="O171" s="66">
        <f t="shared" si="67"/>
        <v>1925</v>
      </c>
      <c r="P171" s="66">
        <f>VLOOKUP(B171,'124+900 '!$B$13:$AA$314,14,FALSE)</f>
        <v>-2075</v>
      </c>
      <c r="Q171" s="70">
        <f t="shared" si="74"/>
        <v>-4</v>
      </c>
      <c r="R171" s="69">
        <f t="shared" si="75"/>
        <v>-1952</v>
      </c>
      <c r="S171" s="68">
        <f>VLOOKUP(B171,'124+900 '!$B$13:$AA$314,22,FALSE)</f>
        <v>3498</v>
      </c>
      <c r="T171" s="67">
        <f>VLOOKUP(B171,'124+900 '!$B$13:$AA$314,6,FALSE)</f>
        <v>1471</v>
      </c>
      <c r="U171" s="66">
        <f t="shared" si="68"/>
        <v>2471</v>
      </c>
      <c r="V171" s="65">
        <f>VLOOKUP(B171,'124+900 '!$B$13:$AA$314,15,FALSE)</f>
        <v>-1529</v>
      </c>
      <c r="W171" s="64">
        <f t="shared" si="76"/>
        <v>-2</v>
      </c>
      <c r="X171" s="63">
        <f t="shared" si="77"/>
        <v>-1416</v>
      </c>
      <c r="Y171" s="62">
        <f t="shared" si="78"/>
        <v>-4</v>
      </c>
      <c r="Z171" s="61">
        <f t="shared" si="69"/>
        <v>0</v>
      </c>
      <c r="AA171" s="60">
        <f t="shared" si="79"/>
        <v>5.2560000000000002</v>
      </c>
      <c r="AB171" s="60">
        <f t="shared" si="80"/>
        <v>5.4420000000000002</v>
      </c>
    </row>
    <row r="172" spans="1:32" ht="15" customHeight="1">
      <c r="B172" s="74">
        <f>'124+900 '!B172</f>
        <v>45786</v>
      </c>
      <c r="C172" s="73">
        <f t="shared" si="70"/>
        <v>543</v>
      </c>
      <c r="D172" s="72">
        <f t="shared" si="71"/>
        <v>1026</v>
      </c>
      <c r="E172" s="67">
        <f>VLOOKUP(B172,'124+900 '!B147:AA752,3,FALSE)</f>
        <v>2917</v>
      </c>
      <c r="F172" s="67">
        <f t="shared" si="65"/>
        <v>3943</v>
      </c>
      <c r="G172" s="71">
        <f>VLOOKUP(B172,'124+900 '!$B$13:$AA$314,20,FALSE)</f>
        <v>3464</v>
      </c>
      <c r="H172" s="71">
        <f>VLOOKUP(B172,'124+900 '!$B$13:$AA$314,4,FALSE)</f>
        <v>1701</v>
      </c>
      <c r="I172" s="66">
        <f t="shared" si="66"/>
        <v>2242</v>
      </c>
      <c r="J172" s="66">
        <f>VLOOKUP(B172,'124+900 '!$B$13:$AA$314,13,FALSE)</f>
        <v>-1758</v>
      </c>
      <c r="K172" s="70">
        <f t="shared" si="72"/>
        <v>-2</v>
      </c>
      <c r="L172" s="69">
        <f t="shared" si="73"/>
        <v>-1637</v>
      </c>
      <c r="M172" s="68">
        <f>VLOOKUP(B172,'124+900 '!$B$13:$AA$314,21,FALSE)</f>
        <v>3363</v>
      </c>
      <c r="N172" s="67">
        <f>VLOOKUP(B172,'124+900 '!$B$13:$AA$314,5,FALSE)</f>
        <v>2022</v>
      </c>
      <c r="O172" s="66">
        <f t="shared" si="67"/>
        <v>1921</v>
      </c>
      <c r="P172" s="66">
        <f>VLOOKUP(B172,'124+900 '!$B$13:$AA$314,14,FALSE)</f>
        <v>-2079</v>
      </c>
      <c r="Q172" s="70">
        <f t="shared" si="74"/>
        <v>-4</v>
      </c>
      <c r="R172" s="69">
        <f t="shared" si="75"/>
        <v>-1956</v>
      </c>
      <c r="S172" s="68">
        <f>VLOOKUP(B172,'124+900 '!$B$13:$AA$314,22,FALSE)</f>
        <v>3496</v>
      </c>
      <c r="T172" s="67">
        <f>VLOOKUP(B172,'124+900 '!$B$13:$AA$314,6,FALSE)</f>
        <v>1474</v>
      </c>
      <c r="U172" s="66">
        <f t="shared" si="68"/>
        <v>2469</v>
      </c>
      <c r="V172" s="65">
        <f>VLOOKUP(B172,'124+900 '!$B$13:$AA$314,15,FALSE)</f>
        <v>-1531</v>
      </c>
      <c r="W172" s="64">
        <f t="shared" si="76"/>
        <v>-2</v>
      </c>
      <c r="X172" s="63">
        <f t="shared" si="77"/>
        <v>-1418</v>
      </c>
      <c r="Y172" s="62">
        <f t="shared" si="78"/>
        <v>-4</v>
      </c>
      <c r="Z172" s="61">
        <f t="shared" si="69"/>
        <v>0</v>
      </c>
      <c r="AA172" s="60">
        <f t="shared" si="79"/>
        <v>5.2560000000000002</v>
      </c>
      <c r="AB172" s="60">
        <f t="shared" si="80"/>
        <v>5.4420000000000002</v>
      </c>
    </row>
    <row r="173" spans="1:32" ht="15" customHeight="1">
      <c r="B173" s="74">
        <f>'124+900 '!B173</f>
        <v>45793</v>
      </c>
      <c r="C173" s="73">
        <f t="shared" si="70"/>
        <v>550</v>
      </c>
      <c r="D173" s="72">
        <f t="shared" si="71"/>
        <v>1026</v>
      </c>
      <c r="E173" s="67">
        <f>VLOOKUP(B173,'124+900 '!B148:AA753,3,FALSE)</f>
        <v>2918</v>
      </c>
      <c r="F173" s="67">
        <f t="shared" ref="F173:F204" si="81">D173+E173</f>
        <v>3944</v>
      </c>
      <c r="G173" s="71">
        <f>VLOOKUP(B173,'124+900 '!$B$13:$AA$314,20,FALSE)</f>
        <v>3462</v>
      </c>
      <c r="H173" s="71">
        <f>VLOOKUP(B173,'124+900 '!$B$13:$AA$314,4,FALSE)</f>
        <v>1704</v>
      </c>
      <c r="I173" s="66">
        <f t="shared" ref="I173:I204" si="82">F173-H173</f>
        <v>2240</v>
      </c>
      <c r="J173" s="66">
        <f>VLOOKUP(B173,'124+900 '!$B$13:$AA$314,13,FALSE)</f>
        <v>-1760</v>
      </c>
      <c r="K173" s="70">
        <f t="shared" si="72"/>
        <v>-2</v>
      </c>
      <c r="L173" s="69">
        <f t="shared" si="73"/>
        <v>-1639</v>
      </c>
      <c r="M173" s="68">
        <f>VLOOKUP(B173,'124+900 '!$B$13:$AA$314,21,FALSE)</f>
        <v>3360</v>
      </c>
      <c r="N173" s="67">
        <f>VLOOKUP(B173,'124+900 '!$B$13:$AA$314,5,FALSE)</f>
        <v>2026</v>
      </c>
      <c r="O173" s="66">
        <f t="shared" ref="O173:O204" si="83">F173-N173</f>
        <v>1918</v>
      </c>
      <c r="P173" s="66">
        <f>VLOOKUP(B173,'124+900 '!$B$13:$AA$314,14,FALSE)</f>
        <v>-2082</v>
      </c>
      <c r="Q173" s="70">
        <f t="shared" si="74"/>
        <v>-3</v>
      </c>
      <c r="R173" s="69">
        <f t="shared" si="75"/>
        <v>-1959</v>
      </c>
      <c r="S173" s="68">
        <f>VLOOKUP(B173,'124+900 '!$B$13:$AA$314,22,FALSE)</f>
        <v>3494</v>
      </c>
      <c r="T173" s="67">
        <f>VLOOKUP(B173,'124+900 '!$B$13:$AA$314,6,FALSE)</f>
        <v>1477</v>
      </c>
      <c r="U173" s="66">
        <f t="shared" ref="U173:U204" si="84">F173-T173</f>
        <v>2467</v>
      </c>
      <c r="V173" s="65">
        <f>VLOOKUP(B173,'124+900 '!$B$13:$AA$314,15,FALSE)</f>
        <v>-1533</v>
      </c>
      <c r="W173" s="64">
        <f t="shared" si="76"/>
        <v>-2</v>
      </c>
      <c r="X173" s="63">
        <f t="shared" si="77"/>
        <v>-1420</v>
      </c>
      <c r="Y173" s="62">
        <f t="shared" si="78"/>
        <v>-3</v>
      </c>
      <c r="Z173" s="61">
        <f t="shared" ref="Z173:Z204" si="85">IF(Y173&gt;0,Y173,0)/1000</f>
        <v>0</v>
      </c>
      <c r="AA173" s="60">
        <f t="shared" si="79"/>
        <v>5.2560000000000002</v>
      </c>
      <c r="AB173" s="60">
        <f t="shared" si="80"/>
        <v>5.4420000000000002</v>
      </c>
    </row>
    <row r="174" spans="1:32" ht="15" customHeight="1">
      <c r="B174" s="74">
        <f>'124+900 '!B174</f>
        <v>0</v>
      </c>
      <c r="C174" s="73">
        <f t="shared" ref="C174:C205" si="86">B174-$B$13</f>
        <v>-45243</v>
      </c>
      <c r="D174" s="72">
        <f t="shared" ref="D174:D205" si="87">D173</f>
        <v>1026</v>
      </c>
      <c r="E174" s="67" t="e">
        <f>VLOOKUP(B174,'124+900 '!B149:AA754,3,FALSE)</f>
        <v>#N/A</v>
      </c>
      <c r="F174" s="67" t="e">
        <f t="shared" si="81"/>
        <v>#N/A</v>
      </c>
      <c r="G174" s="71" t="e">
        <f>VLOOKUP(B174,'124+900 '!$B$13:$AA$314,20,FALSE)</f>
        <v>#N/A</v>
      </c>
      <c r="H174" s="71" t="e">
        <f>VLOOKUP(B174,'124+900 '!$B$13:$AA$314,4,FALSE)</f>
        <v>#N/A</v>
      </c>
      <c r="I174" s="66" t="e">
        <f t="shared" si="82"/>
        <v>#N/A</v>
      </c>
      <c r="J174" s="66" t="e">
        <f>VLOOKUP(B174,'124+900 '!$B$13:$AA$314,13,FALSE)</f>
        <v>#N/A</v>
      </c>
      <c r="K174" s="70" t="e">
        <f t="shared" ref="K174:K205" si="88">J174-J173</f>
        <v>#N/A</v>
      </c>
      <c r="L174" s="69" t="e">
        <f t="shared" ref="L174:L205" si="89">L173+K174</f>
        <v>#N/A</v>
      </c>
      <c r="M174" s="68" t="e">
        <f>VLOOKUP(B174,'124+900 '!$B$13:$AA$314,21,FALSE)</f>
        <v>#N/A</v>
      </c>
      <c r="N174" s="67" t="e">
        <f>VLOOKUP(B174,'124+900 '!$B$13:$AA$314,5,FALSE)</f>
        <v>#N/A</v>
      </c>
      <c r="O174" s="66" t="e">
        <f t="shared" si="83"/>
        <v>#N/A</v>
      </c>
      <c r="P174" s="66" t="e">
        <f>VLOOKUP(B174,'124+900 '!$B$13:$AA$314,14,FALSE)</f>
        <v>#N/A</v>
      </c>
      <c r="Q174" s="70" t="e">
        <f t="shared" ref="Q174:Q205" si="90">P174-P173</f>
        <v>#N/A</v>
      </c>
      <c r="R174" s="69" t="e">
        <f t="shared" ref="R174:R205" si="91">R173+Q174</f>
        <v>#N/A</v>
      </c>
      <c r="S174" s="68" t="e">
        <f>VLOOKUP(B174,'124+900 '!$B$13:$AA$314,22,FALSE)</f>
        <v>#N/A</v>
      </c>
      <c r="T174" s="67" t="e">
        <f>VLOOKUP(B174,'124+900 '!$B$13:$AA$314,6,FALSE)</f>
        <v>#N/A</v>
      </c>
      <c r="U174" s="66" t="e">
        <f t="shared" si="84"/>
        <v>#N/A</v>
      </c>
      <c r="V174" s="65" t="e">
        <f>VLOOKUP(B174,'124+900 '!$B$13:$AA$314,15,FALSE)</f>
        <v>#N/A</v>
      </c>
      <c r="W174" s="64" t="e">
        <f t="shared" ref="W174:W205" si="92">V174-V173</f>
        <v>#N/A</v>
      </c>
      <c r="X174" s="63" t="e">
        <f t="shared" ref="X174:X205" si="93">X173+W174</f>
        <v>#N/A</v>
      </c>
      <c r="Y174" s="62" t="e">
        <f t="shared" ref="Y174:Y205" si="94">M174-M173</f>
        <v>#N/A</v>
      </c>
      <c r="Z174" s="61" t="e">
        <f t="shared" si="85"/>
        <v>#N/A</v>
      </c>
      <c r="AA174" s="60" t="e">
        <f t="shared" ref="AA174:AA205" si="95">AA173+Z174</f>
        <v>#N/A</v>
      </c>
      <c r="AB174" s="60" t="e">
        <f t="shared" ref="AB174:AB205" si="96">(M174-$M$13-R174)/1000</f>
        <v>#N/A</v>
      </c>
    </row>
    <row r="175" spans="1:32" ht="15" customHeight="1">
      <c r="B175" s="74">
        <f>'124+900 '!B175</f>
        <v>0</v>
      </c>
      <c r="C175" s="73">
        <f t="shared" si="86"/>
        <v>-45243</v>
      </c>
      <c r="D175" s="72">
        <f t="shared" si="87"/>
        <v>1026</v>
      </c>
      <c r="E175" s="67" t="e">
        <f>VLOOKUP(B175,'124+900 '!B150:AA755,3,FALSE)</f>
        <v>#N/A</v>
      </c>
      <c r="F175" s="67" t="e">
        <f t="shared" si="81"/>
        <v>#N/A</v>
      </c>
      <c r="G175" s="71" t="e">
        <f>VLOOKUP(B175,'124+900 '!$B$13:$AA$314,20,FALSE)</f>
        <v>#N/A</v>
      </c>
      <c r="H175" s="71" t="e">
        <f>VLOOKUP(B175,'124+900 '!$B$13:$AA$314,4,FALSE)</f>
        <v>#N/A</v>
      </c>
      <c r="I175" s="66" t="e">
        <f t="shared" si="82"/>
        <v>#N/A</v>
      </c>
      <c r="J175" s="66" t="e">
        <f>VLOOKUP(B175,'124+900 '!$B$13:$AA$314,13,FALSE)</f>
        <v>#N/A</v>
      </c>
      <c r="K175" s="70" t="e">
        <f t="shared" si="88"/>
        <v>#N/A</v>
      </c>
      <c r="L175" s="69" t="e">
        <f t="shared" si="89"/>
        <v>#N/A</v>
      </c>
      <c r="M175" s="68" t="e">
        <f>VLOOKUP(B175,'124+900 '!$B$13:$AA$314,21,FALSE)</f>
        <v>#N/A</v>
      </c>
      <c r="N175" s="67" t="e">
        <f>VLOOKUP(B175,'124+900 '!$B$13:$AA$314,5,FALSE)</f>
        <v>#N/A</v>
      </c>
      <c r="O175" s="66" t="e">
        <f t="shared" si="83"/>
        <v>#N/A</v>
      </c>
      <c r="P175" s="66" t="e">
        <f>VLOOKUP(B175,'124+900 '!$B$13:$AA$314,14,FALSE)</f>
        <v>#N/A</v>
      </c>
      <c r="Q175" s="70" t="e">
        <f t="shared" si="90"/>
        <v>#N/A</v>
      </c>
      <c r="R175" s="69" t="e">
        <f t="shared" si="91"/>
        <v>#N/A</v>
      </c>
      <c r="S175" s="68" t="e">
        <f>VLOOKUP(B175,'124+900 '!$B$13:$AA$314,22,FALSE)</f>
        <v>#N/A</v>
      </c>
      <c r="T175" s="67" t="e">
        <f>VLOOKUP(B175,'124+900 '!$B$13:$AA$314,6,FALSE)</f>
        <v>#N/A</v>
      </c>
      <c r="U175" s="66" t="e">
        <f t="shared" si="84"/>
        <v>#N/A</v>
      </c>
      <c r="V175" s="65" t="e">
        <f>VLOOKUP(B175,'124+900 '!$B$13:$AA$314,15,FALSE)</f>
        <v>#N/A</v>
      </c>
      <c r="W175" s="64" t="e">
        <f t="shared" si="92"/>
        <v>#N/A</v>
      </c>
      <c r="X175" s="63" t="e">
        <f t="shared" si="93"/>
        <v>#N/A</v>
      </c>
      <c r="Y175" s="62" t="e">
        <f t="shared" si="94"/>
        <v>#N/A</v>
      </c>
      <c r="Z175" s="61" t="e">
        <f t="shared" si="85"/>
        <v>#N/A</v>
      </c>
      <c r="AA175" s="60" t="e">
        <f t="shared" si="95"/>
        <v>#N/A</v>
      </c>
      <c r="AB175" s="60" t="e">
        <f t="shared" si="96"/>
        <v>#N/A</v>
      </c>
    </row>
    <row r="176" spans="1:32" ht="15" customHeight="1">
      <c r="B176" s="74">
        <f>'124+900 '!B176</f>
        <v>0</v>
      </c>
      <c r="C176" s="73">
        <f t="shared" si="86"/>
        <v>-45243</v>
      </c>
      <c r="D176" s="72">
        <f t="shared" si="87"/>
        <v>1026</v>
      </c>
      <c r="E176" s="67" t="e">
        <f>VLOOKUP(B176,'124+900 '!B151:AA756,3,FALSE)</f>
        <v>#N/A</v>
      </c>
      <c r="F176" s="67" t="e">
        <f t="shared" si="81"/>
        <v>#N/A</v>
      </c>
      <c r="G176" s="71" t="e">
        <f>VLOOKUP(B176,'124+900 '!$B$13:$AA$314,20,FALSE)</f>
        <v>#N/A</v>
      </c>
      <c r="H176" s="71" t="e">
        <f>VLOOKUP(B176,'124+900 '!$B$13:$AA$314,4,FALSE)</f>
        <v>#N/A</v>
      </c>
      <c r="I176" s="66" t="e">
        <f t="shared" si="82"/>
        <v>#N/A</v>
      </c>
      <c r="J176" s="66" t="e">
        <f>VLOOKUP(B176,'124+900 '!$B$13:$AA$314,13,FALSE)</f>
        <v>#N/A</v>
      </c>
      <c r="K176" s="70" t="e">
        <f t="shared" si="88"/>
        <v>#N/A</v>
      </c>
      <c r="L176" s="69" t="e">
        <f t="shared" si="89"/>
        <v>#N/A</v>
      </c>
      <c r="M176" s="68" t="e">
        <f>VLOOKUP(B176,'124+900 '!$B$13:$AA$314,21,FALSE)</f>
        <v>#N/A</v>
      </c>
      <c r="N176" s="67" t="e">
        <f>VLOOKUP(B176,'124+900 '!$B$13:$AA$314,5,FALSE)</f>
        <v>#N/A</v>
      </c>
      <c r="O176" s="66" t="e">
        <f t="shared" si="83"/>
        <v>#N/A</v>
      </c>
      <c r="P176" s="66" t="e">
        <f>VLOOKUP(B176,'124+900 '!$B$13:$AA$314,14,FALSE)</f>
        <v>#N/A</v>
      </c>
      <c r="Q176" s="70" t="e">
        <f t="shared" si="90"/>
        <v>#N/A</v>
      </c>
      <c r="R176" s="69" t="e">
        <f t="shared" si="91"/>
        <v>#N/A</v>
      </c>
      <c r="S176" s="68" t="e">
        <f>VLOOKUP(B176,'124+900 '!$B$13:$AA$314,22,FALSE)</f>
        <v>#N/A</v>
      </c>
      <c r="T176" s="67" t="e">
        <f>VLOOKUP(B176,'124+900 '!$B$13:$AA$314,6,FALSE)</f>
        <v>#N/A</v>
      </c>
      <c r="U176" s="66" t="e">
        <f t="shared" si="84"/>
        <v>#N/A</v>
      </c>
      <c r="V176" s="65" t="e">
        <f>VLOOKUP(B176,'124+900 '!$B$13:$AA$314,15,FALSE)</f>
        <v>#N/A</v>
      </c>
      <c r="W176" s="64" t="e">
        <f t="shared" si="92"/>
        <v>#N/A</v>
      </c>
      <c r="X176" s="63" t="e">
        <f t="shared" si="93"/>
        <v>#N/A</v>
      </c>
      <c r="Y176" s="62" t="e">
        <f t="shared" si="94"/>
        <v>#N/A</v>
      </c>
      <c r="Z176" s="61" t="e">
        <f t="shared" si="85"/>
        <v>#N/A</v>
      </c>
      <c r="AA176" s="60" t="e">
        <f t="shared" si="95"/>
        <v>#N/A</v>
      </c>
      <c r="AB176" s="60" t="e">
        <f t="shared" si="96"/>
        <v>#N/A</v>
      </c>
    </row>
    <row r="177" spans="1:32" ht="15" customHeight="1">
      <c r="B177" s="74">
        <f>'124+900 '!B177</f>
        <v>0</v>
      </c>
      <c r="C177" s="73">
        <f t="shared" si="86"/>
        <v>-45243</v>
      </c>
      <c r="D177" s="72">
        <f t="shared" si="87"/>
        <v>1026</v>
      </c>
      <c r="E177" s="67" t="e">
        <f>VLOOKUP(B177,'124+900 '!B152:AA757,3,FALSE)</f>
        <v>#N/A</v>
      </c>
      <c r="F177" s="67" t="e">
        <f t="shared" si="81"/>
        <v>#N/A</v>
      </c>
      <c r="G177" s="71" t="e">
        <f>VLOOKUP(B177,'124+900 '!$B$13:$AA$314,20,FALSE)</f>
        <v>#N/A</v>
      </c>
      <c r="H177" s="71" t="e">
        <f>VLOOKUP(B177,'124+900 '!$B$13:$AA$314,4,FALSE)</f>
        <v>#N/A</v>
      </c>
      <c r="I177" s="66" t="e">
        <f t="shared" si="82"/>
        <v>#N/A</v>
      </c>
      <c r="J177" s="66" t="e">
        <f>VLOOKUP(B177,'124+900 '!$B$13:$AA$314,13,FALSE)</f>
        <v>#N/A</v>
      </c>
      <c r="K177" s="70" t="e">
        <f t="shared" si="88"/>
        <v>#N/A</v>
      </c>
      <c r="L177" s="69" t="e">
        <f t="shared" si="89"/>
        <v>#N/A</v>
      </c>
      <c r="M177" s="68" t="e">
        <f>VLOOKUP(B177,'124+900 '!$B$13:$AA$314,21,FALSE)</f>
        <v>#N/A</v>
      </c>
      <c r="N177" s="67" t="e">
        <f>VLOOKUP(B177,'124+900 '!$B$13:$AA$314,5,FALSE)</f>
        <v>#N/A</v>
      </c>
      <c r="O177" s="66" t="e">
        <f t="shared" si="83"/>
        <v>#N/A</v>
      </c>
      <c r="P177" s="66" t="e">
        <f>VLOOKUP(B177,'124+900 '!$B$13:$AA$314,14,FALSE)</f>
        <v>#N/A</v>
      </c>
      <c r="Q177" s="70" t="e">
        <f t="shared" si="90"/>
        <v>#N/A</v>
      </c>
      <c r="R177" s="69" t="e">
        <f t="shared" si="91"/>
        <v>#N/A</v>
      </c>
      <c r="S177" s="68" t="e">
        <f>VLOOKUP(B177,'124+900 '!$B$13:$AA$314,22,FALSE)</f>
        <v>#N/A</v>
      </c>
      <c r="T177" s="67" t="e">
        <f>VLOOKUP(B177,'124+900 '!$B$13:$AA$314,6,FALSE)</f>
        <v>#N/A</v>
      </c>
      <c r="U177" s="66" t="e">
        <f t="shared" si="84"/>
        <v>#N/A</v>
      </c>
      <c r="V177" s="65" t="e">
        <f>VLOOKUP(B177,'124+900 '!$B$13:$AA$314,15,FALSE)</f>
        <v>#N/A</v>
      </c>
      <c r="W177" s="64" t="e">
        <f t="shared" si="92"/>
        <v>#N/A</v>
      </c>
      <c r="X177" s="63" t="e">
        <f t="shared" si="93"/>
        <v>#N/A</v>
      </c>
      <c r="Y177" s="62" t="e">
        <f t="shared" si="94"/>
        <v>#N/A</v>
      </c>
      <c r="Z177" s="61" t="e">
        <f t="shared" si="85"/>
        <v>#N/A</v>
      </c>
      <c r="AA177" s="60" t="e">
        <f t="shared" si="95"/>
        <v>#N/A</v>
      </c>
      <c r="AB177" s="60" t="e">
        <f t="shared" si="96"/>
        <v>#N/A</v>
      </c>
    </row>
    <row r="178" spans="1:32" ht="15" customHeight="1">
      <c r="B178" s="74">
        <f>'124+900 '!B178</f>
        <v>0</v>
      </c>
      <c r="C178" s="73">
        <f t="shared" si="86"/>
        <v>-45243</v>
      </c>
      <c r="D178" s="72">
        <f t="shared" si="87"/>
        <v>1026</v>
      </c>
      <c r="E178" s="67" t="e">
        <f>VLOOKUP(B178,'124+900 '!B153:AA758,3,FALSE)</f>
        <v>#N/A</v>
      </c>
      <c r="F178" s="67" t="e">
        <f t="shared" si="81"/>
        <v>#N/A</v>
      </c>
      <c r="G178" s="71" t="e">
        <f>VLOOKUP(B178,'124+900 '!$B$13:$AA$314,20,FALSE)</f>
        <v>#N/A</v>
      </c>
      <c r="H178" s="71" t="e">
        <f>VLOOKUP(B178,'124+900 '!$B$13:$AA$314,4,FALSE)</f>
        <v>#N/A</v>
      </c>
      <c r="I178" s="66" t="e">
        <f t="shared" si="82"/>
        <v>#N/A</v>
      </c>
      <c r="J178" s="66" t="e">
        <f>VLOOKUP(B178,'124+900 '!$B$13:$AA$314,13,FALSE)</f>
        <v>#N/A</v>
      </c>
      <c r="K178" s="70" t="e">
        <f t="shared" si="88"/>
        <v>#N/A</v>
      </c>
      <c r="L178" s="69" t="e">
        <f t="shared" si="89"/>
        <v>#N/A</v>
      </c>
      <c r="M178" s="68" t="e">
        <f>VLOOKUP(B178,'124+900 '!$B$13:$AA$314,21,FALSE)</f>
        <v>#N/A</v>
      </c>
      <c r="N178" s="67" t="e">
        <f>VLOOKUP(B178,'124+900 '!$B$13:$AA$314,5,FALSE)</f>
        <v>#N/A</v>
      </c>
      <c r="O178" s="66" t="e">
        <f t="shared" si="83"/>
        <v>#N/A</v>
      </c>
      <c r="P178" s="66" t="e">
        <f>VLOOKUP(B178,'124+900 '!$B$13:$AA$314,14,FALSE)</f>
        <v>#N/A</v>
      </c>
      <c r="Q178" s="70" t="e">
        <f t="shared" si="90"/>
        <v>#N/A</v>
      </c>
      <c r="R178" s="69" t="e">
        <f t="shared" si="91"/>
        <v>#N/A</v>
      </c>
      <c r="S178" s="68" t="e">
        <f>VLOOKUP(B178,'124+900 '!$B$13:$AA$314,22,FALSE)</f>
        <v>#N/A</v>
      </c>
      <c r="T178" s="67" t="e">
        <f>VLOOKUP(B178,'124+900 '!$B$13:$AA$314,6,FALSE)</f>
        <v>#N/A</v>
      </c>
      <c r="U178" s="66" t="e">
        <f t="shared" si="84"/>
        <v>#N/A</v>
      </c>
      <c r="V178" s="65" t="e">
        <f>VLOOKUP(B178,'124+900 '!$B$13:$AA$314,15,FALSE)</f>
        <v>#N/A</v>
      </c>
      <c r="W178" s="64" t="e">
        <f t="shared" si="92"/>
        <v>#N/A</v>
      </c>
      <c r="X178" s="63" t="e">
        <f t="shared" si="93"/>
        <v>#N/A</v>
      </c>
      <c r="Y178" s="62" t="e">
        <f t="shared" si="94"/>
        <v>#N/A</v>
      </c>
      <c r="Z178" s="61" t="e">
        <f t="shared" si="85"/>
        <v>#N/A</v>
      </c>
      <c r="AA178" s="60" t="e">
        <f t="shared" si="95"/>
        <v>#N/A</v>
      </c>
      <c r="AB178" s="60" t="e">
        <f t="shared" si="96"/>
        <v>#N/A</v>
      </c>
    </row>
    <row r="179" spans="1:32" ht="15" customHeight="1">
      <c r="B179" s="74">
        <f>'124+900 '!B179</f>
        <v>0</v>
      </c>
      <c r="C179" s="73">
        <f t="shared" si="86"/>
        <v>-45243</v>
      </c>
      <c r="D179" s="72">
        <f t="shared" si="87"/>
        <v>1026</v>
      </c>
      <c r="E179" s="67" t="e">
        <f>VLOOKUP(B179,'124+900 '!B154:AA759,3,FALSE)</f>
        <v>#N/A</v>
      </c>
      <c r="F179" s="67" t="e">
        <f t="shared" si="81"/>
        <v>#N/A</v>
      </c>
      <c r="G179" s="71" t="e">
        <f>VLOOKUP(B179,'124+900 '!$B$13:$AA$314,20,FALSE)</f>
        <v>#N/A</v>
      </c>
      <c r="H179" s="71" t="e">
        <f>VLOOKUP(B179,'124+900 '!$B$13:$AA$314,4,FALSE)</f>
        <v>#N/A</v>
      </c>
      <c r="I179" s="66" t="e">
        <f t="shared" si="82"/>
        <v>#N/A</v>
      </c>
      <c r="J179" s="66" t="e">
        <f>VLOOKUP(B179,'124+900 '!$B$13:$AA$314,13,FALSE)</f>
        <v>#N/A</v>
      </c>
      <c r="K179" s="70" t="e">
        <f t="shared" si="88"/>
        <v>#N/A</v>
      </c>
      <c r="L179" s="69" t="e">
        <f t="shared" si="89"/>
        <v>#N/A</v>
      </c>
      <c r="M179" s="68" t="e">
        <f>VLOOKUP(B179,'124+900 '!$B$13:$AA$314,21,FALSE)</f>
        <v>#N/A</v>
      </c>
      <c r="N179" s="67" t="e">
        <f>VLOOKUP(B179,'124+900 '!$B$13:$AA$314,5,FALSE)</f>
        <v>#N/A</v>
      </c>
      <c r="O179" s="66" t="e">
        <f t="shared" si="83"/>
        <v>#N/A</v>
      </c>
      <c r="P179" s="66" t="e">
        <f>VLOOKUP(B179,'124+900 '!$B$13:$AA$314,14,FALSE)</f>
        <v>#N/A</v>
      </c>
      <c r="Q179" s="70" t="e">
        <f t="shared" si="90"/>
        <v>#N/A</v>
      </c>
      <c r="R179" s="69" t="e">
        <f t="shared" si="91"/>
        <v>#N/A</v>
      </c>
      <c r="S179" s="68" t="e">
        <f>VLOOKUP(B179,'124+900 '!$B$13:$AA$314,22,FALSE)</f>
        <v>#N/A</v>
      </c>
      <c r="T179" s="67" t="e">
        <f>VLOOKUP(B179,'124+900 '!$B$13:$AA$314,6,FALSE)</f>
        <v>#N/A</v>
      </c>
      <c r="U179" s="66" t="e">
        <f t="shared" si="84"/>
        <v>#N/A</v>
      </c>
      <c r="V179" s="65" t="e">
        <f>VLOOKUP(B179,'124+900 '!$B$13:$AA$314,15,FALSE)</f>
        <v>#N/A</v>
      </c>
      <c r="W179" s="64" t="e">
        <f t="shared" si="92"/>
        <v>#N/A</v>
      </c>
      <c r="X179" s="63" t="e">
        <f t="shared" si="93"/>
        <v>#N/A</v>
      </c>
      <c r="Y179" s="62" t="e">
        <f t="shared" si="94"/>
        <v>#N/A</v>
      </c>
      <c r="Z179" s="61" t="e">
        <f t="shared" si="85"/>
        <v>#N/A</v>
      </c>
      <c r="AA179" s="60" t="e">
        <f t="shared" si="95"/>
        <v>#N/A</v>
      </c>
      <c r="AB179" s="60" t="e">
        <f t="shared" si="96"/>
        <v>#N/A</v>
      </c>
    </row>
    <row r="180" spans="1:32" s="53" customFormat="1" ht="15" customHeight="1">
      <c r="A180" s="51"/>
      <c r="B180" s="74">
        <f>'124+900 '!B180</f>
        <v>0</v>
      </c>
      <c r="C180" s="73">
        <f t="shared" si="86"/>
        <v>-45243</v>
      </c>
      <c r="D180" s="72">
        <f t="shared" si="87"/>
        <v>1026</v>
      </c>
      <c r="E180" s="67" t="e">
        <f>VLOOKUP(B180,'124+900 '!B155:AA760,3,FALSE)</f>
        <v>#N/A</v>
      </c>
      <c r="F180" s="67" t="e">
        <f t="shared" si="81"/>
        <v>#N/A</v>
      </c>
      <c r="G180" s="71" t="e">
        <f>VLOOKUP(B180,'124+900 '!$B$13:$AA$314,20,FALSE)</f>
        <v>#N/A</v>
      </c>
      <c r="H180" s="71" t="e">
        <f>VLOOKUP(B180,'124+900 '!$B$13:$AA$314,4,FALSE)</f>
        <v>#N/A</v>
      </c>
      <c r="I180" s="66" t="e">
        <f t="shared" si="82"/>
        <v>#N/A</v>
      </c>
      <c r="J180" s="66" t="e">
        <f>VLOOKUP(B180,'124+900 '!$B$13:$AA$314,13,FALSE)</f>
        <v>#N/A</v>
      </c>
      <c r="K180" s="70" t="e">
        <f t="shared" si="88"/>
        <v>#N/A</v>
      </c>
      <c r="L180" s="69" t="e">
        <f t="shared" si="89"/>
        <v>#N/A</v>
      </c>
      <c r="M180" s="68" t="e">
        <f>VLOOKUP(B180,'124+900 '!$B$13:$AA$314,21,FALSE)</f>
        <v>#N/A</v>
      </c>
      <c r="N180" s="67" t="e">
        <f>VLOOKUP(B180,'124+900 '!$B$13:$AA$314,5,FALSE)</f>
        <v>#N/A</v>
      </c>
      <c r="O180" s="66" t="e">
        <f t="shared" si="83"/>
        <v>#N/A</v>
      </c>
      <c r="P180" s="66" t="e">
        <f>VLOOKUP(B180,'124+900 '!$B$13:$AA$314,14,FALSE)</f>
        <v>#N/A</v>
      </c>
      <c r="Q180" s="70" t="e">
        <f t="shared" si="90"/>
        <v>#N/A</v>
      </c>
      <c r="R180" s="69" t="e">
        <f t="shared" si="91"/>
        <v>#N/A</v>
      </c>
      <c r="S180" s="68" t="e">
        <f>VLOOKUP(B180,'124+900 '!$B$13:$AA$314,22,FALSE)</f>
        <v>#N/A</v>
      </c>
      <c r="T180" s="67" t="e">
        <f>VLOOKUP(B180,'124+900 '!$B$13:$AA$314,6,FALSE)</f>
        <v>#N/A</v>
      </c>
      <c r="U180" s="66" t="e">
        <f t="shared" si="84"/>
        <v>#N/A</v>
      </c>
      <c r="V180" s="65" t="e">
        <f>VLOOKUP(B180,'124+900 '!$B$13:$AA$314,15,FALSE)</f>
        <v>#N/A</v>
      </c>
      <c r="W180" s="64" t="e">
        <f t="shared" si="92"/>
        <v>#N/A</v>
      </c>
      <c r="X180" s="63" t="e">
        <f t="shared" si="93"/>
        <v>#N/A</v>
      </c>
      <c r="Y180" s="62" t="e">
        <f t="shared" si="94"/>
        <v>#N/A</v>
      </c>
      <c r="Z180" s="61" t="e">
        <f t="shared" si="85"/>
        <v>#N/A</v>
      </c>
      <c r="AA180" s="60" t="e">
        <f t="shared" si="95"/>
        <v>#N/A</v>
      </c>
      <c r="AB180" s="60" t="e">
        <f t="shared" si="96"/>
        <v>#N/A</v>
      </c>
      <c r="AE180" s="52"/>
      <c r="AF180" s="51"/>
    </row>
    <row r="181" spans="1:32" s="53" customFormat="1" ht="15" customHeight="1">
      <c r="A181" s="51"/>
      <c r="B181" s="74">
        <f>'124+900 '!B181</f>
        <v>0</v>
      </c>
      <c r="C181" s="73">
        <f t="shared" si="86"/>
        <v>-45243</v>
      </c>
      <c r="D181" s="72">
        <f t="shared" si="87"/>
        <v>1026</v>
      </c>
      <c r="E181" s="67" t="e">
        <f>VLOOKUP(B181,'124+900 '!B156:AA761,3,FALSE)</f>
        <v>#N/A</v>
      </c>
      <c r="F181" s="67" t="e">
        <f t="shared" si="81"/>
        <v>#N/A</v>
      </c>
      <c r="G181" s="71" t="e">
        <f>VLOOKUP(B181,'124+900 '!$B$13:$AA$314,20,FALSE)</f>
        <v>#N/A</v>
      </c>
      <c r="H181" s="71" t="e">
        <f>VLOOKUP(B181,'124+900 '!$B$13:$AA$314,4,FALSE)</f>
        <v>#N/A</v>
      </c>
      <c r="I181" s="66" t="e">
        <f t="shared" si="82"/>
        <v>#N/A</v>
      </c>
      <c r="J181" s="66" t="e">
        <f>VLOOKUP(B181,'124+900 '!$B$13:$AA$314,13,FALSE)</f>
        <v>#N/A</v>
      </c>
      <c r="K181" s="70" t="e">
        <f t="shared" si="88"/>
        <v>#N/A</v>
      </c>
      <c r="L181" s="69" t="e">
        <f t="shared" si="89"/>
        <v>#N/A</v>
      </c>
      <c r="M181" s="68" t="e">
        <f>VLOOKUP(B181,'124+900 '!$B$13:$AA$314,21,FALSE)</f>
        <v>#N/A</v>
      </c>
      <c r="N181" s="67" t="e">
        <f>VLOOKUP(B181,'124+900 '!$B$13:$AA$314,5,FALSE)</f>
        <v>#N/A</v>
      </c>
      <c r="O181" s="66" t="e">
        <f t="shared" si="83"/>
        <v>#N/A</v>
      </c>
      <c r="P181" s="66" t="e">
        <f>VLOOKUP(B181,'124+900 '!$B$13:$AA$314,14,FALSE)</f>
        <v>#N/A</v>
      </c>
      <c r="Q181" s="70" t="e">
        <f t="shared" si="90"/>
        <v>#N/A</v>
      </c>
      <c r="R181" s="69" t="e">
        <f t="shared" si="91"/>
        <v>#N/A</v>
      </c>
      <c r="S181" s="68" t="e">
        <f>VLOOKUP(B181,'124+900 '!$B$13:$AA$314,22,FALSE)</f>
        <v>#N/A</v>
      </c>
      <c r="T181" s="67" t="e">
        <f>VLOOKUP(B181,'124+900 '!$B$13:$AA$314,6,FALSE)</f>
        <v>#N/A</v>
      </c>
      <c r="U181" s="66" t="e">
        <f t="shared" si="84"/>
        <v>#N/A</v>
      </c>
      <c r="V181" s="65" t="e">
        <f>VLOOKUP(B181,'124+900 '!$B$13:$AA$314,15,FALSE)</f>
        <v>#N/A</v>
      </c>
      <c r="W181" s="64" t="e">
        <f t="shared" si="92"/>
        <v>#N/A</v>
      </c>
      <c r="X181" s="63" t="e">
        <f t="shared" si="93"/>
        <v>#N/A</v>
      </c>
      <c r="Y181" s="62" t="e">
        <f t="shared" si="94"/>
        <v>#N/A</v>
      </c>
      <c r="Z181" s="61" t="e">
        <f t="shared" si="85"/>
        <v>#N/A</v>
      </c>
      <c r="AA181" s="60" t="e">
        <f t="shared" si="95"/>
        <v>#N/A</v>
      </c>
      <c r="AB181" s="60" t="e">
        <f t="shared" si="96"/>
        <v>#N/A</v>
      </c>
      <c r="AE181" s="52"/>
      <c r="AF181" s="51"/>
    </row>
    <row r="182" spans="1:32" s="53" customFormat="1" ht="15" customHeight="1">
      <c r="A182" s="51"/>
      <c r="B182" s="74">
        <f>'124+900 '!B182</f>
        <v>0</v>
      </c>
      <c r="C182" s="73">
        <f t="shared" si="86"/>
        <v>-45243</v>
      </c>
      <c r="D182" s="72">
        <f t="shared" si="87"/>
        <v>1026</v>
      </c>
      <c r="E182" s="67" t="e">
        <f>VLOOKUP(B182,'124+900 '!B157:AA762,3,FALSE)</f>
        <v>#N/A</v>
      </c>
      <c r="F182" s="67" t="e">
        <f t="shared" si="81"/>
        <v>#N/A</v>
      </c>
      <c r="G182" s="71" t="e">
        <f>VLOOKUP(B182,'124+900 '!$B$13:$AA$314,20,FALSE)</f>
        <v>#N/A</v>
      </c>
      <c r="H182" s="71" t="e">
        <f>VLOOKUP(B182,'124+900 '!$B$13:$AA$314,4,FALSE)</f>
        <v>#N/A</v>
      </c>
      <c r="I182" s="66" t="e">
        <f t="shared" si="82"/>
        <v>#N/A</v>
      </c>
      <c r="J182" s="66" t="e">
        <f>VLOOKUP(B182,'124+900 '!$B$13:$AA$314,13,FALSE)</f>
        <v>#N/A</v>
      </c>
      <c r="K182" s="70" t="e">
        <f t="shared" si="88"/>
        <v>#N/A</v>
      </c>
      <c r="L182" s="69" t="e">
        <f t="shared" si="89"/>
        <v>#N/A</v>
      </c>
      <c r="M182" s="68" t="e">
        <f>VLOOKUP(B182,'124+900 '!$B$13:$AA$314,21,FALSE)</f>
        <v>#N/A</v>
      </c>
      <c r="N182" s="67" t="e">
        <f>VLOOKUP(B182,'124+900 '!$B$13:$AA$314,5,FALSE)</f>
        <v>#N/A</v>
      </c>
      <c r="O182" s="66" t="e">
        <f t="shared" si="83"/>
        <v>#N/A</v>
      </c>
      <c r="P182" s="66" t="e">
        <f>VLOOKUP(B182,'124+900 '!$B$13:$AA$314,14,FALSE)</f>
        <v>#N/A</v>
      </c>
      <c r="Q182" s="70" t="e">
        <f t="shared" si="90"/>
        <v>#N/A</v>
      </c>
      <c r="R182" s="69" t="e">
        <f t="shared" si="91"/>
        <v>#N/A</v>
      </c>
      <c r="S182" s="68" t="e">
        <f>VLOOKUP(B182,'124+900 '!$B$13:$AA$314,22,FALSE)</f>
        <v>#N/A</v>
      </c>
      <c r="T182" s="67" t="e">
        <f>VLOOKUP(B182,'124+900 '!$B$13:$AA$314,6,FALSE)</f>
        <v>#N/A</v>
      </c>
      <c r="U182" s="66" t="e">
        <f t="shared" si="84"/>
        <v>#N/A</v>
      </c>
      <c r="V182" s="65" t="e">
        <f>VLOOKUP(B182,'124+900 '!$B$13:$AA$314,15,FALSE)</f>
        <v>#N/A</v>
      </c>
      <c r="W182" s="64" t="e">
        <f t="shared" si="92"/>
        <v>#N/A</v>
      </c>
      <c r="X182" s="63" t="e">
        <f t="shared" si="93"/>
        <v>#N/A</v>
      </c>
      <c r="Y182" s="62" t="e">
        <f t="shared" si="94"/>
        <v>#N/A</v>
      </c>
      <c r="Z182" s="61" t="e">
        <f t="shared" si="85"/>
        <v>#N/A</v>
      </c>
      <c r="AA182" s="60" t="e">
        <f t="shared" si="95"/>
        <v>#N/A</v>
      </c>
      <c r="AB182" s="60" t="e">
        <f t="shared" si="96"/>
        <v>#N/A</v>
      </c>
      <c r="AE182" s="52"/>
      <c r="AF182" s="51"/>
    </row>
    <row r="183" spans="1:32" s="53" customFormat="1" ht="15" customHeight="1">
      <c r="A183" s="51"/>
      <c r="B183" s="74">
        <f>'124+900 '!B183</f>
        <v>0</v>
      </c>
      <c r="C183" s="73">
        <f t="shared" si="86"/>
        <v>-45243</v>
      </c>
      <c r="D183" s="72">
        <f t="shared" si="87"/>
        <v>1026</v>
      </c>
      <c r="E183" s="67" t="e">
        <f>VLOOKUP(B183,'124+900 '!B158:AA763,3,FALSE)</f>
        <v>#N/A</v>
      </c>
      <c r="F183" s="67" t="e">
        <f t="shared" si="81"/>
        <v>#N/A</v>
      </c>
      <c r="G183" s="71" t="e">
        <f>VLOOKUP(B183,'124+900 '!$B$13:$AA$314,20,FALSE)</f>
        <v>#N/A</v>
      </c>
      <c r="H183" s="71" t="e">
        <f>VLOOKUP(B183,'124+900 '!$B$13:$AA$314,4,FALSE)</f>
        <v>#N/A</v>
      </c>
      <c r="I183" s="66" t="e">
        <f t="shared" si="82"/>
        <v>#N/A</v>
      </c>
      <c r="J183" s="66" t="e">
        <f>VLOOKUP(B183,'124+900 '!$B$13:$AA$314,13,FALSE)</f>
        <v>#N/A</v>
      </c>
      <c r="K183" s="70" t="e">
        <f t="shared" si="88"/>
        <v>#N/A</v>
      </c>
      <c r="L183" s="69" t="e">
        <f t="shared" si="89"/>
        <v>#N/A</v>
      </c>
      <c r="M183" s="68" t="e">
        <f>VLOOKUP(B183,'124+900 '!$B$13:$AA$314,21,FALSE)</f>
        <v>#N/A</v>
      </c>
      <c r="N183" s="67" t="e">
        <f>VLOOKUP(B183,'124+900 '!$B$13:$AA$314,5,FALSE)</f>
        <v>#N/A</v>
      </c>
      <c r="O183" s="66" t="e">
        <f t="shared" si="83"/>
        <v>#N/A</v>
      </c>
      <c r="P183" s="66" t="e">
        <f>VLOOKUP(B183,'124+900 '!$B$13:$AA$314,14,FALSE)</f>
        <v>#N/A</v>
      </c>
      <c r="Q183" s="70" t="e">
        <f t="shared" si="90"/>
        <v>#N/A</v>
      </c>
      <c r="R183" s="69" t="e">
        <f t="shared" si="91"/>
        <v>#N/A</v>
      </c>
      <c r="S183" s="68" t="e">
        <f>VLOOKUP(B183,'124+900 '!$B$13:$AA$314,22,FALSE)</f>
        <v>#N/A</v>
      </c>
      <c r="T183" s="67" t="e">
        <f>VLOOKUP(B183,'124+900 '!$B$13:$AA$314,6,FALSE)</f>
        <v>#N/A</v>
      </c>
      <c r="U183" s="66" t="e">
        <f t="shared" si="84"/>
        <v>#N/A</v>
      </c>
      <c r="V183" s="65" t="e">
        <f>VLOOKUP(B183,'124+900 '!$B$13:$AA$314,15,FALSE)</f>
        <v>#N/A</v>
      </c>
      <c r="W183" s="64" t="e">
        <f t="shared" si="92"/>
        <v>#N/A</v>
      </c>
      <c r="X183" s="63" t="e">
        <f t="shared" si="93"/>
        <v>#N/A</v>
      </c>
      <c r="Y183" s="62" t="e">
        <f t="shared" si="94"/>
        <v>#N/A</v>
      </c>
      <c r="Z183" s="61" t="e">
        <f t="shared" si="85"/>
        <v>#N/A</v>
      </c>
      <c r="AA183" s="60" t="e">
        <f t="shared" si="95"/>
        <v>#N/A</v>
      </c>
      <c r="AB183" s="60" t="e">
        <f t="shared" si="96"/>
        <v>#N/A</v>
      </c>
      <c r="AE183" s="52"/>
      <c r="AF183" s="51"/>
    </row>
    <row r="184" spans="1:32" s="53" customFormat="1" ht="15" customHeight="1">
      <c r="A184" s="51"/>
      <c r="B184" s="74">
        <f>'124+900 '!B184</f>
        <v>0</v>
      </c>
      <c r="C184" s="73">
        <f t="shared" si="86"/>
        <v>-45243</v>
      </c>
      <c r="D184" s="72">
        <f t="shared" si="87"/>
        <v>1026</v>
      </c>
      <c r="E184" s="67" t="e">
        <f>VLOOKUP(B184,'124+900 '!B159:AA764,3,FALSE)</f>
        <v>#N/A</v>
      </c>
      <c r="F184" s="67" t="e">
        <f t="shared" si="81"/>
        <v>#N/A</v>
      </c>
      <c r="G184" s="71" t="e">
        <f>VLOOKUP(B184,'124+900 '!$B$13:$AA$314,20,FALSE)</f>
        <v>#N/A</v>
      </c>
      <c r="H184" s="71" t="e">
        <f>VLOOKUP(B184,'124+900 '!$B$13:$AA$314,4,FALSE)</f>
        <v>#N/A</v>
      </c>
      <c r="I184" s="66" t="e">
        <f t="shared" si="82"/>
        <v>#N/A</v>
      </c>
      <c r="J184" s="66" t="e">
        <f>VLOOKUP(B184,'124+900 '!$B$13:$AA$314,13,FALSE)</f>
        <v>#N/A</v>
      </c>
      <c r="K184" s="70" t="e">
        <f t="shared" si="88"/>
        <v>#N/A</v>
      </c>
      <c r="L184" s="69" t="e">
        <f t="shared" si="89"/>
        <v>#N/A</v>
      </c>
      <c r="M184" s="68" t="e">
        <f>VLOOKUP(B184,'124+900 '!$B$13:$AA$314,21,FALSE)</f>
        <v>#N/A</v>
      </c>
      <c r="N184" s="67" t="e">
        <f>VLOOKUP(B184,'124+900 '!$B$13:$AA$314,5,FALSE)</f>
        <v>#N/A</v>
      </c>
      <c r="O184" s="66" t="e">
        <f t="shared" si="83"/>
        <v>#N/A</v>
      </c>
      <c r="P184" s="66" t="e">
        <f>VLOOKUP(B184,'124+900 '!$B$13:$AA$314,14,FALSE)</f>
        <v>#N/A</v>
      </c>
      <c r="Q184" s="70" t="e">
        <f t="shared" si="90"/>
        <v>#N/A</v>
      </c>
      <c r="R184" s="69" t="e">
        <f t="shared" si="91"/>
        <v>#N/A</v>
      </c>
      <c r="S184" s="68" t="e">
        <f>VLOOKUP(B184,'124+900 '!$B$13:$AA$314,22,FALSE)</f>
        <v>#N/A</v>
      </c>
      <c r="T184" s="67" t="e">
        <f>VLOOKUP(B184,'124+900 '!$B$13:$AA$314,6,FALSE)</f>
        <v>#N/A</v>
      </c>
      <c r="U184" s="66" t="e">
        <f t="shared" si="84"/>
        <v>#N/A</v>
      </c>
      <c r="V184" s="65" t="e">
        <f>VLOOKUP(B184,'124+900 '!$B$13:$AA$314,15,FALSE)</f>
        <v>#N/A</v>
      </c>
      <c r="W184" s="64" t="e">
        <f t="shared" si="92"/>
        <v>#N/A</v>
      </c>
      <c r="X184" s="63" t="e">
        <f t="shared" si="93"/>
        <v>#N/A</v>
      </c>
      <c r="Y184" s="62" t="e">
        <f t="shared" si="94"/>
        <v>#N/A</v>
      </c>
      <c r="Z184" s="61" t="e">
        <f t="shared" si="85"/>
        <v>#N/A</v>
      </c>
      <c r="AA184" s="60" t="e">
        <f t="shared" si="95"/>
        <v>#N/A</v>
      </c>
      <c r="AB184" s="60" t="e">
        <f t="shared" si="96"/>
        <v>#N/A</v>
      </c>
      <c r="AE184" s="52"/>
      <c r="AF184" s="51"/>
    </row>
    <row r="185" spans="1:32" s="53" customFormat="1" ht="15" customHeight="1">
      <c r="A185" s="51"/>
      <c r="B185" s="74">
        <f>'124+900 '!B185</f>
        <v>0</v>
      </c>
      <c r="C185" s="73">
        <f t="shared" si="86"/>
        <v>-45243</v>
      </c>
      <c r="D185" s="72">
        <f t="shared" si="87"/>
        <v>1026</v>
      </c>
      <c r="E185" s="67" t="e">
        <f>VLOOKUP(B185,'124+900 '!B160:AA765,3,FALSE)</f>
        <v>#N/A</v>
      </c>
      <c r="F185" s="67" t="e">
        <f t="shared" si="81"/>
        <v>#N/A</v>
      </c>
      <c r="G185" s="71" t="e">
        <f>VLOOKUP(B185,'124+900 '!$B$13:$AA$314,20,FALSE)</f>
        <v>#N/A</v>
      </c>
      <c r="H185" s="71" t="e">
        <f>VLOOKUP(B185,'124+900 '!$B$13:$AA$314,4,FALSE)</f>
        <v>#N/A</v>
      </c>
      <c r="I185" s="66" t="e">
        <f t="shared" si="82"/>
        <v>#N/A</v>
      </c>
      <c r="J185" s="66" t="e">
        <f>VLOOKUP(B185,'124+900 '!$B$13:$AA$314,13,FALSE)</f>
        <v>#N/A</v>
      </c>
      <c r="K185" s="70" t="e">
        <f t="shared" si="88"/>
        <v>#N/A</v>
      </c>
      <c r="L185" s="69" t="e">
        <f t="shared" si="89"/>
        <v>#N/A</v>
      </c>
      <c r="M185" s="68" t="e">
        <f>VLOOKUP(B185,'124+900 '!$B$13:$AA$314,21,FALSE)</f>
        <v>#N/A</v>
      </c>
      <c r="N185" s="67" t="e">
        <f>VLOOKUP(B185,'124+900 '!$B$13:$AA$314,5,FALSE)</f>
        <v>#N/A</v>
      </c>
      <c r="O185" s="66" t="e">
        <f t="shared" si="83"/>
        <v>#N/A</v>
      </c>
      <c r="P185" s="66" t="e">
        <f>VLOOKUP(B185,'124+900 '!$B$13:$AA$314,14,FALSE)</f>
        <v>#N/A</v>
      </c>
      <c r="Q185" s="70" t="e">
        <f t="shared" si="90"/>
        <v>#N/A</v>
      </c>
      <c r="R185" s="69" t="e">
        <f t="shared" si="91"/>
        <v>#N/A</v>
      </c>
      <c r="S185" s="68" t="e">
        <f>VLOOKUP(B185,'124+900 '!$B$13:$AA$314,22,FALSE)</f>
        <v>#N/A</v>
      </c>
      <c r="T185" s="67" t="e">
        <f>VLOOKUP(B185,'124+900 '!$B$13:$AA$314,6,FALSE)</f>
        <v>#N/A</v>
      </c>
      <c r="U185" s="66" t="e">
        <f t="shared" si="84"/>
        <v>#N/A</v>
      </c>
      <c r="V185" s="65" t="e">
        <f>VLOOKUP(B185,'124+900 '!$B$13:$AA$314,15,FALSE)</f>
        <v>#N/A</v>
      </c>
      <c r="W185" s="64" t="e">
        <f t="shared" si="92"/>
        <v>#N/A</v>
      </c>
      <c r="X185" s="63" t="e">
        <f t="shared" si="93"/>
        <v>#N/A</v>
      </c>
      <c r="Y185" s="62" t="e">
        <f t="shared" si="94"/>
        <v>#N/A</v>
      </c>
      <c r="Z185" s="61" t="e">
        <f t="shared" si="85"/>
        <v>#N/A</v>
      </c>
      <c r="AA185" s="60" t="e">
        <f t="shared" si="95"/>
        <v>#N/A</v>
      </c>
      <c r="AB185" s="60" t="e">
        <f t="shared" si="96"/>
        <v>#N/A</v>
      </c>
      <c r="AE185" s="52"/>
      <c r="AF185" s="51"/>
    </row>
    <row r="186" spans="1:32" s="53" customFormat="1" ht="15" customHeight="1">
      <c r="A186" s="51"/>
      <c r="B186" s="74">
        <f>'124+900 '!B186</f>
        <v>0</v>
      </c>
      <c r="C186" s="73">
        <f t="shared" si="86"/>
        <v>-45243</v>
      </c>
      <c r="D186" s="72">
        <f t="shared" si="87"/>
        <v>1026</v>
      </c>
      <c r="E186" s="67" t="e">
        <f>VLOOKUP(B186,'124+900 '!B161:AA766,3,FALSE)</f>
        <v>#N/A</v>
      </c>
      <c r="F186" s="67" t="e">
        <f t="shared" si="81"/>
        <v>#N/A</v>
      </c>
      <c r="G186" s="71" t="e">
        <f>VLOOKUP(B186,'124+900 '!$B$13:$AA$314,20,FALSE)</f>
        <v>#N/A</v>
      </c>
      <c r="H186" s="71" t="e">
        <f>VLOOKUP(B186,'124+900 '!$B$13:$AA$314,4,FALSE)</f>
        <v>#N/A</v>
      </c>
      <c r="I186" s="66" t="e">
        <f t="shared" si="82"/>
        <v>#N/A</v>
      </c>
      <c r="J186" s="66" t="e">
        <f>VLOOKUP(B186,'124+900 '!$B$13:$AA$314,13,FALSE)</f>
        <v>#N/A</v>
      </c>
      <c r="K186" s="70" t="e">
        <f t="shared" si="88"/>
        <v>#N/A</v>
      </c>
      <c r="L186" s="69" t="e">
        <f t="shared" si="89"/>
        <v>#N/A</v>
      </c>
      <c r="M186" s="68" t="e">
        <f>VLOOKUP(B186,'124+900 '!$B$13:$AA$314,21,FALSE)</f>
        <v>#N/A</v>
      </c>
      <c r="N186" s="67" t="e">
        <f>VLOOKUP(B186,'124+900 '!$B$13:$AA$314,5,FALSE)</f>
        <v>#N/A</v>
      </c>
      <c r="O186" s="66" t="e">
        <f t="shared" si="83"/>
        <v>#N/A</v>
      </c>
      <c r="P186" s="66" t="e">
        <f>VLOOKUP(B186,'124+900 '!$B$13:$AA$314,14,FALSE)</f>
        <v>#N/A</v>
      </c>
      <c r="Q186" s="70" t="e">
        <f t="shared" si="90"/>
        <v>#N/A</v>
      </c>
      <c r="R186" s="69" t="e">
        <f t="shared" si="91"/>
        <v>#N/A</v>
      </c>
      <c r="S186" s="68" t="e">
        <f>VLOOKUP(B186,'124+900 '!$B$13:$AA$314,22,FALSE)</f>
        <v>#N/A</v>
      </c>
      <c r="T186" s="67" t="e">
        <f>VLOOKUP(B186,'124+900 '!$B$13:$AA$314,6,FALSE)</f>
        <v>#N/A</v>
      </c>
      <c r="U186" s="66" t="e">
        <f t="shared" si="84"/>
        <v>#N/A</v>
      </c>
      <c r="V186" s="65" t="e">
        <f>VLOOKUP(B186,'124+900 '!$B$13:$AA$314,15,FALSE)</f>
        <v>#N/A</v>
      </c>
      <c r="W186" s="64" t="e">
        <f t="shared" si="92"/>
        <v>#N/A</v>
      </c>
      <c r="X186" s="63" t="e">
        <f t="shared" si="93"/>
        <v>#N/A</v>
      </c>
      <c r="Y186" s="62" t="e">
        <f t="shared" si="94"/>
        <v>#N/A</v>
      </c>
      <c r="Z186" s="61" t="e">
        <f t="shared" si="85"/>
        <v>#N/A</v>
      </c>
      <c r="AA186" s="60" t="e">
        <f t="shared" si="95"/>
        <v>#N/A</v>
      </c>
      <c r="AB186" s="60" t="e">
        <f t="shared" si="96"/>
        <v>#N/A</v>
      </c>
      <c r="AE186" s="52"/>
      <c r="AF186" s="51"/>
    </row>
    <row r="187" spans="1:32" s="53" customFormat="1" ht="15" customHeight="1">
      <c r="A187" s="51"/>
      <c r="B187" s="74">
        <f>'124+900 '!B187</f>
        <v>0</v>
      </c>
      <c r="C187" s="73">
        <f t="shared" si="86"/>
        <v>-45243</v>
      </c>
      <c r="D187" s="72">
        <f t="shared" si="87"/>
        <v>1026</v>
      </c>
      <c r="E187" s="67" t="e">
        <f>VLOOKUP(B187,'124+900 '!B162:AA767,3,FALSE)</f>
        <v>#N/A</v>
      </c>
      <c r="F187" s="67" t="e">
        <f t="shared" si="81"/>
        <v>#N/A</v>
      </c>
      <c r="G187" s="71" t="e">
        <f>VLOOKUP(B187,'124+900 '!$B$13:$AA$314,20,FALSE)</f>
        <v>#N/A</v>
      </c>
      <c r="H187" s="71" t="e">
        <f>VLOOKUP(B187,'124+900 '!$B$13:$AA$314,4,FALSE)</f>
        <v>#N/A</v>
      </c>
      <c r="I187" s="66" t="e">
        <f t="shared" si="82"/>
        <v>#N/A</v>
      </c>
      <c r="J187" s="66" t="e">
        <f>VLOOKUP(B187,'124+900 '!$B$13:$AA$314,13,FALSE)</f>
        <v>#N/A</v>
      </c>
      <c r="K187" s="70" t="e">
        <f t="shared" si="88"/>
        <v>#N/A</v>
      </c>
      <c r="L187" s="69" t="e">
        <f t="shared" si="89"/>
        <v>#N/A</v>
      </c>
      <c r="M187" s="68" t="e">
        <f>VLOOKUP(B187,'124+900 '!$B$13:$AA$314,21,FALSE)</f>
        <v>#N/A</v>
      </c>
      <c r="N187" s="67" t="e">
        <f>VLOOKUP(B187,'124+900 '!$B$13:$AA$314,5,FALSE)</f>
        <v>#N/A</v>
      </c>
      <c r="O187" s="66" t="e">
        <f t="shared" si="83"/>
        <v>#N/A</v>
      </c>
      <c r="P187" s="66" t="e">
        <f>VLOOKUP(B187,'124+900 '!$B$13:$AA$314,14,FALSE)</f>
        <v>#N/A</v>
      </c>
      <c r="Q187" s="70" t="e">
        <f t="shared" si="90"/>
        <v>#N/A</v>
      </c>
      <c r="R187" s="69" t="e">
        <f t="shared" si="91"/>
        <v>#N/A</v>
      </c>
      <c r="S187" s="68" t="e">
        <f>VLOOKUP(B187,'124+900 '!$B$13:$AA$314,22,FALSE)</f>
        <v>#N/A</v>
      </c>
      <c r="T187" s="67" t="e">
        <f>VLOOKUP(B187,'124+900 '!$B$13:$AA$314,6,FALSE)</f>
        <v>#N/A</v>
      </c>
      <c r="U187" s="66" t="e">
        <f t="shared" si="84"/>
        <v>#N/A</v>
      </c>
      <c r="V187" s="65" t="e">
        <f>VLOOKUP(B187,'124+900 '!$B$13:$AA$314,15,FALSE)</f>
        <v>#N/A</v>
      </c>
      <c r="W187" s="64" t="e">
        <f t="shared" si="92"/>
        <v>#N/A</v>
      </c>
      <c r="X187" s="63" t="e">
        <f t="shared" si="93"/>
        <v>#N/A</v>
      </c>
      <c r="Y187" s="62" t="e">
        <f t="shared" si="94"/>
        <v>#N/A</v>
      </c>
      <c r="Z187" s="61" t="e">
        <f t="shared" si="85"/>
        <v>#N/A</v>
      </c>
      <c r="AA187" s="60" t="e">
        <f t="shared" si="95"/>
        <v>#N/A</v>
      </c>
      <c r="AB187" s="60" t="e">
        <f t="shared" si="96"/>
        <v>#N/A</v>
      </c>
      <c r="AE187" s="52"/>
      <c r="AF187" s="51"/>
    </row>
    <row r="188" spans="1:32" s="53" customFormat="1" ht="15" customHeight="1">
      <c r="A188" s="51"/>
      <c r="B188" s="74">
        <f>'124+900 '!B188</f>
        <v>0</v>
      </c>
      <c r="C188" s="73">
        <f t="shared" si="86"/>
        <v>-45243</v>
      </c>
      <c r="D188" s="72">
        <f t="shared" si="87"/>
        <v>1026</v>
      </c>
      <c r="E188" s="67" t="e">
        <f>VLOOKUP(B188,'124+900 '!B163:AA768,3,FALSE)</f>
        <v>#N/A</v>
      </c>
      <c r="F188" s="67" t="e">
        <f t="shared" si="81"/>
        <v>#N/A</v>
      </c>
      <c r="G188" s="71" t="e">
        <f>VLOOKUP(B188,'124+900 '!$B$13:$AA$314,20,FALSE)</f>
        <v>#N/A</v>
      </c>
      <c r="H188" s="71" t="e">
        <f>VLOOKUP(B188,'124+900 '!$B$13:$AA$314,4,FALSE)</f>
        <v>#N/A</v>
      </c>
      <c r="I188" s="66" t="e">
        <f t="shared" si="82"/>
        <v>#N/A</v>
      </c>
      <c r="J188" s="66" t="e">
        <f>VLOOKUP(B188,'124+900 '!$B$13:$AA$314,13,FALSE)</f>
        <v>#N/A</v>
      </c>
      <c r="K188" s="70" t="e">
        <f t="shared" si="88"/>
        <v>#N/A</v>
      </c>
      <c r="L188" s="69" t="e">
        <f t="shared" si="89"/>
        <v>#N/A</v>
      </c>
      <c r="M188" s="68" t="e">
        <f>VLOOKUP(B188,'124+900 '!$B$13:$AA$314,21,FALSE)</f>
        <v>#N/A</v>
      </c>
      <c r="N188" s="67" t="e">
        <f>VLOOKUP(B188,'124+900 '!$B$13:$AA$314,5,FALSE)</f>
        <v>#N/A</v>
      </c>
      <c r="O188" s="66" t="e">
        <f t="shared" si="83"/>
        <v>#N/A</v>
      </c>
      <c r="P188" s="66" t="e">
        <f>VLOOKUP(B188,'124+900 '!$B$13:$AA$314,14,FALSE)</f>
        <v>#N/A</v>
      </c>
      <c r="Q188" s="70" t="e">
        <f t="shared" si="90"/>
        <v>#N/A</v>
      </c>
      <c r="R188" s="69" t="e">
        <f t="shared" si="91"/>
        <v>#N/A</v>
      </c>
      <c r="S188" s="68" t="e">
        <f>VLOOKUP(B188,'124+900 '!$B$13:$AA$314,22,FALSE)</f>
        <v>#N/A</v>
      </c>
      <c r="T188" s="67" t="e">
        <f>VLOOKUP(B188,'124+900 '!$B$13:$AA$314,6,FALSE)</f>
        <v>#N/A</v>
      </c>
      <c r="U188" s="66" t="e">
        <f t="shared" si="84"/>
        <v>#N/A</v>
      </c>
      <c r="V188" s="65" t="e">
        <f>VLOOKUP(B188,'124+900 '!$B$13:$AA$314,15,FALSE)</f>
        <v>#N/A</v>
      </c>
      <c r="W188" s="64" t="e">
        <f t="shared" si="92"/>
        <v>#N/A</v>
      </c>
      <c r="X188" s="63" t="e">
        <f t="shared" si="93"/>
        <v>#N/A</v>
      </c>
      <c r="Y188" s="62" t="e">
        <f t="shared" si="94"/>
        <v>#N/A</v>
      </c>
      <c r="Z188" s="61" t="e">
        <f t="shared" si="85"/>
        <v>#N/A</v>
      </c>
      <c r="AA188" s="60" t="e">
        <f t="shared" si="95"/>
        <v>#N/A</v>
      </c>
      <c r="AB188" s="60" t="e">
        <f t="shared" si="96"/>
        <v>#N/A</v>
      </c>
      <c r="AE188" s="52"/>
      <c r="AF188" s="51"/>
    </row>
    <row r="189" spans="1:32" s="53" customFormat="1" ht="15" customHeight="1">
      <c r="A189" s="51"/>
      <c r="B189" s="74">
        <f>'124+900 '!B189</f>
        <v>0</v>
      </c>
      <c r="C189" s="73">
        <f t="shared" si="86"/>
        <v>-45243</v>
      </c>
      <c r="D189" s="72">
        <f t="shared" si="87"/>
        <v>1026</v>
      </c>
      <c r="E189" s="67" t="e">
        <f>VLOOKUP(B189,'124+900 '!B164:AA769,3,FALSE)</f>
        <v>#N/A</v>
      </c>
      <c r="F189" s="67" t="e">
        <f t="shared" si="81"/>
        <v>#N/A</v>
      </c>
      <c r="G189" s="71" t="e">
        <f>VLOOKUP(B189,'124+900 '!$B$13:$AA$314,20,FALSE)</f>
        <v>#N/A</v>
      </c>
      <c r="H189" s="71" t="e">
        <f>VLOOKUP(B189,'124+900 '!$B$13:$AA$314,4,FALSE)</f>
        <v>#N/A</v>
      </c>
      <c r="I189" s="66" t="e">
        <f t="shared" si="82"/>
        <v>#N/A</v>
      </c>
      <c r="J189" s="66" t="e">
        <f>VLOOKUP(B189,'124+900 '!$B$13:$AA$314,13,FALSE)</f>
        <v>#N/A</v>
      </c>
      <c r="K189" s="70" t="e">
        <f t="shared" si="88"/>
        <v>#N/A</v>
      </c>
      <c r="L189" s="69" t="e">
        <f t="shared" si="89"/>
        <v>#N/A</v>
      </c>
      <c r="M189" s="68" t="e">
        <f>VLOOKUP(B189,'124+900 '!$B$13:$AA$314,21,FALSE)</f>
        <v>#N/A</v>
      </c>
      <c r="N189" s="67" t="e">
        <f>VLOOKUP(B189,'124+900 '!$B$13:$AA$314,5,FALSE)</f>
        <v>#N/A</v>
      </c>
      <c r="O189" s="66" t="e">
        <f t="shared" si="83"/>
        <v>#N/A</v>
      </c>
      <c r="P189" s="66" t="e">
        <f>VLOOKUP(B189,'124+900 '!$B$13:$AA$314,14,FALSE)</f>
        <v>#N/A</v>
      </c>
      <c r="Q189" s="70" t="e">
        <f t="shared" si="90"/>
        <v>#N/A</v>
      </c>
      <c r="R189" s="69" t="e">
        <f t="shared" si="91"/>
        <v>#N/A</v>
      </c>
      <c r="S189" s="68" t="e">
        <f>VLOOKUP(B189,'124+900 '!$B$13:$AA$314,22,FALSE)</f>
        <v>#N/A</v>
      </c>
      <c r="T189" s="67" t="e">
        <f>VLOOKUP(B189,'124+900 '!$B$13:$AA$314,6,FALSE)</f>
        <v>#N/A</v>
      </c>
      <c r="U189" s="66" t="e">
        <f t="shared" si="84"/>
        <v>#N/A</v>
      </c>
      <c r="V189" s="65" t="e">
        <f>VLOOKUP(B189,'124+900 '!$B$13:$AA$314,15,FALSE)</f>
        <v>#N/A</v>
      </c>
      <c r="W189" s="64" t="e">
        <f t="shared" si="92"/>
        <v>#N/A</v>
      </c>
      <c r="X189" s="63" t="e">
        <f t="shared" si="93"/>
        <v>#N/A</v>
      </c>
      <c r="Y189" s="62" t="e">
        <f t="shared" si="94"/>
        <v>#N/A</v>
      </c>
      <c r="Z189" s="61" t="e">
        <f t="shared" si="85"/>
        <v>#N/A</v>
      </c>
      <c r="AA189" s="60" t="e">
        <f t="shared" si="95"/>
        <v>#N/A</v>
      </c>
      <c r="AB189" s="60" t="e">
        <f t="shared" si="96"/>
        <v>#N/A</v>
      </c>
      <c r="AE189" s="52"/>
      <c r="AF189" s="51"/>
    </row>
    <row r="190" spans="1:32" s="53" customFormat="1" ht="15" customHeight="1">
      <c r="A190" s="51"/>
      <c r="B190" s="74">
        <f>'124+900 '!B190</f>
        <v>0</v>
      </c>
      <c r="C190" s="73">
        <f t="shared" si="86"/>
        <v>-45243</v>
      </c>
      <c r="D190" s="72">
        <f t="shared" si="87"/>
        <v>1026</v>
      </c>
      <c r="E190" s="67" t="e">
        <f>VLOOKUP(B190,'124+900 '!B165:AA770,3,FALSE)</f>
        <v>#N/A</v>
      </c>
      <c r="F190" s="67" t="e">
        <f t="shared" si="81"/>
        <v>#N/A</v>
      </c>
      <c r="G190" s="71" t="e">
        <f>VLOOKUP(B190,'124+900 '!$B$13:$AA$314,20,FALSE)</f>
        <v>#N/A</v>
      </c>
      <c r="H190" s="71" t="e">
        <f>VLOOKUP(B190,'124+900 '!$B$13:$AA$314,4,FALSE)</f>
        <v>#N/A</v>
      </c>
      <c r="I190" s="66" t="e">
        <f t="shared" si="82"/>
        <v>#N/A</v>
      </c>
      <c r="J190" s="66" t="e">
        <f>VLOOKUP(B190,'124+900 '!$B$13:$AA$314,13,FALSE)</f>
        <v>#N/A</v>
      </c>
      <c r="K190" s="70" t="e">
        <f t="shared" si="88"/>
        <v>#N/A</v>
      </c>
      <c r="L190" s="69" t="e">
        <f t="shared" si="89"/>
        <v>#N/A</v>
      </c>
      <c r="M190" s="68" t="e">
        <f>VLOOKUP(B190,'124+900 '!$B$13:$AA$314,21,FALSE)</f>
        <v>#N/A</v>
      </c>
      <c r="N190" s="67" t="e">
        <f>VLOOKUP(B190,'124+900 '!$B$13:$AA$314,5,FALSE)</f>
        <v>#N/A</v>
      </c>
      <c r="O190" s="66" t="e">
        <f t="shared" si="83"/>
        <v>#N/A</v>
      </c>
      <c r="P190" s="66" t="e">
        <f>VLOOKUP(B190,'124+900 '!$B$13:$AA$314,14,FALSE)</f>
        <v>#N/A</v>
      </c>
      <c r="Q190" s="70" t="e">
        <f t="shared" si="90"/>
        <v>#N/A</v>
      </c>
      <c r="R190" s="69" t="e">
        <f t="shared" si="91"/>
        <v>#N/A</v>
      </c>
      <c r="S190" s="68" t="e">
        <f>VLOOKUP(B190,'124+900 '!$B$13:$AA$314,22,FALSE)</f>
        <v>#N/A</v>
      </c>
      <c r="T190" s="67" t="e">
        <f>VLOOKUP(B190,'124+900 '!$B$13:$AA$314,6,FALSE)</f>
        <v>#N/A</v>
      </c>
      <c r="U190" s="66" t="e">
        <f t="shared" si="84"/>
        <v>#N/A</v>
      </c>
      <c r="V190" s="65" t="e">
        <f>VLOOKUP(B190,'124+900 '!$B$13:$AA$314,15,FALSE)</f>
        <v>#N/A</v>
      </c>
      <c r="W190" s="64" t="e">
        <f t="shared" si="92"/>
        <v>#N/A</v>
      </c>
      <c r="X190" s="63" t="e">
        <f t="shared" si="93"/>
        <v>#N/A</v>
      </c>
      <c r="Y190" s="62" t="e">
        <f t="shared" si="94"/>
        <v>#N/A</v>
      </c>
      <c r="Z190" s="61" t="e">
        <f t="shared" si="85"/>
        <v>#N/A</v>
      </c>
      <c r="AA190" s="60" t="e">
        <f t="shared" si="95"/>
        <v>#N/A</v>
      </c>
      <c r="AB190" s="60" t="e">
        <f t="shared" si="96"/>
        <v>#N/A</v>
      </c>
      <c r="AE190" s="52"/>
      <c r="AF190" s="51"/>
    </row>
    <row r="191" spans="1:32" s="53" customFormat="1" ht="15" customHeight="1">
      <c r="A191" s="51"/>
      <c r="B191" s="74">
        <f>'124+900 '!B191</f>
        <v>0</v>
      </c>
      <c r="C191" s="73">
        <f t="shared" si="86"/>
        <v>-45243</v>
      </c>
      <c r="D191" s="72">
        <f t="shared" si="87"/>
        <v>1026</v>
      </c>
      <c r="E191" s="67" t="e">
        <f>VLOOKUP(B191,'124+900 '!B166:AA771,3,FALSE)</f>
        <v>#N/A</v>
      </c>
      <c r="F191" s="67" t="e">
        <f t="shared" si="81"/>
        <v>#N/A</v>
      </c>
      <c r="G191" s="71" t="e">
        <f>VLOOKUP(B191,'124+900 '!$B$13:$AA$314,20,FALSE)</f>
        <v>#N/A</v>
      </c>
      <c r="H191" s="71" t="e">
        <f>VLOOKUP(B191,'124+900 '!$B$13:$AA$314,4,FALSE)</f>
        <v>#N/A</v>
      </c>
      <c r="I191" s="66" t="e">
        <f t="shared" si="82"/>
        <v>#N/A</v>
      </c>
      <c r="J191" s="66" t="e">
        <f>VLOOKUP(B191,'124+900 '!$B$13:$AA$314,13,FALSE)</f>
        <v>#N/A</v>
      </c>
      <c r="K191" s="70" t="e">
        <f t="shared" si="88"/>
        <v>#N/A</v>
      </c>
      <c r="L191" s="69" t="e">
        <f t="shared" si="89"/>
        <v>#N/A</v>
      </c>
      <c r="M191" s="68" t="e">
        <f>VLOOKUP(B191,'124+900 '!$B$13:$AA$314,21,FALSE)</f>
        <v>#N/A</v>
      </c>
      <c r="N191" s="67" t="e">
        <f>VLOOKUP(B191,'124+900 '!$B$13:$AA$314,5,FALSE)</f>
        <v>#N/A</v>
      </c>
      <c r="O191" s="66" t="e">
        <f t="shared" si="83"/>
        <v>#N/A</v>
      </c>
      <c r="P191" s="66" t="e">
        <f>VLOOKUP(B191,'124+900 '!$B$13:$AA$314,14,FALSE)</f>
        <v>#N/A</v>
      </c>
      <c r="Q191" s="70" t="e">
        <f t="shared" si="90"/>
        <v>#N/A</v>
      </c>
      <c r="R191" s="69" t="e">
        <f t="shared" si="91"/>
        <v>#N/A</v>
      </c>
      <c r="S191" s="68" t="e">
        <f>VLOOKUP(B191,'124+900 '!$B$13:$AA$314,22,FALSE)</f>
        <v>#N/A</v>
      </c>
      <c r="T191" s="67" t="e">
        <f>VLOOKUP(B191,'124+900 '!$B$13:$AA$314,6,FALSE)</f>
        <v>#N/A</v>
      </c>
      <c r="U191" s="66" t="e">
        <f t="shared" si="84"/>
        <v>#N/A</v>
      </c>
      <c r="V191" s="65" t="e">
        <f>VLOOKUP(B191,'124+900 '!$B$13:$AA$314,15,FALSE)</f>
        <v>#N/A</v>
      </c>
      <c r="W191" s="64" t="e">
        <f t="shared" si="92"/>
        <v>#N/A</v>
      </c>
      <c r="X191" s="63" t="e">
        <f t="shared" si="93"/>
        <v>#N/A</v>
      </c>
      <c r="Y191" s="62" t="e">
        <f t="shared" si="94"/>
        <v>#N/A</v>
      </c>
      <c r="Z191" s="61" t="e">
        <f t="shared" si="85"/>
        <v>#N/A</v>
      </c>
      <c r="AA191" s="60" t="e">
        <f t="shared" si="95"/>
        <v>#N/A</v>
      </c>
      <c r="AB191" s="60" t="e">
        <f t="shared" si="96"/>
        <v>#N/A</v>
      </c>
      <c r="AE191" s="52"/>
      <c r="AF191" s="51"/>
    </row>
    <row r="192" spans="1:32" s="53" customFormat="1" ht="15" customHeight="1">
      <c r="A192" s="51"/>
      <c r="B192" s="74">
        <f>'124+900 '!B192</f>
        <v>0</v>
      </c>
      <c r="C192" s="73">
        <f t="shared" si="86"/>
        <v>-45243</v>
      </c>
      <c r="D192" s="72">
        <f t="shared" si="87"/>
        <v>1026</v>
      </c>
      <c r="E192" s="67" t="e">
        <f>VLOOKUP(B192,'124+900 '!B167:AA772,3,FALSE)</f>
        <v>#N/A</v>
      </c>
      <c r="F192" s="67" t="e">
        <f t="shared" si="81"/>
        <v>#N/A</v>
      </c>
      <c r="G192" s="71" t="e">
        <f>VLOOKUP(B192,'124+900 '!$B$13:$AA$314,20,FALSE)</f>
        <v>#N/A</v>
      </c>
      <c r="H192" s="71" t="e">
        <f>VLOOKUP(B192,'124+900 '!$B$13:$AA$314,4,FALSE)</f>
        <v>#N/A</v>
      </c>
      <c r="I192" s="66" t="e">
        <f t="shared" si="82"/>
        <v>#N/A</v>
      </c>
      <c r="J192" s="66" t="e">
        <f>VLOOKUP(B192,'124+900 '!$B$13:$AA$314,13,FALSE)</f>
        <v>#N/A</v>
      </c>
      <c r="K192" s="70" t="e">
        <f t="shared" si="88"/>
        <v>#N/A</v>
      </c>
      <c r="L192" s="69" t="e">
        <f t="shared" si="89"/>
        <v>#N/A</v>
      </c>
      <c r="M192" s="68" t="e">
        <f>VLOOKUP(B192,'124+900 '!$B$13:$AA$314,21,FALSE)</f>
        <v>#N/A</v>
      </c>
      <c r="N192" s="67" t="e">
        <f>VLOOKUP(B192,'124+900 '!$B$13:$AA$314,5,FALSE)</f>
        <v>#N/A</v>
      </c>
      <c r="O192" s="66" t="e">
        <f t="shared" si="83"/>
        <v>#N/A</v>
      </c>
      <c r="P192" s="66" t="e">
        <f>VLOOKUP(B192,'124+900 '!$B$13:$AA$314,14,FALSE)</f>
        <v>#N/A</v>
      </c>
      <c r="Q192" s="70" t="e">
        <f t="shared" si="90"/>
        <v>#N/A</v>
      </c>
      <c r="R192" s="69" t="e">
        <f t="shared" si="91"/>
        <v>#N/A</v>
      </c>
      <c r="S192" s="68" t="e">
        <f>VLOOKUP(B192,'124+900 '!$B$13:$AA$314,22,FALSE)</f>
        <v>#N/A</v>
      </c>
      <c r="T192" s="67" t="e">
        <f>VLOOKUP(B192,'124+900 '!$B$13:$AA$314,6,FALSE)</f>
        <v>#N/A</v>
      </c>
      <c r="U192" s="66" t="e">
        <f t="shared" si="84"/>
        <v>#N/A</v>
      </c>
      <c r="V192" s="65" t="e">
        <f>VLOOKUP(B192,'124+900 '!$B$13:$AA$314,15,FALSE)</f>
        <v>#N/A</v>
      </c>
      <c r="W192" s="64" t="e">
        <f t="shared" si="92"/>
        <v>#N/A</v>
      </c>
      <c r="X192" s="63" t="e">
        <f t="shared" si="93"/>
        <v>#N/A</v>
      </c>
      <c r="Y192" s="62" t="e">
        <f t="shared" si="94"/>
        <v>#N/A</v>
      </c>
      <c r="Z192" s="61" t="e">
        <f t="shared" si="85"/>
        <v>#N/A</v>
      </c>
      <c r="AA192" s="60" t="e">
        <f t="shared" si="95"/>
        <v>#N/A</v>
      </c>
      <c r="AB192" s="60" t="e">
        <f t="shared" si="96"/>
        <v>#N/A</v>
      </c>
      <c r="AE192" s="52"/>
      <c r="AF192" s="51"/>
    </row>
    <row r="193" spans="1:32" s="53" customFormat="1" ht="15" customHeight="1">
      <c r="A193" s="51"/>
      <c r="B193" s="74">
        <f>'124+900 '!B193</f>
        <v>0</v>
      </c>
      <c r="C193" s="73">
        <f t="shared" si="86"/>
        <v>-45243</v>
      </c>
      <c r="D193" s="72">
        <f t="shared" si="87"/>
        <v>1026</v>
      </c>
      <c r="E193" s="67" t="e">
        <f>VLOOKUP(B193,'124+900 '!B168:AA773,3,FALSE)</f>
        <v>#N/A</v>
      </c>
      <c r="F193" s="67" t="e">
        <f t="shared" si="81"/>
        <v>#N/A</v>
      </c>
      <c r="G193" s="71" t="e">
        <f>VLOOKUP(B193,'124+900 '!$B$13:$AA$314,20,FALSE)</f>
        <v>#N/A</v>
      </c>
      <c r="H193" s="71" t="e">
        <f>VLOOKUP(B193,'124+900 '!$B$13:$AA$314,4,FALSE)</f>
        <v>#N/A</v>
      </c>
      <c r="I193" s="66" t="e">
        <f t="shared" si="82"/>
        <v>#N/A</v>
      </c>
      <c r="J193" s="66" t="e">
        <f>VLOOKUP(B193,'124+900 '!$B$13:$AA$314,13,FALSE)</f>
        <v>#N/A</v>
      </c>
      <c r="K193" s="70" t="e">
        <f t="shared" si="88"/>
        <v>#N/A</v>
      </c>
      <c r="L193" s="69" t="e">
        <f t="shared" si="89"/>
        <v>#N/A</v>
      </c>
      <c r="M193" s="68" t="e">
        <f>VLOOKUP(B193,'124+900 '!$B$13:$AA$314,21,FALSE)</f>
        <v>#N/A</v>
      </c>
      <c r="N193" s="67" t="e">
        <f>VLOOKUP(B193,'124+900 '!$B$13:$AA$314,5,FALSE)</f>
        <v>#N/A</v>
      </c>
      <c r="O193" s="66" t="e">
        <f t="shared" si="83"/>
        <v>#N/A</v>
      </c>
      <c r="P193" s="66" t="e">
        <f>VLOOKUP(B193,'124+900 '!$B$13:$AA$314,14,FALSE)</f>
        <v>#N/A</v>
      </c>
      <c r="Q193" s="70" t="e">
        <f t="shared" si="90"/>
        <v>#N/A</v>
      </c>
      <c r="R193" s="69" t="e">
        <f t="shared" si="91"/>
        <v>#N/A</v>
      </c>
      <c r="S193" s="68" t="e">
        <f>VLOOKUP(B193,'124+900 '!$B$13:$AA$314,22,FALSE)</f>
        <v>#N/A</v>
      </c>
      <c r="T193" s="67" t="e">
        <f>VLOOKUP(B193,'124+900 '!$B$13:$AA$314,6,FALSE)</f>
        <v>#N/A</v>
      </c>
      <c r="U193" s="66" t="e">
        <f t="shared" si="84"/>
        <v>#N/A</v>
      </c>
      <c r="V193" s="65" t="e">
        <f>VLOOKUP(B193,'124+900 '!$B$13:$AA$314,15,FALSE)</f>
        <v>#N/A</v>
      </c>
      <c r="W193" s="64" t="e">
        <f t="shared" si="92"/>
        <v>#N/A</v>
      </c>
      <c r="X193" s="63" t="e">
        <f t="shared" si="93"/>
        <v>#N/A</v>
      </c>
      <c r="Y193" s="62" t="e">
        <f t="shared" si="94"/>
        <v>#N/A</v>
      </c>
      <c r="Z193" s="61" t="e">
        <f t="shared" si="85"/>
        <v>#N/A</v>
      </c>
      <c r="AA193" s="60" t="e">
        <f t="shared" si="95"/>
        <v>#N/A</v>
      </c>
      <c r="AB193" s="60" t="e">
        <f t="shared" si="96"/>
        <v>#N/A</v>
      </c>
      <c r="AE193" s="52"/>
      <c r="AF193" s="51"/>
    </row>
    <row r="194" spans="1:32" s="53" customFormat="1" ht="15" customHeight="1">
      <c r="A194" s="51"/>
      <c r="B194" s="74">
        <f>'124+900 '!B194</f>
        <v>0</v>
      </c>
      <c r="C194" s="73">
        <f t="shared" si="86"/>
        <v>-45243</v>
      </c>
      <c r="D194" s="72">
        <f t="shared" si="87"/>
        <v>1026</v>
      </c>
      <c r="E194" s="67" t="e">
        <f>VLOOKUP(B194,'124+900 '!B169:AA774,3,FALSE)</f>
        <v>#N/A</v>
      </c>
      <c r="F194" s="67" t="e">
        <f t="shared" si="81"/>
        <v>#N/A</v>
      </c>
      <c r="G194" s="71" t="e">
        <f>VLOOKUP(B194,'124+900 '!$B$13:$AA$314,20,FALSE)</f>
        <v>#N/A</v>
      </c>
      <c r="H194" s="71" t="e">
        <f>VLOOKUP(B194,'124+900 '!$B$13:$AA$314,4,FALSE)</f>
        <v>#N/A</v>
      </c>
      <c r="I194" s="66" t="e">
        <f t="shared" si="82"/>
        <v>#N/A</v>
      </c>
      <c r="J194" s="66" t="e">
        <f>VLOOKUP(B194,'124+900 '!$B$13:$AA$314,13,FALSE)</f>
        <v>#N/A</v>
      </c>
      <c r="K194" s="70" t="e">
        <f t="shared" si="88"/>
        <v>#N/A</v>
      </c>
      <c r="L194" s="69" t="e">
        <f t="shared" si="89"/>
        <v>#N/A</v>
      </c>
      <c r="M194" s="68" t="e">
        <f>VLOOKUP(B194,'124+900 '!$B$13:$AA$314,21,FALSE)</f>
        <v>#N/A</v>
      </c>
      <c r="N194" s="67" t="e">
        <f>VLOOKUP(B194,'124+900 '!$B$13:$AA$314,5,FALSE)</f>
        <v>#N/A</v>
      </c>
      <c r="O194" s="66" t="e">
        <f t="shared" si="83"/>
        <v>#N/A</v>
      </c>
      <c r="P194" s="66" t="e">
        <f>VLOOKUP(B194,'124+900 '!$B$13:$AA$314,14,FALSE)</f>
        <v>#N/A</v>
      </c>
      <c r="Q194" s="70" t="e">
        <f t="shared" si="90"/>
        <v>#N/A</v>
      </c>
      <c r="R194" s="69" t="e">
        <f t="shared" si="91"/>
        <v>#N/A</v>
      </c>
      <c r="S194" s="68" t="e">
        <f>VLOOKUP(B194,'124+900 '!$B$13:$AA$314,22,FALSE)</f>
        <v>#N/A</v>
      </c>
      <c r="T194" s="67" t="e">
        <f>VLOOKUP(B194,'124+900 '!$B$13:$AA$314,6,FALSE)</f>
        <v>#N/A</v>
      </c>
      <c r="U194" s="66" t="e">
        <f t="shared" si="84"/>
        <v>#N/A</v>
      </c>
      <c r="V194" s="65" t="e">
        <f>VLOOKUP(B194,'124+900 '!$B$13:$AA$314,15,FALSE)</f>
        <v>#N/A</v>
      </c>
      <c r="W194" s="64" t="e">
        <f t="shared" si="92"/>
        <v>#N/A</v>
      </c>
      <c r="X194" s="63" t="e">
        <f t="shared" si="93"/>
        <v>#N/A</v>
      </c>
      <c r="Y194" s="62" t="e">
        <f t="shared" si="94"/>
        <v>#N/A</v>
      </c>
      <c r="Z194" s="61" t="e">
        <f t="shared" si="85"/>
        <v>#N/A</v>
      </c>
      <c r="AA194" s="60" t="e">
        <f t="shared" si="95"/>
        <v>#N/A</v>
      </c>
      <c r="AB194" s="60" t="e">
        <f t="shared" si="96"/>
        <v>#N/A</v>
      </c>
      <c r="AE194" s="52"/>
      <c r="AF194" s="51"/>
    </row>
    <row r="195" spans="1:32" s="53" customFormat="1" ht="15" customHeight="1">
      <c r="A195" s="51"/>
      <c r="B195" s="74">
        <f>'124+900 '!B195</f>
        <v>0</v>
      </c>
      <c r="C195" s="73">
        <f t="shared" si="86"/>
        <v>-45243</v>
      </c>
      <c r="D195" s="72">
        <f t="shared" si="87"/>
        <v>1026</v>
      </c>
      <c r="E195" s="67" t="e">
        <f>VLOOKUP(B195,'124+900 '!B170:AA775,3,FALSE)</f>
        <v>#N/A</v>
      </c>
      <c r="F195" s="67" t="e">
        <f t="shared" si="81"/>
        <v>#N/A</v>
      </c>
      <c r="G195" s="71" t="e">
        <f>VLOOKUP(B195,'124+900 '!$B$13:$AA$314,20,FALSE)</f>
        <v>#N/A</v>
      </c>
      <c r="H195" s="71" t="e">
        <f>VLOOKUP(B195,'124+900 '!$B$13:$AA$314,4,FALSE)</f>
        <v>#N/A</v>
      </c>
      <c r="I195" s="66" t="e">
        <f t="shared" si="82"/>
        <v>#N/A</v>
      </c>
      <c r="J195" s="66" t="e">
        <f>VLOOKUP(B195,'124+900 '!$B$13:$AA$314,13,FALSE)</f>
        <v>#N/A</v>
      </c>
      <c r="K195" s="70" t="e">
        <f t="shared" si="88"/>
        <v>#N/A</v>
      </c>
      <c r="L195" s="69" t="e">
        <f t="shared" si="89"/>
        <v>#N/A</v>
      </c>
      <c r="M195" s="68" t="e">
        <f>VLOOKUP(B195,'124+900 '!$B$13:$AA$314,21,FALSE)</f>
        <v>#N/A</v>
      </c>
      <c r="N195" s="67" t="e">
        <f>VLOOKUP(B195,'124+900 '!$B$13:$AA$314,5,FALSE)</f>
        <v>#N/A</v>
      </c>
      <c r="O195" s="66" t="e">
        <f t="shared" si="83"/>
        <v>#N/A</v>
      </c>
      <c r="P195" s="66" t="e">
        <f>VLOOKUP(B195,'124+900 '!$B$13:$AA$314,14,FALSE)</f>
        <v>#N/A</v>
      </c>
      <c r="Q195" s="70" t="e">
        <f t="shared" si="90"/>
        <v>#N/A</v>
      </c>
      <c r="R195" s="69" t="e">
        <f t="shared" si="91"/>
        <v>#N/A</v>
      </c>
      <c r="S195" s="68" t="e">
        <f>VLOOKUP(B195,'124+900 '!$B$13:$AA$314,22,FALSE)</f>
        <v>#N/A</v>
      </c>
      <c r="T195" s="67" t="e">
        <f>VLOOKUP(B195,'124+900 '!$B$13:$AA$314,6,FALSE)</f>
        <v>#N/A</v>
      </c>
      <c r="U195" s="66" t="e">
        <f t="shared" si="84"/>
        <v>#N/A</v>
      </c>
      <c r="V195" s="65" t="e">
        <f>VLOOKUP(B195,'124+900 '!$B$13:$AA$314,15,FALSE)</f>
        <v>#N/A</v>
      </c>
      <c r="W195" s="64" t="e">
        <f t="shared" si="92"/>
        <v>#N/A</v>
      </c>
      <c r="X195" s="63" t="e">
        <f t="shared" si="93"/>
        <v>#N/A</v>
      </c>
      <c r="Y195" s="62" t="e">
        <f t="shared" si="94"/>
        <v>#N/A</v>
      </c>
      <c r="Z195" s="61" t="e">
        <f t="shared" si="85"/>
        <v>#N/A</v>
      </c>
      <c r="AA195" s="60" t="e">
        <f t="shared" si="95"/>
        <v>#N/A</v>
      </c>
      <c r="AB195" s="60" t="e">
        <f t="shared" si="96"/>
        <v>#N/A</v>
      </c>
      <c r="AE195" s="52"/>
      <c r="AF195" s="51"/>
    </row>
    <row r="196" spans="1:32" s="53" customFormat="1" ht="15" customHeight="1">
      <c r="A196" s="51"/>
      <c r="B196" s="74">
        <f>'124+900 '!B196</f>
        <v>0</v>
      </c>
      <c r="C196" s="73">
        <f t="shared" si="86"/>
        <v>-45243</v>
      </c>
      <c r="D196" s="72">
        <f t="shared" si="87"/>
        <v>1026</v>
      </c>
      <c r="E196" s="67" t="e">
        <f>VLOOKUP(B196,'124+900 '!B171:AA776,3,FALSE)</f>
        <v>#N/A</v>
      </c>
      <c r="F196" s="67" t="e">
        <f t="shared" si="81"/>
        <v>#N/A</v>
      </c>
      <c r="G196" s="71" t="e">
        <f>VLOOKUP(B196,'124+900 '!$B$13:$AA$314,20,FALSE)</f>
        <v>#N/A</v>
      </c>
      <c r="H196" s="71" t="e">
        <f>VLOOKUP(B196,'124+900 '!$B$13:$AA$314,4,FALSE)</f>
        <v>#N/A</v>
      </c>
      <c r="I196" s="66" t="e">
        <f t="shared" si="82"/>
        <v>#N/A</v>
      </c>
      <c r="J196" s="66" t="e">
        <f>VLOOKUP(B196,'124+900 '!$B$13:$AA$314,13,FALSE)</f>
        <v>#N/A</v>
      </c>
      <c r="K196" s="70" t="e">
        <f t="shared" si="88"/>
        <v>#N/A</v>
      </c>
      <c r="L196" s="69" t="e">
        <f t="shared" si="89"/>
        <v>#N/A</v>
      </c>
      <c r="M196" s="68" t="e">
        <f>VLOOKUP(B196,'124+900 '!$B$13:$AA$314,21,FALSE)</f>
        <v>#N/A</v>
      </c>
      <c r="N196" s="67" t="e">
        <f>VLOOKUP(B196,'124+900 '!$B$13:$AA$314,5,FALSE)</f>
        <v>#N/A</v>
      </c>
      <c r="O196" s="66" t="e">
        <f t="shared" si="83"/>
        <v>#N/A</v>
      </c>
      <c r="P196" s="66" t="e">
        <f>VLOOKUP(B196,'124+900 '!$B$13:$AA$314,14,FALSE)</f>
        <v>#N/A</v>
      </c>
      <c r="Q196" s="70" t="e">
        <f t="shared" si="90"/>
        <v>#N/A</v>
      </c>
      <c r="R196" s="69" t="e">
        <f t="shared" si="91"/>
        <v>#N/A</v>
      </c>
      <c r="S196" s="68" t="e">
        <f>VLOOKUP(B196,'124+900 '!$B$13:$AA$314,22,FALSE)</f>
        <v>#N/A</v>
      </c>
      <c r="T196" s="67" t="e">
        <f>VLOOKUP(B196,'124+900 '!$B$13:$AA$314,6,FALSE)</f>
        <v>#N/A</v>
      </c>
      <c r="U196" s="66" t="e">
        <f t="shared" si="84"/>
        <v>#N/A</v>
      </c>
      <c r="V196" s="65" t="e">
        <f>VLOOKUP(B196,'124+900 '!$B$13:$AA$314,15,FALSE)</f>
        <v>#N/A</v>
      </c>
      <c r="W196" s="64" t="e">
        <f t="shared" si="92"/>
        <v>#N/A</v>
      </c>
      <c r="X196" s="63" t="e">
        <f t="shared" si="93"/>
        <v>#N/A</v>
      </c>
      <c r="Y196" s="62" t="e">
        <f t="shared" si="94"/>
        <v>#N/A</v>
      </c>
      <c r="Z196" s="61" t="e">
        <f t="shared" si="85"/>
        <v>#N/A</v>
      </c>
      <c r="AA196" s="60" t="e">
        <f t="shared" si="95"/>
        <v>#N/A</v>
      </c>
      <c r="AB196" s="60" t="e">
        <f t="shared" si="96"/>
        <v>#N/A</v>
      </c>
      <c r="AE196" s="52"/>
      <c r="AF196" s="51"/>
    </row>
    <row r="197" spans="1:32" s="53" customFormat="1" ht="15" customHeight="1">
      <c r="A197" s="51"/>
      <c r="B197" s="74">
        <f>'124+900 '!B197</f>
        <v>0</v>
      </c>
      <c r="C197" s="73">
        <f t="shared" si="86"/>
        <v>-45243</v>
      </c>
      <c r="D197" s="72">
        <f t="shared" si="87"/>
        <v>1026</v>
      </c>
      <c r="E197" s="67" t="e">
        <f>VLOOKUP(B197,'124+900 '!B172:AA777,3,FALSE)</f>
        <v>#N/A</v>
      </c>
      <c r="F197" s="67" t="e">
        <f t="shared" si="81"/>
        <v>#N/A</v>
      </c>
      <c r="G197" s="71" t="e">
        <f>VLOOKUP(B197,'124+900 '!$B$13:$AA$314,20,FALSE)</f>
        <v>#N/A</v>
      </c>
      <c r="H197" s="71" t="e">
        <f>VLOOKUP(B197,'124+900 '!$B$13:$AA$314,4,FALSE)</f>
        <v>#N/A</v>
      </c>
      <c r="I197" s="66" t="e">
        <f t="shared" si="82"/>
        <v>#N/A</v>
      </c>
      <c r="J197" s="66" t="e">
        <f>VLOOKUP(B197,'124+900 '!$B$13:$AA$314,13,FALSE)</f>
        <v>#N/A</v>
      </c>
      <c r="K197" s="70" t="e">
        <f t="shared" si="88"/>
        <v>#N/A</v>
      </c>
      <c r="L197" s="69" t="e">
        <f t="shared" si="89"/>
        <v>#N/A</v>
      </c>
      <c r="M197" s="68" t="e">
        <f>VLOOKUP(B197,'124+900 '!$B$13:$AA$314,21,FALSE)</f>
        <v>#N/A</v>
      </c>
      <c r="N197" s="67" t="e">
        <f>VLOOKUP(B197,'124+900 '!$B$13:$AA$314,5,FALSE)</f>
        <v>#N/A</v>
      </c>
      <c r="O197" s="66" t="e">
        <f t="shared" si="83"/>
        <v>#N/A</v>
      </c>
      <c r="P197" s="66" t="e">
        <f>VLOOKUP(B197,'124+900 '!$B$13:$AA$314,14,FALSE)</f>
        <v>#N/A</v>
      </c>
      <c r="Q197" s="70" t="e">
        <f t="shared" si="90"/>
        <v>#N/A</v>
      </c>
      <c r="R197" s="69" t="e">
        <f t="shared" si="91"/>
        <v>#N/A</v>
      </c>
      <c r="S197" s="68" t="e">
        <f>VLOOKUP(B197,'124+900 '!$B$13:$AA$314,22,FALSE)</f>
        <v>#N/A</v>
      </c>
      <c r="T197" s="67" t="e">
        <f>VLOOKUP(B197,'124+900 '!$B$13:$AA$314,6,FALSE)</f>
        <v>#N/A</v>
      </c>
      <c r="U197" s="66" t="e">
        <f t="shared" si="84"/>
        <v>#N/A</v>
      </c>
      <c r="V197" s="65" t="e">
        <f>VLOOKUP(B197,'124+900 '!$B$13:$AA$314,15,FALSE)</f>
        <v>#N/A</v>
      </c>
      <c r="W197" s="64" t="e">
        <f t="shared" si="92"/>
        <v>#N/A</v>
      </c>
      <c r="X197" s="63" t="e">
        <f t="shared" si="93"/>
        <v>#N/A</v>
      </c>
      <c r="Y197" s="62" t="e">
        <f t="shared" si="94"/>
        <v>#N/A</v>
      </c>
      <c r="Z197" s="61" t="e">
        <f t="shared" si="85"/>
        <v>#N/A</v>
      </c>
      <c r="AA197" s="60" t="e">
        <f t="shared" si="95"/>
        <v>#N/A</v>
      </c>
      <c r="AB197" s="60" t="e">
        <f t="shared" si="96"/>
        <v>#N/A</v>
      </c>
      <c r="AE197" s="52"/>
      <c r="AF197" s="51"/>
    </row>
    <row r="198" spans="1:32" s="53" customFormat="1" ht="15" customHeight="1">
      <c r="A198" s="51"/>
      <c r="B198" s="74">
        <f>'124+900 '!B198</f>
        <v>0</v>
      </c>
      <c r="C198" s="73">
        <f t="shared" si="86"/>
        <v>-45243</v>
      </c>
      <c r="D198" s="72">
        <f t="shared" si="87"/>
        <v>1026</v>
      </c>
      <c r="E198" s="67" t="e">
        <f>VLOOKUP(B198,'124+900 '!B173:AA778,3,FALSE)</f>
        <v>#N/A</v>
      </c>
      <c r="F198" s="67" t="e">
        <f t="shared" si="81"/>
        <v>#N/A</v>
      </c>
      <c r="G198" s="71" t="e">
        <f>VLOOKUP(B198,'124+900 '!$B$13:$AA$314,20,FALSE)</f>
        <v>#N/A</v>
      </c>
      <c r="H198" s="71" t="e">
        <f>VLOOKUP(B198,'124+900 '!$B$13:$AA$314,4,FALSE)</f>
        <v>#N/A</v>
      </c>
      <c r="I198" s="66" t="e">
        <f t="shared" si="82"/>
        <v>#N/A</v>
      </c>
      <c r="J198" s="66" t="e">
        <f>VLOOKUP(B198,'124+900 '!$B$13:$AA$314,13,FALSE)</f>
        <v>#N/A</v>
      </c>
      <c r="K198" s="70" t="e">
        <f t="shared" si="88"/>
        <v>#N/A</v>
      </c>
      <c r="L198" s="69" t="e">
        <f t="shared" si="89"/>
        <v>#N/A</v>
      </c>
      <c r="M198" s="68" t="e">
        <f>VLOOKUP(B198,'124+900 '!$B$13:$AA$314,21,FALSE)</f>
        <v>#N/A</v>
      </c>
      <c r="N198" s="67" t="e">
        <f>VLOOKUP(B198,'124+900 '!$B$13:$AA$314,5,FALSE)</f>
        <v>#N/A</v>
      </c>
      <c r="O198" s="66" t="e">
        <f t="shared" si="83"/>
        <v>#N/A</v>
      </c>
      <c r="P198" s="66" t="e">
        <f>VLOOKUP(B198,'124+900 '!$B$13:$AA$314,14,FALSE)</f>
        <v>#N/A</v>
      </c>
      <c r="Q198" s="70" t="e">
        <f t="shared" si="90"/>
        <v>#N/A</v>
      </c>
      <c r="R198" s="69" t="e">
        <f t="shared" si="91"/>
        <v>#N/A</v>
      </c>
      <c r="S198" s="68" t="e">
        <f>VLOOKUP(B198,'124+900 '!$B$13:$AA$314,22,FALSE)</f>
        <v>#N/A</v>
      </c>
      <c r="T198" s="67" t="e">
        <f>VLOOKUP(B198,'124+900 '!$B$13:$AA$314,6,FALSE)</f>
        <v>#N/A</v>
      </c>
      <c r="U198" s="66" t="e">
        <f t="shared" si="84"/>
        <v>#N/A</v>
      </c>
      <c r="V198" s="65" t="e">
        <f>VLOOKUP(B198,'124+900 '!$B$13:$AA$314,15,FALSE)</f>
        <v>#N/A</v>
      </c>
      <c r="W198" s="64" t="e">
        <f t="shared" si="92"/>
        <v>#N/A</v>
      </c>
      <c r="X198" s="63" t="e">
        <f t="shared" si="93"/>
        <v>#N/A</v>
      </c>
      <c r="Y198" s="62" t="e">
        <f t="shared" si="94"/>
        <v>#N/A</v>
      </c>
      <c r="Z198" s="61" t="e">
        <f t="shared" si="85"/>
        <v>#N/A</v>
      </c>
      <c r="AA198" s="60" t="e">
        <f t="shared" si="95"/>
        <v>#N/A</v>
      </c>
      <c r="AB198" s="60" t="e">
        <f t="shared" si="96"/>
        <v>#N/A</v>
      </c>
      <c r="AE198" s="52"/>
      <c r="AF198" s="51"/>
    </row>
    <row r="199" spans="1:32" s="53" customFormat="1" ht="15" customHeight="1">
      <c r="A199" s="51"/>
      <c r="B199" s="74">
        <f>'124+900 '!B199</f>
        <v>0</v>
      </c>
      <c r="C199" s="73">
        <f t="shared" si="86"/>
        <v>-45243</v>
      </c>
      <c r="D199" s="72">
        <f t="shared" si="87"/>
        <v>1026</v>
      </c>
      <c r="E199" s="67" t="e">
        <f>VLOOKUP(B199,'124+900 '!B174:AA779,3,FALSE)</f>
        <v>#N/A</v>
      </c>
      <c r="F199" s="67" t="e">
        <f t="shared" si="81"/>
        <v>#N/A</v>
      </c>
      <c r="G199" s="71" t="e">
        <f>VLOOKUP(B199,'124+900 '!$B$13:$AA$314,20,FALSE)</f>
        <v>#N/A</v>
      </c>
      <c r="H199" s="71" t="e">
        <f>VLOOKUP(B199,'124+900 '!$B$13:$AA$314,4,FALSE)</f>
        <v>#N/A</v>
      </c>
      <c r="I199" s="66" t="e">
        <f t="shared" si="82"/>
        <v>#N/A</v>
      </c>
      <c r="J199" s="66" t="e">
        <f>VLOOKUP(B199,'124+900 '!$B$13:$AA$314,13,FALSE)</f>
        <v>#N/A</v>
      </c>
      <c r="K199" s="70" t="e">
        <f t="shared" si="88"/>
        <v>#N/A</v>
      </c>
      <c r="L199" s="69" t="e">
        <f t="shared" si="89"/>
        <v>#N/A</v>
      </c>
      <c r="M199" s="68" t="e">
        <f>VLOOKUP(B199,'124+900 '!$B$13:$AA$314,21,FALSE)</f>
        <v>#N/A</v>
      </c>
      <c r="N199" s="67" t="e">
        <f>VLOOKUP(B199,'124+900 '!$B$13:$AA$314,5,FALSE)</f>
        <v>#N/A</v>
      </c>
      <c r="O199" s="66" t="e">
        <f t="shared" si="83"/>
        <v>#N/A</v>
      </c>
      <c r="P199" s="66" t="e">
        <f>VLOOKUP(B199,'124+900 '!$B$13:$AA$314,14,FALSE)</f>
        <v>#N/A</v>
      </c>
      <c r="Q199" s="70" t="e">
        <f t="shared" si="90"/>
        <v>#N/A</v>
      </c>
      <c r="R199" s="69" t="e">
        <f t="shared" si="91"/>
        <v>#N/A</v>
      </c>
      <c r="S199" s="68" t="e">
        <f>VLOOKUP(B199,'124+900 '!$B$13:$AA$314,22,FALSE)</f>
        <v>#N/A</v>
      </c>
      <c r="T199" s="67" t="e">
        <f>VLOOKUP(B199,'124+900 '!$B$13:$AA$314,6,FALSE)</f>
        <v>#N/A</v>
      </c>
      <c r="U199" s="66" t="e">
        <f t="shared" si="84"/>
        <v>#N/A</v>
      </c>
      <c r="V199" s="65" t="e">
        <f>VLOOKUP(B199,'124+900 '!$B$13:$AA$314,15,FALSE)</f>
        <v>#N/A</v>
      </c>
      <c r="W199" s="64" t="e">
        <f t="shared" si="92"/>
        <v>#N/A</v>
      </c>
      <c r="X199" s="63" t="e">
        <f t="shared" si="93"/>
        <v>#N/A</v>
      </c>
      <c r="Y199" s="62" t="e">
        <f t="shared" si="94"/>
        <v>#N/A</v>
      </c>
      <c r="Z199" s="61" t="e">
        <f t="shared" si="85"/>
        <v>#N/A</v>
      </c>
      <c r="AA199" s="60" t="e">
        <f t="shared" si="95"/>
        <v>#N/A</v>
      </c>
      <c r="AB199" s="60" t="e">
        <f t="shared" si="96"/>
        <v>#N/A</v>
      </c>
      <c r="AE199" s="52"/>
      <c r="AF199" s="51"/>
    </row>
    <row r="200" spans="1:32" s="53" customFormat="1">
      <c r="A200" s="51"/>
      <c r="B200" s="74">
        <f>'124+900 '!B200</f>
        <v>0</v>
      </c>
      <c r="C200" s="73">
        <f t="shared" si="86"/>
        <v>-45243</v>
      </c>
      <c r="D200" s="72">
        <f t="shared" si="87"/>
        <v>1026</v>
      </c>
      <c r="E200" s="67" t="e">
        <f>VLOOKUP(B200,'124+900 '!B175:AA780,3,FALSE)</f>
        <v>#N/A</v>
      </c>
      <c r="F200" s="67" t="e">
        <f t="shared" si="81"/>
        <v>#N/A</v>
      </c>
      <c r="G200" s="71" t="e">
        <f>VLOOKUP(B200,'124+900 '!$B$13:$AA$314,20,FALSE)</f>
        <v>#N/A</v>
      </c>
      <c r="H200" s="71" t="e">
        <f>VLOOKUP(B200,'124+900 '!$B$13:$AA$314,4,FALSE)</f>
        <v>#N/A</v>
      </c>
      <c r="I200" s="66" t="e">
        <f t="shared" si="82"/>
        <v>#N/A</v>
      </c>
      <c r="J200" s="66" t="e">
        <f>VLOOKUP(B200,'124+900 '!$B$13:$AA$314,13,FALSE)</f>
        <v>#N/A</v>
      </c>
      <c r="K200" s="70" t="e">
        <f t="shared" si="88"/>
        <v>#N/A</v>
      </c>
      <c r="L200" s="69" t="e">
        <f t="shared" si="89"/>
        <v>#N/A</v>
      </c>
      <c r="M200" s="68" t="e">
        <f>VLOOKUP(B200,'124+900 '!$B$13:$AA$314,21,FALSE)</f>
        <v>#N/A</v>
      </c>
      <c r="N200" s="67" t="e">
        <f>VLOOKUP(B200,'124+900 '!$B$13:$AA$314,5,FALSE)</f>
        <v>#N/A</v>
      </c>
      <c r="O200" s="66" t="e">
        <f t="shared" si="83"/>
        <v>#N/A</v>
      </c>
      <c r="P200" s="66" t="e">
        <f>VLOOKUP(B200,'124+900 '!$B$13:$AA$314,14,FALSE)</f>
        <v>#N/A</v>
      </c>
      <c r="Q200" s="70" t="e">
        <f t="shared" si="90"/>
        <v>#N/A</v>
      </c>
      <c r="R200" s="69" t="e">
        <f t="shared" si="91"/>
        <v>#N/A</v>
      </c>
      <c r="S200" s="68" t="e">
        <f>VLOOKUP(B200,'124+900 '!$B$13:$AA$314,22,FALSE)</f>
        <v>#N/A</v>
      </c>
      <c r="T200" s="67" t="e">
        <f>VLOOKUP(B200,'124+900 '!$B$13:$AA$314,6,FALSE)</f>
        <v>#N/A</v>
      </c>
      <c r="U200" s="66" t="e">
        <f t="shared" si="84"/>
        <v>#N/A</v>
      </c>
      <c r="V200" s="65" t="e">
        <f>VLOOKUP(B200,'124+900 '!$B$13:$AA$314,15,FALSE)</f>
        <v>#N/A</v>
      </c>
      <c r="W200" s="64" t="e">
        <f t="shared" si="92"/>
        <v>#N/A</v>
      </c>
      <c r="X200" s="63" t="e">
        <f t="shared" si="93"/>
        <v>#N/A</v>
      </c>
      <c r="Y200" s="62" t="e">
        <f t="shared" si="94"/>
        <v>#N/A</v>
      </c>
      <c r="Z200" s="61" t="e">
        <f t="shared" si="85"/>
        <v>#N/A</v>
      </c>
      <c r="AA200" s="60" t="e">
        <f t="shared" si="95"/>
        <v>#N/A</v>
      </c>
      <c r="AB200" s="60" t="e">
        <f t="shared" si="96"/>
        <v>#N/A</v>
      </c>
      <c r="AE200" s="52"/>
      <c r="AF200" s="51"/>
    </row>
    <row r="201" spans="1:32" s="53" customFormat="1">
      <c r="A201" s="51"/>
      <c r="B201" s="74">
        <f>'124+900 '!B201</f>
        <v>0</v>
      </c>
      <c r="C201" s="73">
        <f t="shared" si="86"/>
        <v>-45243</v>
      </c>
      <c r="D201" s="72">
        <f t="shared" si="87"/>
        <v>1026</v>
      </c>
      <c r="E201" s="67" t="e">
        <f>VLOOKUP(B201,'124+900 '!B176:AA781,3,FALSE)</f>
        <v>#N/A</v>
      </c>
      <c r="F201" s="67" t="e">
        <f t="shared" si="81"/>
        <v>#N/A</v>
      </c>
      <c r="G201" s="71" t="e">
        <f>VLOOKUP(B201,'124+900 '!$B$13:$AA$314,20,FALSE)</f>
        <v>#N/A</v>
      </c>
      <c r="H201" s="71" t="e">
        <f>VLOOKUP(B201,'124+900 '!$B$13:$AA$314,4,FALSE)</f>
        <v>#N/A</v>
      </c>
      <c r="I201" s="66" t="e">
        <f t="shared" si="82"/>
        <v>#N/A</v>
      </c>
      <c r="J201" s="66" t="e">
        <f>VLOOKUP(B201,'124+900 '!$B$13:$AA$314,13,FALSE)</f>
        <v>#N/A</v>
      </c>
      <c r="K201" s="70" t="e">
        <f t="shared" si="88"/>
        <v>#N/A</v>
      </c>
      <c r="L201" s="69" t="e">
        <f t="shared" si="89"/>
        <v>#N/A</v>
      </c>
      <c r="M201" s="68" t="e">
        <f>VLOOKUP(B201,'124+900 '!$B$13:$AA$314,21,FALSE)</f>
        <v>#N/A</v>
      </c>
      <c r="N201" s="67" t="e">
        <f>VLOOKUP(B201,'124+900 '!$B$13:$AA$314,5,FALSE)</f>
        <v>#N/A</v>
      </c>
      <c r="O201" s="66" t="e">
        <f t="shared" si="83"/>
        <v>#N/A</v>
      </c>
      <c r="P201" s="66" t="e">
        <f>VLOOKUP(B201,'124+900 '!$B$13:$AA$314,14,FALSE)</f>
        <v>#N/A</v>
      </c>
      <c r="Q201" s="70" t="e">
        <f t="shared" si="90"/>
        <v>#N/A</v>
      </c>
      <c r="R201" s="69" t="e">
        <f t="shared" si="91"/>
        <v>#N/A</v>
      </c>
      <c r="S201" s="68" t="e">
        <f>VLOOKUP(B201,'124+900 '!$B$13:$AA$314,22,FALSE)</f>
        <v>#N/A</v>
      </c>
      <c r="T201" s="67" t="e">
        <f>VLOOKUP(B201,'124+900 '!$B$13:$AA$314,6,FALSE)</f>
        <v>#N/A</v>
      </c>
      <c r="U201" s="66" t="e">
        <f t="shared" si="84"/>
        <v>#N/A</v>
      </c>
      <c r="V201" s="65" t="e">
        <f>VLOOKUP(B201,'124+900 '!$B$13:$AA$314,15,FALSE)</f>
        <v>#N/A</v>
      </c>
      <c r="W201" s="64" t="e">
        <f t="shared" si="92"/>
        <v>#N/A</v>
      </c>
      <c r="X201" s="63" t="e">
        <f t="shared" si="93"/>
        <v>#N/A</v>
      </c>
      <c r="Y201" s="62" t="e">
        <f t="shared" si="94"/>
        <v>#N/A</v>
      </c>
      <c r="Z201" s="61" t="e">
        <f t="shared" si="85"/>
        <v>#N/A</v>
      </c>
      <c r="AA201" s="60" t="e">
        <f t="shared" si="95"/>
        <v>#N/A</v>
      </c>
      <c r="AB201" s="60" t="e">
        <f t="shared" si="96"/>
        <v>#N/A</v>
      </c>
      <c r="AE201" s="52"/>
      <c r="AF201" s="51"/>
    </row>
    <row r="202" spans="1:32" s="53" customFormat="1">
      <c r="A202" s="51"/>
      <c r="B202" s="74">
        <f>'124+900 '!B202</f>
        <v>0</v>
      </c>
      <c r="C202" s="73">
        <f t="shared" si="86"/>
        <v>-45243</v>
      </c>
      <c r="D202" s="72">
        <f t="shared" si="87"/>
        <v>1026</v>
      </c>
      <c r="E202" s="67" t="e">
        <f>VLOOKUP(B202,'124+900 '!B177:AA782,3,FALSE)</f>
        <v>#N/A</v>
      </c>
      <c r="F202" s="67" t="e">
        <f t="shared" si="81"/>
        <v>#N/A</v>
      </c>
      <c r="G202" s="71" t="e">
        <f>VLOOKUP(B202,'124+900 '!$B$13:$AA$314,20,FALSE)</f>
        <v>#N/A</v>
      </c>
      <c r="H202" s="71" t="e">
        <f>VLOOKUP(B202,'124+900 '!$B$13:$AA$314,4,FALSE)</f>
        <v>#N/A</v>
      </c>
      <c r="I202" s="66" t="e">
        <f t="shared" si="82"/>
        <v>#N/A</v>
      </c>
      <c r="J202" s="66" t="e">
        <f>VLOOKUP(B202,'124+900 '!$B$13:$AA$314,13,FALSE)</f>
        <v>#N/A</v>
      </c>
      <c r="K202" s="70" t="e">
        <f t="shared" si="88"/>
        <v>#N/A</v>
      </c>
      <c r="L202" s="69" t="e">
        <f t="shared" si="89"/>
        <v>#N/A</v>
      </c>
      <c r="M202" s="68" t="e">
        <f>VLOOKUP(B202,'124+900 '!$B$13:$AA$314,21,FALSE)</f>
        <v>#N/A</v>
      </c>
      <c r="N202" s="67" t="e">
        <f>VLOOKUP(B202,'124+900 '!$B$13:$AA$314,5,FALSE)</f>
        <v>#N/A</v>
      </c>
      <c r="O202" s="66" t="e">
        <f t="shared" si="83"/>
        <v>#N/A</v>
      </c>
      <c r="P202" s="66" t="e">
        <f>VLOOKUP(B202,'124+900 '!$B$13:$AA$314,14,FALSE)</f>
        <v>#N/A</v>
      </c>
      <c r="Q202" s="70" t="e">
        <f t="shared" si="90"/>
        <v>#N/A</v>
      </c>
      <c r="R202" s="69" t="e">
        <f t="shared" si="91"/>
        <v>#N/A</v>
      </c>
      <c r="S202" s="68" t="e">
        <f>VLOOKUP(B202,'124+900 '!$B$13:$AA$314,22,FALSE)</f>
        <v>#N/A</v>
      </c>
      <c r="T202" s="67" t="e">
        <f>VLOOKUP(B202,'124+900 '!$B$13:$AA$314,6,FALSE)</f>
        <v>#N/A</v>
      </c>
      <c r="U202" s="66" t="e">
        <f t="shared" si="84"/>
        <v>#N/A</v>
      </c>
      <c r="V202" s="65" t="e">
        <f>VLOOKUP(B202,'124+900 '!$B$13:$AA$314,15,FALSE)</f>
        <v>#N/A</v>
      </c>
      <c r="W202" s="64" t="e">
        <f t="shared" si="92"/>
        <v>#N/A</v>
      </c>
      <c r="X202" s="63" t="e">
        <f t="shared" si="93"/>
        <v>#N/A</v>
      </c>
      <c r="Y202" s="62" t="e">
        <f t="shared" si="94"/>
        <v>#N/A</v>
      </c>
      <c r="Z202" s="61" t="e">
        <f t="shared" si="85"/>
        <v>#N/A</v>
      </c>
      <c r="AA202" s="60" t="e">
        <f t="shared" si="95"/>
        <v>#N/A</v>
      </c>
      <c r="AB202" s="60" t="e">
        <f t="shared" si="96"/>
        <v>#N/A</v>
      </c>
      <c r="AE202" s="52"/>
      <c r="AF202" s="51"/>
    </row>
    <row r="203" spans="1:32" s="53" customFormat="1">
      <c r="A203" s="51"/>
      <c r="B203" s="74">
        <f>'124+900 '!B203</f>
        <v>0</v>
      </c>
      <c r="C203" s="73">
        <f t="shared" si="86"/>
        <v>-45243</v>
      </c>
      <c r="D203" s="72">
        <f t="shared" si="87"/>
        <v>1026</v>
      </c>
      <c r="E203" s="67" t="e">
        <f>VLOOKUP(B203,'124+900 '!B178:AA783,3,FALSE)</f>
        <v>#N/A</v>
      </c>
      <c r="F203" s="67" t="e">
        <f t="shared" si="81"/>
        <v>#N/A</v>
      </c>
      <c r="G203" s="71" t="e">
        <f>VLOOKUP(B203,'124+900 '!$B$13:$AA$314,20,FALSE)</f>
        <v>#N/A</v>
      </c>
      <c r="H203" s="71" t="e">
        <f>VLOOKUP(B203,'124+900 '!$B$13:$AA$314,4,FALSE)</f>
        <v>#N/A</v>
      </c>
      <c r="I203" s="66" t="e">
        <f t="shared" si="82"/>
        <v>#N/A</v>
      </c>
      <c r="J203" s="66" t="e">
        <f>VLOOKUP(B203,'124+900 '!$B$13:$AA$314,13,FALSE)</f>
        <v>#N/A</v>
      </c>
      <c r="K203" s="70" t="e">
        <f t="shared" si="88"/>
        <v>#N/A</v>
      </c>
      <c r="L203" s="69" t="e">
        <f t="shared" si="89"/>
        <v>#N/A</v>
      </c>
      <c r="M203" s="68" t="e">
        <f>VLOOKUP(B203,'124+900 '!$B$13:$AA$314,21,FALSE)</f>
        <v>#N/A</v>
      </c>
      <c r="N203" s="67" t="e">
        <f>VLOOKUP(B203,'124+900 '!$B$13:$AA$314,5,FALSE)</f>
        <v>#N/A</v>
      </c>
      <c r="O203" s="66" t="e">
        <f t="shared" si="83"/>
        <v>#N/A</v>
      </c>
      <c r="P203" s="66" t="e">
        <f>VLOOKUP(B203,'124+900 '!$B$13:$AA$314,14,FALSE)</f>
        <v>#N/A</v>
      </c>
      <c r="Q203" s="70" t="e">
        <f t="shared" si="90"/>
        <v>#N/A</v>
      </c>
      <c r="R203" s="69" t="e">
        <f t="shared" si="91"/>
        <v>#N/A</v>
      </c>
      <c r="S203" s="68" t="e">
        <f>VLOOKUP(B203,'124+900 '!$B$13:$AA$314,22,FALSE)</f>
        <v>#N/A</v>
      </c>
      <c r="T203" s="67" t="e">
        <f>VLOOKUP(B203,'124+900 '!$B$13:$AA$314,6,FALSE)</f>
        <v>#N/A</v>
      </c>
      <c r="U203" s="66" t="e">
        <f t="shared" si="84"/>
        <v>#N/A</v>
      </c>
      <c r="V203" s="65" t="e">
        <f>VLOOKUP(B203,'124+900 '!$B$13:$AA$314,15,FALSE)</f>
        <v>#N/A</v>
      </c>
      <c r="W203" s="64" t="e">
        <f t="shared" si="92"/>
        <v>#N/A</v>
      </c>
      <c r="X203" s="63" t="e">
        <f t="shared" si="93"/>
        <v>#N/A</v>
      </c>
      <c r="Y203" s="62" t="e">
        <f t="shared" si="94"/>
        <v>#N/A</v>
      </c>
      <c r="Z203" s="61" t="e">
        <f t="shared" si="85"/>
        <v>#N/A</v>
      </c>
      <c r="AA203" s="60" t="e">
        <f t="shared" si="95"/>
        <v>#N/A</v>
      </c>
      <c r="AB203" s="60" t="e">
        <f t="shared" si="96"/>
        <v>#N/A</v>
      </c>
      <c r="AE203" s="52"/>
      <c r="AF203" s="51"/>
    </row>
    <row r="204" spans="1:32" s="53" customFormat="1">
      <c r="A204" s="51"/>
      <c r="B204" s="74">
        <f>'124+900 '!B204</f>
        <v>0</v>
      </c>
      <c r="C204" s="73">
        <f t="shared" si="86"/>
        <v>-45243</v>
      </c>
      <c r="D204" s="72">
        <f t="shared" si="87"/>
        <v>1026</v>
      </c>
      <c r="E204" s="67" t="e">
        <f>VLOOKUP(B204,'124+900 '!B179:AA784,3,FALSE)</f>
        <v>#N/A</v>
      </c>
      <c r="F204" s="67" t="e">
        <f t="shared" si="81"/>
        <v>#N/A</v>
      </c>
      <c r="G204" s="71" t="e">
        <f>VLOOKUP(B204,'124+900 '!$B$13:$AA$314,20,FALSE)</f>
        <v>#N/A</v>
      </c>
      <c r="H204" s="71" t="e">
        <f>VLOOKUP(B204,'124+900 '!$B$13:$AA$314,4,FALSE)</f>
        <v>#N/A</v>
      </c>
      <c r="I204" s="66" t="e">
        <f t="shared" si="82"/>
        <v>#N/A</v>
      </c>
      <c r="J204" s="66" t="e">
        <f>VLOOKUP(B204,'124+900 '!$B$13:$AA$314,13,FALSE)</f>
        <v>#N/A</v>
      </c>
      <c r="K204" s="70" t="e">
        <f t="shared" si="88"/>
        <v>#N/A</v>
      </c>
      <c r="L204" s="69" t="e">
        <f t="shared" si="89"/>
        <v>#N/A</v>
      </c>
      <c r="M204" s="68" t="e">
        <f>VLOOKUP(B204,'124+900 '!$B$13:$AA$314,21,FALSE)</f>
        <v>#N/A</v>
      </c>
      <c r="N204" s="67" t="e">
        <f>VLOOKUP(B204,'124+900 '!$B$13:$AA$314,5,FALSE)</f>
        <v>#N/A</v>
      </c>
      <c r="O204" s="66" t="e">
        <f t="shared" si="83"/>
        <v>#N/A</v>
      </c>
      <c r="P204" s="66" t="e">
        <f>VLOOKUP(B204,'124+900 '!$B$13:$AA$314,14,FALSE)</f>
        <v>#N/A</v>
      </c>
      <c r="Q204" s="70" t="e">
        <f t="shared" si="90"/>
        <v>#N/A</v>
      </c>
      <c r="R204" s="69" t="e">
        <f t="shared" si="91"/>
        <v>#N/A</v>
      </c>
      <c r="S204" s="68" t="e">
        <f>VLOOKUP(B204,'124+900 '!$B$13:$AA$314,22,FALSE)</f>
        <v>#N/A</v>
      </c>
      <c r="T204" s="67" t="e">
        <f>VLOOKUP(B204,'124+900 '!$B$13:$AA$314,6,FALSE)</f>
        <v>#N/A</v>
      </c>
      <c r="U204" s="66" t="e">
        <f t="shared" si="84"/>
        <v>#N/A</v>
      </c>
      <c r="V204" s="65" t="e">
        <f>VLOOKUP(B204,'124+900 '!$B$13:$AA$314,15,FALSE)</f>
        <v>#N/A</v>
      </c>
      <c r="W204" s="64" t="e">
        <f t="shared" si="92"/>
        <v>#N/A</v>
      </c>
      <c r="X204" s="63" t="e">
        <f t="shared" si="93"/>
        <v>#N/A</v>
      </c>
      <c r="Y204" s="62" t="e">
        <f t="shared" si="94"/>
        <v>#N/A</v>
      </c>
      <c r="Z204" s="61" t="e">
        <f t="shared" si="85"/>
        <v>#N/A</v>
      </c>
      <c r="AA204" s="60" t="e">
        <f t="shared" si="95"/>
        <v>#N/A</v>
      </c>
      <c r="AB204" s="60" t="e">
        <f t="shared" si="96"/>
        <v>#N/A</v>
      </c>
      <c r="AE204" s="52"/>
      <c r="AF204" s="51"/>
    </row>
    <row r="205" spans="1:32" s="53" customFormat="1">
      <c r="A205" s="51"/>
      <c r="B205" s="74">
        <f>'124+900 '!B205</f>
        <v>0</v>
      </c>
      <c r="C205" s="73">
        <f t="shared" si="86"/>
        <v>-45243</v>
      </c>
      <c r="D205" s="72">
        <f t="shared" si="87"/>
        <v>1026</v>
      </c>
      <c r="E205" s="67" t="e">
        <f>VLOOKUP(B205,'124+900 '!B180:AA785,3,FALSE)</f>
        <v>#N/A</v>
      </c>
      <c r="F205" s="67" t="e">
        <f t="shared" ref="F205:F212" si="97">D205+E205</f>
        <v>#N/A</v>
      </c>
      <c r="G205" s="71" t="e">
        <f>VLOOKUP(B205,'124+900 '!$B$13:$AA$314,20,FALSE)</f>
        <v>#N/A</v>
      </c>
      <c r="H205" s="71" t="e">
        <f>VLOOKUP(B205,'124+900 '!$B$13:$AA$314,4,FALSE)</f>
        <v>#N/A</v>
      </c>
      <c r="I205" s="66" t="e">
        <f t="shared" ref="I205:I212" si="98">F205-H205</f>
        <v>#N/A</v>
      </c>
      <c r="J205" s="66" t="e">
        <f>VLOOKUP(B205,'124+900 '!$B$13:$AA$314,13,FALSE)</f>
        <v>#N/A</v>
      </c>
      <c r="K205" s="70" t="e">
        <f t="shared" si="88"/>
        <v>#N/A</v>
      </c>
      <c r="L205" s="69" t="e">
        <f t="shared" si="89"/>
        <v>#N/A</v>
      </c>
      <c r="M205" s="68" t="e">
        <f>VLOOKUP(B205,'124+900 '!$B$13:$AA$314,21,FALSE)</f>
        <v>#N/A</v>
      </c>
      <c r="N205" s="67" t="e">
        <f>VLOOKUP(B205,'124+900 '!$B$13:$AA$314,5,FALSE)</f>
        <v>#N/A</v>
      </c>
      <c r="O205" s="66" t="e">
        <f t="shared" ref="O205:O212" si="99">F205-N205</f>
        <v>#N/A</v>
      </c>
      <c r="P205" s="66" t="e">
        <f>VLOOKUP(B205,'124+900 '!$B$13:$AA$314,14,FALSE)</f>
        <v>#N/A</v>
      </c>
      <c r="Q205" s="70" t="e">
        <f t="shared" si="90"/>
        <v>#N/A</v>
      </c>
      <c r="R205" s="69" t="e">
        <f t="shared" si="91"/>
        <v>#N/A</v>
      </c>
      <c r="S205" s="68" t="e">
        <f>VLOOKUP(B205,'124+900 '!$B$13:$AA$314,22,FALSE)</f>
        <v>#N/A</v>
      </c>
      <c r="T205" s="67" t="e">
        <f>VLOOKUP(B205,'124+900 '!$B$13:$AA$314,6,FALSE)</f>
        <v>#N/A</v>
      </c>
      <c r="U205" s="66" t="e">
        <f t="shared" ref="U205:U212" si="100">F205-T205</f>
        <v>#N/A</v>
      </c>
      <c r="V205" s="65" t="e">
        <f>VLOOKUP(B205,'124+900 '!$B$13:$AA$314,15,FALSE)</f>
        <v>#N/A</v>
      </c>
      <c r="W205" s="64" t="e">
        <f t="shared" si="92"/>
        <v>#N/A</v>
      </c>
      <c r="X205" s="63" t="e">
        <f t="shared" si="93"/>
        <v>#N/A</v>
      </c>
      <c r="Y205" s="62" t="e">
        <f t="shared" si="94"/>
        <v>#N/A</v>
      </c>
      <c r="Z205" s="61" t="e">
        <f t="shared" ref="Z205:Z212" si="101">IF(Y205&gt;0,Y205,0)/1000</f>
        <v>#N/A</v>
      </c>
      <c r="AA205" s="60" t="e">
        <f t="shared" si="95"/>
        <v>#N/A</v>
      </c>
      <c r="AB205" s="60" t="e">
        <f t="shared" si="96"/>
        <v>#N/A</v>
      </c>
      <c r="AE205" s="52"/>
      <c r="AF205" s="51"/>
    </row>
    <row r="206" spans="1:32" s="53" customFormat="1">
      <c r="A206" s="51"/>
      <c r="B206" s="74">
        <f>'124+900 '!B206</f>
        <v>0</v>
      </c>
      <c r="C206" s="73">
        <f t="shared" ref="C206:C212" si="102">B206-$B$13</f>
        <v>-45243</v>
      </c>
      <c r="D206" s="72">
        <f t="shared" ref="D206:D212" si="103">D205</f>
        <v>1026</v>
      </c>
      <c r="E206" s="67" t="e">
        <f>VLOOKUP(B206,'124+900 '!B181:AA786,3,FALSE)</f>
        <v>#N/A</v>
      </c>
      <c r="F206" s="67" t="e">
        <f t="shared" si="97"/>
        <v>#N/A</v>
      </c>
      <c r="G206" s="71" t="e">
        <f>VLOOKUP(B206,'124+900 '!$B$13:$AA$314,20,FALSE)</f>
        <v>#N/A</v>
      </c>
      <c r="H206" s="71" t="e">
        <f>VLOOKUP(B206,'124+900 '!$B$13:$AA$314,4,FALSE)</f>
        <v>#N/A</v>
      </c>
      <c r="I206" s="66" t="e">
        <f t="shared" si="98"/>
        <v>#N/A</v>
      </c>
      <c r="J206" s="66" t="e">
        <f>VLOOKUP(B206,'124+900 '!$B$13:$AA$314,13,FALSE)</f>
        <v>#N/A</v>
      </c>
      <c r="K206" s="70" t="e">
        <f t="shared" ref="K206:K212" si="104">J206-J205</f>
        <v>#N/A</v>
      </c>
      <c r="L206" s="69" t="e">
        <f t="shared" ref="L206:L212" si="105">L205+K206</f>
        <v>#N/A</v>
      </c>
      <c r="M206" s="68" t="e">
        <f>VLOOKUP(B206,'124+900 '!$B$13:$AA$314,21,FALSE)</f>
        <v>#N/A</v>
      </c>
      <c r="N206" s="67" t="e">
        <f>VLOOKUP(B206,'124+900 '!$B$13:$AA$314,5,FALSE)</f>
        <v>#N/A</v>
      </c>
      <c r="O206" s="66" t="e">
        <f t="shared" si="99"/>
        <v>#N/A</v>
      </c>
      <c r="P206" s="66" t="e">
        <f>VLOOKUP(B206,'124+900 '!$B$13:$AA$314,14,FALSE)</f>
        <v>#N/A</v>
      </c>
      <c r="Q206" s="70" t="e">
        <f t="shared" ref="Q206:Q212" si="106">P206-P205</f>
        <v>#N/A</v>
      </c>
      <c r="R206" s="69" t="e">
        <f t="shared" ref="R206:R212" si="107">R205+Q206</f>
        <v>#N/A</v>
      </c>
      <c r="S206" s="68" t="e">
        <f>VLOOKUP(B206,'124+900 '!$B$13:$AA$314,22,FALSE)</f>
        <v>#N/A</v>
      </c>
      <c r="T206" s="67" t="e">
        <f>VLOOKUP(B206,'124+900 '!$B$13:$AA$314,6,FALSE)</f>
        <v>#N/A</v>
      </c>
      <c r="U206" s="66" t="e">
        <f t="shared" si="100"/>
        <v>#N/A</v>
      </c>
      <c r="V206" s="65" t="e">
        <f>VLOOKUP(B206,'124+900 '!$B$13:$AA$314,15,FALSE)</f>
        <v>#N/A</v>
      </c>
      <c r="W206" s="64" t="e">
        <f t="shared" ref="W206:W212" si="108">V206-V205</f>
        <v>#N/A</v>
      </c>
      <c r="X206" s="63" t="e">
        <f t="shared" ref="X206:X212" si="109">X205+W206</f>
        <v>#N/A</v>
      </c>
      <c r="Y206" s="62" t="e">
        <f t="shared" ref="Y206:Y212" si="110">M206-M205</f>
        <v>#N/A</v>
      </c>
      <c r="Z206" s="61" t="e">
        <f t="shared" si="101"/>
        <v>#N/A</v>
      </c>
      <c r="AA206" s="60" t="e">
        <f t="shared" ref="AA206:AA212" si="111">AA205+Z206</f>
        <v>#N/A</v>
      </c>
      <c r="AB206" s="60" t="e">
        <f t="shared" ref="AB206:AB212" si="112">(M206-$M$13-R206)/1000</f>
        <v>#N/A</v>
      </c>
      <c r="AE206" s="52"/>
      <c r="AF206" s="51"/>
    </row>
    <row r="207" spans="1:32" s="53" customFormat="1">
      <c r="A207" s="51"/>
      <c r="B207" s="74">
        <f>'124+900 '!B207</f>
        <v>0</v>
      </c>
      <c r="C207" s="73">
        <f t="shared" si="102"/>
        <v>-45243</v>
      </c>
      <c r="D207" s="72">
        <f t="shared" si="103"/>
        <v>1026</v>
      </c>
      <c r="E207" s="67" t="e">
        <f>VLOOKUP(B207,'124+900 '!B182:AA787,3,FALSE)</f>
        <v>#N/A</v>
      </c>
      <c r="F207" s="67" t="e">
        <f t="shared" si="97"/>
        <v>#N/A</v>
      </c>
      <c r="G207" s="71" t="e">
        <f>VLOOKUP(B207,'124+900 '!$B$13:$AA$314,20,FALSE)</f>
        <v>#N/A</v>
      </c>
      <c r="H207" s="71" t="e">
        <f>VLOOKUP(B207,'124+900 '!$B$13:$AA$314,4,FALSE)</f>
        <v>#N/A</v>
      </c>
      <c r="I207" s="66" t="e">
        <f t="shared" si="98"/>
        <v>#N/A</v>
      </c>
      <c r="J207" s="66" t="e">
        <f>VLOOKUP(B207,'124+900 '!$B$13:$AA$314,13,FALSE)</f>
        <v>#N/A</v>
      </c>
      <c r="K207" s="70" t="e">
        <f t="shared" si="104"/>
        <v>#N/A</v>
      </c>
      <c r="L207" s="69" t="e">
        <f t="shared" si="105"/>
        <v>#N/A</v>
      </c>
      <c r="M207" s="68" t="e">
        <f>VLOOKUP(B207,'124+900 '!$B$13:$AA$314,21,FALSE)</f>
        <v>#N/A</v>
      </c>
      <c r="N207" s="67" t="e">
        <f>VLOOKUP(B207,'124+900 '!$B$13:$AA$314,5,FALSE)</f>
        <v>#N/A</v>
      </c>
      <c r="O207" s="66" t="e">
        <f t="shared" si="99"/>
        <v>#N/A</v>
      </c>
      <c r="P207" s="66" t="e">
        <f>VLOOKUP(B207,'124+900 '!$B$13:$AA$314,14,FALSE)</f>
        <v>#N/A</v>
      </c>
      <c r="Q207" s="70" t="e">
        <f t="shared" si="106"/>
        <v>#N/A</v>
      </c>
      <c r="R207" s="69" t="e">
        <f t="shared" si="107"/>
        <v>#N/A</v>
      </c>
      <c r="S207" s="68" t="e">
        <f>VLOOKUP(B207,'124+900 '!$B$13:$AA$314,22,FALSE)</f>
        <v>#N/A</v>
      </c>
      <c r="T207" s="67" t="e">
        <f>VLOOKUP(B207,'124+900 '!$B$13:$AA$314,6,FALSE)</f>
        <v>#N/A</v>
      </c>
      <c r="U207" s="66" t="e">
        <f t="shared" si="100"/>
        <v>#N/A</v>
      </c>
      <c r="V207" s="65" t="e">
        <f>VLOOKUP(B207,'124+900 '!$B$13:$AA$314,15,FALSE)</f>
        <v>#N/A</v>
      </c>
      <c r="W207" s="64" t="e">
        <f t="shared" si="108"/>
        <v>#N/A</v>
      </c>
      <c r="X207" s="63" t="e">
        <f t="shared" si="109"/>
        <v>#N/A</v>
      </c>
      <c r="Y207" s="62" t="e">
        <f t="shared" si="110"/>
        <v>#N/A</v>
      </c>
      <c r="Z207" s="61" t="e">
        <f t="shared" si="101"/>
        <v>#N/A</v>
      </c>
      <c r="AA207" s="60" t="e">
        <f t="shared" si="111"/>
        <v>#N/A</v>
      </c>
      <c r="AB207" s="60" t="e">
        <f t="shared" si="112"/>
        <v>#N/A</v>
      </c>
      <c r="AE207" s="52"/>
      <c r="AF207" s="51"/>
    </row>
    <row r="208" spans="1:32" s="53" customFormat="1">
      <c r="A208" s="51"/>
      <c r="B208" s="74">
        <f>'124+900 '!B208</f>
        <v>0</v>
      </c>
      <c r="C208" s="73">
        <f t="shared" si="102"/>
        <v>-45243</v>
      </c>
      <c r="D208" s="72">
        <f t="shared" si="103"/>
        <v>1026</v>
      </c>
      <c r="E208" s="67" t="e">
        <f>VLOOKUP(B208,'124+900 '!B183:AA788,3,FALSE)</f>
        <v>#N/A</v>
      </c>
      <c r="F208" s="67" t="e">
        <f t="shared" si="97"/>
        <v>#N/A</v>
      </c>
      <c r="G208" s="71" t="e">
        <f>VLOOKUP(B208,'124+900 '!$B$13:$AA$314,20,FALSE)</f>
        <v>#N/A</v>
      </c>
      <c r="H208" s="71" t="e">
        <f>VLOOKUP(B208,'124+900 '!$B$13:$AA$314,4,FALSE)</f>
        <v>#N/A</v>
      </c>
      <c r="I208" s="66" t="e">
        <f t="shared" si="98"/>
        <v>#N/A</v>
      </c>
      <c r="J208" s="66" t="e">
        <f>VLOOKUP(B208,'124+900 '!$B$13:$AA$314,13,FALSE)</f>
        <v>#N/A</v>
      </c>
      <c r="K208" s="70" t="e">
        <f t="shared" si="104"/>
        <v>#N/A</v>
      </c>
      <c r="L208" s="69" t="e">
        <f t="shared" si="105"/>
        <v>#N/A</v>
      </c>
      <c r="M208" s="68" t="e">
        <f>VLOOKUP(B208,'124+900 '!$B$13:$AA$314,21,FALSE)</f>
        <v>#N/A</v>
      </c>
      <c r="N208" s="67" t="e">
        <f>VLOOKUP(B208,'124+900 '!$B$13:$AA$314,5,FALSE)</f>
        <v>#N/A</v>
      </c>
      <c r="O208" s="66" t="e">
        <f t="shared" si="99"/>
        <v>#N/A</v>
      </c>
      <c r="P208" s="66" t="e">
        <f>VLOOKUP(B208,'124+900 '!$B$13:$AA$314,14,FALSE)</f>
        <v>#N/A</v>
      </c>
      <c r="Q208" s="70" t="e">
        <f t="shared" si="106"/>
        <v>#N/A</v>
      </c>
      <c r="R208" s="69" t="e">
        <f t="shared" si="107"/>
        <v>#N/A</v>
      </c>
      <c r="S208" s="68" t="e">
        <f>VLOOKUP(B208,'124+900 '!$B$13:$AA$314,22,FALSE)</f>
        <v>#N/A</v>
      </c>
      <c r="T208" s="67" t="e">
        <f>VLOOKUP(B208,'124+900 '!$B$13:$AA$314,6,FALSE)</f>
        <v>#N/A</v>
      </c>
      <c r="U208" s="66" t="e">
        <f t="shared" si="100"/>
        <v>#N/A</v>
      </c>
      <c r="V208" s="65" t="e">
        <f>VLOOKUP(B208,'124+900 '!$B$13:$AA$314,15,FALSE)</f>
        <v>#N/A</v>
      </c>
      <c r="W208" s="64" t="e">
        <f t="shared" si="108"/>
        <v>#N/A</v>
      </c>
      <c r="X208" s="63" t="e">
        <f t="shared" si="109"/>
        <v>#N/A</v>
      </c>
      <c r="Y208" s="62" t="e">
        <f t="shared" si="110"/>
        <v>#N/A</v>
      </c>
      <c r="Z208" s="61" t="e">
        <f t="shared" si="101"/>
        <v>#N/A</v>
      </c>
      <c r="AA208" s="60" t="e">
        <f t="shared" si="111"/>
        <v>#N/A</v>
      </c>
      <c r="AB208" s="60" t="e">
        <f t="shared" si="112"/>
        <v>#N/A</v>
      </c>
      <c r="AE208" s="52"/>
      <c r="AF208" s="51"/>
    </row>
    <row r="209" spans="1:32" s="53" customFormat="1">
      <c r="A209" s="51"/>
      <c r="B209" s="74">
        <f>'124+900 '!B209</f>
        <v>0</v>
      </c>
      <c r="C209" s="73">
        <f t="shared" si="102"/>
        <v>-45243</v>
      </c>
      <c r="D209" s="72">
        <f t="shared" si="103"/>
        <v>1026</v>
      </c>
      <c r="E209" s="67" t="e">
        <f>VLOOKUP(B209,'124+900 '!B184:AA789,3,FALSE)</f>
        <v>#N/A</v>
      </c>
      <c r="F209" s="67" t="e">
        <f t="shared" si="97"/>
        <v>#N/A</v>
      </c>
      <c r="G209" s="71" t="e">
        <f>VLOOKUP(B209,'124+900 '!$B$13:$AA$314,20,FALSE)</f>
        <v>#N/A</v>
      </c>
      <c r="H209" s="71" t="e">
        <f>VLOOKUP(B209,'124+900 '!$B$13:$AA$314,4,FALSE)</f>
        <v>#N/A</v>
      </c>
      <c r="I209" s="66" t="e">
        <f t="shared" si="98"/>
        <v>#N/A</v>
      </c>
      <c r="J209" s="66" t="e">
        <f>VLOOKUP(B209,'124+900 '!$B$13:$AA$314,13,FALSE)</f>
        <v>#N/A</v>
      </c>
      <c r="K209" s="70" t="e">
        <f t="shared" si="104"/>
        <v>#N/A</v>
      </c>
      <c r="L209" s="69" t="e">
        <f t="shared" si="105"/>
        <v>#N/A</v>
      </c>
      <c r="M209" s="68" t="e">
        <f>VLOOKUP(B209,'124+900 '!$B$13:$AA$314,21,FALSE)</f>
        <v>#N/A</v>
      </c>
      <c r="N209" s="67" t="e">
        <f>VLOOKUP(B209,'124+900 '!$B$13:$AA$314,5,FALSE)</f>
        <v>#N/A</v>
      </c>
      <c r="O209" s="66" t="e">
        <f t="shared" si="99"/>
        <v>#N/A</v>
      </c>
      <c r="P209" s="66" t="e">
        <f>VLOOKUP(B209,'124+900 '!$B$13:$AA$314,14,FALSE)</f>
        <v>#N/A</v>
      </c>
      <c r="Q209" s="70" t="e">
        <f t="shared" si="106"/>
        <v>#N/A</v>
      </c>
      <c r="R209" s="69" t="e">
        <f t="shared" si="107"/>
        <v>#N/A</v>
      </c>
      <c r="S209" s="68" t="e">
        <f>VLOOKUP(B209,'124+900 '!$B$13:$AA$314,22,FALSE)</f>
        <v>#N/A</v>
      </c>
      <c r="T209" s="67" t="e">
        <f>VLOOKUP(B209,'124+900 '!$B$13:$AA$314,6,FALSE)</f>
        <v>#N/A</v>
      </c>
      <c r="U209" s="66" t="e">
        <f t="shared" si="100"/>
        <v>#N/A</v>
      </c>
      <c r="V209" s="65" t="e">
        <f>VLOOKUP(B209,'124+900 '!$B$13:$AA$314,15,FALSE)</f>
        <v>#N/A</v>
      </c>
      <c r="W209" s="64" t="e">
        <f t="shared" si="108"/>
        <v>#N/A</v>
      </c>
      <c r="X209" s="63" t="e">
        <f t="shared" si="109"/>
        <v>#N/A</v>
      </c>
      <c r="Y209" s="62" t="e">
        <f t="shared" si="110"/>
        <v>#N/A</v>
      </c>
      <c r="Z209" s="61" t="e">
        <f t="shared" si="101"/>
        <v>#N/A</v>
      </c>
      <c r="AA209" s="60" t="e">
        <f t="shared" si="111"/>
        <v>#N/A</v>
      </c>
      <c r="AB209" s="60" t="e">
        <f t="shared" si="112"/>
        <v>#N/A</v>
      </c>
      <c r="AE209" s="52"/>
      <c r="AF209" s="51"/>
    </row>
    <row r="210" spans="1:32" s="53" customFormat="1">
      <c r="A210" s="51"/>
      <c r="B210" s="74">
        <f>'124+900 '!B210</f>
        <v>0</v>
      </c>
      <c r="C210" s="73">
        <f t="shared" si="102"/>
        <v>-45243</v>
      </c>
      <c r="D210" s="72">
        <f t="shared" si="103"/>
        <v>1026</v>
      </c>
      <c r="E210" s="67" t="e">
        <f>VLOOKUP(B210,'124+900 '!B185:AA790,3,FALSE)</f>
        <v>#N/A</v>
      </c>
      <c r="F210" s="67" t="e">
        <f t="shared" si="97"/>
        <v>#N/A</v>
      </c>
      <c r="G210" s="71" t="e">
        <f>VLOOKUP(B210,'124+900 '!$B$13:$AA$314,20,FALSE)</f>
        <v>#N/A</v>
      </c>
      <c r="H210" s="71" t="e">
        <f>VLOOKUP(B210,'124+900 '!$B$13:$AA$314,4,FALSE)</f>
        <v>#N/A</v>
      </c>
      <c r="I210" s="66" t="e">
        <f t="shared" si="98"/>
        <v>#N/A</v>
      </c>
      <c r="J210" s="66" t="e">
        <f>VLOOKUP(B210,'124+900 '!$B$13:$AA$314,13,FALSE)</f>
        <v>#N/A</v>
      </c>
      <c r="K210" s="70" t="e">
        <f t="shared" si="104"/>
        <v>#N/A</v>
      </c>
      <c r="L210" s="69" t="e">
        <f t="shared" si="105"/>
        <v>#N/A</v>
      </c>
      <c r="M210" s="68" t="e">
        <f>VLOOKUP(B210,'124+900 '!$B$13:$AA$314,21,FALSE)</f>
        <v>#N/A</v>
      </c>
      <c r="N210" s="67" t="e">
        <f>VLOOKUP(B210,'124+900 '!$B$13:$AA$314,5,FALSE)</f>
        <v>#N/A</v>
      </c>
      <c r="O210" s="66" t="e">
        <f t="shared" si="99"/>
        <v>#N/A</v>
      </c>
      <c r="P210" s="66" t="e">
        <f>VLOOKUP(B210,'124+900 '!$B$13:$AA$314,14,FALSE)</f>
        <v>#N/A</v>
      </c>
      <c r="Q210" s="70" t="e">
        <f t="shared" si="106"/>
        <v>#N/A</v>
      </c>
      <c r="R210" s="69" t="e">
        <f t="shared" si="107"/>
        <v>#N/A</v>
      </c>
      <c r="S210" s="68" t="e">
        <f>VLOOKUP(B210,'124+900 '!$B$13:$AA$314,22,FALSE)</f>
        <v>#N/A</v>
      </c>
      <c r="T210" s="67" t="e">
        <f>VLOOKUP(B210,'124+900 '!$B$13:$AA$314,6,FALSE)</f>
        <v>#N/A</v>
      </c>
      <c r="U210" s="66" t="e">
        <f t="shared" si="100"/>
        <v>#N/A</v>
      </c>
      <c r="V210" s="65" t="e">
        <f>VLOOKUP(B210,'124+900 '!$B$13:$AA$314,15,FALSE)</f>
        <v>#N/A</v>
      </c>
      <c r="W210" s="64" t="e">
        <f t="shared" si="108"/>
        <v>#N/A</v>
      </c>
      <c r="X210" s="63" t="e">
        <f t="shared" si="109"/>
        <v>#N/A</v>
      </c>
      <c r="Y210" s="62" t="e">
        <f t="shared" si="110"/>
        <v>#N/A</v>
      </c>
      <c r="Z210" s="61" t="e">
        <f t="shared" si="101"/>
        <v>#N/A</v>
      </c>
      <c r="AA210" s="60" t="e">
        <f t="shared" si="111"/>
        <v>#N/A</v>
      </c>
      <c r="AB210" s="60" t="e">
        <f t="shared" si="112"/>
        <v>#N/A</v>
      </c>
      <c r="AE210" s="52"/>
      <c r="AF210" s="51"/>
    </row>
    <row r="211" spans="1:32" s="53" customFormat="1">
      <c r="A211" s="51"/>
      <c r="B211" s="74">
        <f>'124+900 '!B211</f>
        <v>0</v>
      </c>
      <c r="C211" s="73">
        <f t="shared" si="102"/>
        <v>-45243</v>
      </c>
      <c r="D211" s="72">
        <f t="shared" si="103"/>
        <v>1026</v>
      </c>
      <c r="E211" s="67" t="e">
        <f>VLOOKUP(B211,'124+900 '!B186:AA791,3,FALSE)</f>
        <v>#N/A</v>
      </c>
      <c r="F211" s="67" t="e">
        <f t="shared" si="97"/>
        <v>#N/A</v>
      </c>
      <c r="G211" s="71" t="e">
        <f>VLOOKUP(B211,'124+900 '!$B$13:$AA$314,20,FALSE)</f>
        <v>#N/A</v>
      </c>
      <c r="H211" s="71" t="e">
        <f>VLOOKUP(B211,'124+900 '!$B$13:$AA$314,4,FALSE)</f>
        <v>#N/A</v>
      </c>
      <c r="I211" s="66" t="e">
        <f t="shared" si="98"/>
        <v>#N/A</v>
      </c>
      <c r="J211" s="66" t="e">
        <f>VLOOKUP(B211,'124+900 '!$B$13:$AA$314,13,FALSE)</f>
        <v>#N/A</v>
      </c>
      <c r="K211" s="70" t="e">
        <f t="shared" si="104"/>
        <v>#N/A</v>
      </c>
      <c r="L211" s="69" t="e">
        <f t="shared" si="105"/>
        <v>#N/A</v>
      </c>
      <c r="M211" s="68" t="e">
        <f>VLOOKUP(B211,'124+900 '!$B$13:$AA$314,21,FALSE)</f>
        <v>#N/A</v>
      </c>
      <c r="N211" s="67" t="e">
        <f>VLOOKUP(B211,'124+900 '!$B$13:$AA$314,5,FALSE)</f>
        <v>#N/A</v>
      </c>
      <c r="O211" s="66" t="e">
        <f t="shared" si="99"/>
        <v>#N/A</v>
      </c>
      <c r="P211" s="66" t="e">
        <f>VLOOKUP(B211,'124+900 '!$B$13:$AA$314,14,FALSE)</f>
        <v>#N/A</v>
      </c>
      <c r="Q211" s="70" t="e">
        <f t="shared" si="106"/>
        <v>#N/A</v>
      </c>
      <c r="R211" s="69" t="e">
        <f t="shared" si="107"/>
        <v>#N/A</v>
      </c>
      <c r="S211" s="68" t="e">
        <f>VLOOKUP(B211,'124+900 '!$B$13:$AA$314,22,FALSE)</f>
        <v>#N/A</v>
      </c>
      <c r="T211" s="67" t="e">
        <f>VLOOKUP(B211,'124+900 '!$B$13:$AA$314,6,FALSE)</f>
        <v>#N/A</v>
      </c>
      <c r="U211" s="66" t="e">
        <f t="shared" si="100"/>
        <v>#N/A</v>
      </c>
      <c r="V211" s="65" t="e">
        <f>VLOOKUP(B211,'124+900 '!$B$13:$AA$314,15,FALSE)</f>
        <v>#N/A</v>
      </c>
      <c r="W211" s="64" t="e">
        <f t="shared" si="108"/>
        <v>#N/A</v>
      </c>
      <c r="X211" s="63" t="e">
        <f t="shared" si="109"/>
        <v>#N/A</v>
      </c>
      <c r="Y211" s="62" t="e">
        <f t="shared" si="110"/>
        <v>#N/A</v>
      </c>
      <c r="Z211" s="61" t="e">
        <f t="shared" si="101"/>
        <v>#N/A</v>
      </c>
      <c r="AA211" s="60" t="e">
        <f t="shared" si="111"/>
        <v>#N/A</v>
      </c>
      <c r="AB211" s="60" t="e">
        <f t="shared" si="112"/>
        <v>#N/A</v>
      </c>
      <c r="AE211" s="52"/>
      <c r="AF211" s="51"/>
    </row>
    <row r="212" spans="1:32" s="53" customFormat="1">
      <c r="A212" s="51"/>
      <c r="B212" s="74">
        <f>'124+900 '!B212</f>
        <v>0</v>
      </c>
      <c r="C212" s="73">
        <f t="shared" si="102"/>
        <v>-45243</v>
      </c>
      <c r="D212" s="72">
        <f t="shared" si="103"/>
        <v>1026</v>
      </c>
      <c r="E212" s="67" t="e">
        <f>VLOOKUP(B212,'124+900 '!B187:AA792,3,FALSE)</f>
        <v>#N/A</v>
      </c>
      <c r="F212" s="67" t="e">
        <f t="shared" si="97"/>
        <v>#N/A</v>
      </c>
      <c r="G212" s="71" t="e">
        <f>VLOOKUP(B212,'124+900 '!$B$13:$AA$314,20,FALSE)</f>
        <v>#N/A</v>
      </c>
      <c r="H212" s="71" t="e">
        <f>VLOOKUP(B212,'124+900 '!$B$13:$AA$314,4,FALSE)</f>
        <v>#N/A</v>
      </c>
      <c r="I212" s="66" t="e">
        <f t="shared" si="98"/>
        <v>#N/A</v>
      </c>
      <c r="J212" s="66" t="e">
        <f>VLOOKUP(B212,'124+900 '!$B$13:$AA$314,13,FALSE)</f>
        <v>#N/A</v>
      </c>
      <c r="K212" s="70" t="e">
        <f t="shared" si="104"/>
        <v>#N/A</v>
      </c>
      <c r="L212" s="69" t="e">
        <f t="shared" si="105"/>
        <v>#N/A</v>
      </c>
      <c r="M212" s="68" t="e">
        <f>VLOOKUP(B212,'124+900 '!$B$13:$AA$314,21,FALSE)</f>
        <v>#N/A</v>
      </c>
      <c r="N212" s="67" t="e">
        <f>VLOOKUP(B212,'124+900 '!$B$13:$AA$314,5,FALSE)</f>
        <v>#N/A</v>
      </c>
      <c r="O212" s="66" t="e">
        <f t="shared" si="99"/>
        <v>#N/A</v>
      </c>
      <c r="P212" s="66" t="e">
        <f>VLOOKUP(B212,'124+900 '!$B$13:$AA$314,14,FALSE)</f>
        <v>#N/A</v>
      </c>
      <c r="Q212" s="70" t="e">
        <f t="shared" si="106"/>
        <v>#N/A</v>
      </c>
      <c r="R212" s="69" t="e">
        <f t="shared" si="107"/>
        <v>#N/A</v>
      </c>
      <c r="S212" s="68" t="e">
        <f>VLOOKUP(B212,'124+900 '!$B$13:$AA$314,22,FALSE)</f>
        <v>#N/A</v>
      </c>
      <c r="T212" s="67" t="e">
        <f>VLOOKUP(B212,'124+900 '!$B$13:$AA$314,6,FALSE)</f>
        <v>#N/A</v>
      </c>
      <c r="U212" s="66" t="e">
        <f t="shared" si="100"/>
        <v>#N/A</v>
      </c>
      <c r="V212" s="65" t="e">
        <f>VLOOKUP(B212,'124+900 '!$B$13:$AA$314,15,FALSE)</f>
        <v>#N/A</v>
      </c>
      <c r="W212" s="64" t="e">
        <f t="shared" si="108"/>
        <v>#N/A</v>
      </c>
      <c r="X212" s="63" t="e">
        <f t="shared" si="109"/>
        <v>#N/A</v>
      </c>
      <c r="Y212" s="62" t="e">
        <f t="shared" si="110"/>
        <v>#N/A</v>
      </c>
      <c r="Z212" s="61" t="e">
        <f t="shared" si="101"/>
        <v>#N/A</v>
      </c>
      <c r="AA212" s="60" t="e">
        <f t="shared" si="111"/>
        <v>#N/A</v>
      </c>
      <c r="AB212" s="60" t="e">
        <f t="shared" si="112"/>
        <v>#N/A</v>
      </c>
      <c r="AE212" s="52"/>
      <c r="AF212" s="51"/>
    </row>
    <row r="213" spans="1:32" s="53" customFormat="1">
      <c r="A213" s="51"/>
      <c r="B213" s="74"/>
      <c r="C213" s="73"/>
      <c r="D213" s="72"/>
      <c r="E213" s="67"/>
      <c r="F213" s="67"/>
      <c r="G213" s="71"/>
      <c r="H213" s="71"/>
      <c r="I213" s="66"/>
      <c r="J213" s="66"/>
      <c r="K213" s="70"/>
      <c r="L213" s="69"/>
      <c r="M213" s="68"/>
      <c r="N213" s="67"/>
      <c r="O213" s="66"/>
      <c r="P213" s="66"/>
      <c r="Q213" s="70"/>
      <c r="R213" s="69"/>
      <c r="S213" s="68"/>
      <c r="T213" s="67"/>
      <c r="U213" s="66"/>
      <c r="V213" s="65"/>
      <c r="W213" s="64"/>
      <c r="X213" s="63"/>
      <c r="Y213" s="62"/>
      <c r="Z213" s="61"/>
      <c r="AA213" s="60"/>
      <c r="AB213" s="60"/>
      <c r="AE213" s="52"/>
      <c r="AF213" s="51"/>
    </row>
    <row r="214" spans="1:32" s="53" customFormat="1">
      <c r="A214" s="51"/>
      <c r="B214" s="74"/>
      <c r="C214" s="73"/>
      <c r="D214" s="72"/>
      <c r="E214" s="67"/>
      <c r="F214" s="67"/>
      <c r="G214" s="71"/>
      <c r="H214" s="71"/>
      <c r="I214" s="66"/>
      <c r="J214" s="66"/>
      <c r="K214" s="70"/>
      <c r="L214" s="69"/>
      <c r="M214" s="68"/>
      <c r="N214" s="67"/>
      <c r="O214" s="66"/>
      <c r="P214" s="66"/>
      <c r="Q214" s="70"/>
      <c r="R214" s="69"/>
      <c r="S214" s="68"/>
      <c r="T214" s="67"/>
      <c r="U214" s="66"/>
      <c r="V214" s="65"/>
      <c r="W214" s="64"/>
      <c r="X214" s="63"/>
      <c r="Y214" s="62"/>
      <c r="Z214" s="61"/>
      <c r="AA214" s="60"/>
      <c r="AB214" s="60"/>
      <c r="AE214" s="52"/>
      <c r="AF214" s="51"/>
    </row>
    <row r="215" spans="1:32" s="53" customFormat="1">
      <c r="A215" s="51"/>
      <c r="B215" s="74"/>
      <c r="C215" s="73"/>
      <c r="D215" s="72"/>
      <c r="E215" s="67"/>
      <c r="F215" s="67"/>
      <c r="G215" s="71"/>
      <c r="H215" s="71"/>
      <c r="I215" s="66"/>
      <c r="J215" s="66"/>
      <c r="K215" s="70"/>
      <c r="L215" s="69"/>
      <c r="M215" s="68"/>
      <c r="N215" s="67"/>
      <c r="O215" s="66"/>
      <c r="P215" s="66"/>
      <c r="Q215" s="70"/>
      <c r="R215" s="69"/>
      <c r="S215" s="68"/>
      <c r="T215" s="67"/>
      <c r="U215" s="66"/>
      <c r="V215" s="65"/>
      <c r="W215" s="64"/>
      <c r="X215" s="63"/>
      <c r="Y215" s="62"/>
      <c r="Z215" s="61"/>
      <c r="AA215" s="60"/>
      <c r="AB215" s="60"/>
      <c r="AE215" s="52"/>
      <c r="AF215" s="51"/>
    </row>
    <row r="216" spans="1:32" s="53" customFormat="1">
      <c r="A216" s="51"/>
      <c r="B216" s="74"/>
      <c r="C216" s="73"/>
      <c r="D216" s="72"/>
      <c r="E216" s="67"/>
      <c r="F216" s="67"/>
      <c r="G216" s="71"/>
      <c r="H216" s="71"/>
      <c r="I216" s="66"/>
      <c r="J216" s="66"/>
      <c r="K216" s="70"/>
      <c r="L216" s="69"/>
      <c r="M216" s="68"/>
      <c r="N216" s="67"/>
      <c r="O216" s="66"/>
      <c r="P216" s="66"/>
      <c r="Q216" s="70"/>
      <c r="R216" s="69"/>
      <c r="S216" s="68"/>
      <c r="T216" s="67"/>
      <c r="U216" s="66"/>
      <c r="V216" s="65"/>
      <c r="W216" s="64"/>
      <c r="X216" s="63"/>
      <c r="Y216" s="62"/>
      <c r="Z216" s="61"/>
      <c r="AA216" s="60"/>
      <c r="AB216" s="60"/>
      <c r="AE216" s="52"/>
      <c r="AF216" s="51"/>
    </row>
    <row r="217" spans="1:32" s="53" customFormat="1">
      <c r="A217" s="51"/>
      <c r="B217" s="74"/>
      <c r="C217" s="73"/>
      <c r="D217" s="72"/>
      <c r="E217" s="67"/>
      <c r="F217" s="67"/>
      <c r="G217" s="71"/>
      <c r="H217" s="71"/>
      <c r="I217" s="66"/>
      <c r="J217" s="66"/>
      <c r="K217" s="70"/>
      <c r="L217" s="69"/>
      <c r="M217" s="68"/>
      <c r="N217" s="67"/>
      <c r="O217" s="66"/>
      <c r="P217" s="66"/>
      <c r="Q217" s="70"/>
      <c r="R217" s="69"/>
      <c r="S217" s="68"/>
      <c r="T217" s="67"/>
      <c r="U217" s="66"/>
      <c r="V217" s="65"/>
      <c r="W217" s="64"/>
      <c r="X217" s="63"/>
      <c r="Y217" s="62"/>
      <c r="Z217" s="61"/>
      <c r="AA217" s="60"/>
      <c r="AB217" s="60"/>
      <c r="AE217" s="52"/>
      <c r="AF217" s="51"/>
    </row>
    <row r="218" spans="1:32" s="53" customFormat="1">
      <c r="A218" s="51"/>
      <c r="B218" s="74"/>
      <c r="C218" s="73"/>
      <c r="D218" s="72"/>
      <c r="E218" s="67"/>
      <c r="F218" s="67"/>
      <c r="G218" s="71"/>
      <c r="H218" s="71"/>
      <c r="I218" s="66"/>
      <c r="J218" s="66"/>
      <c r="K218" s="70"/>
      <c r="L218" s="69"/>
      <c r="M218" s="68"/>
      <c r="N218" s="67"/>
      <c r="O218" s="66"/>
      <c r="P218" s="66"/>
      <c r="Q218" s="70"/>
      <c r="R218" s="69"/>
      <c r="S218" s="68"/>
      <c r="T218" s="67"/>
      <c r="U218" s="66"/>
      <c r="V218" s="65"/>
      <c r="W218" s="64"/>
      <c r="X218" s="63"/>
      <c r="Y218" s="62"/>
      <c r="Z218" s="61"/>
      <c r="AA218" s="60"/>
      <c r="AB218" s="60"/>
      <c r="AE218" s="52"/>
      <c r="AF218" s="51"/>
    </row>
    <row r="219" spans="1:32" s="53" customFormat="1">
      <c r="A219" s="51"/>
      <c r="B219" s="74"/>
      <c r="C219" s="73"/>
      <c r="D219" s="72"/>
      <c r="E219" s="67"/>
      <c r="F219" s="67"/>
      <c r="G219" s="71"/>
      <c r="H219" s="71"/>
      <c r="I219" s="66"/>
      <c r="J219" s="66"/>
      <c r="K219" s="70"/>
      <c r="L219" s="69"/>
      <c r="M219" s="68"/>
      <c r="N219" s="67"/>
      <c r="O219" s="66"/>
      <c r="P219" s="66"/>
      <c r="Q219" s="70"/>
      <c r="R219" s="69"/>
      <c r="S219" s="68"/>
      <c r="T219" s="67"/>
      <c r="U219" s="66"/>
      <c r="V219" s="65"/>
      <c r="W219" s="64"/>
      <c r="X219" s="63"/>
      <c r="Y219" s="62"/>
      <c r="Z219" s="61"/>
      <c r="AA219" s="60"/>
      <c r="AB219" s="60"/>
      <c r="AE219" s="52"/>
      <c r="AF219" s="51"/>
    </row>
    <row r="220" spans="1:32" s="53" customFormat="1">
      <c r="A220" s="51"/>
      <c r="B220" s="74"/>
      <c r="C220" s="73"/>
      <c r="D220" s="72"/>
      <c r="E220" s="67"/>
      <c r="F220" s="67"/>
      <c r="G220" s="71"/>
      <c r="H220" s="71"/>
      <c r="I220" s="66"/>
      <c r="J220" s="66"/>
      <c r="K220" s="70"/>
      <c r="L220" s="69"/>
      <c r="M220" s="68"/>
      <c r="N220" s="67"/>
      <c r="O220" s="66"/>
      <c r="P220" s="66"/>
      <c r="Q220" s="70"/>
      <c r="R220" s="69"/>
      <c r="S220" s="68"/>
      <c r="T220" s="67"/>
      <c r="U220" s="66"/>
      <c r="V220" s="65"/>
      <c r="W220" s="64"/>
      <c r="X220" s="63"/>
      <c r="Y220" s="62"/>
      <c r="Z220" s="61"/>
      <c r="AA220" s="60"/>
      <c r="AB220" s="60"/>
      <c r="AE220" s="52"/>
      <c r="AF220" s="51"/>
    </row>
    <row r="221" spans="1:32" s="53" customFormat="1">
      <c r="A221" s="51"/>
      <c r="B221" s="74"/>
      <c r="C221" s="73"/>
      <c r="D221" s="72"/>
      <c r="E221" s="67"/>
      <c r="F221" s="67"/>
      <c r="G221" s="71"/>
      <c r="H221" s="71"/>
      <c r="I221" s="66"/>
      <c r="J221" s="66"/>
      <c r="K221" s="70"/>
      <c r="L221" s="69"/>
      <c r="M221" s="68"/>
      <c r="N221" s="67"/>
      <c r="O221" s="66"/>
      <c r="P221" s="66"/>
      <c r="Q221" s="70"/>
      <c r="R221" s="69"/>
      <c r="S221" s="68"/>
      <c r="T221" s="67"/>
      <c r="U221" s="66"/>
      <c r="V221" s="65"/>
      <c r="W221" s="64"/>
      <c r="X221" s="63"/>
      <c r="Y221" s="62"/>
      <c r="Z221" s="61"/>
      <c r="AA221" s="60"/>
      <c r="AB221" s="60"/>
      <c r="AE221" s="52"/>
      <c r="AF221" s="51"/>
    </row>
    <row r="222" spans="1:32" s="53" customFormat="1">
      <c r="A222" s="51"/>
      <c r="B222" s="74"/>
      <c r="C222" s="73"/>
      <c r="D222" s="72"/>
      <c r="E222" s="67"/>
      <c r="F222" s="67"/>
      <c r="G222" s="71"/>
      <c r="H222" s="71"/>
      <c r="I222" s="66"/>
      <c r="J222" s="66"/>
      <c r="K222" s="70"/>
      <c r="L222" s="69"/>
      <c r="M222" s="68"/>
      <c r="N222" s="67"/>
      <c r="O222" s="66"/>
      <c r="P222" s="66"/>
      <c r="Q222" s="70"/>
      <c r="R222" s="69"/>
      <c r="S222" s="68"/>
      <c r="T222" s="67"/>
      <c r="U222" s="66"/>
      <c r="V222" s="65"/>
      <c r="W222" s="64"/>
      <c r="X222" s="63"/>
      <c r="Y222" s="62"/>
      <c r="Z222" s="61"/>
      <c r="AA222" s="60"/>
      <c r="AB222" s="60"/>
      <c r="AE222" s="52"/>
      <c r="AF222" s="51"/>
    </row>
    <row r="223" spans="1:32" s="53" customFormat="1">
      <c r="A223" s="51"/>
      <c r="B223" s="74"/>
      <c r="C223" s="73"/>
      <c r="D223" s="72"/>
      <c r="E223" s="67"/>
      <c r="F223" s="67"/>
      <c r="G223" s="71"/>
      <c r="H223" s="71"/>
      <c r="I223" s="66"/>
      <c r="J223" s="66"/>
      <c r="K223" s="70"/>
      <c r="L223" s="69"/>
      <c r="M223" s="68"/>
      <c r="N223" s="67"/>
      <c r="O223" s="66"/>
      <c r="P223" s="66"/>
      <c r="Q223" s="70"/>
      <c r="R223" s="69"/>
      <c r="S223" s="68"/>
      <c r="T223" s="67"/>
      <c r="U223" s="66"/>
      <c r="V223" s="65"/>
      <c r="W223" s="64"/>
      <c r="X223" s="63"/>
      <c r="Y223" s="62"/>
      <c r="Z223" s="61"/>
      <c r="AA223" s="60"/>
      <c r="AB223" s="60"/>
      <c r="AE223" s="52"/>
      <c r="AF223" s="51"/>
    </row>
    <row r="224" spans="1:32" s="53" customFormat="1">
      <c r="A224" s="51"/>
      <c r="B224" s="74"/>
      <c r="C224" s="73"/>
      <c r="D224" s="72"/>
      <c r="E224" s="67"/>
      <c r="F224" s="67"/>
      <c r="G224" s="71"/>
      <c r="H224" s="71"/>
      <c r="I224" s="66"/>
      <c r="J224" s="66"/>
      <c r="K224" s="70"/>
      <c r="L224" s="69"/>
      <c r="M224" s="68"/>
      <c r="N224" s="67"/>
      <c r="O224" s="66"/>
      <c r="P224" s="66"/>
      <c r="Q224" s="70"/>
      <c r="R224" s="69"/>
      <c r="S224" s="68"/>
      <c r="T224" s="67"/>
      <c r="U224" s="66"/>
      <c r="V224" s="65"/>
      <c r="W224" s="64"/>
      <c r="X224" s="63"/>
      <c r="Y224" s="62"/>
      <c r="Z224" s="61"/>
      <c r="AA224" s="60"/>
      <c r="AB224" s="60"/>
      <c r="AE224" s="52"/>
      <c r="AF224" s="51"/>
    </row>
    <row r="225" spans="1:32" s="53" customFormat="1">
      <c r="A225" s="51"/>
      <c r="B225" s="74"/>
      <c r="C225" s="73"/>
      <c r="D225" s="72"/>
      <c r="E225" s="67"/>
      <c r="F225" s="67"/>
      <c r="G225" s="71"/>
      <c r="H225" s="71"/>
      <c r="I225" s="66"/>
      <c r="J225" s="66"/>
      <c r="K225" s="70"/>
      <c r="L225" s="69"/>
      <c r="M225" s="68"/>
      <c r="N225" s="67"/>
      <c r="O225" s="66"/>
      <c r="P225" s="66"/>
      <c r="Q225" s="70"/>
      <c r="R225" s="69"/>
      <c r="S225" s="68"/>
      <c r="T225" s="67"/>
      <c r="U225" s="66"/>
      <c r="V225" s="65"/>
      <c r="W225" s="64"/>
      <c r="X225" s="63"/>
      <c r="Y225" s="62"/>
      <c r="Z225" s="61"/>
      <c r="AA225" s="60"/>
      <c r="AB225" s="60"/>
      <c r="AE225" s="52"/>
      <c r="AF225" s="51"/>
    </row>
    <row r="226" spans="1:32" s="53" customFormat="1">
      <c r="A226" s="51"/>
      <c r="B226" s="74"/>
      <c r="C226" s="73"/>
      <c r="D226" s="72"/>
      <c r="E226" s="67"/>
      <c r="F226" s="67"/>
      <c r="G226" s="71"/>
      <c r="H226" s="71"/>
      <c r="I226" s="66"/>
      <c r="J226" s="66"/>
      <c r="K226" s="70"/>
      <c r="L226" s="69"/>
      <c r="M226" s="68"/>
      <c r="N226" s="67"/>
      <c r="O226" s="66"/>
      <c r="P226" s="66"/>
      <c r="Q226" s="70"/>
      <c r="R226" s="69"/>
      <c r="S226" s="68"/>
      <c r="T226" s="67"/>
      <c r="U226" s="66"/>
      <c r="V226" s="65"/>
      <c r="W226" s="64"/>
      <c r="X226" s="63"/>
      <c r="Y226" s="62"/>
      <c r="Z226" s="61"/>
      <c r="AA226" s="60"/>
      <c r="AB226" s="60"/>
      <c r="AE226" s="52"/>
      <c r="AF226" s="51"/>
    </row>
    <row r="227" spans="1:32" s="53" customFormat="1">
      <c r="A227" s="51"/>
      <c r="B227" s="74"/>
      <c r="C227" s="73"/>
      <c r="D227" s="72"/>
      <c r="E227" s="67"/>
      <c r="F227" s="67"/>
      <c r="G227" s="71"/>
      <c r="H227" s="71"/>
      <c r="I227" s="66"/>
      <c r="J227" s="66"/>
      <c r="K227" s="70"/>
      <c r="L227" s="69"/>
      <c r="M227" s="68"/>
      <c r="N227" s="67"/>
      <c r="O227" s="66"/>
      <c r="P227" s="66"/>
      <c r="Q227" s="70"/>
      <c r="R227" s="69"/>
      <c r="S227" s="68"/>
      <c r="T227" s="67"/>
      <c r="U227" s="66"/>
      <c r="V227" s="65"/>
      <c r="W227" s="64"/>
      <c r="X227" s="63"/>
      <c r="Y227" s="62"/>
      <c r="Z227" s="61"/>
      <c r="AA227" s="60"/>
      <c r="AB227" s="60"/>
      <c r="AE227" s="52"/>
      <c r="AF227" s="51"/>
    </row>
    <row r="228" spans="1:32">
      <c r="B228" s="74"/>
      <c r="C228" s="73"/>
      <c r="D228" s="72"/>
      <c r="E228" s="67"/>
      <c r="F228" s="67"/>
      <c r="G228" s="71"/>
      <c r="H228" s="71"/>
      <c r="I228" s="66"/>
      <c r="J228" s="66"/>
      <c r="K228" s="70"/>
      <c r="L228" s="69"/>
      <c r="M228" s="68"/>
      <c r="N228" s="67"/>
      <c r="O228" s="66"/>
      <c r="P228" s="66"/>
      <c r="Q228" s="70"/>
      <c r="R228" s="69"/>
      <c r="S228" s="68"/>
      <c r="T228" s="67"/>
      <c r="U228" s="66"/>
      <c r="V228" s="65"/>
      <c r="W228" s="64"/>
      <c r="X228" s="63"/>
      <c r="Y228" s="62"/>
      <c r="Z228" s="61"/>
      <c r="AA228" s="60"/>
      <c r="AB228" s="60"/>
    </row>
    <row r="229" spans="1:32">
      <c r="B229" s="74"/>
      <c r="C229" s="73"/>
      <c r="D229" s="72"/>
      <c r="E229" s="67"/>
      <c r="F229" s="67"/>
      <c r="G229" s="71"/>
      <c r="H229" s="71"/>
      <c r="I229" s="66"/>
      <c r="J229" s="66"/>
      <c r="K229" s="70"/>
      <c r="L229" s="69"/>
      <c r="M229" s="68"/>
      <c r="N229" s="67"/>
      <c r="O229" s="66"/>
      <c r="P229" s="66"/>
      <c r="Q229" s="70"/>
      <c r="R229" s="69"/>
      <c r="S229" s="68"/>
      <c r="T229" s="67"/>
      <c r="U229" s="66"/>
      <c r="V229" s="65"/>
      <c r="W229" s="64"/>
      <c r="X229" s="63"/>
      <c r="Y229" s="62"/>
      <c r="Z229" s="61"/>
      <c r="AA229" s="60"/>
      <c r="AB229" s="60"/>
    </row>
    <row r="230" spans="1:32">
      <c r="B230" s="74"/>
      <c r="C230" s="73"/>
      <c r="D230" s="72"/>
      <c r="E230" s="67"/>
      <c r="F230" s="67"/>
      <c r="G230" s="71"/>
      <c r="H230" s="71"/>
      <c r="I230" s="66"/>
      <c r="J230" s="66"/>
      <c r="K230" s="70"/>
      <c r="L230" s="69"/>
      <c r="M230" s="68"/>
      <c r="N230" s="67"/>
      <c r="O230" s="66"/>
      <c r="P230" s="66"/>
      <c r="Q230" s="70"/>
      <c r="R230" s="69"/>
      <c r="S230" s="68"/>
      <c r="T230" s="67"/>
      <c r="U230" s="66"/>
      <c r="V230" s="65"/>
      <c r="W230" s="64"/>
      <c r="X230" s="63"/>
      <c r="Y230" s="62"/>
      <c r="Z230" s="61"/>
      <c r="AA230" s="60"/>
      <c r="AB230" s="60"/>
    </row>
    <row r="231" spans="1:32">
      <c r="B231" s="74"/>
      <c r="C231" s="73"/>
      <c r="D231" s="72"/>
      <c r="E231" s="67"/>
      <c r="F231" s="67"/>
      <c r="G231" s="71"/>
      <c r="H231" s="71"/>
      <c r="I231" s="66"/>
      <c r="J231" s="66"/>
      <c r="K231" s="70"/>
      <c r="L231" s="69"/>
      <c r="M231" s="68"/>
      <c r="N231" s="67"/>
      <c r="O231" s="66"/>
      <c r="P231" s="66"/>
      <c r="Q231" s="70"/>
      <c r="R231" s="69"/>
      <c r="S231" s="68"/>
      <c r="T231" s="67"/>
      <c r="U231" s="66"/>
      <c r="V231" s="65"/>
      <c r="W231" s="64"/>
      <c r="X231" s="63"/>
      <c r="Y231" s="62"/>
      <c r="Z231" s="61"/>
      <c r="AA231" s="60"/>
      <c r="AB231" s="60"/>
    </row>
    <row r="232" spans="1:32">
      <c r="B232" s="74"/>
      <c r="C232" s="73"/>
      <c r="D232" s="72"/>
      <c r="E232" s="67"/>
      <c r="F232" s="67"/>
      <c r="G232" s="71"/>
      <c r="H232" s="71"/>
      <c r="I232" s="66"/>
      <c r="J232" s="66"/>
      <c r="K232" s="70"/>
      <c r="L232" s="69"/>
      <c r="M232" s="68"/>
      <c r="N232" s="67"/>
      <c r="O232" s="66"/>
      <c r="P232" s="66"/>
      <c r="Q232" s="70"/>
      <c r="R232" s="69"/>
      <c r="S232" s="68"/>
      <c r="T232" s="67"/>
      <c r="U232" s="66"/>
      <c r="V232" s="65"/>
      <c r="W232" s="64"/>
      <c r="X232" s="63"/>
      <c r="Y232" s="62"/>
      <c r="Z232" s="61"/>
      <c r="AA232" s="60"/>
      <c r="AB232" s="60"/>
    </row>
    <row r="233" spans="1:32">
      <c r="B233" s="74"/>
      <c r="C233" s="73"/>
      <c r="D233" s="72"/>
      <c r="E233" s="67"/>
      <c r="F233" s="67"/>
      <c r="G233" s="71"/>
      <c r="H233" s="71"/>
      <c r="I233" s="66"/>
      <c r="J233" s="66"/>
      <c r="K233" s="70"/>
      <c r="L233" s="69"/>
      <c r="M233" s="68"/>
      <c r="N233" s="67"/>
      <c r="O233" s="66"/>
      <c r="P233" s="66"/>
      <c r="Q233" s="70"/>
      <c r="R233" s="69"/>
      <c r="S233" s="68"/>
      <c r="T233" s="67"/>
      <c r="U233" s="66"/>
      <c r="V233" s="65"/>
      <c r="W233" s="64"/>
      <c r="X233" s="63"/>
      <c r="Y233" s="62"/>
      <c r="Z233" s="61"/>
      <c r="AA233" s="60"/>
      <c r="AB233" s="60"/>
    </row>
    <row r="234" spans="1:32">
      <c r="B234" s="74"/>
      <c r="C234" s="73"/>
      <c r="D234" s="72"/>
      <c r="E234" s="67"/>
      <c r="F234" s="67"/>
      <c r="G234" s="71"/>
      <c r="H234" s="71"/>
      <c r="I234" s="66"/>
      <c r="J234" s="66"/>
      <c r="K234" s="70"/>
      <c r="L234" s="69"/>
      <c r="M234" s="68"/>
      <c r="N234" s="67"/>
      <c r="O234" s="66"/>
      <c r="P234" s="66"/>
      <c r="Q234" s="70"/>
      <c r="R234" s="69"/>
      <c r="S234" s="68"/>
      <c r="T234" s="67"/>
      <c r="U234" s="66"/>
      <c r="V234" s="65"/>
      <c r="W234" s="64"/>
      <c r="X234" s="63"/>
      <c r="Y234" s="62"/>
      <c r="Z234" s="61"/>
      <c r="AA234" s="60"/>
      <c r="AB234" s="60"/>
    </row>
    <row r="235" spans="1:32">
      <c r="B235" s="74"/>
      <c r="C235" s="73"/>
      <c r="D235" s="72"/>
      <c r="E235" s="67"/>
      <c r="F235" s="67"/>
      <c r="G235" s="71"/>
      <c r="H235" s="71"/>
      <c r="I235" s="66"/>
      <c r="J235" s="66"/>
      <c r="K235" s="70"/>
      <c r="L235" s="69"/>
      <c r="M235" s="68"/>
      <c r="N235" s="67"/>
      <c r="O235" s="66"/>
      <c r="P235" s="66"/>
      <c r="Q235" s="70"/>
      <c r="R235" s="69"/>
      <c r="S235" s="68"/>
      <c r="T235" s="67"/>
      <c r="U235" s="66"/>
      <c r="V235" s="65"/>
      <c r="W235" s="64"/>
      <c r="X235" s="63"/>
      <c r="Y235" s="62"/>
      <c r="Z235" s="61"/>
      <c r="AA235" s="60"/>
      <c r="AB235" s="60"/>
    </row>
    <row r="236" spans="1:32">
      <c r="B236" s="74"/>
      <c r="C236" s="73"/>
      <c r="D236" s="72"/>
      <c r="E236" s="67"/>
      <c r="F236" s="67"/>
      <c r="G236" s="71"/>
      <c r="H236" s="71"/>
      <c r="I236" s="66"/>
      <c r="J236" s="66"/>
      <c r="K236" s="70"/>
      <c r="L236" s="69"/>
      <c r="M236" s="68"/>
      <c r="N236" s="67"/>
      <c r="O236" s="66"/>
      <c r="P236" s="66"/>
      <c r="Q236" s="70"/>
      <c r="R236" s="69"/>
      <c r="S236" s="68"/>
      <c r="T236" s="67"/>
      <c r="U236" s="66"/>
      <c r="V236" s="65"/>
      <c r="W236" s="64"/>
      <c r="X236" s="63"/>
      <c r="Y236" s="62"/>
      <c r="Z236" s="61"/>
      <c r="AA236" s="60"/>
      <c r="AB236" s="60"/>
    </row>
    <row r="237" spans="1:32">
      <c r="B237" s="74"/>
      <c r="C237" s="73"/>
      <c r="D237" s="72"/>
      <c r="E237" s="67"/>
      <c r="F237" s="67"/>
      <c r="G237" s="71"/>
      <c r="H237" s="71"/>
      <c r="I237" s="66"/>
      <c r="J237" s="66"/>
      <c r="K237" s="70"/>
      <c r="L237" s="69"/>
      <c r="M237" s="68"/>
      <c r="N237" s="67"/>
      <c r="O237" s="66"/>
      <c r="P237" s="66"/>
      <c r="Q237" s="70"/>
      <c r="R237" s="69"/>
      <c r="S237" s="68"/>
      <c r="T237" s="67"/>
      <c r="U237" s="66"/>
      <c r="V237" s="65"/>
      <c r="W237" s="64"/>
      <c r="X237" s="63"/>
      <c r="Y237" s="62"/>
      <c r="Z237" s="61"/>
      <c r="AA237" s="60"/>
      <c r="AB237" s="60"/>
    </row>
    <row r="238" spans="1:32">
      <c r="B238" s="74"/>
      <c r="C238" s="73"/>
      <c r="D238" s="72"/>
      <c r="E238" s="67"/>
      <c r="F238" s="67"/>
      <c r="G238" s="71"/>
      <c r="H238" s="71"/>
      <c r="I238" s="66"/>
      <c r="J238" s="66"/>
      <c r="K238" s="70"/>
      <c r="L238" s="69"/>
      <c r="M238" s="68"/>
      <c r="N238" s="67"/>
      <c r="O238" s="66"/>
      <c r="P238" s="66"/>
      <c r="Q238" s="70"/>
      <c r="R238" s="69"/>
      <c r="S238" s="68"/>
      <c r="T238" s="67"/>
      <c r="U238" s="66"/>
      <c r="V238" s="65"/>
      <c r="W238" s="64"/>
      <c r="X238" s="63"/>
      <c r="Y238" s="62"/>
      <c r="Z238" s="61"/>
      <c r="AA238" s="60"/>
      <c r="AB238" s="60"/>
    </row>
    <row r="239" spans="1:32">
      <c r="B239" s="74"/>
      <c r="C239" s="73"/>
      <c r="D239" s="72"/>
      <c r="E239" s="67"/>
      <c r="F239" s="67"/>
      <c r="G239" s="71"/>
      <c r="H239" s="71"/>
      <c r="I239" s="66"/>
      <c r="J239" s="66"/>
      <c r="K239" s="70"/>
      <c r="L239" s="69"/>
      <c r="M239" s="68"/>
      <c r="N239" s="67"/>
      <c r="O239" s="66"/>
      <c r="P239" s="66"/>
      <c r="Q239" s="70"/>
      <c r="R239" s="69"/>
      <c r="S239" s="68"/>
      <c r="T239" s="67"/>
      <c r="U239" s="66"/>
      <c r="V239" s="65"/>
      <c r="W239" s="64"/>
      <c r="X239" s="63"/>
      <c r="Y239" s="62"/>
      <c r="Z239" s="61"/>
      <c r="AA239" s="60"/>
      <c r="AB239" s="60"/>
    </row>
    <row r="240" spans="1:32">
      <c r="B240" s="74"/>
      <c r="C240" s="73"/>
      <c r="D240" s="72"/>
      <c r="E240" s="67"/>
      <c r="F240" s="67"/>
      <c r="G240" s="71"/>
      <c r="H240" s="71"/>
      <c r="I240" s="66"/>
      <c r="J240" s="66"/>
      <c r="K240" s="70"/>
      <c r="L240" s="69"/>
      <c r="M240" s="68"/>
      <c r="N240" s="67"/>
      <c r="O240" s="66"/>
      <c r="P240" s="66"/>
      <c r="Q240" s="70"/>
      <c r="R240" s="69"/>
      <c r="S240" s="68"/>
      <c r="T240" s="67"/>
      <c r="U240" s="66"/>
      <c r="V240" s="65"/>
      <c r="W240" s="64"/>
      <c r="X240" s="63"/>
      <c r="Y240" s="62"/>
      <c r="Z240" s="61"/>
      <c r="AA240" s="60"/>
      <c r="AB240" s="60"/>
    </row>
    <row r="241" spans="2:31">
      <c r="B241" s="74"/>
      <c r="C241" s="73"/>
      <c r="D241" s="72"/>
      <c r="E241" s="67"/>
      <c r="F241" s="67"/>
      <c r="G241" s="71"/>
      <c r="H241" s="71"/>
      <c r="I241" s="66"/>
      <c r="J241" s="66"/>
      <c r="K241" s="70"/>
      <c r="L241" s="69"/>
      <c r="M241" s="68"/>
      <c r="N241" s="67"/>
      <c r="O241" s="66"/>
      <c r="P241" s="66"/>
      <c r="Q241" s="70"/>
      <c r="R241" s="69"/>
      <c r="S241" s="68"/>
      <c r="T241" s="67"/>
      <c r="U241" s="66"/>
      <c r="V241" s="65"/>
      <c r="W241" s="64"/>
      <c r="X241" s="63"/>
      <c r="Y241" s="62"/>
      <c r="Z241" s="61"/>
      <c r="AA241" s="60"/>
      <c r="AB241" s="60"/>
    </row>
    <row r="242" spans="2:31">
      <c r="B242" s="74"/>
      <c r="C242" s="73"/>
      <c r="D242" s="72"/>
      <c r="E242" s="67"/>
      <c r="F242" s="67"/>
      <c r="G242" s="71"/>
      <c r="H242" s="71"/>
      <c r="I242" s="66"/>
      <c r="J242" s="66"/>
      <c r="K242" s="70"/>
      <c r="L242" s="69"/>
      <c r="M242" s="68"/>
      <c r="N242" s="67"/>
      <c r="O242" s="66"/>
      <c r="P242" s="66"/>
      <c r="Q242" s="70"/>
      <c r="R242" s="69"/>
      <c r="S242" s="68"/>
      <c r="T242" s="67"/>
      <c r="U242" s="66"/>
      <c r="V242" s="65"/>
      <c r="W242" s="64"/>
      <c r="X242" s="63"/>
      <c r="Y242" s="62"/>
      <c r="Z242" s="61"/>
      <c r="AA242" s="60"/>
      <c r="AB242" s="60"/>
    </row>
    <row r="243" spans="2:31">
      <c r="B243" s="74"/>
      <c r="C243" s="73"/>
      <c r="D243" s="72"/>
      <c r="E243" s="67"/>
      <c r="F243" s="67"/>
      <c r="G243" s="71"/>
      <c r="H243" s="71"/>
      <c r="I243" s="66"/>
      <c r="J243" s="66"/>
      <c r="K243" s="70"/>
      <c r="L243" s="69"/>
      <c r="M243" s="68"/>
      <c r="N243" s="67"/>
      <c r="O243" s="66"/>
      <c r="P243" s="66"/>
      <c r="Q243" s="70"/>
      <c r="R243" s="69"/>
      <c r="S243" s="68"/>
      <c r="T243" s="67"/>
      <c r="U243" s="66"/>
      <c r="V243" s="65"/>
      <c r="W243" s="64"/>
      <c r="X243" s="63"/>
      <c r="Y243" s="62"/>
      <c r="Z243" s="61"/>
      <c r="AA243" s="60"/>
      <c r="AB243" s="60"/>
      <c r="AC243" s="51"/>
      <c r="AD243" s="51"/>
      <c r="AE243" s="51"/>
    </row>
    <row r="244" spans="2:31">
      <c r="B244" s="74"/>
      <c r="C244" s="73"/>
      <c r="D244" s="72"/>
      <c r="E244" s="67"/>
      <c r="F244" s="67"/>
      <c r="G244" s="71"/>
      <c r="H244" s="71"/>
      <c r="I244" s="66"/>
      <c r="J244" s="66"/>
      <c r="K244" s="70"/>
      <c r="L244" s="69"/>
      <c r="M244" s="68"/>
      <c r="N244" s="67"/>
      <c r="O244" s="66"/>
      <c r="P244" s="66"/>
      <c r="Q244" s="70"/>
      <c r="R244" s="69"/>
      <c r="S244" s="68"/>
      <c r="T244" s="67"/>
      <c r="U244" s="66"/>
      <c r="V244" s="65"/>
      <c r="W244" s="64"/>
      <c r="X244" s="63"/>
      <c r="Y244" s="62"/>
      <c r="Z244" s="61"/>
      <c r="AA244" s="60"/>
      <c r="AB244" s="60"/>
      <c r="AC244" s="51"/>
      <c r="AD244" s="51"/>
      <c r="AE244" s="51"/>
    </row>
    <row r="245" spans="2:31">
      <c r="B245" s="74"/>
      <c r="C245" s="73"/>
      <c r="D245" s="72"/>
      <c r="E245" s="67"/>
      <c r="F245" s="67"/>
      <c r="G245" s="71"/>
      <c r="H245" s="71"/>
      <c r="I245" s="66"/>
      <c r="J245" s="66"/>
      <c r="K245" s="70"/>
      <c r="L245" s="69"/>
      <c r="M245" s="68"/>
      <c r="N245" s="67"/>
      <c r="O245" s="66"/>
      <c r="P245" s="66"/>
      <c r="Q245" s="70"/>
      <c r="R245" s="69"/>
      <c r="S245" s="68"/>
      <c r="T245" s="67"/>
      <c r="U245" s="66"/>
      <c r="V245" s="65"/>
      <c r="W245" s="64"/>
      <c r="X245" s="63"/>
      <c r="Y245" s="62"/>
      <c r="Z245" s="61"/>
      <c r="AA245" s="60"/>
      <c r="AB245" s="60"/>
      <c r="AC245" s="51"/>
      <c r="AD245" s="51"/>
      <c r="AE245" s="51"/>
    </row>
    <row r="246" spans="2:31">
      <c r="B246" s="74"/>
      <c r="C246" s="73"/>
      <c r="D246" s="72"/>
      <c r="E246" s="67"/>
      <c r="F246" s="67"/>
      <c r="G246" s="71"/>
      <c r="H246" s="71"/>
      <c r="I246" s="66"/>
      <c r="J246" s="66"/>
      <c r="K246" s="70"/>
      <c r="L246" s="69"/>
      <c r="M246" s="68"/>
      <c r="N246" s="67"/>
      <c r="O246" s="66"/>
      <c r="P246" s="66"/>
      <c r="Q246" s="70"/>
      <c r="R246" s="69"/>
      <c r="S246" s="68"/>
      <c r="T246" s="67"/>
      <c r="U246" s="66"/>
      <c r="V246" s="65"/>
      <c r="W246" s="64"/>
      <c r="X246" s="63"/>
      <c r="Y246" s="62"/>
      <c r="Z246" s="61"/>
      <c r="AA246" s="60"/>
      <c r="AB246" s="60"/>
      <c r="AC246" s="51"/>
      <c r="AD246" s="51"/>
      <c r="AE246" s="51"/>
    </row>
    <row r="247" spans="2:31">
      <c r="B247" s="74"/>
      <c r="C247" s="73"/>
      <c r="D247" s="72"/>
      <c r="E247" s="67"/>
      <c r="F247" s="67"/>
      <c r="G247" s="71"/>
      <c r="H247" s="71"/>
      <c r="I247" s="66"/>
      <c r="J247" s="66"/>
      <c r="K247" s="70"/>
      <c r="L247" s="69"/>
      <c r="M247" s="68"/>
      <c r="N247" s="67"/>
      <c r="O247" s="66"/>
      <c r="P247" s="66"/>
      <c r="Q247" s="70"/>
      <c r="R247" s="69"/>
      <c r="S247" s="68"/>
      <c r="T247" s="67"/>
      <c r="U247" s="66"/>
      <c r="V247" s="65"/>
      <c r="W247" s="64"/>
      <c r="X247" s="63"/>
      <c r="Y247" s="62"/>
      <c r="Z247" s="61"/>
      <c r="AA247" s="60"/>
      <c r="AB247" s="60"/>
      <c r="AC247" s="51"/>
      <c r="AD247" s="51"/>
      <c r="AE247" s="51"/>
    </row>
    <row r="248" spans="2:31">
      <c r="B248" s="74"/>
      <c r="C248" s="73"/>
      <c r="D248" s="72"/>
      <c r="E248" s="67"/>
      <c r="F248" s="67"/>
      <c r="G248" s="71"/>
      <c r="H248" s="71"/>
      <c r="I248" s="66"/>
      <c r="J248" s="66"/>
      <c r="K248" s="70"/>
      <c r="L248" s="69"/>
      <c r="M248" s="68"/>
      <c r="N248" s="67"/>
      <c r="O248" s="66"/>
      <c r="P248" s="66"/>
      <c r="Q248" s="70"/>
      <c r="R248" s="69"/>
      <c r="S248" s="68"/>
      <c r="T248" s="67"/>
      <c r="U248" s="66"/>
      <c r="V248" s="65"/>
      <c r="W248" s="64"/>
      <c r="X248" s="63"/>
      <c r="Y248" s="62"/>
      <c r="Z248" s="61"/>
      <c r="AA248" s="60"/>
      <c r="AB248" s="60"/>
      <c r="AC248" s="51"/>
      <c r="AD248" s="51"/>
      <c r="AE248" s="51"/>
    </row>
    <row r="249" spans="2:31">
      <c r="B249" s="74"/>
      <c r="C249" s="73"/>
      <c r="D249" s="72"/>
      <c r="E249" s="67"/>
      <c r="F249" s="67"/>
      <c r="G249" s="71"/>
      <c r="H249" s="71"/>
      <c r="I249" s="66"/>
      <c r="J249" s="66"/>
      <c r="K249" s="70"/>
      <c r="L249" s="69"/>
      <c r="M249" s="68"/>
      <c r="N249" s="67"/>
      <c r="O249" s="66"/>
      <c r="P249" s="66"/>
      <c r="Q249" s="70"/>
      <c r="R249" s="69"/>
      <c r="S249" s="68"/>
      <c r="T249" s="67"/>
      <c r="U249" s="66"/>
      <c r="V249" s="65"/>
      <c r="W249" s="64"/>
      <c r="X249" s="63"/>
      <c r="Y249" s="62"/>
      <c r="Z249" s="61"/>
      <c r="AA249" s="60"/>
      <c r="AB249" s="60"/>
      <c r="AC249" s="51"/>
      <c r="AD249" s="51"/>
      <c r="AE249" s="51"/>
    </row>
    <row r="250" spans="2:31">
      <c r="B250" s="74"/>
      <c r="C250" s="73"/>
      <c r="D250" s="72"/>
      <c r="E250" s="67"/>
      <c r="F250" s="67"/>
      <c r="G250" s="71"/>
      <c r="H250" s="71"/>
      <c r="I250" s="66"/>
      <c r="J250" s="66"/>
      <c r="K250" s="70"/>
      <c r="L250" s="69"/>
      <c r="M250" s="68"/>
      <c r="N250" s="67"/>
      <c r="O250" s="66"/>
      <c r="P250" s="66"/>
      <c r="Q250" s="70"/>
      <c r="R250" s="69"/>
      <c r="S250" s="68"/>
      <c r="T250" s="67"/>
      <c r="U250" s="66"/>
      <c r="V250" s="65"/>
      <c r="W250" s="64"/>
      <c r="X250" s="63"/>
      <c r="Y250" s="62"/>
      <c r="Z250" s="61"/>
      <c r="AA250" s="60"/>
      <c r="AB250" s="60"/>
      <c r="AC250" s="51"/>
      <c r="AD250" s="51"/>
      <c r="AE250" s="51"/>
    </row>
    <row r="251" spans="2:31">
      <c r="B251" s="74"/>
      <c r="C251" s="73"/>
      <c r="D251" s="72"/>
      <c r="E251" s="67"/>
      <c r="F251" s="67"/>
      <c r="G251" s="71"/>
      <c r="H251" s="71"/>
      <c r="I251" s="66"/>
      <c r="J251" s="66"/>
      <c r="K251" s="70"/>
      <c r="L251" s="69"/>
      <c r="M251" s="68"/>
      <c r="N251" s="67"/>
      <c r="O251" s="66"/>
      <c r="P251" s="66"/>
      <c r="Q251" s="70"/>
      <c r="R251" s="69"/>
      <c r="S251" s="68"/>
      <c r="T251" s="67"/>
      <c r="U251" s="66"/>
      <c r="V251" s="65"/>
      <c r="W251" s="64"/>
      <c r="X251" s="63"/>
      <c r="Y251" s="62"/>
      <c r="Z251" s="61"/>
      <c r="AA251" s="60"/>
      <c r="AB251" s="60"/>
      <c r="AC251" s="51"/>
      <c r="AD251" s="51"/>
      <c r="AE251" s="51"/>
    </row>
    <row r="252" spans="2:31">
      <c r="B252" s="74"/>
      <c r="C252" s="73"/>
      <c r="D252" s="72"/>
      <c r="E252" s="67"/>
      <c r="F252" s="67"/>
      <c r="G252" s="71"/>
      <c r="H252" s="71"/>
      <c r="I252" s="66"/>
      <c r="J252" s="66"/>
      <c r="K252" s="70"/>
      <c r="L252" s="69"/>
      <c r="M252" s="68"/>
      <c r="N252" s="67"/>
      <c r="O252" s="66"/>
      <c r="P252" s="66"/>
      <c r="Q252" s="70"/>
      <c r="R252" s="69"/>
      <c r="S252" s="68"/>
      <c r="T252" s="67"/>
      <c r="U252" s="66"/>
      <c r="V252" s="65"/>
      <c r="W252" s="64"/>
      <c r="X252" s="63"/>
      <c r="Y252" s="62"/>
      <c r="Z252" s="61"/>
      <c r="AA252" s="60"/>
      <c r="AB252" s="60"/>
      <c r="AC252" s="51"/>
      <c r="AD252" s="51"/>
      <c r="AE252" s="51"/>
    </row>
    <row r="253" spans="2:31">
      <c r="B253" s="74"/>
      <c r="C253" s="73"/>
      <c r="D253" s="72"/>
      <c r="E253" s="67"/>
      <c r="F253" s="67"/>
      <c r="G253" s="71"/>
      <c r="H253" s="71"/>
      <c r="I253" s="66"/>
      <c r="J253" s="66"/>
      <c r="K253" s="70"/>
      <c r="L253" s="69"/>
      <c r="M253" s="68"/>
      <c r="N253" s="67"/>
      <c r="O253" s="66"/>
      <c r="P253" s="66"/>
      <c r="Q253" s="70"/>
      <c r="R253" s="69"/>
      <c r="S253" s="68"/>
      <c r="T253" s="67"/>
      <c r="U253" s="66"/>
      <c r="V253" s="65"/>
      <c r="W253" s="64"/>
      <c r="X253" s="63"/>
      <c r="Y253" s="62"/>
      <c r="Z253" s="61"/>
      <c r="AA253" s="60"/>
      <c r="AB253" s="60"/>
      <c r="AC253" s="51"/>
      <c r="AD253" s="51"/>
      <c r="AE253" s="51"/>
    </row>
    <row r="254" spans="2:31">
      <c r="B254" s="74"/>
      <c r="C254" s="73"/>
      <c r="D254" s="72"/>
      <c r="E254" s="67"/>
      <c r="F254" s="67"/>
      <c r="G254" s="71"/>
      <c r="H254" s="71"/>
      <c r="I254" s="66"/>
      <c r="J254" s="66"/>
      <c r="K254" s="70"/>
      <c r="L254" s="69"/>
      <c r="M254" s="68"/>
      <c r="N254" s="67"/>
      <c r="O254" s="66"/>
      <c r="P254" s="66"/>
      <c r="Q254" s="70"/>
      <c r="R254" s="69"/>
      <c r="S254" s="68"/>
      <c r="T254" s="67"/>
      <c r="U254" s="66"/>
      <c r="V254" s="65"/>
      <c r="W254" s="64"/>
      <c r="X254" s="63"/>
      <c r="Y254" s="62"/>
      <c r="Z254" s="61"/>
      <c r="AA254" s="60"/>
      <c r="AB254" s="60"/>
      <c r="AC254" s="51"/>
      <c r="AD254" s="51"/>
      <c r="AE254" s="51"/>
    </row>
    <row r="255" spans="2:31">
      <c r="B255" s="74"/>
      <c r="C255" s="73"/>
      <c r="D255" s="72"/>
      <c r="E255" s="67"/>
      <c r="F255" s="67"/>
      <c r="G255" s="71"/>
      <c r="H255" s="71"/>
      <c r="I255" s="66"/>
      <c r="J255" s="66"/>
      <c r="K255" s="70"/>
      <c r="L255" s="69"/>
      <c r="M255" s="68"/>
      <c r="N255" s="67"/>
      <c r="O255" s="66"/>
      <c r="P255" s="66"/>
      <c r="Q255" s="70"/>
      <c r="R255" s="69"/>
      <c r="S255" s="68"/>
      <c r="T255" s="67"/>
      <c r="U255" s="66"/>
      <c r="V255" s="65"/>
      <c r="W255" s="64"/>
      <c r="X255" s="63"/>
      <c r="Y255" s="62"/>
      <c r="Z255" s="61"/>
      <c r="AA255" s="60"/>
      <c r="AB255" s="60"/>
      <c r="AC255" s="51"/>
      <c r="AD255" s="51"/>
      <c r="AE255" s="51"/>
    </row>
    <row r="256" spans="2:31">
      <c r="B256" s="74"/>
      <c r="C256" s="73"/>
      <c r="D256" s="72"/>
      <c r="E256" s="67"/>
      <c r="F256" s="67"/>
      <c r="G256" s="71"/>
      <c r="H256" s="71"/>
      <c r="I256" s="66"/>
      <c r="J256" s="66"/>
      <c r="K256" s="70"/>
      <c r="L256" s="69"/>
      <c r="M256" s="68"/>
      <c r="N256" s="67"/>
      <c r="O256" s="66"/>
      <c r="P256" s="66"/>
      <c r="Q256" s="70"/>
      <c r="R256" s="69"/>
      <c r="S256" s="68"/>
      <c r="T256" s="67"/>
      <c r="U256" s="66"/>
      <c r="V256" s="65"/>
      <c r="W256" s="64"/>
      <c r="X256" s="63"/>
      <c r="Y256" s="62"/>
      <c r="Z256" s="61"/>
      <c r="AA256" s="60"/>
      <c r="AB256" s="60"/>
      <c r="AC256" s="51"/>
      <c r="AD256" s="51"/>
      <c r="AE256" s="51"/>
    </row>
    <row r="257" spans="2:31">
      <c r="B257" s="74"/>
      <c r="C257" s="73"/>
      <c r="D257" s="72"/>
      <c r="E257" s="67"/>
      <c r="F257" s="67"/>
      <c r="G257" s="71"/>
      <c r="H257" s="71"/>
      <c r="I257" s="66"/>
      <c r="J257" s="66"/>
      <c r="K257" s="70"/>
      <c r="L257" s="69"/>
      <c r="M257" s="68"/>
      <c r="N257" s="67"/>
      <c r="O257" s="66"/>
      <c r="P257" s="66"/>
      <c r="Q257" s="70"/>
      <c r="R257" s="69"/>
      <c r="S257" s="68"/>
      <c r="T257" s="67"/>
      <c r="U257" s="66"/>
      <c r="V257" s="65"/>
      <c r="W257" s="64"/>
      <c r="X257" s="63"/>
      <c r="Y257" s="62"/>
      <c r="Z257" s="61"/>
      <c r="AA257" s="60"/>
      <c r="AB257" s="60"/>
      <c r="AC257" s="51"/>
      <c r="AD257" s="51"/>
      <c r="AE257" s="51"/>
    </row>
    <row r="258" spans="2:31">
      <c r="B258" s="74"/>
      <c r="C258" s="73"/>
      <c r="D258" s="72"/>
      <c r="E258" s="67"/>
      <c r="F258" s="67"/>
      <c r="G258" s="71"/>
      <c r="H258" s="71"/>
      <c r="I258" s="66"/>
      <c r="J258" s="66"/>
      <c r="K258" s="70"/>
      <c r="L258" s="69"/>
      <c r="M258" s="68"/>
      <c r="N258" s="67"/>
      <c r="O258" s="66"/>
      <c r="P258" s="66"/>
      <c r="Q258" s="70"/>
      <c r="R258" s="69"/>
      <c r="S258" s="68"/>
      <c r="T258" s="67"/>
      <c r="U258" s="66"/>
      <c r="V258" s="65"/>
      <c r="W258" s="64"/>
      <c r="X258" s="63"/>
      <c r="Y258" s="62"/>
      <c r="Z258" s="61"/>
      <c r="AA258" s="60"/>
      <c r="AB258" s="60"/>
      <c r="AC258" s="51"/>
      <c r="AD258" s="51"/>
      <c r="AE258" s="51"/>
    </row>
    <row r="259" spans="2:31">
      <c r="B259" s="74"/>
      <c r="C259" s="73"/>
      <c r="D259" s="72"/>
      <c r="E259" s="67"/>
      <c r="F259" s="67"/>
      <c r="G259" s="71"/>
      <c r="H259" s="71"/>
      <c r="I259" s="66"/>
      <c r="J259" s="66"/>
      <c r="K259" s="70"/>
      <c r="L259" s="69"/>
      <c r="M259" s="68"/>
      <c r="N259" s="67"/>
      <c r="O259" s="66"/>
      <c r="P259" s="66"/>
      <c r="Q259" s="70"/>
      <c r="R259" s="69"/>
      <c r="S259" s="68"/>
      <c r="T259" s="67"/>
      <c r="U259" s="66"/>
      <c r="V259" s="65"/>
      <c r="W259" s="64"/>
      <c r="X259" s="63"/>
      <c r="Y259" s="62"/>
      <c r="Z259" s="61"/>
      <c r="AA259" s="60"/>
      <c r="AB259" s="60"/>
      <c r="AC259" s="51"/>
      <c r="AD259" s="51"/>
      <c r="AE259" s="51"/>
    </row>
    <row r="260" spans="2:31">
      <c r="B260" s="74"/>
      <c r="C260" s="73"/>
      <c r="D260" s="72"/>
      <c r="E260" s="67"/>
      <c r="F260" s="67"/>
      <c r="G260" s="71"/>
      <c r="H260" s="71"/>
      <c r="I260" s="66"/>
      <c r="J260" s="66"/>
      <c r="K260" s="70"/>
      <c r="L260" s="69"/>
      <c r="M260" s="68"/>
      <c r="N260" s="67"/>
      <c r="O260" s="66"/>
      <c r="P260" s="66"/>
      <c r="Q260" s="70"/>
      <c r="R260" s="69"/>
      <c r="S260" s="68"/>
      <c r="T260" s="67"/>
      <c r="U260" s="66"/>
      <c r="V260" s="65"/>
      <c r="W260" s="64"/>
      <c r="X260" s="63"/>
      <c r="Y260" s="62"/>
      <c r="Z260" s="61"/>
      <c r="AA260" s="60"/>
      <c r="AB260" s="60"/>
      <c r="AC260" s="51"/>
      <c r="AD260" s="51"/>
      <c r="AE260" s="51"/>
    </row>
    <row r="261" spans="2:31">
      <c r="B261" s="74"/>
      <c r="C261" s="73"/>
      <c r="D261" s="72"/>
      <c r="E261" s="67"/>
      <c r="F261" s="67"/>
      <c r="G261" s="71"/>
      <c r="H261" s="71"/>
      <c r="I261" s="66"/>
      <c r="J261" s="66"/>
      <c r="K261" s="70"/>
      <c r="L261" s="69"/>
      <c r="M261" s="68"/>
      <c r="N261" s="67"/>
      <c r="O261" s="66"/>
      <c r="P261" s="66"/>
      <c r="Q261" s="70"/>
      <c r="R261" s="69"/>
      <c r="S261" s="68"/>
      <c r="T261" s="67"/>
      <c r="U261" s="66"/>
      <c r="V261" s="65"/>
      <c r="W261" s="64"/>
      <c r="X261" s="63"/>
      <c r="Y261" s="62"/>
      <c r="Z261" s="61"/>
      <c r="AA261" s="60"/>
      <c r="AB261" s="60"/>
      <c r="AC261" s="51"/>
      <c r="AD261" s="51"/>
      <c r="AE261" s="51"/>
    </row>
    <row r="262" spans="2:31">
      <c r="B262" s="74"/>
      <c r="C262" s="73"/>
      <c r="D262" s="72"/>
      <c r="E262" s="67"/>
      <c r="F262" s="67"/>
      <c r="G262" s="71"/>
      <c r="H262" s="71"/>
      <c r="I262" s="66"/>
      <c r="J262" s="66"/>
      <c r="K262" s="70"/>
      <c r="L262" s="69"/>
      <c r="M262" s="68"/>
      <c r="N262" s="67"/>
      <c r="O262" s="66"/>
      <c r="P262" s="66"/>
      <c r="Q262" s="70"/>
      <c r="R262" s="69"/>
      <c r="S262" s="68"/>
      <c r="T262" s="67"/>
      <c r="U262" s="66"/>
      <c r="V262" s="65"/>
      <c r="W262" s="64"/>
      <c r="X262" s="63"/>
      <c r="Y262" s="62"/>
      <c r="Z262" s="61"/>
      <c r="AA262" s="60"/>
      <c r="AB262" s="60"/>
      <c r="AC262" s="51"/>
      <c r="AD262" s="51"/>
      <c r="AE262" s="51"/>
    </row>
    <row r="263" spans="2:31">
      <c r="B263" s="74"/>
      <c r="C263" s="73"/>
      <c r="D263" s="72"/>
      <c r="E263" s="67"/>
      <c r="F263" s="67"/>
      <c r="G263" s="71"/>
      <c r="H263" s="71"/>
      <c r="I263" s="66"/>
      <c r="J263" s="66"/>
      <c r="K263" s="70"/>
      <c r="L263" s="69"/>
      <c r="M263" s="68"/>
      <c r="N263" s="67"/>
      <c r="O263" s="66"/>
      <c r="P263" s="66"/>
      <c r="Q263" s="70"/>
      <c r="R263" s="69"/>
      <c r="S263" s="68"/>
      <c r="T263" s="67"/>
      <c r="U263" s="66"/>
      <c r="V263" s="65"/>
      <c r="W263" s="64"/>
      <c r="X263" s="63"/>
      <c r="Y263" s="62"/>
      <c r="Z263" s="61"/>
      <c r="AA263" s="60"/>
      <c r="AB263" s="60"/>
      <c r="AC263" s="51"/>
      <c r="AD263" s="51"/>
      <c r="AE263" s="51"/>
    </row>
    <row r="264" spans="2:31">
      <c r="B264" s="74"/>
      <c r="C264" s="73"/>
      <c r="D264" s="72"/>
      <c r="E264" s="67"/>
      <c r="F264" s="67"/>
      <c r="G264" s="71"/>
      <c r="H264" s="71"/>
      <c r="I264" s="66"/>
      <c r="J264" s="66"/>
      <c r="K264" s="70"/>
      <c r="L264" s="69"/>
      <c r="M264" s="68"/>
      <c r="N264" s="67"/>
      <c r="O264" s="66"/>
      <c r="P264" s="66"/>
      <c r="Q264" s="70"/>
      <c r="R264" s="69"/>
      <c r="S264" s="68"/>
      <c r="T264" s="67"/>
      <c r="U264" s="66"/>
      <c r="V264" s="65"/>
      <c r="W264" s="64"/>
      <c r="X264" s="63"/>
      <c r="Y264" s="62"/>
      <c r="Z264" s="61"/>
      <c r="AA264" s="60"/>
      <c r="AB264" s="60"/>
      <c r="AC264" s="51"/>
      <c r="AD264" s="51"/>
      <c r="AE264" s="51"/>
    </row>
    <row r="265" spans="2:31">
      <c r="B265" s="74"/>
      <c r="C265" s="73"/>
      <c r="D265" s="72"/>
      <c r="E265" s="67"/>
      <c r="F265" s="67"/>
      <c r="G265" s="71"/>
      <c r="H265" s="71"/>
      <c r="I265" s="66"/>
      <c r="J265" s="66"/>
      <c r="K265" s="70"/>
      <c r="L265" s="69"/>
      <c r="M265" s="68"/>
      <c r="N265" s="67"/>
      <c r="O265" s="66"/>
      <c r="P265" s="66"/>
      <c r="Q265" s="70"/>
      <c r="R265" s="69"/>
      <c r="S265" s="68"/>
      <c r="T265" s="67"/>
      <c r="U265" s="66"/>
      <c r="V265" s="65"/>
      <c r="W265" s="64"/>
      <c r="X265" s="63"/>
      <c r="Y265" s="62"/>
      <c r="Z265" s="61"/>
      <c r="AA265" s="60"/>
      <c r="AB265" s="60"/>
      <c r="AC265" s="51"/>
      <c r="AD265" s="51"/>
      <c r="AE265" s="51"/>
    </row>
    <row r="266" spans="2:31">
      <c r="B266" s="74"/>
      <c r="C266" s="73"/>
      <c r="D266" s="72"/>
      <c r="E266" s="67"/>
      <c r="F266" s="67"/>
      <c r="G266" s="71"/>
      <c r="H266" s="71"/>
      <c r="I266" s="66"/>
      <c r="J266" s="66"/>
      <c r="K266" s="70"/>
      <c r="L266" s="69"/>
      <c r="M266" s="68"/>
      <c r="N266" s="67"/>
      <c r="O266" s="66"/>
      <c r="P266" s="66"/>
      <c r="Q266" s="70"/>
      <c r="R266" s="69"/>
      <c r="S266" s="68"/>
      <c r="T266" s="67"/>
      <c r="U266" s="66"/>
      <c r="V266" s="65"/>
      <c r="W266" s="64"/>
      <c r="X266" s="63"/>
      <c r="Y266" s="62"/>
      <c r="Z266" s="61"/>
      <c r="AA266" s="60"/>
      <c r="AB266" s="60"/>
      <c r="AC266" s="51"/>
      <c r="AD266" s="51"/>
      <c r="AE266" s="51"/>
    </row>
    <row r="267" spans="2:31">
      <c r="B267" s="74"/>
      <c r="C267" s="73"/>
      <c r="D267" s="72"/>
      <c r="E267" s="67"/>
      <c r="F267" s="67"/>
      <c r="G267" s="71"/>
      <c r="H267" s="71"/>
      <c r="I267" s="66"/>
      <c r="J267" s="66"/>
      <c r="K267" s="70"/>
      <c r="L267" s="69"/>
      <c r="M267" s="68"/>
      <c r="N267" s="67"/>
      <c r="O267" s="66"/>
      <c r="P267" s="66"/>
      <c r="Q267" s="70"/>
      <c r="R267" s="69"/>
      <c r="S267" s="68"/>
      <c r="T267" s="67"/>
      <c r="U267" s="66"/>
      <c r="V267" s="65"/>
      <c r="W267" s="64"/>
      <c r="X267" s="63"/>
      <c r="Y267" s="62"/>
      <c r="Z267" s="61"/>
      <c r="AA267" s="60"/>
      <c r="AB267" s="60"/>
      <c r="AC267" s="51"/>
      <c r="AD267" s="51"/>
      <c r="AE267" s="51"/>
    </row>
    <row r="268" spans="2:31">
      <c r="B268" s="74"/>
      <c r="C268" s="73"/>
      <c r="D268" s="72"/>
      <c r="E268" s="67"/>
      <c r="F268" s="67"/>
      <c r="G268" s="71"/>
      <c r="H268" s="71"/>
      <c r="I268" s="66"/>
      <c r="J268" s="66"/>
      <c r="K268" s="70"/>
      <c r="L268" s="69"/>
      <c r="M268" s="68"/>
      <c r="N268" s="67"/>
      <c r="O268" s="66"/>
      <c r="P268" s="66"/>
      <c r="Q268" s="70"/>
      <c r="R268" s="69"/>
      <c r="S268" s="68"/>
      <c r="T268" s="67"/>
      <c r="U268" s="66"/>
      <c r="V268" s="65"/>
      <c r="W268" s="64"/>
      <c r="X268" s="63"/>
      <c r="Y268" s="62"/>
      <c r="Z268" s="61"/>
      <c r="AA268" s="60"/>
      <c r="AB268" s="60"/>
      <c r="AC268" s="51"/>
      <c r="AD268" s="51"/>
      <c r="AE268" s="51"/>
    </row>
    <row r="269" spans="2:31">
      <c r="B269" s="74"/>
      <c r="C269" s="73"/>
      <c r="D269" s="72"/>
      <c r="E269" s="67"/>
      <c r="F269" s="67"/>
      <c r="G269" s="71"/>
      <c r="H269" s="71"/>
      <c r="I269" s="66"/>
      <c r="J269" s="66"/>
      <c r="K269" s="70"/>
      <c r="L269" s="69"/>
      <c r="M269" s="68"/>
      <c r="N269" s="67"/>
      <c r="O269" s="66"/>
      <c r="P269" s="66"/>
      <c r="Q269" s="70"/>
      <c r="R269" s="69"/>
      <c r="S269" s="68"/>
      <c r="T269" s="67"/>
      <c r="U269" s="66"/>
      <c r="V269" s="65"/>
      <c r="W269" s="64"/>
      <c r="X269" s="63"/>
      <c r="Y269" s="62"/>
      <c r="Z269" s="61"/>
      <c r="AA269" s="60"/>
      <c r="AB269" s="60"/>
      <c r="AC269" s="51"/>
      <c r="AD269" s="51"/>
      <c r="AE269" s="51"/>
    </row>
    <row r="270" spans="2:31">
      <c r="B270" s="74"/>
      <c r="C270" s="73"/>
      <c r="D270" s="72"/>
      <c r="E270" s="67"/>
      <c r="F270" s="67"/>
      <c r="G270" s="71"/>
      <c r="H270" s="71"/>
      <c r="I270" s="66"/>
      <c r="J270" s="66"/>
      <c r="K270" s="70"/>
      <c r="L270" s="69"/>
      <c r="M270" s="68"/>
      <c r="N270" s="67"/>
      <c r="O270" s="66"/>
      <c r="P270" s="66"/>
      <c r="Q270" s="70"/>
      <c r="R270" s="69"/>
      <c r="S270" s="68"/>
      <c r="T270" s="67"/>
      <c r="U270" s="66"/>
      <c r="V270" s="65"/>
      <c r="W270" s="64"/>
      <c r="X270" s="63"/>
      <c r="Y270" s="62"/>
      <c r="Z270" s="61"/>
      <c r="AA270" s="60"/>
      <c r="AB270" s="60"/>
      <c r="AC270" s="51"/>
      <c r="AD270" s="51"/>
      <c r="AE270" s="51"/>
    </row>
    <row r="271" spans="2:31">
      <c r="B271" s="74"/>
      <c r="C271" s="73"/>
      <c r="D271" s="72"/>
      <c r="E271" s="67"/>
      <c r="F271" s="67"/>
      <c r="G271" s="71"/>
      <c r="H271" s="71"/>
      <c r="I271" s="66"/>
      <c r="J271" s="66"/>
      <c r="K271" s="70"/>
      <c r="L271" s="69"/>
      <c r="M271" s="68"/>
      <c r="N271" s="67"/>
      <c r="O271" s="66"/>
      <c r="P271" s="66"/>
      <c r="Q271" s="70"/>
      <c r="R271" s="69"/>
      <c r="S271" s="68"/>
      <c r="T271" s="67"/>
      <c r="U271" s="66"/>
      <c r="V271" s="65"/>
      <c r="W271" s="64"/>
      <c r="X271" s="63"/>
      <c r="Y271" s="62"/>
      <c r="Z271" s="61"/>
      <c r="AA271" s="60"/>
      <c r="AB271" s="60"/>
      <c r="AC271" s="51"/>
      <c r="AD271" s="51"/>
      <c r="AE271" s="51"/>
    </row>
    <row r="272" spans="2:31">
      <c r="B272" s="74"/>
      <c r="C272" s="73"/>
      <c r="D272" s="72"/>
      <c r="E272" s="67"/>
      <c r="F272" s="67"/>
      <c r="G272" s="71"/>
      <c r="H272" s="71"/>
      <c r="I272" s="66"/>
      <c r="J272" s="66"/>
      <c r="K272" s="70"/>
      <c r="L272" s="69"/>
      <c r="M272" s="68"/>
      <c r="N272" s="67"/>
      <c r="O272" s="66"/>
      <c r="P272" s="66"/>
      <c r="Q272" s="70"/>
      <c r="R272" s="69"/>
      <c r="S272" s="68"/>
      <c r="T272" s="67"/>
      <c r="U272" s="66"/>
      <c r="V272" s="65"/>
      <c r="W272" s="64"/>
      <c r="X272" s="63"/>
      <c r="Y272" s="62"/>
      <c r="Z272" s="61"/>
      <c r="AA272" s="60"/>
      <c r="AB272" s="60"/>
      <c r="AC272" s="51"/>
      <c r="AD272" s="51"/>
      <c r="AE272" s="51"/>
    </row>
    <row r="273" spans="2:31">
      <c r="B273" s="74"/>
      <c r="C273" s="73"/>
      <c r="D273" s="72"/>
      <c r="E273" s="67"/>
      <c r="F273" s="67"/>
      <c r="G273" s="71"/>
      <c r="H273" s="71"/>
      <c r="I273" s="66"/>
      <c r="J273" s="66"/>
      <c r="K273" s="70"/>
      <c r="L273" s="69"/>
      <c r="M273" s="68"/>
      <c r="N273" s="67"/>
      <c r="O273" s="66"/>
      <c r="P273" s="66"/>
      <c r="Q273" s="70"/>
      <c r="R273" s="69"/>
      <c r="S273" s="68"/>
      <c r="T273" s="67"/>
      <c r="U273" s="66"/>
      <c r="V273" s="65"/>
      <c r="W273" s="64"/>
      <c r="X273" s="63"/>
      <c r="Y273" s="62"/>
      <c r="Z273" s="61"/>
      <c r="AA273" s="60"/>
      <c r="AB273" s="60"/>
      <c r="AC273" s="51"/>
      <c r="AD273" s="51"/>
      <c r="AE273" s="51"/>
    </row>
    <row r="274" spans="2:31">
      <c r="B274" s="74"/>
      <c r="C274" s="73"/>
      <c r="D274" s="72"/>
      <c r="E274" s="67"/>
      <c r="F274" s="67"/>
      <c r="G274" s="71"/>
      <c r="H274" s="71"/>
      <c r="I274" s="66"/>
      <c r="J274" s="66"/>
      <c r="K274" s="70"/>
      <c r="L274" s="69"/>
      <c r="M274" s="68"/>
      <c r="N274" s="67"/>
      <c r="O274" s="66"/>
      <c r="P274" s="66"/>
      <c r="Q274" s="70"/>
      <c r="R274" s="69"/>
      <c r="S274" s="68"/>
      <c r="T274" s="67"/>
      <c r="U274" s="66"/>
      <c r="V274" s="65"/>
      <c r="W274" s="64"/>
      <c r="X274" s="63"/>
      <c r="Y274" s="62"/>
      <c r="Z274" s="61"/>
      <c r="AA274" s="60"/>
      <c r="AB274" s="60"/>
      <c r="AC274" s="51"/>
      <c r="AD274" s="51"/>
      <c r="AE274" s="51"/>
    </row>
    <row r="275" spans="2:31">
      <c r="B275" s="74"/>
      <c r="C275" s="73"/>
      <c r="D275" s="72"/>
      <c r="E275" s="67"/>
      <c r="F275" s="67"/>
      <c r="G275" s="71"/>
      <c r="H275" s="71"/>
      <c r="I275" s="66"/>
      <c r="J275" s="66"/>
      <c r="K275" s="70"/>
      <c r="L275" s="69"/>
      <c r="M275" s="68"/>
      <c r="N275" s="67"/>
      <c r="O275" s="66"/>
      <c r="P275" s="66"/>
      <c r="Q275" s="70"/>
      <c r="R275" s="69"/>
      <c r="S275" s="68"/>
      <c r="T275" s="67"/>
      <c r="U275" s="66"/>
      <c r="V275" s="65"/>
      <c r="W275" s="64"/>
      <c r="X275" s="63"/>
      <c r="Y275" s="62"/>
      <c r="Z275" s="61"/>
      <c r="AA275" s="60"/>
      <c r="AB275" s="60"/>
      <c r="AC275" s="51"/>
      <c r="AD275" s="51"/>
      <c r="AE275" s="51"/>
    </row>
    <row r="276" spans="2:31">
      <c r="B276" s="74"/>
      <c r="C276" s="73"/>
      <c r="D276" s="72"/>
      <c r="E276" s="67"/>
      <c r="F276" s="67"/>
      <c r="G276" s="71"/>
      <c r="H276" s="71"/>
      <c r="I276" s="66"/>
      <c r="J276" s="66"/>
      <c r="K276" s="70"/>
      <c r="L276" s="69"/>
      <c r="M276" s="68"/>
      <c r="N276" s="67"/>
      <c r="O276" s="66"/>
      <c r="P276" s="66"/>
      <c r="Q276" s="70"/>
      <c r="R276" s="69"/>
      <c r="S276" s="68"/>
      <c r="T276" s="67"/>
      <c r="U276" s="66"/>
      <c r="V276" s="65"/>
      <c r="W276" s="64"/>
      <c r="X276" s="63"/>
      <c r="Y276" s="62"/>
      <c r="Z276" s="61"/>
      <c r="AA276" s="60"/>
      <c r="AB276" s="60"/>
      <c r="AC276" s="51"/>
      <c r="AD276" s="51"/>
      <c r="AE276" s="51"/>
    </row>
    <row r="277" spans="2:31">
      <c r="B277" s="74"/>
      <c r="C277" s="73"/>
      <c r="D277" s="72"/>
      <c r="E277" s="67"/>
      <c r="F277" s="67"/>
      <c r="G277" s="71"/>
      <c r="H277" s="71"/>
      <c r="I277" s="66"/>
      <c r="J277" s="66"/>
      <c r="K277" s="70"/>
      <c r="L277" s="69"/>
      <c r="M277" s="68"/>
      <c r="N277" s="67"/>
      <c r="O277" s="66"/>
      <c r="P277" s="66"/>
      <c r="Q277" s="70"/>
      <c r="R277" s="69"/>
      <c r="S277" s="68"/>
      <c r="T277" s="67"/>
      <c r="U277" s="66"/>
      <c r="V277" s="65"/>
      <c r="W277" s="64"/>
      <c r="X277" s="63"/>
      <c r="Y277" s="62"/>
      <c r="Z277" s="61"/>
      <c r="AA277" s="60"/>
      <c r="AB277" s="60"/>
      <c r="AC277" s="51"/>
      <c r="AD277" s="51"/>
      <c r="AE277" s="51"/>
    </row>
    <row r="278" spans="2:31">
      <c r="B278" s="74"/>
      <c r="C278" s="73"/>
      <c r="D278" s="72"/>
      <c r="E278" s="67"/>
      <c r="F278" s="67"/>
      <c r="G278" s="71"/>
      <c r="H278" s="71"/>
      <c r="I278" s="66"/>
      <c r="J278" s="66"/>
      <c r="K278" s="70"/>
      <c r="L278" s="69"/>
      <c r="M278" s="68"/>
      <c r="N278" s="67"/>
      <c r="O278" s="66"/>
      <c r="P278" s="66"/>
      <c r="Q278" s="70"/>
      <c r="R278" s="69"/>
      <c r="S278" s="68"/>
      <c r="T278" s="67"/>
      <c r="U278" s="66"/>
      <c r="V278" s="65"/>
      <c r="W278" s="64"/>
      <c r="X278" s="63"/>
      <c r="Y278" s="62"/>
      <c r="Z278" s="61"/>
      <c r="AA278" s="60"/>
      <c r="AB278" s="60"/>
      <c r="AC278" s="51"/>
      <c r="AD278" s="51"/>
      <c r="AE278" s="51"/>
    </row>
    <row r="279" spans="2:31">
      <c r="B279" s="74"/>
      <c r="C279" s="73"/>
      <c r="D279" s="72"/>
      <c r="E279" s="67"/>
      <c r="F279" s="67"/>
      <c r="G279" s="71"/>
      <c r="H279" s="71"/>
      <c r="I279" s="66"/>
      <c r="J279" s="66"/>
      <c r="K279" s="70"/>
      <c r="L279" s="69"/>
      <c r="M279" s="68"/>
      <c r="N279" s="67"/>
      <c r="O279" s="66"/>
      <c r="P279" s="66"/>
      <c r="Q279" s="70"/>
      <c r="R279" s="69"/>
      <c r="S279" s="68"/>
      <c r="T279" s="67"/>
      <c r="U279" s="66"/>
      <c r="V279" s="65"/>
      <c r="W279" s="64"/>
      <c r="X279" s="63"/>
      <c r="Y279" s="62"/>
      <c r="Z279" s="61"/>
      <c r="AA279" s="60"/>
      <c r="AB279" s="60"/>
    </row>
    <row r="280" spans="2:31">
      <c r="B280" s="74"/>
      <c r="C280" s="73"/>
      <c r="D280" s="72"/>
      <c r="E280" s="67"/>
      <c r="F280" s="67"/>
      <c r="G280" s="71"/>
      <c r="H280" s="71"/>
      <c r="I280" s="66"/>
      <c r="J280" s="66"/>
      <c r="K280" s="70"/>
      <c r="L280" s="69"/>
      <c r="M280" s="68"/>
      <c r="N280" s="67"/>
      <c r="O280" s="66"/>
      <c r="P280" s="66"/>
      <c r="Q280" s="70"/>
      <c r="R280" s="69"/>
      <c r="S280" s="68"/>
      <c r="T280" s="67"/>
      <c r="U280" s="66"/>
      <c r="V280" s="65"/>
      <c r="W280" s="64"/>
      <c r="X280" s="63"/>
      <c r="Y280" s="62"/>
      <c r="Z280" s="61"/>
      <c r="AA280" s="60"/>
      <c r="AB280" s="60"/>
    </row>
    <row r="281" spans="2:31">
      <c r="B281" s="74"/>
      <c r="C281" s="73"/>
      <c r="D281" s="72"/>
      <c r="E281" s="67"/>
      <c r="F281" s="67"/>
      <c r="G281" s="71"/>
      <c r="H281" s="71"/>
      <c r="I281" s="66"/>
      <c r="J281" s="66"/>
      <c r="K281" s="70"/>
      <c r="L281" s="69"/>
      <c r="M281" s="68"/>
      <c r="N281" s="67"/>
      <c r="O281" s="66"/>
      <c r="P281" s="66"/>
      <c r="Q281" s="70"/>
      <c r="R281" s="69"/>
      <c r="S281" s="68"/>
      <c r="T281" s="67"/>
      <c r="U281" s="66"/>
      <c r="V281" s="65"/>
      <c r="W281" s="64"/>
      <c r="X281" s="63"/>
      <c r="Y281" s="62"/>
      <c r="Z281" s="61"/>
      <c r="AA281" s="60"/>
      <c r="AB281" s="60"/>
    </row>
    <row r="282" spans="2:31">
      <c r="B282" s="74"/>
      <c r="C282" s="73"/>
      <c r="D282" s="72"/>
      <c r="E282" s="67"/>
      <c r="F282" s="67"/>
      <c r="G282" s="71"/>
      <c r="H282" s="71"/>
      <c r="I282" s="66"/>
      <c r="J282" s="66"/>
      <c r="K282" s="70"/>
      <c r="L282" s="69"/>
      <c r="M282" s="68"/>
      <c r="N282" s="67"/>
      <c r="O282" s="66"/>
      <c r="P282" s="66"/>
      <c r="Q282" s="70"/>
      <c r="R282" s="69"/>
      <c r="S282" s="68"/>
      <c r="T282" s="67"/>
      <c r="U282" s="66"/>
      <c r="V282" s="65"/>
      <c r="W282" s="64"/>
      <c r="X282" s="63"/>
      <c r="Y282" s="62"/>
      <c r="Z282" s="61"/>
      <c r="AA282" s="60"/>
      <c r="AB282" s="60"/>
    </row>
    <row r="283" spans="2:31">
      <c r="B283" s="74"/>
      <c r="C283" s="73"/>
      <c r="D283" s="72"/>
      <c r="E283" s="67"/>
      <c r="F283" s="67"/>
      <c r="G283" s="71"/>
      <c r="H283" s="71"/>
      <c r="I283" s="66"/>
      <c r="J283" s="66"/>
      <c r="K283" s="70"/>
      <c r="L283" s="69"/>
      <c r="M283" s="68"/>
      <c r="N283" s="67"/>
      <c r="O283" s="66"/>
      <c r="P283" s="66"/>
      <c r="Q283" s="70"/>
      <c r="R283" s="69"/>
      <c r="S283" s="68"/>
      <c r="T283" s="67"/>
      <c r="U283" s="66"/>
      <c r="V283" s="65"/>
      <c r="W283" s="64"/>
      <c r="X283" s="63"/>
      <c r="Y283" s="62"/>
      <c r="Z283" s="61"/>
      <c r="AA283" s="60"/>
      <c r="AB283" s="60"/>
    </row>
    <row r="284" spans="2:31">
      <c r="B284" s="74"/>
      <c r="C284" s="73"/>
      <c r="D284" s="72"/>
      <c r="E284" s="67"/>
      <c r="F284" s="67"/>
      <c r="G284" s="71"/>
      <c r="H284" s="71"/>
      <c r="I284" s="66"/>
      <c r="J284" s="66"/>
      <c r="K284" s="70"/>
      <c r="L284" s="69"/>
      <c r="M284" s="68"/>
      <c r="N284" s="67"/>
      <c r="O284" s="66"/>
      <c r="P284" s="66"/>
      <c r="Q284" s="70"/>
      <c r="R284" s="69"/>
      <c r="S284" s="68"/>
      <c r="T284" s="67"/>
      <c r="U284" s="66"/>
      <c r="V284" s="65"/>
      <c r="W284" s="64"/>
      <c r="X284" s="63"/>
      <c r="Y284" s="62"/>
      <c r="Z284" s="61"/>
      <c r="AA284" s="60"/>
      <c r="AB284" s="60"/>
    </row>
    <row r="285" spans="2:31">
      <c r="B285" s="74"/>
      <c r="C285" s="73"/>
      <c r="D285" s="72"/>
      <c r="E285" s="67"/>
      <c r="F285" s="67"/>
      <c r="G285" s="71"/>
      <c r="H285" s="71"/>
      <c r="I285" s="66"/>
      <c r="J285" s="66"/>
      <c r="K285" s="70"/>
      <c r="L285" s="69"/>
      <c r="M285" s="68"/>
      <c r="N285" s="67"/>
      <c r="O285" s="66"/>
      <c r="P285" s="66"/>
      <c r="Q285" s="70"/>
      <c r="R285" s="69"/>
      <c r="S285" s="68"/>
      <c r="T285" s="67"/>
      <c r="U285" s="66"/>
      <c r="V285" s="65"/>
      <c r="W285" s="64"/>
      <c r="X285" s="63"/>
      <c r="Y285" s="62"/>
      <c r="Z285" s="61"/>
      <c r="AA285" s="60"/>
      <c r="AB285" s="60"/>
    </row>
    <row r="286" spans="2:31">
      <c r="B286" s="74"/>
      <c r="C286" s="73"/>
      <c r="D286" s="72"/>
      <c r="E286" s="67"/>
      <c r="F286" s="67"/>
      <c r="G286" s="71"/>
      <c r="H286" s="71"/>
      <c r="I286" s="66"/>
      <c r="J286" s="66"/>
      <c r="K286" s="70"/>
      <c r="L286" s="69"/>
      <c r="M286" s="68"/>
      <c r="N286" s="67"/>
      <c r="O286" s="66"/>
      <c r="P286" s="66"/>
      <c r="Q286" s="70"/>
      <c r="R286" s="69"/>
      <c r="S286" s="68"/>
      <c r="T286" s="67"/>
      <c r="U286" s="66"/>
      <c r="V286" s="65"/>
      <c r="W286" s="64"/>
      <c r="X286" s="63"/>
      <c r="Y286" s="62"/>
      <c r="Z286" s="61"/>
      <c r="AA286" s="60"/>
      <c r="AB286" s="60"/>
    </row>
    <row r="287" spans="2:31">
      <c r="B287" s="74"/>
      <c r="C287" s="73"/>
      <c r="D287" s="72"/>
      <c r="E287" s="67"/>
      <c r="F287" s="67"/>
      <c r="G287" s="71"/>
      <c r="H287" s="71"/>
      <c r="I287" s="66"/>
      <c r="J287" s="66"/>
      <c r="K287" s="70"/>
      <c r="L287" s="69"/>
      <c r="M287" s="68"/>
      <c r="N287" s="67"/>
      <c r="O287" s="66"/>
      <c r="P287" s="66"/>
      <c r="Q287" s="70"/>
      <c r="R287" s="69"/>
      <c r="S287" s="68"/>
      <c r="T287" s="67"/>
      <c r="U287" s="66"/>
      <c r="V287" s="65"/>
      <c r="W287" s="64"/>
      <c r="X287" s="63"/>
      <c r="Y287" s="62"/>
      <c r="Z287" s="61"/>
      <c r="AA287" s="60"/>
      <c r="AB287" s="60"/>
    </row>
    <row r="288" spans="2:31">
      <c r="B288" s="74"/>
      <c r="C288" s="73"/>
      <c r="D288" s="72"/>
      <c r="E288" s="67"/>
      <c r="F288" s="67"/>
      <c r="G288" s="71"/>
      <c r="H288" s="71"/>
      <c r="I288" s="66"/>
      <c r="J288" s="66"/>
      <c r="K288" s="70"/>
      <c r="L288" s="69"/>
      <c r="M288" s="68"/>
      <c r="N288" s="67"/>
      <c r="O288" s="66"/>
      <c r="P288" s="66"/>
      <c r="Q288" s="70"/>
      <c r="R288" s="69"/>
      <c r="S288" s="68"/>
      <c r="T288" s="67"/>
      <c r="U288" s="66"/>
      <c r="V288" s="65"/>
      <c r="W288" s="64"/>
      <c r="X288" s="63"/>
      <c r="Y288" s="62"/>
      <c r="Z288" s="61"/>
      <c r="AA288" s="60"/>
      <c r="AB288" s="60"/>
    </row>
    <row r="289" spans="2:31">
      <c r="B289" s="74"/>
      <c r="C289" s="73"/>
      <c r="D289" s="72"/>
      <c r="E289" s="67"/>
      <c r="F289" s="67"/>
      <c r="G289" s="71"/>
      <c r="H289" s="71"/>
      <c r="I289" s="66"/>
      <c r="J289" s="66"/>
      <c r="K289" s="70"/>
      <c r="L289" s="69"/>
      <c r="M289" s="68"/>
      <c r="N289" s="67"/>
      <c r="O289" s="66"/>
      <c r="P289" s="66"/>
      <c r="Q289" s="70"/>
      <c r="R289" s="69"/>
      <c r="S289" s="68"/>
      <c r="T289" s="67"/>
      <c r="U289" s="66"/>
      <c r="V289" s="65"/>
      <c r="W289" s="64"/>
      <c r="X289" s="63"/>
      <c r="Y289" s="62"/>
      <c r="Z289" s="61"/>
      <c r="AA289" s="60"/>
      <c r="AB289" s="60"/>
    </row>
    <row r="290" spans="2:31">
      <c r="B290" s="74"/>
      <c r="C290" s="73"/>
      <c r="D290" s="72"/>
      <c r="E290" s="67"/>
      <c r="F290" s="67"/>
      <c r="G290" s="71"/>
      <c r="H290" s="71"/>
      <c r="I290" s="66"/>
      <c r="J290" s="66"/>
      <c r="K290" s="70"/>
      <c r="L290" s="69"/>
      <c r="M290" s="68"/>
      <c r="N290" s="67"/>
      <c r="O290" s="66"/>
      <c r="P290" s="66"/>
      <c r="Q290" s="70"/>
      <c r="R290" s="69"/>
      <c r="S290" s="68"/>
      <c r="T290" s="67"/>
      <c r="U290" s="66"/>
      <c r="V290" s="65"/>
      <c r="W290" s="64"/>
      <c r="X290" s="63"/>
      <c r="Y290" s="62"/>
      <c r="Z290" s="61"/>
      <c r="AA290" s="60"/>
      <c r="AB290" s="60"/>
    </row>
    <row r="291" spans="2:31">
      <c r="B291" s="74"/>
      <c r="C291" s="73"/>
      <c r="D291" s="72"/>
      <c r="E291" s="67"/>
      <c r="F291" s="67"/>
      <c r="G291" s="71"/>
      <c r="H291" s="71"/>
      <c r="I291" s="66"/>
      <c r="J291" s="66"/>
      <c r="K291" s="70"/>
      <c r="L291" s="69"/>
      <c r="M291" s="68"/>
      <c r="N291" s="67"/>
      <c r="O291" s="66"/>
      <c r="P291" s="66"/>
      <c r="Q291" s="70"/>
      <c r="R291" s="69"/>
      <c r="S291" s="68"/>
      <c r="T291" s="67"/>
      <c r="U291" s="66"/>
      <c r="V291" s="65"/>
      <c r="W291" s="64"/>
      <c r="X291" s="63"/>
      <c r="Y291" s="62"/>
      <c r="Z291" s="61"/>
      <c r="AA291" s="60"/>
      <c r="AB291" s="60"/>
    </row>
    <row r="292" spans="2:31">
      <c r="B292" s="74"/>
      <c r="C292" s="73"/>
      <c r="D292" s="72"/>
      <c r="E292" s="67"/>
      <c r="F292" s="67"/>
      <c r="G292" s="71"/>
      <c r="H292" s="71"/>
      <c r="I292" s="66"/>
      <c r="J292" s="66"/>
      <c r="K292" s="70"/>
      <c r="L292" s="69"/>
      <c r="M292" s="68"/>
      <c r="N292" s="67"/>
      <c r="O292" s="66"/>
      <c r="P292" s="66"/>
      <c r="Q292" s="70"/>
      <c r="R292" s="69"/>
      <c r="S292" s="68"/>
      <c r="T292" s="67"/>
      <c r="U292" s="66"/>
      <c r="V292" s="65"/>
      <c r="W292" s="64"/>
      <c r="X292" s="63"/>
      <c r="Y292" s="62"/>
      <c r="Z292" s="61"/>
      <c r="AA292" s="60"/>
      <c r="AB292" s="60"/>
    </row>
    <row r="293" spans="2:31">
      <c r="B293" s="74"/>
      <c r="C293" s="73"/>
      <c r="D293" s="72"/>
      <c r="E293" s="67"/>
      <c r="F293" s="67"/>
      <c r="G293" s="71"/>
      <c r="H293" s="71"/>
      <c r="I293" s="66"/>
      <c r="J293" s="66"/>
      <c r="K293" s="70"/>
      <c r="L293" s="69"/>
      <c r="M293" s="68"/>
      <c r="N293" s="67"/>
      <c r="O293" s="66"/>
      <c r="P293" s="66"/>
      <c r="Q293" s="70"/>
      <c r="R293" s="69"/>
      <c r="S293" s="68"/>
      <c r="T293" s="67"/>
      <c r="U293" s="66"/>
      <c r="V293" s="65"/>
      <c r="W293" s="64"/>
      <c r="X293" s="63"/>
      <c r="Y293" s="62"/>
      <c r="Z293" s="61"/>
      <c r="AA293" s="60"/>
      <c r="AB293" s="60"/>
    </row>
    <row r="294" spans="2:31">
      <c r="B294" s="74"/>
      <c r="C294" s="73"/>
      <c r="D294" s="72"/>
      <c r="E294" s="67"/>
      <c r="F294" s="67"/>
      <c r="G294" s="71"/>
      <c r="H294" s="71"/>
      <c r="I294" s="66"/>
      <c r="J294" s="66"/>
      <c r="K294" s="70"/>
      <c r="L294" s="69"/>
      <c r="M294" s="68"/>
      <c r="N294" s="67"/>
      <c r="O294" s="66"/>
      <c r="P294" s="66"/>
      <c r="Q294" s="70"/>
      <c r="R294" s="69"/>
      <c r="S294" s="68"/>
      <c r="T294" s="67"/>
      <c r="U294" s="66"/>
      <c r="V294" s="65"/>
      <c r="W294" s="64"/>
      <c r="X294" s="63"/>
      <c r="Y294" s="62"/>
      <c r="Z294" s="61"/>
      <c r="AA294" s="60"/>
      <c r="AB294" s="60"/>
    </row>
    <row r="295" spans="2:31">
      <c r="B295" s="74"/>
      <c r="C295" s="73"/>
      <c r="D295" s="72"/>
      <c r="E295" s="67"/>
      <c r="F295" s="67"/>
      <c r="G295" s="71"/>
      <c r="H295" s="71"/>
      <c r="I295" s="66"/>
      <c r="J295" s="66"/>
      <c r="K295" s="70"/>
      <c r="L295" s="69"/>
      <c r="M295" s="68"/>
      <c r="N295" s="67"/>
      <c r="O295" s="66"/>
      <c r="P295" s="66"/>
      <c r="Q295" s="70"/>
      <c r="R295" s="69"/>
      <c r="S295" s="68"/>
      <c r="T295" s="67"/>
      <c r="U295" s="66"/>
      <c r="V295" s="65"/>
      <c r="W295" s="64"/>
      <c r="X295" s="63"/>
      <c r="Y295" s="62"/>
      <c r="Z295" s="61"/>
      <c r="AA295" s="60"/>
      <c r="AB295" s="60"/>
    </row>
    <row r="296" spans="2:31">
      <c r="B296" s="54"/>
      <c r="D296" s="56"/>
      <c r="F296" s="58"/>
      <c r="J296" s="57"/>
      <c r="L296" s="56"/>
      <c r="M296" s="57"/>
      <c r="O296" s="56"/>
      <c r="Q296" s="57"/>
      <c r="R296" s="56"/>
      <c r="U296" s="54"/>
      <c r="V296" s="55"/>
      <c r="W296" s="54"/>
      <c r="X296" s="52"/>
      <c r="Z296" s="53"/>
      <c r="AD296" s="52"/>
      <c r="AE296" s="51"/>
    </row>
    <row r="297" spans="2:31">
      <c r="B297" s="54"/>
      <c r="D297" s="56"/>
      <c r="F297" s="58"/>
      <c r="J297" s="57"/>
      <c r="L297" s="56"/>
      <c r="M297" s="57"/>
      <c r="O297" s="56"/>
      <c r="Q297" s="57"/>
      <c r="R297" s="56"/>
      <c r="U297" s="54"/>
      <c r="V297" s="55"/>
      <c r="W297" s="54"/>
      <c r="X297" s="52"/>
      <c r="Z297" s="53"/>
      <c r="AD297" s="52"/>
      <c r="AE297" s="51"/>
    </row>
    <row r="298" spans="2:31">
      <c r="B298" s="54"/>
      <c r="D298" s="56"/>
      <c r="F298" s="58"/>
      <c r="J298" s="57"/>
      <c r="L298" s="56"/>
      <c r="M298" s="57"/>
      <c r="O298" s="56"/>
      <c r="Q298" s="57"/>
      <c r="R298" s="56"/>
      <c r="U298" s="54"/>
      <c r="V298" s="55"/>
      <c r="W298" s="54"/>
      <c r="X298" s="52"/>
      <c r="Z298" s="53"/>
      <c r="AD298" s="52"/>
      <c r="AE298" s="51"/>
    </row>
    <row r="299" spans="2:31">
      <c r="B299" s="54"/>
      <c r="D299" s="56"/>
      <c r="F299" s="58"/>
      <c r="J299" s="57"/>
      <c r="L299" s="56"/>
      <c r="M299" s="57"/>
      <c r="O299" s="56"/>
      <c r="Q299" s="57"/>
      <c r="R299" s="56"/>
      <c r="U299" s="54"/>
      <c r="V299" s="55"/>
      <c r="W299" s="54"/>
      <c r="X299" s="52"/>
      <c r="Z299" s="53"/>
      <c r="AD299" s="52"/>
      <c r="AE299" s="51"/>
    </row>
    <row r="300" spans="2:31">
      <c r="B300" s="54"/>
      <c r="D300" s="56"/>
      <c r="F300" s="58"/>
      <c r="J300" s="57"/>
      <c r="L300" s="56"/>
      <c r="M300" s="57"/>
      <c r="O300" s="56"/>
      <c r="Q300" s="57"/>
      <c r="R300" s="56"/>
      <c r="U300" s="54"/>
      <c r="V300" s="55"/>
      <c r="W300" s="54"/>
      <c r="X300" s="52"/>
      <c r="Z300" s="53"/>
      <c r="AD300" s="52"/>
      <c r="AE300" s="51"/>
    </row>
    <row r="301" spans="2:31">
      <c r="B301" s="54"/>
      <c r="D301" s="56"/>
      <c r="F301" s="58"/>
      <c r="J301" s="57"/>
      <c r="L301" s="56"/>
      <c r="M301" s="57"/>
      <c r="O301" s="56"/>
      <c r="Q301" s="57"/>
      <c r="R301" s="56"/>
      <c r="U301" s="54"/>
      <c r="V301" s="55"/>
      <c r="W301" s="54"/>
      <c r="X301" s="52"/>
      <c r="Z301" s="53"/>
      <c r="AD301" s="52"/>
      <c r="AE301" s="51"/>
    </row>
    <row r="302" spans="2:31">
      <c r="B302" s="54"/>
      <c r="D302" s="56"/>
      <c r="F302" s="58"/>
      <c r="J302" s="57"/>
      <c r="L302" s="56"/>
      <c r="M302" s="57"/>
      <c r="O302" s="56"/>
      <c r="Q302" s="57"/>
      <c r="R302" s="56"/>
      <c r="U302" s="54"/>
      <c r="V302" s="55"/>
      <c r="W302" s="54"/>
      <c r="X302" s="52"/>
      <c r="Z302" s="53"/>
      <c r="AD302" s="52"/>
      <c r="AE302" s="51"/>
    </row>
    <row r="303" spans="2:31">
      <c r="B303" s="54"/>
      <c r="D303" s="56"/>
      <c r="F303" s="58"/>
      <c r="J303" s="57"/>
      <c r="L303" s="56"/>
      <c r="M303" s="57"/>
      <c r="O303" s="56"/>
      <c r="Q303" s="57"/>
      <c r="R303" s="56"/>
      <c r="U303" s="54"/>
      <c r="V303" s="55"/>
      <c r="W303" s="54"/>
      <c r="X303" s="52"/>
      <c r="Z303" s="53"/>
      <c r="AD303" s="52"/>
      <c r="AE303" s="51"/>
    </row>
    <row r="304" spans="2:31">
      <c r="B304" s="54"/>
      <c r="D304" s="56"/>
      <c r="F304" s="58"/>
      <c r="J304" s="57"/>
      <c r="L304" s="56"/>
      <c r="M304" s="57"/>
      <c r="O304" s="56"/>
      <c r="Q304" s="57"/>
      <c r="R304" s="56"/>
      <c r="U304" s="54"/>
      <c r="V304" s="55"/>
      <c r="W304" s="54"/>
      <c r="X304" s="52"/>
      <c r="Z304" s="53"/>
      <c r="AD304" s="52"/>
      <c r="AE304" s="51"/>
    </row>
    <row r="305" spans="2:31">
      <c r="B305" s="54"/>
      <c r="D305" s="56"/>
      <c r="F305" s="58"/>
      <c r="J305" s="57"/>
      <c r="L305" s="56"/>
      <c r="M305" s="57"/>
      <c r="O305" s="56"/>
      <c r="Q305" s="57"/>
      <c r="R305" s="56"/>
      <c r="U305" s="54"/>
      <c r="V305" s="55"/>
      <c r="W305" s="54"/>
      <c r="X305" s="52"/>
      <c r="Z305" s="53"/>
      <c r="AD305" s="52"/>
      <c r="AE305" s="51"/>
    </row>
    <row r="306" spans="2:31">
      <c r="B306" s="54"/>
      <c r="D306" s="56"/>
      <c r="F306" s="58"/>
      <c r="J306" s="57"/>
      <c r="L306" s="56"/>
      <c r="M306" s="57"/>
      <c r="O306" s="56"/>
      <c r="Q306" s="57"/>
      <c r="R306" s="56"/>
      <c r="U306" s="54"/>
      <c r="V306" s="55"/>
      <c r="W306" s="54"/>
      <c r="X306" s="52"/>
      <c r="Z306" s="53"/>
      <c r="AD306" s="52"/>
      <c r="AE306" s="51"/>
    </row>
    <row r="307" spans="2:31">
      <c r="B307" s="54"/>
      <c r="D307" s="56"/>
      <c r="F307" s="58"/>
      <c r="J307" s="57"/>
      <c r="L307" s="56"/>
      <c r="M307" s="57"/>
      <c r="O307" s="56"/>
      <c r="Q307" s="57"/>
      <c r="R307" s="56"/>
      <c r="U307" s="54"/>
      <c r="V307" s="55"/>
      <c r="W307" s="54"/>
      <c r="X307" s="52"/>
      <c r="Z307" s="53"/>
      <c r="AD307" s="52"/>
      <c r="AE307" s="51"/>
    </row>
    <row r="308" spans="2:31">
      <c r="B308" s="54"/>
      <c r="D308" s="56"/>
      <c r="F308" s="58"/>
      <c r="J308" s="57"/>
      <c r="L308" s="56"/>
      <c r="M308" s="57"/>
      <c r="O308" s="56"/>
      <c r="Q308" s="57"/>
      <c r="R308" s="56"/>
      <c r="U308" s="54"/>
      <c r="V308" s="55"/>
      <c r="W308" s="54"/>
      <c r="X308" s="52"/>
      <c r="Z308" s="53"/>
      <c r="AD308" s="52"/>
      <c r="AE308" s="51"/>
    </row>
    <row r="309" spans="2:31">
      <c r="B309" s="54"/>
      <c r="D309" s="56"/>
      <c r="F309" s="58"/>
      <c r="J309" s="57"/>
      <c r="L309" s="56"/>
      <c r="M309" s="57"/>
      <c r="O309" s="56"/>
      <c r="Q309" s="57"/>
      <c r="R309" s="56"/>
      <c r="U309" s="54"/>
      <c r="V309" s="55"/>
      <c r="W309" s="54"/>
      <c r="X309" s="52"/>
      <c r="Z309" s="53"/>
      <c r="AD309" s="52"/>
      <c r="AE309" s="51"/>
    </row>
    <row r="310" spans="2:31">
      <c r="B310" s="54"/>
      <c r="D310" s="56"/>
      <c r="F310" s="58"/>
      <c r="J310" s="57"/>
      <c r="L310" s="56"/>
      <c r="M310" s="57"/>
      <c r="O310" s="56"/>
      <c r="Q310" s="57"/>
      <c r="R310" s="56"/>
      <c r="U310" s="54"/>
      <c r="V310" s="55"/>
      <c r="W310" s="54"/>
      <c r="X310" s="52"/>
      <c r="Z310" s="53"/>
      <c r="AD310" s="52"/>
      <c r="AE310" s="51"/>
    </row>
    <row r="311" spans="2:31">
      <c r="B311" s="54"/>
      <c r="D311" s="56"/>
      <c r="F311" s="58"/>
      <c r="J311" s="57"/>
      <c r="L311" s="56"/>
      <c r="M311" s="57"/>
      <c r="O311" s="56"/>
      <c r="Q311" s="57"/>
      <c r="R311" s="56"/>
      <c r="U311" s="54"/>
      <c r="V311" s="55"/>
      <c r="W311" s="54"/>
      <c r="X311" s="52"/>
      <c r="Z311" s="53"/>
      <c r="AD311" s="52"/>
      <c r="AE311" s="51"/>
    </row>
    <row r="312" spans="2:31">
      <c r="B312" s="54"/>
      <c r="D312" s="56"/>
      <c r="F312" s="58"/>
      <c r="J312" s="57"/>
      <c r="L312" s="56"/>
      <c r="M312" s="57"/>
      <c r="O312" s="56"/>
      <c r="Q312" s="57"/>
      <c r="R312" s="56"/>
      <c r="U312" s="54"/>
      <c r="V312" s="55"/>
      <c r="W312" s="54"/>
      <c r="X312" s="52"/>
      <c r="Z312" s="53"/>
      <c r="AD312" s="52"/>
      <c r="AE312" s="51"/>
    </row>
    <row r="313" spans="2:31">
      <c r="B313" s="54"/>
      <c r="D313" s="56"/>
      <c r="F313" s="58"/>
      <c r="J313" s="57"/>
      <c r="L313" s="56"/>
      <c r="M313" s="57"/>
      <c r="O313" s="56"/>
      <c r="Q313" s="57"/>
      <c r="R313" s="56"/>
      <c r="U313" s="54"/>
      <c r="V313" s="55"/>
      <c r="W313" s="54"/>
      <c r="X313" s="52"/>
      <c r="Z313" s="53"/>
      <c r="AD313" s="52"/>
      <c r="AE313" s="51"/>
    </row>
    <row r="314" spans="2:31">
      <c r="B314" s="54"/>
      <c r="D314" s="56"/>
      <c r="F314" s="58"/>
      <c r="J314" s="57"/>
      <c r="L314" s="56"/>
      <c r="M314" s="57"/>
      <c r="O314" s="56"/>
      <c r="Q314" s="57"/>
      <c r="R314" s="56"/>
      <c r="U314" s="54"/>
      <c r="V314" s="55"/>
      <c r="W314" s="54"/>
      <c r="X314" s="52"/>
      <c r="Z314" s="53"/>
      <c r="AD314" s="52"/>
      <c r="AE314" s="51"/>
    </row>
    <row r="315" spans="2:31">
      <c r="B315" s="54"/>
      <c r="D315" s="56"/>
      <c r="F315" s="58"/>
      <c r="J315" s="57"/>
      <c r="L315" s="56"/>
      <c r="M315" s="57"/>
      <c r="O315" s="56"/>
      <c r="Q315" s="57"/>
      <c r="R315" s="56"/>
      <c r="U315" s="54"/>
      <c r="V315" s="55"/>
      <c r="W315" s="54"/>
      <c r="X315" s="52"/>
      <c r="Z315" s="53"/>
      <c r="AD315" s="52"/>
      <c r="AE315" s="51"/>
    </row>
    <row r="316" spans="2:31">
      <c r="B316" s="54"/>
      <c r="D316" s="56"/>
      <c r="F316" s="58"/>
      <c r="J316" s="57"/>
      <c r="L316" s="56"/>
      <c r="M316" s="57"/>
      <c r="O316" s="56"/>
      <c r="Q316" s="57"/>
      <c r="R316" s="56"/>
      <c r="U316" s="54"/>
      <c r="V316" s="55"/>
      <c r="W316" s="54"/>
      <c r="X316" s="52"/>
      <c r="Z316" s="53"/>
      <c r="AD316" s="52"/>
      <c r="AE316" s="51"/>
    </row>
    <row r="317" spans="2:31">
      <c r="B317" s="54"/>
      <c r="D317" s="56"/>
      <c r="F317" s="58"/>
      <c r="J317" s="57"/>
      <c r="L317" s="56"/>
      <c r="M317" s="57"/>
      <c r="O317" s="56"/>
      <c r="Q317" s="57"/>
      <c r="R317" s="56"/>
      <c r="U317" s="54"/>
      <c r="V317" s="55"/>
      <c r="W317" s="54"/>
      <c r="X317" s="52"/>
      <c r="Z317" s="53"/>
      <c r="AD317" s="52"/>
      <c r="AE317" s="51"/>
    </row>
    <row r="318" spans="2:31">
      <c r="B318" s="54"/>
      <c r="D318" s="56"/>
      <c r="F318" s="58"/>
      <c r="J318" s="57"/>
      <c r="L318" s="56"/>
      <c r="M318" s="57"/>
      <c r="O318" s="56"/>
      <c r="Q318" s="57"/>
      <c r="R318" s="56"/>
      <c r="U318" s="54"/>
      <c r="V318" s="55"/>
      <c r="W318" s="54"/>
      <c r="X318" s="52"/>
      <c r="Z318" s="53"/>
      <c r="AD318" s="52"/>
      <c r="AE318" s="51"/>
    </row>
    <row r="319" spans="2:31">
      <c r="B319" s="54"/>
      <c r="D319" s="56"/>
      <c r="F319" s="58"/>
      <c r="J319" s="57"/>
      <c r="L319" s="56"/>
      <c r="M319" s="57"/>
      <c r="O319" s="56"/>
      <c r="Q319" s="57"/>
      <c r="R319" s="56"/>
      <c r="U319" s="54"/>
      <c r="V319" s="55"/>
      <c r="W319" s="54"/>
      <c r="X319" s="52"/>
      <c r="Z319" s="53"/>
      <c r="AD319" s="52"/>
      <c r="AE319" s="51"/>
    </row>
    <row r="320" spans="2:31">
      <c r="B320" s="54"/>
      <c r="D320" s="56"/>
      <c r="F320" s="58"/>
      <c r="J320" s="57"/>
      <c r="L320" s="56"/>
      <c r="M320" s="57"/>
      <c r="O320" s="56"/>
      <c r="Q320" s="57"/>
      <c r="R320" s="56"/>
      <c r="U320" s="54"/>
      <c r="V320" s="55"/>
      <c r="W320" s="54"/>
      <c r="X320" s="52"/>
      <c r="Z320" s="53"/>
      <c r="AD320" s="52"/>
      <c r="AE320" s="51"/>
    </row>
    <row r="321" spans="2:31">
      <c r="B321" s="54"/>
      <c r="D321" s="56"/>
      <c r="F321" s="58"/>
      <c r="J321" s="57"/>
      <c r="L321" s="56"/>
      <c r="M321" s="57"/>
      <c r="O321" s="56"/>
      <c r="Q321" s="57"/>
      <c r="R321" s="56"/>
      <c r="U321" s="54"/>
      <c r="V321" s="55"/>
      <c r="W321" s="54"/>
      <c r="X321" s="52"/>
      <c r="Z321" s="53"/>
      <c r="AD321" s="52"/>
      <c r="AE321" s="51"/>
    </row>
    <row r="322" spans="2:31">
      <c r="B322" s="54"/>
      <c r="D322" s="56"/>
      <c r="F322" s="58"/>
      <c r="J322" s="57"/>
      <c r="L322" s="56"/>
      <c r="M322" s="57"/>
      <c r="O322" s="56"/>
      <c r="Q322" s="57"/>
      <c r="R322" s="56"/>
      <c r="U322" s="54"/>
      <c r="V322" s="55"/>
      <c r="W322" s="54"/>
      <c r="X322" s="52"/>
      <c r="Z322" s="53"/>
      <c r="AD322" s="52"/>
      <c r="AE322" s="51"/>
    </row>
    <row r="323" spans="2:31">
      <c r="B323" s="54"/>
      <c r="D323" s="56"/>
      <c r="F323" s="58"/>
      <c r="J323" s="57"/>
      <c r="L323" s="56"/>
      <c r="M323" s="57"/>
      <c r="O323" s="56"/>
      <c r="Q323" s="57"/>
      <c r="R323" s="56"/>
      <c r="U323" s="54"/>
      <c r="V323" s="55"/>
      <c r="W323" s="54"/>
      <c r="X323" s="52"/>
      <c r="Z323" s="53"/>
      <c r="AD323" s="52"/>
      <c r="AE323" s="51"/>
    </row>
    <row r="324" spans="2:31">
      <c r="B324" s="54"/>
      <c r="D324" s="56"/>
      <c r="F324" s="58"/>
      <c r="J324" s="57"/>
      <c r="L324" s="56"/>
      <c r="M324" s="57"/>
      <c r="O324" s="56"/>
      <c r="Q324" s="57"/>
      <c r="R324" s="56"/>
      <c r="U324" s="54"/>
      <c r="V324" s="55"/>
      <c r="W324" s="54"/>
      <c r="X324" s="52"/>
      <c r="Z324" s="53"/>
      <c r="AD324" s="52"/>
      <c r="AE324" s="51"/>
    </row>
    <row r="325" spans="2:31">
      <c r="B325" s="54"/>
      <c r="D325" s="56"/>
      <c r="F325" s="58"/>
      <c r="J325" s="57"/>
      <c r="L325" s="56"/>
      <c r="M325" s="57"/>
      <c r="O325" s="56"/>
      <c r="Q325" s="57"/>
      <c r="R325" s="56"/>
      <c r="U325" s="54"/>
      <c r="V325" s="55"/>
      <c r="W325" s="54"/>
      <c r="X325" s="52"/>
      <c r="Z325" s="53"/>
      <c r="AD325" s="52"/>
      <c r="AE325" s="51"/>
    </row>
    <row r="326" spans="2:31">
      <c r="B326" s="54"/>
      <c r="D326" s="56"/>
      <c r="F326" s="58"/>
      <c r="J326" s="57"/>
      <c r="L326" s="56"/>
      <c r="M326" s="57"/>
      <c r="O326" s="56"/>
      <c r="Q326" s="57"/>
      <c r="R326" s="56"/>
      <c r="U326" s="54"/>
      <c r="V326" s="55"/>
      <c r="W326" s="54"/>
      <c r="X326" s="52"/>
      <c r="Z326" s="53"/>
      <c r="AD326" s="52"/>
      <c r="AE326" s="51"/>
    </row>
    <row r="327" spans="2:31">
      <c r="B327" s="54"/>
      <c r="D327" s="56"/>
      <c r="F327" s="58"/>
      <c r="J327" s="57"/>
      <c r="L327" s="56"/>
      <c r="M327" s="57"/>
      <c r="O327" s="56"/>
      <c r="Q327" s="57"/>
      <c r="R327" s="56"/>
      <c r="U327" s="54"/>
      <c r="V327" s="55"/>
      <c r="W327" s="54"/>
      <c r="X327" s="52"/>
      <c r="Z327" s="53"/>
      <c r="AD327" s="52"/>
      <c r="AE327" s="51"/>
    </row>
    <row r="328" spans="2:31">
      <c r="B328" s="54"/>
      <c r="D328" s="56"/>
      <c r="F328" s="58"/>
      <c r="J328" s="57"/>
      <c r="L328" s="56"/>
      <c r="M328" s="57"/>
      <c r="O328" s="56"/>
      <c r="Q328" s="57"/>
      <c r="R328" s="56"/>
      <c r="U328" s="54"/>
      <c r="V328" s="55"/>
      <c r="W328" s="54"/>
      <c r="X328" s="52"/>
      <c r="Z328" s="53"/>
      <c r="AD328" s="52"/>
      <c r="AE328" s="51"/>
    </row>
    <row r="329" spans="2:31">
      <c r="B329" s="54"/>
      <c r="D329" s="56"/>
      <c r="F329" s="58"/>
      <c r="J329" s="57"/>
      <c r="L329" s="56"/>
      <c r="M329" s="57"/>
      <c r="O329" s="56"/>
      <c r="Q329" s="57"/>
      <c r="R329" s="56"/>
      <c r="U329" s="54"/>
      <c r="V329" s="55"/>
      <c r="W329" s="54"/>
      <c r="X329" s="52"/>
      <c r="Z329" s="53"/>
      <c r="AD329" s="52"/>
      <c r="AE329" s="51"/>
    </row>
    <row r="330" spans="2:31">
      <c r="B330" s="54"/>
      <c r="D330" s="56"/>
      <c r="F330" s="58"/>
      <c r="J330" s="57"/>
      <c r="L330" s="56"/>
      <c r="M330" s="57"/>
      <c r="O330" s="56"/>
      <c r="Q330" s="57"/>
      <c r="R330" s="56"/>
      <c r="U330" s="54"/>
      <c r="V330" s="55"/>
      <c r="W330" s="54"/>
      <c r="X330" s="52"/>
      <c r="Z330" s="53"/>
      <c r="AD330" s="52"/>
      <c r="AE330" s="51"/>
    </row>
    <row r="331" spans="2:31">
      <c r="B331" s="54"/>
      <c r="D331" s="56"/>
      <c r="F331" s="58"/>
      <c r="J331" s="57"/>
      <c r="L331" s="56"/>
      <c r="M331" s="57"/>
      <c r="O331" s="56"/>
      <c r="Q331" s="57"/>
      <c r="R331" s="56"/>
      <c r="U331" s="54"/>
      <c r="V331" s="55"/>
      <c r="W331" s="54"/>
      <c r="X331" s="52"/>
      <c r="Z331" s="53"/>
      <c r="AD331" s="52"/>
      <c r="AE331" s="51"/>
    </row>
    <row r="332" spans="2:31">
      <c r="B332" s="54"/>
      <c r="D332" s="56"/>
      <c r="F332" s="58"/>
      <c r="J332" s="57"/>
      <c r="L332" s="56"/>
      <c r="M332" s="57"/>
      <c r="O332" s="56"/>
      <c r="Q332" s="57"/>
      <c r="R332" s="56"/>
      <c r="U332" s="54"/>
      <c r="V332" s="55"/>
      <c r="W332" s="54"/>
      <c r="X332" s="52"/>
      <c r="Z332" s="53"/>
      <c r="AD332" s="52"/>
      <c r="AE332" s="51"/>
    </row>
    <row r="333" spans="2:31">
      <c r="B333" s="54"/>
      <c r="D333" s="56"/>
      <c r="F333" s="58"/>
      <c r="J333" s="57"/>
      <c r="L333" s="56"/>
      <c r="M333" s="57"/>
      <c r="O333" s="56"/>
      <c r="Q333" s="57"/>
      <c r="R333" s="56"/>
      <c r="U333" s="54"/>
      <c r="V333" s="55"/>
      <c r="W333" s="54"/>
      <c r="X333" s="52"/>
      <c r="Z333" s="53"/>
      <c r="AD333" s="52"/>
      <c r="AE333" s="51"/>
    </row>
  </sheetData>
  <mergeCells count="23">
    <mergeCell ref="A1:AA1"/>
    <mergeCell ref="A2:AA2"/>
    <mergeCell ref="A3:AA3"/>
    <mergeCell ref="A4:H4"/>
    <mergeCell ref="I4:R4"/>
    <mergeCell ref="S4:AA4"/>
    <mergeCell ref="A5:H5"/>
    <mergeCell ref="I5:R5"/>
    <mergeCell ref="S5:AA5"/>
    <mergeCell ref="B6:AB6"/>
    <mergeCell ref="N9:O9"/>
    <mergeCell ref="B11:B12"/>
    <mergeCell ref="C11:C12"/>
    <mergeCell ref="D11:D12"/>
    <mergeCell ref="E11:E12"/>
    <mergeCell ref="F11:F12"/>
    <mergeCell ref="AB11:AB12"/>
    <mergeCell ref="G11:L11"/>
    <mergeCell ref="M11:R11"/>
    <mergeCell ref="S11:X11"/>
    <mergeCell ref="Y11:Y12"/>
    <mergeCell ref="Z11:Z12"/>
    <mergeCell ref="AA11:AA12"/>
  </mergeCells>
  <pageMargins left="0.7" right="0.7" top="0.75" bottom="0.75" header="0.3" footer="0.3"/>
  <pageSetup scale="60" fitToHeight="0" orientation="landscape" r:id="rId1"/>
  <rowBreaks count="10" manualBreakCount="10">
    <brk id="60" max="27" man="1"/>
    <brk id="91" max="27" man="1"/>
    <brk id="119" max="27" man="1"/>
    <brk id="170" max="27" man="1"/>
    <brk id="175" max="27" man="1"/>
    <brk id="179" max="27" man="1"/>
    <brk id="184" max="27" man="1"/>
    <brk id="188" max="27" man="1"/>
    <brk id="192" max="27" man="1"/>
    <brk id="197" max="2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D5D-93A0-4108-AA09-70F3E77E3038}">
  <sheetPr codeName="Sheet3">
    <tabColor rgb="FFFFFF00"/>
  </sheetPr>
  <dimension ref="A1:V340"/>
  <sheetViews>
    <sheetView zoomScaleNormal="100" zoomScaleSheetLayoutView="99" workbookViewId="0">
      <selection activeCell="F13" sqref="F13"/>
    </sheetView>
  </sheetViews>
  <sheetFormatPr defaultColWidth="9.09765625" defaultRowHeight="14.4" customHeight="1"/>
  <cols>
    <col min="1" max="1" width="10.3984375" style="116" customWidth="1"/>
    <col min="2" max="2" width="6.8984375" style="114" customWidth="1"/>
    <col min="3" max="5" width="6.3984375" style="115" customWidth="1"/>
    <col min="6" max="11" width="7.296875" style="115" customWidth="1"/>
    <col min="12" max="12" width="9.296875" style="114" customWidth="1"/>
    <col min="13" max="13" width="8.69921875" style="114" customWidth="1"/>
    <col min="14" max="14" width="8.69921875" style="113" customWidth="1"/>
    <col min="15" max="15" width="15.3984375" style="113" customWidth="1"/>
    <col min="16" max="18" width="9.09765625" style="112"/>
    <col min="19" max="19" width="12.09765625" style="112" customWidth="1"/>
    <col min="20" max="20" width="9.09765625" style="112"/>
    <col min="21" max="21" width="0" style="112" hidden="1" customWidth="1"/>
    <col min="22" max="22" width="10.296875" style="112" customWidth="1"/>
    <col min="23" max="16384" width="9.09765625" style="112"/>
  </cols>
  <sheetData>
    <row r="1" spans="1:22" ht="14.4" customHeight="1">
      <c r="A1" s="176" t="s">
        <v>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</row>
    <row r="2" spans="1:22" ht="14.4" customHeight="1">
      <c r="A2" s="176" t="s">
        <v>55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31"/>
      <c r="Q2" s="131"/>
      <c r="R2" s="131"/>
      <c r="S2" s="131"/>
      <c r="T2" s="131"/>
      <c r="U2" s="131"/>
      <c r="V2" s="131"/>
    </row>
    <row r="3" spans="1:22" ht="14.4" customHeight="1">
      <c r="A3" s="198" t="s">
        <v>54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200"/>
      <c r="P3" s="131"/>
      <c r="Q3" s="131"/>
      <c r="R3" s="131"/>
      <c r="S3" s="131"/>
      <c r="T3" s="131"/>
      <c r="U3" s="131"/>
      <c r="V3" s="131"/>
    </row>
    <row r="4" spans="1:22" ht="14.4" customHeight="1">
      <c r="A4" s="177" t="s">
        <v>53</v>
      </c>
      <c r="B4" s="178"/>
      <c r="C4" s="178"/>
      <c r="D4" s="178"/>
      <c r="E4" s="179"/>
      <c r="F4" s="201" t="s">
        <v>52</v>
      </c>
      <c r="G4" s="201"/>
      <c r="H4" s="201"/>
      <c r="I4" s="201"/>
      <c r="J4" s="202"/>
      <c r="K4" s="203" t="s">
        <v>51</v>
      </c>
      <c r="L4" s="201"/>
      <c r="M4" s="201"/>
      <c r="N4" s="201"/>
      <c r="O4" s="202"/>
    </row>
    <row r="5" spans="1:22" ht="14.4" customHeight="1">
      <c r="A5" s="183" t="s">
        <v>50</v>
      </c>
      <c r="B5" s="184"/>
      <c r="C5" s="184"/>
      <c r="D5" s="184"/>
      <c r="E5" s="185"/>
      <c r="F5" s="204" t="s">
        <v>49</v>
      </c>
      <c r="G5" s="205"/>
      <c r="H5" s="205"/>
      <c r="I5" s="205"/>
      <c r="J5" s="206"/>
      <c r="K5" s="204" t="s">
        <v>87</v>
      </c>
      <c r="L5" s="205"/>
      <c r="M5" s="205"/>
      <c r="N5" s="205"/>
      <c r="O5" s="206"/>
    </row>
    <row r="6" spans="1:22" ht="14.4" customHeight="1">
      <c r="A6" s="171" t="s">
        <v>47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3"/>
      <c r="S6" s="127"/>
    </row>
    <row r="7" spans="1:22" ht="14.4" customHeight="1">
      <c r="A7" s="50" t="s">
        <v>46</v>
      </c>
      <c r="B7" s="48"/>
      <c r="C7" s="48"/>
      <c r="D7" s="48"/>
      <c r="E7" s="48"/>
      <c r="F7" s="48"/>
      <c r="G7" s="48"/>
      <c r="H7" s="48"/>
      <c r="I7" s="48"/>
      <c r="J7" s="49"/>
      <c r="K7" s="49" t="s">
        <v>45</v>
      </c>
      <c r="L7" s="49"/>
      <c r="M7" s="49"/>
      <c r="N7" s="49"/>
      <c r="O7" s="130"/>
      <c r="S7" s="127"/>
    </row>
    <row r="8" spans="1:22" ht="14.4" customHeight="1">
      <c r="A8" s="45" t="s">
        <v>44</v>
      </c>
      <c r="B8" s="42" t="str">
        <f>'[4]BC.124+090'!C8</f>
        <v>năng</v>
      </c>
      <c r="C8" s="42"/>
      <c r="D8" s="42"/>
      <c r="E8" s="42"/>
      <c r="F8" s="42"/>
      <c r="G8" s="42"/>
      <c r="H8" s="42"/>
      <c r="I8" s="42"/>
      <c r="J8" s="43"/>
      <c r="K8" s="43" t="s">
        <v>42</v>
      </c>
      <c r="L8" s="43"/>
      <c r="M8" s="44">
        <f>'BC.124+900 '!N8</f>
        <v>1026</v>
      </c>
      <c r="N8" s="43"/>
      <c r="O8" s="129"/>
      <c r="S8" s="127"/>
    </row>
    <row r="9" spans="1:22" ht="14.4" customHeight="1">
      <c r="A9" s="39" t="s">
        <v>41</v>
      </c>
      <c r="B9" s="37" t="str">
        <f>'124+900 '!C9</f>
        <v>Km124+900</v>
      </c>
      <c r="C9" s="37"/>
      <c r="D9" s="37"/>
      <c r="E9" s="37"/>
      <c r="F9" s="37"/>
      <c r="G9" s="37"/>
      <c r="H9" s="37"/>
      <c r="I9" s="37"/>
      <c r="J9" s="38"/>
      <c r="K9" s="38" t="s">
        <v>39</v>
      </c>
      <c r="L9" s="38"/>
      <c r="M9" s="207">
        <f>A13</f>
        <v>45243</v>
      </c>
      <c r="N9" s="208"/>
      <c r="O9" s="128"/>
      <c r="S9" s="127"/>
    </row>
    <row r="10" spans="1:22" ht="14.4" customHeight="1">
      <c r="A10" s="209" t="s">
        <v>86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Q10" s="120"/>
    </row>
    <row r="11" spans="1:22" ht="14.4" customHeight="1">
      <c r="A11" s="211" t="s">
        <v>85</v>
      </c>
      <c r="B11" s="197" t="s">
        <v>84</v>
      </c>
      <c r="C11" s="212" t="s">
        <v>83</v>
      </c>
      <c r="D11" s="213" t="s">
        <v>82</v>
      </c>
      <c r="E11" s="215" t="s">
        <v>81</v>
      </c>
      <c r="F11" s="196" t="s">
        <v>23</v>
      </c>
      <c r="G11" s="196"/>
      <c r="H11" s="196" t="s">
        <v>80</v>
      </c>
      <c r="I11" s="196"/>
      <c r="J11" s="196" t="s">
        <v>21</v>
      </c>
      <c r="K11" s="196"/>
      <c r="L11" s="197" t="s">
        <v>79</v>
      </c>
      <c r="M11" s="197" t="s">
        <v>78</v>
      </c>
      <c r="N11" s="197" t="s">
        <v>77</v>
      </c>
      <c r="O11" s="210" t="s">
        <v>76</v>
      </c>
      <c r="Q11" s="120"/>
    </row>
    <row r="12" spans="1:22" ht="58.2" customHeight="1">
      <c r="A12" s="211"/>
      <c r="B12" s="197"/>
      <c r="C12" s="212"/>
      <c r="D12" s="214"/>
      <c r="E12" s="215"/>
      <c r="F12" s="126" t="s">
        <v>75</v>
      </c>
      <c r="G12" s="126" t="s">
        <v>74</v>
      </c>
      <c r="H12" s="126" t="s">
        <v>75</v>
      </c>
      <c r="I12" s="126" t="s">
        <v>74</v>
      </c>
      <c r="J12" s="126" t="s">
        <v>75</v>
      </c>
      <c r="K12" s="126" t="s">
        <v>74</v>
      </c>
      <c r="L12" s="197"/>
      <c r="M12" s="197"/>
      <c r="N12" s="197"/>
      <c r="O12" s="210"/>
      <c r="P12" s="125"/>
    </row>
    <row r="13" spans="1:22" ht="14.4" customHeight="1">
      <c r="A13" s="74">
        <f>'BC.124+900 '!B13</f>
        <v>45243</v>
      </c>
      <c r="B13" s="117">
        <v>1</v>
      </c>
      <c r="C13" s="118">
        <f>'BC.124+900 '!M13/1000</f>
        <v>-0.123</v>
      </c>
      <c r="D13" s="118">
        <f>'BC.124+900 '!AA13</f>
        <v>0</v>
      </c>
      <c r="E13" s="119">
        <f t="shared" ref="E13:E44" si="0">+C13-$F$8-(M13/1000)</f>
        <v>-0.123</v>
      </c>
      <c r="F13" s="118">
        <f>VLOOKUP($A13,'BC.124+900 '!$B$13:$X$862,8,0)/1000</f>
        <v>0.879</v>
      </c>
      <c r="G13" s="118">
        <f>VLOOKUP($A13,'BC.124+900 '!$B$13:$X$862,9,0)/1000</f>
        <v>-0.121</v>
      </c>
      <c r="H13" s="118">
        <f>VLOOKUP($A13,'BC.124+900 '!$B$13:$X$862,14,0)/1000</f>
        <v>0.877</v>
      </c>
      <c r="I13" s="118">
        <f>VLOOKUP($A13,'BC.124+900 '!$B$13:$X$862,15,0)/1000</f>
        <v>-0.123</v>
      </c>
      <c r="J13" s="118">
        <f>VLOOKUP($A13,'BC.124+900 '!$B$13:$X$862,20,0)/1000</f>
        <v>0.88700000000000001</v>
      </c>
      <c r="K13" s="118">
        <f>VLOOKUP($A13,'BC.124+900 '!$B$13:$X$862,21,0)/1000</f>
        <v>-0.113</v>
      </c>
      <c r="L13" s="117">
        <f t="shared" ref="L13:L44" si="1">(G13-$G$13)*1000</f>
        <v>0</v>
      </c>
      <c r="M13" s="117">
        <f t="shared" ref="M13:M44" si="2">(I13-$I$13)*1000</f>
        <v>0</v>
      </c>
      <c r="N13" s="117">
        <f t="shared" ref="N13:N44" si="3">(K13-$K$13)*1000</f>
        <v>0</v>
      </c>
      <c r="O13" s="117"/>
      <c r="P13" s="123"/>
      <c r="S13" s="124"/>
    </row>
    <row r="14" spans="1:22" ht="14.4" customHeight="1">
      <c r="A14" s="74">
        <f>'BC.124+900 '!B14</f>
        <v>45244</v>
      </c>
      <c r="B14" s="117">
        <v>2</v>
      </c>
      <c r="C14" s="118">
        <f>'BC.124+900 '!M14/1000</f>
        <v>-0.123</v>
      </c>
      <c r="D14" s="118">
        <f>'BC.124+900 '!AA14</f>
        <v>0</v>
      </c>
      <c r="E14" s="119">
        <f t="shared" si="0"/>
        <v>-0.123</v>
      </c>
      <c r="F14" s="118">
        <f>VLOOKUP($A14,'BC.124+900 '!$B$13:$X$862,8,0)/1000</f>
        <v>0.879</v>
      </c>
      <c r="G14" s="118">
        <f>VLOOKUP($A14,'BC.124+900 '!$B$13:$X$862,9,0)/1000</f>
        <v>-0.121</v>
      </c>
      <c r="H14" s="118">
        <f>VLOOKUP($A14,'BC.124+900 '!$B$13:$X$862,14,0)/1000</f>
        <v>0.877</v>
      </c>
      <c r="I14" s="118">
        <f>VLOOKUP($A14,'BC.124+900 '!$B$13:$X$862,15,0)/1000</f>
        <v>-0.123</v>
      </c>
      <c r="J14" s="118">
        <f>VLOOKUP($A14,'BC.124+900 '!$B$13:$X$862,20,0)/1000</f>
        <v>0.88700000000000001</v>
      </c>
      <c r="K14" s="118">
        <f>VLOOKUP($A14,'BC.124+900 '!$B$13:$X$862,21,0)/1000</f>
        <v>-0.113</v>
      </c>
      <c r="L14" s="117">
        <f t="shared" si="1"/>
        <v>0</v>
      </c>
      <c r="M14" s="117">
        <f t="shared" si="2"/>
        <v>0</v>
      </c>
      <c r="N14" s="117">
        <f t="shared" si="3"/>
        <v>0</v>
      </c>
      <c r="O14" s="117"/>
      <c r="P14" s="123"/>
      <c r="Q14" s="122"/>
      <c r="R14" s="121"/>
      <c r="S14" s="120"/>
      <c r="T14" s="120"/>
    </row>
    <row r="15" spans="1:22" ht="14.4" customHeight="1">
      <c r="A15" s="74">
        <f>'BC.124+900 '!B15</f>
        <v>45245</v>
      </c>
      <c r="B15" s="117">
        <v>3</v>
      </c>
      <c r="C15" s="118">
        <f>'BC.124+900 '!M15/1000</f>
        <v>-0.123</v>
      </c>
      <c r="D15" s="118">
        <f>'BC.124+900 '!AA15</f>
        <v>0</v>
      </c>
      <c r="E15" s="119">
        <f t="shared" si="0"/>
        <v>-0.123</v>
      </c>
      <c r="F15" s="118">
        <f>VLOOKUP($A15,'BC.124+900 '!$B$13:$X$862,8,0)/1000</f>
        <v>0.879</v>
      </c>
      <c r="G15" s="118">
        <f>VLOOKUP($A15,'BC.124+900 '!$B$13:$X$862,9,0)/1000</f>
        <v>-0.121</v>
      </c>
      <c r="H15" s="118">
        <f>VLOOKUP($A15,'BC.124+900 '!$B$13:$X$862,14,0)/1000</f>
        <v>0.877</v>
      </c>
      <c r="I15" s="118">
        <f>VLOOKUP($A15,'BC.124+900 '!$B$13:$X$862,15,0)/1000</f>
        <v>-0.123</v>
      </c>
      <c r="J15" s="118">
        <f>VLOOKUP($A15,'BC.124+900 '!$B$13:$X$862,20,0)/1000</f>
        <v>0.88700000000000001</v>
      </c>
      <c r="K15" s="118">
        <f>VLOOKUP($A15,'BC.124+900 '!$B$13:$X$862,21,0)/1000</f>
        <v>-0.113</v>
      </c>
      <c r="L15" s="117">
        <f t="shared" si="1"/>
        <v>0</v>
      </c>
      <c r="M15" s="117">
        <f t="shared" si="2"/>
        <v>0</v>
      </c>
      <c r="N15" s="117">
        <f t="shared" si="3"/>
        <v>0</v>
      </c>
      <c r="O15" s="117"/>
      <c r="P15" s="123"/>
      <c r="Q15" s="122"/>
      <c r="R15" s="121"/>
      <c r="S15" s="120"/>
      <c r="T15" s="120"/>
    </row>
    <row r="16" spans="1:22" ht="14.4" customHeight="1">
      <c r="A16" s="74">
        <f>'BC.124+900 '!B16</f>
        <v>45249</v>
      </c>
      <c r="B16" s="117">
        <v>4</v>
      </c>
      <c r="C16" s="118">
        <f>'BC.124+900 '!M16/1000</f>
        <v>-0.123</v>
      </c>
      <c r="D16" s="118">
        <f>'BC.124+900 '!AA16</f>
        <v>0</v>
      </c>
      <c r="E16" s="119">
        <f t="shared" si="0"/>
        <v>-0.123</v>
      </c>
      <c r="F16" s="118">
        <f>VLOOKUP($A16,'BC.124+900 '!$B$13:$X$862,8,0)/1000</f>
        <v>0.879</v>
      </c>
      <c r="G16" s="118">
        <f>VLOOKUP($A16,'BC.124+900 '!$B$13:$X$862,9,0)/1000</f>
        <v>-0.121</v>
      </c>
      <c r="H16" s="118">
        <f>VLOOKUP($A16,'BC.124+900 '!$B$13:$X$862,14,0)/1000</f>
        <v>0.877</v>
      </c>
      <c r="I16" s="118">
        <f>VLOOKUP($A16,'BC.124+900 '!$B$13:$X$862,15,0)/1000</f>
        <v>-0.123</v>
      </c>
      <c r="J16" s="118">
        <f>VLOOKUP($A16,'BC.124+900 '!$B$13:$X$862,20,0)/1000</f>
        <v>0.88700000000000001</v>
      </c>
      <c r="K16" s="118">
        <f>VLOOKUP($A16,'BC.124+900 '!$B$13:$X$862,21,0)/1000</f>
        <v>-0.113</v>
      </c>
      <c r="L16" s="117">
        <f t="shared" si="1"/>
        <v>0</v>
      </c>
      <c r="M16" s="117">
        <f t="shared" si="2"/>
        <v>0</v>
      </c>
      <c r="N16" s="117">
        <f t="shared" si="3"/>
        <v>0</v>
      </c>
      <c r="O16" s="117"/>
      <c r="P16" s="123"/>
      <c r="Q16" s="122"/>
      <c r="R16" s="121"/>
      <c r="S16" s="120"/>
      <c r="T16" s="120"/>
    </row>
    <row r="17" spans="1:20" ht="14.4" customHeight="1">
      <c r="A17" s="74">
        <f>'BC.124+900 '!B17</f>
        <v>45252</v>
      </c>
      <c r="B17" s="117">
        <v>5</v>
      </c>
      <c r="C17" s="118">
        <f>'BC.124+900 '!M17/1000</f>
        <v>-0.123</v>
      </c>
      <c r="D17" s="118">
        <f>'BC.124+900 '!AA17</f>
        <v>0</v>
      </c>
      <c r="E17" s="119">
        <f t="shared" si="0"/>
        <v>-0.123</v>
      </c>
      <c r="F17" s="118">
        <f>VLOOKUP($A17,'BC.124+900 '!$B$13:$X$862,8,0)/1000</f>
        <v>0.879</v>
      </c>
      <c r="G17" s="118">
        <f>VLOOKUP($A17,'BC.124+900 '!$B$13:$X$862,9,0)/1000</f>
        <v>-0.121</v>
      </c>
      <c r="H17" s="118">
        <f>VLOOKUP($A17,'BC.124+900 '!$B$13:$X$862,14,0)/1000</f>
        <v>0.877</v>
      </c>
      <c r="I17" s="118">
        <f>VLOOKUP($A17,'BC.124+900 '!$B$13:$X$862,15,0)/1000</f>
        <v>-0.123</v>
      </c>
      <c r="J17" s="118">
        <f>VLOOKUP($A17,'BC.124+900 '!$B$13:$X$862,20,0)/1000</f>
        <v>0.88700000000000001</v>
      </c>
      <c r="K17" s="118">
        <f>VLOOKUP($A17,'BC.124+900 '!$B$13:$X$862,21,0)/1000</f>
        <v>-0.113</v>
      </c>
      <c r="L17" s="117">
        <f t="shared" si="1"/>
        <v>0</v>
      </c>
      <c r="M17" s="117">
        <f t="shared" si="2"/>
        <v>0</v>
      </c>
      <c r="N17" s="117">
        <f t="shared" si="3"/>
        <v>0</v>
      </c>
      <c r="O17" s="117"/>
      <c r="P17" s="123"/>
      <c r="Q17" s="122"/>
      <c r="R17" s="121"/>
      <c r="S17" s="120"/>
      <c r="T17" s="120"/>
    </row>
    <row r="18" spans="1:20" ht="14.4" customHeight="1">
      <c r="A18" s="74">
        <f>'BC.124+900 '!B18</f>
        <v>45259</v>
      </c>
      <c r="B18" s="117">
        <v>6</v>
      </c>
      <c r="C18" s="118">
        <f>'BC.124+900 '!M18/1000</f>
        <v>-0.123</v>
      </c>
      <c r="D18" s="118">
        <f>'BC.124+900 '!AA18</f>
        <v>0</v>
      </c>
      <c r="E18" s="119">
        <f t="shared" si="0"/>
        <v>-0.123</v>
      </c>
      <c r="F18" s="118">
        <f>VLOOKUP($A18,'BC.124+900 '!$B$13:$X$862,8,0)/1000</f>
        <v>0.879</v>
      </c>
      <c r="G18" s="118">
        <f>VLOOKUP($A18,'BC.124+900 '!$B$13:$X$862,9,0)/1000</f>
        <v>-0.121</v>
      </c>
      <c r="H18" s="118">
        <f>VLOOKUP($A18,'BC.124+900 '!$B$13:$X$862,14,0)/1000</f>
        <v>0.877</v>
      </c>
      <c r="I18" s="118">
        <f>VLOOKUP($A18,'BC.124+900 '!$B$13:$X$862,15,0)/1000</f>
        <v>-0.123</v>
      </c>
      <c r="J18" s="118">
        <f>VLOOKUP($A18,'BC.124+900 '!$B$13:$X$862,20,0)/1000</f>
        <v>0.88700000000000001</v>
      </c>
      <c r="K18" s="118">
        <f>VLOOKUP($A18,'BC.124+900 '!$B$13:$X$862,21,0)/1000</f>
        <v>-0.113</v>
      </c>
      <c r="L18" s="117">
        <f t="shared" si="1"/>
        <v>0</v>
      </c>
      <c r="M18" s="117">
        <f t="shared" si="2"/>
        <v>0</v>
      </c>
      <c r="N18" s="117">
        <f t="shared" si="3"/>
        <v>0</v>
      </c>
      <c r="O18" s="117"/>
      <c r="P18" s="123"/>
      <c r="Q18" s="122"/>
      <c r="R18" s="121"/>
      <c r="S18" s="120"/>
      <c r="T18" s="120"/>
    </row>
    <row r="19" spans="1:20" ht="14.4" customHeight="1">
      <c r="A19" s="74">
        <f>'BC.124+900 '!B19</f>
        <v>45263</v>
      </c>
      <c r="B19" s="117">
        <v>7</v>
      </c>
      <c r="C19" s="118">
        <f>'BC.124+900 '!M19/1000</f>
        <v>-0.123</v>
      </c>
      <c r="D19" s="118">
        <f>'BC.124+900 '!AA19</f>
        <v>0</v>
      </c>
      <c r="E19" s="119">
        <f t="shared" si="0"/>
        <v>-0.123</v>
      </c>
      <c r="F19" s="118">
        <f>VLOOKUP($A19,'BC.124+900 '!$B$13:$X$862,8,0)/1000</f>
        <v>0.879</v>
      </c>
      <c r="G19" s="118">
        <f>VLOOKUP($A19,'BC.124+900 '!$B$13:$X$862,9,0)/1000</f>
        <v>-0.121</v>
      </c>
      <c r="H19" s="118">
        <f>VLOOKUP($A19,'BC.124+900 '!$B$13:$X$862,14,0)/1000</f>
        <v>0.877</v>
      </c>
      <c r="I19" s="118">
        <f>VLOOKUP($A19,'BC.124+900 '!$B$13:$X$862,15,0)/1000</f>
        <v>-0.123</v>
      </c>
      <c r="J19" s="118">
        <f>VLOOKUP($A19,'BC.124+900 '!$B$13:$X$862,20,0)/1000</f>
        <v>0.88700000000000001</v>
      </c>
      <c r="K19" s="118">
        <f>VLOOKUP($A19,'BC.124+900 '!$B$13:$X$862,21,0)/1000</f>
        <v>-0.113</v>
      </c>
      <c r="L19" s="117">
        <f t="shared" si="1"/>
        <v>0</v>
      </c>
      <c r="M19" s="117">
        <f t="shared" si="2"/>
        <v>0</v>
      </c>
      <c r="N19" s="117">
        <f t="shared" si="3"/>
        <v>0</v>
      </c>
      <c r="O19" s="117"/>
      <c r="P19" s="123"/>
      <c r="Q19" s="122"/>
      <c r="R19" s="121"/>
      <c r="S19" s="120"/>
      <c r="T19" s="120"/>
    </row>
    <row r="20" spans="1:20" ht="14.4" customHeight="1">
      <c r="A20" s="74">
        <f>'BC.124+900 '!B20</f>
        <v>45264</v>
      </c>
      <c r="B20" s="117">
        <v>8</v>
      </c>
      <c r="C20" s="118">
        <f>'BC.124+900 '!M20/1000</f>
        <v>-0.123</v>
      </c>
      <c r="D20" s="118">
        <f>'BC.124+900 '!AA20</f>
        <v>0</v>
      </c>
      <c r="E20" s="119">
        <f t="shared" si="0"/>
        <v>-0.123</v>
      </c>
      <c r="F20" s="118">
        <f>VLOOKUP($A20,'BC.124+900 '!$B$13:$X$862,8,0)/1000</f>
        <v>0.879</v>
      </c>
      <c r="G20" s="118">
        <f>VLOOKUP($A20,'BC.124+900 '!$B$13:$X$862,9,0)/1000</f>
        <v>-0.121</v>
      </c>
      <c r="H20" s="118">
        <f>VLOOKUP($A20,'BC.124+900 '!$B$13:$X$862,14,0)/1000</f>
        <v>0.877</v>
      </c>
      <c r="I20" s="118">
        <f>VLOOKUP($A20,'BC.124+900 '!$B$13:$X$862,15,0)/1000</f>
        <v>-0.123</v>
      </c>
      <c r="J20" s="118">
        <f>VLOOKUP($A20,'BC.124+900 '!$B$13:$X$862,20,0)/1000</f>
        <v>0.88700000000000001</v>
      </c>
      <c r="K20" s="118">
        <f>VLOOKUP($A20,'BC.124+900 '!$B$13:$X$862,21,0)/1000</f>
        <v>-0.113</v>
      </c>
      <c r="L20" s="117">
        <f t="shared" si="1"/>
        <v>0</v>
      </c>
      <c r="M20" s="117">
        <f t="shared" si="2"/>
        <v>0</v>
      </c>
      <c r="N20" s="117">
        <f t="shared" si="3"/>
        <v>0</v>
      </c>
      <c r="O20" s="117"/>
      <c r="P20" s="123"/>
      <c r="Q20" s="122"/>
      <c r="R20" s="121"/>
      <c r="S20" s="120"/>
      <c r="T20" s="120"/>
    </row>
    <row r="21" spans="1:20" ht="14.4" customHeight="1">
      <c r="A21" s="74">
        <f>'BC.124+900 '!B21</f>
        <v>45265</v>
      </c>
      <c r="B21" s="117">
        <v>9</v>
      </c>
      <c r="C21" s="118">
        <f>'BC.124+900 '!M21/1000</f>
        <v>-0.123</v>
      </c>
      <c r="D21" s="118">
        <f>'BC.124+900 '!AA21</f>
        <v>0</v>
      </c>
      <c r="E21" s="119">
        <f t="shared" si="0"/>
        <v>-0.123</v>
      </c>
      <c r="F21" s="118">
        <f>VLOOKUP($A21,'BC.124+900 '!$B$13:$X$862,8,0)/1000</f>
        <v>0.879</v>
      </c>
      <c r="G21" s="118">
        <f>VLOOKUP($A21,'BC.124+900 '!$B$13:$X$862,9,0)/1000</f>
        <v>-0.121</v>
      </c>
      <c r="H21" s="118">
        <f>VLOOKUP($A21,'BC.124+900 '!$B$13:$X$862,14,0)/1000</f>
        <v>0.877</v>
      </c>
      <c r="I21" s="118">
        <f>VLOOKUP($A21,'BC.124+900 '!$B$13:$X$862,15,0)/1000</f>
        <v>-0.123</v>
      </c>
      <c r="J21" s="118">
        <f>VLOOKUP($A21,'BC.124+900 '!$B$13:$X$862,20,0)/1000</f>
        <v>0.88700000000000001</v>
      </c>
      <c r="K21" s="118">
        <f>VLOOKUP($A21,'BC.124+900 '!$B$13:$X$862,21,0)/1000</f>
        <v>-0.113</v>
      </c>
      <c r="L21" s="117">
        <f t="shared" si="1"/>
        <v>0</v>
      </c>
      <c r="M21" s="117">
        <f t="shared" si="2"/>
        <v>0</v>
      </c>
      <c r="N21" s="117">
        <f t="shared" si="3"/>
        <v>0</v>
      </c>
      <c r="O21" s="117"/>
      <c r="P21" s="123"/>
      <c r="Q21" s="122"/>
      <c r="R21" s="121"/>
      <c r="S21" s="120"/>
      <c r="T21" s="120"/>
    </row>
    <row r="22" spans="1:20" ht="14.4" customHeight="1">
      <c r="A22" s="74">
        <f>'BC.124+900 '!B22</f>
        <v>45266</v>
      </c>
      <c r="B22" s="117">
        <v>10</v>
      </c>
      <c r="C22" s="118">
        <f>'BC.124+900 '!M22/1000</f>
        <v>-0.123</v>
      </c>
      <c r="D22" s="118">
        <f>'BC.124+900 '!AA22</f>
        <v>0</v>
      </c>
      <c r="E22" s="119">
        <f t="shared" si="0"/>
        <v>-0.123</v>
      </c>
      <c r="F22" s="118">
        <f>VLOOKUP($A22,'BC.124+900 '!$B$13:$X$862,8,0)/1000</f>
        <v>0.879</v>
      </c>
      <c r="G22" s="118">
        <f>VLOOKUP($A22,'BC.124+900 '!$B$13:$X$862,9,0)/1000</f>
        <v>-0.121</v>
      </c>
      <c r="H22" s="118">
        <f>VLOOKUP($A22,'BC.124+900 '!$B$13:$X$862,14,0)/1000</f>
        <v>0.877</v>
      </c>
      <c r="I22" s="118">
        <f>VLOOKUP($A22,'BC.124+900 '!$B$13:$X$862,15,0)/1000</f>
        <v>-0.123</v>
      </c>
      <c r="J22" s="118">
        <f>VLOOKUP($A22,'BC.124+900 '!$B$13:$X$862,20,0)/1000</f>
        <v>0.88700000000000001</v>
      </c>
      <c r="K22" s="118">
        <f>VLOOKUP($A22,'BC.124+900 '!$B$13:$X$862,21,0)/1000</f>
        <v>-0.113</v>
      </c>
      <c r="L22" s="117">
        <f t="shared" si="1"/>
        <v>0</v>
      </c>
      <c r="M22" s="117">
        <f t="shared" si="2"/>
        <v>0</v>
      </c>
      <c r="N22" s="117">
        <f t="shared" si="3"/>
        <v>0</v>
      </c>
      <c r="O22" s="117"/>
      <c r="P22" s="123"/>
      <c r="Q22" s="122"/>
      <c r="R22" s="121"/>
      <c r="S22" s="120"/>
      <c r="T22" s="120"/>
    </row>
    <row r="23" spans="1:20" ht="14.4" customHeight="1">
      <c r="A23" s="74">
        <f>'BC.124+900 '!B23</f>
        <v>45267</v>
      </c>
      <c r="B23" s="117">
        <v>11</v>
      </c>
      <c r="C23" s="118">
        <f>'BC.124+900 '!M23/1000</f>
        <v>-0.123</v>
      </c>
      <c r="D23" s="118">
        <f>'BC.124+900 '!AA23</f>
        <v>0</v>
      </c>
      <c r="E23" s="119">
        <f t="shared" si="0"/>
        <v>-0.123</v>
      </c>
      <c r="F23" s="118">
        <f>VLOOKUP($A23,'BC.124+900 '!$B$13:$X$862,8,0)/1000</f>
        <v>0.879</v>
      </c>
      <c r="G23" s="118">
        <f>VLOOKUP($A23,'BC.124+900 '!$B$13:$X$862,9,0)/1000</f>
        <v>-0.121</v>
      </c>
      <c r="H23" s="118">
        <f>VLOOKUP($A23,'BC.124+900 '!$B$13:$X$862,14,0)/1000</f>
        <v>0.877</v>
      </c>
      <c r="I23" s="118">
        <f>VLOOKUP($A23,'BC.124+900 '!$B$13:$X$862,15,0)/1000</f>
        <v>-0.123</v>
      </c>
      <c r="J23" s="118">
        <f>VLOOKUP($A23,'BC.124+900 '!$B$13:$X$862,20,0)/1000</f>
        <v>0.88700000000000001</v>
      </c>
      <c r="K23" s="118">
        <f>VLOOKUP($A23,'BC.124+900 '!$B$13:$X$862,21,0)/1000</f>
        <v>-0.113</v>
      </c>
      <c r="L23" s="117">
        <f t="shared" si="1"/>
        <v>0</v>
      </c>
      <c r="M23" s="117">
        <f t="shared" si="2"/>
        <v>0</v>
      </c>
      <c r="N23" s="117">
        <f t="shared" si="3"/>
        <v>0</v>
      </c>
      <c r="O23" s="117"/>
      <c r="P23" s="123"/>
      <c r="Q23" s="122"/>
      <c r="R23" s="121"/>
      <c r="S23" s="120"/>
      <c r="T23" s="120"/>
    </row>
    <row r="24" spans="1:20" ht="14.4" customHeight="1">
      <c r="A24" s="74">
        <f>'BC.124+900 '!B24</f>
        <v>45268</v>
      </c>
      <c r="B24" s="117">
        <v>12</v>
      </c>
      <c r="C24" s="118">
        <f>'BC.124+900 '!M24/1000</f>
        <v>-0.123</v>
      </c>
      <c r="D24" s="118">
        <f>'BC.124+900 '!AA24</f>
        <v>0</v>
      </c>
      <c r="E24" s="119">
        <f t="shared" si="0"/>
        <v>-0.123</v>
      </c>
      <c r="F24" s="118">
        <f>VLOOKUP($A24,'BC.124+900 '!$B$13:$X$862,8,0)/1000</f>
        <v>0.879</v>
      </c>
      <c r="G24" s="118">
        <f>VLOOKUP($A24,'BC.124+900 '!$B$13:$X$862,9,0)/1000</f>
        <v>-0.121</v>
      </c>
      <c r="H24" s="118">
        <f>VLOOKUP($A24,'BC.124+900 '!$B$13:$X$862,14,0)/1000</f>
        <v>0.877</v>
      </c>
      <c r="I24" s="118">
        <f>VLOOKUP($A24,'BC.124+900 '!$B$13:$X$862,15,0)/1000</f>
        <v>-0.123</v>
      </c>
      <c r="J24" s="118">
        <f>VLOOKUP($A24,'BC.124+900 '!$B$13:$X$862,20,0)/1000</f>
        <v>0.88700000000000001</v>
      </c>
      <c r="K24" s="118">
        <f>VLOOKUP($A24,'BC.124+900 '!$B$13:$X$862,21,0)/1000</f>
        <v>-0.113</v>
      </c>
      <c r="L24" s="117">
        <f t="shared" si="1"/>
        <v>0</v>
      </c>
      <c r="M24" s="117">
        <f t="shared" si="2"/>
        <v>0</v>
      </c>
      <c r="N24" s="117">
        <f t="shared" si="3"/>
        <v>0</v>
      </c>
      <c r="O24" s="117"/>
      <c r="P24" s="123"/>
      <c r="Q24" s="122"/>
      <c r="R24" s="121"/>
      <c r="S24" s="120"/>
      <c r="T24" s="120"/>
    </row>
    <row r="25" spans="1:20" ht="14.4" customHeight="1">
      <c r="A25" s="74">
        <f>'BC.124+900 '!B25</f>
        <v>45269</v>
      </c>
      <c r="B25" s="117">
        <v>13</v>
      </c>
      <c r="C25" s="118">
        <f>'BC.124+900 '!M25/1000</f>
        <v>-0.123</v>
      </c>
      <c r="D25" s="118">
        <f>'BC.124+900 '!AA25</f>
        <v>0</v>
      </c>
      <c r="E25" s="119">
        <f t="shared" si="0"/>
        <v>-0.123</v>
      </c>
      <c r="F25" s="118">
        <f>VLOOKUP($A25,'BC.124+900 '!$B$13:$X$862,8,0)/1000</f>
        <v>0.879</v>
      </c>
      <c r="G25" s="118">
        <f>VLOOKUP($A25,'BC.124+900 '!$B$13:$X$862,9,0)/1000</f>
        <v>-0.121</v>
      </c>
      <c r="H25" s="118">
        <f>VLOOKUP($A25,'BC.124+900 '!$B$13:$X$862,14,0)/1000</f>
        <v>0.877</v>
      </c>
      <c r="I25" s="118">
        <f>VLOOKUP($A25,'BC.124+900 '!$B$13:$X$862,15,0)/1000</f>
        <v>-0.123</v>
      </c>
      <c r="J25" s="118">
        <f>VLOOKUP($A25,'BC.124+900 '!$B$13:$X$862,20,0)/1000</f>
        <v>0.88700000000000001</v>
      </c>
      <c r="K25" s="118">
        <f>VLOOKUP($A25,'BC.124+900 '!$B$13:$X$862,21,0)/1000</f>
        <v>-0.113</v>
      </c>
      <c r="L25" s="117">
        <f t="shared" si="1"/>
        <v>0</v>
      </c>
      <c r="M25" s="117">
        <f t="shared" si="2"/>
        <v>0</v>
      </c>
      <c r="N25" s="117">
        <f t="shared" si="3"/>
        <v>0</v>
      </c>
      <c r="O25" s="117"/>
      <c r="P25" s="123"/>
      <c r="Q25" s="122"/>
      <c r="R25" s="121"/>
      <c r="S25" s="120"/>
      <c r="T25" s="120"/>
    </row>
    <row r="26" spans="1:20" ht="14.4" customHeight="1">
      <c r="A26" s="74">
        <f>'BC.124+900 '!B26</f>
        <v>45270</v>
      </c>
      <c r="B26" s="117">
        <v>14</v>
      </c>
      <c r="C26" s="118">
        <f>'BC.124+900 '!M26/1000</f>
        <v>-0.123</v>
      </c>
      <c r="D26" s="118">
        <f>'BC.124+900 '!AA26</f>
        <v>0</v>
      </c>
      <c r="E26" s="119">
        <f t="shared" si="0"/>
        <v>-0.123</v>
      </c>
      <c r="F26" s="118">
        <f>VLOOKUP($A26,'BC.124+900 '!$B$13:$X$862,8,0)/1000</f>
        <v>0.879</v>
      </c>
      <c r="G26" s="118">
        <f>VLOOKUP($A26,'BC.124+900 '!$B$13:$X$862,9,0)/1000</f>
        <v>-0.121</v>
      </c>
      <c r="H26" s="118">
        <f>VLOOKUP($A26,'BC.124+900 '!$B$13:$X$862,14,0)/1000</f>
        <v>0.877</v>
      </c>
      <c r="I26" s="118">
        <f>VLOOKUP($A26,'BC.124+900 '!$B$13:$X$862,15,0)/1000</f>
        <v>-0.123</v>
      </c>
      <c r="J26" s="118">
        <f>VLOOKUP($A26,'BC.124+900 '!$B$13:$X$862,20,0)/1000</f>
        <v>0.88700000000000001</v>
      </c>
      <c r="K26" s="118">
        <f>VLOOKUP($A26,'BC.124+900 '!$B$13:$X$862,21,0)/1000</f>
        <v>-0.113</v>
      </c>
      <c r="L26" s="117">
        <f t="shared" si="1"/>
        <v>0</v>
      </c>
      <c r="M26" s="117">
        <f t="shared" si="2"/>
        <v>0</v>
      </c>
      <c r="N26" s="117">
        <f t="shared" si="3"/>
        <v>0</v>
      </c>
      <c r="O26" s="117"/>
      <c r="P26" s="123"/>
      <c r="Q26" s="122"/>
      <c r="R26" s="121"/>
      <c r="S26" s="120"/>
      <c r="T26" s="120"/>
    </row>
    <row r="27" spans="1:20" ht="14.4" customHeight="1">
      <c r="A27" s="74">
        <f>'BC.124+900 '!B27</f>
        <v>45271</v>
      </c>
      <c r="B27" s="117">
        <v>15</v>
      </c>
      <c r="C27" s="118">
        <f>'BC.124+900 '!M27/1000</f>
        <v>-0.123</v>
      </c>
      <c r="D27" s="118">
        <f>'BC.124+900 '!AA27</f>
        <v>0</v>
      </c>
      <c r="E27" s="119">
        <f t="shared" si="0"/>
        <v>-0.123</v>
      </c>
      <c r="F27" s="118">
        <f>VLOOKUP($A27,'BC.124+900 '!$B$13:$X$862,8,0)/1000</f>
        <v>1.879</v>
      </c>
      <c r="G27" s="118">
        <f>VLOOKUP($A27,'BC.124+900 '!$B$13:$X$862,9,0)/1000</f>
        <v>-0.121</v>
      </c>
      <c r="H27" s="118">
        <f>VLOOKUP($A27,'BC.124+900 '!$B$13:$X$862,14,0)/1000</f>
        <v>1.877</v>
      </c>
      <c r="I27" s="118">
        <f>VLOOKUP($A27,'BC.124+900 '!$B$13:$X$862,15,0)/1000</f>
        <v>-0.123</v>
      </c>
      <c r="J27" s="118">
        <f>VLOOKUP($A27,'BC.124+900 '!$B$13:$X$862,20,0)/1000</f>
        <v>1.887</v>
      </c>
      <c r="K27" s="118">
        <f>VLOOKUP($A27,'BC.124+900 '!$B$13:$X$862,21,0)/1000</f>
        <v>-0.113</v>
      </c>
      <c r="L27" s="117">
        <f t="shared" si="1"/>
        <v>0</v>
      </c>
      <c r="M27" s="117">
        <f t="shared" si="2"/>
        <v>0</v>
      </c>
      <c r="N27" s="117">
        <f t="shared" si="3"/>
        <v>0</v>
      </c>
      <c r="O27" s="117"/>
      <c r="P27" s="123"/>
      <c r="Q27" s="122"/>
      <c r="R27" s="121"/>
      <c r="S27" s="120"/>
      <c r="T27" s="120"/>
    </row>
    <row r="28" spans="1:20" ht="14.4" customHeight="1">
      <c r="A28" s="74">
        <f>'BC.124+900 '!B28</f>
        <v>45272</v>
      </c>
      <c r="B28" s="117">
        <v>16</v>
      </c>
      <c r="C28" s="118">
        <f>'BC.124+900 '!M28/1000</f>
        <v>0</v>
      </c>
      <c r="D28" s="118">
        <f>'BC.124+900 '!AA28</f>
        <v>0.123</v>
      </c>
      <c r="E28" s="119">
        <f t="shared" si="0"/>
        <v>0</v>
      </c>
      <c r="F28" s="118">
        <f>VLOOKUP($A28,'BC.124+900 '!$B$13:$X$862,8,0)/1000</f>
        <v>1.879</v>
      </c>
      <c r="G28" s="118">
        <f>VLOOKUP($A28,'BC.124+900 '!$B$13:$X$862,9,0)/1000</f>
        <v>-0.121</v>
      </c>
      <c r="H28" s="118">
        <f>VLOOKUP($A28,'BC.124+900 '!$B$13:$X$862,14,0)/1000</f>
        <v>1.877</v>
      </c>
      <c r="I28" s="118">
        <f>VLOOKUP($A28,'BC.124+900 '!$B$13:$X$862,15,0)/1000</f>
        <v>-0.123</v>
      </c>
      <c r="J28" s="118">
        <f>VLOOKUP($A28,'BC.124+900 '!$B$13:$X$862,20,0)/1000</f>
        <v>1.887</v>
      </c>
      <c r="K28" s="118">
        <f>VLOOKUP($A28,'BC.124+900 '!$B$13:$X$862,21,0)/1000</f>
        <v>-0.113</v>
      </c>
      <c r="L28" s="117">
        <f t="shared" si="1"/>
        <v>0</v>
      </c>
      <c r="M28" s="117">
        <f t="shared" si="2"/>
        <v>0</v>
      </c>
      <c r="N28" s="117">
        <f t="shared" si="3"/>
        <v>0</v>
      </c>
      <c r="O28" s="117"/>
      <c r="P28" s="123"/>
      <c r="Q28" s="122"/>
      <c r="R28" s="121"/>
      <c r="S28" s="120"/>
      <c r="T28" s="120"/>
    </row>
    <row r="29" spans="1:20" ht="14.4" customHeight="1">
      <c r="A29" s="74">
        <f>'BC.124+900 '!B29</f>
        <v>45273</v>
      </c>
      <c r="B29" s="117">
        <v>17</v>
      </c>
      <c r="C29" s="118">
        <f>'BC.124+900 '!M29/1000</f>
        <v>-7.0000000000000001E-3</v>
      </c>
      <c r="D29" s="118">
        <f>'BC.124+900 '!AA29</f>
        <v>0.123</v>
      </c>
      <c r="E29" s="119">
        <f t="shared" si="0"/>
        <v>0</v>
      </c>
      <c r="F29" s="118">
        <f>VLOOKUP($A29,'BC.124+900 '!$B$13:$X$862,8,0)/1000</f>
        <v>1.8740000000000001</v>
      </c>
      <c r="G29" s="118">
        <f>VLOOKUP($A29,'BC.124+900 '!$B$13:$X$862,9,0)/1000</f>
        <v>-0.126</v>
      </c>
      <c r="H29" s="118">
        <f>VLOOKUP($A29,'BC.124+900 '!$B$13:$X$862,14,0)/1000</f>
        <v>1.87</v>
      </c>
      <c r="I29" s="118">
        <f>VLOOKUP($A29,'BC.124+900 '!$B$13:$X$862,15,0)/1000</f>
        <v>-0.13</v>
      </c>
      <c r="J29" s="118">
        <f>VLOOKUP($A29,'BC.124+900 '!$B$13:$X$862,20,0)/1000</f>
        <v>1.879</v>
      </c>
      <c r="K29" s="118">
        <f>VLOOKUP($A29,'BC.124+900 '!$B$13:$X$862,21,0)/1000</f>
        <v>-0.121</v>
      </c>
      <c r="L29" s="117">
        <f t="shared" si="1"/>
        <v>-5.0000000000000044</v>
      </c>
      <c r="M29" s="117">
        <f t="shared" si="2"/>
        <v>-7.0000000000000062</v>
      </c>
      <c r="N29" s="117">
        <f t="shared" si="3"/>
        <v>-7.9999999999999929</v>
      </c>
      <c r="O29" s="117"/>
      <c r="P29" s="123"/>
      <c r="Q29" s="122"/>
      <c r="R29" s="121"/>
      <c r="S29" s="120"/>
      <c r="T29" s="120"/>
    </row>
    <row r="30" spans="1:20" ht="14.4" customHeight="1">
      <c r="A30" s="74">
        <f>'BC.124+900 '!B30</f>
        <v>45274</v>
      </c>
      <c r="B30" s="117">
        <v>18</v>
      </c>
      <c r="C30" s="118">
        <f>'BC.124+900 '!M30/1000</f>
        <v>-1.4E-2</v>
      </c>
      <c r="D30" s="118">
        <f>'BC.124+900 '!AA30</f>
        <v>0.123</v>
      </c>
      <c r="E30" s="119">
        <f t="shared" si="0"/>
        <v>0</v>
      </c>
      <c r="F30" s="118">
        <f>VLOOKUP($A30,'BC.124+900 '!$B$13:$X$862,8,0)/1000</f>
        <v>1.87</v>
      </c>
      <c r="G30" s="118">
        <f>VLOOKUP($A30,'BC.124+900 '!$B$13:$X$862,9,0)/1000</f>
        <v>-0.13</v>
      </c>
      <c r="H30" s="118">
        <f>VLOOKUP($A30,'BC.124+900 '!$B$13:$X$862,14,0)/1000</f>
        <v>1.863</v>
      </c>
      <c r="I30" s="118">
        <f>VLOOKUP($A30,'BC.124+900 '!$B$13:$X$862,15,0)/1000</f>
        <v>-0.13700000000000001</v>
      </c>
      <c r="J30" s="118">
        <f>VLOOKUP($A30,'BC.124+900 '!$B$13:$X$862,20,0)/1000</f>
        <v>1.871</v>
      </c>
      <c r="K30" s="118">
        <f>VLOOKUP($A30,'BC.124+900 '!$B$13:$X$862,21,0)/1000</f>
        <v>-0.129</v>
      </c>
      <c r="L30" s="117">
        <f t="shared" si="1"/>
        <v>-9.0000000000000071</v>
      </c>
      <c r="M30" s="117">
        <f t="shared" si="2"/>
        <v>-14.000000000000012</v>
      </c>
      <c r="N30" s="117">
        <f t="shared" si="3"/>
        <v>-16</v>
      </c>
      <c r="O30" s="117"/>
      <c r="P30" s="123"/>
      <c r="Q30" s="122"/>
      <c r="R30" s="121"/>
      <c r="S30" s="120"/>
      <c r="T30" s="120"/>
    </row>
    <row r="31" spans="1:20" ht="14.4" customHeight="1">
      <c r="A31" s="74">
        <f>'BC.124+900 '!B31</f>
        <v>45275</v>
      </c>
      <c r="B31" s="117">
        <v>19</v>
      </c>
      <c r="C31" s="118">
        <f>'BC.124+900 '!M31/1000</f>
        <v>0.3</v>
      </c>
      <c r="D31" s="118">
        <f>'BC.124+900 '!AA31</f>
        <v>0.437</v>
      </c>
      <c r="E31" s="119">
        <f t="shared" si="0"/>
        <v>0.31999999999999995</v>
      </c>
      <c r="F31" s="118">
        <f>VLOOKUP($A31,'BC.124+900 '!$B$13:$X$862,8,0)/1000</f>
        <v>1.863</v>
      </c>
      <c r="G31" s="118">
        <f>VLOOKUP($A31,'BC.124+900 '!$B$13:$X$862,9,0)/1000</f>
        <v>-0.13700000000000001</v>
      </c>
      <c r="H31" s="118">
        <f>VLOOKUP($A31,'BC.124+900 '!$B$13:$X$862,14,0)/1000</f>
        <v>1.857</v>
      </c>
      <c r="I31" s="118">
        <f>VLOOKUP($A31,'BC.124+900 '!$B$13:$X$862,15,0)/1000</f>
        <v>-0.14299999999999999</v>
      </c>
      <c r="J31" s="118">
        <f>VLOOKUP($A31,'BC.124+900 '!$B$13:$X$862,20,0)/1000</f>
        <v>1.8640000000000001</v>
      </c>
      <c r="K31" s="118">
        <f>VLOOKUP($A31,'BC.124+900 '!$B$13:$X$862,21,0)/1000</f>
        <v>-0.13600000000000001</v>
      </c>
      <c r="L31" s="117">
        <f t="shared" si="1"/>
        <v>-16.000000000000014</v>
      </c>
      <c r="M31" s="117">
        <f t="shared" si="2"/>
        <v>-19.999999999999989</v>
      </c>
      <c r="N31" s="117">
        <f t="shared" si="3"/>
        <v>-23.000000000000007</v>
      </c>
      <c r="O31" s="117"/>
      <c r="P31" s="123"/>
      <c r="Q31" s="122"/>
      <c r="R31" s="121"/>
      <c r="S31" s="120"/>
      <c r="T31" s="120"/>
    </row>
    <row r="32" spans="1:20" ht="14.4" customHeight="1">
      <c r="A32" s="74">
        <f>'BC.124+900 '!B32</f>
        <v>45276</v>
      </c>
      <c r="B32" s="117">
        <v>20</v>
      </c>
      <c r="C32" s="118">
        <f>'BC.124+900 '!M32/1000</f>
        <v>0.29299999999999998</v>
      </c>
      <c r="D32" s="118">
        <f>'BC.124+900 '!AA32</f>
        <v>0.437</v>
      </c>
      <c r="E32" s="119">
        <f t="shared" si="0"/>
        <v>0.31999999999999995</v>
      </c>
      <c r="F32" s="118">
        <f>VLOOKUP($A32,'BC.124+900 '!$B$13:$X$862,8,0)/1000</f>
        <v>1.8580000000000001</v>
      </c>
      <c r="G32" s="118">
        <f>VLOOKUP($A32,'BC.124+900 '!$B$13:$X$862,9,0)/1000</f>
        <v>-0.14199999999999999</v>
      </c>
      <c r="H32" s="118">
        <f>VLOOKUP($A32,'BC.124+900 '!$B$13:$X$862,14,0)/1000</f>
        <v>1.85</v>
      </c>
      <c r="I32" s="118">
        <f>VLOOKUP($A32,'BC.124+900 '!$B$13:$X$862,15,0)/1000</f>
        <v>-0.15</v>
      </c>
      <c r="J32" s="118">
        <f>VLOOKUP($A32,'BC.124+900 '!$B$13:$X$862,20,0)/1000</f>
        <v>1.8560000000000001</v>
      </c>
      <c r="K32" s="118">
        <f>VLOOKUP($A32,'BC.124+900 '!$B$13:$X$862,21,0)/1000</f>
        <v>-0.14399999999999999</v>
      </c>
      <c r="L32" s="117">
        <f t="shared" si="1"/>
        <v>-20.999999999999989</v>
      </c>
      <c r="M32" s="117">
        <f t="shared" si="2"/>
        <v>-26.999999999999996</v>
      </c>
      <c r="N32" s="117">
        <f t="shared" si="3"/>
        <v>-30.999999999999986</v>
      </c>
      <c r="O32" s="117"/>
      <c r="P32" s="123"/>
      <c r="Q32" s="122"/>
      <c r="R32" s="121"/>
      <c r="S32" s="120"/>
      <c r="T32" s="120"/>
    </row>
    <row r="33" spans="1:20" ht="14.4" customHeight="1">
      <c r="A33" s="74">
        <f>'BC.124+900 '!B33</f>
        <v>45277</v>
      </c>
      <c r="B33" s="117">
        <v>21</v>
      </c>
      <c r="C33" s="118">
        <f>'BC.124+900 '!M33/1000</f>
        <v>0.28699999999999998</v>
      </c>
      <c r="D33" s="118">
        <f>'BC.124+900 '!AA33</f>
        <v>0.437</v>
      </c>
      <c r="E33" s="119">
        <f t="shared" si="0"/>
        <v>0.31999999999999995</v>
      </c>
      <c r="F33" s="118">
        <f>VLOOKUP($A33,'BC.124+900 '!$B$13:$X$862,8,0)/1000</f>
        <v>1.851</v>
      </c>
      <c r="G33" s="118">
        <f>VLOOKUP($A33,'BC.124+900 '!$B$13:$X$862,9,0)/1000</f>
        <v>-0.14899999999999999</v>
      </c>
      <c r="H33" s="118">
        <f>VLOOKUP($A33,'BC.124+900 '!$B$13:$X$862,14,0)/1000</f>
        <v>1.8440000000000001</v>
      </c>
      <c r="I33" s="118">
        <f>VLOOKUP($A33,'BC.124+900 '!$B$13:$X$862,15,0)/1000</f>
        <v>-0.156</v>
      </c>
      <c r="J33" s="118">
        <f>VLOOKUP($A33,'BC.124+900 '!$B$13:$X$862,20,0)/1000</f>
        <v>1.85</v>
      </c>
      <c r="K33" s="118">
        <f>VLOOKUP($A33,'BC.124+900 '!$B$13:$X$862,21,0)/1000</f>
        <v>-0.15</v>
      </c>
      <c r="L33" s="117">
        <f t="shared" si="1"/>
        <v>-27.999999999999996</v>
      </c>
      <c r="M33" s="117">
        <f t="shared" si="2"/>
        <v>-33</v>
      </c>
      <c r="N33" s="117">
        <f t="shared" si="3"/>
        <v>-36.999999999999993</v>
      </c>
      <c r="O33" s="117"/>
      <c r="P33" s="123"/>
      <c r="Q33" s="122"/>
      <c r="R33" s="121"/>
      <c r="S33" s="120"/>
      <c r="T33" s="120"/>
    </row>
    <row r="34" spans="1:20" ht="14.4" customHeight="1">
      <c r="A34" s="74">
        <f>'BC.124+900 '!B34</f>
        <v>45278</v>
      </c>
      <c r="B34" s="117">
        <v>22</v>
      </c>
      <c r="C34" s="118">
        <f>'BC.124+900 '!M34/1000</f>
        <v>0.6</v>
      </c>
      <c r="D34" s="118">
        <f>'BC.124+900 '!AA34</f>
        <v>0.75</v>
      </c>
      <c r="E34" s="119">
        <f t="shared" si="0"/>
        <v>0.64</v>
      </c>
      <c r="F34" s="118">
        <f>VLOOKUP($A34,'BC.124+900 '!$B$13:$X$862,8,0)/1000</f>
        <v>1.845</v>
      </c>
      <c r="G34" s="118">
        <f>VLOOKUP($A34,'BC.124+900 '!$B$13:$X$862,9,0)/1000</f>
        <v>-0.155</v>
      </c>
      <c r="H34" s="118">
        <f>VLOOKUP($A34,'BC.124+900 '!$B$13:$X$862,14,0)/1000</f>
        <v>1.837</v>
      </c>
      <c r="I34" s="118">
        <f>VLOOKUP($A34,'BC.124+900 '!$B$13:$X$862,15,0)/1000</f>
        <v>-0.16300000000000001</v>
      </c>
      <c r="J34" s="118">
        <f>VLOOKUP($A34,'BC.124+900 '!$B$13:$X$862,20,0)/1000</f>
        <v>1.843</v>
      </c>
      <c r="K34" s="118">
        <f>VLOOKUP($A34,'BC.124+900 '!$B$13:$X$862,21,0)/1000</f>
        <v>-0.157</v>
      </c>
      <c r="L34" s="117">
        <f t="shared" si="1"/>
        <v>-34</v>
      </c>
      <c r="M34" s="117">
        <f t="shared" si="2"/>
        <v>-40.000000000000007</v>
      </c>
      <c r="N34" s="117">
        <f t="shared" si="3"/>
        <v>-44</v>
      </c>
      <c r="O34" s="117"/>
      <c r="P34" s="123"/>
      <c r="Q34" s="122"/>
      <c r="R34" s="121"/>
      <c r="S34" s="120"/>
      <c r="T34" s="120"/>
    </row>
    <row r="35" spans="1:20" ht="14.4" customHeight="1">
      <c r="A35" s="74">
        <f>'BC.124+900 '!B35</f>
        <v>45279</v>
      </c>
      <c r="B35" s="117">
        <v>23</v>
      </c>
      <c r="C35" s="118">
        <f>'BC.124+900 '!M35/1000</f>
        <v>0.59299999999999997</v>
      </c>
      <c r="D35" s="118">
        <f>'BC.124+900 '!AA35</f>
        <v>0.75</v>
      </c>
      <c r="E35" s="119">
        <f t="shared" si="0"/>
        <v>0.64</v>
      </c>
      <c r="F35" s="118">
        <f>VLOOKUP($A35,'BC.124+900 '!$B$13:$X$862,8,0)/1000</f>
        <v>1.84</v>
      </c>
      <c r="G35" s="118">
        <f>VLOOKUP($A35,'BC.124+900 '!$B$13:$X$862,9,0)/1000</f>
        <v>-0.16</v>
      </c>
      <c r="H35" s="118">
        <f>VLOOKUP($A35,'BC.124+900 '!$B$13:$X$862,14,0)/1000</f>
        <v>1.83</v>
      </c>
      <c r="I35" s="118">
        <f>VLOOKUP($A35,'BC.124+900 '!$B$13:$X$862,15,0)/1000</f>
        <v>-0.17</v>
      </c>
      <c r="J35" s="118">
        <f>VLOOKUP($A35,'BC.124+900 '!$B$13:$X$862,20,0)/1000</f>
        <v>1.835</v>
      </c>
      <c r="K35" s="118">
        <f>VLOOKUP($A35,'BC.124+900 '!$B$13:$X$862,21,0)/1000</f>
        <v>-0.16500000000000001</v>
      </c>
      <c r="L35" s="117">
        <f t="shared" si="1"/>
        <v>-39.000000000000007</v>
      </c>
      <c r="M35" s="117">
        <f t="shared" si="2"/>
        <v>-47.000000000000014</v>
      </c>
      <c r="N35" s="117">
        <f t="shared" si="3"/>
        <v>-52.000000000000007</v>
      </c>
      <c r="O35" s="117"/>
      <c r="P35" s="123"/>
      <c r="Q35" s="122"/>
      <c r="R35" s="121"/>
      <c r="S35" s="120"/>
      <c r="T35" s="120"/>
    </row>
    <row r="36" spans="1:20" ht="14.4" customHeight="1">
      <c r="A36" s="74">
        <f>'BC.124+900 '!B36</f>
        <v>45280</v>
      </c>
      <c r="B36" s="117">
        <v>24</v>
      </c>
      <c r="C36" s="118">
        <f>'BC.124+900 '!M36/1000</f>
        <v>0.58699999999999997</v>
      </c>
      <c r="D36" s="118">
        <f>'BC.124+900 '!AA36</f>
        <v>0.75</v>
      </c>
      <c r="E36" s="119">
        <f t="shared" si="0"/>
        <v>0.6399999999999999</v>
      </c>
      <c r="F36" s="118">
        <f>VLOOKUP($A36,'BC.124+900 '!$B$13:$X$862,8,0)/1000</f>
        <v>2.8340000000000001</v>
      </c>
      <c r="G36" s="118">
        <f>VLOOKUP($A36,'BC.124+900 '!$B$13:$X$862,9,0)/1000</f>
        <v>-0.16600000000000001</v>
      </c>
      <c r="H36" s="118">
        <f>VLOOKUP($A36,'BC.124+900 '!$B$13:$X$862,14,0)/1000</f>
        <v>2.8239999999999998</v>
      </c>
      <c r="I36" s="118">
        <f>VLOOKUP($A36,'BC.124+900 '!$B$13:$X$862,15,0)/1000</f>
        <v>-0.17599999999999999</v>
      </c>
      <c r="J36" s="118">
        <f>VLOOKUP($A36,'BC.124+900 '!$B$13:$X$862,20,0)/1000</f>
        <v>2.8290000000000002</v>
      </c>
      <c r="K36" s="118">
        <f>VLOOKUP($A36,'BC.124+900 '!$B$13:$X$862,21,0)/1000</f>
        <v>-0.17100000000000001</v>
      </c>
      <c r="L36" s="117">
        <f t="shared" si="1"/>
        <v>-45.000000000000014</v>
      </c>
      <c r="M36" s="117">
        <f t="shared" si="2"/>
        <v>-52.999999999999993</v>
      </c>
      <c r="N36" s="117">
        <f t="shared" si="3"/>
        <v>-58.000000000000007</v>
      </c>
      <c r="O36" s="117"/>
      <c r="P36" s="123"/>
      <c r="Q36" s="122"/>
      <c r="R36" s="121"/>
      <c r="S36" s="120"/>
      <c r="T36" s="120"/>
    </row>
    <row r="37" spans="1:20" ht="14.4" customHeight="1">
      <c r="A37" s="74">
        <f>'BC.124+900 '!B37</f>
        <v>45281</v>
      </c>
      <c r="B37" s="117">
        <v>25</v>
      </c>
      <c r="C37" s="118">
        <f>'BC.124+900 '!M37/1000</f>
        <v>0.9</v>
      </c>
      <c r="D37" s="118">
        <f>'BC.124+900 '!AA37</f>
        <v>1.0629999999999999</v>
      </c>
      <c r="E37" s="119">
        <f t="shared" si="0"/>
        <v>0.96</v>
      </c>
      <c r="F37" s="118">
        <f>VLOOKUP($A37,'BC.124+900 '!$B$13:$X$862,8,0)/1000</f>
        <v>2.8290000000000002</v>
      </c>
      <c r="G37" s="118">
        <f>VLOOKUP($A37,'BC.124+900 '!$B$13:$X$862,9,0)/1000</f>
        <v>-0.17100000000000001</v>
      </c>
      <c r="H37" s="118">
        <f>VLOOKUP($A37,'BC.124+900 '!$B$13:$X$862,14,0)/1000</f>
        <v>2.8170000000000002</v>
      </c>
      <c r="I37" s="118">
        <f>VLOOKUP($A37,'BC.124+900 '!$B$13:$X$862,15,0)/1000</f>
        <v>-0.183</v>
      </c>
      <c r="J37" s="118">
        <f>VLOOKUP($A37,'BC.124+900 '!$B$13:$X$862,20,0)/1000</f>
        <v>2.8220000000000001</v>
      </c>
      <c r="K37" s="118">
        <f>VLOOKUP($A37,'BC.124+900 '!$B$13:$X$862,21,0)/1000</f>
        <v>-0.17799999999999999</v>
      </c>
      <c r="L37" s="117">
        <f t="shared" si="1"/>
        <v>-50.000000000000014</v>
      </c>
      <c r="M37" s="117">
        <f t="shared" si="2"/>
        <v>-60</v>
      </c>
      <c r="N37" s="117">
        <f t="shared" si="3"/>
        <v>-64.999999999999986</v>
      </c>
      <c r="O37" s="117"/>
      <c r="P37" s="123"/>
      <c r="Q37" s="122"/>
      <c r="R37" s="121"/>
      <c r="S37" s="120"/>
      <c r="T37" s="120"/>
    </row>
    <row r="38" spans="1:20" ht="14.4" customHeight="1">
      <c r="A38" s="74">
        <f>'BC.124+900 '!B38</f>
        <v>45285</v>
      </c>
      <c r="B38" s="117">
        <v>26</v>
      </c>
      <c r="C38" s="118">
        <f>'BC.124+900 '!M38/1000</f>
        <v>0.89300000000000002</v>
      </c>
      <c r="D38" s="118">
        <f>'BC.124+900 '!AA38</f>
        <v>1.0629999999999999</v>
      </c>
      <c r="E38" s="119">
        <f t="shared" si="0"/>
        <v>0.96</v>
      </c>
      <c r="F38" s="118">
        <f>VLOOKUP($A38,'BC.124+900 '!$B$13:$X$862,8,0)/1000</f>
        <v>2.823</v>
      </c>
      <c r="G38" s="118">
        <f>VLOOKUP($A38,'BC.124+900 '!$B$13:$X$862,9,0)/1000</f>
        <v>-0.17699999999999999</v>
      </c>
      <c r="H38" s="118">
        <f>VLOOKUP($A38,'BC.124+900 '!$B$13:$X$862,14,0)/1000</f>
        <v>2.81</v>
      </c>
      <c r="I38" s="118">
        <f>VLOOKUP($A38,'BC.124+900 '!$B$13:$X$862,15,0)/1000</f>
        <v>-0.19</v>
      </c>
      <c r="J38" s="118">
        <f>VLOOKUP($A38,'BC.124+900 '!$B$13:$X$862,20,0)/1000</f>
        <v>2.8159999999999998</v>
      </c>
      <c r="K38" s="118">
        <f>VLOOKUP($A38,'BC.124+900 '!$B$13:$X$862,21,0)/1000</f>
        <v>-0.184</v>
      </c>
      <c r="L38" s="117">
        <f t="shared" si="1"/>
        <v>-55.999999999999993</v>
      </c>
      <c r="M38" s="117">
        <f t="shared" si="2"/>
        <v>-67</v>
      </c>
      <c r="N38" s="117">
        <f t="shared" si="3"/>
        <v>-71</v>
      </c>
      <c r="O38" s="117"/>
      <c r="P38" s="123"/>
      <c r="Q38" s="122"/>
      <c r="R38" s="121"/>
      <c r="S38" s="120"/>
      <c r="T38" s="120"/>
    </row>
    <row r="39" spans="1:20" ht="14.4" customHeight="1">
      <c r="A39" s="74">
        <f>'BC.124+900 '!B39</f>
        <v>45288</v>
      </c>
      <c r="B39" s="117">
        <v>27</v>
      </c>
      <c r="C39" s="118">
        <f>'BC.124+900 '!M39/1000</f>
        <v>0.89</v>
      </c>
      <c r="D39" s="118">
        <f>'BC.124+900 '!AA39</f>
        <v>1.0629999999999999</v>
      </c>
      <c r="E39" s="119">
        <f t="shared" si="0"/>
        <v>0.96</v>
      </c>
      <c r="F39" s="118">
        <f>VLOOKUP($A39,'BC.124+900 '!$B$13:$X$862,8,0)/1000</f>
        <v>2.8149999999999999</v>
      </c>
      <c r="G39" s="118">
        <f>VLOOKUP($A39,'BC.124+900 '!$B$13:$X$862,9,0)/1000</f>
        <v>-0.185</v>
      </c>
      <c r="H39" s="118">
        <f>VLOOKUP($A39,'BC.124+900 '!$B$13:$X$862,14,0)/1000</f>
        <v>2.8069999999999999</v>
      </c>
      <c r="I39" s="118">
        <f>VLOOKUP($A39,'BC.124+900 '!$B$13:$X$862,15,0)/1000</f>
        <v>-0.193</v>
      </c>
      <c r="J39" s="118">
        <f>VLOOKUP($A39,'BC.124+900 '!$B$13:$X$862,20,0)/1000</f>
        <v>2.8109999999999999</v>
      </c>
      <c r="K39" s="118">
        <f>VLOOKUP($A39,'BC.124+900 '!$B$13:$X$862,21,0)/1000</f>
        <v>-0.189</v>
      </c>
      <c r="L39" s="117">
        <f t="shared" si="1"/>
        <v>-64</v>
      </c>
      <c r="M39" s="117">
        <f t="shared" si="2"/>
        <v>-70</v>
      </c>
      <c r="N39" s="117">
        <f t="shared" si="3"/>
        <v>-76</v>
      </c>
      <c r="O39" s="117"/>
      <c r="P39" s="123"/>
      <c r="Q39" s="122"/>
      <c r="R39" s="121"/>
      <c r="S39" s="120"/>
      <c r="T39" s="120"/>
    </row>
    <row r="40" spans="1:20" ht="14.4" customHeight="1">
      <c r="A40" s="74">
        <f>'BC.124+900 '!B40</f>
        <v>45295</v>
      </c>
      <c r="B40" s="117">
        <v>28</v>
      </c>
      <c r="C40" s="118">
        <f>'BC.124+900 '!M40/1000</f>
        <v>0.878</v>
      </c>
      <c r="D40" s="118">
        <f>'BC.124+900 '!AA40</f>
        <v>1.0629999999999999</v>
      </c>
      <c r="E40" s="119">
        <f t="shared" si="0"/>
        <v>0.96</v>
      </c>
      <c r="F40" s="118">
        <f>VLOOKUP($A40,'BC.124+900 '!$B$13:$X$862,8,0)/1000</f>
        <v>2.8050000000000002</v>
      </c>
      <c r="G40" s="118">
        <f>VLOOKUP($A40,'BC.124+900 '!$B$13:$X$862,9,0)/1000</f>
        <v>-0.19500000000000001</v>
      </c>
      <c r="H40" s="118">
        <f>VLOOKUP($A40,'BC.124+900 '!$B$13:$X$862,14,0)/1000</f>
        <v>2.7949999999999999</v>
      </c>
      <c r="I40" s="118">
        <f>VLOOKUP($A40,'BC.124+900 '!$B$13:$X$862,15,0)/1000</f>
        <v>-0.20499999999999999</v>
      </c>
      <c r="J40" s="118">
        <f>VLOOKUP($A40,'BC.124+900 '!$B$13:$X$862,20,0)/1000</f>
        <v>2.8010000000000002</v>
      </c>
      <c r="K40" s="118">
        <f>VLOOKUP($A40,'BC.124+900 '!$B$13:$X$862,21,0)/1000</f>
        <v>-0.19900000000000001</v>
      </c>
      <c r="L40" s="117">
        <f t="shared" si="1"/>
        <v>-74.000000000000014</v>
      </c>
      <c r="M40" s="117">
        <f t="shared" si="2"/>
        <v>-81.999999999999986</v>
      </c>
      <c r="N40" s="117">
        <f t="shared" si="3"/>
        <v>-86</v>
      </c>
      <c r="O40" s="117"/>
      <c r="P40" s="123"/>
      <c r="Q40" s="122"/>
      <c r="R40" s="121"/>
      <c r="S40" s="120"/>
      <c r="T40" s="120"/>
    </row>
    <row r="41" spans="1:20" ht="14.4" customHeight="1">
      <c r="A41" s="74">
        <f>'BC.124+900 '!B41</f>
        <v>45302</v>
      </c>
      <c r="B41" s="117">
        <v>29</v>
      </c>
      <c r="C41" s="118">
        <f>'BC.124+900 '!M41/1000</f>
        <v>0.85799999999999998</v>
      </c>
      <c r="D41" s="118">
        <f>'BC.124+900 '!AA41</f>
        <v>1.0629999999999999</v>
      </c>
      <c r="E41" s="119">
        <f t="shared" si="0"/>
        <v>0.96</v>
      </c>
      <c r="F41" s="118">
        <f>VLOOKUP($A41,'BC.124+900 '!$B$13:$X$862,8,0)/1000</f>
        <v>2.7829999999999999</v>
      </c>
      <c r="G41" s="118">
        <f>VLOOKUP($A41,'BC.124+900 '!$B$13:$X$862,9,0)/1000</f>
        <v>-0.217</v>
      </c>
      <c r="H41" s="118">
        <f>VLOOKUP($A41,'BC.124+900 '!$B$13:$X$862,14,0)/1000</f>
        <v>2.7749999999999999</v>
      </c>
      <c r="I41" s="118">
        <f>VLOOKUP($A41,'BC.124+900 '!$B$13:$X$862,15,0)/1000</f>
        <v>-0.22500000000000001</v>
      </c>
      <c r="J41" s="118">
        <f>VLOOKUP($A41,'BC.124+900 '!$B$13:$X$862,20,0)/1000</f>
        <v>2.7829999999999999</v>
      </c>
      <c r="K41" s="118">
        <f>VLOOKUP($A41,'BC.124+900 '!$B$13:$X$862,21,0)/1000</f>
        <v>-0.217</v>
      </c>
      <c r="L41" s="117">
        <f t="shared" si="1"/>
        <v>-96</v>
      </c>
      <c r="M41" s="117">
        <f t="shared" si="2"/>
        <v>-102.00000000000001</v>
      </c>
      <c r="N41" s="117">
        <f t="shared" si="3"/>
        <v>-104</v>
      </c>
      <c r="O41" s="117"/>
      <c r="P41" s="123"/>
      <c r="Q41" s="122"/>
      <c r="R41" s="121"/>
      <c r="S41" s="120"/>
      <c r="T41" s="120"/>
    </row>
    <row r="42" spans="1:20" ht="14.4" customHeight="1">
      <c r="A42" s="74">
        <f>'BC.124+900 '!B42</f>
        <v>45309</v>
      </c>
      <c r="B42" s="117">
        <v>30</v>
      </c>
      <c r="C42" s="118">
        <f>'BC.124+900 '!M42/1000</f>
        <v>0.84</v>
      </c>
      <c r="D42" s="118">
        <f>'BC.124+900 '!AA42</f>
        <v>1.0629999999999999</v>
      </c>
      <c r="E42" s="119">
        <f t="shared" si="0"/>
        <v>0.96</v>
      </c>
      <c r="F42" s="118">
        <f>VLOOKUP($A42,'BC.124+900 '!$B$13:$X$862,8,0)/1000</f>
        <v>2.7629999999999999</v>
      </c>
      <c r="G42" s="118">
        <f>VLOOKUP($A42,'BC.124+900 '!$B$13:$X$862,9,0)/1000</f>
        <v>-0.23699999999999999</v>
      </c>
      <c r="H42" s="118">
        <f>VLOOKUP($A42,'BC.124+900 '!$B$13:$X$862,14,0)/1000</f>
        <v>2.7570000000000001</v>
      </c>
      <c r="I42" s="118">
        <f>VLOOKUP($A42,'BC.124+900 '!$B$13:$X$862,15,0)/1000</f>
        <v>-0.24299999999999999</v>
      </c>
      <c r="J42" s="118">
        <f>VLOOKUP($A42,'BC.124+900 '!$B$13:$X$862,20,0)/1000</f>
        <v>2.7669999999999999</v>
      </c>
      <c r="K42" s="118">
        <f>VLOOKUP($A42,'BC.124+900 '!$B$13:$X$862,21,0)/1000</f>
        <v>-0.23300000000000001</v>
      </c>
      <c r="L42" s="117">
        <f t="shared" si="1"/>
        <v>-115.99999999999999</v>
      </c>
      <c r="M42" s="117">
        <f t="shared" si="2"/>
        <v>-120</v>
      </c>
      <c r="N42" s="117">
        <f t="shared" si="3"/>
        <v>-120.00000000000001</v>
      </c>
      <c r="O42" s="117"/>
      <c r="P42" s="123"/>
      <c r="Q42" s="122"/>
      <c r="R42" s="121"/>
      <c r="S42" s="120"/>
      <c r="T42" s="120"/>
    </row>
    <row r="43" spans="1:20" ht="14.4" customHeight="1">
      <c r="A43" s="74">
        <f>'BC.124+900 '!B43</f>
        <v>45316</v>
      </c>
      <c r="B43" s="117">
        <v>31</v>
      </c>
      <c r="C43" s="118">
        <f>'BC.124+900 '!M43/1000</f>
        <v>0.82299999999999995</v>
      </c>
      <c r="D43" s="118">
        <f>'BC.124+900 '!AA43</f>
        <v>1.0629999999999999</v>
      </c>
      <c r="E43" s="119">
        <f t="shared" si="0"/>
        <v>0.96</v>
      </c>
      <c r="F43" s="118">
        <f>VLOOKUP($A43,'BC.124+900 '!$B$13:$X$862,8,0)/1000</f>
        <v>2.7440000000000002</v>
      </c>
      <c r="G43" s="118">
        <f>VLOOKUP($A43,'BC.124+900 '!$B$13:$X$862,9,0)/1000</f>
        <v>-0.25600000000000001</v>
      </c>
      <c r="H43" s="118">
        <f>VLOOKUP($A43,'BC.124+900 '!$B$13:$X$862,14,0)/1000</f>
        <v>2.74</v>
      </c>
      <c r="I43" s="118">
        <f>VLOOKUP($A43,'BC.124+900 '!$B$13:$X$862,15,0)/1000</f>
        <v>-0.26</v>
      </c>
      <c r="J43" s="118">
        <f>VLOOKUP($A43,'BC.124+900 '!$B$13:$X$862,20,0)/1000</f>
        <v>2.7509999999999999</v>
      </c>
      <c r="K43" s="118">
        <f>VLOOKUP($A43,'BC.124+900 '!$B$13:$X$862,21,0)/1000</f>
        <v>-0.249</v>
      </c>
      <c r="L43" s="117">
        <f t="shared" si="1"/>
        <v>-135</v>
      </c>
      <c r="M43" s="117">
        <f t="shared" si="2"/>
        <v>-137</v>
      </c>
      <c r="N43" s="117">
        <f t="shared" si="3"/>
        <v>-136</v>
      </c>
      <c r="O43" s="117"/>
      <c r="P43" s="123"/>
      <c r="Q43" s="122"/>
      <c r="R43" s="121"/>
      <c r="S43" s="120"/>
      <c r="T43" s="120"/>
    </row>
    <row r="44" spans="1:20" ht="14.4" customHeight="1">
      <c r="A44" s="74">
        <f>'BC.124+900 '!B44</f>
        <v>45323</v>
      </c>
      <c r="B44" s="117">
        <v>32</v>
      </c>
      <c r="C44" s="118">
        <f>'BC.124+900 '!M44/1000</f>
        <v>0.80700000000000005</v>
      </c>
      <c r="D44" s="118">
        <f>'BC.124+900 '!AA44</f>
        <v>1.0629999999999999</v>
      </c>
      <c r="E44" s="119">
        <f t="shared" si="0"/>
        <v>0.96000000000000008</v>
      </c>
      <c r="F44" s="118">
        <f>VLOOKUP($A44,'BC.124+900 '!$B$13:$X$862,8,0)/1000</f>
        <v>2.726</v>
      </c>
      <c r="G44" s="118">
        <f>VLOOKUP($A44,'BC.124+900 '!$B$13:$X$862,9,0)/1000</f>
        <v>-0.27400000000000002</v>
      </c>
      <c r="H44" s="118">
        <f>VLOOKUP($A44,'BC.124+900 '!$B$13:$X$862,14,0)/1000</f>
        <v>2.7240000000000002</v>
      </c>
      <c r="I44" s="118">
        <f>VLOOKUP($A44,'BC.124+900 '!$B$13:$X$862,15,0)/1000</f>
        <v>-0.27600000000000002</v>
      </c>
      <c r="J44" s="118">
        <f>VLOOKUP($A44,'BC.124+900 '!$B$13:$X$862,20,0)/1000</f>
        <v>2.7360000000000002</v>
      </c>
      <c r="K44" s="118">
        <f>VLOOKUP($A44,'BC.124+900 '!$B$13:$X$862,21,0)/1000</f>
        <v>-0.26400000000000001</v>
      </c>
      <c r="L44" s="117">
        <f t="shared" si="1"/>
        <v>-153.00000000000003</v>
      </c>
      <c r="M44" s="117">
        <f t="shared" si="2"/>
        <v>-153.00000000000003</v>
      </c>
      <c r="N44" s="117">
        <f t="shared" si="3"/>
        <v>-151.00000000000003</v>
      </c>
      <c r="O44" s="117"/>
      <c r="P44" s="123"/>
      <c r="Q44" s="122"/>
      <c r="R44" s="121"/>
      <c r="S44" s="120"/>
      <c r="T44" s="120"/>
    </row>
    <row r="45" spans="1:20" ht="14.4" customHeight="1">
      <c r="A45" s="74">
        <f>'BC.124+900 '!B45</f>
        <v>45330</v>
      </c>
      <c r="B45" s="117">
        <v>33</v>
      </c>
      <c r="C45" s="118">
        <f>'BC.124+900 '!M45/1000</f>
        <v>0.79300000000000004</v>
      </c>
      <c r="D45" s="118">
        <f>'BC.124+900 '!AA45</f>
        <v>1.0629999999999999</v>
      </c>
      <c r="E45" s="119">
        <f t="shared" ref="E45:E76" si="4">+C45-$F$8-(M45/1000)</f>
        <v>0.96</v>
      </c>
      <c r="F45" s="118">
        <f>VLOOKUP($A45,'BC.124+900 '!$B$13:$X$862,8,0)/1000</f>
        <v>2.7090000000000001</v>
      </c>
      <c r="G45" s="118">
        <f>VLOOKUP($A45,'BC.124+900 '!$B$13:$X$862,9,0)/1000</f>
        <v>-0.29099999999999998</v>
      </c>
      <c r="H45" s="118">
        <f>VLOOKUP($A45,'BC.124+900 '!$B$13:$X$862,14,0)/1000</f>
        <v>2.71</v>
      </c>
      <c r="I45" s="118">
        <f>VLOOKUP($A45,'BC.124+900 '!$B$13:$X$862,15,0)/1000</f>
        <v>-0.28999999999999998</v>
      </c>
      <c r="J45" s="118">
        <f>VLOOKUP($A45,'BC.124+900 '!$B$13:$X$862,20,0)/1000</f>
        <v>2.7229999999999999</v>
      </c>
      <c r="K45" s="118">
        <f>VLOOKUP($A45,'BC.124+900 '!$B$13:$X$862,21,0)/1000</f>
        <v>-0.27700000000000002</v>
      </c>
      <c r="L45" s="117">
        <f t="shared" ref="L45:L76" si="5">(G45-$G$13)*1000</f>
        <v>-169.99999999999997</v>
      </c>
      <c r="M45" s="117">
        <f t="shared" ref="M45:M76" si="6">(I45-$I$13)*1000</f>
        <v>-166.99999999999997</v>
      </c>
      <c r="N45" s="117">
        <f t="shared" ref="N45:N76" si="7">(K45-$K$13)*1000</f>
        <v>-164.00000000000003</v>
      </c>
      <c r="O45" s="117"/>
      <c r="P45" s="123"/>
      <c r="Q45" s="122"/>
      <c r="R45" s="121"/>
      <c r="S45" s="120"/>
      <c r="T45" s="120"/>
    </row>
    <row r="46" spans="1:20" ht="14.4" customHeight="1">
      <c r="A46" s="74">
        <f>'BC.124+900 '!B46</f>
        <v>45337</v>
      </c>
      <c r="B46" s="117">
        <v>34</v>
      </c>
      <c r="C46" s="118">
        <f>'BC.124+900 '!M46/1000</f>
        <v>0.78</v>
      </c>
      <c r="D46" s="118">
        <f>'BC.124+900 '!AA46</f>
        <v>1.0629999999999999</v>
      </c>
      <c r="E46" s="119">
        <f t="shared" si="4"/>
        <v>0.96</v>
      </c>
      <c r="F46" s="118">
        <f>VLOOKUP($A46,'BC.124+900 '!$B$13:$X$862,8,0)/1000</f>
        <v>2.6949999999999998</v>
      </c>
      <c r="G46" s="118">
        <f>VLOOKUP($A46,'BC.124+900 '!$B$13:$X$862,9,0)/1000</f>
        <v>-0.30499999999999999</v>
      </c>
      <c r="H46" s="118">
        <f>VLOOKUP($A46,'BC.124+900 '!$B$13:$X$862,14,0)/1000</f>
        <v>2.6970000000000001</v>
      </c>
      <c r="I46" s="118">
        <f>VLOOKUP($A46,'BC.124+900 '!$B$13:$X$862,15,0)/1000</f>
        <v>-0.30299999999999999</v>
      </c>
      <c r="J46" s="118">
        <f>VLOOKUP($A46,'BC.124+900 '!$B$13:$X$862,20,0)/1000</f>
        <v>2.71</v>
      </c>
      <c r="K46" s="118">
        <f>VLOOKUP($A46,'BC.124+900 '!$B$13:$X$862,21,0)/1000</f>
        <v>-0.28999999999999998</v>
      </c>
      <c r="L46" s="117">
        <f t="shared" si="5"/>
        <v>-184</v>
      </c>
      <c r="M46" s="117">
        <f t="shared" si="6"/>
        <v>-180</v>
      </c>
      <c r="N46" s="117">
        <f t="shared" si="7"/>
        <v>-177</v>
      </c>
      <c r="O46" s="117"/>
      <c r="P46" s="123"/>
      <c r="Q46" s="122"/>
      <c r="R46" s="121"/>
      <c r="S46" s="120"/>
      <c r="T46" s="120"/>
    </row>
    <row r="47" spans="1:20" ht="14.4" customHeight="1">
      <c r="A47" s="74">
        <f>'BC.124+900 '!B47</f>
        <v>45344</v>
      </c>
      <c r="B47" s="117">
        <v>35</v>
      </c>
      <c r="C47" s="118">
        <f>'BC.124+900 '!M47/1000</f>
        <v>0.77</v>
      </c>
      <c r="D47" s="118">
        <f>'BC.124+900 '!AA47</f>
        <v>1.0629999999999999</v>
      </c>
      <c r="E47" s="119">
        <f t="shared" si="4"/>
        <v>0.96</v>
      </c>
      <c r="F47" s="118">
        <f>VLOOKUP($A47,'BC.124+900 '!$B$13:$X$862,8,0)/1000</f>
        <v>2.6829999999999998</v>
      </c>
      <c r="G47" s="118">
        <f>VLOOKUP($A47,'BC.124+900 '!$B$13:$X$862,9,0)/1000</f>
        <v>-0.317</v>
      </c>
      <c r="H47" s="118">
        <f>VLOOKUP($A47,'BC.124+900 '!$B$13:$X$862,14,0)/1000</f>
        <v>2.6869999999999998</v>
      </c>
      <c r="I47" s="118">
        <f>VLOOKUP($A47,'BC.124+900 '!$B$13:$X$862,15,0)/1000</f>
        <v>-0.313</v>
      </c>
      <c r="J47" s="118">
        <f>VLOOKUP($A47,'BC.124+900 '!$B$13:$X$862,20,0)/1000</f>
        <v>2.6989999999999998</v>
      </c>
      <c r="K47" s="118">
        <f>VLOOKUP($A47,'BC.124+900 '!$B$13:$X$862,21,0)/1000</f>
        <v>-0.30099999999999999</v>
      </c>
      <c r="L47" s="117">
        <f t="shared" si="5"/>
        <v>-196</v>
      </c>
      <c r="M47" s="117">
        <f t="shared" si="6"/>
        <v>-190</v>
      </c>
      <c r="N47" s="117">
        <f t="shared" si="7"/>
        <v>-188</v>
      </c>
      <c r="O47" s="117"/>
      <c r="P47" s="123"/>
      <c r="Q47" s="122"/>
      <c r="R47" s="121"/>
      <c r="S47" s="120"/>
      <c r="T47" s="120"/>
    </row>
    <row r="48" spans="1:20" ht="14.4" customHeight="1">
      <c r="A48" s="74">
        <f>'BC.124+900 '!B48</f>
        <v>45351</v>
      </c>
      <c r="B48" s="117">
        <v>36</v>
      </c>
      <c r="C48" s="118">
        <f>'BC.124+900 '!M48/1000</f>
        <v>0.76</v>
      </c>
      <c r="D48" s="118">
        <f>'BC.124+900 '!AA48</f>
        <v>1.0629999999999999</v>
      </c>
      <c r="E48" s="119">
        <f t="shared" si="4"/>
        <v>0.96</v>
      </c>
      <c r="F48" s="118">
        <f>VLOOKUP($A48,'BC.124+900 '!$B$13:$X$862,8,0)/1000</f>
        <v>2.6720000000000002</v>
      </c>
      <c r="G48" s="118">
        <f>VLOOKUP($A48,'BC.124+900 '!$B$13:$X$862,9,0)/1000</f>
        <v>-0.32800000000000001</v>
      </c>
      <c r="H48" s="118">
        <f>VLOOKUP($A48,'BC.124+900 '!$B$13:$X$862,14,0)/1000</f>
        <v>2.677</v>
      </c>
      <c r="I48" s="118">
        <f>VLOOKUP($A48,'BC.124+900 '!$B$13:$X$862,15,0)/1000</f>
        <v>-0.32300000000000001</v>
      </c>
      <c r="J48" s="118">
        <f>VLOOKUP($A48,'BC.124+900 '!$B$13:$X$862,20,0)/1000</f>
        <v>2.6890000000000001</v>
      </c>
      <c r="K48" s="118">
        <f>VLOOKUP($A48,'BC.124+900 '!$B$13:$X$862,21,0)/1000</f>
        <v>-0.311</v>
      </c>
      <c r="L48" s="117">
        <f t="shared" si="5"/>
        <v>-207.00000000000003</v>
      </c>
      <c r="M48" s="117">
        <f t="shared" si="6"/>
        <v>-200</v>
      </c>
      <c r="N48" s="117">
        <f t="shared" si="7"/>
        <v>-198</v>
      </c>
      <c r="O48" s="117"/>
      <c r="P48" s="123"/>
      <c r="Q48" s="122"/>
      <c r="R48" s="121"/>
      <c r="S48" s="120"/>
      <c r="T48" s="120"/>
    </row>
    <row r="49" spans="1:20" ht="14.4" customHeight="1">
      <c r="A49" s="74">
        <f>'BC.124+900 '!B49</f>
        <v>45357</v>
      </c>
      <c r="B49" s="117">
        <v>37</v>
      </c>
      <c r="C49" s="118">
        <f>'BC.124+900 '!M49/1000</f>
        <v>0.752</v>
      </c>
      <c r="D49" s="118">
        <f>'BC.124+900 '!AA49</f>
        <v>1.0629999999999999</v>
      </c>
      <c r="E49" s="119">
        <f t="shared" si="4"/>
        <v>0.96</v>
      </c>
      <c r="F49" s="118">
        <f>VLOOKUP($A49,'BC.124+900 '!$B$13:$X$862,8,0)/1000</f>
        <v>2.6640000000000001</v>
      </c>
      <c r="G49" s="118">
        <f>VLOOKUP($A49,'BC.124+900 '!$B$13:$X$862,9,0)/1000</f>
        <v>-0.33600000000000002</v>
      </c>
      <c r="H49" s="118">
        <f>VLOOKUP($A49,'BC.124+900 '!$B$13:$X$862,14,0)/1000</f>
        <v>2.669</v>
      </c>
      <c r="I49" s="118">
        <f>VLOOKUP($A49,'BC.124+900 '!$B$13:$X$862,15,0)/1000</f>
        <v>-0.33100000000000002</v>
      </c>
      <c r="J49" s="118">
        <f>VLOOKUP($A49,'BC.124+900 '!$B$13:$X$862,20,0)/1000</f>
        <v>2.681</v>
      </c>
      <c r="K49" s="118">
        <f>VLOOKUP($A49,'BC.124+900 '!$B$13:$X$862,21,0)/1000</f>
        <v>-0.31900000000000001</v>
      </c>
      <c r="L49" s="117">
        <f t="shared" si="5"/>
        <v>-215.00000000000003</v>
      </c>
      <c r="M49" s="117">
        <f t="shared" si="6"/>
        <v>-208.00000000000003</v>
      </c>
      <c r="N49" s="117">
        <f t="shared" si="7"/>
        <v>-206.00000000000003</v>
      </c>
      <c r="O49" s="117"/>
      <c r="P49" s="123"/>
      <c r="Q49" s="122"/>
      <c r="R49" s="121"/>
      <c r="S49" s="120"/>
      <c r="T49" s="120"/>
    </row>
    <row r="50" spans="1:20" ht="14.4" customHeight="1">
      <c r="A50" s="74">
        <f>'BC.124+900 '!B50</f>
        <v>45358</v>
      </c>
      <c r="B50" s="117">
        <v>38</v>
      </c>
      <c r="C50" s="118">
        <f>'BC.124+900 '!M50/1000</f>
        <v>0.748</v>
      </c>
      <c r="D50" s="118">
        <f>'BC.124+900 '!AA50</f>
        <v>1.0629999999999999</v>
      </c>
      <c r="E50" s="119">
        <f t="shared" si="4"/>
        <v>0.96</v>
      </c>
      <c r="F50" s="118">
        <f>VLOOKUP($A50,'BC.124+900 '!$B$13:$X$862,8,0)/1000</f>
        <v>2.6589999999999998</v>
      </c>
      <c r="G50" s="118">
        <f>VLOOKUP($A50,'BC.124+900 '!$B$13:$X$862,9,0)/1000</f>
        <v>-0.34100000000000003</v>
      </c>
      <c r="H50" s="118">
        <f>VLOOKUP($A50,'BC.124+900 '!$B$13:$X$862,14,0)/1000</f>
        <v>2.665</v>
      </c>
      <c r="I50" s="118">
        <f>VLOOKUP($A50,'BC.124+900 '!$B$13:$X$862,15,0)/1000</f>
        <v>-0.33500000000000002</v>
      </c>
      <c r="J50" s="118">
        <f>VLOOKUP($A50,'BC.124+900 '!$B$13:$X$862,20,0)/1000</f>
        <v>2.6779999999999999</v>
      </c>
      <c r="K50" s="118">
        <f>VLOOKUP($A50,'BC.124+900 '!$B$13:$X$862,21,0)/1000</f>
        <v>-0.32200000000000001</v>
      </c>
      <c r="L50" s="117">
        <f t="shared" si="5"/>
        <v>-220.00000000000003</v>
      </c>
      <c r="M50" s="117">
        <f t="shared" si="6"/>
        <v>-212.00000000000003</v>
      </c>
      <c r="N50" s="117">
        <f t="shared" si="7"/>
        <v>-209.00000000000003</v>
      </c>
      <c r="O50" s="117"/>
      <c r="P50" s="123"/>
      <c r="Q50" s="122"/>
      <c r="R50" s="121"/>
      <c r="S50" s="120"/>
      <c r="T50" s="120"/>
    </row>
    <row r="51" spans="1:20" ht="14.4" customHeight="1">
      <c r="A51" s="74">
        <f>'BC.124+900 '!B51</f>
        <v>45359</v>
      </c>
      <c r="B51" s="117">
        <v>39</v>
      </c>
      <c r="C51" s="118">
        <f>'BC.124+900 '!M51/1000</f>
        <v>0.74399999999999999</v>
      </c>
      <c r="D51" s="118">
        <f>'BC.124+900 '!AA51</f>
        <v>1.0629999999999999</v>
      </c>
      <c r="E51" s="119">
        <f t="shared" si="4"/>
        <v>0.96</v>
      </c>
      <c r="F51" s="118">
        <f>VLOOKUP($A51,'BC.124+900 '!$B$13:$X$862,8,0)/1000</f>
        <v>2.6549999999999998</v>
      </c>
      <c r="G51" s="118">
        <f>VLOOKUP($A51,'BC.124+900 '!$B$13:$X$862,9,0)/1000</f>
        <v>-0.34499999999999997</v>
      </c>
      <c r="H51" s="118">
        <f>VLOOKUP($A51,'BC.124+900 '!$B$13:$X$862,14,0)/1000</f>
        <v>2.661</v>
      </c>
      <c r="I51" s="118">
        <f>VLOOKUP($A51,'BC.124+900 '!$B$13:$X$862,15,0)/1000</f>
        <v>-0.33900000000000002</v>
      </c>
      <c r="J51" s="118">
        <f>VLOOKUP($A51,'BC.124+900 '!$B$13:$X$862,20,0)/1000</f>
        <v>2.6749999999999998</v>
      </c>
      <c r="K51" s="118">
        <f>VLOOKUP($A51,'BC.124+900 '!$B$13:$X$862,21,0)/1000</f>
        <v>-0.32500000000000001</v>
      </c>
      <c r="L51" s="117">
        <f t="shared" si="5"/>
        <v>-223.99999999999997</v>
      </c>
      <c r="M51" s="117">
        <f t="shared" si="6"/>
        <v>-216.00000000000003</v>
      </c>
      <c r="N51" s="117">
        <f t="shared" si="7"/>
        <v>-212.00000000000003</v>
      </c>
      <c r="O51" s="117"/>
      <c r="P51" s="123"/>
      <c r="Q51" s="122"/>
      <c r="R51" s="121"/>
      <c r="S51" s="120"/>
      <c r="T51" s="120"/>
    </row>
    <row r="52" spans="1:20" ht="14.4" customHeight="1">
      <c r="A52" s="74">
        <f>'BC.124+900 '!B52</f>
        <v>45360</v>
      </c>
      <c r="B52" s="117">
        <v>40</v>
      </c>
      <c r="C52" s="118">
        <f>'BC.124+900 '!M52/1000</f>
        <v>1.2</v>
      </c>
      <c r="D52" s="118">
        <f>'BC.124+900 '!AA52</f>
        <v>1.5189999999999999</v>
      </c>
      <c r="E52" s="119">
        <f t="shared" si="4"/>
        <v>1.4219999999999999</v>
      </c>
      <c r="F52" s="118">
        <f>VLOOKUP($A52,'BC.124+900 '!$B$13:$X$862,8,0)/1000</f>
        <v>2.645</v>
      </c>
      <c r="G52" s="118">
        <f>VLOOKUP($A52,'BC.124+900 '!$B$13:$X$862,9,0)/1000</f>
        <v>-0.35499999999999998</v>
      </c>
      <c r="H52" s="118">
        <f>VLOOKUP($A52,'BC.124+900 '!$B$13:$X$862,14,0)/1000</f>
        <v>2.6549999999999998</v>
      </c>
      <c r="I52" s="118">
        <f>VLOOKUP($A52,'BC.124+900 '!$B$13:$X$862,15,0)/1000</f>
        <v>-0.34499999999999997</v>
      </c>
      <c r="J52" s="118">
        <f>VLOOKUP($A52,'BC.124+900 '!$B$13:$X$862,20,0)/1000</f>
        <v>2.67</v>
      </c>
      <c r="K52" s="118">
        <f>VLOOKUP($A52,'BC.124+900 '!$B$13:$X$862,21,0)/1000</f>
        <v>-0.33</v>
      </c>
      <c r="L52" s="117">
        <f t="shared" si="5"/>
        <v>-234</v>
      </c>
      <c r="M52" s="117">
        <f t="shared" si="6"/>
        <v>-221.99999999999997</v>
      </c>
      <c r="N52" s="117">
        <f t="shared" si="7"/>
        <v>-217.00000000000003</v>
      </c>
      <c r="O52" s="117"/>
      <c r="P52" s="123"/>
      <c r="Q52" s="122"/>
      <c r="R52" s="121"/>
      <c r="S52" s="120"/>
      <c r="T52" s="120"/>
    </row>
    <row r="53" spans="1:20" ht="14.4" customHeight="1">
      <c r="A53" s="74">
        <f>'BC.124+900 '!B53</f>
        <v>45361</v>
      </c>
      <c r="B53" s="117">
        <v>41</v>
      </c>
      <c r="C53" s="118">
        <f>'BC.124+900 '!M53/1000</f>
        <v>1.194</v>
      </c>
      <c r="D53" s="118">
        <f>'BC.124+900 '!AA53</f>
        <v>1.5189999999999999</v>
      </c>
      <c r="E53" s="119">
        <f t="shared" si="4"/>
        <v>1.4219999999999999</v>
      </c>
      <c r="F53" s="118">
        <f>VLOOKUP($A53,'BC.124+900 '!$B$13:$X$862,8,0)/1000</f>
        <v>2.6349999999999998</v>
      </c>
      <c r="G53" s="118">
        <f>VLOOKUP($A53,'BC.124+900 '!$B$13:$X$862,9,0)/1000</f>
        <v>-0.36499999999999999</v>
      </c>
      <c r="H53" s="118">
        <f>VLOOKUP($A53,'BC.124+900 '!$B$13:$X$862,14,0)/1000</f>
        <v>2.649</v>
      </c>
      <c r="I53" s="118">
        <f>VLOOKUP($A53,'BC.124+900 '!$B$13:$X$862,15,0)/1000</f>
        <v>-0.35099999999999998</v>
      </c>
      <c r="J53" s="118">
        <f>VLOOKUP($A53,'BC.124+900 '!$B$13:$X$862,20,0)/1000</f>
        <v>2.665</v>
      </c>
      <c r="K53" s="118">
        <f>VLOOKUP($A53,'BC.124+900 '!$B$13:$X$862,21,0)/1000</f>
        <v>-0.33500000000000002</v>
      </c>
      <c r="L53" s="117">
        <f t="shared" si="5"/>
        <v>-244</v>
      </c>
      <c r="M53" s="117">
        <f t="shared" si="6"/>
        <v>-227.99999999999997</v>
      </c>
      <c r="N53" s="117">
        <f t="shared" si="7"/>
        <v>-222.00000000000003</v>
      </c>
      <c r="O53" s="117"/>
      <c r="P53" s="123"/>
      <c r="Q53" s="122"/>
      <c r="R53" s="121"/>
      <c r="S53" s="120"/>
      <c r="T53" s="120"/>
    </row>
    <row r="54" spans="1:20" ht="14.4" customHeight="1">
      <c r="A54" s="74">
        <f>'BC.124+900 '!B54</f>
        <v>45362</v>
      </c>
      <c r="B54" s="117">
        <v>42</v>
      </c>
      <c r="C54" s="118">
        <f>'BC.124+900 '!M54/1000</f>
        <v>1.1890000000000001</v>
      </c>
      <c r="D54" s="118">
        <f>'BC.124+900 '!AA54</f>
        <v>1.5189999999999999</v>
      </c>
      <c r="E54" s="119">
        <f t="shared" si="4"/>
        <v>1.4220000000000002</v>
      </c>
      <c r="F54" s="118">
        <f>VLOOKUP($A54,'BC.124+900 '!$B$13:$X$862,8,0)/1000</f>
        <v>2.625</v>
      </c>
      <c r="G54" s="118">
        <f>VLOOKUP($A54,'BC.124+900 '!$B$13:$X$862,9,0)/1000</f>
        <v>-0.375</v>
      </c>
      <c r="H54" s="118">
        <f>VLOOKUP($A54,'BC.124+900 '!$B$13:$X$862,14,0)/1000</f>
        <v>2.6440000000000001</v>
      </c>
      <c r="I54" s="118">
        <f>VLOOKUP($A54,'BC.124+900 '!$B$13:$X$862,15,0)/1000</f>
        <v>-0.35599999999999998</v>
      </c>
      <c r="J54" s="118">
        <f>VLOOKUP($A54,'BC.124+900 '!$B$13:$X$862,20,0)/1000</f>
        <v>2.66</v>
      </c>
      <c r="K54" s="118">
        <f>VLOOKUP($A54,'BC.124+900 '!$B$13:$X$862,21,0)/1000</f>
        <v>-0.34</v>
      </c>
      <c r="L54" s="117">
        <f t="shared" si="5"/>
        <v>-254</v>
      </c>
      <c r="M54" s="117">
        <f t="shared" si="6"/>
        <v>-232.99999999999997</v>
      </c>
      <c r="N54" s="117">
        <f t="shared" si="7"/>
        <v>-227.00000000000003</v>
      </c>
      <c r="O54" s="117"/>
      <c r="P54" s="123"/>
      <c r="Q54" s="122"/>
      <c r="R54" s="121"/>
      <c r="S54" s="120"/>
      <c r="T54" s="120"/>
    </row>
    <row r="55" spans="1:20" ht="14.4" customHeight="1">
      <c r="A55" s="74">
        <f>'BC.124+900 '!B55</f>
        <v>45363</v>
      </c>
      <c r="B55" s="117">
        <v>43</v>
      </c>
      <c r="C55" s="118">
        <f>'BC.124+900 '!M55/1000</f>
        <v>1.1830000000000001</v>
      </c>
      <c r="D55" s="118">
        <f>'BC.124+900 '!AA55</f>
        <v>1.5189999999999999</v>
      </c>
      <c r="E55" s="119">
        <f t="shared" si="4"/>
        <v>1.4220000000000002</v>
      </c>
      <c r="F55" s="118">
        <f>VLOOKUP($A55,'BC.124+900 '!$B$13:$X$862,8,0)/1000</f>
        <v>2.6150000000000002</v>
      </c>
      <c r="G55" s="118">
        <f>VLOOKUP($A55,'BC.124+900 '!$B$13:$X$862,9,0)/1000</f>
        <v>-0.38500000000000001</v>
      </c>
      <c r="H55" s="118">
        <f>VLOOKUP($A55,'BC.124+900 '!$B$13:$X$862,14,0)/1000</f>
        <v>2.6379999999999999</v>
      </c>
      <c r="I55" s="118">
        <f>VLOOKUP($A55,'BC.124+900 '!$B$13:$X$862,15,0)/1000</f>
        <v>-0.36199999999999999</v>
      </c>
      <c r="J55" s="118">
        <f>VLOOKUP($A55,'BC.124+900 '!$B$13:$X$862,20,0)/1000</f>
        <v>2.6560000000000001</v>
      </c>
      <c r="K55" s="118">
        <f>VLOOKUP($A55,'BC.124+900 '!$B$13:$X$862,21,0)/1000</f>
        <v>-0.34399999999999997</v>
      </c>
      <c r="L55" s="117">
        <f t="shared" si="5"/>
        <v>-264</v>
      </c>
      <c r="M55" s="117">
        <f t="shared" si="6"/>
        <v>-239</v>
      </c>
      <c r="N55" s="117">
        <f t="shared" si="7"/>
        <v>-230.99999999999997</v>
      </c>
      <c r="O55" s="117"/>
      <c r="P55" s="123"/>
      <c r="Q55" s="122"/>
      <c r="R55" s="121"/>
      <c r="S55" s="120"/>
      <c r="T55" s="120"/>
    </row>
    <row r="56" spans="1:20" ht="14.4" customHeight="1">
      <c r="A56" s="74">
        <f>'BC.124+900 '!B56</f>
        <v>45364</v>
      </c>
      <c r="B56" s="117">
        <v>44</v>
      </c>
      <c r="C56" s="118">
        <f>'BC.124+900 '!M56/1000</f>
        <v>1.1779999999999999</v>
      </c>
      <c r="D56" s="118">
        <f>'BC.124+900 '!AA56</f>
        <v>1.5189999999999999</v>
      </c>
      <c r="E56" s="119">
        <f t="shared" si="4"/>
        <v>1.4219999999999999</v>
      </c>
      <c r="F56" s="118">
        <f>VLOOKUP($A56,'BC.124+900 '!$B$13:$X$862,8,0)/1000</f>
        <v>2.605</v>
      </c>
      <c r="G56" s="118">
        <f>VLOOKUP($A56,'BC.124+900 '!$B$13:$X$862,9,0)/1000</f>
        <v>-0.39500000000000002</v>
      </c>
      <c r="H56" s="118">
        <f>VLOOKUP($A56,'BC.124+900 '!$B$13:$X$862,14,0)/1000</f>
        <v>2.633</v>
      </c>
      <c r="I56" s="118">
        <f>VLOOKUP($A56,'BC.124+900 '!$B$13:$X$862,15,0)/1000</f>
        <v>-0.36699999999999999</v>
      </c>
      <c r="J56" s="118">
        <f>VLOOKUP($A56,'BC.124+900 '!$B$13:$X$862,20,0)/1000</f>
        <v>2.6509999999999998</v>
      </c>
      <c r="K56" s="118">
        <f>VLOOKUP($A56,'BC.124+900 '!$B$13:$X$862,21,0)/1000</f>
        <v>-0.34899999999999998</v>
      </c>
      <c r="L56" s="117">
        <f t="shared" si="5"/>
        <v>-274</v>
      </c>
      <c r="M56" s="117">
        <f t="shared" si="6"/>
        <v>-244</v>
      </c>
      <c r="N56" s="117">
        <f t="shared" si="7"/>
        <v>-236</v>
      </c>
      <c r="O56" s="117"/>
      <c r="P56" s="123"/>
      <c r="Q56" s="122"/>
      <c r="R56" s="121"/>
      <c r="S56" s="120"/>
      <c r="T56" s="120"/>
    </row>
    <row r="57" spans="1:20" ht="14.4" customHeight="1">
      <c r="A57" s="74">
        <f>'BC.124+900 '!B57</f>
        <v>45365</v>
      </c>
      <c r="B57" s="117">
        <v>45</v>
      </c>
      <c r="C57" s="118">
        <f>'BC.124+900 '!M57/1000</f>
        <v>1.1719999999999999</v>
      </c>
      <c r="D57" s="118">
        <f>'BC.124+900 '!AA57</f>
        <v>1.5189999999999999</v>
      </c>
      <c r="E57" s="119">
        <f t="shared" si="4"/>
        <v>1.4219999999999999</v>
      </c>
      <c r="F57" s="118">
        <f>VLOOKUP($A57,'BC.124+900 '!$B$13:$X$862,8,0)/1000</f>
        <v>2.5950000000000002</v>
      </c>
      <c r="G57" s="118">
        <f>VLOOKUP($A57,'BC.124+900 '!$B$13:$X$862,9,0)/1000</f>
        <v>-0.40500000000000003</v>
      </c>
      <c r="H57" s="118">
        <f>VLOOKUP($A57,'BC.124+900 '!$B$13:$X$862,14,0)/1000</f>
        <v>2.6269999999999998</v>
      </c>
      <c r="I57" s="118">
        <f>VLOOKUP($A57,'BC.124+900 '!$B$13:$X$862,15,0)/1000</f>
        <v>-0.373</v>
      </c>
      <c r="J57" s="118">
        <f>VLOOKUP($A57,'BC.124+900 '!$B$13:$X$862,20,0)/1000</f>
        <v>2.6469999999999998</v>
      </c>
      <c r="K57" s="118">
        <f>VLOOKUP($A57,'BC.124+900 '!$B$13:$X$862,21,0)/1000</f>
        <v>-0.35299999999999998</v>
      </c>
      <c r="L57" s="117">
        <f t="shared" si="5"/>
        <v>-284.00000000000006</v>
      </c>
      <c r="M57" s="117">
        <f t="shared" si="6"/>
        <v>-250</v>
      </c>
      <c r="N57" s="117">
        <f t="shared" si="7"/>
        <v>-240</v>
      </c>
      <c r="O57" s="117"/>
      <c r="P57" s="123"/>
      <c r="Q57" s="122"/>
      <c r="R57" s="121"/>
      <c r="S57" s="120"/>
      <c r="T57" s="120"/>
    </row>
    <row r="58" spans="1:20" ht="14.4" customHeight="1">
      <c r="A58" s="74">
        <f>'BC.124+900 '!B58</f>
        <v>45366</v>
      </c>
      <c r="B58" s="117">
        <v>46</v>
      </c>
      <c r="C58" s="118">
        <f>'BC.124+900 '!M58/1000</f>
        <v>1.167</v>
      </c>
      <c r="D58" s="118">
        <f>'BC.124+900 '!AA58</f>
        <v>1.5189999999999999</v>
      </c>
      <c r="E58" s="119">
        <f t="shared" si="4"/>
        <v>1.4220000000000002</v>
      </c>
      <c r="F58" s="118">
        <f>VLOOKUP($A58,'BC.124+900 '!$B$13:$X$862,8,0)/1000</f>
        <v>2.585</v>
      </c>
      <c r="G58" s="118">
        <f>VLOOKUP($A58,'BC.124+900 '!$B$13:$X$862,9,0)/1000</f>
        <v>-0.41499999999999998</v>
      </c>
      <c r="H58" s="118">
        <f>VLOOKUP($A58,'BC.124+900 '!$B$13:$X$862,14,0)/1000</f>
        <v>2.6219999999999999</v>
      </c>
      <c r="I58" s="118">
        <f>VLOOKUP($A58,'BC.124+900 '!$B$13:$X$862,15,0)/1000</f>
        <v>-0.378</v>
      </c>
      <c r="J58" s="118">
        <f>VLOOKUP($A58,'BC.124+900 '!$B$13:$X$862,20,0)/1000</f>
        <v>2.6419999999999999</v>
      </c>
      <c r="K58" s="118">
        <f>VLOOKUP($A58,'BC.124+900 '!$B$13:$X$862,21,0)/1000</f>
        <v>-0.35799999999999998</v>
      </c>
      <c r="L58" s="117">
        <f t="shared" si="5"/>
        <v>-294</v>
      </c>
      <c r="M58" s="117">
        <f t="shared" si="6"/>
        <v>-255</v>
      </c>
      <c r="N58" s="117">
        <f t="shared" si="7"/>
        <v>-245</v>
      </c>
      <c r="O58" s="117"/>
      <c r="P58" s="123"/>
      <c r="Q58" s="122"/>
      <c r="R58" s="121"/>
      <c r="S58" s="120"/>
      <c r="T58" s="120"/>
    </row>
    <row r="59" spans="1:20" ht="14.4" customHeight="1">
      <c r="A59" s="74">
        <f>'BC.124+900 '!B59</f>
        <v>45367</v>
      </c>
      <c r="B59" s="117">
        <v>47</v>
      </c>
      <c r="C59" s="118">
        <f>'BC.124+900 '!M59/1000</f>
        <v>1.161</v>
      </c>
      <c r="D59" s="118">
        <f>'BC.124+900 '!AA59</f>
        <v>1.5189999999999999</v>
      </c>
      <c r="E59" s="119">
        <f t="shared" si="4"/>
        <v>1.4220000000000002</v>
      </c>
      <c r="F59" s="118">
        <f>VLOOKUP($A59,'BC.124+900 '!$B$13:$X$862,8,0)/1000</f>
        <v>2.5750000000000002</v>
      </c>
      <c r="G59" s="118">
        <f>VLOOKUP($A59,'BC.124+900 '!$B$13:$X$862,9,0)/1000</f>
        <v>-0.42499999999999999</v>
      </c>
      <c r="H59" s="118">
        <f>VLOOKUP($A59,'BC.124+900 '!$B$13:$X$862,14,0)/1000</f>
        <v>2.6160000000000001</v>
      </c>
      <c r="I59" s="118">
        <f>VLOOKUP($A59,'BC.124+900 '!$B$13:$X$862,15,0)/1000</f>
        <v>-0.38400000000000001</v>
      </c>
      <c r="J59" s="118">
        <f>VLOOKUP($A59,'BC.124+900 '!$B$13:$X$862,20,0)/1000</f>
        <v>2.6379999999999999</v>
      </c>
      <c r="K59" s="118">
        <f>VLOOKUP($A59,'BC.124+900 '!$B$13:$X$862,21,0)/1000</f>
        <v>-0.36199999999999999</v>
      </c>
      <c r="L59" s="117">
        <f t="shared" si="5"/>
        <v>-304</v>
      </c>
      <c r="M59" s="117">
        <f t="shared" si="6"/>
        <v>-261</v>
      </c>
      <c r="N59" s="117">
        <f t="shared" si="7"/>
        <v>-249</v>
      </c>
      <c r="O59" s="117"/>
      <c r="P59" s="123"/>
      <c r="Q59" s="122"/>
      <c r="R59" s="121"/>
      <c r="S59" s="120"/>
      <c r="T59" s="120"/>
    </row>
    <row r="60" spans="1:20" ht="14.4" customHeight="1">
      <c r="A60" s="74">
        <f>'BC.124+900 '!B60</f>
        <v>45368</v>
      </c>
      <c r="B60" s="117">
        <v>48</v>
      </c>
      <c r="C60" s="118">
        <f>'BC.124+900 '!M60/1000</f>
        <v>1.5</v>
      </c>
      <c r="D60" s="118">
        <f>'BC.124+900 '!AA60</f>
        <v>1.8579999999999999</v>
      </c>
      <c r="E60" s="119">
        <f t="shared" si="4"/>
        <v>1.7709999999999999</v>
      </c>
      <c r="F60" s="118">
        <f>VLOOKUP($A60,'BC.124+900 '!$B$13:$X$862,8,0)/1000</f>
        <v>2.5649999999999999</v>
      </c>
      <c r="G60" s="118">
        <f>VLOOKUP($A60,'BC.124+900 '!$B$13:$X$862,9,0)/1000</f>
        <v>-0.435</v>
      </c>
      <c r="H60" s="118">
        <f>VLOOKUP($A60,'BC.124+900 '!$B$13:$X$862,14,0)/1000</f>
        <v>2.6059999999999999</v>
      </c>
      <c r="I60" s="118">
        <f>VLOOKUP($A60,'BC.124+900 '!$B$13:$X$862,15,0)/1000</f>
        <v>-0.39400000000000002</v>
      </c>
      <c r="J60" s="118">
        <f>VLOOKUP($A60,'BC.124+900 '!$B$13:$X$862,20,0)/1000</f>
        <v>2.633</v>
      </c>
      <c r="K60" s="118">
        <f>VLOOKUP($A60,'BC.124+900 '!$B$13:$X$862,21,0)/1000</f>
        <v>-0.36699999999999999</v>
      </c>
      <c r="L60" s="117">
        <f t="shared" si="5"/>
        <v>-314</v>
      </c>
      <c r="M60" s="117">
        <f t="shared" si="6"/>
        <v>-271</v>
      </c>
      <c r="N60" s="117">
        <f t="shared" si="7"/>
        <v>-254</v>
      </c>
      <c r="O60" s="117"/>
      <c r="P60" s="123"/>
      <c r="Q60" s="122"/>
      <c r="R60" s="121"/>
      <c r="S60" s="120"/>
      <c r="T60" s="120"/>
    </row>
    <row r="61" spans="1:20" ht="14.4" customHeight="1">
      <c r="A61" s="74">
        <f>'BC.124+900 '!B61</f>
        <v>45369</v>
      </c>
      <c r="B61" s="117">
        <v>49</v>
      </c>
      <c r="C61" s="118">
        <f>'BC.124+900 '!M61/1000</f>
        <v>1.49</v>
      </c>
      <c r="D61" s="118">
        <f>'BC.124+900 '!AA61</f>
        <v>1.8579999999999999</v>
      </c>
      <c r="E61" s="119">
        <f t="shared" si="4"/>
        <v>1.7709999999999999</v>
      </c>
      <c r="F61" s="118">
        <f>VLOOKUP($A61,'BC.124+900 '!$B$13:$X$862,8,0)/1000</f>
        <v>2.5550000000000002</v>
      </c>
      <c r="G61" s="118">
        <f>VLOOKUP($A61,'BC.124+900 '!$B$13:$X$862,9,0)/1000</f>
        <v>-0.44500000000000001</v>
      </c>
      <c r="H61" s="118">
        <f>VLOOKUP($A61,'BC.124+900 '!$B$13:$X$862,14,0)/1000</f>
        <v>2.5960000000000001</v>
      </c>
      <c r="I61" s="118">
        <f>VLOOKUP($A61,'BC.124+900 '!$B$13:$X$862,15,0)/1000</f>
        <v>-0.40400000000000003</v>
      </c>
      <c r="J61" s="118">
        <f>VLOOKUP($A61,'BC.124+900 '!$B$13:$X$862,20,0)/1000</f>
        <v>2.629</v>
      </c>
      <c r="K61" s="118">
        <f>VLOOKUP($A61,'BC.124+900 '!$B$13:$X$862,21,0)/1000</f>
        <v>-0.371</v>
      </c>
      <c r="L61" s="117">
        <f t="shared" si="5"/>
        <v>-324</v>
      </c>
      <c r="M61" s="117">
        <f t="shared" si="6"/>
        <v>-281</v>
      </c>
      <c r="N61" s="117">
        <f t="shared" si="7"/>
        <v>-258</v>
      </c>
      <c r="O61" s="117"/>
      <c r="P61" s="123"/>
      <c r="Q61" s="122"/>
      <c r="R61" s="121"/>
      <c r="S61" s="120"/>
      <c r="T61" s="120"/>
    </row>
    <row r="62" spans="1:20" ht="14.4" customHeight="1">
      <c r="A62" s="74">
        <f>'BC.124+900 '!B62</f>
        <v>45370</v>
      </c>
      <c r="B62" s="117">
        <v>50</v>
      </c>
      <c r="C62" s="118">
        <f>'BC.124+900 '!M62/1000</f>
        <v>1.48</v>
      </c>
      <c r="D62" s="118">
        <f>'BC.124+900 '!AA62</f>
        <v>1.8579999999999999</v>
      </c>
      <c r="E62" s="119">
        <f t="shared" si="4"/>
        <v>1.7709999999999999</v>
      </c>
      <c r="F62" s="118">
        <f>VLOOKUP($A62,'BC.124+900 '!$B$13:$X$862,8,0)/1000</f>
        <v>2.5449999999999999</v>
      </c>
      <c r="G62" s="118">
        <f>VLOOKUP($A62,'BC.124+900 '!$B$13:$X$862,9,0)/1000</f>
        <v>-0.45500000000000002</v>
      </c>
      <c r="H62" s="118">
        <f>VLOOKUP($A62,'BC.124+900 '!$B$13:$X$862,14,0)/1000</f>
        <v>2.5859999999999999</v>
      </c>
      <c r="I62" s="118">
        <f>VLOOKUP($A62,'BC.124+900 '!$B$13:$X$862,15,0)/1000</f>
        <v>-0.41399999999999998</v>
      </c>
      <c r="J62" s="118">
        <f>VLOOKUP($A62,'BC.124+900 '!$B$13:$X$862,20,0)/1000</f>
        <v>2.6240000000000001</v>
      </c>
      <c r="K62" s="118">
        <f>VLOOKUP($A62,'BC.124+900 '!$B$13:$X$862,21,0)/1000</f>
        <v>-0.376</v>
      </c>
      <c r="L62" s="117">
        <f t="shared" si="5"/>
        <v>-334</v>
      </c>
      <c r="M62" s="117">
        <f t="shared" si="6"/>
        <v>-291</v>
      </c>
      <c r="N62" s="117">
        <f t="shared" si="7"/>
        <v>-263</v>
      </c>
      <c r="O62" s="117"/>
      <c r="P62" s="123"/>
      <c r="Q62" s="122"/>
      <c r="R62" s="121"/>
      <c r="S62" s="120"/>
      <c r="T62" s="120"/>
    </row>
    <row r="63" spans="1:20" ht="14.4" customHeight="1">
      <c r="A63" s="74">
        <f>'BC.124+900 '!B63</f>
        <v>45371</v>
      </c>
      <c r="B63" s="117">
        <v>51</v>
      </c>
      <c r="C63" s="118">
        <f>'BC.124+900 '!M63/1000</f>
        <v>1.47</v>
      </c>
      <c r="D63" s="118">
        <f>'BC.124+900 '!AA63</f>
        <v>1.8579999999999999</v>
      </c>
      <c r="E63" s="119">
        <f t="shared" si="4"/>
        <v>1.7709999999999999</v>
      </c>
      <c r="F63" s="118">
        <f>VLOOKUP($A63,'BC.124+900 '!$B$13:$X$862,8,0)/1000</f>
        <v>2.5350000000000001</v>
      </c>
      <c r="G63" s="118">
        <f>VLOOKUP($A63,'BC.124+900 '!$B$13:$X$862,9,0)/1000</f>
        <v>-0.46500000000000002</v>
      </c>
      <c r="H63" s="118">
        <f>VLOOKUP($A63,'BC.124+900 '!$B$13:$X$862,14,0)/1000</f>
        <v>2.5760000000000001</v>
      </c>
      <c r="I63" s="118">
        <f>VLOOKUP($A63,'BC.124+900 '!$B$13:$X$862,15,0)/1000</f>
        <v>-0.42399999999999999</v>
      </c>
      <c r="J63" s="118">
        <f>VLOOKUP($A63,'BC.124+900 '!$B$13:$X$862,20,0)/1000</f>
        <v>2.621</v>
      </c>
      <c r="K63" s="118">
        <f>VLOOKUP($A63,'BC.124+900 '!$B$13:$X$862,21,0)/1000</f>
        <v>-0.379</v>
      </c>
      <c r="L63" s="117">
        <f t="shared" si="5"/>
        <v>-344</v>
      </c>
      <c r="M63" s="117">
        <f t="shared" si="6"/>
        <v>-301</v>
      </c>
      <c r="N63" s="117">
        <f t="shared" si="7"/>
        <v>-266</v>
      </c>
      <c r="O63" s="117"/>
      <c r="P63" s="123"/>
      <c r="Q63" s="122"/>
      <c r="R63" s="121"/>
      <c r="S63" s="120"/>
      <c r="T63" s="120"/>
    </row>
    <row r="64" spans="1:20" ht="14.4" customHeight="1">
      <c r="A64" s="74">
        <f>'BC.124+900 '!B64</f>
        <v>45372</v>
      </c>
      <c r="B64" s="117">
        <v>52</v>
      </c>
      <c r="C64" s="118">
        <f>'BC.124+900 '!M64/1000</f>
        <v>1.46</v>
      </c>
      <c r="D64" s="118">
        <f>'BC.124+900 '!AA64</f>
        <v>1.8579999999999999</v>
      </c>
      <c r="E64" s="119">
        <f t="shared" si="4"/>
        <v>1.7709999999999999</v>
      </c>
      <c r="F64" s="118">
        <f>VLOOKUP($A64,'BC.124+900 '!$B$13:$X$862,8,0)/1000</f>
        <v>2.5249999999999999</v>
      </c>
      <c r="G64" s="118">
        <f>VLOOKUP($A64,'BC.124+900 '!$B$13:$X$862,9,0)/1000</f>
        <v>-0.47499999999999998</v>
      </c>
      <c r="H64" s="118">
        <f>VLOOKUP($A64,'BC.124+900 '!$B$13:$X$862,14,0)/1000</f>
        <v>2.5659999999999998</v>
      </c>
      <c r="I64" s="118">
        <f>VLOOKUP($A64,'BC.124+900 '!$B$13:$X$862,15,0)/1000</f>
        <v>-0.434</v>
      </c>
      <c r="J64" s="118">
        <f>VLOOKUP($A64,'BC.124+900 '!$B$13:$X$862,20,0)/1000</f>
        <v>2.6160000000000001</v>
      </c>
      <c r="K64" s="118">
        <f>VLOOKUP($A64,'BC.124+900 '!$B$13:$X$862,21,0)/1000</f>
        <v>-0.38400000000000001</v>
      </c>
      <c r="L64" s="117">
        <f t="shared" si="5"/>
        <v>-354</v>
      </c>
      <c r="M64" s="117">
        <f t="shared" si="6"/>
        <v>-311</v>
      </c>
      <c r="N64" s="117">
        <f t="shared" si="7"/>
        <v>-271</v>
      </c>
      <c r="O64" s="117"/>
      <c r="P64" s="123"/>
      <c r="Q64" s="122"/>
      <c r="R64" s="121"/>
      <c r="S64" s="120"/>
      <c r="T64" s="120"/>
    </row>
    <row r="65" spans="1:20" ht="14.4" customHeight="1">
      <c r="A65" s="74">
        <f>'BC.124+900 '!B65</f>
        <v>45373</v>
      </c>
      <c r="B65" s="117">
        <v>53</v>
      </c>
      <c r="C65" s="118">
        <f>'BC.124+900 '!M65/1000</f>
        <v>1.45</v>
      </c>
      <c r="D65" s="118">
        <f>'BC.124+900 '!AA65</f>
        <v>1.8579999999999999</v>
      </c>
      <c r="E65" s="119">
        <f t="shared" si="4"/>
        <v>1.7709999999999999</v>
      </c>
      <c r="F65" s="118">
        <f>VLOOKUP($A65,'BC.124+900 '!$B$13:$X$862,8,0)/1000</f>
        <v>2.5150000000000001</v>
      </c>
      <c r="G65" s="118">
        <f>VLOOKUP($A65,'BC.124+900 '!$B$13:$X$862,9,0)/1000</f>
        <v>-0.48499999999999999</v>
      </c>
      <c r="H65" s="118">
        <f>VLOOKUP($A65,'BC.124+900 '!$B$13:$X$862,14,0)/1000</f>
        <v>2.556</v>
      </c>
      <c r="I65" s="118">
        <f>VLOOKUP($A65,'BC.124+900 '!$B$13:$X$862,15,0)/1000</f>
        <v>-0.44400000000000001</v>
      </c>
      <c r="J65" s="118">
        <f>VLOOKUP($A65,'BC.124+900 '!$B$13:$X$862,20,0)/1000</f>
        <v>2.6120000000000001</v>
      </c>
      <c r="K65" s="118">
        <f>VLOOKUP($A65,'BC.124+900 '!$B$13:$X$862,21,0)/1000</f>
        <v>-0.38800000000000001</v>
      </c>
      <c r="L65" s="117">
        <f t="shared" si="5"/>
        <v>-364</v>
      </c>
      <c r="M65" s="117">
        <f t="shared" si="6"/>
        <v>-321</v>
      </c>
      <c r="N65" s="117">
        <f t="shared" si="7"/>
        <v>-275</v>
      </c>
      <c r="O65" s="117"/>
      <c r="P65" s="123"/>
      <c r="Q65" s="122"/>
      <c r="R65" s="121"/>
      <c r="S65" s="120"/>
      <c r="T65" s="120"/>
    </row>
    <row r="66" spans="1:20" ht="14.4" customHeight="1">
      <c r="A66" s="74">
        <f>'BC.124+900 '!B66</f>
        <v>45374</v>
      </c>
      <c r="B66" s="117">
        <v>54</v>
      </c>
      <c r="C66" s="118">
        <f>'BC.124+900 '!M66/1000</f>
        <v>1.44</v>
      </c>
      <c r="D66" s="118">
        <f>'BC.124+900 '!AA66</f>
        <v>1.8579999999999999</v>
      </c>
      <c r="E66" s="119">
        <f t="shared" si="4"/>
        <v>1.7709999999999999</v>
      </c>
      <c r="F66" s="118">
        <f>VLOOKUP($A66,'BC.124+900 '!$B$13:$X$862,8,0)/1000</f>
        <v>2.5049999999999999</v>
      </c>
      <c r="G66" s="118">
        <f>VLOOKUP($A66,'BC.124+900 '!$B$13:$X$862,9,0)/1000</f>
        <v>-0.495</v>
      </c>
      <c r="H66" s="118">
        <f>VLOOKUP($A66,'BC.124+900 '!$B$13:$X$862,14,0)/1000</f>
        <v>2.5459999999999998</v>
      </c>
      <c r="I66" s="118">
        <f>VLOOKUP($A66,'BC.124+900 '!$B$13:$X$862,15,0)/1000</f>
        <v>-0.45400000000000001</v>
      </c>
      <c r="J66" s="118">
        <f>VLOOKUP($A66,'BC.124+900 '!$B$13:$X$862,20,0)/1000</f>
        <v>2.6070000000000002</v>
      </c>
      <c r="K66" s="118">
        <f>VLOOKUP($A66,'BC.124+900 '!$B$13:$X$862,21,0)/1000</f>
        <v>-0.39300000000000002</v>
      </c>
      <c r="L66" s="117">
        <f t="shared" si="5"/>
        <v>-374</v>
      </c>
      <c r="M66" s="117">
        <f t="shared" si="6"/>
        <v>-331</v>
      </c>
      <c r="N66" s="117">
        <f t="shared" si="7"/>
        <v>-280</v>
      </c>
      <c r="O66" s="117"/>
      <c r="P66" s="123"/>
      <c r="Q66" s="122"/>
      <c r="R66" s="121"/>
      <c r="S66" s="120"/>
      <c r="T66" s="120"/>
    </row>
    <row r="67" spans="1:20" ht="14.4" customHeight="1">
      <c r="A67" s="74">
        <f>'BC.124+900 '!B67</f>
        <v>45375</v>
      </c>
      <c r="B67" s="117">
        <v>55</v>
      </c>
      <c r="C67" s="118">
        <f>'BC.124+900 '!M67/1000</f>
        <v>1.43</v>
      </c>
      <c r="D67" s="118">
        <f>'BC.124+900 '!AA67</f>
        <v>1.8579999999999999</v>
      </c>
      <c r="E67" s="119">
        <f t="shared" si="4"/>
        <v>1.7709999999999999</v>
      </c>
      <c r="F67" s="118">
        <f>VLOOKUP($A67,'BC.124+900 '!$B$13:$X$862,8,0)/1000</f>
        <v>2.4950000000000001</v>
      </c>
      <c r="G67" s="118">
        <f>VLOOKUP($A67,'BC.124+900 '!$B$13:$X$862,9,0)/1000</f>
        <v>-0.505</v>
      </c>
      <c r="H67" s="118">
        <f>VLOOKUP($A67,'BC.124+900 '!$B$13:$X$862,14,0)/1000</f>
        <v>2.536</v>
      </c>
      <c r="I67" s="118">
        <f>VLOOKUP($A67,'BC.124+900 '!$B$13:$X$862,15,0)/1000</f>
        <v>-0.46400000000000002</v>
      </c>
      <c r="J67" s="118">
        <f>VLOOKUP($A67,'BC.124+900 '!$B$13:$X$862,20,0)/1000</f>
        <v>2.6030000000000002</v>
      </c>
      <c r="K67" s="118">
        <f>VLOOKUP($A67,'BC.124+900 '!$B$13:$X$862,21,0)/1000</f>
        <v>-0.39700000000000002</v>
      </c>
      <c r="L67" s="117">
        <f t="shared" si="5"/>
        <v>-384</v>
      </c>
      <c r="M67" s="117">
        <f t="shared" si="6"/>
        <v>-341</v>
      </c>
      <c r="N67" s="117">
        <f t="shared" si="7"/>
        <v>-284.00000000000006</v>
      </c>
      <c r="O67" s="117"/>
      <c r="P67" s="123"/>
      <c r="Q67" s="122"/>
      <c r="R67" s="121"/>
      <c r="S67" s="120"/>
      <c r="T67" s="120"/>
    </row>
    <row r="68" spans="1:20" ht="14.4" customHeight="1">
      <c r="A68" s="74">
        <f>'BC.124+900 '!B68</f>
        <v>45376</v>
      </c>
      <c r="B68" s="117">
        <v>56</v>
      </c>
      <c r="C68" s="118">
        <f>'BC.124+900 '!M68/1000</f>
        <v>1.42</v>
      </c>
      <c r="D68" s="118">
        <f>'BC.124+900 '!AA68</f>
        <v>1.8579999999999999</v>
      </c>
      <c r="E68" s="119">
        <f t="shared" si="4"/>
        <v>1.7709999999999999</v>
      </c>
      <c r="F68" s="118">
        <f>VLOOKUP($A68,'BC.124+900 '!$B$13:$X$862,8,0)/1000</f>
        <v>2.4849999999999999</v>
      </c>
      <c r="G68" s="118">
        <f>VLOOKUP($A68,'BC.124+900 '!$B$13:$X$862,9,0)/1000</f>
        <v>-0.51500000000000001</v>
      </c>
      <c r="H68" s="118">
        <f>VLOOKUP($A68,'BC.124+900 '!$B$13:$X$862,14,0)/1000</f>
        <v>2.5259999999999998</v>
      </c>
      <c r="I68" s="118">
        <f>VLOOKUP($A68,'BC.124+900 '!$B$13:$X$862,15,0)/1000</f>
        <v>-0.47399999999999998</v>
      </c>
      <c r="J68" s="118">
        <f>VLOOKUP($A68,'BC.124+900 '!$B$13:$X$862,20,0)/1000</f>
        <v>2.6</v>
      </c>
      <c r="K68" s="118">
        <f>VLOOKUP($A68,'BC.124+900 '!$B$13:$X$862,21,0)/1000</f>
        <v>-0.4</v>
      </c>
      <c r="L68" s="117">
        <f t="shared" si="5"/>
        <v>-394</v>
      </c>
      <c r="M68" s="117">
        <f t="shared" si="6"/>
        <v>-351</v>
      </c>
      <c r="N68" s="117">
        <f t="shared" si="7"/>
        <v>-287.00000000000006</v>
      </c>
      <c r="O68" s="117"/>
      <c r="P68" s="123"/>
      <c r="Q68" s="122"/>
      <c r="R68" s="121"/>
      <c r="S68" s="120"/>
      <c r="T68" s="120"/>
    </row>
    <row r="69" spans="1:20" ht="14.4" customHeight="1">
      <c r="A69" s="74">
        <f>'BC.124+900 '!B69</f>
        <v>45377</v>
      </c>
      <c r="B69" s="117">
        <v>57</v>
      </c>
      <c r="C69" s="118">
        <f>'BC.124+900 '!M69/1000</f>
        <v>1.8</v>
      </c>
      <c r="D69" s="118">
        <f>'BC.124+900 '!AA69</f>
        <v>2.238</v>
      </c>
      <c r="E69" s="119">
        <f t="shared" si="4"/>
        <v>2.161</v>
      </c>
      <c r="F69" s="118">
        <f>VLOOKUP($A69,'BC.124+900 '!$B$13:$X$862,8,0)/1000</f>
        <v>2.4750000000000001</v>
      </c>
      <c r="G69" s="118">
        <f>VLOOKUP($A69,'BC.124+900 '!$B$13:$X$862,9,0)/1000</f>
        <v>-0.52500000000000002</v>
      </c>
      <c r="H69" s="118">
        <f>VLOOKUP($A69,'BC.124+900 '!$B$13:$X$862,14,0)/1000</f>
        <v>2.516</v>
      </c>
      <c r="I69" s="118">
        <f>VLOOKUP($A69,'BC.124+900 '!$B$13:$X$862,15,0)/1000</f>
        <v>-0.48399999999999999</v>
      </c>
      <c r="J69" s="118">
        <f>VLOOKUP($A69,'BC.124+900 '!$B$13:$X$862,20,0)/1000</f>
        <v>2.5960000000000001</v>
      </c>
      <c r="K69" s="118">
        <f>VLOOKUP($A69,'BC.124+900 '!$B$13:$X$862,21,0)/1000</f>
        <v>-0.40400000000000003</v>
      </c>
      <c r="L69" s="117">
        <f t="shared" si="5"/>
        <v>-404</v>
      </c>
      <c r="M69" s="117">
        <f t="shared" si="6"/>
        <v>-361</v>
      </c>
      <c r="N69" s="117">
        <f t="shared" si="7"/>
        <v>-291.00000000000006</v>
      </c>
      <c r="O69" s="117"/>
      <c r="P69" s="123"/>
      <c r="Q69" s="122"/>
      <c r="R69" s="121"/>
      <c r="S69" s="120"/>
      <c r="T69" s="120"/>
    </row>
    <row r="70" spans="1:20" ht="14.4" customHeight="1">
      <c r="A70" s="74">
        <f>'BC.124+900 '!B70</f>
        <v>45380</v>
      </c>
      <c r="B70" s="117">
        <v>58</v>
      </c>
      <c r="C70" s="118">
        <f>'BC.124+900 '!M70/1000</f>
        <v>1.79</v>
      </c>
      <c r="D70" s="118">
        <f>'BC.124+900 '!AA70</f>
        <v>2.238</v>
      </c>
      <c r="E70" s="119">
        <f t="shared" si="4"/>
        <v>2.161</v>
      </c>
      <c r="F70" s="118">
        <f>VLOOKUP($A70,'BC.124+900 '!$B$13:$X$862,8,0)/1000</f>
        <v>2.4649999999999999</v>
      </c>
      <c r="G70" s="118">
        <f>VLOOKUP($A70,'BC.124+900 '!$B$13:$X$862,9,0)/1000</f>
        <v>-0.53500000000000003</v>
      </c>
      <c r="H70" s="118">
        <f>VLOOKUP($A70,'BC.124+900 '!$B$13:$X$862,14,0)/1000</f>
        <v>2.5059999999999998</v>
      </c>
      <c r="I70" s="118">
        <f>VLOOKUP($A70,'BC.124+900 '!$B$13:$X$862,15,0)/1000</f>
        <v>-0.49399999999999999</v>
      </c>
      <c r="J70" s="118">
        <f>VLOOKUP($A70,'BC.124+900 '!$B$13:$X$862,20,0)/1000</f>
        <v>2.5859999999999999</v>
      </c>
      <c r="K70" s="118">
        <f>VLOOKUP($A70,'BC.124+900 '!$B$13:$X$862,21,0)/1000</f>
        <v>-0.41399999999999998</v>
      </c>
      <c r="L70" s="117">
        <f t="shared" si="5"/>
        <v>-414.00000000000006</v>
      </c>
      <c r="M70" s="117">
        <f t="shared" si="6"/>
        <v>-371</v>
      </c>
      <c r="N70" s="117">
        <f t="shared" si="7"/>
        <v>-301</v>
      </c>
      <c r="O70" s="117"/>
      <c r="P70" s="123"/>
      <c r="Q70" s="122"/>
      <c r="R70" s="121"/>
      <c r="S70" s="120"/>
      <c r="T70" s="120"/>
    </row>
    <row r="71" spans="1:20" ht="14.4" customHeight="1">
      <c r="A71" s="74">
        <f>'BC.124+900 '!B71</f>
        <v>45384</v>
      </c>
      <c r="B71" s="117">
        <v>59</v>
      </c>
      <c r="C71" s="118">
        <f>'BC.124+900 '!M71/1000</f>
        <v>1.774</v>
      </c>
      <c r="D71" s="118">
        <f>'BC.124+900 '!AA71</f>
        <v>2.238</v>
      </c>
      <c r="E71" s="119">
        <f t="shared" si="4"/>
        <v>2.161</v>
      </c>
      <c r="F71" s="118">
        <f>VLOOKUP($A71,'BC.124+900 '!$B$13:$X$862,8,0)/1000</f>
        <v>2.4510000000000001</v>
      </c>
      <c r="G71" s="118">
        <f>VLOOKUP($A71,'BC.124+900 '!$B$13:$X$862,9,0)/1000</f>
        <v>-0.54900000000000004</v>
      </c>
      <c r="H71" s="118">
        <f>VLOOKUP($A71,'BC.124+900 '!$B$13:$X$862,14,0)/1000</f>
        <v>2.4900000000000002</v>
      </c>
      <c r="I71" s="118">
        <f>VLOOKUP($A71,'BC.124+900 '!$B$13:$X$862,15,0)/1000</f>
        <v>-0.51</v>
      </c>
      <c r="J71" s="118">
        <f>VLOOKUP($A71,'BC.124+900 '!$B$13:$X$862,20,0)/1000</f>
        <v>2.5720000000000001</v>
      </c>
      <c r="K71" s="118">
        <f>VLOOKUP($A71,'BC.124+900 '!$B$13:$X$862,21,0)/1000</f>
        <v>-0.42799999999999999</v>
      </c>
      <c r="L71" s="117">
        <f t="shared" si="5"/>
        <v>-428.00000000000006</v>
      </c>
      <c r="M71" s="117">
        <f t="shared" si="6"/>
        <v>-387</v>
      </c>
      <c r="N71" s="117">
        <f t="shared" si="7"/>
        <v>-315</v>
      </c>
      <c r="O71" s="117"/>
      <c r="P71" s="123"/>
      <c r="Q71" s="122"/>
      <c r="R71" s="121"/>
      <c r="S71" s="120"/>
      <c r="T71" s="120"/>
    </row>
    <row r="72" spans="1:20" ht="14.4" customHeight="1">
      <c r="A72" s="74">
        <f>'BC.124+900 '!B72</f>
        <v>45391</v>
      </c>
      <c r="B72" s="117">
        <v>60</v>
      </c>
      <c r="C72" s="118">
        <f>'BC.124+900 '!M72/1000</f>
        <v>1.7430000000000001</v>
      </c>
      <c r="D72" s="118">
        <f>'BC.124+900 '!AA72</f>
        <v>2.238</v>
      </c>
      <c r="E72" s="119">
        <f t="shared" si="4"/>
        <v>2.161</v>
      </c>
      <c r="F72" s="118">
        <f>VLOOKUP($A72,'BC.124+900 '!$B$13:$X$862,8,0)/1000</f>
        <v>2.4359999999999999</v>
      </c>
      <c r="G72" s="118">
        <f>VLOOKUP($A72,'BC.124+900 '!$B$13:$X$862,9,0)/1000</f>
        <v>-0.56399999999999995</v>
      </c>
      <c r="H72" s="118">
        <f>VLOOKUP($A72,'BC.124+900 '!$B$13:$X$862,14,0)/1000</f>
        <v>2.4590000000000001</v>
      </c>
      <c r="I72" s="118">
        <f>VLOOKUP($A72,'BC.124+900 '!$B$13:$X$862,15,0)/1000</f>
        <v>-0.54100000000000004</v>
      </c>
      <c r="J72" s="118">
        <f>VLOOKUP($A72,'BC.124+900 '!$B$13:$X$862,20,0)/1000</f>
        <v>2.5459999999999998</v>
      </c>
      <c r="K72" s="118">
        <f>VLOOKUP($A72,'BC.124+900 '!$B$13:$X$862,21,0)/1000</f>
        <v>-0.45400000000000001</v>
      </c>
      <c r="L72" s="117">
        <f t="shared" si="5"/>
        <v>-442.99999999999994</v>
      </c>
      <c r="M72" s="117">
        <f t="shared" si="6"/>
        <v>-418.00000000000006</v>
      </c>
      <c r="N72" s="117">
        <f t="shared" si="7"/>
        <v>-341</v>
      </c>
      <c r="O72" s="117"/>
      <c r="P72" s="123"/>
      <c r="Q72" s="122"/>
      <c r="R72" s="121"/>
      <c r="S72" s="120"/>
      <c r="T72" s="120"/>
    </row>
    <row r="73" spans="1:20" ht="14.4" customHeight="1">
      <c r="A73" s="74">
        <f>'BC.124+900 '!B73</f>
        <v>45398</v>
      </c>
      <c r="B73" s="117">
        <v>61</v>
      </c>
      <c r="C73" s="118">
        <f>'BC.124+900 '!M73/1000</f>
        <v>1.7150000000000001</v>
      </c>
      <c r="D73" s="118">
        <f>'BC.124+900 '!AA73</f>
        <v>2.238</v>
      </c>
      <c r="E73" s="119">
        <f t="shared" si="4"/>
        <v>2.161</v>
      </c>
      <c r="F73" s="118">
        <f>VLOOKUP($A73,'BC.124+900 '!$B$13:$X$862,8,0)/1000</f>
        <v>2.4159999999999999</v>
      </c>
      <c r="G73" s="118">
        <f>VLOOKUP($A73,'BC.124+900 '!$B$13:$X$862,9,0)/1000</f>
        <v>-0.58399999999999996</v>
      </c>
      <c r="H73" s="118">
        <f>VLOOKUP($A73,'BC.124+900 '!$B$13:$X$862,14,0)/1000</f>
        <v>2.431</v>
      </c>
      <c r="I73" s="118">
        <f>VLOOKUP($A73,'BC.124+900 '!$B$13:$X$862,15,0)/1000</f>
        <v>-0.56899999999999995</v>
      </c>
      <c r="J73" s="118">
        <f>VLOOKUP($A73,'BC.124+900 '!$B$13:$X$862,20,0)/1000</f>
        <v>2.5230000000000001</v>
      </c>
      <c r="K73" s="118">
        <f>VLOOKUP($A73,'BC.124+900 '!$B$13:$X$862,21,0)/1000</f>
        <v>-0.47699999999999998</v>
      </c>
      <c r="L73" s="117">
        <f t="shared" si="5"/>
        <v>-462.99999999999994</v>
      </c>
      <c r="M73" s="117">
        <f t="shared" si="6"/>
        <v>-445.99999999999994</v>
      </c>
      <c r="N73" s="117">
        <f t="shared" si="7"/>
        <v>-364</v>
      </c>
      <c r="O73" s="117"/>
      <c r="P73" s="123"/>
      <c r="Q73" s="122"/>
      <c r="R73" s="121"/>
      <c r="S73" s="120"/>
      <c r="T73" s="120"/>
    </row>
    <row r="74" spans="1:20" ht="14.4" customHeight="1">
      <c r="A74" s="74">
        <f>'BC.124+900 '!B74</f>
        <v>45405</v>
      </c>
      <c r="B74" s="117">
        <v>62</v>
      </c>
      <c r="C74" s="118">
        <f>'BC.124+900 '!M74/1000</f>
        <v>1.6879999999999999</v>
      </c>
      <c r="D74" s="118">
        <f>'BC.124+900 '!AA74</f>
        <v>2.238</v>
      </c>
      <c r="E74" s="119">
        <f t="shared" si="4"/>
        <v>2.161</v>
      </c>
      <c r="F74" s="118">
        <f>VLOOKUP($A74,'BC.124+900 '!$B$13:$X$862,8,0)/1000</f>
        <v>2.3969999999999998</v>
      </c>
      <c r="G74" s="118">
        <f>VLOOKUP($A74,'BC.124+900 '!$B$13:$X$862,9,0)/1000</f>
        <v>-0.60299999999999998</v>
      </c>
      <c r="H74" s="118">
        <f>VLOOKUP($A74,'BC.124+900 '!$B$13:$X$862,14,0)/1000</f>
        <v>2.4039999999999999</v>
      </c>
      <c r="I74" s="118">
        <f>VLOOKUP($A74,'BC.124+900 '!$B$13:$X$862,15,0)/1000</f>
        <v>-0.59599999999999997</v>
      </c>
      <c r="J74" s="118">
        <f>VLOOKUP($A74,'BC.124+900 '!$B$13:$X$862,20,0)/1000</f>
        <v>2.4990000000000001</v>
      </c>
      <c r="K74" s="118">
        <f>VLOOKUP($A74,'BC.124+900 '!$B$13:$X$862,21,0)/1000</f>
        <v>-0.501</v>
      </c>
      <c r="L74" s="117">
        <f t="shared" si="5"/>
        <v>-482</v>
      </c>
      <c r="M74" s="117">
        <f t="shared" si="6"/>
        <v>-473</v>
      </c>
      <c r="N74" s="117">
        <f t="shared" si="7"/>
        <v>-388</v>
      </c>
      <c r="O74" s="117"/>
      <c r="P74" s="123"/>
      <c r="Q74" s="122"/>
      <c r="R74" s="121"/>
      <c r="S74" s="120"/>
      <c r="T74" s="120"/>
    </row>
    <row r="75" spans="1:20" ht="14.4" customHeight="1">
      <c r="A75" s="74">
        <f>'BC.124+900 '!B75</f>
        <v>45412</v>
      </c>
      <c r="B75" s="117">
        <v>63</v>
      </c>
      <c r="C75" s="118">
        <f>'BC.124+900 '!M75/1000</f>
        <v>1.6579999999999999</v>
      </c>
      <c r="D75" s="118">
        <f>'BC.124+900 '!AA75</f>
        <v>2.238</v>
      </c>
      <c r="E75" s="119">
        <f t="shared" si="4"/>
        <v>2.161</v>
      </c>
      <c r="F75" s="118">
        <f>VLOOKUP($A75,'BC.124+900 '!$B$13:$X$862,8,0)/1000</f>
        <v>2.38</v>
      </c>
      <c r="G75" s="118">
        <f>VLOOKUP($A75,'BC.124+900 '!$B$13:$X$862,9,0)/1000</f>
        <v>-0.62</v>
      </c>
      <c r="H75" s="118">
        <f>VLOOKUP($A75,'BC.124+900 '!$B$13:$X$862,14,0)/1000</f>
        <v>2.3740000000000001</v>
      </c>
      <c r="I75" s="118">
        <f>VLOOKUP($A75,'BC.124+900 '!$B$13:$X$862,15,0)/1000</f>
        <v>-0.626</v>
      </c>
      <c r="J75" s="118">
        <f>VLOOKUP($A75,'BC.124+900 '!$B$13:$X$862,20,0)/1000</f>
        <v>2.476</v>
      </c>
      <c r="K75" s="118">
        <f>VLOOKUP($A75,'BC.124+900 '!$B$13:$X$862,21,0)/1000</f>
        <v>-0.52400000000000002</v>
      </c>
      <c r="L75" s="117">
        <f t="shared" si="5"/>
        <v>-499</v>
      </c>
      <c r="M75" s="117">
        <f t="shared" si="6"/>
        <v>-503</v>
      </c>
      <c r="N75" s="117">
        <f t="shared" si="7"/>
        <v>-411.00000000000006</v>
      </c>
      <c r="O75" s="117"/>
    </row>
    <row r="76" spans="1:20" ht="14.4" customHeight="1">
      <c r="A76" s="74">
        <f>'BC.124+900 '!B76</f>
        <v>45419</v>
      </c>
      <c r="B76" s="117">
        <v>64</v>
      </c>
      <c r="C76" s="118">
        <f>'BC.124+900 '!M76/1000</f>
        <v>1.6319999999999999</v>
      </c>
      <c r="D76" s="118">
        <f>'BC.124+900 '!AA76</f>
        <v>2.238</v>
      </c>
      <c r="E76" s="119">
        <f t="shared" si="4"/>
        <v>2.161</v>
      </c>
      <c r="F76" s="118">
        <f>VLOOKUP($A76,'BC.124+900 '!$B$13:$X$862,8,0)/1000</f>
        <v>2.3620000000000001</v>
      </c>
      <c r="G76" s="118">
        <f>VLOOKUP($A76,'BC.124+900 '!$B$13:$X$862,9,0)/1000</f>
        <v>-0.63800000000000001</v>
      </c>
      <c r="H76" s="118">
        <f>VLOOKUP($A76,'BC.124+900 '!$B$13:$X$862,14,0)/1000</f>
        <v>2.3479999999999999</v>
      </c>
      <c r="I76" s="118">
        <f>VLOOKUP($A76,'BC.124+900 '!$B$13:$X$862,15,0)/1000</f>
        <v>-0.65200000000000002</v>
      </c>
      <c r="J76" s="118">
        <f>VLOOKUP($A76,'BC.124+900 '!$B$13:$X$862,20,0)/1000</f>
        <v>2.452</v>
      </c>
      <c r="K76" s="118">
        <f>VLOOKUP($A76,'BC.124+900 '!$B$13:$X$862,21,0)/1000</f>
        <v>-0.54800000000000004</v>
      </c>
      <c r="L76" s="117">
        <f t="shared" si="5"/>
        <v>-517</v>
      </c>
      <c r="M76" s="117">
        <f t="shared" si="6"/>
        <v>-529</v>
      </c>
      <c r="N76" s="117">
        <f t="shared" si="7"/>
        <v>-435.00000000000006</v>
      </c>
      <c r="O76" s="117"/>
    </row>
    <row r="77" spans="1:20" ht="14.4" customHeight="1">
      <c r="A77" s="74">
        <f>'BC.124+900 '!B77</f>
        <v>45426</v>
      </c>
      <c r="B77" s="117">
        <v>65</v>
      </c>
      <c r="C77" s="118">
        <f>'BC.124+900 '!M77/1000</f>
        <v>1.6020000000000001</v>
      </c>
      <c r="D77" s="118">
        <f>'BC.124+900 '!AA77</f>
        <v>2.238</v>
      </c>
      <c r="E77" s="119">
        <f t="shared" ref="E77:E108" si="8">+C77-$F$8-(M77/1000)</f>
        <v>2.161</v>
      </c>
      <c r="F77" s="118">
        <f>VLOOKUP($A77,'BC.124+900 '!$B$13:$X$862,8,0)/1000</f>
        <v>2.3460000000000001</v>
      </c>
      <c r="G77" s="118">
        <f>VLOOKUP($A77,'BC.124+900 '!$B$13:$X$862,9,0)/1000</f>
        <v>-0.65400000000000003</v>
      </c>
      <c r="H77" s="118">
        <f>VLOOKUP($A77,'BC.124+900 '!$B$13:$X$862,14,0)/1000</f>
        <v>2.3180000000000001</v>
      </c>
      <c r="I77" s="118">
        <f>VLOOKUP($A77,'BC.124+900 '!$B$13:$X$862,15,0)/1000</f>
        <v>-0.68200000000000005</v>
      </c>
      <c r="J77" s="118">
        <f>VLOOKUP($A77,'BC.124+900 '!$B$13:$X$862,20,0)/1000</f>
        <v>2.4260000000000002</v>
      </c>
      <c r="K77" s="118">
        <f>VLOOKUP($A77,'BC.124+900 '!$B$13:$X$862,21,0)/1000</f>
        <v>-0.57399999999999995</v>
      </c>
      <c r="L77" s="117">
        <f t="shared" ref="L77:L108" si="9">(G77-$G$13)*1000</f>
        <v>-533</v>
      </c>
      <c r="M77" s="117">
        <f t="shared" ref="M77:M108" si="10">(I77-$I$13)*1000</f>
        <v>-559</v>
      </c>
      <c r="N77" s="117">
        <f t="shared" ref="N77:N108" si="11">(K77-$K$13)*1000</f>
        <v>-460.99999999999994</v>
      </c>
      <c r="O77" s="117"/>
    </row>
    <row r="78" spans="1:20" ht="14.4" customHeight="1">
      <c r="A78" s="74">
        <f>'BC.124+900 '!B78</f>
        <v>45433</v>
      </c>
      <c r="B78" s="117">
        <v>66</v>
      </c>
      <c r="C78" s="118">
        <f>'BC.124+900 '!M78/1000</f>
        <v>1.577</v>
      </c>
      <c r="D78" s="118">
        <f>'BC.124+900 '!AA78</f>
        <v>2.238</v>
      </c>
      <c r="E78" s="119">
        <f t="shared" si="8"/>
        <v>2.161</v>
      </c>
      <c r="F78" s="118">
        <f>VLOOKUP($A78,'BC.124+900 '!$B$13:$X$862,8,0)/1000</f>
        <v>2.33</v>
      </c>
      <c r="G78" s="118">
        <f>VLOOKUP($A78,'BC.124+900 '!$B$13:$X$862,9,0)/1000</f>
        <v>-0.67</v>
      </c>
      <c r="H78" s="118">
        <f>VLOOKUP($A78,'BC.124+900 '!$B$13:$X$862,14,0)/1000</f>
        <v>2.2930000000000001</v>
      </c>
      <c r="I78" s="118">
        <f>VLOOKUP($A78,'BC.124+900 '!$B$13:$X$862,15,0)/1000</f>
        <v>-0.70699999999999996</v>
      </c>
      <c r="J78" s="118">
        <f>VLOOKUP($A78,'BC.124+900 '!$B$13:$X$862,20,0)/1000</f>
        <v>2.4020000000000001</v>
      </c>
      <c r="K78" s="118">
        <f>VLOOKUP($A78,'BC.124+900 '!$B$13:$X$862,21,0)/1000</f>
        <v>-0.59799999999999998</v>
      </c>
      <c r="L78" s="117">
        <f t="shared" si="9"/>
        <v>-549</v>
      </c>
      <c r="M78" s="117">
        <f t="shared" si="10"/>
        <v>-584</v>
      </c>
      <c r="N78" s="117">
        <f t="shared" si="11"/>
        <v>-485</v>
      </c>
      <c r="O78" s="117"/>
    </row>
    <row r="79" spans="1:20" ht="14.4" customHeight="1">
      <c r="A79" s="74">
        <f>'BC.124+900 '!B79</f>
        <v>45440</v>
      </c>
      <c r="B79" s="117">
        <v>67</v>
      </c>
      <c r="C79" s="118">
        <f>'BC.124+900 '!M79/1000</f>
        <v>1.5469999999999999</v>
      </c>
      <c r="D79" s="118">
        <f>'BC.124+900 '!AA79</f>
        <v>2.238</v>
      </c>
      <c r="E79" s="119">
        <f t="shared" si="8"/>
        <v>2.161</v>
      </c>
      <c r="F79" s="118">
        <f>VLOOKUP($A79,'BC.124+900 '!$B$13:$X$862,8,0)/1000</f>
        <v>2.3130000000000002</v>
      </c>
      <c r="G79" s="118">
        <f>VLOOKUP($A79,'BC.124+900 '!$B$13:$X$862,9,0)/1000</f>
        <v>-0.68700000000000006</v>
      </c>
      <c r="H79" s="118">
        <f>VLOOKUP($A79,'BC.124+900 '!$B$13:$X$862,14,0)/1000</f>
        <v>2.2629999999999999</v>
      </c>
      <c r="I79" s="118">
        <f>VLOOKUP($A79,'BC.124+900 '!$B$13:$X$862,15,0)/1000</f>
        <v>-0.73699999999999999</v>
      </c>
      <c r="J79" s="118">
        <f>VLOOKUP($A79,'BC.124+900 '!$B$13:$X$862,20,0)/1000</f>
        <v>2.379</v>
      </c>
      <c r="K79" s="118">
        <f>VLOOKUP($A79,'BC.124+900 '!$B$13:$X$862,21,0)/1000</f>
        <v>-0.621</v>
      </c>
      <c r="L79" s="117">
        <f t="shared" si="9"/>
        <v>-566.00000000000011</v>
      </c>
      <c r="M79" s="117">
        <f t="shared" si="10"/>
        <v>-614</v>
      </c>
      <c r="N79" s="117">
        <f t="shared" si="11"/>
        <v>-508</v>
      </c>
      <c r="O79" s="117"/>
    </row>
    <row r="80" spans="1:20" ht="14.4" customHeight="1">
      <c r="A80" s="74">
        <f>'BC.124+900 '!B80</f>
        <v>45447</v>
      </c>
      <c r="B80" s="117">
        <v>68</v>
      </c>
      <c r="C80" s="118">
        <f>'BC.124+900 '!M80/1000</f>
        <v>1.52</v>
      </c>
      <c r="D80" s="118">
        <f>'BC.124+900 '!AA80</f>
        <v>2.238</v>
      </c>
      <c r="E80" s="119">
        <f t="shared" si="8"/>
        <v>2.161</v>
      </c>
      <c r="F80" s="118">
        <f>VLOOKUP($A80,'BC.124+900 '!$B$13:$X$862,8,0)/1000</f>
        <v>2.2949999999999999</v>
      </c>
      <c r="G80" s="118">
        <f>VLOOKUP($A80,'BC.124+900 '!$B$13:$X$862,9,0)/1000</f>
        <v>-0.70499999999999996</v>
      </c>
      <c r="H80" s="118">
        <f>VLOOKUP($A80,'BC.124+900 '!$B$13:$X$862,14,0)/1000</f>
        <v>2.2360000000000002</v>
      </c>
      <c r="I80" s="118">
        <f>VLOOKUP($A80,'BC.124+900 '!$B$13:$X$862,15,0)/1000</f>
        <v>-0.76400000000000001</v>
      </c>
      <c r="J80" s="118">
        <f>VLOOKUP($A80,'BC.124+900 '!$B$13:$X$862,20,0)/1000</f>
        <v>2.3570000000000002</v>
      </c>
      <c r="K80" s="118">
        <f>VLOOKUP($A80,'BC.124+900 '!$B$13:$X$862,21,0)/1000</f>
        <v>-0.64300000000000002</v>
      </c>
      <c r="L80" s="117">
        <f t="shared" si="9"/>
        <v>-584</v>
      </c>
      <c r="M80" s="117">
        <f t="shared" si="10"/>
        <v>-641</v>
      </c>
      <c r="N80" s="117">
        <f t="shared" si="11"/>
        <v>-530</v>
      </c>
      <c r="O80" s="117"/>
    </row>
    <row r="81" spans="1:15" ht="14.4" customHeight="1">
      <c r="A81" s="74">
        <f>'BC.124+900 '!B81</f>
        <v>45454</v>
      </c>
      <c r="B81" s="117">
        <v>69</v>
      </c>
      <c r="C81" s="118">
        <f>'BC.124+900 '!M81/1000</f>
        <v>1.4910000000000001</v>
      </c>
      <c r="D81" s="118">
        <f>'BC.124+900 '!AA81</f>
        <v>2.238</v>
      </c>
      <c r="E81" s="119">
        <f t="shared" si="8"/>
        <v>2.161</v>
      </c>
      <c r="F81" s="118">
        <f>VLOOKUP($A81,'BC.124+900 '!$B$13:$X$862,8,0)/1000</f>
        <v>2.2759999999999998</v>
      </c>
      <c r="G81" s="118">
        <f>VLOOKUP($A81,'BC.124+900 '!$B$13:$X$862,9,0)/1000</f>
        <v>-0.72399999999999998</v>
      </c>
      <c r="H81" s="118">
        <f>VLOOKUP($A81,'BC.124+900 '!$B$13:$X$862,14,0)/1000</f>
        <v>2.2069999999999999</v>
      </c>
      <c r="I81" s="118">
        <f>VLOOKUP($A81,'BC.124+900 '!$B$13:$X$862,15,0)/1000</f>
        <v>-0.79300000000000004</v>
      </c>
      <c r="J81" s="118">
        <f>VLOOKUP($A81,'BC.124+900 '!$B$13:$X$862,20,0)/1000</f>
        <v>2.3359999999999999</v>
      </c>
      <c r="K81" s="118">
        <f>VLOOKUP($A81,'BC.124+900 '!$B$13:$X$862,21,0)/1000</f>
        <v>-0.66400000000000003</v>
      </c>
      <c r="L81" s="117">
        <f t="shared" si="9"/>
        <v>-603</v>
      </c>
      <c r="M81" s="117">
        <f t="shared" si="10"/>
        <v>-670</v>
      </c>
      <c r="N81" s="117">
        <f t="shared" si="11"/>
        <v>-551</v>
      </c>
      <c r="O81" s="117"/>
    </row>
    <row r="82" spans="1:15" ht="14.4" customHeight="1">
      <c r="A82" s="74">
        <f>'BC.124+900 '!B82</f>
        <v>45461</v>
      </c>
      <c r="B82" s="117">
        <v>70</v>
      </c>
      <c r="C82" s="118">
        <f>'BC.124+900 '!M82/1000</f>
        <v>1.4630000000000001</v>
      </c>
      <c r="D82" s="118">
        <f>'BC.124+900 '!AA82</f>
        <v>2.238</v>
      </c>
      <c r="E82" s="119">
        <f t="shared" si="8"/>
        <v>2.161</v>
      </c>
      <c r="F82" s="118">
        <f>VLOOKUP($A82,'BC.124+900 '!$B$13:$X$862,8,0)/1000</f>
        <v>2.2610000000000001</v>
      </c>
      <c r="G82" s="118">
        <f>VLOOKUP($A82,'BC.124+900 '!$B$13:$X$862,9,0)/1000</f>
        <v>-0.73899999999999999</v>
      </c>
      <c r="H82" s="118">
        <f>VLOOKUP($A82,'BC.124+900 '!$B$13:$X$862,14,0)/1000</f>
        <v>2.1789999999999998</v>
      </c>
      <c r="I82" s="118">
        <f>VLOOKUP($A82,'BC.124+900 '!$B$13:$X$862,15,0)/1000</f>
        <v>-0.82099999999999995</v>
      </c>
      <c r="J82" s="118">
        <f>VLOOKUP($A82,'BC.124+900 '!$B$13:$X$862,20,0)/1000</f>
        <v>2.3159999999999998</v>
      </c>
      <c r="K82" s="118">
        <f>VLOOKUP($A82,'BC.124+900 '!$B$13:$X$862,21,0)/1000</f>
        <v>-0.68400000000000005</v>
      </c>
      <c r="L82" s="117">
        <f t="shared" si="9"/>
        <v>-618</v>
      </c>
      <c r="M82" s="117">
        <f t="shared" si="10"/>
        <v>-698</v>
      </c>
      <c r="N82" s="117">
        <f t="shared" si="11"/>
        <v>-571.00000000000011</v>
      </c>
      <c r="O82" s="117"/>
    </row>
    <row r="83" spans="1:15" ht="14.4" customHeight="1">
      <c r="A83" s="74">
        <f>'BC.124+900 '!B83</f>
        <v>45468</v>
      </c>
      <c r="B83" s="117">
        <v>71</v>
      </c>
      <c r="C83" s="118">
        <f>'BC.124+900 '!M83/1000</f>
        <v>1.4370000000000001</v>
      </c>
      <c r="D83" s="118">
        <f>'BC.124+900 '!AA83</f>
        <v>2.238</v>
      </c>
      <c r="E83" s="119">
        <f t="shared" si="8"/>
        <v>2.161</v>
      </c>
      <c r="F83" s="118">
        <f>VLOOKUP($A83,'BC.124+900 '!$B$13:$X$862,8,0)/1000</f>
        <v>2.2509999999999999</v>
      </c>
      <c r="G83" s="118">
        <f>VLOOKUP($A83,'BC.124+900 '!$B$13:$X$862,9,0)/1000</f>
        <v>-0.749</v>
      </c>
      <c r="H83" s="118">
        <f>VLOOKUP($A83,'BC.124+900 '!$B$13:$X$862,14,0)/1000</f>
        <v>2.153</v>
      </c>
      <c r="I83" s="118">
        <f>VLOOKUP($A83,'BC.124+900 '!$B$13:$X$862,15,0)/1000</f>
        <v>-0.84699999999999998</v>
      </c>
      <c r="J83" s="118">
        <f>VLOOKUP($A83,'BC.124+900 '!$B$13:$X$862,20,0)/1000</f>
        <v>2.2970000000000002</v>
      </c>
      <c r="K83" s="118">
        <f>VLOOKUP($A83,'BC.124+900 '!$B$13:$X$862,21,0)/1000</f>
        <v>-0.70299999999999996</v>
      </c>
      <c r="L83" s="117">
        <f t="shared" si="9"/>
        <v>-628</v>
      </c>
      <c r="M83" s="117">
        <f t="shared" si="10"/>
        <v>-724</v>
      </c>
      <c r="N83" s="117">
        <f t="shared" si="11"/>
        <v>-590</v>
      </c>
      <c r="O83" s="117"/>
    </row>
    <row r="84" spans="1:15" ht="14.4" customHeight="1">
      <c r="A84" s="74">
        <f>'BC.124+900 '!B84</f>
        <v>45475</v>
      </c>
      <c r="B84" s="117">
        <v>72</v>
      </c>
      <c r="C84" s="118">
        <f>'BC.124+900 '!M84/1000</f>
        <v>1.4119999999999999</v>
      </c>
      <c r="D84" s="118">
        <f>'BC.124+900 '!AA84</f>
        <v>2.238</v>
      </c>
      <c r="E84" s="119">
        <f t="shared" si="8"/>
        <v>2.161</v>
      </c>
      <c r="F84" s="118">
        <f>VLOOKUP($A84,'BC.124+900 '!$B$13:$X$862,8,0)/1000</f>
        <v>2.2410000000000001</v>
      </c>
      <c r="G84" s="118">
        <f>VLOOKUP($A84,'BC.124+900 '!$B$13:$X$862,9,0)/1000</f>
        <v>-0.75900000000000001</v>
      </c>
      <c r="H84" s="118">
        <f>VLOOKUP($A84,'BC.124+900 '!$B$13:$X$862,14,0)/1000</f>
        <v>2.1280000000000001</v>
      </c>
      <c r="I84" s="118">
        <f>VLOOKUP($A84,'BC.124+900 '!$B$13:$X$862,15,0)/1000</f>
        <v>-0.872</v>
      </c>
      <c r="J84" s="118">
        <f>VLOOKUP($A84,'BC.124+900 '!$B$13:$X$862,20,0)/1000</f>
        <v>2.2789999999999999</v>
      </c>
      <c r="K84" s="118">
        <f>VLOOKUP($A84,'BC.124+900 '!$B$13:$X$862,21,0)/1000</f>
        <v>-0.72099999999999997</v>
      </c>
      <c r="L84" s="117">
        <f t="shared" si="9"/>
        <v>-638</v>
      </c>
      <c r="M84" s="117">
        <f t="shared" si="10"/>
        <v>-749</v>
      </c>
      <c r="N84" s="117">
        <f t="shared" si="11"/>
        <v>-608</v>
      </c>
      <c r="O84" s="117"/>
    </row>
    <row r="85" spans="1:15" ht="14.4" customHeight="1">
      <c r="A85" s="74">
        <f>'BC.124+900 '!B85</f>
        <v>45482</v>
      </c>
      <c r="B85" s="117">
        <v>73</v>
      </c>
      <c r="C85" s="118">
        <f>'BC.124+900 '!M85/1000</f>
        <v>1.4019999999999999</v>
      </c>
      <c r="D85" s="118">
        <f>'BC.124+900 '!AA85</f>
        <v>2.238</v>
      </c>
      <c r="E85" s="119">
        <f t="shared" si="8"/>
        <v>2.161</v>
      </c>
      <c r="F85" s="118">
        <f>VLOOKUP($A85,'BC.124+900 '!$B$13:$X$862,8,0)/1000</f>
        <v>2.2320000000000002</v>
      </c>
      <c r="G85" s="118">
        <f>VLOOKUP($A85,'BC.124+900 '!$B$13:$X$862,9,0)/1000</f>
        <v>-0.76800000000000002</v>
      </c>
      <c r="H85" s="118">
        <f>VLOOKUP($A85,'BC.124+900 '!$B$13:$X$862,14,0)/1000</f>
        <v>2.1179999999999999</v>
      </c>
      <c r="I85" s="118">
        <f>VLOOKUP($A85,'BC.124+900 '!$B$13:$X$862,15,0)/1000</f>
        <v>-0.88200000000000001</v>
      </c>
      <c r="J85" s="118">
        <f>VLOOKUP($A85,'BC.124+900 '!$B$13:$X$862,20,0)/1000</f>
        <v>2.262</v>
      </c>
      <c r="K85" s="118">
        <f>VLOOKUP($A85,'BC.124+900 '!$B$13:$X$862,21,0)/1000</f>
        <v>-0.73799999999999999</v>
      </c>
      <c r="L85" s="117">
        <f t="shared" si="9"/>
        <v>-647</v>
      </c>
      <c r="M85" s="117">
        <f t="shared" si="10"/>
        <v>-759</v>
      </c>
      <c r="N85" s="117">
        <f t="shared" si="11"/>
        <v>-625</v>
      </c>
      <c r="O85" s="117"/>
    </row>
    <row r="86" spans="1:15" ht="14.4" customHeight="1">
      <c r="A86" s="74">
        <f>'BC.124+900 '!B86</f>
        <v>45489</v>
      </c>
      <c r="B86" s="117">
        <v>74</v>
      </c>
      <c r="C86" s="118">
        <f>'BC.124+900 '!M86/1000</f>
        <v>1.3919999999999999</v>
      </c>
      <c r="D86" s="118">
        <f>'BC.124+900 '!AA86</f>
        <v>2.238</v>
      </c>
      <c r="E86" s="119">
        <f t="shared" si="8"/>
        <v>2.161</v>
      </c>
      <c r="F86" s="118">
        <f>VLOOKUP($A86,'BC.124+900 '!$B$13:$X$862,8,0)/1000</f>
        <v>2.2240000000000002</v>
      </c>
      <c r="G86" s="118">
        <f>VLOOKUP($A86,'BC.124+900 '!$B$13:$X$862,9,0)/1000</f>
        <v>-0.77600000000000002</v>
      </c>
      <c r="H86" s="118">
        <f>VLOOKUP($A86,'BC.124+900 '!$B$13:$X$862,14,0)/1000</f>
        <v>2.1080000000000001</v>
      </c>
      <c r="I86" s="118">
        <f>VLOOKUP($A86,'BC.124+900 '!$B$13:$X$862,15,0)/1000</f>
        <v>-0.89200000000000002</v>
      </c>
      <c r="J86" s="118">
        <f>VLOOKUP($A86,'BC.124+900 '!$B$13:$X$862,20,0)/1000</f>
        <v>2.246</v>
      </c>
      <c r="K86" s="118">
        <f>VLOOKUP($A86,'BC.124+900 '!$B$13:$X$862,21,0)/1000</f>
        <v>-0.754</v>
      </c>
      <c r="L86" s="117">
        <f t="shared" si="9"/>
        <v>-655</v>
      </c>
      <c r="M86" s="117">
        <f t="shared" si="10"/>
        <v>-769</v>
      </c>
      <c r="N86" s="117">
        <f t="shared" si="11"/>
        <v>-641</v>
      </c>
      <c r="O86" s="117"/>
    </row>
    <row r="87" spans="1:15" ht="14.4" customHeight="1">
      <c r="A87" s="74">
        <f>'BC.124+900 '!B87</f>
        <v>45496</v>
      </c>
      <c r="B87" s="117">
        <v>75</v>
      </c>
      <c r="C87" s="118">
        <f>'BC.124+900 '!M87/1000</f>
        <v>1.3819999999999999</v>
      </c>
      <c r="D87" s="118">
        <f>'BC.124+900 '!AA87</f>
        <v>2.238</v>
      </c>
      <c r="E87" s="119">
        <f t="shared" si="8"/>
        <v>2.161</v>
      </c>
      <c r="F87" s="118">
        <f>VLOOKUP($A87,'BC.124+900 '!$B$13:$X$862,8,0)/1000</f>
        <v>2.2149999999999999</v>
      </c>
      <c r="G87" s="118">
        <f>VLOOKUP($A87,'BC.124+900 '!$B$13:$X$862,9,0)/1000</f>
        <v>-0.78500000000000003</v>
      </c>
      <c r="H87" s="118">
        <f>VLOOKUP($A87,'BC.124+900 '!$B$13:$X$862,14,0)/1000</f>
        <v>2.0979999999999999</v>
      </c>
      <c r="I87" s="118">
        <f>VLOOKUP($A87,'BC.124+900 '!$B$13:$X$862,15,0)/1000</f>
        <v>-0.90200000000000002</v>
      </c>
      <c r="J87" s="118">
        <f>VLOOKUP($A87,'BC.124+900 '!$B$13:$X$862,20,0)/1000</f>
        <v>2.2309999999999999</v>
      </c>
      <c r="K87" s="118">
        <f>VLOOKUP($A87,'BC.124+900 '!$B$13:$X$862,21,0)/1000</f>
        <v>-0.76900000000000002</v>
      </c>
      <c r="L87" s="117">
        <f t="shared" si="9"/>
        <v>-664</v>
      </c>
      <c r="M87" s="117">
        <f t="shared" si="10"/>
        <v>-779</v>
      </c>
      <c r="N87" s="117">
        <f t="shared" si="11"/>
        <v>-656</v>
      </c>
      <c r="O87" s="117"/>
    </row>
    <row r="88" spans="1:15" ht="14.4" customHeight="1">
      <c r="A88" s="74">
        <f>'BC.124+900 '!B88</f>
        <v>45503</v>
      </c>
      <c r="B88" s="117">
        <v>76</v>
      </c>
      <c r="C88" s="118">
        <f>'BC.124+900 '!M88/1000</f>
        <v>1.3720000000000001</v>
      </c>
      <c r="D88" s="118">
        <f>'BC.124+900 '!AA88</f>
        <v>2.238</v>
      </c>
      <c r="E88" s="119">
        <f t="shared" si="8"/>
        <v>2.161</v>
      </c>
      <c r="F88" s="118">
        <f>VLOOKUP($A88,'BC.124+900 '!$B$13:$X$862,8,0)/1000</f>
        <v>2.2069999999999999</v>
      </c>
      <c r="G88" s="118">
        <f>VLOOKUP($A88,'BC.124+900 '!$B$13:$X$862,9,0)/1000</f>
        <v>-0.79300000000000004</v>
      </c>
      <c r="H88" s="118">
        <f>VLOOKUP($A88,'BC.124+900 '!$B$13:$X$862,14,0)/1000</f>
        <v>2.0880000000000001</v>
      </c>
      <c r="I88" s="118">
        <f>VLOOKUP($A88,'BC.124+900 '!$B$13:$X$862,15,0)/1000</f>
        <v>-0.91200000000000003</v>
      </c>
      <c r="J88" s="118">
        <f>VLOOKUP($A88,'BC.124+900 '!$B$13:$X$862,20,0)/1000</f>
        <v>2.2170000000000001</v>
      </c>
      <c r="K88" s="118">
        <f>VLOOKUP($A88,'BC.124+900 '!$B$13:$X$862,21,0)/1000</f>
        <v>-0.78300000000000003</v>
      </c>
      <c r="L88" s="117">
        <f t="shared" si="9"/>
        <v>-672</v>
      </c>
      <c r="M88" s="117">
        <f t="shared" si="10"/>
        <v>-789</v>
      </c>
      <c r="N88" s="117">
        <f t="shared" si="11"/>
        <v>-670</v>
      </c>
      <c r="O88" s="117"/>
    </row>
    <row r="89" spans="1:15" ht="14.4" customHeight="1">
      <c r="A89" s="74">
        <f>'BC.124+900 '!B89</f>
        <v>45510</v>
      </c>
      <c r="B89" s="117">
        <v>77</v>
      </c>
      <c r="C89" s="118">
        <f>'BC.124+900 '!M89/1000</f>
        <v>1.3620000000000001</v>
      </c>
      <c r="D89" s="118">
        <f>'BC.124+900 '!AA89</f>
        <v>2.238</v>
      </c>
      <c r="E89" s="119">
        <f t="shared" si="8"/>
        <v>2.161</v>
      </c>
      <c r="F89" s="118">
        <f>VLOOKUP($A89,'BC.124+900 '!$B$13:$X$862,8,0)/1000</f>
        <v>2.198</v>
      </c>
      <c r="G89" s="118">
        <f>VLOOKUP($A89,'BC.124+900 '!$B$13:$X$862,9,0)/1000</f>
        <v>-0.80200000000000005</v>
      </c>
      <c r="H89" s="118">
        <f>VLOOKUP($A89,'BC.124+900 '!$B$13:$X$862,14,0)/1000</f>
        <v>2.0779999999999998</v>
      </c>
      <c r="I89" s="118">
        <f>VLOOKUP($A89,'BC.124+900 '!$B$13:$X$862,15,0)/1000</f>
        <v>-0.92200000000000004</v>
      </c>
      <c r="J89" s="118">
        <f>VLOOKUP($A89,'BC.124+900 '!$B$13:$X$862,20,0)/1000</f>
        <v>2.2069999999999999</v>
      </c>
      <c r="K89" s="118">
        <f>VLOOKUP($A89,'BC.124+900 '!$B$13:$X$862,21,0)/1000</f>
        <v>-0.79300000000000004</v>
      </c>
      <c r="L89" s="117">
        <f t="shared" si="9"/>
        <v>-681</v>
      </c>
      <c r="M89" s="117">
        <f t="shared" si="10"/>
        <v>-799</v>
      </c>
      <c r="N89" s="117">
        <f t="shared" si="11"/>
        <v>-680</v>
      </c>
      <c r="O89" s="117"/>
    </row>
    <row r="90" spans="1:15" ht="14.4" customHeight="1">
      <c r="A90" s="74">
        <f>'BC.124+900 '!B90</f>
        <v>45517</v>
      </c>
      <c r="B90" s="117">
        <v>78</v>
      </c>
      <c r="C90" s="118">
        <f>'BC.124+900 '!M90/1000</f>
        <v>1.3520000000000001</v>
      </c>
      <c r="D90" s="118">
        <f>'BC.124+900 '!AA90</f>
        <v>2.238</v>
      </c>
      <c r="E90" s="119">
        <f t="shared" si="8"/>
        <v>2.161</v>
      </c>
      <c r="F90" s="118">
        <f>VLOOKUP($A90,'BC.124+900 '!$B$13:$X$862,8,0)/1000</f>
        <v>2.19</v>
      </c>
      <c r="G90" s="118">
        <f>VLOOKUP($A90,'BC.124+900 '!$B$13:$X$862,9,0)/1000</f>
        <v>-0.81</v>
      </c>
      <c r="H90" s="118">
        <f>VLOOKUP($A90,'BC.124+900 '!$B$13:$X$862,14,0)/1000</f>
        <v>2.0680000000000001</v>
      </c>
      <c r="I90" s="118">
        <f>VLOOKUP($A90,'BC.124+900 '!$B$13:$X$862,15,0)/1000</f>
        <v>-0.93200000000000005</v>
      </c>
      <c r="J90" s="118">
        <f>VLOOKUP($A90,'BC.124+900 '!$B$13:$X$862,20,0)/1000</f>
        <v>2.198</v>
      </c>
      <c r="K90" s="118">
        <f>VLOOKUP($A90,'BC.124+900 '!$B$13:$X$862,21,0)/1000</f>
        <v>-0.80200000000000005</v>
      </c>
      <c r="L90" s="117">
        <f t="shared" si="9"/>
        <v>-689</v>
      </c>
      <c r="M90" s="117">
        <f t="shared" si="10"/>
        <v>-809</v>
      </c>
      <c r="N90" s="117">
        <f t="shared" si="11"/>
        <v>-689</v>
      </c>
      <c r="O90" s="117"/>
    </row>
    <row r="91" spans="1:15" ht="14.4" customHeight="1">
      <c r="A91" s="74">
        <f>'BC.124+900 '!B91</f>
        <v>45524</v>
      </c>
      <c r="B91" s="117">
        <v>79</v>
      </c>
      <c r="C91" s="118">
        <f>'BC.124+900 '!M91/1000</f>
        <v>1.3420000000000001</v>
      </c>
      <c r="D91" s="118">
        <f>'BC.124+900 '!AA91</f>
        <v>2.238</v>
      </c>
      <c r="E91" s="119">
        <f t="shared" si="8"/>
        <v>2.161</v>
      </c>
      <c r="F91" s="118">
        <f>VLOOKUP($A91,'BC.124+900 '!$B$13:$X$862,8,0)/1000</f>
        <v>2.1819999999999999</v>
      </c>
      <c r="G91" s="118">
        <f>VLOOKUP($A91,'BC.124+900 '!$B$13:$X$862,9,0)/1000</f>
        <v>-0.81799999999999995</v>
      </c>
      <c r="H91" s="118">
        <f>VLOOKUP($A91,'BC.124+900 '!$B$13:$X$862,14,0)/1000</f>
        <v>2.0579999999999998</v>
      </c>
      <c r="I91" s="118">
        <f>VLOOKUP($A91,'BC.124+900 '!$B$13:$X$862,15,0)/1000</f>
        <v>-0.94199999999999995</v>
      </c>
      <c r="J91" s="118">
        <f>VLOOKUP($A91,'BC.124+900 '!$B$13:$X$862,20,0)/1000</f>
        <v>2.19</v>
      </c>
      <c r="K91" s="118">
        <f>VLOOKUP($A91,'BC.124+900 '!$B$13:$X$862,21,0)/1000</f>
        <v>-0.81</v>
      </c>
      <c r="L91" s="117">
        <f t="shared" si="9"/>
        <v>-697</v>
      </c>
      <c r="M91" s="117">
        <f t="shared" si="10"/>
        <v>-819</v>
      </c>
      <c r="N91" s="117">
        <f t="shared" si="11"/>
        <v>-697.00000000000011</v>
      </c>
      <c r="O91" s="117"/>
    </row>
    <row r="92" spans="1:15" ht="14.4" customHeight="1">
      <c r="A92" s="74">
        <f>'BC.124+900 '!B92</f>
        <v>45531</v>
      </c>
      <c r="B92" s="117">
        <v>80</v>
      </c>
      <c r="C92" s="118">
        <f>'BC.124+900 '!M92/1000</f>
        <v>1.3320000000000001</v>
      </c>
      <c r="D92" s="118">
        <f>'BC.124+900 '!AA92</f>
        <v>2.238</v>
      </c>
      <c r="E92" s="119">
        <f t="shared" si="8"/>
        <v>2.161</v>
      </c>
      <c r="F92" s="118">
        <f>VLOOKUP($A92,'BC.124+900 '!$B$13:$X$862,8,0)/1000</f>
        <v>2.1739999999999999</v>
      </c>
      <c r="G92" s="118">
        <f>VLOOKUP($A92,'BC.124+900 '!$B$13:$X$862,9,0)/1000</f>
        <v>-0.82599999999999996</v>
      </c>
      <c r="H92" s="118">
        <f>VLOOKUP($A92,'BC.124+900 '!$B$13:$X$862,14,0)/1000</f>
        <v>2.048</v>
      </c>
      <c r="I92" s="118">
        <f>VLOOKUP($A92,'BC.124+900 '!$B$13:$X$862,15,0)/1000</f>
        <v>-0.95199999999999996</v>
      </c>
      <c r="J92" s="118">
        <f>VLOOKUP($A92,'BC.124+900 '!$B$13:$X$862,20,0)/1000</f>
        <v>2.1819999999999999</v>
      </c>
      <c r="K92" s="118">
        <f>VLOOKUP($A92,'BC.124+900 '!$B$13:$X$862,21,0)/1000</f>
        <v>-0.81799999999999995</v>
      </c>
      <c r="L92" s="117">
        <f t="shared" si="9"/>
        <v>-705</v>
      </c>
      <c r="M92" s="117">
        <f t="shared" si="10"/>
        <v>-829</v>
      </c>
      <c r="N92" s="117">
        <f t="shared" si="11"/>
        <v>-705</v>
      </c>
      <c r="O92" s="117"/>
    </row>
    <row r="93" spans="1:15" ht="14.4" customHeight="1">
      <c r="A93" s="74">
        <f>'BC.124+900 '!B93</f>
        <v>45538</v>
      </c>
      <c r="B93" s="117">
        <v>81</v>
      </c>
      <c r="C93" s="118">
        <f>'BC.124+900 '!M93/1000</f>
        <v>1.3220000000000001</v>
      </c>
      <c r="D93" s="118">
        <f>'BC.124+900 '!AA93</f>
        <v>2.238</v>
      </c>
      <c r="E93" s="119">
        <f t="shared" si="8"/>
        <v>2.161</v>
      </c>
      <c r="F93" s="118">
        <f>VLOOKUP($A93,'BC.124+900 '!$B$13:$X$862,8,0)/1000</f>
        <v>2.1669999999999998</v>
      </c>
      <c r="G93" s="118">
        <f>VLOOKUP($A93,'BC.124+900 '!$B$13:$X$862,9,0)/1000</f>
        <v>-0.83299999999999996</v>
      </c>
      <c r="H93" s="118">
        <f>VLOOKUP($A93,'BC.124+900 '!$B$13:$X$862,14,0)/1000</f>
        <v>2.0379999999999998</v>
      </c>
      <c r="I93" s="118">
        <f>VLOOKUP($A93,'BC.124+900 '!$B$13:$X$862,15,0)/1000</f>
        <v>-0.96199999999999997</v>
      </c>
      <c r="J93" s="118">
        <f>VLOOKUP($A93,'BC.124+900 '!$B$13:$X$862,20,0)/1000</f>
        <v>2.1749999999999998</v>
      </c>
      <c r="K93" s="118">
        <f>VLOOKUP($A93,'BC.124+900 '!$B$13:$X$862,21,0)/1000</f>
        <v>-0.82499999999999996</v>
      </c>
      <c r="L93" s="117">
        <f t="shared" si="9"/>
        <v>-712</v>
      </c>
      <c r="M93" s="117">
        <f t="shared" si="10"/>
        <v>-839</v>
      </c>
      <c r="N93" s="117">
        <f t="shared" si="11"/>
        <v>-712</v>
      </c>
      <c r="O93" s="117"/>
    </row>
    <row r="94" spans="1:15" ht="14.4" customHeight="1">
      <c r="A94" s="74">
        <f>'BC.124+900 '!B94</f>
        <v>45545</v>
      </c>
      <c r="B94" s="117">
        <v>82</v>
      </c>
      <c r="C94" s="118">
        <f>'BC.124+900 '!M94/1000</f>
        <v>1.3120000000000001</v>
      </c>
      <c r="D94" s="118">
        <f>'BC.124+900 '!AA94</f>
        <v>2.238</v>
      </c>
      <c r="E94" s="119">
        <f t="shared" si="8"/>
        <v>2.161</v>
      </c>
      <c r="F94" s="118">
        <f>VLOOKUP($A94,'BC.124+900 '!$B$13:$X$862,8,0)/1000</f>
        <v>2.161</v>
      </c>
      <c r="G94" s="118">
        <f>VLOOKUP($A94,'BC.124+900 '!$B$13:$X$862,9,0)/1000</f>
        <v>-0.83899999999999997</v>
      </c>
      <c r="H94" s="118">
        <f>VLOOKUP($A94,'BC.124+900 '!$B$13:$X$862,14,0)/1000</f>
        <v>2.028</v>
      </c>
      <c r="I94" s="118">
        <f>VLOOKUP($A94,'BC.124+900 '!$B$13:$X$862,15,0)/1000</f>
        <v>-0.97199999999999998</v>
      </c>
      <c r="J94" s="118">
        <f>VLOOKUP($A94,'BC.124+900 '!$B$13:$X$862,20,0)/1000</f>
        <v>2.169</v>
      </c>
      <c r="K94" s="118">
        <f>VLOOKUP($A94,'BC.124+900 '!$B$13:$X$862,21,0)/1000</f>
        <v>-0.83099999999999996</v>
      </c>
      <c r="L94" s="117">
        <f t="shared" si="9"/>
        <v>-718</v>
      </c>
      <c r="M94" s="117">
        <f t="shared" si="10"/>
        <v>-849</v>
      </c>
      <c r="N94" s="117">
        <f t="shared" si="11"/>
        <v>-718</v>
      </c>
      <c r="O94" s="117"/>
    </row>
    <row r="95" spans="1:15" ht="14.4" customHeight="1">
      <c r="A95" s="74">
        <f>'BC.124+900 '!B95</f>
        <v>45552</v>
      </c>
      <c r="B95" s="117">
        <v>83</v>
      </c>
      <c r="C95" s="118">
        <f>'BC.124+900 '!M95/1000</f>
        <v>1.302</v>
      </c>
      <c r="D95" s="118">
        <f>'BC.124+900 '!AA95</f>
        <v>2.238</v>
      </c>
      <c r="E95" s="119">
        <f t="shared" si="8"/>
        <v>2.161</v>
      </c>
      <c r="F95" s="118">
        <f>VLOOKUP($A95,'BC.124+900 '!$B$13:$X$862,8,0)/1000</f>
        <v>2.1539999999999999</v>
      </c>
      <c r="G95" s="118">
        <f>VLOOKUP($A95,'BC.124+900 '!$B$13:$X$862,9,0)/1000</f>
        <v>-0.84599999999999997</v>
      </c>
      <c r="H95" s="118">
        <f>VLOOKUP($A95,'BC.124+900 '!$B$13:$X$862,14,0)/1000</f>
        <v>2.0179999999999998</v>
      </c>
      <c r="I95" s="118">
        <f>VLOOKUP($A95,'BC.124+900 '!$B$13:$X$862,15,0)/1000</f>
        <v>-0.98199999999999998</v>
      </c>
      <c r="J95" s="118">
        <f>VLOOKUP($A95,'BC.124+900 '!$B$13:$X$862,20,0)/1000</f>
        <v>2.1640000000000001</v>
      </c>
      <c r="K95" s="118">
        <f>VLOOKUP($A95,'BC.124+900 '!$B$13:$X$862,21,0)/1000</f>
        <v>-0.83599999999999997</v>
      </c>
      <c r="L95" s="117">
        <f t="shared" si="9"/>
        <v>-725</v>
      </c>
      <c r="M95" s="117">
        <f t="shared" si="10"/>
        <v>-859</v>
      </c>
      <c r="N95" s="117">
        <f t="shared" si="11"/>
        <v>-723</v>
      </c>
      <c r="O95" s="117"/>
    </row>
    <row r="96" spans="1:15" ht="14.4" customHeight="1">
      <c r="A96" s="74">
        <f>'BC.124+900 '!B96</f>
        <v>45559</v>
      </c>
      <c r="B96" s="117">
        <v>84</v>
      </c>
      <c r="C96" s="118">
        <f>'BC.124+900 '!M96/1000</f>
        <v>1.292</v>
      </c>
      <c r="D96" s="118">
        <f>'BC.124+900 '!AA96</f>
        <v>2.238</v>
      </c>
      <c r="E96" s="119">
        <f t="shared" si="8"/>
        <v>2.161</v>
      </c>
      <c r="F96" s="118">
        <f>VLOOKUP($A96,'BC.124+900 '!$B$13:$X$862,8,0)/1000</f>
        <v>2.1480000000000001</v>
      </c>
      <c r="G96" s="118">
        <f>VLOOKUP($A96,'BC.124+900 '!$B$13:$X$862,9,0)/1000</f>
        <v>-0.85199999999999998</v>
      </c>
      <c r="H96" s="118">
        <f>VLOOKUP($A96,'BC.124+900 '!$B$13:$X$862,14,0)/1000</f>
        <v>2.008</v>
      </c>
      <c r="I96" s="118">
        <f>VLOOKUP($A96,'BC.124+900 '!$B$13:$X$862,15,0)/1000</f>
        <v>-0.99199999999999999</v>
      </c>
      <c r="J96" s="118">
        <f>VLOOKUP($A96,'BC.124+900 '!$B$13:$X$862,20,0)/1000</f>
        <v>2.157</v>
      </c>
      <c r="K96" s="118">
        <f>VLOOKUP($A96,'BC.124+900 '!$B$13:$X$862,21,0)/1000</f>
        <v>-0.84299999999999997</v>
      </c>
      <c r="L96" s="117">
        <f t="shared" si="9"/>
        <v>-731</v>
      </c>
      <c r="M96" s="117">
        <f t="shared" si="10"/>
        <v>-869</v>
      </c>
      <c r="N96" s="117">
        <f t="shared" si="11"/>
        <v>-730</v>
      </c>
      <c r="O96" s="117"/>
    </row>
    <row r="97" spans="1:15" ht="14.4" customHeight="1">
      <c r="A97" s="74">
        <f>'BC.124+900 '!B97</f>
        <v>45565</v>
      </c>
      <c r="B97" s="117">
        <v>85</v>
      </c>
      <c r="C97" s="118">
        <f>'BC.124+900 '!M97/1000</f>
        <v>1.282</v>
      </c>
      <c r="D97" s="118">
        <f>'BC.124+900 '!AA97</f>
        <v>2.238</v>
      </c>
      <c r="E97" s="119">
        <f t="shared" si="8"/>
        <v>2.161</v>
      </c>
      <c r="F97" s="118">
        <f>VLOOKUP($A97,'BC.124+900 '!$B$13:$X$862,8,0)/1000</f>
        <v>2.141</v>
      </c>
      <c r="G97" s="118">
        <f>VLOOKUP($A97,'BC.124+900 '!$B$13:$X$862,9,0)/1000</f>
        <v>-0.85899999999999999</v>
      </c>
      <c r="H97" s="118">
        <f>VLOOKUP($A97,'BC.124+900 '!$B$13:$X$862,14,0)/1000</f>
        <v>1.998</v>
      </c>
      <c r="I97" s="118">
        <f>VLOOKUP($A97,'BC.124+900 '!$B$13:$X$862,15,0)/1000</f>
        <v>-1.002</v>
      </c>
      <c r="J97" s="118">
        <f>VLOOKUP($A97,'BC.124+900 '!$B$13:$X$862,20,0)/1000</f>
        <v>2.1509999999999998</v>
      </c>
      <c r="K97" s="118">
        <f>VLOOKUP($A97,'BC.124+900 '!$B$13:$X$862,21,0)/1000</f>
        <v>-0.84899999999999998</v>
      </c>
      <c r="L97" s="117">
        <f t="shared" si="9"/>
        <v>-738</v>
      </c>
      <c r="M97" s="117">
        <f t="shared" si="10"/>
        <v>-879</v>
      </c>
      <c r="N97" s="117">
        <f t="shared" si="11"/>
        <v>-736</v>
      </c>
      <c r="O97" s="117"/>
    </row>
    <row r="98" spans="1:15" ht="14.4" customHeight="1">
      <c r="A98" s="74">
        <f>'BC.124+900 '!B98</f>
        <v>45566</v>
      </c>
      <c r="B98" s="117">
        <v>86</v>
      </c>
      <c r="C98" s="118">
        <f>'BC.124+900 '!M98/1000</f>
        <v>1.272</v>
      </c>
      <c r="D98" s="118">
        <f>'BC.124+900 '!AA98</f>
        <v>2.238</v>
      </c>
      <c r="E98" s="119">
        <f t="shared" si="8"/>
        <v>2.161</v>
      </c>
      <c r="F98" s="118">
        <f>VLOOKUP($A98,'BC.124+900 '!$B$13:$X$862,8,0)/1000</f>
        <v>2.1349999999999998</v>
      </c>
      <c r="G98" s="118">
        <f>VLOOKUP($A98,'BC.124+900 '!$B$13:$X$862,9,0)/1000</f>
        <v>-0.86499999999999999</v>
      </c>
      <c r="H98" s="118">
        <f>VLOOKUP($A98,'BC.124+900 '!$B$13:$X$862,14,0)/1000</f>
        <v>1.988</v>
      </c>
      <c r="I98" s="118">
        <f>VLOOKUP($A98,'BC.124+900 '!$B$13:$X$862,15,0)/1000</f>
        <v>-1.012</v>
      </c>
      <c r="J98" s="118">
        <f>VLOOKUP($A98,'BC.124+900 '!$B$13:$X$862,20,0)/1000</f>
        <v>2.1469999999999998</v>
      </c>
      <c r="K98" s="118">
        <f>VLOOKUP($A98,'BC.124+900 '!$B$13:$X$862,21,0)/1000</f>
        <v>-0.85299999999999998</v>
      </c>
      <c r="L98" s="117">
        <f t="shared" si="9"/>
        <v>-744</v>
      </c>
      <c r="M98" s="117">
        <f t="shared" si="10"/>
        <v>-889</v>
      </c>
      <c r="N98" s="117">
        <f t="shared" si="11"/>
        <v>-740</v>
      </c>
      <c r="O98" s="117"/>
    </row>
    <row r="99" spans="1:15" ht="14.4" customHeight="1">
      <c r="A99" s="74">
        <f>'BC.124+900 '!B99</f>
        <v>45567</v>
      </c>
      <c r="B99" s="117">
        <v>87</v>
      </c>
      <c r="C99" s="118">
        <f>'BC.124+900 '!M99/1000</f>
        <v>1.262</v>
      </c>
      <c r="D99" s="118">
        <f>'BC.124+900 '!AA99</f>
        <v>2.238</v>
      </c>
      <c r="E99" s="119">
        <f t="shared" si="8"/>
        <v>2.161</v>
      </c>
      <c r="F99" s="118">
        <f>VLOOKUP($A99,'BC.124+900 '!$B$13:$X$862,8,0)/1000</f>
        <v>2.13</v>
      </c>
      <c r="G99" s="118">
        <f>VLOOKUP($A99,'BC.124+900 '!$B$13:$X$862,9,0)/1000</f>
        <v>-0.87</v>
      </c>
      <c r="H99" s="118">
        <f>VLOOKUP($A99,'BC.124+900 '!$B$13:$X$862,14,0)/1000</f>
        <v>1.978</v>
      </c>
      <c r="I99" s="118">
        <f>VLOOKUP($A99,'BC.124+900 '!$B$13:$X$862,15,0)/1000</f>
        <v>-1.022</v>
      </c>
      <c r="J99" s="118">
        <f>VLOOKUP($A99,'BC.124+900 '!$B$13:$X$862,20,0)/1000</f>
        <v>2.1440000000000001</v>
      </c>
      <c r="K99" s="118">
        <f>VLOOKUP($A99,'BC.124+900 '!$B$13:$X$862,21,0)/1000</f>
        <v>-0.85599999999999998</v>
      </c>
      <c r="L99" s="117">
        <f t="shared" si="9"/>
        <v>-749</v>
      </c>
      <c r="M99" s="117">
        <f t="shared" si="10"/>
        <v>-899</v>
      </c>
      <c r="N99" s="117">
        <f t="shared" si="11"/>
        <v>-743</v>
      </c>
      <c r="O99" s="117"/>
    </row>
    <row r="100" spans="1:15" ht="14.4" customHeight="1">
      <c r="A100" s="74">
        <f>'BC.124+900 '!B100</f>
        <v>45568</v>
      </c>
      <c r="B100" s="117">
        <v>88</v>
      </c>
      <c r="C100" s="118">
        <f>'BC.124+900 '!M100/1000</f>
        <v>1.252</v>
      </c>
      <c r="D100" s="118">
        <f>'BC.124+900 '!AA100</f>
        <v>2.238</v>
      </c>
      <c r="E100" s="119">
        <f t="shared" si="8"/>
        <v>2.161</v>
      </c>
      <c r="F100" s="118">
        <f>VLOOKUP($A100,'BC.124+900 '!$B$13:$X$862,8,0)/1000</f>
        <v>2.125</v>
      </c>
      <c r="G100" s="118">
        <f>VLOOKUP($A100,'BC.124+900 '!$B$13:$X$862,9,0)/1000</f>
        <v>-0.875</v>
      </c>
      <c r="H100" s="118">
        <f>VLOOKUP($A100,'BC.124+900 '!$B$13:$X$862,14,0)/1000</f>
        <v>1.968</v>
      </c>
      <c r="I100" s="118">
        <f>VLOOKUP($A100,'BC.124+900 '!$B$13:$X$862,15,0)/1000</f>
        <v>-1.032</v>
      </c>
      <c r="J100" s="118">
        <f>VLOOKUP($A100,'BC.124+900 '!$B$13:$X$862,20,0)/1000</f>
        <v>2.1389999999999998</v>
      </c>
      <c r="K100" s="118">
        <f>VLOOKUP($A100,'BC.124+900 '!$B$13:$X$862,21,0)/1000</f>
        <v>-0.86099999999999999</v>
      </c>
      <c r="L100" s="117">
        <f t="shared" si="9"/>
        <v>-754</v>
      </c>
      <c r="M100" s="117">
        <f t="shared" si="10"/>
        <v>-909</v>
      </c>
      <c r="N100" s="117">
        <f t="shared" si="11"/>
        <v>-748</v>
      </c>
      <c r="O100" s="117"/>
    </row>
    <row r="101" spans="1:15" ht="14.4" customHeight="1">
      <c r="A101" s="74">
        <f>'BC.124+900 '!B101</f>
        <v>45569</v>
      </c>
      <c r="B101" s="117">
        <v>89</v>
      </c>
      <c r="C101" s="118">
        <f>'BC.124+900 '!M101/1000</f>
        <v>1.242</v>
      </c>
      <c r="D101" s="118">
        <f>'BC.124+900 '!AA101</f>
        <v>2.238</v>
      </c>
      <c r="E101" s="119">
        <f t="shared" si="8"/>
        <v>2.161</v>
      </c>
      <c r="F101" s="118">
        <f>VLOOKUP($A101,'BC.124+900 '!$B$13:$X$862,8,0)/1000</f>
        <v>2.121</v>
      </c>
      <c r="G101" s="118">
        <f>VLOOKUP($A101,'BC.124+900 '!$B$13:$X$862,9,0)/1000</f>
        <v>-0.879</v>
      </c>
      <c r="H101" s="118">
        <f>VLOOKUP($A101,'BC.124+900 '!$B$13:$X$862,14,0)/1000</f>
        <v>1.958</v>
      </c>
      <c r="I101" s="118">
        <f>VLOOKUP($A101,'BC.124+900 '!$B$13:$X$862,15,0)/1000</f>
        <v>-1.042</v>
      </c>
      <c r="J101" s="118">
        <f>VLOOKUP($A101,'BC.124+900 '!$B$13:$X$862,20,0)/1000</f>
        <v>2.1349999999999998</v>
      </c>
      <c r="K101" s="118">
        <f>VLOOKUP($A101,'BC.124+900 '!$B$13:$X$862,21,0)/1000</f>
        <v>-0.86499999999999999</v>
      </c>
      <c r="L101" s="117">
        <f t="shared" si="9"/>
        <v>-758</v>
      </c>
      <c r="M101" s="117">
        <f t="shared" si="10"/>
        <v>-919</v>
      </c>
      <c r="N101" s="117">
        <f t="shared" si="11"/>
        <v>-752</v>
      </c>
      <c r="O101" s="117"/>
    </row>
    <row r="102" spans="1:15" ht="14.4" customHeight="1">
      <c r="A102" s="74">
        <f>'BC.124+900 '!B102</f>
        <v>45570</v>
      </c>
      <c r="B102" s="117">
        <v>90</v>
      </c>
      <c r="C102" s="118">
        <f>'BC.124+900 '!M102/1000</f>
        <v>1.232</v>
      </c>
      <c r="D102" s="118">
        <f>'BC.124+900 '!AA102</f>
        <v>2.238</v>
      </c>
      <c r="E102" s="119">
        <f t="shared" si="8"/>
        <v>2.161</v>
      </c>
      <c r="F102" s="118">
        <f>VLOOKUP($A102,'BC.124+900 '!$B$13:$X$862,8,0)/1000</f>
        <v>2.1150000000000002</v>
      </c>
      <c r="G102" s="118">
        <f>VLOOKUP($A102,'BC.124+900 '!$B$13:$X$862,9,0)/1000</f>
        <v>-0.88500000000000001</v>
      </c>
      <c r="H102" s="118">
        <f>VLOOKUP($A102,'BC.124+900 '!$B$13:$X$862,14,0)/1000</f>
        <v>1.948</v>
      </c>
      <c r="I102" s="118">
        <f>VLOOKUP($A102,'BC.124+900 '!$B$13:$X$862,15,0)/1000</f>
        <v>-1.052</v>
      </c>
      <c r="J102" s="118">
        <f>VLOOKUP($A102,'BC.124+900 '!$B$13:$X$862,20,0)/1000</f>
        <v>2.133</v>
      </c>
      <c r="K102" s="118">
        <f>VLOOKUP($A102,'BC.124+900 '!$B$13:$X$862,21,0)/1000</f>
        <v>-0.86699999999999999</v>
      </c>
      <c r="L102" s="117">
        <f t="shared" si="9"/>
        <v>-764</v>
      </c>
      <c r="M102" s="117">
        <f t="shared" si="10"/>
        <v>-929</v>
      </c>
      <c r="N102" s="117">
        <f t="shared" si="11"/>
        <v>-754</v>
      </c>
      <c r="O102" s="117"/>
    </row>
    <row r="103" spans="1:15" ht="14.4" customHeight="1">
      <c r="A103" s="74">
        <f>'BC.124+900 '!B103</f>
        <v>45571</v>
      </c>
      <c r="B103" s="117">
        <v>91</v>
      </c>
      <c r="C103" s="118">
        <f>'BC.124+900 '!M103/1000</f>
        <v>1.222</v>
      </c>
      <c r="D103" s="118">
        <f>'BC.124+900 '!AA103</f>
        <v>2.238</v>
      </c>
      <c r="E103" s="119">
        <f t="shared" si="8"/>
        <v>2.161</v>
      </c>
      <c r="F103" s="118">
        <f>VLOOKUP($A103,'BC.124+900 '!$B$13:$X$862,8,0)/1000</f>
        <v>2.11</v>
      </c>
      <c r="G103" s="118">
        <f>VLOOKUP($A103,'BC.124+900 '!$B$13:$X$862,9,0)/1000</f>
        <v>-0.89</v>
      </c>
      <c r="H103" s="118">
        <f>VLOOKUP($A103,'BC.124+900 '!$B$13:$X$862,14,0)/1000</f>
        <v>1.9379999999999999</v>
      </c>
      <c r="I103" s="118">
        <f>VLOOKUP($A103,'BC.124+900 '!$B$13:$X$862,15,0)/1000</f>
        <v>-1.0620000000000001</v>
      </c>
      <c r="J103" s="118">
        <f>VLOOKUP($A103,'BC.124+900 '!$B$13:$X$862,20,0)/1000</f>
        <v>2.1280000000000001</v>
      </c>
      <c r="K103" s="118">
        <f>VLOOKUP($A103,'BC.124+900 '!$B$13:$X$862,21,0)/1000</f>
        <v>-0.872</v>
      </c>
      <c r="L103" s="117">
        <f t="shared" si="9"/>
        <v>-769</v>
      </c>
      <c r="M103" s="117">
        <f t="shared" si="10"/>
        <v>-939</v>
      </c>
      <c r="N103" s="117">
        <f t="shared" si="11"/>
        <v>-759</v>
      </c>
      <c r="O103" s="117"/>
    </row>
    <row r="104" spans="1:15" ht="14.4" customHeight="1">
      <c r="A104" s="74">
        <f>'BC.124+900 '!B104</f>
        <v>45572</v>
      </c>
      <c r="B104" s="117">
        <v>92</v>
      </c>
      <c r="C104" s="118">
        <f>'BC.124+900 '!M104/1000</f>
        <v>1.212</v>
      </c>
      <c r="D104" s="118">
        <f>'BC.124+900 '!AA104</f>
        <v>2.238</v>
      </c>
      <c r="E104" s="119">
        <f t="shared" si="8"/>
        <v>2.161</v>
      </c>
      <c r="F104" s="118">
        <f>VLOOKUP($A104,'BC.124+900 '!$B$13:$X$862,8,0)/1000</f>
        <v>2.1030000000000002</v>
      </c>
      <c r="G104" s="118">
        <f>VLOOKUP($A104,'BC.124+900 '!$B$13:$X$862,9,0)/1000</f>
        <v>-0.89700000000000002</v>
      </c>
      <c r="H104" s="118">
        <f>VLOOKUP($A104,'BC.124+900 '!$B$13:$X$862,14,0)/1000</f>
        <v>1.9279999999999999</v>
      </c>
      <c r="I104" s="118">
        <f>VLOOKUP($A104,'BC.124+900 '!$B$13:$X$862,15,0)/1000</f>
        <v>-1.0720000000000001</v>
      </c>
      <c r="J104" s="118">
        <f>VLOOKUP($A104,'BC.124+900 '!$B$13:$X$862,20,0)/1000</f>
        <v>2.1240000000000001</v>
      </c>
      <c r="K104" s="118">
        <f>VLOOKUP($A104,'BC.124+900 '!$B$13:$X$862,21,0)/1000</f>
        <v>-0.876</v>
      </c>
      <c r="L104" s="117">
        <f t="shared" si="9"/>
        <v>-776</v>
      </c>
      <c r="M104" s="117">
        <f t="shared" si="10"/>
        <v>-949.00000000000011</v>
      </c>
      <c r="N104" s="117">
        <f t="shared" si="11"/>
        <v>-763</v>
      </c>
      <c r="O104" s="117"/>
    </row>
    <row r="105" spans="1:15" ht="14.4" customHeight="1">
      <c r="A105" s="74">
        <f>'BC.124+900 '!B105</f>
        <v>45573</v>
      </c>
      <c r="B105" s="117">
        <v>93</v>
      </c>
      <c r="C105" s="118">
        <f>'BC.124+900 '!M105/1000</f>
        <v>1.202</v>
      </c>
      <c r="D105" s="118">
        <f>'BC.124+900 '!AA105</f>
        <v>2.238</v>
      </c>
      <c r="E105" s="119">
        <f t="shared" si="8"/>
        <v>2.161</v>
      </c>
      <c r="F105" s="118">
        <f>VLOOKUP($A105,'BC.124+900 '!$B$13:$X$862,8,0)/1000</f>
        <v>2.0979999999999999</v>
      </c>
      <c r="G105" s="118">
        <f>VLOOKUP($A105,'BC.124+900 '!$B$13:$X$862,9,0)/1000</f>
        <v>-0.90200000000000002</v>
      </c>
      <c r="H105" s="118">
        <f>VLOOKUP($A105,'BC.124+900 '!$B$13:$X$862,14,0)/1000</f>
        <v>1.9179999999999999</v>
      </c>
      <c r="I105" s="118">
        <f>VLOOKUP($A105,'BC.124+900 '!$B$13:$X$862,15,0)/1000</f>
        <v>-1.0820000000000001</v>
      </c>
      <c r="J105" s="118">
        <f>VLOOKUP($A105,'BC.124+900 '!$B$13:$X$862,20,0)/1000</f>
        <v>2.1190000000000002</v>
      </c>
      <c r="K105" s="118">
        <f>VLOOKUP($A105,'BC.124+900 '!$B$13:$X$862,21,0)/1000</f>
        <v>-0.88100000000000001</v>
      </c>
      <c r="L105" s="117">
        <f t="shared" si="9"/>
        <v>-781</v>
      </c>
      <c r="M105" s="117">
        <f t="shared" si="10"/>
        <v>-959.00000000000011</v>
      </c>
      <c r="N105" s="117">
        <f t="shared" si="11"/>
        <v>-768</v>
      </c>
      <c r="O105" s="117"/>
    </row>
    <row r="106" spans="1:15" ht="14.4" customHeight="1">
      <c r="A106" s="74">
        <f>'BC.124+900 '!B106</f>
        <v>45574</v>
      </c>
      <c r="B106" s="117">
        <v>94</v>
      </c>
      <c r="C106" s="118">
        <f>'BC.124+900 '!M106/1000</f>
        <v>1.1919999999999999</v>
      </c>
      <c r="D106" s="118">
        <f>'BC.124+900 '!AA106</f>
        <v>2.238</v>
      </c>
      <c r="E106" s="119">
        <f t="shared" si="8"/>
        <v>2.161</v>
      </c>
      <c r="F106" s="118">
        <f>VLOOKUP($A106,'BC.124+900 '!$B$13:$X$862,8,0)/1000</f>
        <v>2.0880000000000001</v>
      </c>
      <c r="G106" s="118">
        <f>VLOOKUP($A106,'BC.124+900 '!$B$13:$X$862,9,0)/1000</f>
        <v>-0.91200000000000003</v>
      </c>
      <c r="H106" s="118">
        <f>VLOOKUP($A106,'BC.124+900 '!$B$13:$X$862,14,0)/1000</f>
        <v>1.9079999999999999</v>
      </c>
      <c r="I106" s="118">
        <f>VLOOKUP($A106,'BC.124+900 '!$B$13:$X$862,15,0)/1000</f>
        <v>-1.0920000000000001</v>
      </c>
      <c r="J106" s="118">
        <f>VLOOKUP($A106,'BC.124+900 '!$B$13:$X$862,20,0)/1000</f>
        <v>2.1150000000000002</v>
      </c>
      <c r="K106" s="118">
        <f>VLOOKUP($A106,'BC.124+900 '!$B$13:$X$862,21,0)/1000</f>
        <v>-0.88500000000000001</v>
      </c>
      <c r="L106" s="117">
        <f t="shared" si="9"/>
        <v>-791</v>
      </c>
      <c r="M106" s="117">
        <f t="shared" si="10"/>
        <v>-969.00000000000011</v>
      </c>
      <c r="N106" s="117">
        <f t="shared" si="11"/>
        <v>-772</v>
      </c>
      <c r="O106" s="117"/>
    </row>
    <row r="107" spans="1:15" ht="14.4" customHeight="1">
      <c r="A107" s="74">
        <f>'BC.124+900 '!B107</f>
        <v>45575</v>
      </c>
      <c r="B107" s="117">
        <v>95</v>
      </c>
      <c r="C107" s="118">
        <f>'BC.124+900 '!M107/1000</f>
        <v>1.1819999999999999</v>
      </c>
      <c r="D107" s="118">
        <f>'BC.124+900 '!AA107</f>
        <v>2.238</v>
      </c>
      <c r="E107" s="119">
        <f t="shared" si="8"/>
        <v>2.161</v>
      </c>
      <c r="F107" s="118">
        <f>VLOOKUP($A107,'BC.124+900 '!$B$13:$X$862,8,0)/1000</f>
        <v>2.0779999999999998</v>
      </c>
      <c r="G107" s="118">
        <f>VLOOKUP($A107,'BC.124+900 '!$B$13:$X$862,9,0)/1000</f>
        <v>-0.92200000000000004</v>
      </c>
      <c r="H107" s="118">
        <f>VLOOKUP($A107,'BC.124+900 '!$B$13:$X$862,14,0)/1000</f>
        <v>1.8979999999999999</v>
      </c>
      <c r="I107" s="118">
        <f>VLOOKUP($A107,'BC.124+900 '!$B$13:$X$862,15,0)/1000</f>
        <v>-1.1020000000000001</v>
      </c>
      <c r="J107" s="118">
        <f>VLOOKUP($A107,'BC.124+900 '!$B$13:$X$862,20,0)/1000</f>
        <v>2.113</v>
      </c>
      <c r="K107" s="118">
        <f>VLOOKUP($A107,'BC.124+900 '!$B$13:$X$862,21,0)/1000</f>
        <v>-0.88700000000000001</v>
      </c>
      <c r="L107" s="117">
        <f t="shared" si="9"/>
        <v>-801</v>
      </c>
      <c r="M107" s="117">
        <f t="shared" si="10"/>
        <v>-979.00000000000011</v>
      </c>
      <c r="N107" s="117">
        <f t="shared" si="11"/>
        <v>-774</v>
      </c>
      <c r="O107" s="117"/>
    </row>
    <row r="108" spans="1:15" ht="14.4" customHeight="1">
      <c r="A108" s="74">
        <f>'BC.124+900 '!B108</f>
        <v>45576</v>
      </c>
      <c r="B108" s="117">
        <v>96</v>
      </c>
      <c r="C108" s="118">
        <f>'BC.124+900 '!M108/1000</f>
        <v>1.1719999999999999</v>
      </c>
      <c r="D108" s="118">
        <f>'BC.124+900 '!AA108</f>
        <v>2.238</v>
      </c>
      <c r="E108" s="119">
        <f t="shared" si="8"/>
        <v>2.161</v>
      </c>
      <c r="F108" s="118">
        <f>VLOOKUP($A108,'BC.124+900 '!$B$13:$X$862,8,0)/1000</f>
        <v>2.0680000000000001</v>
      </c>
      <c r="G108" s="118">
        <f>VLOOKUP($A108,'BC.124+900 '!$B$13:$X$862,9,0)/1000</f>
        <v>-0.93200000000000005</v>
      </c>
      <c r="H108" s="118">
        <f>VLOOKUP($A108,'BC.124+900 '!$B$13:$X$862,14,0)/1000</f>
        <v>1.8879999999999999</v>
      </c>
      <c r="I108" s="118">
        <f>VLOOKUP($A108,'BC.124+900 '!$B$13:$X$862,15,0)/1000</f>
        <v>-1.1120000000000001</v>
      </c>
      <c r="J108" s="118">
        <f>VLOOKUP($A108,'BC.124+900 '!$B$13:$X$862,20,0)/1000</f>
        <v>2.11</v>
      </c>
      <c r="K108" s="118">
        <f>VLOOKUP($A108,'BC.124+900 '!$B$13:$X$862,21,0)/1000</f>
        <v>-0.89</v>
      </c>
      <c r="L108" s="117">
        <f t="shared" si="9"/>
        <v>-811</v>
      </c>
      <c r="M108" s="117">
        <f t="shared" si="10"/>
        <v>-989.00000000000011</v>
      </c>
      <c r="N108" s="117">
        <f t="shared" si="11"/>
        <v>-777</v>
      </c>
      <c r="O108" s="117"/>
    </row>
    <row r="109" spans="1:15" ht="14.4" customHeight="1">
      <c r="A109" s="74">
        <f>'BC.124+900 '!B109</f>
        <v>45577</v>
      </c>
      <c r="B109" s="117">
        <v>97</v>
      </c>
      <c r="C109" s="118">
        <f>'BC.124+900 '!M109/1000</f>
        <v>1.1619999999999999</v>
      </c>
      <c r="D109" s="118">
        <f>'BC.124+900 '!AA109</f>
        <v>2.238</v>
      </c>
      <c r="E109" s="119">
        <f t="shared" ref="E109:E140" si="12">+C109-$F$8-(M109/1000)</f>
        <v>2.161</v>
      </c>
      <c r="F109" s="118">
        <f>VLOOKUP($A109,'BC.124+900 '!$B$13:$X$862,8,0)/1000</f>
        <v>2.0579999999999998</v>
      </c>
      <c r="G109" s="118">
        <f>VLOOKUP($A109,'BC.124+900 '!$B$13:$X$862,9,0)/1000</f>
        <v>-0.94199999999999995</v>
      </c>
      <c r="H109" s="118">
        <f>VLOOKUP($A109,'BC.124+900 '!$B$13:$X$862,14,0)/1000</f>
        <v>1.8779999999999999</v>
      </c>
      <c r="I109" s="118">
        <f>VLOOKUP($A109,'BC.124+900 '!$B$13:$X$862,15,0)/1000</f>
        <v>-1.1220000000000001</v>
      </c>
      <c r="J109" s="118">
        <f>VLOOKUP($A109,'BC.124+900 '!$B$13:$X$862,20,0)/1000</f>
        <v>2.1059999999999999</v>
      </c>
      <c r="K109" s="118">
        <f>VLOOKUP($A109,'BC.124+900 '!$B$13:$X$862,21,0)/1000</f>
        <v>-0.89400000000000002</v>
      </c>
      <c r="L109" s="117">
        <f t="shared" ref="L109:L140" si="13">(G109-$G$13)*1000</f>
        <v>-821</v>
      </c>
      <c r="M109" s="117">
        <f t="shared" ref="M109:M140" si="14">(I109-$I$13)*1000</f>
        <v>-999.00000000000011</v>
      </c>
      <c r="N109" s="117">
        <f t="shared" ref="N109:N140" si="15">(K109-$K$13)*1000</f>
        <v>-781</v>
      </c>
      <c r="O109" s="117"/>
    </row>
    <row r="110" spans="1:15" ht="14.4" customHeight="1">
      <c r="A110" s="74">
        <f>'BC.124+900 '!B110</f>
        <v>45578</v>
      </c>
      <c r="B110" s="117">
        <v>98</v>
      </c>
      <c r="C110" s="118">
        <f>'BC.124+900 '!M110/1000</f>
        <v>1.1519999999999999</v>
      </c>
      <c r="D110" s="118">
        <f>'BC.124+900 '!AA110</f>
        <v>2.238</v>
      </c>
      <c r="E110" s="119">
        <f t="shared" si="12"/>
        <v>2.1609999999999996</v>
      </c>
      <c r="F110" s="118">
        <f>VLOOKUP($A110,'BC.124+900 '!$B$13:$X$862,8,0)/1000</f>
        <v>2.048</v>
      </c>
      <c r="G110" s="118">
        <f>VLOOKUP($A110,'BC.124+900 '!$B$13:$X$862,9,0)/1000</f>
        <v>-0.95199999999999996</v>
      </c>
      <c r="H110" s="118">
        <f>VLOOKUP($A110,'BC.124+900 '!$B$13:$X$862,14,0)/1000</f>
        <v>1.8680000000000001</v>
      </c>
      <c r="I110" s="118">
        <f>VLOOKUP($A110,'BC.124+900 '!$B$13:$X$862,15,0)/1000</f>
        <v>-1.1319999999999999</v>
      </c>
      <c r="J110" s="118">
        <f>VLOOKUP($A110,'BC.124+900 '!$B$13:$X$862,20,0)/1000</f>
        <v>2.101</v>
      </c>
      <c r="K110" s="118">
        <f>VLOOKUP($A110,'BC.124+900 '!$B$13:$X$862,21,0)/1000</f>
        <v>-0.89900000000000002</v>
      </c>
      <c r="L110" s="117">
        <f t="shared" si="13"/>
        <v>-831</v>
      </c>
      <c r="M110" s="117">
        <f t="shared" si="14"/>
        <v>-1008.9999999999999</v>
      </c>
      <c r="N110" s="117">
        <f t="shared" si="15"/>
        <v>-786</v>
      </c>
      <c r="O110" s="117"/>
    </row>
    <row r="111" spans="1:15" ht="14.4" customHeight="1">
      <c r="A111" s="74">
        <f>'BC.124+900 '!B111</f>
        <v>45579</v>
      </c>
      <c r="B111" s="117">
        <v>99</v>
      </c>
      <c r="C111" s="118">
        <f>'BC.124+900 '!M111/1000</f>
        <v>1.1419999999999999</v>
      </c>
      <c r="D111" s="118">
        <f>'BC.124+900 '!AA111</f>
        <v>2.238</v>
      </c>
      <c r="E111" s="119">
        <f t="shared" si="12"/>
        <v>2.1609999999999996</v>
      </c>
      <c r="F111" s="118">
        <f>VLOOKUP($A111,'BC.124+900 '!$B$13:$X$862,8,0)/1000</f>
        <v>2.0379999999999998</v>
      </c>
      <c r="G111" s="118">
        <f>VLOOKUP($A111,'BC.124+900 '!$B$13:$X$862,9,0)/1000</f>
        <v>-0.96199999999999997</v>
      </c>
      <c r="H111" s="118">
        <f>VLOOKUP($A111,'BC.124+900 '!$B$13:$X$862,14,0)/1000</f>
        <v>1.8580000000000001</v>
      </c>
      <c r="I111" s="118">
        <f>VLOOKUP($A111,'BC.124+900 '!$B$13:$X$862,15,0)/1000</f>
        <v>-1.1419999999999999</v>
      </c>
      <c r="J111" s="118">
        <f>VLOOKUP($A111,'BC.124+900 '!$B$13:$X$862,20,0)/1000</f>
        <v>2.0990000000000002</v>
      </c>
      <c r="K111" s="118">
        <f>VLOOKUP($A111,'BC.124+900 '!$B$13:$X$862,21,0)/1000</f>
        <v>-0.90100000000000002</v>
      </c>
      <c r="L111" s="117">
        <f t="shared" si="13"/>
        <v>-841</v>
      </c>
      <c r="M111" s="117">
        <f t="shared" si="14"/>
        <v>-1018.9999999999999</v>
      </c>
      <c r="N111" s="117">
        <f t="shared" si="15"/>
        <v>-788</v>
      </c>
      <c r="O111" s="117"/>
    </row>
    <row r="112" spans="1:15" ht="14.4" customHeight="1">
      <c r="A112" s="74">
        <f>'BC.124+900 '!B112</f>
        <v>45580</v>
      </c>
      <c r="B112" s="117">
        <v>100</v>
      </c>
      <c r="C112" s="118">
        <f>'BC.124+900 '!M112/1000</f>
        <v>1.93</v>
      </c>
      <c r="D112" s="118">
        <f>'BC.124+900 '!AA112</f>
        <v>3.0259999999999998</v>
      </c>
      <c r="E112" s="119">
        <f t="shared" si="12"/>
        <v>2.964</v>
      </c>
      <c r="F112" s="118">
        <f>VLOOKUP($A112,'BC.124+900 '!$B$13:$X$862,8,0)/1000</f>
        <v>2.028</v>
      </c>
      <c r="G112" s="118">
        <f>VLOOKUP($A112,'BC.124+900 '!$B$13:$X$862,9,0)/1000</f>
        <v>-0.97199999999999998</v>
      </c>
      <c r="H112" s="118">
        <f>VLOOKUP($A112,'BC.124+900 '!$B$13:$X$862,14,0)/1000</f>
        <v>1.843</v>
      </c>
      <c r="I112" s="118">
        <f>VLOOKUP($A112,'BC.124+900 '!$B$13:$X$862,15,0)/1000</f>
        <v>-1.157</v>
      </c>
      <c r="J112" s="118">
        <f>VLOOKUP($A112,'BC.124+900 '!$B$13:$X$862,20,0)/1000</f>
        <v>2.093</v>
      </c>
      <c r="K112" s="118">
        <f>VLOOKUP($A112,'BC.124+900 '!$B$13:$X$862,21,0)/1000</f>
        <v>-0.90700000000000003</v>
      </c>
      <c r="L112" s="117">
        <f t="shared" si="13"/>
        <v>-851</v>
      </c>
      <c r="M112" s="117">
        <f t="shared" si="14"/>
        <v>-1034</v>
      </c>
      <c r="N112" s="117">
        <f t="shared" si="15"/>
        <v>-794</v>
      </c>
      <c r="O112" s="117"/>
    </row>
    <row r="113" spans="1:15" ht="14.4" customHeight="1">
      <c r="A113" s="74">
        <f>'BC.124+900 '!B113</f>
        <v>45581</v>
      </c>
      <c r="B113" s="117">
        <v>101</v>
      </c>
      <c r="C113" s="118">
        <f>'BC.124+900 '!M113/1000</f>
        <v>1.92</v>
      </c>
      <c r="D113" s="118">
        <f>'BC.124+900 '!AA113</f>
        <v>3.0259999999999998</v>
      </c>
      <c r="E113" s="119">
        <f t="shared" si="12"/>
        <v>2.964</v>
      </c>
      <c r="F113" s="118">
        <f>VLOOKUP($A113,'BC.124+900 '!$B$13:$X$862,8,0)/1000</f>
        <v>2.0179999999999998</v>
      </c>
      <c r="G113" s="118">
        <f>VLOOKUP($A113,'BC.124+900 '!$B$13:$X$862,9,0)/1000</f>
        <v>-0.98199999999999998</v>
      </c>
      <c r="H113" s="118">
        <f>VLOOKUP($A113,'BC.124+900 '!$B$13:$X$862,14,0)/1000</f>
        <v>1.833</v>
      </c>
      <c r="I113" s="118">
        <f>VLOOKUP($A113,'BC.124+900 '!$B$13:$X$862,15,0)/1000</f>
        <v>-1.167</v>
      </c>
      <c r="J113" s="118">
        <f>VLOOKUP($A113,'BC.124+900 '!$B$13:$X$862,20,0)/1000</f>
        <v>2.0880000000000001</v>
      </c>
      <c r="K113" s="118">
        <f>VLOOKUP($A113,'BC.124+900 '!$B$13:$X$862,21,0)/1000</f>
        <v>-0.91200000000000003</v>
      </c>
      <c r="L113" s="117">
        <f t="shared" si="13"/>
        <v>-861</v>
      </c>
      <c r="M113" s="117">
        <f t="shared" si="14"/>
        <v>-1044</v>
      </c>
      <c r="N113" s="117">
        <f t="shared" si="15"/>
        <v>-799</v>
      </c>
      <c r="O113" s="117"/>
    </row>
    <row r="114" spans="1:15" ht="14.4" customHeight="1">
      <c r="A114" s="74">
        <f>'BC.124+900 '!B114</f>
        <v>45582</v>
      </c>
      <c r="B114" s="117">
        <v>102</v>
      </c>
      <c r="C114" s="118">
        <f>'BC.124+900 '!M114/1000</f>
        <v>2.13</v>
      </c>
      <c r="D114" s="118">
        <f>'BC.124+900 '!AA114</f>
        <v>3.2359999999999998</v>
      </c>
      <c r="E114" s="119">
        <f t="shared" si="12"/>
        <v>3.1840000000000002</v>
      </c>
      <c r="F114" s="118">
        <f>VLOOKUP($A114,'BC.124+900 '!$B$13:$X$862,8,0)/1000</f>
        <v>2.008</v>
      </c>
      <c r="G114" s="118">
        <f>VLOOKUP($A114,'BC.124+900 '!$B$13:$X$862,9,0)/1000</f>
        <v>-0.99199999999999999</v>
      </c>
      <c r="H114" s="118">
        <f>VLOOKUP($A114,'BC.124+900 '!$B$13:$X$862,14,0)/1000</f>
        <v>1.823</v>
      </c>
      <c r="I114" s="118">
        <f>VLOOKUP($A114,'BC.124+900 '!$B$13:$X$862,15,0)/1000</f>
        <v>-1.177</v>
      </c>
      <c r="J114" s="118">
        <f>VLOOKUP($A114,'BC.124+900 '!$B$13:$X$862,20,0)/1000</f>
        <v>2.0819999999999999</v>
      </c>
      <c r="K114" s="118">
        <f>VLOOKUP($A114,'BC.124+900 '!$B$13:$X$862,21,0)/1000</f>
        <v>-0.91800000000000004</v>
      </c>
      <c r="L114" s="117">
        <f t="shared" si="13"/>
        <v>-871</v>
      </c>
      <c r="M114" s="117">
        <f t="shared" si="14"/>
        <v>-1054</v>
      </c>
      <c r="N114" s="117">
        <f t="shared" si="15"/>
        <v>-805</v>
      </c>
      <c r="O114" s="117"/>
    </row>
    <row r="115" spans="1:15" ht="14.4" customHeight="1">
      <c r="A115" s="74">
        <f>'BC.124+900 '!B115</f>
        <v>45583</v>
      </c>
      <c r="B115" s="117">
        <v>103</v>
      </c>
      <c r="C115" s="118">
        <f>'BC.124+900 '!M115/1000</f>
        <v>2.12</v>
      </c>
      <c r="D115" s="118">
        <f>'BC.124+900 '!AA115</f>
        <v>3.2359999999999998</v>
      </c>
      <c r="E115" s="119">
        <f t="shared" si="12"/>
        <v>3.1840000000000002</v>
      </c>
      <c r="F115" s="118">
        <f>VLOOKUP($A115,'BC.124+900 '!$B$13:$X$862,8,0)/1000</f>
        <v>1.998</v>
      </c>
      <c r="G115" s="118">
        <f>VLOOKUP($A115,'BC.124+900 '!$B$13:$X$862,9,0)/1000</f>
        <v>-1.002</v>
      </c>
      <c r="H115" s="118">
        <f>VLOOKUP($A115,'BC.124+900 '!$B$13:$X$862,14,0)/1000</f>
        <v>1.8129999999999999</v>
      </c>
      <c r="I115" s="118">
        <f>VLOOKUP($A115,'BC.124+900 '!$B$13:$X$862,15,0)/1000</f>
        <v>-1.1870000000000001</v>
      </c>
      <c r="J115" s="118">
        <f>VLOOKUP($A115,'BC.124+900 '!$B$13:$X$862,20,0)/1000</f>
        <v>2.0779999999999998</v>
      </c>
      <c r="K115" s="118">
        <f>VLOOKUP($A115,'BC.124+900 '!$B$13:$X$862,21,0)/1000</f>
        <v>-0.92200000000000004</v>
      </c>
      <c r="L115" s="117">
        <f t="shared" si="13"/>
        <v>-881</v>
      </c>
      <c r="M115" s="117">
        <f t="shared" si="14"/>
        <v>-1064</v>
      </c>
      <c r="N115" s="117">
        <f t="shared" si="15"/>
        <v>-809</v>
      </c>
      <c r="O115" s="117"/>
    </row>
    <row r="116" spans="1:15" ht="14.4" customHeight="1">
      <c r="A116" s="74">
        <f>'BC.124+900 '!B116</f>
        <v>45584</v>
      </c>
      <c r="B116" s="117">
        <v>104</v>
      </c>
      <c r="C116" s="118">
        <f>'BC.124+900 '!M116/1000</f>
        <v>2.11</v>
      </c>
      <c r="D116" s="118">
        <f>'BC.124+900 '!AA116</f>
        <v>3.2359999999999998</v>
      </c>
      <c r="E116" s="119">
        <f t="shared" si="12"/>
        <v>3.1840000000000002</v>
      </c>
      <c r="F116" s="118">
        <f>VLOOKUP($A116,'BC.124+900 '!$B$13:$X$862,8,0)/1000</f>
        <v>1.988</v>
      </c>
      <c r="G116" s="118">
        <f>VLOOKUP($A116,'BC.124+900 '!$B$13:$X$862,9,0)/1000</f>
        <v>-1.012</v>
      </c>
      <c r="H116" s="118">
        <f>VLOOKUP($A116,'BC.124+900 '!$B$13:$X$862,14,0)/1000</f>
        <v>1.8029999999999999</v>
      </c>
      <c r="I116" s="118">
        <f>VLOOKUP($A116,'BC.124+900 '!$B$13:$X$862,15,0)/1000</f>
        <v>-1.1970000000000001</v>
      </c>
      <c r="J116" s="118">
        <f>VLOOKUP($A116,'BC.124+900 '!$B$13:$X$862,20,0)/1000</f>
        <v>2.0750000000000002</v>
      </c>
      <c r="K116" s="118">
        <f>VLOOKUP($A116,'BC.124+900 '!$B$13:$X$862,21,0)/1000</f>
        <v>-0.92500000000000004</v>
      </c>
      <c r="L116" s="117">
        <f t="shared" si="13"/>
        <v>-891</v>
      </c>
      <c r="M116" s="117">
        <f t="shared" si="14"/>
        <v>-1074</v>
      </c>
      <c r="N116" s="117">
        <f t="shared" si="15"/>
        <v>-812</v>
      </c>
      <c r="O116" s="117"/>
    </row>
    <row r="117" spans="1:15" ht="14.4" customHeight="1">
      <c r="A117" s="74">
        <f>'BC.124+900 '!B117</f>
        <v>45585</v>
      </c>
      <c r="B117" s="117">
        <v>105</v>
      </c>
      <c r="C117" s="118">
        <f>'BC.124+900 '!M117/1000</f>
        <v>2.34</v>
      </c>
      <c r="D117" s="118">
        <f>'BC.124+900 '!AA117</f>
        <v>3.4659999999999997</v>
      </c>
      <c r="E117" s="119">
        <f t="shared" si="12"/>
        <v>3.4289999999999998</v>
      </c>
      <c r="F117" s="118">
        <f>VLOOKUP($A117,'BC.124+900 '!$B$13:$X$862,8,0)/1000</f>
        <v>1.978</v>
      </c>
      <c r="G117" s="118">
        <f>VLOOKUP($A117,'BC.124+900 '!$B$13:$X$862,9,0)/1000</f>
        <v>-1.022</v>
      </c>
      <c r="H117" s="118">
        <f>VLOOKUP($A117,'BC.124+900 '!$B$13:$X$862,14,0)/1000</f>
        <v>1.788</v>
      </c>
      <c r="I117" s="118">
        <f>VLOOKUP($A117,'BC.124+900 '!$B$13:$X$862,15,0)/1000</f>
        <v>-1.212</v>
      </c>
      <c r="J117" s="118">
        <f>VLOOKUP($A117,'BC.124+900 '!$B$13:$X$862,20,0)/1000</f>
        <v>2.0699999999999998</v>
      </c>
      <c r="K117" s="118">
        <f>VLOOKUP($A117,'BC.124+900 '!$B$13:$X$862,21,0)/1000</f>
        <v>-0.93</v>
      </c>
      <c r="L117" s="117">
        <f t="shared" si="13"/>
        <v>-901</v>
      </c>
      <c r="M117" s="117">
        <f t="shared" si="14"/>
        <v>-1089</v>
      </c>
      <c r="N117" s="117">
        <f t="shared" si="15"/>
        <v>-817.00000000000011</v>
      </c>
      <c r="O117" s="117"/>
    </row>
    <row r="118" spans="1:15" ht="14.4" customHeight="1">
      <c r="A118" s="74">
        <f>'BC.124+900 '!B118</f>
        <v>45586</v>
      </c>
      <c r="B118" s="117">
        <v>106</v>
      </c>
      <c r="C118" s="118">
        <f>'BC.124+900 '!M118/1000</f>
        <v>2.33</v>
      </c>
      <c r="D118" s="118">
        <f>'BC.124+900 '!AA118</f>
        <v>3.4659999999999997</v>
      </c>
      <c r="E118" s="119">
        <f t="shared" si="12"/>
        <v>3.4290000000000003</v>
      </c>
      <c r="F118" s="118">
        <f>VLOOKUP($A118,'BC.124+900 '!$B$13:$X$862,8,0)/1000</f>
        <v>1.968</v>
      </c>
      <c r="G118" s="118">
        <f>VLOOKUP($A118,'BC.124+900 '!$B$13:$X$862,9,0)/1000</f>
        <v>-1.032</v>
      </c>
      <c r="H118" s="118">
        <f>VLOOKUP($A118,'BC.124+900 '!$B$13:$X$862,14,0)/1000</f>
        <v>1.778</v>
      </c>
      <c r="I118" s="118">
        <f>VLOOKUP($A118,'BC.124+900 '!$B$13:$X$862,15,0)/1000</f>
        <v>-1.222</v>
      </c>
      <c r="J118" s="118">
        <f>VLOOKUP($A118,'BC.124+900 '!$B$13:$X$862,20,0)/1000</f>
        <v>2.0659999999999998</v>
      </c>
      <c r="K118" s="118">
        <f>VLOOKUP($A118,'BC.124+900 '!$B$13:$X$862,21,0)/1000</f>
        <v>-0.93400000000000005</v>
      </c>
      <c r="L118" s="117">
        <f t="shared" si="13"/>
        <v>-911</v>
      </c>
      <c r="M118" s="117">
        <f t="shared" si="14"/>
        <v>-1099</v>
      </c>
      <c r="N118" s="117">
        <f t="shared" si="15"/>
        <v>-821.00000000000011</v>
      </c>
      <c r="O118" s="117"/>
    </row>
    <row r="119" spans="1:15" ht="14.4" customHeight="1">
      <c r="A119" s="74">
        <f>'BC.124+900 '!B119</f>
        <v>45587</v>
      </c>
      <c r="B119" s="117">
        <v>107</v>
      </c>
      <c r="C119" s="118">
        <f>'BC.124+900 '!M119/1000</f>
        <v>2.3199999999999998</v>
      </c>
      <c r="D119" s="118">
        <f>'BC.124+900 '!AA119</f>
        <v>3.4659999999999997</v>
      </c>
      <c r="E119" s="119">
        <f t="shared" si="12"/>
        <v>3.4289999999999998</v>
      </c>
      <c r="F119" s="118">
        <f>VLOOKUP($A119,'BC.124+900 '!$B$13:$X$862,8,0)/1000</f>
        <v>1.958</v>
      </c>
      <c r="G119" s="118">
        <f>VLOOKUP($A119,'BC.124+900 '!$B$13:$X$862,9,0)/1000</f>
        <v>-1.042</v>
      </c>
      <c r="H119" s="118">
        <f>VLOOKUP($A119,'BC.124+900 '!$B$13:$X$862,14,0)/1000</f>
        <v>1.768</v>
      </c>
      <c r="I119" s="118">
        <f>VLOOKUP($A119,'BC.124+900 '!$B$13:$X$862,15,0)/1000</f>
        <v>-1.232</v>
      </c>
      <c r="J119" s="118">
        <f>VLOOKUP($A119,'BC.124+900 '!$B$13:$X$862,20,0)/1000</f>
        <v>2.0630000000000002</v>
      </c>
      <c r="K119" s="118">
        <f>VLOOKUP($A119,'BC.124+900 '!$B$13:$X$862,21,0)/1000</f>
        <v>-0.93700000000000006</v>
      </c>
      <c r="L119" s="117">
        <f t="shared" si="13"/>
        <v>-921</v>
      </c>
      <c r="M119" s="117">
        <f t="shared" si="14"/>
        <v>-1109</v>
      </c>
      <c r="N119" s="117">
        <f t="shared" si="15"/>
        <v>-824.00000000000011</v>
      </c>
      <c r="O119" s="117"/>
    </row>
    <row r="120" spans="1:15" ht="14.4" customHeight="1">
      <c r="A120" s="74">
        <f>'BC.124+900 '!B120</f>
        <v>45588</v>
      </c>
      <c r="B120" s="117">
        <v>108</v>
      </c>
      <c r="C120" s="118">
        <f>'BC.124+900 '!M120/1000</f>
        <v>2.5299999999999998</v>
      </c>
      <c r="D120" s="118">
        <f>'BC.124+900 '!AA120</f>
        <v>3.6759999999999997</v>
      </c>
      <c r="E120" s="119">
        <f t="shared" si="12"/>
        <v>3.649</v>
      </c>
      <c r="F120" s="118">
        <f>VLOOKUP($A120,'BC.124+900 '!$B$13:$X$862,8,0)/1000</f>
        <v>1.948</v>
      </c>
      <c r="G120" s="118">
        <f>VLOOKUP($A120,'BC.124+900 '!$B$13:$X$862,9,0)/1000</f>
        <v>-1.052</v>
      </c>
      <c r="H120" s="118">
        <f>VLOOKUP($A120,'BC.124+900 '!$B$13:$X$862,14,0)/1000</f>
        <v>1.758</v>
      </c>
      <c r="I120" s="118">
        <f>VLOOKUP($A120,'BC.124+900 '!$B$13:$X$862,15,0)/1000</f>
        <v>-1.242</v>
      </c>
      <c r="J120" s="118">
        <f>VLOOKUP($A120,'BC.124+900 '!$B$13:$X$862,20,0)/1000</f>
        <v>2.0609999999999999</v>
      </c>
      <c r="K120" s="118">
        <f>VLOOKUP($A120,'BC.124+900 '!$B$13:$X$862,21,0)/1000</f>
        <v>-0.93899999999999995</v>
      </c>
      <c r="L120" s="117">
        <f t="shared" si="13"/>
        <v>-931</v>
      </c>
      <c r="M120" s="117">
        <f t="shared" si="14"/>
        <v>-1119</v>
      </c>
      <c r="N120" s="117">
        <f t="shared" si="15"/>
        <v>-826</v>
      </c>
      <c r="O120" s="117"/>
    </row>
    <row r="121" spans="1:15" ht="14.4" customHeight="1">
      <c r="A121" s="74">
        <f>'BC.124+900 '!B121</f>
        <v>45589</v>
      </c>
      <c r="B121" s="117">
        <v>109</v>
      </c>
      <c r="C121" s="118">
        <f>'BC.124+900 '!M121/1000</f>
        <v>2.52</v>
      </c>
      <c r="D121" s="118">
        <f>'BC.124+900 '!AA121</f>
        <v>3.6759999999999997</v>
      </c>
      <c r="E121" s="119">
        <f t="shared" si="12"/>
        <v>3.649</v>
      </c>
      <c r="F121" s="118">
        <f>VLOOKUP($A121,'BC.124+900 '!$B$13:$X$862,8,0)/1000</f>
        <v>1.9379999999999999</v>
      </c>
      <c r="G121" s="118">
        <f>VLOOKUP($A121,'BC.124+900 '!$B$13:$X$862,9,0)/1000</f>
        <v>-1.0620000000000001</v>
      </c>
      <c r="H121" s="118">
        <f>VLOOKUP($A121,'BC.124+900 '!$B$13:$X$862,14,0)/1000</f>
        <v>1.748</v>
      </c>
      <c r="I121" s="118">
        <f>VLOOKUP($A121,'BC.124+900 '!$B$13:$X$862,15,0)/1000</f>
        <v>-1.252</v>
      </c>
      <c r="J121" s="118">
        <f>VLOOKUP($A121,'BC.124+900 '!$B$13:$X$862,20,0)/1000</f>
        <v>2.056</v>
      </c>
      <c r="K121" s="118">
        <f>VLOOKUP($A121,'BC.124+900 '!$B$13:$X$862,21,0)/1000</f>
        <v>-0.94399999999999995</v>
      </c>
      <c r="L121" s="117">
        <f t="shared" si="13"/>
        <v>-941.00000000000011</v>
      </c>
      <c r="M121" s="117">
        <f t="shared" si="14"/>
        <v>-1129</v>
      </c>
      <c r="N121" s="117">
        <f t="shared" si="15"/>
        <v>-831</v>
      </c>
      <c r="O121" s="117"/>
    </row>
    <row r="122" spans="1:15" ht="14.4" customHeight="1">
      <c r="A122" s="74">
        <f>'BC.124+900 '!B122</f>
        <v>45590</v>
      </c>
      <c r="B122" s="117">
        <v>110</v>
      </c>
      <c r="C122" s="118">
        <f>'BC.124+900 '!M122/1000</f>
        <v>2.5099999999999998</v>
      </c>
      <c r="D122" s="118">
        <f>'BC.124+900 '!AA122</f>
        <v>3.6759999999999997</v>
      </c>
      <c r="E122" s="119">
        <f t="shared" si="12"/>
        <v>3.649</v>
      </c>
      <c r="F122" s="118">
        <f>VLOOKUP($A122,'BC.124+900 '!$B$13:$X$862,8,0)/1000</f>
        <v>1.9279999999999999</v>
      </c>
      <c r="G122" s="118">
        <f>VLOOKUP($A122,'BC.124+900 '!$B$13:$X$862,9,0)/1000</f>
        <v>-1.0720000000000001</v>
      </c>
      <c r="H122" s="118">
        <f>VLOOKUP($A122,'BC.124+900 '!$B$13:$X$862,14,0)/1000</f>
        <v>1.738</v>
      </c>
      <c r="I122" s="118">
        <f>VLOOKUP($A122,'BC.124+900 '!$B$13:$X$862,15,0)/1000</f>
        <v>-1.262</v>
      </c>
      <c r="J122" s="118">
        <f>VLOOKUP($A122,'BC.124+900 '!$B$13:$X$862,20,0)/1000</f>
        <v>2.052</v>
      </c>
      <c r="K122" s="118">
        <f>VLOOKUP($A122,'BC.124+900 '!$B$13:$X$862,21,0)/1000</f>
        <v>-0.94799999999999995</v>
      </c>
      <c r="L122" s="117">
        <f t="shared" si="13"/>
        <v>-951.00000000000011</v>
      </c>
      <c r="M122" s="117">
        <f t="shared" si="14"/>
        <v>-1139</v>
      </c>
      <c r="N122" s="117">
        <f t="shared" si="15"/>
        <v>-835</v>
      </c>
      <c r="O122" s="117"/>
    </row>
    <row r="123" spans="1:15" ht="14.4" customHeight="1">
      <c r="A123" s="74">
        <f>'BC.124+900 '!B123</f>
        <v>45591</v>
      </c>
      <c r="B123" s="117">
        <v>111</v>
      </c>
      <c r="C123" s="118">
        <f>'BC.124+900 '!M123/1000</f>
        <v>2.74</v>
      </c>
      <c r="D123" s="118">
        <f>'BC.124+900 '!AA123</f>
        <v>3.9059999999999997</v>
      </c>
      <c r="E123" s="119">
        <f t="shared" si="12"/>
        <v>3.8940000000000001</v>
      </c>
      <c r="F123" s="118">
        <f>VLOOKUP($A123,'BC.124+900 '!$B$13:$X$862,8,0)/1000</f>
        <v>1.9179999999999999</v>
      </c>
      <c r="G123" s="118">
        <f>VLOOKUP($A123,'BC.124+900 '!$B$13:$X$862,9,0)/1000</f>
        <v>-1.0820000000000001</v>
      </c>
      <c r="H123" s="118">
        <f>VLOOKUP($A123,'BC.124+900 '!$B$13:$X$862,14,0)/1000</f>
        <v>1.7230000000000001</v>
      </c>
      <c r="I123" s="118">
        <f>VLOOKUP($A123,'BC.124+900 '!$B$13:$X$862,15,0)/1000</f>
        <v>-1.2769999999999999</v>
      </c>
      <c r="J123" s="118">
        <f>VLOOKUP($A123,'BC.124+900 '!$B$13:$X$862,20,0)/1000</f>
        <v>2.044</v>
      </c>
      <c r="K123" s="118">
        <f>VLOOKUP($A123,'BC.124+900 '!$B$13:$X$862,21,0)/1000</f>
        <v>-0.95599999999999996</v>
      </c>
      <c r="L123" s="117">
        <f t="shared" si="13"/>
        <v>-961.00000000000011</v>
      </c>
      <c r="M123" s="117">
        <f t="shared" si="14"/>
        <v>-1154</v>
      </c>
      <c r="N123" s="117">
        <f t="shared" si="15"/>
        <v>-843</v>
      </c>
      <c r="O123" s="117"/>
    </row>
    <row r="124" spans="1:15" ht="14.4" customHeight="1">
      <c r="A124" s="74">
        <f>'BC.124+900 '!B124</f>
        <v>45592</v>
      </c>
      <c r="B124" s="117">
        <v>112</v>
      </c>
      <c r="C124" s="118">
        <f>'BC.124+900 '!M124/1000</f>
        <v>2.73</v>
      </c>
      <c r="D124" s="118">
        <f>'BC.124+900 '!AA124</f>
        <v>3.9059999999999997</v>
      </c>
      <c r="E124" s="119">
        <f t="shared" si="12"/>
        <v>3.8940000000000001</v>
      </c>
      <c r="F124" s="118">
        <f>VLOOKUP($A124,'BC.124+900 '!$B$13:$X$862,8,0)/1000</f>
        <v>1.9079999999999999</v>
      </c>
      <c r="G124" s="118">
        <f>VLOOKUP($A124,'BC.124+900 '!$B$13:$X$862,9,0)/1000</f>
        <v>-1.0920000000000001</v>
      </c>
      <c r="H124" s="118">
        <f>VLOOKUP($A124,'BC.124+900 '!$B$13:$X$862,14,0)/1000</f>
        <v>1.7130000000000001</v>
      </c>
      <c r="I124" s="118">
        <f>VLOOKUP($A124,'BC.124+900 '!$B$13:$X$862,15,0)/1000</f>
        <v>-1.2869999999999999</v>
      </c>
      <c r="J124" s="118">
        <f>VLOOKUP($A124,'BC.124+900 '!$B$13:$X$862,20,0)/1000</f>
        <v>2.0369999999999999</v>
      </c>
      <c r="K124" s="118">
        <f>VLOOKUP($A124,'BC.124+900 '!$B$13:$X$862,21,0)/1000</f>
        <v>-0.96299999999999997</v>
      </c>
      <c r="L124" s="117">
        <f t="shared" si="13"/>
        <v>-971.00000000000011</v>
      </c>
      <c r="M124" s="117">
        <f t="shared" si="14"/>
        <v>-1164</v>
      </c>
      <c r="N124" s="117">
        <f t="shared" si="15"/>
        <v>-850</v>
      </c>
      <c r="O124" s="117"/>
    </row>
    <row r="125" spans="1:15" ht="14.4" customHeight="1">
      <c r="A125" s="74">
        <f>'BC.124+900 '!B125</f>
        <v>45593</v>
      </c>
      <c r="B125" s="117">
        <v>113</v>
      </c>
      <c r="C125" s="118">
        <f>'BC.124+900 '!M125/1000</f>
        <v>2.93</v>
      </c>
      <c r="D125" s="118">
        <f>'BC.124+900 '!AA125</f>
        <v>4.1059999999999999</v>
      </c>
      <c r="E125" s="119">
        <f t="shared" si="12"/>
        <v>4.1040000000000001</v>
      </c>
      <c r="F125" s="118">
        <f>VLOOKUP($A125,'BC.124+900 '!$B$13:$X$862,8,0)/1000</f>
        <v>1.8979999999999999</v>
      </c>
      <c r="G125" s="118">
        <f>VLOOKUP($A125,'BC.124+900 '!$B$13:$X$862,9,0)/1000</f>
        <v>-1.1020000000000001</v>
      </c>
      <c r="H125" s="118">
        <f>VLOOKUP($A125,'BC.124+900 '!$B$13:$X$862,14,0)/1000</f>
        <v>1.7030000000000001</v>
      </c>
      <c r="I125" s="118">
        <f>VLOOKUP($A125,'BC.124+900 '!$B$13:$X$862,15,0)/1000</f>
        <v>-1.2969999999999999</v>
      </c>
      <c r="J125" s="118">
        <f>VLOOKUP($A125,'BC.124+900 '!$B$13:$X$862,20,0)/1000</f>
        <v>2.0289999999999999</v>
      </c>
      <c r="K125" s="118">
        <f>VLOOKUP($A125,'BC.124+900 '!$B$13:$X$862,21,0)/1000</f>
        <v>-0.97099999999999997</v>
      </c>
      <c r="L125" s="117">
        <f t="shared" si="13"/>
        <v>-981.00000000000011</v>
      </c>
      <c r="M125" s="117">
        <f t="shared" si="14"/>
        <v>-1174</v>
      </c>
      <c r="N125" s="117">
        <f t="shared" si="15"/>
        <v>-858</v>
      </c>
      <c r="O125" s="117"/>
    </row>
    <row r="126" spans="1:15" ht="14.4" customHeight="1">
      <c r="A126" s="74">
        <f>'BC.124+900 '!B126</f>
        <v>45594</v>
      </c>
      <c r="B126" s="117">
        <v>114</v>
      </c>
      <c r="C126" s="118">
        <f>'BC.124+900 '!M126/1000</f>
        <v>2.92</v>
      </c>
      <c r="D126" s="118">
        <f>'BC.124+900 '!AA126</f>
        <v>4.1059999999999999</v>
      </c>
      <c r="E126" s="119">
        <f t="shared" si="12"/>
        <v>4.1040000000000001</v>
      </c>
      <c r="F126" s="118">
        <f>VLOOKUP($A126,'BC.124+900 '!$B$13:$X$862,8,0)/1000</f>
        <v>1.8879999999999999</v>
      </c>
      <c r="G126" s="118">
        <f>VLOOKUP($A126,'BC.124+900 '!$B$13:$X$862,9,0)/1000</f>
        <v>-1.1120000000000001</v>
      </c>
      <c r="H126" s="118">
        <f>VLOOKUP($A126,'BC.124+900 '!$B$13:$X$862,14,0)/1000</f>
        <v>1.6930000000000001</v>
      </c>
      <c r="I126" s="118">
        <f>VLOOKUP($A126,'BC.124+900 '!$B$13:$X$862,15,0)/1000</f>
        <v>-1.3069999999999999</v>
      </c>
      <c r="J126" s="118">
        <f>VLOOKUP($A126,'BC.124+900 '!$B$13:$X$862,20,0)/1000</f>
        <v>2.0230000000000001</v>
      </c>
      <c r="K126" s="118">
        <f>VLOOKUP($A126,'BC.124+900 '!$B$13:$X$862,21,0)/1000</f>
        <v>-0.97699999999999998</v>
      </c>
      <c r="L126" s="117">
        <f t="shared" si="13"/>
        <v>-991.00000000000011</v>
      </c>
      <c r="M126" s="117">
        <f t="shared" si="14"/>
        <v>-1184</v>
      </c>
      <c r="N126" s="117">
        <f t="shared" si="15"/>
        <v>-864</v>
      </c>
      <c r="O126" s="117"/>
    </row>
    <row r="127" spans="1:15" ht="14.4" customHeight="1">
      <c r="A127" s="74">
        <f>'BC.124+900 '!B127</f>
        <v>45595</v>
      </c>
      <c r="B127" s="117">
        <v>115</v>
      </c>
      <c r="C127" s="118">
        <f>'BC.124+900 '!M127/1000</f>
        <v>2.91</v>
      </c>
      <c r="D127" s="118">
        <f>'BC.124+900 '!AA127</f>
        <v>4.1059999999999999</v>
      </c>
      <c r="E127" s="119">
        <f t="shared" si="12"/>
        <v>4.1040000000000001</v>
      </c>
      <c r="F127" s="118">
        <f>VLOOKUP($A127,'BC.124+900 '!$B$13:$X$862,8,0)/1000</f>
        <v>1.8779999999999999</v>
      </c>
      <c r="G127" s="118">
        <f>VLOOKUP($A127,'BC.124+900 '!$B$13:$X$862,9,0)/1000</f>
        <v>-1.1220000000000001</v>
      </c>
      <c r="H127" s="118">
        <f>VLOOKUP($A127,'BC.124+900 '!$B$13:$X$862,14,0)/1000</f>
        <v>1.6830000000000001</v>
      </c>
      <c r="I127" s="118">
        <f>VLOOKUP($A127,'BC.124+900 '!$B$13:$X$862,15,0)/1000</f>
        <v>-1.3169999999999999</v>
      </c>
      <c r="J127" s="118">
        <f>VLOOKUP($A127,'BC.124+900 '!$B$13:$X$862,20,0)/1000</f>
        <v>2.0190000000000001</v>
      </c>
      <c r="K127" s="118">
        <f>VLOOKUP($A127,'BC.124+900 '!$B$13:$X$862,21,0)/1000</f>
        <v>-0.98099999999999998</v>
      </c>
      <c r="L127" s="117">
        <f t="shared" si="13"/>
        <v>-1001.0000000000001</v>
      </c>
      <c r="M127" s="117">
        <f t="shared" si="14"/>
        <v>-1194</v>
      </c>
      <c r="N127" s="117">
        <f t="shared" si="15"/>
        <v>-868</v>
      </c>
      <c r="O127" s="117"/>
    </row>
    <row r="128" spans="1:15" ht="14.4" customHeight="1">
      <c r="A128" s="74">
        <f>'BC.124+900 '!B128</f>
        <v>45596</v>
      </c>
      <c r="B128" s="117">
        <v>116</v>
      </c>
      <c r="C128" s="118">
        <f>'BC.124+900 '!M128/1000</f>
        <v>3.13</v>
      </c>
      <c r="D128" s="118">
        <f>'BC.124+900 '!AA128</f>
        <v>4.3259999999999996</v>
      </c>
      <c r="E128" s="119">
        <f t="shared" si="12"/>
        <v>4.3390000000000004</v>
      </c>
      <c r="F128" s="118">
        <f>VLOOKUP($A128,'BC.124+900 '!$B$13:$X$862,8,0)/1000</f>
        <v>1.8680000000000001</v>
      </c>
      <c r="G128" s="118">
        <f>VLOOKUP($A128,'BC.124+900 '!$B$13:$X$862,9,0)/1000</f>
        <v>-1.1319999999999999</v>
      </c>
      <c r="H128" s="118">
        <f>VLOOKUP($A128,'BC.124+900 '!$B$13:$X$862,14,0)/1000</f>
        <v>1.6679999999999999</v>
      </c>
      <c r="I128" s="118">
        <f>VLOOKUP($A128,'BC.124+900 '!$B$13:$X$862,15,0)/1000</f>
        <v>-1.3320000000000001</v>
      </c>
      <c r="J128" s="118">
        <f>VLOOKUP($A128,'BC.124+900 '!$B$13:$X$862,20,0)/1000</f>
        <v>2.0110000000000001</v>
      </c>
      <c r="K128" s="118">
        <f>VLOOKUP($A128,'BC.124+900 '!$B$13:$X$862,21,0)/1000</f>
        <v>-0.98899999999999999</v>
      </c>
      <c r="L128" s="117">
        <f t="shared" si="13"/>
        <v>-1010.9999999999999</v>
      </c>
      <c r="M128" s="117">
        <f t="shared" si="14"/>
        <v>-1209</v>
      </c>
      <c r="N128" s="117">
        <f t="shared" si="15"/>
        <v>-876</v>
      </c>
      <c r="O128" s="117"/>
    </row>
    <row r="129" spans="1:15" ht="14.4" customHeight="1">
      <c r="A129" s="74">
        <f>'BC.124+900 '!B129</f>
        <v>45597</v>
      </c>
      <c r="B129" s="117">
        <v>117</v>
      </c>
      <c r="C129" s="118">
        <f>'BC.124+900 '!M129/1000</f>
        <v>3.12</v>
      </c>
      <c r="D129" s="118">
        <f>'BC.124+900 '!AA129</f>
        <v>4.3259999999999996</v>
      </c>
      <c r="E129" s="119">
        <f t="shared" si="12"/>
        <v>4.3390000000000004</v>
      </c>
      <c r="F129" s="118">
        <f>VLOOKUP($A129,'BC.124+900 '!$B$13:$X$862,8,0)/1000</f>
        <v>1.8580000000000001</v>
      </c>
      <c r="G129" s="118">
        <f>VLOOKUP($A129,'BC.124+900 '!$B$13:$X$862,9,0)/1000</f>
        <v>-1.1419999999999999</v>
      </c>
      <c r="H129" s="118">
        <f>VLOOKUP($A129,'BC.124+900 '!$B$13:$X$862,14,0)/1000</f>
        <v>1.6579999999999999</v>
      </c>
      <c r="I129" s="118">
        <f>VLOOKUP($A129,'BC.124+900 '!$B$13:$X$862,15,0)/1000</f>
        <v>-1.3420000000000001</v>
      </c>
      <c r="J129" s="118">
        <f>VLOOKUP($A129,'BC.124+900 '!$B$13:$X$862,20,0)/1000</f>
        <v>2.004</v>
      </c>
      <c r="K129" s="118">
        <f>VLOOKUP($A129,'BC.124+900 '!$B$13:$X$862,21,0)/1000</f>
        <v>-0.996</v>
      </c>
      <c r="L129" s="117">
        <f t="shared" si="13"/>
        <v>-1020.9999999999999</v>
      </c>
      <c r="M129" s="117">
        <f t="shared" si="14"/>
        <v>-1219</v>
      </c>
      <c r="N129" s="117">
        <f t="shared" si="15"/>
        <v>-883</v>
      </c>
      <c r="O129" s="117"/>
    </row>
    <row r="130" spans="1:15" ht="14.4" customHeight="1">
      <c r="A130" s="74">
        <f>'BC.124+900 '!B130</f>
        <v>45598</v>
      </c>
      <c r="B130" s="117">
        <v>118</v>
      </c>
      <c r="C130" s="118">
        <f>'BC.124+900 '!M130/1000</f>
        <v>3.11</v>
      </c>
      <c r="D130" s="118">
        <f>'BC.124+900 '!AA130</f>
        <v>4.3259999999999996</v>
      </c>
      <c r="E130" s="119">
        <f t="shared" si="12"/>
        <v>4.3390000000000004</v>
      </c>
      <c r="F130" s="118">
        <f>VLOOKUP($A130,'BC.124+900 '!$B$13:$X$862,8,0)/1000</f>
        <v>1.8480000000000001</v>
      </c>
      <c r="G130" s="118">
        <f>VLOOKUP($A130,'BC.124+900 '!$B$13:$X$862,9,0)/1000</f>
        <v>-1.1519999999999999</v>
      </c>
      <c r="H130" s="118">
        <f>VLOOKUP($A130,'BC.124+900 '!$B$13:$X$862,14,0)/1000</f>
        <v>1.6479999999999999</v>
      </c>
      <c r="I130" s="118">
        <f>VLOOKUP($A130,'BC.124+900 '!$B$13:$X$862,15,0)/1000</f>
        <v>-1.3520000000000001</v>
      </c>
      <c r="J130" s="118">
        <f>VLOOKUP($A130,'BC.124+900 '!$B$13:$X$862,20,0)/1000</f>
        <v>1.998</v>
      </c>
      <c r="K130" s="118">
        <f>VLOOKUP($A130,'BC.124+900 '!$B$13:$X$862,21,0)/1000</f>
        <v>-1.002</v>
      </c>
      <c r="L130" s="117">
        <f t="shared" si="13"/>
        <v>-1031</v>
      </c>
      <c r="M130" s="117">
        <f t="shared" si="14"/>
        <v>-1229</v>
      </c>
      <c r="N130" s="117">
        <f t="shared" si="15"/>
        <v>-889</v>
      </c>
      <c r="O130" s="117"/>
    </row>
    <row r="131" spans="1:15" ht="14.4" customHeight="1">
      <c r="A131" s="74">
        <f>'BC.124+900 '!B131</f>
        <v>45599</v>
      </c>
      <c r="B131" s="117">
        <v>119</v>
      </c>
      <c r="C131" s="118">
        <f>'BC.124+900 '!M131/1000</f>
        <v>3.33</v>
      </c>
      <c r="D131" s="118">
        <f>'BC.124+900 '!AA131</f>
        <v>4.5459999999999994</v>
      </c>
      <c r="E131" s="119">
        <f t="shared" si="12"/>
        <v>4.5739999999999998</v>
      </c>
      <c r="F131" s="118">
        <f>VLOOKUP($A131,'BC.124+900 '!$B$13:$X$862,8,0)/1000</f>
        <v>1.8380000000000001</v>
      </c>
      <c r="G131" s="118">
        <f>VLOOKUP($A131,'BC.124+900 '!$B$13:$X$862,9,0)/1000</f>
        <v>-1.1619999999999999</v>
      </c>
      <c r="H131" s="118">
        <f>VLOOKUP($A131,'BC.124+900 '!$B$13:$X$862,14,0)/1000</f>
        <v>1.633</v>
      </c>
      <c r="I131" s="118">
        <f>VLOOKUP($A131,'BC.124+900 '!$B$13:$X$862,15,0)/1000</f>
        <v>-1.367</v>
      </c>
      <c r="J131" s="118">
        <f>VLOOKUP($A131,'BC.124+900 '!$B$13:$X$862,20,0)/1000</f>
        <v>1.9930000000000001</v>
      </c>
      <c r="K131" s="118">
        <f>VLOOKUP($A131,'BC.124+900 '!$B$13:$X$862,21,0)/1000</f>
        <v>-1.0069999999999999</v>
      </c>
      <c r="L131" s="117">
        <f t="shared" si="13"/>
        <v>-1041</v>
      </c>
      <c r="M131" s="117">
        <f t="shared" si="14"/>
        <v>-1244</v>
      </c>
      <c r="N131" s="117">
        <f t="shared" si="15"/>
        <v>-893.99999999999989</v>
      </c>
      <c r="O131" s="117"/>
    </row>
    <row r="132" spans="1:15" ht="14.4" customHeight="1">
      <c r="A132" s="74">
        <f>'BC.124+900 '!B132</f>
        <v>45600</v>
      </c>
      <c r="B132" s="117">
        <v>120</v>
      </c>
      <c r="C132" s="118">
        <f>'BC.124+900 '!M132/1000</f>
        <v>3.32</v>
      </c>
      <c r="D132" s="118">
        <f>'BC.124+900 '!AA132</f>
        <v>4.5459999999999994</v>
      </c>
      <c r="E132" s="119">
        <f t="shared" si="12"/>
        <v>4.5739999999999998</v>
      </c>
      <c r="F132" s="118">
        <f>VLOOKUP($A132,'BC.124+900 '!$B$13:$X$862,8,0)/1000</f>
        <v>1.8280000000000001</v>
      </c>
      <c r="G132" s="118">
        <f>VLOOKUP($A132,'BC.124+900 '!$B$13:$X$862,9,0)/1000</f>
        <v>-1.1719999999999999</v>
      </c>
      <c r="H132" s="118">
        <f>VLOOKUP($A132,'BC.124+900 '!$B$13:$X$862,14,0)/1000</f>
        <v>1.623</v>
      </c>
      <c r="I132" s="118">
        <f>VLOOKUP($A132,'BC.124+900 '!$B$13:$X$862,15,0)/1000</f>
        <v>-1.377</v>
      </c>
      <c r="J132" s="118">
        <f>VLOOKUP($A132,'BC.124+900 '!$B$13:$X$862,20,0)/1000</f>
        <v>1.9870000000000001</v>
      </c>
      <c r="K132" s="118">
        <f>VLOOKUP($A132,'BC.124+900 '!$B$13:$X$862,21,0)/1000</f>
        <v>-1.0129999999999999</v>
      </c>
      <c r="L132" s="117">
        <f t="shared" si="13"/>
        <v>-1051</v>
      </c>
      <c r="M132" s="117">
        <f t="shared" si="14"/>
        <v>-1254</v>
      </c>
      <c r="N132" s="117">
        <f t="shared" si="15"/>
        <v>-899.99999999999989</v>
      </c>
      <c r="O132" s="117"/>
    </row>
    <row r="133" spans="1:15" ht="14.4" customHeight="1">
      <c r="A133" s="74">
        <f>'BC.124+900 '!B133</f>
        <v>45601</v>
      </c>
      <c r="B133" s="117">
        <v>121</v>
      </c>
      <c r="C133" s="118">
        <f>'BC.124+900 '!M133/1000</f>
        <v>3.31</v>
      </c>
      <c r="D133" s="118">
        <f>'BC.124+900 '!AA133</f>
        <v>4.5459999999999994</v>
      </c>
      <c r="E133" s="119">
        <f t="shared" si="12"/>
        <v>4.5739999999999998</v>
      </c>
      <c r="F133" s="118">
        <f>VLOOKUP($A133,'BC.124+900 '!$B$13:$X$862,8,0)/1000</f>
        <v>1.8180000000000001</v>
      </c>
      <c r="G133" s="118">
        <f>VLOOKUP($A133,'BC.124+900 '!$B$13:$X$862,9,0)/1000</f>
        <v>-1.1819999999999999</v>
      </c>
      <c r="H133" s="118">
        <f>VLOOKUP($A133,'BC.124+900 '!$B$13:$X$862,14,0)/1000</f>
        <v>1.613</v>
      </c>
      <c r="I133" s="118">
        <f>VLOOKUP($A133,'BC.124+900 '!$B$13:$X$862,15,0)/1000</f>
        <v>-1.387</v>
      </c>
      <c r="J133" s="118">
        <f>VLOOKUP($A133,'BC.124+900 '!$B$13:$X$862,20,0)/1000</f>
        <v>1.982</v>
      </c>
      <c r="K133" s="118">
        <f>VLOOKUP($A133,'BC.124+900 '!$B$13:$X$862,21,0)/1000</f>
        <v>-1.018</v>
      </c>
      <c r="L133" s="117">
        <f t="shared" si="13"/>
        <v>-1061</v>
      </c>
      <c r="M133" s="117">
        <f t="shared" si="14"/>
        <v>-1264</v>
      </c>
      <c r="N133" s="117">
        <f t="shared" si="15"/>
        <v>-905</v>
      </c>
      <c r="O133" s="117"/>
    </row>
    <row r="134" spans="1:15" ht="14.4" customHeight="1">
      <c r="A134" s="74">
        <f>'BC.124+900 '!B134</f>
        <v>45602</v>
      </c>
      <c r="B134" s="117">
        <v>122</v>
      </c>
      <c r="C134" s="118">
        <f>'BC.124+900 '!M134/1000</f>
        <v>3.3</v>
      </c>
      <c r="D134" s="118">
        <f>'BC.124+900 '!AA134</f>
        <v>4.5459999999999994</v>
      </c>
      <c r="E134" s="119">
        <f t="shared" si="12"/>
        <v>4.5739999999999998</v>
      </c>
      <c r="F134" s="118">
        <f>VLOOKUP($A134,'BC.124+900 '!$B$13:$X$862,8,0)/1000</f>
        <v>1.8080000000000001</v>
      </c>
      <c r="G134" s="118">
        <f>VLOOKUP($A134,'BC.124+900 '!$B$13:$X$862,9,0)/1000</f>
        <v>-1.1919999999999999</v>
      </c>
      <c r="H134" s="118">
        <f>VLOOKUP($A134,'BC.124+900 '!$B$13:$X$862,14,0)/1000</f>
        <v>1.603</v>
      </c>
      <c r="I134" s="118">
        <f>VLOOKUP($A134,'BC.124+900 '!$B$13:$X$862,15,0)/1000</f>
        <v>-1.397</v>
      </c>
      <c r="J134" s="118">
        <f>VLOOKUP($A134,'BC.124+900 '!$B$13:$X$862,20,0)/1000</f>
        <v>1.974</v>
      </c>
      <c r="K134" s="118">
        <f>VLOOKUP($A134,'BC.124+900 '!$B$13:$X$862,21,0)/1000</f>
        <v>-1.026</v>
      </c>
      <c r="L134" s="117">
        <f t="shared" si="13"/>
        <v>-1071</v>
      </c>
      <c r="M134" s="117">
        <f t="shared" si="14"/>
        <v>-1274</v>
      </c>
      <c r="N134" s="117">
        <f t="shared" si="15"/>
        <v>-913</v>
      </c>
      <c r="O134" s="117"/>
    </row>
    <row r="135" spans="1:15" ht="14.4" customHeight="1">
      <c r="A135" s="74">
        <f>'BC.124+900 '!B135</f>
        <v>45603</v>
      </c>
      <c r="B135" s="117">
        <v>123</v>
      </c>
      <c r="C135" s="118">
        <f>'BC.124+900 '!M135/1000</f>
        <v>3.2850000000000001</v>
      </c>
      <c r="D135" s="118">
        <f>'BC.124+900 '!AA135</f>
        <v>4.5459999999999994</v>
      </c>
      <c r="E135" s="119">
        <f t="shared" si="12"/>
        <v>4.5739999999999998</v>
      </c>
      <c r="F135" s="118">
        <f>VLOOKUP($A135,'BC.124+900 '!$B$13:$X$862,8,0)/1000</f>
        <v>1.798</v>
      </c>
      <c r="G135" s="118">
        <f>VLOOKUP($A135,'BC.124+900 '!$B$13:$X$862,9,0)/1000</f>
        <v>-1.202</v>
      </c>
      <c r="H135" s="118">
        <f>VLOOKUP($A135,'BC.124+900 '!$B$13:$X$862,14,0)/1000</f>
        <v>1.5880000000000001</v>
      </c>
      <c r="I135" s="118">
        <f>VLOOKUP($A135,'BC.124+900 '!$B$13:$X$862,15,0)/1000</f>
        <v>-1.4119999999999999</v>
      </c>
      <c r="J135" s="118">
        <f>VLOOKUP($A135,'BC.124+900 '!$B$13:$X$862,20,0)/1000</f>
        <v>1.97</v>
      </c>
      <c r="K135" s="118">
        <f>VLOOKUP($A135,'BC.124+900 '!$B$13:$X$862,21,0)/1000</f>
        <v>-1.03</v>
      </c>
      <c r="L135" s="117">
        <f t="shared" si="13"/>
        <v>-1081</v>
      </c>
      <c r="M135" s="117">
        <f t="shared" si="14"/>
        <v>-1289</v>
      </c>
      <c r="N135" s="117">
        <f t="shared" si="15"/>
        <v>-917</v>
      </c>
      <c r="O135" s="117"/>
    </row>
    <row r="136" spans="1:15" ht="14.4" customHeight="1">
      <c r="A136" s="74">
        <f>'BC.124+900 '!B136</f>
        <v>45604</v>
      </c>
      <c r="B136" s="117">
        <v>124</v>
      </c>
      <c r="C136" s="118">
        <f>'BC.124+900 '!M136/1000</f>
        <v>3.53</v>
      </c>
      <c r="D136" s="118">
        <f>'BC.124+900 '!AA136</f>
        <v>4.7909999999999995</v>
      </c>
      <c r="E136" s="119">
        <f t="shared" si="12"/>
        <v>4.8289999999999997</v>
      </c>
      <c r="F136" s="118">
        <f>VLOOKUP($A136,'BC.124+900 '!$B$13:$X$862,8,0)/1000</f>
        <v>1.788</v>
      </c>
      <c r="G136" s="118">
        <f>VLOOKUP($A136,'BC.124+900 '!$B$13:$X$862,9,0)/1000</f>
        <v>-1.212</v>
      </c>
      <c r="H136" s="118">
        <f>VLOOKUP($A136,'BC.124+900 '!$B$13:$X$862,14,0)/1000</f>
        <v>1.5780000000000001</v>
      </c>
      <c r="I136" s="118">
        <f>VLOOKUP($A136,'BC.124+900 '!$B$13:$X$862,15,0)/1000</f>
        <v>-1.4219999999999999</v>
      </c>
      <c r="J136" s="118">
        <f>VLOOKUP($A136,'BC.124+900 '!$B$13:$X$862,20,0)/1000</f>
        <v>1.9650000000000001</v>
      </c>
      <c r="K136" s="118">
        <f>VLOOKUP($A136,'BC.124+900 '!$B$13:$X$862,21,0)/1000</f>
        <v>-1.0349999999999999</v>
      </c>
      <c r="L136" s="117">
        <f t="shared" si="13"/>
        <v>-1091</v>
      </c>
      <c r="M136" s="117">
        <f t="shared" si="14"/>
        <v>-1299</v>
      </c>
      <c r="N136" s="117">
        <f t="shared" si="15"/>
        <v>-921.99999999999989</v>
      </c>
      <c r="O136" s="117"/>
    </row>
    <row r="137" spans="1:15" ht="14.4" customHeight="1">
      <c r="A137" s="74">
        <f>'BC.124+900 '!B137</f>
        <v>45605</v>
      </c>
      <c r="B137" s="117">
        <v>125</v>
      </c>
      <c r="C137" s="118">
        <f>'BC.124+900 '!M137/1000</f>
        <v>3.52</v>
      </c>
      <c r="D137" s="118">
        <f>'BC.124+900 '!AA137</f>
        <v>4.7909999999999995</v>
      </c>
      <c r="E137" s="119">
        <f t="shared" si="12"/>
        <v>4.8289999999999997</v>
      </c>
      <c r="F137" s="118">
        <f>VLOOKUP($A137,'BC.124+900 '!$B$13:$X$862,8,0)/1000</f>
        <v>1.778</v>
      </c>
      <c r="G137" s="118">
        <f>VLOOKUP($A137,'BC.124+900 '!$B$13:$X$862,9,0)/1000</f>
        <v>-1.222</v>
      </c>
      <c r="H137" s="118">
        <f>VLOOKUP($A137,'BC.124+900 '!$B$13:$X$862,14,0)/1000</f>
        <v>1.5680000000000001</v>
      </c>
      <c r="I137" s="118">
        <f>VLOOKUP($A137,'BC.124+900 '!$B$13:$X$862,15,0)/1000</f>
        <v>-1.4319999999999999</v>
      </c>
      <c r="J137" s="118">
        <f>VLOOKUP($A137,'BC.124+900 '!$B$13:$X$862,20,0)/1000</f>
        <v>1.96</v>
      </c>
      <c r="K137" s="118">
        <f>VLOOKUP($A137,'BC.124+900 '!$B$13:$X$862,21,0)/1000</f>
        <v>-1.04</v>
      </c>
      <c r="L137" s="117">
        <f t="shared" si="13"/>
        <v>-1101</v>
      </c>
      <c r="M137" s="117">
        <f t="shared" si="14"/>
        <v>-1309</v>
      </c>
      <c r="N137" s="117">
        <f t="shared" si="15"/>
        <v>-927</v>
      </c>
      <c r="O137" s="117"/>
    </row>
    <row r="138" spans="1:15" ht="14.4" customHeight="1">
      <c r="A138" s="74">
        <f>'BC.124+900 '!B138</f>
        <v>45606</v>
      </c>
      <c r="B138" s="117">
        <v>126</v>
      </c>
      <c r="C138" s="118">
        <f>'BC.124+900 '!M138/1000</f>
        <v>3.5049999999999999</v>
      </c>
      <c r="D138" s="118">
        <f>'BC.124+900 '!AA138</f>
        <v>4.7909999999999995</v>
      </c>
      <c r="E138" s="119">
        <f t="shared" si="12"/>
        <v>4.8289999999999997</v>
      </c>
      <c r="F138" s="118">
        <f>VLOOKUP($A138,'BC.124+900 '!$B$13:$X$862,8,0)/1000</f>
        <v>1.768</v>
      </c>
      <c r="G138" s="118">
        <f>VLOOKUP($A138,'BC.124+900 '!$B$13:$X$862,9,0)/1000</f>
        <v>-1.232</v>
      </c>
      <c r="H138" s="118">
        <f>VLOOKUP($A138,'BC.124+900 '!$B$13:$X$862,14,0)/1000</f>
        <v>1.5529999999999999</v>
      </c>
      <c r="I138" s="118">
        <f>VLOOKUP($A138,'BC.124+900 '!$B$13:$X$862,15,0)/1000</f>
        <v>-1.4470000000000001</v>
      </c>
      <c r="J138" s="118">
        <f>VLOOKUP($A138,'BC.124+900 '!$B$13:$X$862,20,0)/1000</f>
        <v>1.95</v>
      </c>
      <c r="K138" s="118">
        <f>VLOOKUP($A138,'BC.124+900 '!$B$13:$X$862,21,0)/1000</f>
        <v>-1.05</v>
      </c>
      <c r="L138" s="117">
        <f t="shared" si="13"/>
        <v>-1111</v>
      </c>
      <c r="M138" s="117">
        <f t="shared" si="14"/>
        <v>-1324</v>
      </c>
      <c r="N138" s="117">
        <f t="shared" si="15"/>
        <v>-937</v>
      </c>
      <c r="O138" s="117"/>
    </row>
    <row r="139" spans="1:15" ht="14.4" customHeight="1">
      <c r="A139" s="74">
        <f>'BC.124+900 '!B139</f>
        <v>45607</v>
      </c>
      <c r="B139" s="117">
        <v>127</v>
      </c>
      <c r="C139" s="118">
        <f>'BC.124+900 '!M139/1000</f>
        <v>3.4950000000000001</v>
      </c>
      <c r="D139" s="118">
        <f>'BC.124+900 '!AA139</f>
        <v>4.7909999999999995</v>
      </c>
      <c r="E139" s="119">
        <f t="shared" si="12"/>
        <v>4.8290000000000006</v>
      </c>
      <c r="F139" s="118">
        <f>VLOOKUP($A139,'BC.124+900 '!$B$13:$X$862,8,0)/1000</f>
        <v>1.758</v>
      </c>
      <c r="G139" s="118">
        <f>VLOOKUP($A139,'BC.124+900 '!$B$13:$X$862,9,0)/1000</f>
        <v>-1.242</v>
      </c>
      <c r="H139" s="118">
        <f>VLOOKUP($A139,'BC.124+900 '!$B$13:$X$862,14,0)/1000</f>
        <v>1.5429999999999999</v>
      </c>
      <c r="I139" s="118">
        <f>VLOOKUP($A139,'BC.124+900 '!$B$13:$X$862,15,0)/1000</f>
        <v>-1.4570000000000001</v>
      </c>
      <c r="J139" s="118">
        <f>VLOOKUP($A139,'BC.124+900 '!$B$13:$X$862,20,0)/1000</f>
        <v>1.94</v>
      </c>
      <c r="K139" s="118">
        <f>VLOOKUP($A139,'BC.124+900 '!$B$13:$X$862,21,0)/1000</f>
        <v>-1.06</v>
      </c>
      <c r="L139" s="117">
        <f t="shared" si="13"/>
        <v>-1121</v>
      </c>
      <c r="M139" s="117">
        <f t="shared" si="14"/>
        <v>-1334</v>
      </c>
      <c r="N139" s="117">
        <f t="shared" si="15"/>
        <v>-947.00000000000011</v>
      </c>
      <c r="O139" s="117"/>
    </row>
    <row r="140" spans="1:15" ht="14.4" customHeight="1">
      <c r="A140" s="74">
        <f>'BC.124+900 '!B140</f>
        <v>45608</v>
      </c>
      <c r="B140" s="117">
        <v>128</v>
      </c>
      <c r="C140" s="118">
        <f>'BC.124+900 '!M140/1000</f>
        <v>3.73</v>
      </c>
      <c r="D140" s="118">
        <f>'BC.124+900 '!AA140</f>
        <v>5.0259999999999998</v>
      </c>
      <c r="E140" s="119">
        <f t="shared" si="12"/>
        <v>5.0789999999999997</v>
      </c>
      <c r="F140" s="118">
        <f>VLOOKUP($A140,'BC.124+900 '!$B$13:$X$862,8,0)/1000</f>
        <v>1.748</v>
      </c>
      <c r="G140" s="118">
        <f>VLOOKUP($A140,'BC.124+900 '!$B$13:$X$862,9,0)/1000</f>
        <v>-1.252</v>
      </c>
      <c r="H140" s="118">
        <f>VLOOKUP($A140,'BC.124+900 '!$B$13:$X$862,14,0)/1000</f>
        <v>1.528</v>
      </c>
      <c r="I140" s="118">
        <f>VLOOKUP($A140,'BC.124+900 '!$B$13:$X$862,15,0)/1000</f>
        <v>-1.472</v>
      </c>
      <c r="J140" s="118">
        <f>VLOOKUP($A140,'BC.124+900 '!$B$13:$X$862,20,0)/1000</f>
        <v>1.93</v>
      </c>
      <c r="K140" s="118">
        <f>VLOOKUP($A140,'BC.124+900 '!$B$13:$X$862,21,0)/1000</f>
        <v>-1.07</v>
      </c>
      <c r="L140" s="117">
        <f t="shared" si="13"/>
        <v>-1131</v>
      </c>
      <c r="M140" s="117">
        <f t="shared" si="14"/>
        <v>-1349</v>
      </c>
      <c r="N140" s="117">
        <f t="shared" si="15"/>
        <v>-957.00000000000011</v>
      </c>
      <c r="O140" s="117"/>
    </row>
    <row r="141" spans="1:15" ht="14.4" customHeight="1">
      <c r="A141" s="74">
        <f>'BC.124+900 '!B141</f>
        <v>45609</v>
      </c>
      <c r="B141" s="117">
        <v>129</v>
      </c>
      <c r="C141" s="118">
        <f>'BC.124+900 '!M141/1000</f>
        <v>3.72</v>
      </c>
      <c r="D141" s="118">
        <f>'BC.124+900 '!AA141</f>
        <v>5.0259999999999998</v>
      </c>
      <c r="E141" s="119">
        <f t="shared" ref="E141:E173" si="16">+C141-$F$8-(M141/1000)</f>
        <v>5.0790000000000006</v>
      </c>
      <c r="F141" s="118">
        <f>VLOOKUP($A141,'BC.124+900 '!$B$13:$X$862,8,0)/1000</f>
        <v>1.738</v>
      </c>
      <c r="G141" s="118">
        <f>VLOOKUP($A141,'BC.124+900 '!$B$13:$X$862,9,0)/1000</f>
        <v>-1.262</v>
      </c>
      <c r="H141" s="118">
        <f>VLOOKUP($A141,'BC.124+900 '!$B$13:$X$862,14,0)/1000</f>
        <v>1.518</v>
      </c>
      <c r="I141" s="118">
        <f>VLOOKUP($A141,'BC.124+900 '!$B$13:$X$862,15,0)/1000</f>
        <v>-1.482</v>
      </c>
      <c r="J141" s="118">
        <f>VLOOKUP($A141,'BC.124+900 '!$B$13:$X$862,20,0)/1000</f>
        <v>1.92</v>
      </c>
      <c r="K141" s="118">
        <f>VLOOKUP($A141,'BC.124+900 '!$B$13:$X$862,21,0)/1000</f>
        <v>-1.08</v>
      </c>
      <c r="L141" s="117">
        <f t="shared" ref="L141:L173" si="17">(G141-$G$13)*1000</f>
        <v>-1141</v>
      </c>
      <c r="M141" s="117">
        <f t="shared" ref="M141:M173" si="18">(I141-$I$13)*1000</f>
        <v>-1359</v>
      </c>
      <c r="N141" s="117">
        <f t="shared" ref="N141:N173" si="19">(K141-$K$13)*1000</f>
        <v>-967.00000000000011</v>
      </c>
      <c r="O141" s="117"/>
    </row>
    <row r="142" spans="1:15" ht="14.4" customHeight="1">
      <c r="A142" s="74">
        <f>'BC.124+900 '!B142</f>
        <v>45610</v>
      </c>
      <c r="B142" s="117">
        <v>130</v>
      </c>
      <c r="C142" s="118">
        <f>'BC.124+900 '!M142/1000</f>
        <v>3.71</v>
      </c>
      <c r="D142" s="118">
        <f>'BC.124+900 '!AA142</f>
        <v>5.0259999999999998</v>
      </c>
      <c r="E142" s="119">
        <f t="shared" si="16"/>
        <v>5.0789999999999997</v>
      </c>
      <c r="F142" s="118">
        <f>VLOOKUP($A142,'BC.124+900 '!$B$13:$X$862,8,0)/1000</f>
        <v>1.728</v>
      </c>
      <c r="G142" s="118">
        <f>VLOOKUP($A142,'BC.124+900 '!$B$13:$X$862,9,0)/1000</f>
        <v>-1.272</v>
      </c>
      <c r="H142" s="118">
        <f>VLOOKUP($A142,'BC.124+900 '!$B$13:$X$862,14,0)/1000</f>
        <v>1.508</v>
      </c>
      <c r="I142" s="118">
        <f>VLOOKUP($A142,'BC.124+900 '!$B$13:$X$862,15,0)/1000</f>
        <v>-1.492</v>
      </c>
      <c r="J142" s="118">
        <f>VLOOKUP($A142,'BC.124+900 '!$B$13:$X$862,20,0)/1000</f>
        <v>1.9159999999999999</v>
      </c>
      <c r="K142" s="118">
        <f>VLOOKUP($A142,'BC.124+900 '!$B$13:$X$862,21,0)/1000</f>
        <v>-1.0840000000000001</v>
      </c>
      <c r="L142" s="117">
        <f t="shared" si="17"/>
        <v>-1151</v>
      </c>
      <c r="M142" s="117">
        <f t="shared" si="18"/>
        <v>-1369</v>
      </c>
      <c r="N142" s="117">
        <f t="shared" si="19"/>
        <v>-971.00000000000011</v>
      </c>
      <c r="O142" s="117"/>
    </row>
    <row r="143" spans="1:15" ht="14.4" customHeight="1">
      <c r="A143" s="150">
        <f>'BC.124+900 '!B143</f>
        <v>45611</v>
      </c>
      <c r="B143" s="147">
        <v>131</v>
      </c>
      <c r="C143" s="148">
        <f>'BC.124+900 '!M143/1000</f>
        <v>3.94</v>
      </c>
      <c r="D143" s="148">
        <f>'BC.124+900 '!AA143</f>
        <v>5.2560000000000002</v>
      </c>
      <c r="E143" s="149">
        <f t="shared" si="16"/>
        <v>5.319</v>
      </c>
      <c r="F143" s="148">
        <f>VLOOKUP($A143,'BC.124+900 '!$B$13:$X$862,8,0)/1000</f>
        <v>1.718</v>
      </c>
      <c r="G143" s="148">
        <f>VLOOKUP($A143,'BC.124+900 '!$B$13:$X$862,9,0)/1000</f>
        <v>-1.282</v>
      </c>
      <c r="H143" s="148">
        <f>VLOOKUP($A143,'BC.124+900 '!$B$13:$X$862,14,0)/1000</f>
        <v>1.498</v>
      </c>
      <c r="I143" s="148">
        <f>VLOOKUP($A143,'BC.124+900 '!$B$13:$X$862,15,0)/1000</f>
        <v>-1.502</v>
      </c>
      <c r="J143" s="148">
        <f>VLOOKUP($A143,'BC.124+900 '!$B$13:$X$862,20,0)/1000</f>
        <v>1.913</v>
      </c>
      <c r="K143" s="148">
        <f>VLOOKUP($A143,'BC.124+900 '!$B$13:$X$862,21,0)/1000</f>
        <v>-1.087</v>
      </c>
      <c r="L143" s="147">
        <f t="shared" si="17"/>
        <v>-1161</v>
      </c>
      <c r="M143" s="147">
        <f t="shared" si="18"/>
        <v>-1379</v>
      </c>
      <c r="N143" s="147">
        <f t="shared" si="19"/>
        <v>-974</v>
      </c>
      <c r="O143" s="26" t="s">
        <v>9</v>
      </c>
    </row>
    <row r="144" spans="1:15" ht="14.4" customHeight="1">
      <c r="A144" s="74">
        <f>'BC.124+900 '!B144</f>
        <v>45614</v>
      </c>
      <c r="B144" s="117">
        <v>132</v>
      </c>
      <c r="C144" s="118">
        <f>'BC.124+900 '!M144/1000</f>
        <v>3.91</v>
      </c>
      <c r="D144" s="118">
        <f>'BC.124+900 '!AA144</f>
        <v>5.2560000000000002</v>
      </c>
      <c r="E144" s="119">
        <f t="shared" si="16"/>
        <v>5.319</v>
      </c>
      <c r="F144" s="118">
        <f>VLOOKUP($A144,'BC.124+900 '!$B$13:$X$862,8,0)/1000</f>
        <v>1.6879999999999999</v>
      </c>
      <c r="G144" s="118">
        <f>VLOOKUP($A144,'BC.124+900 '!$B$13:$X$862,9,0)/1000</f>
        <v>-1.3120000000000001</v>
      </c>
      <c r="H144" s="118">
        <f>VLOOKUP($A144,'BC.124+900 '!$B$13:$X$862,14,0)/1000</f>
        <v>1.468</v>
      </c>
      <c r="I144" s="118">
        <f>VLOOKUP($A144,'BC.124+900 '!$B$13:$X$862,15,0)/1000</f>
        <v>-1.532</v>
      </c>
      <c r="J144" s="118">
        <f>VLOOKUP($A144,'BC.124+900 '!$B$13:$X$862,20,0)/1000</f>
        <v>1.885</v>
      </c>
      <c r="K144" s="118">
        <f>VLOOKUP($A144,'BC.124+900 '!$B$13:$X$862,21,0)/1000</f>
        <v>-1.115</v>
      </c>
      <c r="L144" s="117">
        <f t="shared" si="17"/>
        <v>-1191</v>
      </c>
      <c r="M144" s="117">
        <f t="shared" si="18"/>
        <v>-1409</v>
      </c>
      <c r="N144" s="117">
        <f t="shared" si="19"/>
        <v>-1002</v>
      </c>
      <c r="O144" s="117"/>
    </row>
    <row r="145" spans="1:15" ht="14.4" customHeight="1">
      <c r="A145" s="74">
        <f>'BC.124+900 '!B145</f>
        <v>45618</v>
      </c>
      <c r="B145" s="117">
        <v>133</v>
      </c>
      <c r="C145" s="118">
        <f>'BC.124+900 '!M145/1000</f>
        <v>3.86</v>
      </c>
      <c r="D145" s="118">
        <f>'BC.124+900 '!AA145</f>
        <v>5.2560000000000002</v>
      </c>
      <c r="E145" s="119">
        <f t="shared" si="16"/>
        <v>5.319</v>
      </c>
      <c r="F145" s="118">
        <f>VLOOKUP($A145,'BC.124+900 '!$B$13:$X$862,8,0)/1000</f>
        <v>2.6429999999999998</v>
      </c>
      <c r="G145" s="118">
        <f>VLOOKUP($A145,'BC.124+900 '!$B$13:$X$862,9,0)/1000</f>
        <v>-1.357</v>
      </c>
      <c r="H145" s="118">
        <f>VLOOKUP($A145,'BC.124+900 '!$B$13:$X$862,14,0)/1000</f>
        <v>2.4180000000000001</v>
      </c>
      <c r="I145" s="118">
        <f>VLOOKUP($A145,'BC.124+900 '!$B$13:$X$862,15,0)/1000</f>
        <v>-1.5820000000000001</v>
      </c>
      <c r="J145" s="118">
        <f>VLOOKUP($A145,'BC.124+900 '!$B$13:$X$862,20,0)/1000</f>
        <v>2.843</v>
      </c>
      <c r="K145" s="118">
        <f>VLOOKUP($A145,'BC.124+900 '!$B$13:$X$862,21,0)/1000</f>
        <v>-1.157</v>
      </c>
      <c r="L145" s="117">
        <f t="shared" si="17"/>
        <v>-1236</v>
      </c>
      <c r="M145" s="117">
        <f t="shared" si="18"/>
        <v>-1459</v>
      </c>
      <c r="N145" s="117">
        <f t="shared" si="19"/>
        <v>-1044</v>
      </c>
      <c r="O145" s="117"/>
    </row>
    <row r="146" spans="1:15" ht="14.4" customHeight="1">
      <c r="A146" s="74">
        <f>'BC.124+900 '!B146</f>
        <v>45621</v>
      </c>
      <c r="B146" s="117">
        <v>134</v>
      </c>
      <c r="C146" s="118">
        <f>'BC.124+900 '!M146/1000</f>
        <v>3.8250000000000002</v>
      </c>
      <c r="D146" s="118">
        <f>'BC.124+900 '!AA146</f>
        <v>5.2560000000000002</v>
      </c>
      <c r="E146" s="119">
        <f t="shared" si="16"/>
        <v>5.319</v>
      </c>
      <c r="F146" s="118">
        <f>VLOOKUP($A146,'BC.124+900 '!$B$13:$X$862,8,0)/1000</f>
        <v>2.617</v>
      </c>
      <c r="G146" s="118">
        <f>VLOOKUP($A146,'BC.124+900 '!$B$13:$X$862,9,0)/1000</f>
        <v>-1.383</v>
      </c>
      <c r="H146" s="118">
        <f>VLOOKUP($A146,'BC.124+900 '!$B$13:$X$862,14,0)/1000</f>
        <v>2.383</v>
      </c>
      <c r="I146" s="118">
        <f>VLOOKUP($A146,'BC.124+900 '!$B$13:$X$862,15,0)/1000</f>
        <v>-1.617</v>
      </c>
      <c r="J146" s="118">
        <f>VLOOKUP($A146,'BC.124+900 '!$B$13:$X$862,20,0)/1000</f>
        <v>2.819</v>
      </c>
      <c r="K146" s="118">
        <f>VLOOKUP($A146,'BC.124+900 '!$B$13:$X$862,21,0)/1000</f>
        <v>-1.181</v>
      </c>
      <c r="L146" s="117">
        <f t="shared" si="17"/>
        <v>-1262</v>
      </c>
      <c r="M146" s="117">
        <f t="shared" si="18"/>
        <v>-1494</v>
      </c>
      <c r="N146" s="117">
        <f t="shared" si="19"/>
        <v>-1068</v>
      </c>
      <c r="O146" s="117"/>
    </row>
    <row r="147" spans="1:15" ht="14.4" customHeight="1">
      <c r="A147" s="74">
        <f>'BC.124+900 '!B147</f>
        <v>45625</v>
      </c>
      <c r="B147" s="117">
        <v>135</v>
      </c>
      <c r="C147" s="118">
        <f>'BC.124+900 '!M147/1000</f>
        <v>3.78</v>
      </c>
      <c r="D147" s="118">
        <f>'BC.124+900 '!AA147</f>
        <v>5.2560000000000002</v>
      </c>
      <c r="E147" s="119">
        <f t="shared" si="16"/>
        <v>5.319</v>
      </c>
      <c r="F147" s="118">
        <f>VLOOKUP($A147,'BC.124+900 '!$B$13:$X$862,8,0)/1000</f>
        <v>2.5739999999999998</v>
      </c>
      <c r="G147" s="118">
        <f>VLOOKUP($A147,'BC.124+900 '!$B$13:$X$862,9,0)/1000</f>
        <v>-1.4259999999999999</v>
      </c>
      <c r="H147" s="118">
        <f>VLOOKUP($A147,'BC.124+900 '!$B$13:$X$862,14,0)/1000</f>
        <v>2.3380000000000001</v>
      </c>
      <c r="I147" s="118">
        <f>VLOOKUP($A147,'BC.124+900 '!$B$13:$X$862,15,0)/1000</f>
        <v>-1.6619999999999999</v>
      </c>
      <c r="J147" s="118">
        <f>VLOOKUP($A147,'BC.124+900 '!$B$13:$X$862,20,0)/1000</f>
        <v>2.7789999999999999</v>
      </c>
      <c r="K147" s="118">
        <f>VLOOKUP($A147,'BC.124+900 '!$B$13:$X$862,21,0)/1000</f>
        <v>-1.2210000000000001</v>
      </c>
      <c r="L147" s="117">
        <f t="shared" si="17"/>
        <v>-1305</v>
      </c>
      <c r="M147" s="117">
        <f t="shared" si="18"/>
        <v>-1539</v>
      </c>
      <c r="N147" s="117">
        <f t="shared" si="19"/>
        <v>-1108</v>
      </c>
      <c r="O147" s="117"/>
    </row>
    <row r="148" spans="1:15" ht="14.4" customHeight="1">
      <c r="A148" s="74">
        <f>'BC.124+900 '!B148</f>
        <v>45628</v>
      </c>
      <c r="B148" s="117">
        <v>136</v>
      </c>
      <c r="C148" s="118">
        <f>'BC.124+900 '!M148/1000</f>
        <v>3.754</v>
      </c>
      <c r="D148" s="118">
        <f>'BC.124+900 '!AA148</f>
        <v>5.2560000000000002</v>
      </c>
      <c r="E148" s="119">
        <f t="shared" si="16"/>
        <v>5.319</v>
      </c>
      <c r="F148" s="118">
        <f>VLOOKUP($A148,'BC.124+900 '!$B$13:$X$862,8,0)/1000</f>
        <v>2.5539999999999998</v>
      </c>
      <c r="G148" s="118">
        <f>VLOOKUP($A148,'BC.124+900 '!$B$13:$X$862,9,0)/1000</f>
        <v>-1.446</v>
      </c>
      <c r="H148" s="118">
        <f>VLOOKUP($A148,'BC.124+900 '!$B$13:$X$862,14,0)/1000</f>
        <v>2.3119999999999998</v>
      </c>
      <c r="I148" s="118">
        <f>VLOOKUP($A148,'BC.124+900 '!$B$13:$X$862,15,0)/1000</f>
        <v>-1.6879999999999999</v>
      </c>
      <c r="J148" s="118">
        <f>VLOOKUP($A148,'BC.124+900 '!$B$13:$X$862,20,0)/1000</f>
        <v>2.7589999999999999</v>
      </c>
      <c r="K148" s="118">
        <f>VLOOKUP($A148,'BC.124+900 '!$B$13:$X$862,21,0)/1000</f>
        <v>-1.2410000000000001</v>
      </c>
      <c r="L148" s="117">
        <f t="shared" si="17"/>
        <v>-1325</v>
      </c>
      <c r="M148" s="117">
        <f t="shared" si="18"/>
        <v>-1565</v>
      </c>
      <c r="N148" s="117">
        <f t="shared" si="19"/>
        <v>-1128</v>
      </c>
      <c r="O148" s="117"/>
    </row>
    <row r="149" spans="1:15" ht="14.4" customHeight="1">
      <c r="A149" s="74">
        <f>'BC.124+900 '!B149</f>
        <v>45632</v>
      </c>
      <c r="B149" s="117">
        <v>137</v>
      </c>
      <c r="C149" s="118">
        <f>'BC.124+900 '!M149/1000</f>
        <v>3.714</v>
      </c>
      <c r="D149" s="118">
        <f>'BC.124+900 '!AA149</f>
        <v>5.2560000000000002</v>
      </c>
      <c r="E149" s="119">
        <f t="shared" si="16"/>
        <v>5.319</v>
      </c>
      <c r="F149" s="118">
        <f>VLOOKUP($A149,'BC.124+900 '!$B$13:$X$862,8,0)/1000</f>
        <v>2.5259999999999998</v>
      </c>
      <c r="G149" s="118">
        <f>VLOOKUP($A149,'BC.124+900 '!$B$13:$X$862,9,0)/1000</f>
        <v>-1.474</v>
      </c>
      <c r="H149" s="118">
        <f>VLOOKUP($A149,'BC.124+900 '!$B$13:$X$862,14,0)/1000</f>
        <v>2.2719999999999998</v>
      </c>
      <c r="I149" s="118">
        <f>VLOOKUP($A149,'BC.124+900 '!$B$13:$X$862,15,0)/1000</f>
        <v>-1.728</v>
      </c>
      <c r="J149" s="118">
        <f>VLOOKUP($A149,'BC.124+900 '!$B$13:$X$862,20,0)/1000</f>
        <v>2.7290000000000001</v>
      </c>
      <c r="K149" s="118">
        <f>VLOOKUP($A149,'BC.124+900 '!$B$13:$X$862,21,0)/1000</f>
        <v>-1.2709999999999999</v>
      </c>
      <c r="L149" s="117">
        <f t="shared" si="17"/>
        <v>-1353</v>
      </c>
      <c r="M149" s="117">
        <f t="shared" si="18"/>
        <v>-1605</v>
      </c>
      <c r="N149" s="117">
        <f t="shared" si="19"/>
        <v>-1158</v>
      </c>
      <c r="O149" s="117"/>
    </row>
    <row r="150" spans="1:15" ht="14.4" customHeight="1">
      <c r="A150" s="74">
        <f>'BC.124+900 '!B150</f>
        <v>45635</v>
      </c>
      <c r="B150" s="117">
        <v>138</v>
      </c>
      <c r="C150" s="118">
        <f>'BC.124+900 '!M150/1000</f>
        <v>3.6920000000000002</v>
      </c>
      <c r="D150" s="118">
        <f>'BC.124+900 '!AA150</f>
        <v>5.2560000000000002</v>
      </c>
      <c r="E150" s="119">
        <f t="shared" si="16"/>
        <v>5.319</v>
      </c>
      <c r="F150" s="118">
        <f>VLOOKUP($A150,'BC.124+900 '!$B$13:$X$862,8,0)/1000</f>
        <v>2.512</v>
      </c>
      <c r="G150" s="118">
        <f>VLOOKUP($A150,'BC.124+900 '!$B$13:$X$862,9,0)/1000</f>
        <v>-1.488</v>
      </c>
      <c r="H150" s="118">
        <f>VLOOKUP($A150,'BC.124+900 '!$B$13:$X$862,14,0)/1000</f>
        <v>2.25</v>
      </c>
      <c r="I150" s="118">
        <f>VLOOKUP($A150,'BC.124+900 '!$B$13:$X$862,15,0)/1000</f>
        <v>-1.75</v>
      </c>
      <c r="J150" s="118">
        <f>VLOOKUP($A150,'BC.124+900 '!$B$13:$X$862,20,0)/1000</f>
        <v>2.7130000000000001</v>
      </c>
      <c r="K150" s="118">
        <f>VLOOKUP($A150,'BC.124+900 '!$B$13:$X$862,21,0)/1000</f>
        <v>-1.2869999999999999</v>
      </c>
      <c r="L150" s="117">
        <f t="shared" si="17"/>
        <v>-1367</v>
      </c>
      <c r="M150" s="117">
        <f t="shared" si="18"/>
        <v>-1627</v>
      </c>
      <c r="N150" s="117">
        <f t="shared" si="19"/>
        <v>-1174</v>
      </c>
      <c r="O150" s="117"/>
    </row>
    <row r="151" spans="1:15" ht="14.4" customHeight="1">
      <c r="A151" s="74">
        <f>'BC.124+900 '!B151</f>
        <v>45639</v>
      </c>
      <c r="B151" s="117">
        <v>139</v>
      </c>
      <c r="C151" s="118">
        <f>'BC.124+900 '!M151/1000</f>
        <v>3.6560000000000001</v>
      </c>
      <c r="D151" s="118">
        <f>'BC.124+900 '!AA151</f>
        <v>5.2560000000000002</v>
      </c>
      <c r="E151" s="119">
        <f t="shared" si="16"/>
        <v>5.319</v>
      </c>
      <c r="F151" s="118">
        <f>VLOOKUP($A151,'BC.124+900 '!$B$13:$X$862,8,0)/1000</f>
        <v>2.488</v>
      </c>
      <c r="G151" s="118">
        <f>VLOOKUP($A151,'BC.124+900 '!$B$13:$X$862,9,0)/1000</f>
        <v>-1.512</v>
      </c>
      <c r="H151" s="118">
        <f>VLOOKUP($A151,'BC.124+900 '!$B$13:$X$862,14,0)/1000</f>
        <v>2.214</v>
      </c>
      <c r="I151" s="118">
        <f>VLOOKUP($A151,'BC.124+900 '!$B$13:$X$862,15,0)/1000</f>
        <v>-1.786</v>
      </c>
      <c r="J151" s="118">
        <f>VLOOKUP($A151,'BC.124+900 '!$B$13:$X$862,20,0)/1000</f>
        <v>2.6850000000000001</v>
      </c>
      <c r="K151" s="118">
        <f>VLOOKUP($A151,'BC.124+900 '!$B$13:$X$862,21,0)/1000</f>
        <v>-1.3149999999999999</v>
      </c>
      <c r="L151" s="117">
        <f t="shared" si="17"/>
        <v>-1391</v>
      </c>
      <c r="M151" s="117">
        <f t="shared" si="18"/>
        <v>-1663</v>
      </c>
      <c r="N151" s="117">
        <f t="shared" si="19"/>
        <v>-1202</v>
      </c>
      <c r="O151" s="117"/>
    </row>
    <row r="152" spans="1:15" ht="14.4" customHeight="1">
      <c r="A152" s="74">
        <f>'BC.124+900 '!B152</f>
        <v>45646</v>
      </c>
      <c r="B152" s="117">
        <v>140</v>
      </c>
      <c r="C152" s="118">
        <f>'BC.124+900 '!M152/1000</f>
        <v>3.62</v>
      </c>
      <c r="D152" s="118">
        <f>'BC.124+900 '!AA152</f>
        <v>5.2560000000000002</v>
      </c>
      <c r="E152" s="119">
        <f t="shared" si="16"/>
        <v>5.319</v>
      </c>
      <c r="F152" s="118">
        <f>VLOOKUP($A152,'BC.124+900 '!$B$13:$X$862,8,0)/1000</f>
        <v>2.4580000000000002</v>
      </c>
      <c r="G152" s="118">
        <f>VLOOKUP($A152,'BC.124+900 '!$B$13:$X$862,9,0)/1000</f>
        <v>-1.542</v>
      </c>
      <c r="H152" s="118">
        <f>VLOOKUP($A152,'BC.124+900 '!$B$13:$X$862,14,0)/1000</f>
        <v>2.1779999999999999</v>
      </c>
      <c r="I152" s="118">
        <f>VLOOKUP($A152,'BC.124+900 '!$B$13:$X$862,15,0)/1000</f>
        <v>-1.8220000000000001</v>
      </c>
      <c r="J152" s="118">
        <f>VLOOKUP($A152,'BC.124+900 '!$B$13:$X$862,20,0)/1000</f>
        <v>2.6549999999999998</v>
      </c>
      <c r="K152" s="118">
        <f>VLOOKUP($A152,'BC.124+900 '!$B$13:$X$862,21,0)/1000</f>
        <v>-1.345</v>
      </c>
      <c r="L152" s="117">
        <f t="shared" si="17"/>
        <v>-1421</v>
      </c>
      <c r="M152" s="117">
        <f t="shared" si="18"/>
        <v>-1699</v>
      </c>
      <c r="N152" s="117">
        <f t="shared" si="19"/>
        <v>-1232</v>
      </c>
      <c r="O152" s="117"/>
    </row>
    <row r="153" spans="1:15" ht="14.4" customHeight="1">
      <c r="A153" s="74">
        <f>'BC.124+900 '!B153</f>
        <v>45653</v>
      </c>
      <c r="B153" s="117">
        <v>141</v>
      </c>
      <c r="C153" s="118">
        <f>'BC.124+900 '!M153/1000</f>
        <v>3.5880000000000001</v>
      </c>
      <c r="D153" s="118">
        <f>'BC.124+900 '!AA153</f>
        <v>5.2560000000000002</v>
      </c>
      <c r="E153" s="119">
        <f t="shared" si="16"/>
        <v>5.319</v>
      </c>
      <c r="F153" s="118">
        <f>VLOOKUP($A153,'BC.124+900 '!$B$13:$X$862,8,0)/1000</f>
        <v>2.4340000000000002</v>
      </c>
      <c r="G153" s="118">
        <f>VLOOKUP($A153,'BC.124+900 '!$B$13:$X$862,9,0)/1000</f>
        <v>-1.5660000000000001</v>
      </c>
      <c r="H153" s="118">
        <f>VLOOKUP($A153,'BC.124+900 '!$B$13:$X$862,14,0)/1000</f>
        <v>2.1459999999999999</v>
      </c>
      <c r="I153" s="118">
        <f>VLOOKUP($A153,'BC.124+900 '!$B$13:$X$862,15,0)/1000</f>
        <v>-1.8540000000000001</v>
      </c>
      <c r="J153" s="118">
        <f>VLOOKUP($A153,'BC.124+900 '!$B$13:$X$862,20,0)/1000</f>
        <v>2.6349999999999998</v>
      </c>
      <c r="K153" s="118">
        <f>VLOOKUP($A153,'BC.124+900 '!$B$13:$X$862,21,0)/1000</f>
        <v>-1.365</v>
      </c>
      <c r="L153" s="117">
        <f t="shared" si="17"/>
        <v>-1445</v>
      </c>
      <c r="M153" s="117">
        <f t="shared" si="18"/>
        <v>-1731</v>
      </c>
      <c r="N153" s="117">
        <f t="shared" si="19"/>
        <v>-1252</v>
      </c>
      <c r="O153" s="117"/>
    </row>
    <row r="154" spans="1:15" ht="14.4" customHeight="1">
      <c r="A154" s="74">
        <f>'BC.124+900 '!B154</f>
        <v>45660</v>
      </c>
      <c r="B154" s="117">
        <v>142</v>
      </c>
      <c r="C154" s="118">
        <f>'BC.124+900 '!M154/1000</f>
        <v>3.5579999999999998</v>
      </c>
      <c r="D154" s="118">
        <f>'BC.124+900 '!AA154</f>
        <v>5.2560000000000002</v>
      </c>
      <c r="E154" s="119">
        <f t="shared" si="16"/>
        <v>5.319</v>
      </c>
      <c r="F154" s="118">
        <f>VLOOKUP($A154,'BC.124+900 '!$B$13:$X$862,8,0)/1000</f>
        <v>2.4119999999999999</v>
      </c>
      <c r="G154" s="118">
        <f>VLOOKUP($A154,'BC.124+900 '!$B$13:$X$862,9,0)/1000</f>
        <v>-1.5880000000000001</v>
      </c>
      <c r="H154" s="118">
        <f>VLOOKUP($A154,'BC.124+900 '!$B$13:$X$862,14,0)/1000</f>
        <v>2.1160000000000001</v>
      </c>
      <c r="I154" s="118">
        <f>VLOOKUP($A154,'BC.124+900 '!$B$13:$X$862,15,0)/1000</f>
        <v>-1.8839999999999999</v>
      </c>
      <c r="J154" s="118">
        <f>VLOOKUP($A154,'BC.124+900 '!$B$13:$X$862,20,0)/1000</f>
        <v>2.6150000000000002</v>
      </c>
      <c r="K154" s="118">
        <f>VLOOKUP($A154,'BC.124+900 '!$B$13:$X$862,21,0)/1000</f>
        <v>-1.385</v>
      </c>
      <c r="L154" s="117">
        <f t="shared" si="17"/>
        <v>-1467</v>
      </c>
      <c r="M154" s="117">
        <f t="shared" si="18"/>
        <v>-1761</v>
      </c>
      <c r="N154" s="117">
        <f t="shared" si="19"/>
        <v>-1272</v>
      </c>
      <c r="O154" s="117"/>
    </row>
    <row r="155" spans="1:15" ht="14.4" customHeight="1">
      <c r="A155" s="74">
        <f>'BC.124+900 '!B155</f>
        <v>45667</v>
      </c>
      <c r="B155" s="117">
        <v>143</v>
      </c>
      <c r="C155" s="118">
        <f>'BC.124+900 '!M155/1000</f>
        <v>3.5329999999999999</v>
      </c>
      <c r="D155" s="118">
        <f>'BC.124+900 '!AA155</f>
        <v>5.2560000000000002</v>
      </c>
      <c r="E155" s="119">
        <f t="shared" si="16"/>
        <v>5.319</v>
      </c>
      <c r="F155" s="118">
        <f>VLOOKUP($A155,'BC.124+900 '!$B$13:$X$862,8,0)/1000</f>
        <v>2.3919999999999999</v>
      </c>
      <c r="G155" s="118">
        <f>VLOOKUP($A155,'BC.124+900 '!$B$13:$X$862,9,0)/1000</f>
        <v>-1.6080000000000001</v>
      </c>
      <c r="H155" s="118">
        <f>VLOOKUP($A155,'BC.124+900 '!$B$13:$X$862,14,0)/1000</f>
        <v>2.0910000000000002</v>
      </c>
      <c r="I155" s="118">
        <f>VLOOKUP($A155,'BC.124+900 '!$B$13:$X$862,15,0)/1000</f>
        <v>-1.909</v>
      </c>
      <c r="J155" s="118">
        <f>VLOOKUP($A155,'BC.124+900 '!$B$13:$X$862,20,0)/1000</f>
        <v>2.597</v>
      </c>
      <c r="K155" s="118">
        <f>VLOOKUP($A155,'BC.124+900 '!$B$13:$X$862,21,0)/1000</f>
        <v>-1.403</v>
      </c>
      <c r="L155" s="117">
        <f t="shared" si="17"/>
        <v>-1487</v>
      </c>
      <c r="M155" s="117">
        <f t="shared" si="18"/>
        <v>-1786</v>
      </c>
      <c r="N155" s="117">
        <f t="shared" si="19"/>
        <v>-1290</v>
      </c>
      <c r="O155" s="117"/>
    </row>
    <row r="156" spans="1:15" ht="14.4" customHeight="1">
      <c r="A156" s="74">
        <f>'BC.124+900 '!B156</f>
        <v>45674</v>
      </c>
      <c r="B156" s="117">
        <v>144</v>
      </c>
      <c r="C156" s="118">
        <f>'BC.124+900 '!M156/1000</f>
        <v>3.5110000000000001</v>
      </c>
      <c r="D156" s="118">
        <f>'BC.124+900 '!AA156</f>
        <v>5.2560000000000002</v>
      </c>
      <c r="E156" s="119">
        <f t="shared" si="16"/>
        <v>5.319</v>
      </c>
      <c r="F156" s="118">
        <f>VLOOKUP($A156,'BC.124+900 '!$B$13:$X$862,8,0)/1000</f>
        <v>2.3740000000000001</v>
      </c>
      <c r="G156" s="118">
        <f>VLOOKUP($A156,'BC.124+900 '!$B$13:$X$862,9,0)/1000</f>
        <v>-1.6259999999999999</v>
      </c>
      <c r="H156" s="118">
        <f>VLOOKUP($A156,'BC.124+900 '!$B$13:$X$862,14,0)/1000</f>
        <v>2.069</v>
      </c>
      <c r="I156" s="118">
        <f>VLOOKUP($A156,'BC.124+900 '!$B$13:$X$862,15,0)/1000</f>
        <v>-1.931</v>
      </c>
      <c r="J156" s="118">
        <f>VLOOKUP($A156,'BC.124+900 '!$B$13:$X$862,20,0)/1000</f>
        <v>2.581</v>
      </c>
      <c r="K156" s="118">
        <f>VLOOKUP($A156,'BC.124+900 '!$B$13:$X$862,21,0)/1000</f>
        <v>-1.419</v>
      </c>
      <c r="L156" s="117">
        <f t="shared" si="17"/>
        <v>-1505</v>
      </c>
      <c r="M156" s="117">
        <f t="shared" si="18"/>
        <v>-1808</v>
      </c>
      <c r="N156" s="117">
        <f t="shared" si="19"/>
        <v>-1306</v>
      </c>
      <c r="O156" s="117"/>
    </row>
    <row r="157" spans="1:15" ht="14.4" customHeight="1">
      <c r="A157" s="74">
        <f>'BC.124+900 '!B157</f>
        <v>45681</v>
      </c>
      <c r="B157" s="117">
        <v>145</v>
      </c>
      <c r="C157" s="118">
        <f>'BC.124+900 '!M157/1000</f>
        <v>3.4910000000000001</v>
      </c>
      <c r="D157" s="118">
        <f>'BC.124+900 '!AA157</f>
        <v>5.2560000000000002</v>
      </c>
      <c r="E157" s="119">
        <f t="shared" si="16"/>
        <v>5.319</v>
      </c>
      <c r="F157" s="118">
        <f>VLOOKUP($A157,'BC.124+900 '!$B$13:$X$862,8,0)/1000</f>
        <v>2.3580000000000001</v>
      </c>
      <c r="G157" s="118">
        <f>VLOOKUP($A157,'BC.124+900 '!$B$13:$X$862,9,0)/1000</f>
        <v>-1.6419999999999999</v>
      </c>
      <c r="H157" s="118">
        <f>VLOOKUP($A157,'BC.124+900 '!$B$13:$X$862,14,0)/1000</f>
        <v>2.0489999999999999</v>
      </c>
      <c r="I157" s="118">
        <f>VLOOKUP($A157,'BC.124+900 '!$B$13:$X$862,15,0)/1000</f>
        <v>-1.9510000000000001</v>
      </c>
      <c r="J157" s="118">
        <f>VLOOKUP($A157,'BC.124+900 '!$B$13:$X$862,20,0)/1000</f>
        <v>2.5670000000000002</v>
      </c>
      <c r="K157" s="118">
        <f>VLOOKUP($A157,'BC.124+900 '!$B$13:$X$862,21,0)/1000</f>
        <v>-1.4330000000000001</v>
      </c>
      <c r="L157" s="117">
        <f t="shared" si="17"/>
        <v>-1521</v>
      </c>
      <c r="M157" s="117">
        <f t="shared" si="18"/>
        <v>-1828</v>
      </c>
      <c r="N157" s="117">
        <f t="shared" si="19"/>
        <v>-1320</v>
      </c>
      <c r="O157" s="117"/>
    </row>
    <row r="158" spans="1:15" ht="14.4" customHeight="1">
      <c r="A158" s="74">
        <f>'BC.124+900 '!B158</f>
        <v>45688</v>
      </c>
      <c r="B158" s="117">
        <v>146</v>
      </c>
      <c r="C158" s="118">
        <f>'BC.124+900 '!M158/1000</f>
        <v>3.4729999999999999</v>
      </c>
      <c r="D158" s="118">
        <f>'BC.124+900 '!AA158</f>
        <v>5.2560000000000002</v>
      </c>
      <c r="E158" s="119">
        <f t="shared" si="16"/>
        <v>5.319</v>
      </c>
      <c r="F158" s="118">
        <f>VLOOKUP($A158,'BC.124+900 '!$B$13:$X$862,8,0)/1000</f>
        <v>2.3420000000000001</v>
      </c>
      <c r="G158" s="118">
        <f>VLOOKUP($A158,'BC.124+900 '!$B$13:$X$862,9,0)/1000</f>
        <v>-1.6579999999999999</v>
      </c>
      <c r="H158" s="118">
        <f>VLOOKUP($A158,'BC.124+900 '!$B$13:$X$862,14,0)/1000</f>
        <v>2.0310000000000001</v>
      </c>
      <c r="I158" s="118">
        <f>VLOOKUP($A158,'BC.124+900 '!$B$13:$X$862,15,0)/1000</f>
        <v>-1.9690000000000001</v>
      </c>
      <c r="J158" s="118">
        <f>VLOOKUP($A158,'BC.124+900 '!$B$13:$X$862,20,0)/1000</f>
        <v>2.5529999999999999</v>
      </c>
      <c r="K158" s="118">
        <f>VLOOKUP($A158,'BC.124+900 '!$B$13:$X$862,21,0)/1000</f>
        <v>-1.4470000000000001</v>
      </c>
      <c r="L158" s="117">
        <f t="shared" si="17"/>
        <v>-1537</v>
      </c>
      <c r="M158" s="117">
        <f t="shared" si="18"/>
        <v>-1846</v>
      </c>
      <c r="N158" s="117">
        <f t="shared" si="19"/>
        <v>-1334</v>
      </c>
      <c r="O158" s="117"/>
    </row>
    <row r="159" spans="1:15" ht="14.4" customHeight="1">
      <c r="A159" s="74">
        <f>'BC.124+900 '!B159</f>
        <v>45695</v>
      </c>
      <c r="B159" s="117">
        <v>147</v>
      </c>
      <c r="C159" s="118">
        <f>'BC.124+900 '!M159/1000</f>
        <v>3.4590000000000001</v>
      </c>
      <c r="D159" s="118">
        <f>'BC.124+900 '!AA159</f>
        <v>5.2560000000000002</v>
      </c>
      <c r="E159" s="119">
        <f t="shared" si="16"/>
        <v>5.319</v>
      </c>
      <c r="F159" s="118">
        <f>VLOOKUP($A159,'BC.124+900 '!$B$13:$X$862,8,0)/1000</f>
        <v>2.33</v>
      </c>
      <c r="G159" s="118">
        <f>VLOOKUP($A159,'BC.124+900 '!$B$13:$X$862,9,0)/1000</f>
        <v>-1.67</v>
      </c>
      <c r="H159" s="118">
        <f>VLOOKUP($A159,'BC.124+900 '!$B$13:$X$862,14,0)/1000</f>
        <v>2.0169999999999999</v>
      </c>
      <c r="I159" s="118">
        <f>VLOOKUP($A159,'BC.124+900 '!$B$13:$X$862,15,0)/1000</f>
        <v>-1.9830000000000001</v>
      </c>
      <c r="J159" s="118">
        <f>VLOOKUP($A159,'BC.124+900 '!$B$13:$X$862,20,0)/1000</f>
        <v>2.5430000000000001</v>
      </c>
      <c r="K159" s="118">
        <f>VLOOKUP($A159,'BC.124+900 '!$B$13:$X$862,21,0)/1000</f>
        <v>-1.4570000000000001</v>
      </c>
      <c r="L159" s="117">
        <f t="shared" si="17"/>
        <v>-1549</v>
      </c>
      <c r="M159" s="117">
        <f t="shared" si="18"/>
        <v>-1860</v>
      </c>
      <c r="N159" s="117">
        <f t="shared" si="19"/>
        <v>-1344</v>
      </c>
      <c r="O159" s="117"/>
    </row>
    <row r="160" spans="1:15" ht="14.4" customHeight="1">
      <c r="A160" s="74">
        <f>'BC.124+900 '!B160</f>
        <v>45702</v>
      </c>
      <c r="B160" s="117">
        <v>148</v>
      </c>
      <c r="C160" s="118">
        <f>'BC.124+900 '!M160/1000</f>
        <v>3.4489999999999998</v>
      </c>
      <c r="D160" s="118">
        <f>'BC.124+900 '!AA160</f>
        <v>5.2560000000000002</v>
      </c>
      <c r="E160" s="119">
        <f t="shared" si="16"/>
        <v>5.319</v>
      </c>
      <c r="F160" s="118">
        <f>VLOOKUP($A160,'BC.124+900 '!$B$13:$X$862,8,0)/1000</f>
        <v>2.3180000000000001</v>
      </c>
      <c r="G160" s="118">
        <f>VLOOKUP($A160,'BC.124+900 '!$B$13:$X$862,9,0)/1000</f>
        <v>-1.6819999999999999</v>
      </c>
      <c r="H160" s="118">
        <f>VLOOKUP($A160,'BC.124+900 '!$B$13:$X$862,14,0)/1000</f>
        <v>2.0070000000000001</v>
      </c>
      <c r="I160" s="118">
        <f>VLOOKUP($A160,'BC.124+900 '!$B$13:$X$862,15,0)/1000</f>
        <v>-1.9930000000000001</v>
      </c>
      <c r="J160" s="118">
        <f>VLOOKUP($A160,'BC.124+900 '!$B$13:$X$862,20,0)/1000</f>
        <v>2.5339999999999998</v>
      </c>
      <c r="K160" s="118">
        <f>VLOOKUP($A160,'BC.124+900 '!$B$13:$X$862,21,0)/1000</f>
        <v>-1.466</v>
      </c>
      <c r="L160" s="117">
        <f t="shared" si="17"/>
        <v>-1561</v>
      </c>
      <c r="M160" s="117">
        <f t="shared" si="18"/>
        <v>-1870</v>
      </c>
      <c r="N160" s="117">
        <f t="shared" si="19"/>
        <v>-1353</v>
      </c>
      <c r="O160" s="117"/>
    </row>
    <row r="161" spans="1:15" ht="14.4" customHeight="1">
      <c r="A161" s="74">
        <f>'BC.124+900 '!B161</f>
        <v>45709</v>
      </c>
      <c r="B161" s="117">
        <v>149</v>
      </c>
      <c r="C161" s="118">
        <f>'BC.124+900 '!M161/1000</f>
        <v>3.4390000000000001</v>
      </c>
      <c r="D161" s="118">
        <f>'BC.124+900 '!AA161</f>
        <v>5.2560000000000002</v>
      </c>
      <c r="E161" s="119">
        <f t="shared" si="16"/>
        <v>5.3190000000000008</v>
      </c>
      <c r="F161" s="118">
        <f>VLOOKUP($A161,'BC.124+900 '!$B$13:$X$862,8,0)/1000</f>
        <v>2.3079999999999998</v>
      </c>
      <c r="G161" s="118">
        <f>VLOOKUP($A161,'BC.124+900 '!$B$13:$X$862,9,0)/1000</f>
        <v>-1.6919999999999999</v>
      </c>
      <c r="H161" s="118">
        <f>VLOOKUP($A161,'BC.124+900 '!$B$13:$X$862,14,0)/1000</f>
        <v>1.9970000000000001</v>
      </c>
      <c r="I161" s="118">
        <f>VLOOKUP($A161,'BC.124+900 '!$B$13:$X$862,15,0)/1000</f>
        <v>-2.0030000000000001</v>
      </c>
      <c r="J161" s="118">
        <f>VLOOKUP($A161,'BC.124+900 '!$B$13:$X$862,20,0)/1000</f>
        <v>2.5249999999999999</v>
      </c>
      <c r="K161" s="118">
        <f>VLOOKUP($A161,'BC.124+900 '!$B$13:$X$862,21,0)/1000</f>
        <v>-1.4750000000000001</v>
      </c>
      <c r="L161" s="117">
        <f t="shared" si="17"/>
        <v>-1571</v>
      </c>
      <c r="M161" s="117">
        <f t="shared" si="18"/>
        <v>-1880.0000000000002</v>
      </c>
      <c r="N161" s="117">
        <f t="shared" si="19"/>
        <v>-1362</v>
      </c>
      <c r="O161" s="117"/>
    </row>
    <row r="162" spans="1:15" ht="14.4" customHeight="1">
      <c r="A162" s="74">
        <f>'BC.124+900 '!B162</f>
        <v>45716</v>
      </c>
      <c r="B162" s="117">
        <v>150</v>
      </c>
      <c r="C162" s="118">
        <f>'BC.124+900 '!M162/1000</f>
        <v>3.43</v>
      </c>
      <c r="D162" s="118">
        <f>'BC.124+900 '!AA162</f>
        <v>5.2560000000000002</v>
      </c>
      <c r="E162" s="119">
        <f t="shared" si="16"/>
        <v>5.319</v>
      </c>
      <c r="F162" s="118">
        <f>VLOOKUP($A162,'BC.124+900 '!$B$13:$X$862,8,0)/1000</f>
        <v>2.2989999999999999</v>
      </c>
      <c r="G162" s="118">
        <f>VLOOKUP($A162,'BC.124+900 '!$B$13:$X$862,9,0)/1000</f>
        <v>-1.7010000000000001</v>
      </c>
      <c r="H162" s="118">
        <f>VLOOKUP($A162,'BC.124+900 '!$B$13:$X$862,14,0)/1000</f>
        <v>1.988</v>
      </c>
      <c r="I162" s="118">
        <f>VLOOKUP($A162,'BC.124+900 '!$B$13:$X$862,15,0)/1000</f>
        <v>-2.012</v>
      </c>
      <c r="J162" s="118">
        <f>VLOOKUP($A162,'BC.124+900 '!$B$13:$X$862,20,0)/1000</f>
        <v>2.5169999999999999</v>
      </c>
      <c r="K162" s="118">
        <f>VLOOKUP($A162,'BC.124+900 '!$B$13:$X$862,21,0)/1000</f>
        <v>-1.4830000000000001</v>
      </c>
      <c r="L162" s="117">
        <f t="shared" si="17"/>
        <v>-1580</v>
      </c>
      <c r="M162" s="117">
        <f t="shared" si="18"/>
        <v>-1889</v>
      </c>
      <c r="N162" s="117">
        <f t="shared" si="19"/>
        <v>-1370</v>
      </c>
      <c r="O162" s="117"/>
    </row>
    <row r="163" spans="1:15" ht="14.4" customHeight="1">
      <c r="A163" s="74">
        <f>'BC.124+900 '!B163</f>
        <v>45723</v>
      </c>
      <c r="B163" s="117">
        <v>151</v>
      </c>
      <c r="C163" s="118">
        <f>'BC.124+900 '!M163/1000</f>
        <v>3.4209999999999998</v>
      </c>
      <c r="D163" s="118">
        <f>'BC.124+900 '!AA163</f>
        <v>5.2560000000000002</v>
      </c>
      <c r="E163" s="119">
        <f t="shared" si="16"/>
        <v>5.319</v>
      </c>
      <c r="F163" s="118">
        <f>VLOOKUP($A163,'BC.124+900 '!$B$13:$X$862,8,0)/1000</f>
        <v>2.29</v>
      </c>
      <c r="G163" s="118">
        <f>VLOOKUP($A163,'BC.124+900 '!$B$13:$X$862,9,0)/1000</f>
        <v>-1.71</v>
      </c>
      <c r="H163" s="118">
        <f>VLOOKUP($A163,'BC.124+900 '!$B$13:$X$862,14,0)/1000</f>
        <v>1.9790000000000001</v>
      </c>
      <c r="I163" s="118">
        <f>VLOOKUP($A163,'BC.124+900 '!$B$13:$X$862,15,0)/1000</f>
        <v>-2.0209999999999999</v>
      </c>
      <c r="J163" s="118">
        <f>VLOOKUP($A163,'BC.124+900 '!$B$13:$X$862,20,0)/1000</f>
        <v>2.5089999999999999</v>
      </c>
      <c r="K163" s="118">
        <f>VLOOKUP($A163,'BC.124+900 '!$B$13:$X$862,21,0)/1000</f>
        <v>-1.4910000000000001</v>
      </c>
      <c r="L163" s="117">
        <f t="shared" si="17"/>
        <v>-1589</v>
      </c>
      <c r="M163" s="117">
        <f t="shared" si="18"/>
        <v>-1898</v>
      </c>
      <c r="N163" s="117">
        <f t="shared" si="19"/>
        <v>-1378</v>
      </c>
      <c r="O163" s="117"/>
    </row>
    <row r="164" spans="1:15" ht="14.4" customHeight="1">
      <c r="A164" s="74">
        <f>'BC.124+900 '!B164</f>
        <v>45730</v>
      </c>
      <c r="B164" s="117">
        <v>152</v>
      </c>
      <c r="C164" s="118">
        <f>'BC.124+900 '!M164/1000</f>
        <v>3.4119999999999999</v>
      </c>
      <c r="D164" s="118">
        <f>'BC.124+900 '!AA164</f>
        <v>5.2560000000000002</v>
      </c>
      <c r="E164" s="119">
        <f t="shared" si="16"/>
        <v>5.319</v>
      </c>
      <c r="F164" s="118">
        <f>VLOOKUP($A164,'BC.124+900 '!$B$13:$X$862,8,0)/1000</f>
        <v>2.282</v>
      </c>
      <c r="G164" s="118">
        <f>VLOOKUP($A164,'BC.124+900 '!$B$13:$X$862,9,0)/1000</f>
        <v>-1.718</v>
      </c>
      <c r="H164" s="118">
        <f>VLOOKUP($A164,'BC.124+900 '!$B$13:$X$862,14,0)/1000</f>
        <v>1.97</v>
      </c>
      <c r="I164" s="118">
        <f>VLOOKUP($A164,'BC.124+900 '!$B$13:$X$862,15,0)/1000</f>
        <v>-2.0299999999999998</v>
      </c>
      <c r="J164" s="118">
        <f>VLOOKUP($A164,'BC.124+900 '!$B$13:$X$862,20,0)/1000</f>
        <v>2.5009999999999999</v>
      </c>
      <c r="K164" s="118">
        <f>VLOOKUP($A164,'BC.124+900 '!$B$13:$X$862,21,0)/1000</f>
        <v>-1.4990000000000001</v>
      </c>
      <c r="L164" s="117">
        <f t="shared" si="17"/>
        <v>-1597</v>
      </c>
      <c r="M164" s="117">
        <f t="shared" si="18"/>
        <v>-1906.9999999999998</v>
      </c>
      <c r="N164" s="117">
        <f t="shared" si="19"/>
        <v>-1386.0000000000002</v>
      </c>
      <c r="O164" s="117"/>
    </row>
    <row r="165" spans="1:15" ht="14.4" customHeight="1">
      <c r="A165" s="74">
        <f>'BC.124+900 '!B165</f>
        <v>45737</v>
      </c>
      <c r="B165" s="117">
        <v>153</v>
      </c>
      <c r="C165" s="118">
        <f>'BC.124+900 '!M165/1000</f>
        <v>3.403</v>
      </c>
      <c r="D165" s="118">
        <f>'BC.124+900 '!AA165</f>
        <v>5.2560000000000002</v>
      </c>
      <c r="E165" s="119">
        <f t="shared" si="16"/>
        <v>5.319</v>
      </c>
      <c r="F165" s="118">
        <f>VLOOKUP($A165,'BC.124+900 '!$B$13:$X$862,8,0)/1000</f>
        <v>2.274</v>
      </c>
      <c r="G165" s="118">
        <f>VLOOKUP($A165,'BC.124+900 '!$B$13:$X$862,9,0)/1000</f>
        <v>-1.726</v>
      </c>
      <c r="H165" s="118">
        <f>VLOOKUP($A165,'BC.124+900 '!$B$13:$X$862,14,0)/1000</f>
        <v>1.9610000000000001</v>
      </c>
      <c r="I165" s="118">
        <f>VLOOKUP($A165,'BC.124+900 '!$B$13:$X$862,15,0)/1000</f>
        <v>-2.0390000000000001</v>
      </c>
      <c r="J165" s="118">
        <f>VLOOKUP($A165,'BC.124+900 '!$B$13:$X$862,20,0)/1000</f>
        <v>2.4950000000000001</v>
      </c>
      <c r="K165" s="118">
        <f>VLOOKUP($A165,'BC.124+900 '!$B$13:$X$862,21,0)/1000</f>
        <v>-1.5049999999999999</v>
      </c>
      <c r="L165" s="117">
        <f t="shared" si="17"/>
        <v>-1605</v>
      </c>
      <c r="M165" s="117">
        <f t="shared" si="18"/>
        <v>-1916.0000000000002</v>
      </c>
      <c r="N165" s="117">
        <f t="shared" si="19"/>
        <v>-1392</v>
      </c>
      <c r="O165" s="117"/>
    </row>
    <row r="166" spans="1:15" ht="14.4" customHeight="1">
      <c r="A166" s="74">
        <f>'BC.124+900 '!B166</f>
        <v>45744</v>
      </c>
      <c r="B166" s="117">
        <v>154</v>
      </c>
      <c r="C166" s="118">
        <f>'BC.124+900 '!M166/1000</f>
        <v>3.395</v>
      </c>
      <c r="D166" s="118">
        <f>'BC.124+900 '!AA166</f>
        <v>5.2560000000000002</v>
      </c>
      <c r="E166" s="119">
        <f t="shared" si="16"/>
        <v>5.319</v>
      </c>
      <c r="F166" s="118">
        <f>VLOOKUP($A166,'BC.124+900 '!$B$13:$X$862,8,0)/1000</f>
        <v>2.266</v>
      </c>
      <c r="G166" s="118">
        <f>VLOOKUP($A166,'BC.124+900 '!$B$13:$X$862,9,0)/1000</f>
        <v>-1.734</v>
      </c>
      <c r="H166" s="118">
        <f>VLOOKUP($A166,'BC.124+900 '!$B$13:$X$862,14,0)/1000</f>
        <v>1.9530000000000001</v>
      </c>
      <c r="I166" s="118">
        <f>VLOOKUP($A166,'BC.124+900 '!$B$13:$X$862,15,0)/1000</f>
        <v>-2.0470000000000002</v>
      </c>
      <c r="J166" s="118">
        <f>VLOOKUP($A166,'BC.124+900 '!$B$13:$X$862,20,0)/1000</f>
        <v>2.4889999999999999</v>
      </c>
      <c r="K166" s="118">
        <f>VLOOKUP($A166,'BC.124+900 '!$B$13:$X$862,21,0)/1000</f>
        <v>-1.5109999999999999</v>
      </c>
      <c r="L166" s="117">
        <f t="shared" si="17"/>
        <v>-1613</v>
      </c>
      <c r="M166" s="117">
        <f t="shared" si="18"/>
        <v>-1924.0000000000002</v>
      </c>
      <c r="N166" s="117">
        <f t="shared" si="19"/>
        <v>-1398</v>
      </c>
      <c r="O166" s="117"/>
    </row>
    <row r="167" spans="1:15" ht="14.4" customHeight="1">
      <c r="A167" s="74">
        <f>'BC.124+900 '!B167</f>
        <v>45751</v>
      </c>
      <c r="B167" s="117">
        <v>155</v>
      </c>
      <c r="C167" s="118">
        <f>'BC.124+900 '!M167/1000</f>
        <v>3.3889999999999998</v>
      </c>
      <c r="D167" s="118">
        <f>'BC.124+900 '!AA167</f>
        <v>5.2560000000000002</v>
      </c>
      <c r="E167" s="119">
        <f t="shared" si="16"/>
        <v>5.319</v>
      </c>
      <c r="F167" s="118">
        <f>VLOOKUP($A167,'BC.124+900 '!$B$13:$X$862,8,0)/1000</f>
        <v>2.2599999999999998</v>
      </c>
      <c r="G167" s="118">
        <f>VLOOKUP($A167,'BC.124+900 '!$B$13:$X$862,9,0)/1000</f>
        <v>-1.74</v>
      </c>
      <c r="H167" s="118">
        <f>VLOOKUP($A167,'BC.124+900 '!$B$13:$X$862,14,0)/1000</f>
        <v>1.9470000000000001</v>
      </c>
      <c r="I167" s="118">
        <f>VLOOKUP($A167,'BC.124+900 '!$B$13:$X$862,15,0)/1000</f>
        <v>-2.0529999999999999</v>
      </c>
      <c r="J167" s="118">
        <f>VLOOKUP($A167,'BC.124+900 '!$B$13:$X$862,20,0)/1000</f>
        <v>2.4830000000000001</v>
      </c>
      <c r="K167" s="118">
        <f>VLOOKUP($A167,'BC.124+900 '!$B$13:$X$862,21,0)/1000</f>
        <v>-1.5169999999999999</v>
      </c>
      <c r="L167" s="117">
        <f t="shared" si="17"/>
        <v>-1619</v>
      </c>
      <c r="M167" s="117">
        <f t="shared" si="18"/>
        <v>-1930</v>
      </c>
      <c r="N167" s="117">
        <f t="shared" si="19"/>
        <v>-1404</v>
      </c>
      <c r="O167" s="117"/>
    </row>
    <row r="168" spans="1:15" ht="14.4" customHeight="1">
      <c r="A168" s="74">
        <f>'BC.124+900 '!B168</f>
        <v>45758</v>
      </c>
      <c r="B168" s="117">
        <v>156</v>
      </c>
      <c r="C168" s="118">
        <f>'BC.124+900 '!M168/1000</f>
        <v>3.383</v>
      </c>
      <c r="D168" s="118">
        <f>'BC.124+900 '!AA168</f>
        <v>5.2560000000000002</v>
      </c>
      <c r="E168" s="119">
        <f t="shared" si="16"/>
        <v>5.319</v>
      </c>
      <c r="F168" s="118">
        <f>VLOOKUP($A168,'BC.124+900 '!$B$13:$X$862,8,0)/1000</f>
        <v>2.2559999999999998</v>
      </c>
      <c r="G168" s="118">
        <f>VLOOKUP($A168,'BC.124+900 '!$B$13:$X$862,9,0)/1000</f>
        <v>-1.744</v>
      </c>
      <c r="H168" s="118">
        <f>VLOOKUP($A168,'BC.124+900 '!$B$13:$X$862,14,0)/1000</f>
        <v>1.9410000000000001</v>
      </c>
      <c r="I168" s="118">
        <f>VLOOKUP($A168,'BC.124+900 '!$B$13:$X$862,15,0)/1000</f>
        <v>-2.0590000000000002</v>
      </c>
      <c r="J168" s="118">
        <f>VLOOKUP($A168,'BC.124+900 '!$B$13:$X$862,20,0)/1000</f>
        <v>2.4790000000000001</v>
      </c>
      <c r="K168" s="118">
        <f>VLOOKUP($A168,'BC.124+900 '!$B$13:$X$862,21,0)/1000</f>
        <v>-1.5209999999999999</v>
      </c>
      <c r="L168" s="117">
        <f t="shared" si="17"/>
        <v>-1623</v>
      </c>
      <c r="M168" s="117">
        <f t="shared" si="18"/>
        <v>-1936.0000000000002</v>
      </c>
      <c r="N168" s="117">
        <f t="shared" si="19"/>
        <v>-1408</v>
      </c>
      <c r="O168" s="117"/>
    </row>
    <row r="169" spans="1:15" ht="14.4" customHeight="1">
      <c r="A169" s="74">
        <f>'BC.124+900 '!B169</f>
        <v>45765</v>
      </c>
      <c r="B169" s="117">
        <v>157</v>
      </c>
      <c r="C169" s="118">
        <f>'BC.124+900 '!M169/1000</f>
        <v>3.3769999999999998</v>
      </c>
      <c r="D169" s="118">
        <f>'BC.124+900 '!AA169</f>
        <v>5.2560000000000002</v>
      </c>
      <c r="E169" s="119">
        <f t="shared" si="16"/>
        <v>5.319</v>
      </c>
      <c r="F169" s="118">
        <f>VLOOKUP($A169,'BC.124+900 '!$B$13:$X$862,8,0)/1000</f>
        <v>2.2519999999999998</v>
      </c>
      <c r="G169" s="118">
        <f>VLOOKUP($A169,'BC.124+900 '!$B$13:$X$862,9,0)/1000</f>
        <v>-1.748</v>
      </c>
      <c r="H169" s="118">
        <f>VLOOKUP($A169,'BC.124+900 '!$B$13:$X$862,14,0)/1000</f>
        <v>1.9350000000000001</v>
      </c>
      <c r="I169" s="118">
        <f>VLOOKUP($A169,'BC.124+900 '!$B$13:$X$862,15,0)/1000</f>
        <v>-2.0649999999999999</v>
      </c>
      <c r="J169" s="118">
        <f>VLOOKUP($A169,'BC.124+900 '!$B$13:$X$862,20,0)/1000</f>
        <v>2.4750000000000001</v>
      </c>
      <c r="K169" s="118">
        <f>VLOOKUP($A169,'BC.124+900 '!$B$13:$X$862,21,0)/1000</f>
        <v>-1.5249999999999999</v>
      </c>
      <c r="L169" s="117">
        <f t="shared" si="17"/>
        <v>-1627</v>
      </c>
      <c r="M169" s="117">
        <f t="shared" si="18"/>
        <v>-1942</v>
      </c>
      <c r="N169" s="117">
        <f t="shared" si="19"/>
        <v>-1412</v>
      </c>
      <c r="O169" s="117"/>
    </row>
    <row r="170" spans="1:15" ht="14.4" customHeight="1">
      <c r="A170" s="74">
        <f>'BC.124+900 '!B170</f>
        <v>45772</v>
      </c>
      <c r="B170" s="117">
        <v>158</v>
      </c>
      <c r="C170" s="118">
        <f>'BC.124+900 '!M170/1000</f>
        <v>3.371</v>
      </c>
      <c r="D170" s="118">
        <f>'BC.124+900 '!AA170</f>
        <v>5.2560000000000002</v>
      </c>
      <c r="E170" s="119">
        <f t="shared" si="16"/>
        <v>5.319</v>
      </c>
      <c r="F170" s="118">
        <f>VLOOKUP($A170,'BC.124+900 '!$B$13:$X$862,8,0)/1000</f>
        <v>2.2480000000000002</v>
      </c>
      <c r="G170" s="118">
        <f>VLOOKUP($A170,'BC.124+900 '!$B$13:$X$862,9,0)/1000</f>
        <v>-1.752</v>
      </c>
      <c r="H170" s="118">
        <f>VLOOKUP($A170,'BC.124+900 '!$B$13:$X$862,14,0)/1000</f>
        <v>1.929</v>
      </c>
      <c r="I170" s="118">
        <f>VLOOKUP($A170,'BC.124+900 '!$B$13:$X$862,15,0)/1000</f>
        <v>-2.0710000000000002</v>
      </c>
      <c r="J170" s="118">
        <f>VLOOKUP($A170,'BC.124+900 '!$B$13:$X$862,20,0)/1000</f>
        <v>2.4729999999999999</v>
      </c>
      <c r="K170" s="118">
        <f>VLOOKUP($A170,'BC.124+900 '!$B$13:$X$862,21,0)/1000</f>
        <v>-1.5269999999999999</v>
      </c>
      <c r="L170" s="117">
        <f t="shared" si="17"/>
        <v>-1631</v>
      </c>
      <c r="M170" s="117">
        <f t="shared" si="18"/>
        <v>-1948.0000000000002</v>
      </c>
      <c r="N170" s="117">
        <f t="shared" si="19"/>
        <v>-1414</v>
      </c>
      <c r="O170" s="117"/>
    </row>
    <row r="171" spans="1:15" ht="14.4" customHeight="1">
      <c r="A171" s="74">
        <f>'BC.124+900 '!B171</f>
        <v>45779</v>
      </c>
      <c r="B171" s="117">
        <v>159</v>
      </c>
      <c r="C171" s="118">
        <f>'BC.124+900 '!M171/1000</f>
        <v>3.367</v>
      </c>
      <c r="D171" s="118">
        <f>'BC.124+900 '!AA171</f>
        <v>5.2560000000000002</v>
      </c>
      <c r="E171" s="119">
        <f t="shared" si="16"/>
        <v>5.319</v>
      </c>
      <c r="F171" s="118">
        <f>VLOOKUP($A171,'BC.124+900 '!$B$13:$X$862,8,0)/1000</f>
        <v>2.2440000000000002</v>
      </c>
      <c r="G171" s="118">
        <f>VLOOKUP($A171,'BC.124+900 '!$B$13:$X$862,9,0)/1000</f>
        <v>-1.756</v>
      </c>
      <c r="H171" s="118">
        <f>VLOOKUP($A171,'BC.124+900 '!$B$13:$X$862,14,0)/1000</f>
        <v>1.925</v>
      </c>
      <c r="I171" s="118">
        <f>VLOOKUP($A171,'BC.124+900 '!$B$13:$X$862,15,0)/1000</f>
        <v>-2.0750000000000002</v>
      </c>
      <c r="J171" s="118">
        <f>VLOOKUP($A171,'BC.124+900 '!$B$13:$X$862,20,0)/1000</f>
        <v>2.4710000000000001</v>
      </c>
      <c r="K171" s="118">
        <f>VLOOKUP($A171,'BC.124+900 '!$B$13:$X$862,21,0)/1000</f>
        <v>-1.5289999999999999</v>
      </c>
      <c r="L171" s="117">
        <f t="shared" si="17"/>
        <v>-1635</v>
      </c>
      <c r="M171" s="117">
        <f t="shared" si="18"/>
        <v>-1952.0000000000002</v>
      </c>
      <c r="N171" s="117">
        <f t="shared" si="19"/>
        <v>-1416</v>
      </c>
      <c r="O171" s="117"/>
    </row>
    <row r="172" spans="1:15" ht="14.4" customHeight="1">
      <c r="A172" s="74">
        <f>'BC.124+900 '!B172</f>
        <v>45786</v>
      </c>
      <c r="B172" s="117">
        <v>160</v>
      </c>
      <c r="C172" s="118">
        <f>'BC.124+900 '!M172/1000</f>
        <v>3.363</v>
      </c>
      <c r="D172" s="118">
        <f>'BC.124+900 '!AA172</f>
        <v>5.2560000000000002</v>
      </c>
      <c r="E172" s="119">
        <f t="shared" si="16"/>
        <v>5.319</v>
      </c>
      <c r="F172" s="118">
        <f>VLOOKUP($A172,'BC.124+900 '!$B$13:$X$862,8,0)/1000</f>
        <v>2.242</v>
      </c>
      <c r="G172" s="118">
        <f>VLOOKUP($A172,'BC.124+900 '!$B$13:$X$862,9,0)/1000</f>
        <v>-1.758</v>
      </c>
      <c r="H172" s="118">
        <f>VLOOKUP($A172,'BC.124+900 '!$B$13:$X$862,14,0)/1000</f>
        <v>1.921</v>
      </c>
      <c r="I172" s="118">
        <f>VLOOKUP($A172,'BC.124+900 '!$B$13:$X$862,15,0)/1000</f>
        <v>-2.0790000000000002</v>
      </c>
      <c r="J172" s="118">
        <f>VLOOKUP($A172,'BC.124+900 '!$B$13:$X$862,20,0)/1000</f>
        <v>2.4689999999999999</v>
      </c>
      <c r="K172" s="118">
        <f>VLOOKUP($A172,'BC.124+900 '!$B$13:$X$862,21,0)/1000</f>
        <v>-1.5309999999999999</v>
      </c>
      <c r="L172" s="117">
        <f t="shared" si="17"/>
        <v>-1637</v>
      </c>
      <c r="M172" s="117">
        <f t="shared" si="18"/>
        <v>-1956.0000000000002</v>
      </c>
      <c r="N172" s="117">
        <f t="shared" si="19"/>
        <v>-1418</v>
      </c>
      <c r="O172" s="117"/>
    </row>
    <row r="173" spans="1:15" ht="14.4" customHeight="1">
      <c r="A173" s="74">
        <f>'BC.124+900 '!B173</f>
        <v>45793</v>
      </c>
      <c r="B173" s="117">
        <v>161</v>
      </c>
      <c r="C173" s="118">
        <f>'BC.124+900 '!M173/1000</f>
        <v>3.36</v>
      </c>
      <c r="D173" s="118">
        <f>'BC.124+900 '!AA173</f>
        <v>5.2560000000000002</v>
      </c>
      <c r="E173" s="119">
        <f t="shared" si="16"/>
        <v>5.319</v>
      </c>
      <c r="F173" s="118">
        <f>VLOOKUP($A173,'BC.124+900 '!$B$13:$X$862,8,0)/1000</f>
        <v>2.2400000000000002</v>
      </c>
      <c r="G173" s="118">
        <f>VLOOKUP($A173,'BC.124+900 '!$B$13:$X$862,9,0)/1000</f>
        <v>-1.76</v>
      </c>
      <c r="H173" s="118">
        <f>VLOOKUP($A173,'BC.124+900 '!$B$13:$X$862,14,0)/1000</f>
        <v>1.9179999999999999</v>
      </c>
      <c r="I173" s="118">
        <f>VLOOKUP($A173,'BC.124+900 '!$B$13:$X$862,15,0)/1000</f>
        <v>-2.0819999999999999</v>
      </c>
      <c r="J173" s="118">
        <f>VLOOKUP($A173,'BC.124+900 '!$B$13:$X$862,20,0)/1000</f>
        <v>2.4670000000000001</v>
      </c>
      <c r="K173" s="118">
        <f>VLOOKUP($A173,'BC.124+900 '!$B$13:$X$862,21,0)/1000</f>
        <v>-1.5329999999999999</v>
      </c>
      <c r="L173" s="117">
        <f t="shared" si="17"/>
        <v>-1639</v>
      </c>
      <c r="M173" s="117">
        <f t="shared" si="18"/>
        <v>-1958.9999999999998</v>
      </c>
      <c r="N173" s="117">
        <f t="shared" si="19"/>
        <v>-1420</v>
      </c>
      <c r="O173" s="117"/>
    </row>
    <row r="174" spans="1:15" ht="14.4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</row>
    <row r="175" spans="1:15" ht="14.4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</row>
    <row r="176" spans="1:15" ht="14.4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</row>
    <row r="177" spans="1:15" ht="14.4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</row>
    <row r="178" spans="1:15" ht="14.4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</row>
    <row r="179" spans="1:15" ht="14.4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</row>
    <row r="180" spans="1:15" ht="14.4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</row>
    <row r="181" spans="1:15" ht="14.4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</row>
    <row r="182" spans="1:15" ht="14.4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</row>
    <row r="183" spans="1:15" ht="14.4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</row>
    <row r="184" spans="1:15" ht="14.4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</row>
    <row r="185" spans="1:15" ht="14.4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</row>
    <row r="186" spans="1:15" ht="14.4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</row>
    <row r="187" spans="1:15" ht="14.4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</row>
    <row r="188" spans="1:15" ht="14.4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</row>
    <row r="189" spans="1:15" ht="14.4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</row>
    <row r="190" spans="1:15" ht="14.4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</row>
    <row r="191" spans="1:15" ht="14.4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</row>
    <row r="192" spans="1:15" ht="14.4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</row>
    <row r="193" spans="1:15" ht="14.4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</row>
    <row r="194" spans="1:15" ht="14.4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</row>
    <row r="195" spans="1:15" ht="14.4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</row>
    <row r="196" spans="1:15" ht="14.4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</row>
    <row r="197" spans="1:15" ht="14.4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</row>
    <row r="198" spans="1:15" ht="14.4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</row>
    <row r="199" spans="1:15" ht="14.4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</row>
    <row r="200" spans="1:15" ht="14.4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</row>
    <row r="201" spans="1:15" ht="14.4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</row>
    <row r="202" spans="1:15" ht="14.4" customHeight="1">
      <c r="A202" s="74"/>
      <c r="B202" s="117"/>
      <c r="C202" s="118"/>
      <c r="D202" s="118"/>
      <c r="E202" s="119"/>
      <c r="F202" s="118"/>
      <c r="G202" s="118"/>
      <c r="H202" s="118"/>
      <c r="I202" s="118"/>
      <c r="J202" s="118"/>
      <c r="K202" s="118"/>
      <c r="L202" s="117"/>
      <c r="M202" s="117"/>
      <c r="N202" s="117"/>
      <c r="O202" s="117"/>
    </row>
    <row r="203" spans="1:15" ht="14.4" customHeight="1">
      <c r="A203" s="74"/>
      <c r="B203" s="117"/>
      <c r="C203" s="118"/>
      <c r="D203" s="118"/>
      <c r="E203" s="119"/>
      <c r="F203" s="118"/>
      <c r="G203" s="118"/>
      <c r="H203" s="118"/>
      <c r="I203" s="118"/>
      <c r="J203" s="118"/>
      <c r="K203" s="118"/>
      <c r="L203" s="117"/>
      <c r="M203" s="117"/>
      <c r="N203" s="117"/>
      <c r="O203" s="117"/>
    </row>
    <row r="204" spans="1:15" ht="14.4" customHeight="1">
      <c r="A204" s="74"/>
      <c r="B204" s="117"/>
      <c r="C204" s="118"/>
      <c r="D204" s="118"/>
      <c r="E204" s="119"/>
      <c r="F204" s="118"/>
      <c r="G204" s="118"/>
      <c r="H204" s="118"/>
      <c r="I204" s="118"/>
      <c r="J204" s="118"/>
      <c r="K204" s="118"/>
      <c r="L204" s="117"/>
      <c r="M204" s="117"/>
      <c r="N204" s="117"/>
      <c r="O204" s="117"/>
    </row>
    <row r="205" spans="1:15" ht="14.4" customHeight="1">
      <c r="A205" s="74"/>
      <c r="B205" s="117"/>
      <c r="C205" s="118"/>
      <c r="D205" s="118"/>
      <c r="E205" s="119"/>
      <c r="F205" s="118"/>
      <c r="G205" s="118"/>
      <c r="H205" s="118"/>
      <c r="I205" s="118"/>
      <c r="J205" s="118"/>
      <c r="K205" s="118"/>
      <c r="L205" s="117"/>
      <c r="M205" s="117"/>
      <c r="N205" s="117"/>
      <c r="O205" s="117"/>
    </row>
    <row r="206" spans="1:15" ht="14.4" customHeight="1">
      <c r="A206" s="74"/>
      <c r="B206" s="117"/>
      <c r="C206" s="118"/>
      <c r="D206" s="118"/>
      <c r="E206" s="119"/>
      <c r="F206" s="118"/>
      <c r="G206" s="118"/>
      <c r="H206" s="118"/>
      <c r="I206" s="118"/>
      <c r="J206" s="118"/>
      <c r="K206" s="118"/>
      <c r="L206" s="117"/>
      <c r="M206" s="117"/>
      <c r="N206" s="117"/>
      <c r="O206" s="117"/>
    </row>
    <row r="207" spans="1:15" ht="14.4" customHeight="1">
      <c r="A207" s="74"/>
      <c r="B207" s="117"/>
      <c r="C207" s="118"/>
      <c r="D207" s="118"/>
      <c r="E207" s="119"/>
      <c r="F207" s="118"/>
      <c r="G207" s="118"/>
      <c r="H207" s="118"/>
      <c r="I207" s="118"/>
      <c r="J207" s="118"/>
      <c r="K207" s="118"/>
      <c r="L207" s="117"/>
      <c r="M207" s="117"/>
      <c r="N207" s="117"/>
      <c r="O207" s="117"/>
    </row>
    <row r="208" spans="1:15" ht="14.4" customHeight="1">
      <c r="A208" s="74"/>
      <c r="B208" s="117"/>
      <c r="C208" s="118"/>
      <c r="D208" s="118"/>
      <c r="E208" s="119"/>
      <c r="F208" s="118"/>
      <c r="G208" s="118"/>
      <c r="H208" s="118"/>
      <c r="I208" s="118"/>
      <c r="J208" s="118"/>
      <c r="K208" s="118"/>
      <c r="L208" s="117"/>
      <c r="M208" s="117"/>
      <c r="N208" s="117"/>
      <c r="O208" s="117"/>
    </row>
    <row r="209" spans="1:15" ht="14.4" customHeight="1">
      <c r="A209" s="74"/>
      <c r="B209" s="117"/>
      <c r="C209" s="118"/>
      <c r="D209" s="118"/>
      <c r="E209" s="119"/>
      <c r="F209" s="118"/>
      <c r="G209" s="118"/>
      <c r="H209" s="118"/>
      <c r="I209" s="118"/>
      <c r="J209" s="118"/>
      <c r="K209" s="118"/>
      <c r="L209" s="117"/>
      <c r="M209" s="117"/>
      <c r="N209" s="117"/>
      <c r="O209" s="117"/>
    </row>
    <row r="210" spans="1:15" ht="14.4" customHeight="1">
      <c r="A210" s="74"/>
      <c r="B210" s="117"/>
      <c r="C210" s="118"/>
      <c r="D210" s="118"/>
      <c r="E210" s="119"/>
      <c r="F210" s="118"/>
      <c r="G210" s="118"/>
      <c r="H210" s="118"/>
      <c r="I210" s="118"/>
      <c r="J210" s="118"/>
      <c r="K210" s="118"/>
      <c r="L210" s="117"/>
      <c r="M210" s="117"/>
      <c r="N210" s="117"/>
      <c r="O210" s="117"/>
    </row>
    <row r="211" spans="1:15" ht="14.4" customHeight="1">
      <c r="A211" s="74"/>
      <c r="B211" s="117"/>
      <c r="C211" s="118"/>
      <c r="D211" s="118"/>
      <c r="E211" s="119"/>
      <c r="F211" s="118"/>
      <c r="G211" s="118"/>
      <c r="H211" s="118"/>
      <c r="I211" s="118"/>
      <c r="J211" s="118"/>
      <c r="K211" s="118"/>
      <c r="L211" s="117"/>
      <c r="M211" s="117"/>
      <c r="N211" s="117"/>
      <c r="O211" s="117"/>
    </row>
    <row r="212" spans="1:15" ht="14.4" customHeight="1">
      <c r="A212" s="74"/>
      <c r="B212" s="117"/>
      <c r="C212" s="118"/>
      <c r="D212" s="118"/>
      <c r="E212" s="119"/>
      <c r="F212" s="118"/>
      <c r="G212" s="118"/>
      <c r="H212" s="118"/>
      <c r="I212" s="118"/>
      <c r="J212" s="118"/>
      <c r="K212" s="118"/>
      <c r="L212" s="117"/>
      <c r="M212" s="117"/>
      <c r="N212" s="117"/>
      <c r="O212" s="117"/>
    </row>
    <row r="213" spans="1:15" ht="14.4" customHeight="1">
      <c r="A213" s="74"/>
      <c r="B213" s="117"/>
      <c r="C213" s="118"/>
      <c r="D213" s="118"/>
      <c r="E213" s="119"/>
      <c r="F213" s="118"/>
      <c r="G213" s="118"/>
      <c r="H213" s="118"/>
      <c r="I213" s="118"/>
      <c r="J213" s="118"/>
      <c r="K213" s="118"/>
      <c r="L213" s="117"/>
      <c r="M213" s="117"/>
      <c r="N213" s="117"/>
      <c r="O213" s="117"/>
    </row>
    <row r="214" spans="1:15" ht="14.4" customHeight="1">
      <c r="A214" s="74"/>
      <c r="B214" s="117"/>
      <c r="C214" s="118"/>
      <c r="D214" s="118"/>
      <c r="E214" s="119"/>
      <c r="F214" s="118"/>
      <c r="G214" s="118"/>
      <c r="H214" s="118"/>
      <c r="I214" s="118"/>
      <c r="J214" s="118"/>
      <c r="K214" s="118"/>
      <c r="L214" s="117"/>
      <c r="M214" s="117"/>
      <c r="N214" s="117"/>
      <c r="O214" s="117"/>
    </row>
    <row r="215" spans="1:15" ht="14.4" customHeight="1">
      <c r="A215" s="74"/>
      <c r="B215" s="117"/>
      <c r="C215" s="118"/>
      <c r="D215" s="118"/>
      <c r="E215" s="119"/>
      <c r="F215" s="118"/>
      <c r="G215" s="118"/>
      <c r="H215" s="118"/>
      <c r="I215" s="118"/>
      <c r="J215" s="118"/>
      <c r="K215" s="118"/>
      <c r="L215" s="117"/>
      <c r="M215" s="117"/>
      <c r="N215" s="117"/>
      <c r="O215" s="117"/>
    </row>
    <row r="216" spans="1:15" ht="14.4" customHeight="1">
      <c r="A216" s="74"/>
      <c r="B216" s="117"/>
      <c r="C216" s="118"/>
      <c r="D216" s="118"/>
      <c r="E216" s="119"/>
      <c r="F216" s="118"/>
      <c r="G216" s="118"/>
      <c r="H216" s="118"/>
      <c r="I216" s="118"/>
      <c r="J216" s="118"/>
      <c r="K216" s="118"/>
      <c r="L216" s="117"/>
      <c r="M216" s="117"/>
      <c r="N216" s="117"/>
      <c r="O216" s="117"/>
    </row>
    <row r="217" spans="1:15" ht="14.4" customHeight="1">
      <c r="A217" s="74"/>
      <c r="B217" s="117"/>
      <c r="C217" s="118"/>
      <c r="D217" s="118"/>
      <c r="E217" s="119"/>
      <c r="F217" s="118"/>
      <c r="G217" s="118"/>
      <c r="H217" s="118"/>
      <c r="I217" s="118"/>
      <c r="J217" s="118"/>
      <c r="K217" s="118"/>
      <c r="L217" s="117"/>
      <c r="M217" s="117"/>
      <c r="N217" s="117"/>
      <c r="O217" s="117"/>
    </row>
    <row r="218" spans="1:15" ht="14.4" customHeight="1">
      <c r="A218" s="74"/>
      <c r="B218" s="117"/>
      <c r="C218" s="118"/>
      <c r="D218" s="118"/>
      <c r="E218" s="119"/>
      <c r="F218" s="118"/>
      <c r="G218" s="118"/>
      <c r="H218" s="118"/>
      <c r="I218" s="118"/>
      <c r="J218" s="118"/>
      <c r="K218" s="118"/>
      <c r="L218" s="117"/>
      <c r="M218" s="117"/>
      <c r="N218" s="117"/>
      <c r="O218" s="117"/>
    </row>
    <row r="219" spans="1:15" ht="14.4" customHeight="1">
      <c r="A219" s="74"/>
      <c r="B219" s="117"/>
      <c r="C219" s="118"/>
      <c r="D219" s="118"/>
      <c r="E219" s="119"/>
      <c r="F219" s="118"/>
      <c r="G219" s="118"/>
      <c r="H219" s="118"/>
      <c r="I219" s="118"/>
      <c r="J219" s="118"/>
      <c r="K219" s="118"/>
      <c r="L219" s="117"/>
      <c r="M219" s="117"/>
      <c r="N219" s="117"/>
      <c r="O219" s="117"/>
    </row>
    <row r="220" spans="1:15" ht="14.4" customHeight="1">
      <c r="A220" s="74"/>
      <c r="B220" s="117"/>
      <c r="C220" s="118"/>
      <c r="D220" s="118"/>
      <c r="E220" s="119"/>
      <c r="F220" s="118"/>
      <c r="G220" s="118"/>
      <c r="H220" s="118"/>
      <c r="I220" s="118"/>
      <c r="J220" s="118"/>
      <c r="K220" s="118"/>
      <c r="L220" s="117"/>
      <c r="M220" s="117"/>
      <c r="N220" s="117"/>
      <c r="O220" s="117"/>
    </row>
    <row r="221" spans="1:15" ht="14.4" customHeight="1">
      <c r="A221" s="74"/>
      <c r="B221" s="117"/>
      <c r="C221" s="118"/>
      <c r="D221" s="118"/>
      <c r="E221" s="119"/>
      <c r="F221" s="118"/>
      <c r="G221" s="118"/>
      <c r="H221" s="118"/>
      <c r="I221" s="118"/>
      <c r="J221" s="118"/>
      <c r="K221" s="118"/>
      <c r="L221" s="117"/>
      <c r="M221" s="117"/>
      <c r="N221" s="117"/>
      <c r="O221" s="117"/>
    </row>
    <row r="222" spans="1:15" ht="14.4" customHeight="1">
      <c r="A222" s="74"/>
      <c r="B222" s="117"/>
      <c r="C222" s="118"/>
      <c r="D222" s="118"/>
      <c r="E222" s="119"/>
      <c r="F222" s="118"/>
      <c r="G222" s="118"/>
      <c r="H222" s="118"/>
      <c r="I222" s="118"/>
      <c r="J222" s="118"/>
      <c r="K222" s="118"/>
      <c r="L222" s="117"/>
      <c r="M222" s="117"/>
      <c r="N222" s="117"/>
      <c r="O222" s="117"/>
    </row>
    <row r="223" spans="1:15" ht="14.4" customHeight="1">
      <c r="A223" s="74"/>
      <c r="B223" s="117"/>
      <c r="C223" s="118"/>
      <c r="D223" s="118"/>
      <c r="E223" s="119"/>
      <c r="F223" s="118"/>
      <c r="G223" s="118"/>
      <c r="H223" s="118"/>
      <c r="I223" s="118"/>
      <c r="J223" s="118"/>
      <c r="K223" s="118"/>
      <c r="L223" s="117"/>
      <c r="M223" s="117"/>
      <c r="N223" s="117"/>
      <c r="O223" s="117"/>
    </row>
    <row r="224" spans="1:15" ht="14.4" customHeight="1">
      <c r="A224" s="74"/>
      <c r="B224" s="117"/>
      <c r="C224" s="118"/>
      <c r="D224" s="118"/>
      <c r="E224" s="119"/>
      <c r="F224" s="118"/>
      <c r="G224" s="118"/>
      <c r="H224" s="118"/>
      <c r="I224" s="118"/>
      <c r="J224" s="118"/>
      <c r="K224" s="118"/>
      <c r="L224" s="117"/>
      <c r="M224" s="117"/>
      <c r="N224" s="117"/>
      <c r="O224" s="117"/>
    </row>
    <row r="225" spans="1:15" ht="14.4" customHeight="1">
      <c r="A225" s="74"/>
      <c r="B225" s="117"/>
      <c r="C225" s="118"/>
      <c r="D225" s="118"/>
      <c r="E225" s="119"/>
      <c r="F225" s="118"/>
      <c r="G225" s="118"/>
      <c r="H225" s="118"/>
      <c r="I225" s="118"/>
      <c r="J225" s="118"/>
      <c r="K225" s="118"/>
      <c r="L225" s="117"/>
      <c r="M225" s="117"/>
      <c r="N225" s="117"/>
      <c r="O225" s="117"/>
    </row>
    <row r="226" spans="1:15" ht="14.4" customHeight="1">
      <c r="A226" s="74"/>
      <c r="B226" s="117"/>
      <c r="C226" s="118"/>
      <c r="D226" s="118"/>
      <c r="E226" s="119"/>
      <c r="F226" s="118"/>
      <c r="G226" s="118"/>
      <c r="H226" s="118"/>
      <c r="I226" s="118"/>
      <c r="J226" s="118"/>
      <c r="K226" s="118"/>
      <c r="L226" s="117"/>
      <c r="M226" s="117"/>
      <c r="N226" s="117"/>
      <c r="O226" s="117"/>
    </row>
    <row r="227" spans="1:15" ht="14.4" customHeight="1">
      <c r="A227" s="74"/>
      <c r="B227" s="117"/>
      <c r="C227" s="118"/>
      <c r="D227" s="118"/>
      <c r="E227" s="119"/>
      <c r="F227" s="118"/>
      <c r="G227" s="118"/>
      <c r="H227" s="118"/>
      <c r="I227" s="118"/>
      <c r="J227" s="118"/>
      <c r="K227" s="118"/>
      <c r="L227" s="117"/>
      <c r="M227" s="117"/>
      <c r="N227" s="117"/>
      <c r="O227" s="117"/>
    </row>
    <row r="228" spans="1:15" ht="14.4" customHeight="1">
      <c r="A228" s="74"/>
      <c r="B228" s="117"/>
      <c r="C228" s="118"/>
      <c r="D228" s="118"/>
      <c r="E228" s="119"/>
      <c r="F228" s="118"/>
      <c r="G228" s="118"/>
      <c r="H228" s="118"/>
      <c r="I228" s="118"/>
      <c r="J228" s="118"/>
      <c r="K228" s="118"/>
      <c r="L228" s="117"/>
      <c r="M228" s="117"/>
      <c r="N228" s="117"/>
      <c r="O228" s="117"/>
    </row>
    <row r="229" spans="1:15" ht="14.4" customHeight="1">
      <c r="A229" s="74"/>
      <c r="B229" s="117"/>
      <c r="C229" s="118"/>
      <c r="D229" s="118"/>
      <c r="E229" s="119"/>
      <c r="F229" s="118"/>
      <c r="G229" s="118"/>
      <c r="H229" s="118"/>
      <c r="I229" s="118"/>
      <c r="J229" s="118"/>
      <c r="K229" s="118"/>
      <c r="L229" s="117"/>
      <c r="M229" s="117"/>
      <c r="N229" s="117"/>
      <c r="O229" s="117"/>
    </row>
    <row r="230" spans="1:15" ht="14.4" customHeight="1">
      <c r="A230" s="74"/>
      <c r="B230" s="117"/>
      <c r="C230" s="118"/>
      <c r="D230" s="118"/>
      <c r="E230" s="119"/>
      <c r="F230" s="118"/>
      <c r="G230" s="118"/>
      <c r="H230" s="118"/>
      <c r="I230" s="118"/>
      <c r="J230" s="118"/>
      <c r="K230" s="118"/>
      <c r="L230" s="117"/>
      <c r="M230" s="117"/>
      <c r="N230" s="117"/>
      <c r="O230" s="117"/>
    </row>
    <row r="231" spans="1:15" ht="14.4" customHeight="1">
      <c r="A231" s="74"/>
      <c r="B231" s="117"/>
      <c r="C231" s="118"/>
      <c r="D231" s="118"/>
      <c r="E231" s="119"/>
      <c r="F231" s="118"/>
      <c r="G231" s="118"/>
      <c r="H231" s="118"/>
      <c r="I231" s="118"/>
      <c r="J231" s="118"/>
      <c r="K231" s="118"/>
      <c r="L231" s="117"/>
      <c r="M231" s="117"/>
      <c r="N231" s="117"/>
      <c r="O231" s="117"/>
    </row>
    <row r="232" spans="1:15" ht="14.4" customHeight="1">
      <c r="A232" s="74"/>
      <c r="B232" s="117"/>
      <c r="C232" s="118"/>
      <c r="D232" s="118"/>
      <c r="E232" s="119"/>
      <c r="F232" s="118"/>
      <c r="G232" s="118"/>
      <c r="H232" s="118"/>
      <c r="I232" s="118"/>
      <c r="J232" s="118"/>
      <c r="K232" s="118"/>
      <c r="L232" s="117"/>
      <c r="M232" s="117"/>
      <c r="N232" s="117"/>
      <c r="O232" s="117"/>
    </row>
    <row r="233" spans="1:15" ht="14.4" customHeight="1">
      <c r="A233" s="74"/>
      <c r="B233" s="117"/>
      <c r="C233" s="118"/>
      <c r="D233" s="118"/>
      <c r="E233" s="119"/>
      <c r="F233" s="118"/>
      <c r="G233" s="118"/>
      <c r="H233" s="118"/>
      <c r="I233" s="118"/>
      <c r="J233" s="118"/>
      <c r="K233" s="118"/>
      <c r="L233" s="117"/>
      <c r="M233" s="117"/>
      <c r="N233" s="117"/>
      <c r="O233" s="117"/>
    </row>
    <row r="234" spans="1:15" ht="14.4" customHeight="1">
      <c r="A234" s="74"/>
      <c r="B234" s="117"/>
      <c r="C234" s="118"/>
      <c r="D234" s="118"/>
      <c r="E234" s="119"/>
      <c r="F234" s="118"/>
      <c r="G234" s="118"/>
      <c r="H234" s="118"/>
      <c r="I234" s="118"/>
      <c r="J234" s="118"/>
      <c r="K234" s="118"/>
      <c r="L234" s="117"/>
      <c r="M234" s="117"/>
      <c r="N234" s="117"/>
      <c r="O234" s="117"/>
    </row>
    <row r="235" spans="1:15" ht="14.4" customHeight="1">
      <c r="A235" s="74"/>
      <c r="B235" s="117"/>
      <c r="C235" s="118"/>
      <c r="D235" s="118"/>
      <c r="E235" s="119"/>
      <c r="F235" s="118"/>
      <c r="G235" s="118"/>
      <c r="H235" s="118"/>
      <c r="I235" s="118"/>
      <c r="J235" s="118"/>
      <c r="K235" s="118"/>
      <c r="L235" s="117"/>
      <c r="M235" s="117"/>
      <c r="N235" s="117"/>
      <c r="O235" s="117"/>
    </row>
    <row r="236" spans="1:15" ht="14.4" customHeight="1">
      <c r="A236" s="74"/>
      <c r="B236" s="117"/>
      <c r="C236" s="118"/>
      <c r="D236" s="118"/>
      <c r="E236" s="119"/>
      <c r="F236" s="118"/>
      <c r="G236" s="118"/>
      <c r="H236" s="118"/>
      <c r="I236" s="118"/>
      <c r="J236" s="118"/>
      <c r="K236" s="118"/>
      <c r="L236" s="117"/>
      <c r="M236" s="117"/>
      <c r="N236" s="117"/>
      <c r="O236" s="117"/>
    </row>
    <row r="237" spans="1:15" ht="14.4" customHeight="1">
      <c r="A237" s="74"/>
      <c r="B237" s="117"/>
      <c r="C237" s="118"/>
      <c r="D237" s="118"/>
      <c r="E237" s="119"/>
      <c r="F237" s="118"/>
      <c r="G237" s="118"/>
      <c r="H237" s="118"/>
      <c r="I237" s="118"/>
      <c r="J237" s="118"/>
      <c r="K237" s="118"/>
      <c r="L237" s="117"/>
      <c r="M237" s="117"/>
      <c r="N237" s="117"/>
      <c r="O237" s="117"/>
    </row>
    <row r="238" spans="1:15" ht="14.4" customHeight="1">
      <c r="A238" s="74"/>
      <c r="B238" s="117"/>
      <c r="C238" s="118"/>
      <c r="D238" s="118"/>
      <c r="E238" s="119"/>
      <c r="F238" s="118"/>
      <c r="G238" s="118"/>
      <c r="H238" s="118"/>
      <c r="I238" s="118"/>
      <c r="J238" s="118"/>
      <c r="K238" s="118"/>
      <c r="L238" s="117"/>
      <c r="M238" s="117"/>
      <c r="N238" s="117"/>
      <c r="O238" s="117"/>
    </row>
    <row r="239" spans="1:15" ht="14.4" customHeight="1">
      <c r="A239" s="74"/>
      <c r="B239" s="117"/>
      <c r="C239" s="118"/>
      <c r="D239" s="118"/>
      <c r="E239" s="119"/>
      <c r="F239" s="118"/>
      <c r="G239" s="118"/>
      <c r="H239" s="118"/>
      <c r="I239" s="118"/>
      <c r="J239" s="118"/>
      <c r="K239" s="118"/>
      <c r="L239" s="117"/>
      <c r="M239" s="117"/>
      <c r="N239" s="117"/>
      <c r="O239" s="117"/>
    </row>
    <row r="240" spans="1:15" ht="14.4" customHeight="1">
      <c r="A240" s="74"/>
      <c r="B240" s="117"/>
      <c r="C240" s="118"/>
      <c r="D240" s="118"/>
      <c r="E240" s="119"/>
      <c r="F240" s="118"/>
      <c r="G240" s="118"/>
      <c r="H240" s="118"/>
      <c r="I240" s="118"/>
      <c r="J240" s="118"/>
      <c r="K240" s="118"/>
      <c r="L240" s="117"/>
      <c r="M240" s="117"/>
      <c r="N240" s="117"/>
      <c r="O240" s="117"/>
    </row>
    <row r="241" spans="1:15" ht="14.4" customHeight="1">
      <c r="A241" s="74"/>
      <c r="B241" s="117"/>
      <c r="C241" s="118"/>
      <c r="D241" s="118"/>
      <c r="E241" s="119"/>
      <c r="F241" s="118"/>
      <c r="G241" s="118"/>
      <c r="H241" s="118"/>
      <c r="I241" s="118"/>
      <c r="J241" s="118"/>
      <c r="K241" s="118"/>
      <c r="L241" s="117"/>
      <c r="M241" s="117"/>
      <c r="N241" s="117"/>
      <c r="O241" s="117"/>
    </row>
    <row r="242" spans="1:15" ht="14.4" customHeight="1">
      <c r="A242" s="74"/>
      <c r="B242" s="117"/>
      <c r="C242" s="118"/>
      <c r="D242" s="118"/>
      <c r="E242" s="119"/>
      <c r="F242" s="118"/>
      <c r="G242" s="118"/>
      <c r="H242" s="118"/>
      <c r="I242" s="118"/>
      <c r="J242" s="118"/>
      <c r="K242" s="118"/>
      <c r="L242" s="117"/>
      <c r="M242" s="117"/>
      <c r="N242" s="117"/>
      <c r="O242" s="117"/>
    </row>
    <row r="243" spans="1:15" ht="14.4" customHeight="1">
      <c r="A243" s="74"/>
      <c r="B243" s="117"/>
      <c r="C243" s="118"/>
      <c r="D243" s="118"/>
      <c r="E243" s="119"/>
      <c r="F243" s="118"/>
      <c r="G243" s="118"/>
      <c r="H243" s="118"/>
      <c r="I243" s="118"/>
      <c r="J243" s="118"/>
      <c r="K243" s="118"/>
      <c r="L243" s="117"/>
      <c r="M243" s="117"/>
      <c r="N243" s="117"/>
      <c r="O243" s="117"/>
    </row>
    <row r="244" spans="1:15" ht="14.4" customHeight="1">
      <c r="A244" s="74"/>
      <c r="B244" s="117"/>
      <c r="C244" s="118"/>
      <c r="D244" s="118"/>
      <c r="E244" s="119"/>
      <c r="F244" s="118"/>
      <c r="G244" s="118"/>
      <c r="H244" s="118"/>
      <c r="I244" s="118"/>
      <c r="J244" s="118"/>
      <c r="K244" s="118"/>
      <c r="L244" s="117"/>
      <c r="M244" s="117"/>
      <c r="N244" s="117"/>
      <c r="O244" s="117"/>
    </row>
    <row r="245" spans="1:15" ht="14.4" customHeight="1">
      <c r="A245" s="74"/>
      <c r="B245" s="117"/>
      <c r="C245" s="118"/>
      <c r="D245" s="118"/>
      <c r="E245" s="119"/>
      <c r="F245" s="118"/>
      <c r="G245" s="118"/>
      <c r="H245" s="118"/>
      <c r="I245" s="118"/>
      <c r="J245" s="118"/>
      <c r="K245" s="118"/>
      <c r="L245" s="117"/>
      <c r="M245" s="117"/>
      <c r="N245" s="117"/>
      <c r="O245" s="117"/>
    </row>
    <row r="246" spans="1:15" ht="14.4" customHeight="1">
      <c r="A246" s="74"/>
      <c r="B246" s="117"/>
      <c r="C246" s="118"/>
      <c r="D246" s="118"/>
      <c r="E246" s="119"/>
      <c r="F246" s="118"/>
      <c r="G246" s="118"/>
      <c r="H246" s="118"/>
      <c r="I246" s="118"/>
      <c r="J246" s="118"/>
      <c r="K246" s="118"/>
      <c r="L246" s="117"/>
      <c r="M246" s="117"/>
      <c r="N246" s="117"/>
      <c r="O246" s="117"/>
    </row>
    <row r="247" spans="1:15" ht="14.4" customHeight="1">
      <c r="A247" s="74"/>
      <c r="B247" s="117"/>
      <c r="C247" s="118"/>
      <c r="D247" s="118"/>
      <c r="E247" s="119"/>
      <c r="F247" s="118"/>
      <c r="G247" s="118"/>
      <c r="H247" s="118"/>
      <c r="I247" s="118"/>
      <c r="J247" s="118"/>
      <c r="K247" s="118"/>
      <c r="L247" s="117"/>
      <c r="M247" s="117"/>
      <c r="N247" s="117"/>
      <c r="O247" s="117"/>
    </row>
    <row r="248" spans="1:15" ht="14.4" customHeight="1">
      <c r="A248" s="74"/>
      <c r="B248" s="117"/>
      <c r="C248" s="118"/>
      <c r="D248" s="118"/>
      <c r="E248" s="119"/>
      <c r="F248" s="118"/>
      <c r="G248" s="118"/>
      <c r="H248" s="118"/>
      <c r="I248" s="118"/>
      <c r="J248" s="118"/>
      <c r="K248" s="118"/>
      <c r="L248" s="117"/>
      <c r="M248" s="117"/>
      <c r="N248" s="117"/>
      <c r="O248" s="117"/>
    </row>
    <row r="249" spans="1:15" ht="14.4" customHeight="1">
      <c r="A249" s="74"/>
      <c r="B249" s="117"/>
      <c r="C249" s="118"/>
      <c r="D249" s="118"/>
      <c r="E249" s="119"/>
      <c r="F249" s="118"/>
      <c r="G249" s="118"/>
      <c r="H249" s="118"/>
      <c r="I249" s="118"/>
      <c r="J249" s="118"/>
      <c r="K249" s="118"/>
      <c r="L249" s="117"/>
      <c r="M249" s="117"/>
      <c r="N249" s="117"/>
      <c r="O249" s="117"/>
    </row>
    <row r="250" spans="1:15" ht="14.4" customHeight="1">
      <c r="A250" s="74"/>
      <c r="B250" s="117"/>
      <c r="C250" s="118"/>
      <c r="D250" s="118"/>
      <c r="E250" s="119"/>
      <c r="F250" s="118"/>
      <c r="G250" s="118"/>
      <c r="H250" s="118"/>
      <c r="I250" s="118"/>
      <c r="J250" s="118"/>
      <c r="K250" s="118"/>
      <c r="L250" s="117"/>
      <c r="M250" s="117"/>
      <c r="N250" s="117"/>
      <c r="O250" s="117"/>
    </row>
    <row r="251" spans="1:15" ht="14.4" customHeight="1">
      <c r="A251" s="74"/>
      <c r="B251" s="117"/>
      <c r="C251" s="118"/>
      <c r="D251" s="118"/>
      <c r="E251" s="119"/>
      <c r="F251" s="118"/>
      <c r="G251" s="118"/>
      <c r="H251" s="118"/>
      <c r="I251" s="118"/>
      <c r="J251" s="118"/>
      <c r="K251" s="118"/>
      <c r="L251" s="117"/>
      <c r="M251" s="117"/>
      <c r="N251" s="117"/>
      <c r="O251" s="117"/>
    </row>
    <row r="252" spans="1:15" ht="14.4" customHeight="1">
      <c r="A252" s="74"/>
      <c r="B252" s="117"/>
      <c r="C252" s="118"/>
      <c r="D252" s="118"/>
      <c r="E252" s="119"/>
      <c r="F252" s="118"/>
      <c r="G252" s="118"/>
      <c r="H252" s="118"/>
      <c r="I252" s="118"/>
      <c r="J252" s="118"/>
      <c r="K252" s="118"/>
      <c r="L252" s="117"/>
      <c r="M252" s="117"/>
      <c r="N252" s="117"/>
      <c r="O252" s="117"/>
    </row>
    <row r="253" spans="1:15" ht="14.4" customHeight="1">
      <c r="A253" s="74"/>
      <c r="B253" s="117"/>
      <c r="C253" s="118"/>
      <c r="D253" s="118"/>
      <c r="E253" s="119"/>
      <c r="F253" s="118"/>
      <c r="G253" s="118"/>
      <c r="H253" s="118"/>
      <c r="I253" s="118"/>
      <c r="J253" s="118"/>
      <c r="K253" s="118"/>
      <c r="L253" s="117"/>
      <c r="M253" s="117"/>
      <c r="N253" s="117"/>
      <c r="O253" s="117"/>
    </row>
    <row r="254" spans="1:15" ht="14.4" customHeight="1">
      <c r="A254" s="74"/>
      <c r="B254" s="117"/>
      <c r="C254" s="118"/>
      <c r="D254" s="118"/>
      <c r="E254" s="119"/>
      <c r="F254" s="118"/>
      <c r="G254" s="118"/>
      <c r="H254" s="118"/>
      <c r="I254" s="118"/>
      <c r="J254" s="118"/>
      <c r="K254" s="118"/>
      <c r="L254" s="117"/>
      <c r="M254" s="117"/>
      <c r="N254" s="117"/>
      <c r="O254" s="117"/>
    </row>
    <row r="255" spans="1:15" ht="14.4" customHeight="1">
      <c r="A255" s="74"/>
      <c r="B255" s="117"/>
      <c r="C255" s="118"/>
      <c r="D255" s="118"/>
      <c r="E255" s="119"/>
      <c r="F255" s="118"/>
      <c r="G255" s="118"/>
      <c r="H255" s="118"/>
      <c r="I255" s="118"/>
      <c r="J255" s="118"/>
      <c r="K255" s="118"/>
      <c r="L255" s="117"/>
      <c r="M255" s="117"/>
      <c r="N255" s="117"/>
      <c r="O255" s="117"/>
    </row>
    <row r="256" spans="1:15" ht="14.4" customHeight="1">
      <c r="A256" s="74"/>
      <c r="B256" s="117"/>
      <c r="C256" s="118"/>
      <c r="D256" s="118"/>
      <c r="E256" s="119"/>
      <c r="F256" s="118"/>
      <c r="G256" s="118"/>
      <c r="H256" s="118"/>
      <c r="I256" s="118"/>
      <c r="J256" s="118"/>
      <c r="K256" s="118"/>
      <c r="L256" s="117"/>
      <c r="M256" s="117"/>
      <c r="N256" s="117"/>
      <c r="O256" s="117"/>
    </row>
    <row r="257" spans="1:15" ht="14.4" customHeight="1">
      <c r="A257" s="74"/>
      <c r="B257" s="117"/>
      <c r="C257" s="118"/>
      <c r="D257" s="118"/>
      <c r="E257" s="119"/>
      <c r="F257" s="118"/>
      <c r="G257" s="118"/>
      <c r="H257" s="118"/>
      <c r="I257" s="118"/>
      <c r="J257" s="118"/>
      <c r="K257" s="118"/>
      <c r="L257" s="117"/>
      <c r="M257" s="117"/>
      <c r="N257" s="117"/>
      <c r="O257" s="117"/>
    </row>
    <row r="258" spans="1:15" ht="14.4" customHeight="1">
      <c r="A258" s="74"/>
      <c r="B258" s="117"/>
      <c r="C258" s="118"/>
      <c r="D258" s="118"/>
      <c r="E258" s="119"/>
      <c r="F258" s="118"/>
      <c r="G258" s="118"/>
      <c r="H258" s="118"/>
      <c r="I258" s="118"/>
      <c r="J258" s="118"/>
      <c r="K258" s="118"/>
      <c r="L258" s="117"/>
      <c r="M258" s="117"/>
      <c r="N258" s="117"/>
      <c r="O258" s="117"/>
    </row>
    <row r="259" spans="1:15" ht="14.4" customHeight="1">
      <c r="A259" s="74"/>
      <c r="B259" s="117"/>
      <c r="C259" s="118"/>
      <c r="D259" s="118"/>
      <c r="E259" s="119"/>
      <c r="F259" s="118"/>
      <c r="G259" s="118"/>
      <c r="H259" s="118"/>
      <c r="I259" s="118"/>
      <c r="J259" s="118"/>
      <c r="K259" s="118"/>
      <c r="L259" s="117"/>
      <c r="M259" s="117"/>
      <c r="N259" s="117"/>
      <c r="O259" s="117"/>
    </row>
    <row r="260" spans="1:15" ht="14.4" customHeight="1">
      <c r="A260" s="74"/>
      <c r="B260" s="117"/>
      <c r="C260" s="118"/>
      <c r="D260" s="118"/>
      <c r="E260" s="119"/>
      <c r="F260" s="118"/>
      <c r="G260" s="118"/>
      <c r="H260" s="118"/>
      <c r="I260" s="118"/>
      <c r="J260" s="118"/>
      <c r="K260" s="118"/>
      <c r="L260" s="117"/>
      <c r="M260" s="117"/>
      <c r="N260" s="117"/>
      <c r="O260" s="117"/>
    </row>
    <row r="261" spans="1:15" ht="14.4" customHeight="1">
      <c r="A261" s="74"/>
      <c r="B261" s="117"/>
      <c r="C261" s="118"/>
      <c r="D261" s="118"/>
      <c r="E261" s="119"/>
      <c r="F261" s="118"/>
      <c r="G261" s="118"/>
      <c r="H261" s="118"/>
      <c r="I261" s="118"/>
      <c r="J261" s="118"/>
      <c r="K261" s="118"/>
      <c r="L261" s="117"/>
      <c r="M261" s="117"/>
      <c r="N261" s="117"/>
      <c r="O261" s="117"/>
    </row>
    <row r="262" spans="1:15" ht="14.4" customHeight="1">
      <c r="A262" s="74"/>
      <c r="B262" s="117"/>
      <c r="C262" s="118"/>
      <c r="D262" s="118"/>
      <c r="E262" s="119"/>
      <c r="F262" s="118"/>
      <c r="G262" s="118"/>
      <c r="H262" s="118"/>
      <c r="I262" s="118"/>
      <c r="J262" s="118"/>
      <c r="K262" s="118"/>
      <c r="L262" s="117"/>
      <c r="M262" s="117"/>
      <c r="N262" s="117"/>
      <c r="O262" s="117"/>
    </row>
    <row r="263" spans="1:15" ht="14.4" customHeight="1">
      <c r="A263" s="74"/>
      <c r="B263" s="117"/>
      <c r="C263" s="118"/>
      <c r="D263" s="118"/>
      <c r="E263" s="119"/>
      <c r="F263" s="118"/>
      <c r="G263" s="118"/>
      <c r="H263" s="118"/>
      <c r="I263" s="118"/>
      <c r="J263" s="118"/>
      <c r="K263" s="118"/>
      <c r="L263" s="117"/>
      <c r="M263" s="117"/>
      <c r="N263" s="117"/>
      <c r="O263" s="117"/>
    </row>
    <row r="264" spans="1:15" ht="14.4" customHeight="1">
      <c r="A264" s="74"/>
      <c r="B264" s="117"/>
      <c r="C264" s="118"/>
      <c r="D264" s="118"/>
      <c r="E264" s="119"/>
      <c r="F264" s="118"/>
      <c r="G264" s="118"/>
      <c r="H264" s="118"/>
      <c r="I264" s="118"/>
      <c r="J264" s="118"/>
      <c r="K264" s="118"/>
      <c r="L264" s="117"/>
      <c r="M264" s="117"/>
      <c r="N264" s="117"/>
      <c r="O264" s="117"/>
    </row>
    <row r="265" spans="1:15" ht="14.4" customHeight="1">
      <c r="A265" s="74"/>
      <c r="B265" s="117"/>
      <c r="C265" s="118"/>
      <c r="D265" s="118"/>
      <c r="E265" s="119"/>
      <c r="F265" s="118"/>
      <c r="G265" s="118"/>
      <c r="H265" s="118"/>
      <c r="I265" s="118"/>
      <c r="J265" s="118"/>
      <c r="K265" s="118"/>
      <c r="L265" s="117"/>
      <c r="M265" s="117"/>
      <c r="N265" s="117"/>
      <c r="O265" s="117"/>
    </row>
    <row r="266" spans="1:15" ht="14.4" customHeight="1">
      <c r="A266" s="74"/>
      <c r="B266" s="117"/>
      <c r="C266" s="118"/>
      <c r="D266" s="118"/>
      <c r="E266" s="119"/>
      <c r="F266" s="118"/>
      <c r="G266" s="118"/>
      <c r="H266" s="118"/>
      <c r="I266" s="118"/>
      <c r="J266" s="118"/>
      <c r="K266" s="118"/>
      <c r="L266" s="117"/>
      <c r="M266" s="117"/>
      <c r="N266" s="117"/>
      <c r="O266" s="117"/>
    </row>
    <row r="267" spans="1:15" ht="14.4" customHeight="1">
      <c r="A267" s="74"/>
      <c r="B267" s="117"/>
      <c r="C267" s="118"/>
      <c r="D267" s="118"/>
      <c r="E267" s="119"/>
      <c r="F267" s="118"/>
      <c r="G267" s="118"/>
      <c r="H267" s="118"/>
      <c r="I267" s="118"/>
      <c r="J267" s="118"/>
      <c r="K267" s="118"/>
      <c r="L267" s="117"/>
      <c r="M267" s="117"/>
      <c r="N267" s="117"/>
      <c r="O267" s="117"/>
    </row>
    <row r="268" spans="1:15" ht="14.4" customHeight="1">
      <c r="A268" s="74"/>
      <c r="B268" s="117"/>
      <c r="C268" s="118"/>
      <c r="D268" s="118"/>
      <c r="E268" s="119"/>
      <c r="F268" s="118"/>
      <c r="G268" s="118"/>
      <c r="H268" s="118"/>
      <c r="I268" s="118"/>
      <c r="J268" s="118"/>
      <c r="K268" s="118"/>
      <c r="L268" s="117"/>
      <c r="M268" s="117"/>
      <c r="N268" s="117"/>
      <c r="O268" s="117"/>
    </row>
    <row r="269" spans="1:15" ht="14.4" customHeight="1">
      <c r="A269" s="74"/>
      <c r="B269" s="117"/>
      <c r="C269" s="118"/>
      <c r="D269" s="118"/>
      <c r="E269" s="119"/>
      <c r="F269" s="118"/>
      <c r="G269" s="118"/>
      <c r="H269" s="118"/>
      <c r="I269" s="118"/>
      <c r="J269" s="118"/>
      <c r="K269" s="118"/>
      <c r="L269" s="117"/>
      <c r="M269" s="117"/>
      <c r="N269" s="117"/>
      <c r="O269" s="117"/>
    </row>
    <row r="270" spans="1:15" ht="14.4" customHeight="1">
      <c r="A270" s="74"/>
      <c r="B270" s="117"/>
      <c r="C270" s="118"/>
      <c r="D270" s="118"/>
      <c r="E270" s="119"/>
      <c r="F270" s="118"/>
      <c r="G270" s="118"/>
      <c r="H270" s="118"/>
      <c r="I270" s="118"/>
      <c r="J270" s="118"/>
      <c r="K270" s="118"/>
      <c r="L270" s="117"/>
      <c r="M270" s="117"/>
      <c r="N270" s="117"/>
      <c r="O270" s="117"/>
    </row>
    <row r="271" spans="1:15" ht="14.4" customHeight="1">
      <c r="A271" s="74"/>
      <c r="B271" s="117"/>
      <c r="C271" s="118"/>
      <c r="D271" s="118"/>
      <c r="E271" s="119"/>
      <c r="F271" s="118"/>
      <c r="G271" s="118"/>
      <c r="H271" s="118"/>
      <c r="I271" s="118"/>
      <c r="J271" s="118"/>
      <c r="K271" s="118"/>
      <c r="L271" s="117"/>
      <c r="M271" s="117"/>
      <c r="N271" s="117"/>
      <c r="O271" s="117"/>
    </row>
    <row r="272" spans="1:15" ht="14.4" customHeight="1">
      <c r="A272" s="74"/>
      <c r="B272" s="117"/>
      <c r="C272" s="118"/>
      <c r="D272" s="118"/>
      <c r="E272" s="119"/>
      <c r="F272" s="118"/>
      <c r="G272" s="118"/>
      <c r="H272" s="118"/>
      <c r="I272" s="118"/>
      <c r="J272" s="118"/>
      <c r="K272" s="118"/>
      <c r="L272" s="117"/>
      <c r="M272" s="117"/>
      <c r="N272" s="117"/>
      <c r="O272" s="117"/>
    </row>
    <row r="273" spans="1:15" ht="14.4" customHeight="1">
      <c r="A273" s="74"/>
      <c r="B273" s="117"/>
      <c r="C273" s="118"/>
      <c r="D273" s="118"/>
      <c r="E273" s="119"/>
      <c r="F273" s="118"/>
      <c r="G273" s="118"/>
      <c r="H273" s="118"/>
      <c r="I273" s="118"/>
      <c r="J273" s="118"/>
      <c r="K273" s="118"/>
      <c r="L273" s="117"/>
      <c r="M273" s="117"/>
      <c r="N273" s="117"/>
      <c r="O273" s="117"/>
    </row>
    <row r="274" spans="1:15" ht="14.4" customHeight="1">
      <c r="A274" s="74"/>
      <c r="B274" s="117"/>
      <c r="C274" s="118"/>
      <c r="D274" s="118"/>
      <c r="E274" s="119"/>
      <c r="F274" s="118"/>
      <c r="G274" s="118"/>
      <c r="H274" s="118"/>
      <c r="I274" s="118"/>
      <c r="J274" s="118"/>
      <c r="K274" s="118"/>
      <c r="L274" s="117"/>
      <c r="M274" s="117"/>
      <c r="N274" s="117"/>
      <c r="O274" s="117"/>
    </row>
    <row r="275" spans="1:15" ht="14.4" customHeight="1">
      <c r="A275" s="74"/>
      <c r="B275" s="117"/>
      <c r="C275" s="118"/>
      <c r="D275" s="118"/>
      <c r="E275" s="119"/>
      <c r="F275" s="118"/>
      <c r="G275" s="118"/>
      <c r="H275" s="118"/>
      <c r="I275" s="118"/>
      <c r="J275" s="118"/>
      <c r="K275" s="118"/>
      <c r="L275" s="117"/>
      <c r="M275" s="117"/>
      <c r="N275" s="117"/>
      <c r="O275" s="117"/>
    </row>
    <row r="276" spans="1:15" ht="14.4" customHeight="1">
      <c r="A276" s="74"/>
      <c r="B276" s="117"/>
      <c r="C276" s="118"/>
      <c r="D276" s="118"/>
      <c r="E276" s="119"/>
      <c r="F276" s="118"/>
      <c r="G276" s="118"/>
      <c r="H276" s="118"/>
      <c r="I276" s="118"/>
      <c r="J276" s="118"/>
      <c r="K276" s="118"/>
      <c r="L276" s="117"/>
      <c r="M276" s="117"/>
      <c r="N276" s="117"/>
      <c r="O276" s="117"/>
    </row>
    <row r="277" spans="1:15" ht="14.4" customHeight="1">
      <c r="A277" s="74"/>
      <c r="B277" s="117"/>
      <c r="C277" s="118"/>
      <c r="D277" s="118"/>
      <c r="E277" s="119"/>
      <c r="F277" s="118"/>
      <c r="G277" s="118"/>
      <c r="H277" s="118"/>
      <c r="I277" s="118"/>
      <c r="J277" s="118"/>
      <c r="K277" s="118"/>
      <c r="L277" s="117"/>
      <c r="M277" s="117"/>
      <c r="N277" s="117"/>
      <c r="O277" s="117"/>
    </row>
    <row r="278" spans="1:15" ht="14.4" customHeight="1">
      <c r="A278" s="74"/>
      <c r="B278" s="117"/>
      <c r="C278" s="118"/>
      <c r="D278" s="118"/>
      <c r="E278" s="119"/>
      <c r="F278" s="118"/>
      <c r="G278" s="118"/>
      <c r="H278" s="118"/>
      <c r="I278" s="118"/>
      <c r="J278" s="118"/>
      <c r="K278" s="118"/>
      <c r="L278" s="117"/>
      <c r="M278" s="117"/>
      <c r="N278" s="117"/>
      <c r="O278" s="117"/>
    </row>
    <row r="279" spans="1:15" ht="14.4" customHeight="1">
      <c r="A279" s="74"/>
      <c r="B279" s="117"/>
      <c r="C279" s="118"/>
      <c r="D279" s="118"/>
      <c r="E279" s="119"/>
      <c r="F279" s="118"/>
      <c r="G279" s="118"/>
      <c r="H279" s="118"/>
      <c r="I279" s="118"/>
      <c r="J279" s="118"/>
      <c r="K279" s="118"/>
      <c r="L279" s="117"/>
      <c r="M279" s="117"/>
      <c r="N279" s="117"/>
      <c r="O279" s="117"/>
    </row>
    <row r="280" spans="1:15" ht="14.4" customHeight="1">
      <c r="A280" s="74"/>
      <c r="B280" s="117"/>
      <c r="C280" s="118"/>
      <c r="D280" s="118"/>
      <c r="E280" s="119"/>
      <c r="F280" s="118"/>
      <c r="G280" s="118"/>
      <c r="H280" s="118"/>
      <c r="I280" s="118"/>
      <c r="J280" s="118"/>
      <c r="K280" s="118"/>
      <c r="L280" s="117"/>
      <c r="M280" s="117"/>
      <c r="N280" s="117"/>
      <c r="O280" s="117"/>
    </row>
    <row r="281" spans="1:15" ht="14.4" customHeight="1">
      <c r="A281" s="74"/>
      <c r="B281" s="117"/>
      <c r="C281" s="118"/>
      <c r="D281" s="118"/>
      <c r="E281" s="119"/>
      <c r="F281" s="118"/>
      <c r="G281" s="118"/>
      <c r="H281" s="118"/>
      <c r="I281" s="118"/>
      <c r="J281" s="118"/>
      <c r="K281" s="118"/>
      <c r="L281" s="117"/>
      <c r="M281" s="117"/>
      <c r="N281" s="117"/>
      <c r="O281" s="117"/>
    </row>
    <row r="282" spans="1:15" ht="14.4" customHeight="1">
      <c r="A282" s="74"/>
      <c r="B282" s="117"/>
      <c r="C282" s="118"/>
      <c r="D282" s="118"/>
      <c r="E282" s="119"/>
      <c r="F282" s="118"/>
      <c r="G282" s="118"/>
      <c r="H282" s="118"/>
      <c r="I282" s="118"/>
      <c r="J282" s="118"/>
      <c r="K282" s="118"/>
      <c r="L282" s="117"/>
      <c r="M282" s="117"/>
      <c r="N282" s="117"/>
      <c r="O282" s="117"/>
    </row>
    <row r="283" spans="1:15" ht="14.4" customHeight="1">
      <c r="A283" s="74"/>
      <c r="B283" s="117"/>
      <c r="C283" s="118"/>
      <c r="D283" s="118"/>
      <c r="E283" s="119"/>
      <c r="F283" s="118"/>
      <c r="G283" s="118"/>
      <c r="H283" s="118"/>
      <c r="I283" s="118"/>
      <c r="J283" s="118"/>
      <c r="K283" s="118"/>
      <c r="L283" s="117"/>
      <c r="M283" s="117"/>
      <c r="N283" s="117"/>
      <c r="O283" s="117"/>
    </row>
    <row r="284" spans="1:15" ht="14.4" customHeight="1">
      <c r="A284" s="74"/>
      <c r="B284" s="117"/>
      <c r="C284" s="118"/>
      <c r="D284" s="118"/>
      <c r="E284" s="119"/>
      <c r="F284" s="118"/>
      <c r="G284" s="118"/>
      <c r="H284" s="118"/>
      <c r="I284" s="118"/>
      <c r="J284" s="118"/>
      <c r="K284" s="118"/>
      <c r="L284" s="117"/>
      <c r="M284" s="117"/>
      <c r="N284" s="117"/>
      <c r="O284" s="117"/>
    </row>
    <row r="285" spans="1:15" ht="14.4" customHeight="1">
      <c r="A285" s="74"/>
      <c r="B285" s="117"/>
      <c r="C285" s="118"/>
      <c r="D285" s="118"/>
      <c r="E285" s="119"/>
      <c r="F285" s="118"/>
      <c r="G285" s="118"/>
      <c r="H285" s="118"/>
      <c r="I285" s="118"/>
      <c r="J285" s="118"/>
      <c r="K285" s="118"/>
      <c r="L285" s="117"/>
      <c r="M285" s="117"/>
      <c r="N285" s="117"/>
      <c r="O285" s="117"/>
    </row>
    <row r="286" spans="1:15" ht="14.4" customHeight="1">
      <c r="A286" s="74"/>
      <c r="B286" s="117"/>
      <c r="C286" s="118"/>
      <c r="D286" s="118"/>
      <c r="E286" s="119"/>
      <c r="F286" s="118"/>
      <c r="G286" s="118"/>
      <c r="H286" s="118"/>
      <c r="I286" s="118"/>
      <c r="J286" s="118"/>
      <c r="K286" s="118"/>
      <c r="L286" s="117"/>
      <c r="M286" s="117"/>
      <c r="N286" s="117"/>
      <c r="O286" s="117"/>
    </row>
    <row r="287" spans="1:15" ht="14.4" customHeight="1">
      <c r="A287" s="74"/>
      <c r="B287" s="117"/>
      <c r="C287" s="118"/>
      <c r="D287" s="118"/>
      <c r="E287" s="119"/>
      <c r="F287" s="118"/>
      <c r="G287" s="118"/>
      <c r="H287" s="118"/>
      <c r="I287" s="118"/>
      <c r="J287" s="118"/>
      <c r="K287" s="118"/>
      <c r="L287" s="117"/>
      <c r="M287" s="117"/>
      <c r="N287" s="117"/>
      <c r="O287" s="117"/>
    </row>
    <row r="288" spans="1:15" ht="14.4" customHeight="1">
      <c r="A288" s="74"/>
      <c r="B288" s="117"/>
      <c r="C288" s="118"/>
      <c r="D288" s="118"/>
      <c r="E288" s="119"/>
      <c r="F288" s="118"/>
      <c r="G288" s="118"/>
      <c r="H288" s="118"/>
      <c r="I288" s="118"/>
      <c r="J288" s="118"/>
      <c r="K288" s="118"/>
      <c r="L288" s="117"/>
      <c r="M288" s="117"/>
      <c r="N288" s="117"/>
      <c r="O288" s="117"/>
    </row>
    <row r="289" spans="1:15" ht="14.4" customHeight="1">
      <c r="A289" s="74"/>
      <c r="B289" s="117"/>
      <c r="C289" s="118"/>
      <c r="D289" s="118"/>
      <c r="E289" s="119"/>
      <c r="F289" s="118"/>
      <c r="G289" s="118"/>
      <c r="H289" s="118"/>
      <c r="I289" s="118"/>
      <c r="J289" s="118"/>
      <c r="K289" s="118"/>
      <c r="L289" s="117"/>
      <c r="M289" s="117"/>
      <c r="N289" s="117"/>
      <c r="O289" s="117"/>
    </row>
    <row r="290" spans="1:15" ht="14.4" customHeight="1">
      <c r="A290" s="74"/>
      <c r="B290" s="117"/>
      <c r="C290" s="118"/>
      <c r="D290" s="118"/>
      <c r="E290" s="119"/>
      <c r="F290" s="118"/>
      <c r="G290" s="118"/>
      <c r="H290" s="118"/>
      <c r="I290" s="118"/>
      <c r="J290" s="118"/>
      <c r="K290" s="118"/>
      <c r="L290" s="117"/>
      <c r="M290" s="117"/>
      <c r="N290" s="117"/>
      <c r="O290" s="117"/>
    </row>
    <row r="291" spans="1:15" ht="14.4" customHeight="1">
      <c r="A291" s="74"/>
      <c r="B291" s="117"/>
      <c r="C291" s="118"/>
      <c r="D291" s="118"/>
      <c r="E291" s="119"/>
      <c r="F291" s="118"/>
      <c r="G291" s="118"/>
      <c r="H291" s="118"/>
      <c r="I291" s="118"/>
      <c r="J291" s="118"/>
      <c r="K291" s="118"/>
      <c r="L291" s="117"/>
      <c r="M291" s="117"/>
      <c r="N291" s="117"/>
      <c r="O291" s="117"/>
    </row>
    <row r="292" spans="1:15" ht="14.4" customHeight="1">
      <c r="A292" s="74"/>
      <c r="B292" s="117"/>
      <c r="C292" s="118"/>
      <c r="D292" s="118"/>
      <c r="E292" s="119"/>
      <c r="F292" s="118"/>
      <c r="G292" s="118"/>
      <c r="H292" s="118"/>
      <c r="I292" s="118"/>
      <c r="J292" s="118"/>
      <c r="K292" s="118"/>
      <c r="L292" s="117"/>
      <c r="M292" s="117"/>
      <c r="N292" s="117"/>
      <c r="O292" s="117"/>
    </row>
    <row r="293" spans="1:15" ht="14.4" customHeight="1">
      <c r="A293" s="74"/>
      <c r="B293" s="117"/>
      <c r="C293" s="118"/>
      <c r="D293" s="118"/>
      <c r="E293" s="119"/>
      <c r="F293" s="118"/>
      <c r="G293" s="118"/>
      <c r="H293" s="118"/>
      <c r="I293" s="118"/>
      <c r="J293" s="118"/>
      <c r="K293" s="118"/>
      <c r="L293" s="117"/>
      <c r="M293" s="117"/>
      <c r="N293" s="117"/>
      <c r="O293" s="117"/>
    </row>
    <row r="294" spans="1:15" ht="14.4" customHeight="1">
      <c r="A294" s="74"/>
      <c r="B294" s="117"/>
      <c r="C294" s="118"/>
      <c r="D294" s="118"/>
      <c r="E294" s="119"/>
      <c r="F294" s="118"/>
      <c r="G294" s="118"/>
      <c r="H294" s="118"/>
      <c r="I294" s="118"/>
      <c r="J294" s="118"/>
      <c r="K294" s="118"/>
      <c r="L294" s="117"/>
      <c r="M294" s="117"/>
      <c r="N294" s="117"/>
      <c r="O294" s="117"/>
    </row>
    <row r="295" spans="1:15" ht="14.4" customHeight="1">
      <c r="A295" s="74"/>
      <c r="B295" s="117"/>
      <c r="C295" s="118"/>
      <c r="D295" s="118"/>
      <c r="E295" s="119"/>
      <c r="F295" s="118"/>
      <c r="G295" s="118"/>
      <c r="H295" s="118"/>
      <c r="I295" s="118"/>
      <c r="J295" s="118"/>
      <c r="K295" s="118"/>
      <c r="L295" s="117"/>
      <c r="M295" s="117"/>
      <c r="N295" s="117"/>
      <c r="O295" s="117"/>
    </row>
    <row r="296" spans="1:15" ht="14.4" customHeight="1">
      <c r="A296" s="74"/>
      <c r="B296" s="117"/>
      <c r="C296" s="118"/>
      <c r="D296" s="118"/>
      <c r="E296" s="119"/>
      <c r="F296" s="118"/>
      <c r="G296" s="118"/>
      <c r="H296" s="118"/>
      <c r="I296" s="118"/>
      <c r="J296" s="118"/>
      <c r="K296" s="118"/>
      <c r="L296" s="117"/>
      <c r="M296" s="117"/>
      <c r="N296" s="117"/>
      <c r="O296" s="117"/>
    </row>
    <row r="297" spans="1:15" ht="14.4" customHeight="1">
      <c r="A297" s="74"/>
      <c r="B297" s="117"/>
      <c r="C297" s="118"/>
      <c r="D297" s="118"/>
      <c r="E297" s="119"/>
      <c r="F297" s="118"/>
      <c r="G297" s="118"/>
      <c r="H297" s="118"/>
      <c r="I297" s="118"/>
      <c r="J297" s="118"/>
      <c r="K297" s="118"/>
      <c r="L297" s="117"/>
      <c r="M297" s="117"/>
      <c r="N297" s="117"/>
      <c r="O297" s="117"/>
    </row>
    <row r="298" spans="1:15" ht="14.4" customHeight="1">
      <c r="A298" s="74"/>
      <c r="B298" s="117"/>
      <c r="C298" s="118"/>
      <c r="D298" s="118"/>
      <c r="E298" s="119"/>
      <c r="F298" s="118"/>
      <c r="G298" s="118"/>
      <c r="H298" s="118"/>
      <c r="I298" s="118"/>
      <c r="J298" s="118"/>
      <c r="K298" s="118"/>
      <c r="L298" s="117"/>
      <c r="M298" s="117"/>
      <c r="N298" s="117"/>
      <c r="O298" s="117"/>
    </row>
    <row r="299" spans="1:15" ht="14.4" customHeight="1">
      <c r="A299" s="74"/>
      <c r="B299" s="117"/>
      <c r="C299" s="118"/>
      <c r="D299" s="118"/>
      <c r="E299" s="119"/>
      <c r="F299" s="118"/>
      <c r="G299" s="118"/>
      <c r="H299" s="118"/>
      <c r="I299" s="118"/>
      <c r="J299" s="118"/>
      <c r="K299" s="118"/>
      <c r="L299" s="117"/>
      <c r="M299" s="117"/>
      <c r="N299" s="117"/>
      <c r="O299" s="117"/>
    </row>
    <row r="300" spans="1:15" ht="14.4" customHeight="1">
      <c r="A300" s="74"/>
      <c r="B300" s="117"/>
      <c r="C300" s="118"/>
      <c r="D300" s="118"/>
      <c r="E300" s="119"/>
      <c r="F300" s="118"/>
      <c r="G300" s="118"/>
      <c r="H300" s="118"/>
      <c r="I300" s="118"/>
      <c r="J300" s="118"/>
      <c r="K300" s="118"/>
      <c r="L300" s="117"/>
      <c r="M300" s="117"/>
      <c r="N300" s="117"/>
      <c r="O300" s="117"/>
    </row>
    <row r="301" spans="1:15" ht="14.4" customHeight="1">
      <c r="A301" s="74"/>
      <c r="B301" s="117"/>
      <c r="C301" s="118"/>
      <c r="D301" s="118"/>
      <c r="E301" s="119"/>
      <c r="F301" s="118"/>
      <c r="G301" s="118"/>
      <c r="H301" s="118"/>
      <c r="I301" s="118"/>
      <c r="J301" s="118"/>
      <c r="K301" s="118"/>
      <c r="L301" s="117"/>
      <c r="M301" s="117"/>
      <c r="N301" s="117"/>
      <c r="O301" s="117"/>
    </row>
    <row r="302" spans="1:15" ht="14.4" customHeight="1">
      <c r="A302" s="74"/>
      <c r="B302" s="117"/>
      <c r="C302" s="118"/>
      <c r="D302" s="118"/>
      <c r="E302" s="119"/>
      <c r="F302" s="118"/>
      <c r="G302" s="118"/>
      <c r="H302" s="118"/>
      <c r="I302" s="118"/>
      <c r="J302" s="118"/>
      <c r="K302" s="118"/>
      <c r="L302" s="117"/>
      <c r="M302" s="117"/>
      <c r="N302" s="117"/>
      <c r="O302" s="117"/>
    </row>
    <row r="303" spans="1:15" ht="14.4" customHeight="1">
      <c r="A303" s="74"/>
      <c r="B303" s="117"/>
      <c r="C303" s="118"/>
      <c r="D303" s="118"/>
      <c r="E303" s="119"/>
      <c r="F303" s="118"/>
      <c r="G303" s="118"/>
      <c r="H303" s="118"/>
      <c r="I303" s="118"/>
      <c r="J303" s="118"/>
      <c r="K303" s="118"/>
      <c r="L303" s="117"/>
      <c r="M303" s="117"/>
      <c r="N303" s="117"/>
      <c r="O303" s="117"/>
    </row>
    <row r="304" spans="1:15" ht="14.4" customHeight="1">
      <c r="A304" s="74"/>
      <c r="B304" s="117"/>
      <c r="C304" s="118"/>
      <c r="D304" s="118"/>
      <c r="E304" s="119"/>
      <c r="F304" s="118"/>
      <c r="G304" s="118"/>
      <c r="H304" s="118"/>
      <c r="I304" s="118"/>
      <c r="J304" s="118"/>
      <c r="K304" s="118"/>
      <c r="L304" s="117"/>
      <c r="M304" s="117"/>
      <c r="N304" s="117"/>
      <c r="O304" s="117"/>
    </row>
    <row r="305" spans="1:15" ht="14.4" customHeight="1">
      <c r="A305" s="74"/>
      <c r="B305" s="117"/>
      <c r="C305" s="118"/>
      <c r="D305" s="118"/>
      <c r="E305" s="119"/>
      <c r="F305" s="118"/>
      <c r="G305" s="118"/>
      <c r="H305" s="118"/>
      <c r="I305" s="118"/>
      <c r="J305" s="118"/>
      <c r="K305" s="118"/>
      <c r="L305" s="117"/>
      <c r="M305" s="117"/>
      <c r="N305" s="117"/>
      <c r="O305" s="117"/>
    </row>
    <row r="306" spans="1:15" ht="14.4" customHeight="1">
      <c r="A306" s="74"/>
      <c r="B306" s="117"/>
      <c r="C306" s="118"/>
      <c r="D306" s="118"/>
      <c r="E306" s="119"/>
      <c r="F306" s="118"/>
      <c r="G306" s="118"/>
      <c r="H306" s="118"/>
      <c r="I306" s="118"/>
      <c r="J306" s="118"/>
      <c r="K306" s="118"/>
      <c r="L306" s="117"/>
      <c r="M306" s="117"/>
      <c r="N306" s="117"/>
      <c r="O306" s="117"/>
    </row>
    <row r="307" spans="1:15" ht="14.4" customHeight="1">
      <c r="A307" s="74"/>
      <c r="B307" s="117"/>
      <c r="C307" s="118"/>
      <c r="D307" s="118"/>
      <c r="E307" s="119"/>
      <c r="F307" s="118"/>
      <c r="G307" s="118"/>
      <c r="H307" s="118"/>
      <c r="I307" s="118"/>
      <c r="J307" s="118"/>
      <c r="K307" s="118"/>
      <c r="L307" s="117"/>
      <c r="M307" s="117"/>
      <c r="N307" s="117"/>
      <c r="O307" s="117"/>
    </row>
    <row r="308" spans="1:15" ht="14.4" customHeight="1">
      <c r="A308" s="74"/>
      <c r="B308" s="117"/>
      <c r="C308" s="118"/>
      <c r="D308" s="118"/>
      <c r="E308" s="119"/>
      <c r="F308" s="118"/>
      <c r="G308" s="118"/>
      <c r="H308" s="118"/>
      <c r="I308" s="118"/>
      <c r="J308" s="118"/>
      <c r="K308" s="118"/>
      <c r="L308" s="117"/>
      <c r="M308" s="117"/>
      <c r="N308" s="117"/>
      <c r="O308" s="117"/>
    </row>
    <row r="309" spans="1:15" ht="14.4" customHeight="1">
      <c r="A309" s="74"/>
      <c r="B309" s="117"/>
      <c r="C309" s="118"/>
      <c r="D309" s="118"/>
      <c r="E309" s="119"/>
      <c r="F309" s="118"/>
      <c r="G309" s="118"/>
      <c r="H309" s="118"/>
      <c r="I309" s="118"/>
      <c r="J309" s="118"/>
      <c r="K309" s="118"/>
      <c r="L309" s="117"/>
      <c r="M309" s="117"/>
      <c r="N309" s="117"/>
      <c r="O309" s="117"/>
    </row>
    <row r="310" spans="1:15" ht="14.4" customHeight="1">
      <c r="A310" s="74"/>
      <c r="B310" s="117"/>
      <c r="C310" s="118"/>
      <c r="D310" s="118"/>
      <c r="E310" s="119"/>
      <c r="F310" s="118"/>
      <c r="G310" s="118"/>
      <c r="H310" s="118"/>
      <c r="I310" s="118"/>
      <c r="J310" s="118"/>
      <c r="K310" s="118"/>
      <c r="L310" s="117"/>
      <c r="M310" s="117"/>
      <c r="N310" s="117"/>
      <c r="O310" s="117"/>
    </row>
    <row r="311" spans="1:15" ht="14.4" customHeight="1">
      <c r="A311" s="74"/>
      <c r="B311" s="117"/>
      <c r="C311" s="118"/>
      <c r="D311" s="118"/>
      <c r="E311" s="119"/>
      <c r="F311" s="118"/>
      <c r="G311" s="118"/>
      <c r="H311" s="118"/>
      <c r="I311" s="118"/>
      <c r="J311" s="118"/>
      <c r="K311" s="118"/>
      <c r="L311" s="117"/>
      <c r="M311" s="117"/>
      <c r="N311" s="117"/>
      <c r="O311" s="117"/>
    </row>
    <row r="312" spans="1:15" ht="14.4" customHeight="1">
      <c r="A312" s="74"/>
      <c r="B312" s="117"/>
      <c r="C312" s="118"/>
      <c r="D312" s="118"/>
      <c r="E312" s="119"/>
      <c r="F312" s="118"/>
      <c r="G312" s="118"/>
      <c r="H312" s="118"/>
      <c r="I312" s="118"/>
      <c r="J312" s="118"/>
      <c r="K312" s="118"/>
      <c r="L312" s="117"/>
      <c r="M312" s="117"/>
      <c r="N312" s="117"/>
      <c r="O312" s="117"/>
    </row>
    <row r="313" spans="1:15" ht="14.4" customHeight="1">
      <c r="A313" s="74"/>
      <c r="B313" s="117"/>
      <c r="C313" s="118"/>
      <c r="D313" s="118"/>
      <c r="E313" s="119"/>
      <c r="F313" s="118"/>
      <c r="G313" s="118"/>
      <c r="H313" s="118"/>
      <c r="I313" s="118"/>
      <c r="J313" s="118"/>
      <c r="K313" s="118"/>
      <c r="L313" s="117"/>
      <c r="M313" s="117"/>
      <c r="N313" s="117"/>
      <c r="O313" s="117"/>
    </row>
    <row r="314" spans="1:15" ht="14.4" customHeight="1">
      <c r="A314" s="74"/>
      <c r="B314" s="117"/>
      <c r="C314" s="118"/>
      <c r="D314" s="118"/>
      <c r="E314" s="119"/>
      <c r="F314" s="118"/>
      <c r="G314" s="118"/>
      <c r="H314" s="118"/>
      <c r="I314" s="118"/>
      <c r="J314" s="118"/>
      <c r="K314" s="118"/>
      <c r="L314" s="117"/>
      <c r="M314" s="117"/>
      <c r="N314" s="117"/>
      <c r="O314" s="117"/>
    </row>
    <row r="315" spans="1:15" ht="14.4" customHeight="1">
      <c r="A315" s="74"/>
      <c r="B315" s="117"/>
      <c r="C315" s="118"/>
      <c r="D315" s="118"/>
      <c r="E315" s="119"/>
      <c r="F315" s="118"/>
      <c r="G315" s="118"/>
      <c r="H315" s="118"/>
      <c r="I315" s="118"/>
      <c r="J315" s="118"/>
      <c r="K315" s="118"/>
      <c r="L315" s="117"/>
      <c r="M315" s="117"/>
      <c r="N315" s="117"/>
      <c r="O315" s="117"/>
    </row>
    <row r="316" spans="1:15" ht="14.4" customHeight="1">
      <c r="A316" s="74"/>
      <c r="B316" s="117"/>
      <c r="C316" s="118"/>
      <c r="D316" s="118"/>
      <c r="E316" s="119"/>
      <c r="F316" s="118"/>
      <c r="G316" s="118"/>
      <c r="H316" s="118"/>
      <c r="I316" s="118"/>
      <c r="J316" s="118"/>
      <c r="K316" s="118"/>
      <c r="L316" s="117"/>
      <c r="M316" s="117"/>
      <c r="N316" s="117"/>
      <c r="O316" s="117"/>
    </row>
    <row r="317" spans="1:15" ht="14.4" customHeight="1">
      <c r="A317" s="74"/>
      <c r="B317" s="117"/>
      <c r="C317" s="118"/>
      <c r="D317" s="118"/>
      <c r="E317" s="119"/>
      <c r="F317" s="118"/>
      <c r="G317" s="118"/>
      <c r="H317" s="118"/>
      <c r="I317" s="118"/>
      <c r="J317" s="118"/>
      <c r="K317" s="118"/>
      <c r="L317" s="117"/>
      <c r="M317" s="117"/>
      <c r="N317" s="117"/>
      <c r="O317" s="117"/>
    </row>
    <row r="318" spans="1:15" ht="14.4" customHeight="1">
      <c r="A318" s="74"/>
      <c r="B318" s="117"/>
      <c r="C318" s="118"/>
      <c r="D318" s="118"/>
      <c r="E318" s="119"/>
      <c r="F318" s="118"/>
      <c r="G318" s="118"/>
      <c r="H318" s="118"/>
      <c r="I318" s="118"/>
      <c r="J318" s="118"/>
      <c r="K318" s="118"/>
      <c r="L318" s="117"/>
      <c r="M318" s="117"/>
      <c r="N318" s="117"/>
      <c r="O318" s="117"/>
    </row>
    <row r="319" spans="1:15" ht="14.4" customHeight="1">
      <c r="A319" s="74"/>
      <c r="B319" s="117"/>
      <c r="C319" s="118"/>
      <c r="D319" s="118"/>
      <c r="E319" s="119"/>
      <c r="F319" s="118"/>
      <c r="G319" s="118"/>
      <c r="H319" s="118"/>
      <c r="I319" s="118"/>
      <c r="J319" s="118"/>
      <c r="K319" s="118"/>
      <c r="L319" s="117"/>
      <c r="M319" s="117"/>
      <c r="N319" s="117"/>
      <c r="O319" s="117"/>
    </row>
    <row r="320" spans="1:15" ht="14.4" customHeight="1">
      <c r="A320" s="74"/>
      <c r="B320" s="117"/>
      <c r="C320" s="118"/>
      <c r="D320" s="118"/>
      <c r="E320" s="119"/>
      <c r="F320" s="118"/>
      <c r="G320" s="118"/>
      <c r="H320" s="118"/>
      <c r="I320" s="118"/>
      <c r="J320" s="118"/>
      <c r="K320" s="118"/>
      <c r="L320" s="117"/>
      <c r="M320" s="117"/>
      <c r="N320" s="117"/>
      <c r="O320" s="117"/>
    </row>
    <row r="321" spans="1:15" ht="14.4" customHeight="1">
      <c r="A321" s="74"/>
      <c r="B321" s="117"/>
      <c r="C321" s="118"/>
      <c r="D321" s="118"/>
      <c r="E321" s="119"/>
      <c r="F321" s="118"/>
      <c r="G321" s="118"/>
      <c r="H321" s="118"/>
      <c r="I321" s="118"/>
      <c r="J321" s="118"/>
      <c r="K321" s="118"/>
      <c r="L321" s="117"/>
      <c r="M321" s="117"/>
      <c r="N321" s="117"/>
      <c r="O321" s="117"/>
    </row>
    <row r="322" spans="1:15" ht="14.4" customHeight="1">
      <c r="A322" s="74"/>
      <c r="B322" s="117"/>
      <c r="C322" s="118"/>
      <c r="D322" s="118"/>
      <c r="E322" s="119"/>
      <c r="F322" s="118"/>
      <c r="G322" s="118"/>
      <c r="H322" s="118"/>
      <c r="I322" s="118"/>
      <c r="J322" s="118"/>
      <c r="K322" s="118"/>
      <c r="L322" s="117"/>
      <c r="M322" s="117"/>
      <c r="N322" s="117"/>
      <c r="O322" s="117"/>
    </row>
    <row r="323" spans="1:15" ht="14.4" customHeight="1">
      <c r="A323" s="74"/>
      <c r="B323" s="117"/>
      <c r="C323" s="118"/>
      <c r="D323" s="118"/>
      <c r="E323" s="119"/>
      <c r="F323" s="118"/>
      <c r="G323" s="118"/>
      <c r="H323" s="118"/>
      <c r="I323" s="118"/>
      <c r="J323" s="118"/>
      <c r="K323" s="118"/>
      <c r="L323" s="117"/>
      <c r="M323" s="117"/>
      <c r="N323" s="117"/>
      <c r="O323" s="117"/>
    </row>
    <row r="324" spans="1:15" ht="14.4" customHeight="1">
      <c r="A324" s="74"/>
      <c r="B324" s="117"/>
      <c r="C324" s="118"/>
      <c r="D324" s="118"/>
      <c r="E324" s="119"/>
      <c r="F324" s="118"/>
      <c r="G324" s="118"/>
      <c r="H324" s="118"/>
      <c r="I324" s="118"/>
      <c r="J324" s="118"/>
      <c r="K324" s="118"/>
      <c r="L324" s="117"/>
      <c r="M324" s="117"/>
      <c r="N324" s="117"/>
      <c r="O324" s="117"/>
    </row>
    <row r="325" spans="1:15" ht="14.4" customHeight="1">
      <c r="A325" s="74"/>
      <c r="B325" s="117"/>
      <c r="C325" s="118"/>
      <c r="D325" s="118"/>
      <c r="E325" s="119"/>
      <c r="F325" s="118"/>
      <c r="G325" s="118"/>
      <c r="H325" s="118"/>
      <c r="I325" s="118"/>
      <c r="J325" s="118"/>
      <c r="K325" s="118"/>
      <c r="L325" s="117"/>
      <c r="M325" s="117"/>
      <c r="N325" s="117"/>
      <c r="O325" s="117"/>
    </row>
    <row r="326" spans="1:15" ht="14.4" customHeight="1">
      <c r="A326" s="74"/>
      <c r="B326" s="117"/>
      <c r="C326" s="118"/>
      <c r="D326" s="118"/>
      <c r="E326" s="119"/>
      <c r="F326" s="118"/>
      <c r="G326" s="118"/>
      <c r="H326" s="118"/>
      <c r="I326" s="118"/>
      <c r="J326" s="118"/>
      <c r="K326" s="118"/>
      <c r="L326" s="117"/>
      <c r="M326" s="117"/>
      <c r="N326" s="117"/>
      <c r="O326" s="117"/>
    </row>
    <row r="327" spans="1:15" ht="14.4" customHeight="1">
      <c r="A327" s="74"/>
      <c r="B327" s="117"/>
      <c r="C327" s="118"/>
      <c r="D327" s="118"/>
      <c r="E327" s="119"/>
      <c r="F327" s="118"/>
      <c r="G327" s="118"/>
      <c r="H327" s="118"/>
      <c r="I327" s="118"/>
      <c r="J327" s="118"/>
      <c r="K327" s="118"/>
      <c r="L327" s="117"/>
      <c r="M327" s="117"/>
      <c r="N327" s="117"/>
      <c r="O327" s="117"/>
    </row>
    <row r="328" spans="1:15" ht="14.4" customHeight="1">
      <c r="A328" s="74"/>
      <c r="B328" s="117"/>
      <c r="C328" s="118"/>
      <c r="D328" s="118"/>
      <c r="E328" s="119"/>
      <c r="F328" s="118"/>
      <c r="G328" s="118"/>
      <c r="H328" s="118"/>
      <c r="I328" s="118"/>
      <c r="J328" s="118"/>
      <c r="K328" s="118"/>
      <c r="L328" s="117"/>
      <c r="M328" s="117"/>
      <c r="N328" s="117"/>
      <c r="O328" s="117"/>
    </row>
    <row r="329" spans="1:15" ht="14.4" customHeight="1">
      <c r="A329" s="74"/>
      <c r="B329" s="117"/>
      <c r="C329" s="118"/>
      <c r="D329" s="118"/>
      <c r="E329" s="119"/>
      <c r="F329" s="118"/>
      <c r="G329" s="118"/>
      <c r="H329" s="118"/>
      <c r="I329" s="118"/>
      <c r="J329" s="118"/>
      <c r="K329" s="118"/>
      <c r="L329" s="117"/>
      <c r="M329" s="117"/>
      <c r="N329" s="117"/>
      <c r="O329" s="117"/>
    </row>
    <row r="330" spans="1:15" ht="14.4" customHeight="1">
      <c r="A330" s="74"/>
      <c r="B330" s="117"/>
      <c r="C330" s="118"/>
      <c r="D330" s="118"/>
      <c r="E330" s="119"/>
      <c r="F330" s="118"/>
      <c r="G330" s="118"/>
      <c r="H330" s="118"/>
      <c r="I330" s="118"/>
      <c r="J330" s="118"/>
      <c r="K330" s="118"/>
      <c r="L330" s="117"/>
      <c r="M330" s="117"/>
      <c r="N330" s="117"/>
      <c r="O330" s="117"/>
    </row>
    <row r="331" spans="1:15" ht="14.4" customHeight="1">
      <c r="A331" s="74"/>
      <c r="B331" s="117"/>
      <c r="C331" s="118"/>
      <c r="D331" s="118"/>
      <c r="E331" s="119"/>
      <c r="F331" s="118"/>
      <c r="G331" s="118"/>
      <c r="H331" s="118"/>
      <c r="I331" s="118"/>
      <c r="J331" s="118"/>
      <c r="K331" s="118"/>
      <c r="L331" s="117"/>
      <c r="M331" s="117"/>
      <c r="N331" s="117"/>
      <c r="O331" s="117"/>
    </row>
    <row r="332" spans="1:15" ht="14.4" customHeight="1">
      <c r="A332" s="74"/>
      <c r="B332" s="117"/>
      <c r="C332" s="118"/>
      <c r="D332" s="118"/>
      <c r="E332" s="119"/>
      <c r="F332" s="118"/>
      <c r="G332" s="118"/>
      <c r="H332" s="118"/>
      <c r="I332" s="118"/>
      <c r="J332" s="118"/>
      <c r="K332" s="118"/>
      <c r="L332" s="117"/>
      <c r="M332" s="117"/>
      <c r="N332" s="117"/>
      <c r="O332" s="117"/>
    </row>
    <row r="333" spans="1:15" ht="14.4" customHeight="1">
      <c r="A333" s="74"/>
      <c r="B333" s="117"/>
      <c r="C333" s="118"/>
      <c r="D333" s="118"/>
      <c r="E333" s="119"/>
      <c r="F333" s="118"/>
      <c r="G333" s="118"/>
      <c r="H333" s="118"/>
      <c r="I333" s="118"/>
      <c r="J333" s="118"/>
      <c r="K333" s="118"/>
      <c r="L333" s="117"/>
      <c r="M333" s="117"/>
      <c r="N333" s="117"/>
      <c r="O333" s="117"/>
    </row>
    <row r="334" spans="1:15" ht="14.4" customHeight="1">
      <c r="A334" s="74"/>
      <c r="B334" s="117"/>
      <c r="C334" s="118"/>
      <c r="D334" s="118"/>
      <c r="E334" s="119"/>
      <c r="F334" s="118"/>
      <c r="G334" s="118"/>
      <c r="H334" s="118"/>
      <c r="I334" s="118"/>
      <c r="J334" s="118"/>
      <c r="K334" s="118"/>
      <c r="L334" s="117"/>
      <c r="M334" s="117"/>
      <c r="N334" s="117"/>
      <c r="O334" s="117"/>
    </row>
    <row r="335" spans="1:15" ht="14.4" customHeight="1">
      <c r="A335" s="74"/>
      <c r="B335" s="117"/>
      <c r="C335" s="118"/>
      <c r="D335" s="118"/>
      <c r="E335" s="119"/>
      <c r="F335" s="118"/>
      <c r="G335" s="118"/>
      <c r="H335" s="118"/>
      <c r="I335" s="118"/>
      <c r="J335" s="118"/>
      <c r="K335" s="118"/>
      <c r="L335" s="117"/>
      <c r="M335" s="117"/>
      <c r="N335" s="117"/>
      <c r="O335" s="117"/>
    </row>
    <row r="336" spans="1:15" ht="14.4" customHeight="1">
      <c r="A336" s="74"/>
      <c r="B336" s="117"/>
      <c r="C336" s="118"/>
      <c r="D336" s="118"/>
      <c r="E336" s="119"/>
      <c r="F336" s="118"/>
      <c r="G336" s="118"/>
      <c r="H336" s="118"/>
      <c r="I336" s="118"/>
      <c r="J336" s="118"/>
      <c r="K336" s="118"/>
      <c r="L336" s="117"/>
      <c r="M336" s="117"/>
      <c r="N336" s="117"/>
      <c r="O336" s="117"/>
    </row>
    <row r="337" spans="1:15" ht="14.4" customHeight="1">
      <c r="A337" s="74"/>
      <c r="B337" s="117"/>
      <c r="C337" s="118"/>
      <c r="D337" s="118"/>
      <c r="E337" s="119"/>
      <c r="F337" s="118"/>
      <c r="G337" s="118"/>
      <c r="H337" s="118"/>
      <c r="I337" s="118"/>
      <c r="J337" s="118"/>
      <c r="K337" s="118"/>
      <c r="L337" s="117"/>
      <c r="M337" s="117"/>
      <c r="N337" s="117"/>
      <c r="O337" s="117"/>
    </row>
    <row r="338" spans="1:15" ht="14.4" customHeight="1">
      <c r="A338" s="74"/>
      <c r="B338" s="117"/>
      <c r="C338" s="118"/>
      <c r="D338" s="118"/>
      <c r="E338" s="119"/>
      <c r="F338" s="118"/>
      <c r="G338" s="118"/>
      <c r="H338" s="118"/>
      <c r="I338" s="118"/>
      <c r="J338" s="118"/>
      <c r="K338" s="118"/>
      <c r="L338" s="117"/>
      <c r="M338" s="117"/>
      <c r="N338" s="117"/>
      <c r="O338" s="117"/>
    </row>
    <row r="339" spans="1:15" ht="14.4" customHeight="1">
      <c r="A339" s="74"/>
      <c r="B339" s="117"/>
      <c r="C339" s="118"/>
      <c r="D339" s="118"/>
      <c r="E339" s="119"/>
      <c r="F339" s="118"/>
      <c r="G339" s="118"/>
      <c r="H339" s="118"/>
      <c r="I339" s="118"/>
      <c r="J339" s="118"/>
      <c r="K339" s="118"/>
      <c r="L339" s="117"/>
      <c r="M339" s="117"/>
      <c r="N339" s="117"/>
      <c r="O339" s="117"/>
    </row>
    <row r="340" spans="1:15" ht="14.4" customHeight="1">
      <c r="A340" s="74"/>
      <c r="B340" s="117"/>
      <c r="C340" s="118"/>
      <c r="D340" s="118"/>
      <c r="E340" s="119"/>
      <c r="F340" s="118"/>
      <c r="G340" s="118"/>
      <c r="H340" s="118"/>
      <c r="I340" s="118"/>
      <c r="J340" s="118"/>
      <c r="K340" s="118"/>
      <c r="L340" s="117"/>
      <c r="M340" s="117"/>
      <c r="N340" s="117"/>
      <c r="O340" s="117"/>
    </row>
  </sheetData>
  <mergeCells count="24">
    <mergeCell ref="O11:O12"/>
    <mergeCell ref="A11:A12"/>
    <mergeCell ref="B11:B12"/>
    <mergeCell ref="C11:C12"/>
    <mergeCell ref="D11:D12"/>
    <mergeCell ref="E11:E12"/>
    <mergeCell ref="F11:G11"/>
    <mergeCell ref="H11:I11"/>
    <mergeCell ref="J11:K11"/>
    <mergeCell ref="L11:L12"/>
    <mergeCell ref="A1:O1"/>
    <mergeCell ref="A2:O2"/>
    <mergeCell ref="A3:O3"/>
    <mergeCell ref="A4:E4"/>
    <mergeCell ref="F4:J4"/>
    <mergeCell ref="K4:O4"/>
    <mergeCell ref="F5:J5"/>
    <mergeCell ref="K5:O5"/>
    <mergeCell ref="A6:O6"/>
    <mergeCell ref="M9:N9"/>
    <mergeCell ref="M11:M12"/>
    <mergeCell ref="N11:N12"/>
    <mergeCell ref="A10:O10"/>
    <mergeCell ref="A5:E5"/>
  </mergeCells>
  <printOptions horizontalCentered="1"/>
  <pageMargins left="0.7" right="0.7" top="0.75" bottom="0.75" header="0.3" footer="0.3"/>
  <pageSetup scale="56" orientation="landscape" r:id="rId1"/>
  <rowBreaks count="2" manualBreakCount="2">
    <brk id="61" max="14" man="1"/>
    <brk id="85" max="14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1F52-ED7E-48F4-9897-05BBA657E610}">
  <sheetPr codeName="Sheet4">
    <tabColor rgb="FFFFFF00"/>
  </sheetPr>
  <dimension ref="A1:AA380"/>
  <sheetViews>
    <sheetView view="pageBreakPreview" zoomScale="107" zoomScaleNormal="100" zoomScaleSheetLayoutView="107" workbookViewId="0">
      <selection activeCell="E13" sqref="E13"/>
    </sheetView>
  </sheetViews>
  <sheetFormatPr defaultColWidth="9.09765625" defaultRowHeight="15.6"/>
  <cols>
    <col min="1" max="1" width="10.3984375" style="116" customWidth="1"/>
    <col min="2" max="2" width="6" style="114" customWidth="1"/>
    <col min="3" max="3" width="5.796875" style="115" customWidth="1"/>
    <col min="4" max="4" width="5.796875" style="115" hidden="1" customWidth="1"/>
    <col min="5" max="5" width="5.796875" style="115" customWidth="1"/>
    <col min="6" max="11" width="6.59765625" style="115" customWidth="1"/>
    <col min="12" max="13" width="7.796875" style="114" customWidth="1"/>
    <col min="14" max="14" width="7.796875" style="113" customWidth="1"/>
    <col min="15" max="15" width="12.296875" style="113" customWidth="1"/>
    <col min="16" max="18" width="9.09765625" style="112"/>
    <col min="19" max="19" width="12.09765625" style="112" customWidth="1"/>
    <col min="20" max="20" width="9.09765625" style="112"/>
    <col min="21" max="21" width="9.09765625" style="112" customWidth="1"/>
    <col min="22" max="22" width="10.296875" style="112" customWidth="1"/>
    <col min="23" max="16384" width="9.09765625" style="112"/>
  </cols>
  <sheetData>
    <row r="1" spans="1:27" ht="24" customHeight="1">
      <c r="A1" s="176" t="s">
        <v>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39"/>
    </row>
    <row r="2" spans="1:27" ht="31.2" customHeight="1">
      <c r="A2" s="176" t="s">
        <v>89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7"/>
    </row>
    <row r="3" spans="1:27" ht="21" customHeight="1">
      <c r="A3" s="198" t="s">
        <v>88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200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5"/>
    </row>
    <row r="4" spans="1:27" ht="21.6" customHeight="1">
      <c r="A4" s="177" t="s">
        <v>53</v>
      </c>
      <c r="B4" s="178"/>
      <c r="C4" s="178"/>
      <c r="D4" s="178"/>
      <c r="E4" s="179"/>
      <c r="F4" s="201" t="s">
        <v>52</v>
      </c>
      <c r="G4" s="201"/>
      <c r="H4" s="201"/>
      <c r="I4" s="201"/>
      <c r="J4" s="202"/>
      <c r="K4" s="203" t="s">
        <v>51</v>
      </c>
      <c r="L4" s="201"/>
      <c r="M4" s="201"/>
      <c r="N4" s="201"/>
      <c r="O4" s="202"/>
      <c r="Q4" s="120"/>
    </row>
    <row r="5" spans="1:27" ht="76.2" customHeight="1">
      <c r="A5" s="183" t="s">
        <v>50</v>
      </c>
      <c r="B5" s="184"/>
      <c r="C5" s="184"/>
      <c r="D5" s="184"/>
      <c r="E5" s="185"/>
      <c r="F5" s="204" t="s">
        <v>49</v>
      </c>
      <c r="G5" s="205"/>
      <c r="H5" s="205"/>
      <c r="I5" s="205"/>
      <c r="J5" s="206"/>
      <c r="K5" s="204" t="s">
        <v>87</v>
      </c>
      <c r="L5" s="205"/>
      <c r="M5" s="205"/>
      <c r="N5" s="205"/>
      <c r="O5" s="206"/>
      <c r="Q5" s="120"/>
    </row>
    <row r="6" spans="1:27" ht="18.75" customHeight="1">
      <c r="A6" s="171" t="s">
        <v>47</v>
      </c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3"/>
      <c r="P6" s="125"/>
    </row>
    <row r="7" spans="1:27">
      <c r="A7" s="50" t="s">
        <v>46</v>
      </c>
      <c r="B7" s="48"/>
      <c r="C7" s="48"/>
      <c r="D7" s="48"/>
      <c r="E7" s="48"/>
      <c r="F7" s="48"/>
      <c r="G7" s="48"/>
      <c r="H7" s="48"/>
      <c r="I7" s="48"/>
      <c r="J7" s="49"/>
      <c r="K7" s="49" t="s">
        <v>45</v>
      </c>
      <c r="L7" s="49"/>
      <c r="M7" s="49"/>
      <c r="N7" s="49"/>
      <c r="O7" s="130"/>
      <c r="S7" s="127"/>
    </row>
    <row r="8" spans="1:27">
      <c r="A8" s="45" t="s">
        <v>44</v>
      </c>
      <c r="B8" s="42" t="s">
        <v>43</v>
      </c>
      <c r="C8" s="42"/>
      <c r="D8" s="42"/>
      <c r="E8" s="42"/>
      <c r="F8" s="42"/>
      <c r="G8" s="42"/>
      <c r="H8" s="42"/>
      <c r="I8" s="42"/>
      <c r="J8" s="43"/>
      <c r="K8" s="43" t="s">
        <v>42</v>
      </c>
      <c r="L8" s="43"/>
      <c r="M8" s="44">
        <v>1026</v>
      </c>
      <c r="N8" s="43"/>
      <c r="O8" s="129"/>
      <c r="S8" s="127"/>
    </row>
    <row r="9" spans="1:27">
      <c r="A9" s="39" t="s">
        <v>41</v>
      </c>
      <c r="B9" s="37" t="s">
        <v>40</v>
      </c>
      <c r="C9" s="37"/>
      <c r="D9" s="37"/>
      <c r="E9" s="37"/>
      <c r="F9" s="37"/>
      <c r="G9" s="37"/>
      <c r="H9" s="37"/>
      <c r="I9" s="37"/>
      <c r="J9" s="38"/>
      <c r="K9" s="38" t="s">
        <v>39</v>
      </c>
      <c r="L9" s="38"/>
      <c r="M9" s="207">
        <v>45265</v>
      </c>
      <c r="N9" s="208"/>
      <c r="O9" s="128"/>
      <c r="S9" s="127"/>
    </row>
    <row r="10" spans="1:27" ht="22.2" customHeight="1">
      <c r="A10" s="209" t="s">
        <v>86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Q10" s="120"/>
    </row>
    <row r="11" spans="1:27">
      <c r="A11" s="211" t="s">
        <v>85</v>
      </c>
      <c r="B11" s="197" t="s">
        <v>84</v>
      </c>
      <c r="C11" s="212" t="s">
        <v>83</v>
      </c>
      <c r="D11" s="213" t="s">
        <v>82</v>
      </c>
      <c r="E11" s="215" t="s">
        <v>81</v>
      </c>
      <c r="F11" s="196" t="s">
        <v>23</v>
      </c>
      <c r="G11" s="196"/>
      <c r="H11" s="196" t="s">
        <v>80</v>
      </c>
      <c r="I11" s="196"/>
      <c r="J11" s="196" t="s">
        <v>21</v>
      </c>
      <c r="K11" s="196"/>
      <c r="L11" s="197" t="s">
        <v>79</v>
      </c>
      <c r="M11" s="197" t="s">
        <v>78</v>
      </c>
      <c r="N11" s="197" t="s">
        <v>77</v>
      </c>
      <c r="O11" s="210" t="s">
        <v>76</v>
      </c>
      <c r="Q11" s="120"/>
    </row>
    <row r="12" spans="1:27" ht="63">
      <c r="A12" s="211"/>
      <c r="B12" s="197"/>
      <c r="C12" s="212"/>
      <c r="D12" s="214"/>
      <c r="E12" s="215"/>
      <c r="F12" s="126" t="s">
        <v>75</v>
      </c>
      <c r="G12" s="126" t="s">
        <v>74</v>
      </c>
      <c r="H12" s="126" t="s">
        <v>75</v>
      </c>
      <c r="I12" s="126" t="s">
        <v>74</v>
      </c>
      <c r="J12" s="126" t="s">
        <v>75</v>
      </c>
      <c r="K12" s="126" t="s">
        <v>74</v>
      </c>
      <c r="L12" s="197"/>
      <c r="M12" s="197"/>
      <c r="N12" s="197"/>
      <c r="O12" s="210"/>
      <c r="P12" s="125"/>
    </row>
    <row r="13" spans="1:27" ht="25.05" customHeight="1">
      <c r="A13" s="134">
        <v>45243</v>
      </c>
      <c r="B13" s="151">
        <f t="shared" ref="B13" si="0">A13-$A$13</f>
        <v>0</v>
      </c>
      <c r="C13" s="152">
        <f>VLOOKUP($A13,'SL.124+900 '!$A$13:$O$3840,3,0)</f>
        <v>-0.123</v>
      </c>
      <c r="D13" s="152" t="e">
        <f>VLOOKUP($A13,'[5]SL.122+440'!$A$13:$O$3840,5,0)</f>
        <v>#N/A</v>
      </c>
      <c r="E13" s="152">
        <f>VLOOKUP($A13,'SL.124+900 '!$A$13:$O$3840,5,0)</f>
        <v>-0.123</v>
      </c>
      <c r="F13" s="152">
        <f>VLOOKUP($A13,'SL.124+900 '!$A$13:$O$3840,6,0)</f>
        <v>0.879</v>
      </c>
      <c r="G13" s="152">
        <f>VLOOKUP($A13,'SL.124+900 '!$A$13:$O$3840,7,0)</f>
        <v>-0.121</v>
      </c>
      <c r="H13" s="152">
        <f>VLOOKUP($A13,'SL.124+900 '!$A$13:$O$3840,8,0)</f>
        <v>0.877</v>
      </c>
      <c r="I13" s="152">
        <f>VLOOKUP($A13,'SL.124+900 '!$A$13:$O$3840,9,0)</f>
        <v>-0.123</v>
      </c>
      <c r="J13" s="152">
        <f>VLOOKUP($A13,'SL.124+900 '!$A$13:$O$3840,10,0)</f>
        <v>0.88700000000000001</v>
      </c>
      <c r="K13" s="152">
        <f>VLOOKUP($A13,'SL.124+900 '!$A$13:$O$3840,11,0)</f>
        <v>-0.113</v>
      </c>
      <c r="L13" s="153">
        <f t="shared" ref="L13" si="1">(G13-$G$13)*1000</f>
        <v>0</v>
      </c>
      <c r="M13" s="153">
        <f t="shared" ref="M13" si="2">(I13-$I$13)*1000</f>
        <v>0</v>
      </c>
      <c r="N13" s="153">
        <f t="shared" ref="N13" si="3">(K13-$K$13)*1000</f>
        <v>0</v>
      </c>
      <c r="O13" s="117"/>
      <c r="P13" s="123"/>
      <c r="S13" s="124"/>
    </row>
    <row r="14" spans="1:27" ht="25.05" customHeight="1">
      <c r="A14" s="134">
        <v>45779</v>
      </c>
      <c r="B14" s="151">
        <f t="shared" ref="B14:B16" si="4">A14-$A$13</f>
        <v>536</v>
      </c>
      <c r="C14" s="152">
        <f>VLOOKUP($A14,'SL.124+900 '!$A$13:$O$3840,3,0)</f>
        <v>3.367</v>
      </c>
      <c r="D14" s="152" t="e">
        <f>VLOOKUP($A14,'[5]SL.122+440'!$A$13:$O$3840,5,0)</f>
        <v>#N/A</v>
      </c>
      <c r="E14" s="152">
        <f>VLOOKUP($A14,'SL.124+900 '!$A$13:$O$3840,5,0)</f>
        <v>5.319</v>
      </c>
      <c r="F14" s="152">
        <f>VLOOKUP($A14,'SL.124+900 '!$A$13:$O$3840,6,0)</f>
        <v>2.2440000000000002</v>
      </c>
      <c r="G14" s="152">
        <f>VLOOKUP($A14,'SL.124+900 '!$A$13:$O$3840,7,0)</f>
        <v>-1.756</v>
      </c>
      <c r="H14" s="152">
        <f>VLOOKUP($A14,'SL.124+900 '!$A$13:$O$3840,8,0)</f>
        <v>1.925</v>
      </c>
      <c r="I14" s="152">
        <f>VLOOKUP($A14,'SL.124+900 '!$A$13:$O$3840,9,0)</f>
        <v>-2.0750000000000002</v>
      </c>
      <c r="J14" s="152">
        <f>VLOOKUP($A14,'SL.124+900 '!$A$13:$O$3840,10,0)</f>
        <v>2.4710000000000001</v>
      </c>
      <c r="K14" s="152">
        <f>VLOOKUP($A14,'SL.124+900 '!$A$13:$O$3840,11,0)</f>
        <v>-1.5289999999999999</v>
      </c>
      <c r="L14" s="153">
        <f t="shared" ref="L14:L16" si="5">(G14-$G$13)*1000</f>
        <v>-1635</v>
      </c>
      <c r="M14" s="153">
        <f t="shared" ref="M14:M16" si="6">(I14-$I$13)*1000</f>
        <v>-1952.0000000000002</v>
      </c>
      <c r="N14" s="153">
        <f t="shared" ref="N14:N16" si="7">(K14-$K$13)*1000</f>
        <v>-1416</v>
      </c>
      <c r="O14" s="117"/>
      <c r="P14" s="123"/>
      <c r="Q14" s="122"/>
      <c r="R14" s="121"/>
      <c r="S14" s="120"/>
      <c r="T14" s="120"/>
    </row>
    <row r="15" spans="1:27" ht="25.05" customHeight="1">
      <c r="A15" s="134">
        <v>45786</v>
      </c>
      <c r="B15" s="151">
        <f t="shared" si="4"/>
        <v>543</v>
      </c>
      <c r="C15" s="152">
        <f>VLOOKUP($A15,'SL.124+900 '!$A$13:$O$3840,3,0)</f>
        <v>3.363</v>
      </c>
      <c r="D15" s="152" t="e">
        <f>VLOOKUP($A15,'[5]SL.122+440'!$A$13:$O$3840,5,0)</f>
        <v>#N/A</v>
      </c>
      <c r="E15" s="152">
        <f>VLOOKUP($A15,'SL.124+900 '!$A$13:$O$3840,5,0)</f>
        <v>5.319</v>
      </c>
      <c r="F15" s="152">
        <f>VLOOKUP($A15,'SL.124+900 '!$A$13:$O$3840,6,0)</f>
        <v>2.242</v>
      </c>
      <c r="G15" s="152">
        <f>VLOOKUP($A15,'SL.124+900 '!$A$13:$O$3840,7,0)</f>
        <v>-1.758</v>
      </c>
      <c r="H15" s="152">
        <f>VLOOKUP($A15,'SL.124+900 '!$A$13:$O$3840,8,0)</f>
        <v>1.921</v>
      </c>
      <c r="I15" s="152">
        <f>VLOOKUP($A15,'SL.124+900 '!$A$13:$O$3840,9,0)</f>
        <v>-2.0790000000000002</v>
      </c>
      <c r="J15" s="152">
        <f>VLOOKUP($A15,'SL.124+900 '!$A$13:$O$3840,10,0)</f>
        <v>2.4689999999999999</v>
      </c>
      <c r="K15" s="152">
        <f>VLOOKUP($A15,'SL.124+900 '!$A$13:$O$3840,11,0)</f>
        <v>-1.5309999999999999</v>
      </c>
      <c r="L15" s="153">
        <f t="shared" si="5"/>
        <v>-1637</v>
      </c>
      <c r="M15" s="153">
        <f t="shared" si="6"/>
        <v>-1956.0000000000002</v>
      </c>
      <c r="N15" s="153">
        <f t="shared" si="7"/>
        <v>-1418</v>
      </c>
      <c r="O15" s="117"/>
      <c r="P15" s="123"/>
      <c r="Q15" s="122"/>
      <c r="R15" s="121"/>
      <c r="S15" s="120"/>
      <c r="T15" s="120"/>
    </row>
    <row r="16" spans="1:27" ht="25.05" customHeight="1">
      <c r="A16" s="134">
        <v>45793</v>
      </c>
      <c r="B16" s="151">
        <f t="shared" si="4"/>
        <v>550</v>
      </c>
      <c r="C16" s="152">
        <f>VLOOKUP($A16,'SL.124+900 '!$A$13:$O$3840,3,0)</f>
        <v>3.36</v>
      </c>
      <c r="D16" s="152" t="e">
        <f>VLOOKUP($A16,'[5]SL.122+440'!$A$13:$O$3840,5,0)</f>
        <v>#N/A</v>
      </c>
      <c r="E16" s="152">
        <f>VLOOKUP($A16,'SL.124+900 '!$A$13:$O$3840,5,0)</f>
        <v>5.319</v>
      </c>
      <c r="F16" s="152">
        <f>VLOOKUP($A16,'SL.124+900 '!$A$13:$O$3840,6,0)</f>
        <v>2.2400000000000002</v>
      </c>
      <c r="G16" s="152">
        <f>VLOOKUP($A16,'SL.124+900 '!$A$13:$O$3840,7,0)</f>
        <v>-1.76</v>
      </c>
      <c r="H16" s="152">
        <f>VLOOKUP($A16,'SL.124+900 '!$A$13:$O$3840,8,0)</f>
        <v>1.9179999999999999</v>
      </c>
      <c r="I16" s="152">
        <f>VLOOKUP($A16,'SL.124+900 '!$A$13:$O$3840,9,0)</f>
        <v>-2.0819999999999999</v>
      </c>
      <c r="J16" s="152">
        <f>VLOOKUP($A16,'SL.124+900 '!$A$13:$O$3840,10,0)</f>
        <v>2.4670000000000001</v>
      </c>
      <c r="K16" s="152">
        <f>VLOOKUP($A16,'SL.124+900 '!$A$13:$O$3840,11,0)</f>
        <v>-1.5329999999999999</v>
      </c>
      <c r="L16" s="153">
        <f t="shared" si="5"/>
        <v>-1639</v>
      </c>
      <c r="M16" s="153">
        <f t="shared" si="6"/>
        <v>-1958.9999999999998</v>
      </c>
      <c r="N16" s="153">
        <f t="shared" si="7"/>
        <v>-1420</v>
      </c>
      <c r="O16" s="117"/>
      <c r="P16" s="123"/>
      <c r="Q16" s="122"/>
      <c r="R16" s="121"/>
      <c r="S16" s="120"/>
      <c r="T16" s="120"/>
    </row>
    <row r="17" spans="1:20" ht="7.8" customHeight="1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23"/>
      <c r="Q17" s="122"/>
      <c r="R17" s="121"/>
      <c r="S17" s="120"/>
      <c r="T17" s="120"/>
    </row>
    <row r="18" spans="1:20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23"/>
      <c r="Q18" s="122"/>
      <c r="R18" s="121"/>
      <c r="S18" s="120"/>
      <c r="T18" s="120"/>
    </row>
    <row r="19" spans="1:20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23"/>
      <c r="Q19" s="122"/>
      <c r="R19" s="121"/>
      <c r="S19" s="120"/>
      <c r="T19" s="120"/>
    </row>
    <row r="20" spans="1:20" ht="18.600000000000001" customHeight="1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23"/>
      <c r="Q20" s="122"/>
      <c r="R20" s="121"/>
      <c r="S20" s="120"/>
      <c r="T20" s="120"/>
    </row>
    <row r="21" spans="1:20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23"/>
      <c r="Q21" s="122"/>
      <c r="R21" s="121"/>
      <c r="S21" s="120"/>
      <c r="T21" s="120"/>
    </row>
    <row r="22" spans="1:20" ht="13.2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23"/>
      <c r="Q22" s="122"/>
      <c r="R22" s="121"/>
      <c r="S22" s="120"/>
      <c r="T22" s="120"/>
    </row>
    <row r="23" spans="1:20" hidden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23"/>
      <c r="Q23" s="122"/>
      <c r="R23" s="121"/>
      <c r="S23" s="120"/>
      <c r="T23" s="120"/>
    </row>
    <row r="24" spans="1:20" hidden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23"/>
      <c r="Q24" s="122"/>
      <c r="R24" s="121"/>
      <c r="S24" s="120"/>
      <c r="T24" s="120"/>
    </row>
    <row r="25" spans="1:20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23"/>
      <c r="Q25" s="122"/>
      <c r="R25" s="121"/>
      <c r="S25" s="120"/>
      <c r="T25" s="120"/>
    </row>
    <row r="26" spans="1:20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23"/>
      <c r="Q26" s="122"/>
      <c r="R26" s="121"/>
      <c r="S26" s="120"/>
      <c r="T26" s="120"/>
    </row>
    <row r="27" spans="1:20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23"/>
      <c r="Q27" s="122"/>
      <c r="R27" s="121"/>
      <c r="S27" s="120"/>
      <c r="T27" s="120"/>
    </row>
    <row r="28" spans="1:20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23"/>
      <c r="Q28" s="122"/>
      <c r="R28" s="121"/>
      <c r="S28" s="120"/>
      <c r="T28" s="120"/>
    </row>
    <row r="29" spans="1:20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23"/>
      <c r="Q29" s="122"/>
      <c r="R29" s="121"/>
      <c r="S29" s="120"/>
      <c r="T29" s="120"/>
    </row>
    <row r="30" spans="1:2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23"/>
      <c r="Q30" s="122"/>
      <c r="R30" s="121"/>
      <c r="S30" s="120"/>
      <c r="T30" s="120"/>
    </row>
    <row r="31" spans="1:20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23"/>
      <c r="Q31" s="122"/>
      <c r="R31" s="121"/>
      <c r="S31" s="120"/>
      <c r="T31" s="120"/>
    </row>
    <row r="32" spans="1:20" ht="4.2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23"/>
      <c r="Q32" s="122"/>
      <c r="R32" s="121"/>
      <c r="S32" s="120"/>
      <c r="T32" s="120"/>
    </row>
    <row r="33" spans="1:20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23"/>
      <c r="Q33" s="122"/>
      <c r="R33" s="121"/>
      <c r="S33" s="120"/>
      <c r="T33" s="120"/>
    </row>
    <row r="34" spans="1:20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23"/>
      <c r="Q34" s="122"/>
      <c r="R34" s="121"/>
      <c r="S34" s="120"/>
      <c r="T34" s="120"/>
    </row>
    <row r="35" spans="1:20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23"/>
      <c r="Q35" s="122"/>
      <c r="R35" s="121"/>
      <c r="S35" s="120"/>
      <c r="T35" s="120"/>
    </row>
    <row r="36" spans="1:20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23"/>
      <c r="Q36" s="122"/>
      <c r="R36" s="121"/>
      <c r="S36" s="120"/>
      <c r="T36" s="120"/>
    </row>
    <row r="37" spans="1:20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23"/>
      <c r="Q37" s="122"/>
      <c r="R37" s="121"/>
      <c r="S37" s="120"/>
      <c r="T37" s="120"/>
    </row>
    <row r="38" spans="1:20" ht="8.4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23"/>
      <c r="Q38" s="122"/>
      <c r="R38" s="121"/>
      <c r="S38" s="120"/>
      <c r="T38" s="120"/>
    </row>
    <row r="39" spans="1:20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23"/>
      <c r="Q39" s="122"/>
      <c r="R39" s="121"/>
      <c r="S39" s="120"/>
      <c r="T39" s="120"/>
    </row>
    <row r="40" spans="1:20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23"/>
      <c r="Q40" s="122"/>
      <c r="R40" s="121"/>
      <c r="S40" s="120"/>
      <c r="T40" s="120"/>
    </row>
    <row r="41" spans="1:20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23"/>
      <c r="Q41" s="122"/>
      <c r="R41" s="121"/>
      <c r="S41" s="120"/>
      <c r="T41" s="120"/>
    </row>
    <row r="42" spans="1:20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23"/>
      <c r="Q42" s="122"/>
      <c r="R42" s="121"/>
      <c r="S42" s="120"/>
      <c r="T42" s="120"/>
    </row>
    <row r="43" spans="1:20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23"/>
      <c r="Q43" s="122"/>
      <c r="R43" s="121"/>
      <c r="S43" s="120"/>
      <c r="T43" s="120"/>
    </row>
    <row r="44" spans="1:20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23"/>
      <c r="Q44" s="122"/>
      <c r="R44" s="121"/>
      <c r="S44" s="120"/>
      <c r="T44" s="120"/>
    </row>
    <row r="45" spans="1:20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23"/>
      <c r="Q45" s="122"/>
      <c r="R45" s="121"/>
      <c r="S45" s="120"/>
      <c r="T45" s="120"/>
    </row>
    <row r="46" spans="1:20">
      <c r="A46" s="74"/>
      <c r="B46" s="117"/>
      <c r="C46" s="118"/>
      <c r="D46" s="118"/>
      <c r="E46" s="119"/>
      <c r="F46" s="118"/>
      <c r="G46" s="118"/>
      <c r="H46" s="118"/>
      <c r="I46" s="118"/>
      <c r="J46" s="118"/>
      <c r="K46" s="118"/>
      <c r="L46" s="117"/>
      <c r="M46" s="132"/>
      <c r="N46" s="117"/>
      <c r="O46" s="117"/>
      <c r="P46" s="123"/>
      <c r="Q46" s="122"/>
      <c r="R46" s="121"/>
      <c r="S46" s="120"/>
      <c r="T46" s="120"/>
    </row>
    <row r="47" spans="1:20">
      <c r="A47" s="74"/>
      <c r="B47" s="117"/>
      <c r="C47" s="118"/>
      <c r="D47" s="118"/>
      <c r="E47" s="119"/>
      <c r="F47" s="118"/>
      <c r="G47" s="118"/>
      <c r="H47" s="118"/>
      <c r="I47" s="118"/>
      <c r="J47" s="118"/>
      <c r="K47" s="118"/>
      <c r="L47" s="117"/>
      <c r="M47" s="132"/>
      <c r="N47" s="117"/>
      <c r="O47" s="117"/>
      <c r="P47" s="123"/>
      <c r="Q47" s="122"/>
      <c r="R47" s="121"/>
      <c r="S47" s="120"/>
      <c r="T47" s="120"/>
    </row>
    <row r="48" spans="1:20">
      <c r="A48" s="74"/>
      <c r="B48" s="117"/>
      <c r="C48" s="118"/>
      <c r="D48" s="118"/>
      <c r="E48" s="119"/>
      <c r="F48" s="118"/>
      <c r="G48" s="118"/>
      <c r="H48" s="118"/>
      <c r="I48" s="118"/>
      <c r="J48" s="118"/>
      <c r="K48" s="118"/>
      <c r="L48" s="117"/>
      <c r="M48" s="132"/>
      <c r="N48" s="117"/>
      <c r="O48" s="117"/>
      <c r="P48" s="123"/>
      <c r="Q48" s="122"/>
      <c r="R48" s="121"/>
      <c r="S48" s="120"/>
      <c r="T48" s="120"/>
    </row>
    <row r="49" spans="1:20">
      <c r="A49" s="74"/>
      <c r="B49" s="117"/>
      <c r="C49" s="118"/>
      <c r="D49" s="118"/>
      <c r="E49" s="119"/>
      <c r="F49" s="118"/>
      <c r="G49" s="118"/>
      <c r="H49" s="118"/>
      <c r="I49" s="118"/>
      <c r="J49" s="118"/>
      <c r="K49" s="118"/>
      <c r="L49" s="117"/>
      <c r="M49" s="132"/>
      <c r="N49" s="117"/>
      <c r="O49" s="117"/>
      <c r="P49" s="123"/>
      <c r="Q49" s="122"/>
      <c r="R49" s="121"/>
      <c r="S49" s="120"/>
      <c r="T49" s="120"/>
    </row>
    <row r="50" spans="1:20">
      <c r="A50" s="74"/>
      <c r="B50" s="117"/>
      <c r="C50" s="118"/>
      <c r="D50" s="118"/>
      <c r="E50" s="119"/>
      <c r="F50" s="118"/>
      <c r="G50" s="118"/>
      <c r="H50" s="118"/>
      <c r="I50" s="118"/>
      <c r="J50" s="118"/>
      <c r="K50" s="118"/>
      <c r="L50" s="117"/>
      <c r="M50" s="132"/>
      <c r="N50" s="117"/>
      <c r="O50" s="117"/>
      <c r="P50" s="123"/>
      <c r="Q50" s="122"/>
      <c r="R50" s="121"/>
      <c r="S50" s="120"/>
      <c r="T50" s="120"/>
    </row>
    <row r="51" spans="1:20">
      <c r="A51" s="74"/>
      <c r="B51" s="117"/>
      <c r="C51" s="118"/>
      <c r="D51" s="118"/>
      <c r="E51" s="119"/>
      <c r="F51" s="118"/>
      <c r="G51" s="118"/>
      <c r="H51" s="118"/>
      <c r="I51" s="118"/>
      <c r="J51" s="118"/>
      <c r="K51" s="118"/>
      <c r="L51" s="117"/>
      <c r="M51" s="132"/>
      <c r="N51" s="117"/>
      <c r="O51" s="117"/>
      <c r="P51" s="123"/>
      <c r="Q51" s="122"/>
      <c r="R51" s="121"/>
      <c r="S51" s="120"/>
      <c r="T51" s="120"/>
    </row>
    <row r="52" spans="1:20">
      <c r="A52" s="74"/>
      <c r="B52" s="117"/>
      <c r="C52" s="118"/>
      <c r="D52" s="118"/>
      <c r="E52" s="119"/>
      <c r="F52" s="118"/>
      <c r="G52" s="118"/>
      <c r="H52" s="118"/>
      <c r="I52" s="118"/>
      <c r="J52" s="118"/>
      <c r="K52" s="118"/>
      <c r="L52" s="117"/>
      <c r="M52" s="132"/>
      <c r="N52" s="117"/>
      <c r="O52" s="117"/>
      <c r="P52" s="123"/>
      <c r="Q52" s="122"/>
      <c r="R52" s="121"/>
      <c r="S52" s="120"/>
      <c r="T52" s="120"/>
    </row>
    <row r="53" spans="1:20">
      <c r="A53" s="74"/>
      <c r="B53" s="117"/>
      <c r="C53" s="118"/>
      <c r="D53" s="118"/>
      <c r="E53" s="119"/>
      <c r="F53" s="118"/>
      <c r="G53" s="118"/>
      <c r="H53" s="118"/>
      <c r="I53" s="118"/>
      <c r="J53" s="118"/>
      <c r="K53" s="118"/>
      <c r="L53" s="117"/>
      <c r="M53" s="132"/>
      <c r="N53" s="117"/>
      <c r="O53" s="117"/>
      <c r="P53" s="123"/>
      <c r="Q53" s="122"/>
      <c r="R53" s="121"/>
      <c r="S53" s="120"/>
      <c r="T53" s="120"/>
    </row>
    <row r="54" spans="1:20">
      <c r="A54" s="74"/>
      <c r="B54" s="117"/>
      <c r="C54" s="118"/>
      <c r="D54" s="118"/>
      <c r="E54" s="119"/>
      <c r="F54" s="118"/>
      <c r="G54" s="118"/>
      <c r="H54" s="118"/>
      <c r="I54" s="118"/>
      <c r="J54" s="118"/>
      <c r="K54" s="118"/>
      <c r="L54" s="117"/>
      <c r="M54" s="132"/>
      <c r="N54" s="117"/>
      <c r="O54" s="117"/>
      <c r="P54" s="123"/>
      <c r="Q54" s="122"/>
      <c r="R54" s="121"/>
      <c r="S54" s="120"/>
      <c r="T54" s="120"/>
    </row>
    <row r="55" spans="1:20">
      <c r="A55" s="74"/>
      <c r="B55" s="117"/>
      <c r="C55" s="118"/>
      <c r="D55" s="118"/>
      <c r="E55" s="119"/>
      <c r="F55" s="118"/>
      <c r="G55" s="118"/>
      <c r="H55" s="118"/>
      <c r="I55" s="118"/>
      <c r="J55" s="118"/>
      <c r="K55" s="118"/>
      <c r="L55" s="117"/>
      <c r="M55" s="132"/>
      <c r="N55" s="117"/>
      <c r="O55" s="117"/>
      <c r="P55" s="123"/>
      <c r="Q55" s="122"/>
      <c r="R55" s="121"/>
      <c r="S55" s="120"/>
      <c r="T55" s="120"/>
    </row>
    <row r="56" spans="1:20">
      <c r="A56" s="74"/>
      <c r="B56" s="117"/>
      <c r="C56" s="118"/>
      <c r="D56" s="118"/>
      <c r="E56" s="119"/>
      <c r="F56" s="118"/>
      <c r="G56" s="118"/>
      <c r="H56" s="118"/>
      <c r="I56" s="118"/>
      <c r="J56" s="118"/>
      <c r="K56" s="118"/>
      <c r="L56" s="117"/>
      <c r="M56" s="132"/>
      <c r="N56" s="117"/>
      <c r="O56" s="117"/>
      <c r="P56" s="123"/>
      <c r="Q56" s="122"/>
      <c r="R56" s="121"/>
      <c r="S56" s="120"/>
      <c r="T56" s="120"/>
    </row>
    <row r="57" spans="1:20">
      <c r="A57" s="74"/>
      <c r="B57" s="117"/>
      <c r="C57" s="118"/>
      <c r="D57" s="118"/>
      <c r="E57" s="119"/>
      <c r="F57" s="118"/>
      <c r="G57" s="118"/>
      <c r="H57" s="118"/>
      <c r="I57" s="118"/>
      <c r="J57" s="118"/>
      <c r="K57" s="118"/>
      <c r="L57" s="117"/>
      <c r="M57" s="132"/>
      <c r="N57" s="117"/>
      <c r="O57" s="117"/>
      <c r="P57" s="123"/>
      <c r="Q57" s="122"/>
      <c r="R57" s="121"/>
      <c r="S57" s="120"/>
      <c r="T57" s="120"/>
    </row>
    <row r="58" spans="1:20">
      <c r="A58" s="74"/>
      <c r="B58" s="117"/>
      <c r="C58" s="118"/>
      <c r="D58" s="118"/>
      <c r="E58" s="119"/>
      <c r="F58" s="118"/>
      <c r="G58" s="118"/>
      <c r="H58" s="118"/>
      <c r="I58" s="118"/>
      <c r="J58" s="118"/>
      <c r="K58" s="118"/>
      <c r="L58" s="117"/>
      <c r="M58" s="132"/>
      <c r="N58" s="117"/>
      <c r="O58" s="117"/>
      <c r="P58" s="123"/>
      <c r="Q58" s="122"/>
      <c r="R58" s="121"/>
      <c r="S58" s="120"/>
      <c r="T58" s="120"/>
    </row>
    <row r="59" spans="1:20">
      <c r="A59" s="74"/>
      <c r="B59" s="117"/>
      <c r="C59" s="118"/>
      <c r="D59" s="118"/>
      <c r="E59" s="119"/>
      <c r="F59" s="118"/>
      <c r="G59" s="118"/>
      <c r="H59" s="118"/>
      <c r="I59" s="118"/>
      <c r="J59" s="118"/>
      <c r="K59" s="118"/>
      <c r="L59" s="117"/>
      <c r="M59" s="132"/>
      <c r="N59" s="117"/>
      <c r="O59" s="117"/>
      <c r="P59" s="123"/>
      <c r="Q59" s="122"/>
      <c r="R59" s="121"/>
      <c r="S59" s="120"/>
      <c r="T59" s="120"/>
    </row>
    <row r="60" spans="1:20">
      <c r="A60" s="74"/>
      <c r="B60" s="117"/>
      <c r="C60" s="118"/>
      <c r="D60" s="118"/>
      <c r="E60" s="119"/>
      <c r="F60" s="118"/>
      <c r="G60" s="118"/>
      <c r="H60" s="118"/>
      <c r="I60" s="118"/>
      <c r="J60" s="118"/>
      <c r="K60" s="118"/>
      <c r="L60" s="117"/>
      <c r="M60" s="132"/>
      <c r="N60" s="117"/>
      <c r="O60" s="117"/>
      <c r="P60" s="123"/>
      <c r="Q60" s="122"/>
      <c r="R60" s="121"/>
      <c r="S60" s="120"/>
      <c r="T60" s="120"/>
    </row>
    <row r="61" spans="1:20">
      <c r="A61" s="74"/>
      <c r="B61" s="117"/>
      <c r="C61" s="118"/>
      <c r="D61" s="118"/>
      <c r="E61" s="119"/>
      <c r="F61" s="118"/>
      <c r="G61" s="118"/>
      <c r="H61" s="118"/>
      <c r="I61" s="118"/>
      <c r="J61" s="118"/>
      <c r="K61" s="118"/>
      <c r="L61" s="117"/>
      <c r="M61" s="132"/>
      <c r="N61" s="117"/>
      <c r="O61" s="117"/>
      <c r="P61" s="123"/>
      <c r="Q61" s="122"/>
      <c r="R61" s="121"/>
      <c r="S61" s="120"/>
      <c r="T61" s="120"/>
    </row>
    <row r="62" spans="1:20">
      <c r="A62" s="74"/>
      <c r="B62" s="117"/>
      <c r="C62" s="118"/>
      <c r="D62" s="118"/>
      <c r="E62" s="119"/>
      <c r="F62" s="118"/>
      <c r="G62" s="118"/>
      <c r="H62" s="118"/>
      <c r="I62" s="118"/>
      <c r="J62" s="118"/>
      <c r="K62" s="118"/>
      <c r="L62" s="117"/>
      <c r="M62" s="132"/>
      <c r="N62" s="117"/>
      <c r="O62" s="117"/>
      <c r="P62" s="123"/>
      <c r="Q62" s="122"/>
      <c r="R62" s="121"/>
      <c r="S62" s="120"/>
      <c r="T62" s="120"/>
    </row>
    <row r="63" spans="1:20">
      <c r="A63" s="74"/>
      <c r="B63" s="117"/>
      <c r="C63" s="118"/>
      <c r="D63" s="118"/>
      <c r="E63" s="119"/>
      <c r="F63" s="118"/>
      <c r="G63" s="118"/>
      <c r="H63" s="118"/>
      <c r="I63" s="118"/>
      <c r="J63" s="118"/>
      <c r="K63" s="118"/>
      <c r="L63" s="117"/>
      <c r="M63" s="132"/>
      <c r="N63" s="117"/>
      <c r="O63" s="117"/>
      <c r="P63" s="123"/>
      <c r="Q63" s="122"/>
      <c r="R63" s="121"/>
      <c r="S63" s="120"/>
      <c r="T63" s="120"/>
    </row>
    <row r="64" spans="1:20">
      <c r="A64" s="74"/>
      <c r="B64" s="117"/>
      <c r="C64" s="118"/>
      <c r="D64" s="118"/>
      <c r="E64" s="119"/>
      <c r="F64" s="118"/>
      <c r="G64" s="118"/>
      <c r="H64" s="118"/>
      <c r="I64" s="118"/>
      <c r="J64" s="118"/>
      <c r="K64" s="118"/>
      <c r="L64" s="117"/>
      <c r="M64" s="132"/>
      <c r="N64" s="117"/>
      <c r="O64" s="117"/>
      <c r="P64" s="123"/>
      <c r="Q64" s="122"/>
      <c r="R64" s="121"/>
      <c r="S64" s="120"/>
      <c r="T64" s="120"/>
    </row>
    <row r="65" spans="1:15">
      <c r="A65" s="74"/>
      <c r="B65" s="117"/>
      <c r="C65" s="118"/>
      <c r="D65" s="118"/>
      <c r="E65" s="119"/>
      <c r="F65" s="118"/>
      <c r="G65" s="118"/>
      <c r="H65" s="118"/>
      <c r="I65" s="118"/>
      <c r="J65" s="118"/>
      <c r="K65" s="118"/>
      <c r="L65" s="117"/>
      <c r="M65" s="132"/>
      <c r="N65" s="117"/>
      <c r="O65" s="117"/>
    </row>
    <row r="66" spans="1:15">
      <c r="A66" s="74"/>
      <c r="B66" s="117"/>
      <c r="C66" s="118"/>
      <c r="D66" s="118"/>
      <c r="E66" s="119"/>
      <c r="F66" s="118"/>
      <c r="G66" s="118"/>
      <c r="H66" s="118"/>
      <c r="I66" s="118"/>
      <c r="J66" s="118"/>
      <c r="K66" s="118"/>
      <c r="L66" s="117"/>
      <c r="M66" s="132"/>
      <c r="N66" s="117"/>
      <c r="O66" s="117"/>
    </row>
    <row r="67" spans="1:15">
      <c r="A67" s="74"/>
      <c r="B67" s="117"/>
      <c r="C67" s="118"/>
      <c r="D67" s="118"/>
      <c r="E67" s="119"/>
      <c r="F67" s="118"/>
      <c r="G67" s="118"/>
      <c r="H67" s="118"/>
      <c r="I67" s="118"/>
      <c r="J67" s="118"/>
      <c r="K67" s="118"/>
      <c r="L67" s="117"/>
      <c r="M67" s="132"/>
      <c r="N67" s="117"/>
      <c r="O67" s="117"/>
    </row>
    <row r="68" spans="1:15">
      <c r="A68" s="74"/>
      <c r="B68" s="117"/>
      <c r="C68" s="118"/>
      <c r="D68" s="118"/>
      <c r="E68" s="119"/>
      <c r="F68" s="118"/>
      <c r="G68" s="118"/>
      <c r="H68" s="118"/>
      <c r="I68" s="118"/>
      <c r="J68" s="118"/>
      <c r="K68" s="118"/>
      <c r="L68" s="117"/>
      <c r="M68" s="132"/>
      <c r="N68" s="117"/>
      <c r="O68" s="117"/>
    </row>
    <row r="69" spans="1:15">
      <c r="A69" s="74"/>
      <c r="B69" s="117"/>
      <c r="C69" s="118"/>
      <c r="D69" s="118"/>
      <c r="E69" s="119"/>
      <c r="F69" s="118"/>
      <c r="G69" s="118"/>
      <c r="H69" s="118"/>
      <c r="I69" s="118"/>
      <c r="J69" s="118"/>
      <c r="K69" s="118"/>
      <c r="L69" s="117"/>
      <c r="M69" s="132"/>
      <c r="N69" s="117"/>
      <c r="O69" s="117"/>
    </row>
    <row r="70" spans="1:15">
      <c r="A70" s="74"/>
      <c r="B70" s="117"/>
      <c r="C70" s="118"/>
      <c r="D70" s="118"/>
      <c r="E70" s="119"/>
      <c r="F70" s="118"/>
      <c r="G70" s="118"/>
      <c r="H70" s="118"/>
      <c r="I70" s="118"/>
      <c r="J70" s="118"/>
      <c r="K70" s="118"/>
      <c r="L70" s="117"/>
      <c r="M70" s="132"/>
      <c r="N70" s="117"/>
      <c r="O70" s="117"/>
    </row>
    <row r="71" spans="1:15">
      <c r="A71" s="74"/>
      <c r="B71" s="117"/>
      <c r="C71" s="118"/>
      <c r="D71" s="118"/>
      <c r="E71" s="119"/>
      <c r="F71" s="118"/>
      <c r="G71" s="118"/>
      <c r="H71" s="118"/>
      <c r="I71" s="118"/>
      <c r="J71" s="118"/>
      <c r="K71" s="118"/>
      <c r="L71" s="117"/>
      <c r="M71" s="132"/>
      <c r="N71" s="117"/>
      <c r="O71" s="117"/>
    </row>
    <row r="72" spans="1:15">
      <c r="A72" s="74"/>
      <c r="B72" s="117"/>
      <c r="C72" s="118"/>
      <c r="D72" s="118"/>
      <c r="E72" s="119"/>
      <c r="F72" s="118"/>
      <c r="G72" s="118"/>
      <c r="H72" s="118"/>
      <c r="I72" s="118"/>
      <c r="J72" s="118"/>
      <c r="K72" s="118"/>
      <c r="L72" s="117"/>
      <c r="M72" s="132"/>
      <c r="N72" s="117"/>
      <c r="O72" s="117"/>
    </row>
    <row r="73" spans="1:15">
      <c r="A73" s="74"/>
      <c r="B73" s="117"/>
      <c r="C73" s="118"/>
      <c r="D73" s="118"/>
      <c r="E73" s="119"/>
      <c r="F73" s="118"/>
      <c r="G73" s="118"/>
      <c r="H73" s="118"/>
      <c r="I73" s="118"/>
      <c r="J73" s="118"/>
      <c r="K73" s="118"/>
      <c r="L73" s="117"/>
      <c r="M73" s="132"/>
      <c r="N73" s="117"/>
      <c r="O73" s="117"/>
    </row>
    <row r="74" spans="1:15">
      <c r="A74" s="74"/>
      <c r="B74" s="117"/>
      <c r="C74" s="118"/>
      <c r="D74" s="118"/>
      <c r="E74" s="119"/>
      <c r="F74" s="118"/>
      <c r="G74" s="118"/>
      <c r="H74" s="118"/>
      <c r="I74" s="118"/>
      <c r="J74" s="118"/>
      <c r="K74" s="118"/>
      <c r="L74" s="117"/>
      <c r="M74" s="132"/>
      <c r="N74" s="117"/>
      <c r="O74" s="117"/>
    </row>
    <row r="75" spans="1:15">
      <c r="A75" s="74"/>
      <c r="B75" s="117"/>
      <c r="C75" s="118"/>
      <c r="D75" s="118"/>
      <c r="E75" s="119"/>
      <c r="F75" s="118"/>
      <c r="G75" s="118"/>
      <c r="H75" s="118"/>
      <c r="I75" s="118"/>
      <c r="J75" s="118"/>
      <c r="K75" s="118"/>
      <c r="L75" s="117"/>
      <c r="M75" s="132"/>
      <c r="N75" s="117"/>
      <c r="O75" s="117"/>
    </row>
    <row r="76" spans="1:15">
      <c r="A76" s="74"/>
      <c r="B76" s="117"/>
      <c r="C76" s="118"/>
      <c r="D76" s="118"/>
      <c r="E76" s="119"/>
      <c r="F76" s="118"/>
      <c r="G76" s="118"/>
      <c r="H76" s="118"/>
      <c r="I76" s="118"/>
      <c r="J76" s="118"/>
      <c r="K76" s="118"/>
      <c r="L76" s="117"/>
      <c r="M76" s="132"/>
      <c r="N76" s="117"/>
      <c r="O76" s="117"/>
    </row>
    <row r="77" spans="1:15">
      <c r="A77" s="74"/>
      <c r="B77" s="117"/>
      <c r="C77" s="118"/>
      <c r="D77" s="118"/>
      <c r="E77" s="119"/>
      <c r="F77" s="118"/>
      <c r="G77" s="118"/>
      <c r="H77" s="118"/>
      <c r="I77" s="118"/>
      <c r="J77" s="118"/>
      <c r="K77" s="118"/>
      <c r="L77" s="117"/>
      <c r="M77" s="132"/>
      <c r="N77" s="117"/>
      <c r="O77" s="117"/>
    </row>
    <row r="78" spans="1:15">
      <c r="A78" s="74"/>
      <c r="B78" s="117"/>
      <c r="C78" s="118"/>
      <c r="D78" s="118"/>
      <c r="E78" s="119"/>
      <c r="F78" s="118"/>
      <c r="G78" s="118"/>
      <c r="H78" s="118"/>
      <c r="I78" s="118"/>
      <c r="J78" s="118"/>
      <c r="K78" s="118"/>
      <c r="L78" s="117"/>
      <c r="M78" s="132"/>
      <c r="N78" s="117"/>
      <c r="O78" s="117"/>
    </row>
    <row r="79" spans="1:15">
      <c r="A79" s="74"/>
      <c r="B79" s="117"/>
      <c r="C79" s="118"/>
      <c r="D79" s="118"/>
      <c r="E79" s="119"/>
      <c r="F79" s="118"/>
      <c r="G79" s="118"/>
      <c r="H79" s="118"/>
      <c r="I79" s="118"/>
      <c r="J79" s="118"/>
      <c r="K79" s="118"/>
      <c r="L79" s="117"/>
      <c r="M79" s="132"/>
      <c r="N79" s="117"/>
      <c r="O79" s="117"/>
    </row>
    <row r="80" spans="1:15">
      <c r="A80" s="74"/>
      <c r="B80" s="117"/>
      <c r="C80" s="118"/>
      <c r="D80" s="118"/>
      <c r="E80" s="119"/>
      <c r="F80" s="118"/>
      <c r="G80" s="118"/>
      <c r="H80" s="118"/>
      <c r="I80" s="118"/>
      <c r="J80" s="118"/>
      <c r="K80" s="118"/>
      <c r="L80" s="117"/>
      <c r="M80" s="132"/>
      <c r="N80" s="117"/>
      <c r="O80" s="117"/>
    </row>
    <row r="81" spans="1:15">
      <c r="A81" s="74"/>
      <c r="B81" s="117"/>
      <c r="C81" s="118"/>
      <c r="D81" s="118"/>
      <c r="E81" s="119"/>
      <c r="F81" s="118"/>
      <c r="G81" s="118"/>
      <c r="H81" s="118"/>
      <c r="I81" s="118"/>
      <c r="J81" s="118"/>
      <c r="K81" s="118"/>
      <c r="L81" s="117"/>
      <c r="M81" s="132"/>
      <c r="N81" s="117"/>
      <c r="O81" s="117"/>
    </row>
    <row r="82" spans="1:15">
      <c r="A82" s="74"/>
      <c r="B82" s="117"/>
      <c r="C82" s="118"/>
      <c r="D82" s="118"/>
      <c r="E82" s="119"/>
      <c r="F82" s="118"/>
      <c r="G82" s="118"/>
      <c r="H82" s="118"/>
      <c r="I82" s="118"/>
      <c r="J82" s="118"/>
      <c r="K82" s="118"/>
      <c r="L82" s="117"/>
      <c r="M82" s="132"/>
      <c r="N82" s="117"/>
      <c r="O82" s="117"/>
    </row>
    <row r="83" spans="1:15">
      <c r="A83" s="74"/>
      <c r="B83" s="117"/>
      <c r="C83" s="118"/>
      <c r="D83" s="118"/>
      <c r="E83" s="119"/>
      <c r="F83" s="118"/>
      <c r="G83" s="118"/>
      <c r="H83" s="118"/>
      <c r="I83" s="118"/>
      <c r="J83" s="118"/>
      <c r="K83" s="118"/>
      <c r="L83" s="117"/>
      <c r="M83" s="132"/>
      <c r="N83" s="117"/>
      <c r="O83" s="117"/>
    </row>
    <row r="84" spans="1:15">
      <c r="A84" s="74"/>
      <c r="B84" s="117"/>
      <c r="C84" s="118"/>
      <c r="D84" s="118"/>
      <c r="E84" s="119"/>
      <c r="F84" s="118"/>
      <c r="G84" s="118"/>
      <c r="H84" s="118"/>
      <c r="I84" s="118"/>
      <c r="J84" s="118"/>
      <c r="K84" s="118"/>
      <c r="L84" s="117"/>
      <c r="M84" s="132"/>
      <c r="N84" s="117"/>
      <c r="O84" s="117"/>
    </row>
    <row r="85" spans="1:15">
      <c r="A85" s="74"/>
      <c r="B85" s="117"/>
      <c r="C85" s="118"/>
      <c r="D85" s="118"/>
      <c r="E85" s="119"/>
      <c r="F85" s="118"/>
      <c r="G85" s="118"/>
      <c r="H85" s="118"/>
      <c r="I85" s="118"/>
      <c r="J85" s="118"/>
      <c r="K85" s="118"/>
      <c r="L85" s="117"/>
      <c r="M85" s="132"/>
      <c r="N85" s="117"/>
      <c r="O85" s="117"/>
    </row>
    <row r="86" spans="1:15">
      <c r="A86" s="74"/>
      <c r="B86" s="117"/>
      <c r="C86" s="118"/>
      <c r="D86" s="118"/>
      <c r="E86" s="119"/>
      <c r="F86" s="118"/>
      <c r="G86" s="118"/>
      <c r="H86" s="118"/>
      <c r="I86" s="118"/>
      <c r="J86" s="118"/>
      <c r="K86" s="118"/>
      <c r="L86" s="117"/>
      <c r="M86" s="132"/>
      <c r="N86" s="117"/>
      <c r="O86" s="117"/>
    </row>
    <row r="87" spans="1:15">
      <c r="A87" s="74"/>
      <c r="B87" s="117"/>
      <c r="C87" s="118"/>
      <c r="D87" s="118"/>
      <c r="E87" s="119"/>
      <c r="F87" s="118"/>
      <c r="G87" s="118"/>
      <c r="H87" s="118"/>
      <c r="I87" s="118"/>
      <c r="J87" s="118"/>
      <c r="K87" s="118"/>
      <c r="L87" s="117"/>
      <c r="M87" s="132"/>
      <c r="N87" s="117"/>
      <c r="O87" s="117"/>
    </row>
    <row r="88" spans="1:15">
      <c r="A88" s="74"/>
      <c r="B88" s="117"/>
      <c r="C88" s="118"/>
      <c r="D88" s="118"/>
      <c r="E88" s="119"/>
      <c r="F88" s="118"/>
      <c r="G88" s="118"/>
      <c r="H88" s="118"/>
      <c r="I88" s="118"/>
      <c r="J88" s="118"/>
      <c r="K88" s="118"/>
      <c r="L88" s="117"/>
      <c r="M88" s="132"/>
      <c r="N88" s="117"/>
      <c r="O88" s="117"/>
    </row>
    <row r="89" spans="1:15">
      <c r="A89" s="74"/>
      <c r="B89" s="117"/>
      <c r="C89" s="118"/>
      <c r="D89" s="118"/>
      <c r="E89" s="119"/>
      <c r="F89" s="118"/>
      <c r="G89" s="118"/>
      <c r="H89" s="118"/>
      <c r="I89" s="118"/>
      <c r="J89" s="118"/>
      <c r="K89" s="118"/>
      <c r="L89" s="117"/>
      <c r="M89" s="132"/>
      <c r="N89" s="117"/>
      <c r="O89" s="117"/>
    </row>
    <row r="90" spans="1:15">
      <c r="A90" s="74"/>
      <c r="B90" s="117"/>
      <c r="C90" s="118"/>
      <c r="D90" s="118"/>
      <c r="E90" s="119"/>
      <c r="F90" s="118"/>
      <c r="G90" s="118"/>
      <c r="H90" s="118"/>
      <c r="I90" s="118"/>
      <c r="J90" s="118"/>
      <c r="K90" s="118"/>
      <c r="L90" s="117"/>
      <c r="M90" s="132"/>
      <c r="N90" s="117"/>
      <c r="O90" s="117"/>
    </row>
    <row r="91" spans="1:15">
      <c r="A91" s="74"/>
      <c r="B91" s="117"/>
      <c r="C91" s="118"/>
      <c r="D91" s="118"/>
      <c r="E91" s="119"/>
      <c r="F91" s="118"/>
      <c r="G91" s="118"/>
      <c r="H91" s="118"/>
      <c r="I91" s="118"/>
      <c r="J91" s="118"/>
      <c r="K91" s="118"/>
      <c r="L91" s="117"/>
      <c r="M91" s="132"/>
      <c r="N91" s="117"/>
      <c r="O91" s="117"/>
    </row>
    <row r="92" spans="1:15">
      <c r="A92" s="74"/>
      <c r="B92" s="117"/>
      <c r="C92" s="118"/>
      <c r="D92" s="118"/>
      <c r="E92" s="119"/>
      <c r="F92" s="118"/>
      <c r="G92" s="118"/>
      <c r="H92" s="118"/>
      <c r="I92" s="118"/>
      <c r="J92" s="118"/>
      <c r="K92" s="118"/>
      <c r="L92" s="117"/>
      <c r="M92" s="132"/>
      <c r="N92" s="117"/>
      <c r="O92" s="117"/>
    </row>
    <row r="93" spans="1:15">
      <c r="A93" s="74"/>
      <c r="B93" s="117"/>
      <c r="C93" s="118"/>
      <c r="D93" s="118"/>
      <c r="E93" s="119"/>
      <c r="F93" s="118"/>
      <c r="G93" s="118"/>
      <c r="H93" s="118"/>
      <c r="I93" s="118"/>
      <c r="J93" s="118"/>
      <c r="K93" s="118"/>
      <c r="L93" s="117"/>
      <c r="M93" s="132"/>
      <c r="N93" s="117"/>
      <c r="O93" s="117"/>
    </row>
    <row r="94" spans="1:15">
      <c r="A94" s="74"/>
      <c r="B94" s="117"/>
      <c r="C94" s="118"/>
      <c r="D94" s="118"/>
      <c r="E94" s="119"/>
      <c r="F94" s="118"/>
      <c r="G94" s="118"/>
      <c r="H94" s="118"/>
      <c r="I94" s="118"/>
      <c r="J94" s="118"/>
      <c r="K94" s="118"/>
      <c r="L94" s="117"/>
      <c r="M94" s="132"/>
      <c r="N94" s="117"/>
      <c r="O94" s="117"/>
    </row>
    <row r="95" spans="1:15">
      <c r="A95" s="74"/>
      <c r="B95" s="117"/>
      <c r="C95" s="118"/>
      <c r="D95" s="118"/>
      <c r="E95" s="119"/>
      <c r="F95" s="118"/>
      <c r="G95" s="118"/>
      <c r="H95" s="118"/>
      <c r="I95" s="118"/>
      <c r="J95" s="118"/>
      <c r="K95" s="118"/>
      <c r="L95" s="117"/>
      <c r="M95" s="132"/>
      <c r="N95" s="117"/>
      <c r="O95" s="117"/>
    </row>
    <row r="96" spans="1:15">
      <c r="A96" s="74"/>
      <c r="B96" s="117"/>
      <c r="C96" s="118"/>
      <c r="D96" s="118"/>
      <c r="E96" s="119"/>
      <c r="F96" s="118"/>
      <c r="G96" s="118"/>
      <c r="H96" s="118"/>
      <c r="I96" s="118"/>
      <c r="J96" s="118"/>
      <c r="K96" s="118"/>
      <c r="L96" s="117"/>
      <c r="M96" s="132"/>
      <c r="N96" s="117"/>
      <c r="O96" s="117"/>
    </row>
    <row r="97" spans="1:15">
      <c r="A97" s="74"/>
      <c r="B97" s="117"/>
      <c r="C97" s="118"/>
      <c r="D97" s="118"/>
      <c r="E97" s="119"/>
      <c r="F97" s="118"/>
      <c r="G97" s="118"/>
      <c r="H97" s="118"/>
      <c r="I97" s="118"/>
      <c r="J97" s="118"/>
      <c r="K97" s="118"/>
      <c r="L97" s="117"/>
      <c r="M97" s="132"/>
      <c r="N97" s="117"/>
      <c r="O97" s="117"/>
    </row>
    <row r="98" spans="1:15">
      <c r="A98" s="74"/>
      <c r="B98" s="117"/>
      <c r="C98" s="118"/>
      <c r="D98" s="118"/>
      <c r="E98" s="119"/>
      <c r="F98" s="118"/>
      <c r="G98" s="118"/>
      <c r="H98" s="118"/>
      <c r="I98" s="118"/>
      <c r="J98" s="118"/>
      <c r="K98" s="118"/>
      <c r="L98" s="117"/>
      <c r="M98" s="132"/>
      <c r="N98" s="117"/>
      <c r="O98" s="117"/>
    </row>
    <row r="99" spans="1:15">
      <c r="A99" s="74"/>
      <c r="B99" s="117"/>
      <c r="C99" s="118"/>
      <c r="D99" s="118"/>
      <c r="E99" s="119"/>
      <c r="F99" s="118"/>
      <c r="G99" s="118"/>
      <c r="H99" s="118"/>
      <c r="I99" s="118"/>
      <c r="J99" s="118"/>
      <c r="K99" s="118"/>
      <c r="L99" s="117"/>
      <c r="M99" s="132"/>
      <c r="N99" s="117"/>
      <c r="O99" s="117"/>
    </row>
    <row r="100" spans="1:15">
      <c r="A100" s="74"/>
      <c r="B100" s="117"/>
      <c r="C100" s="118"/>
      <c r="D100" s="118"/>
      <c r="E100" s="119"/>
      <c r="F100" s="118"/>
      <c r="G100" s="118"/>
      <c r="H100" s="118"/>
      <c r="I100" s="118"/>
      <c r="J100" s="118"/>
      <c r="K100" s="118"/>
      <c r="L100" s="117"/>
      <c r="M100" s="132"/>
      <c r="N100" s="117"/>
      <c r="O100" s="117"/>
    </row>
    <row r="101" spans="1:15">
      <c r="A101" s="74"/>
      <c r="B101" s="117"/>
      <c r="C101" s="118"/>
      <c r="D101" s="118"/>
      <c r="E101" s="119"/>
      <c r="F101" s="118"/>
      <c r="G101" s="118"/>
      <c r="H101" s="118"/>
      <c r="I101" s="118"/>
      <c r="J101" s="118"/>
      <c r="K101" s="118"/>
      <c r="L101" s="117"/>
      <c r="M101" s="132"/>
      <c r="N101" s="117"/>
      <c r="O101" s="117"/>
    </row>
    <row r="102" spans="1:15">
      <c r="A102" s="74"/>
      <c r="B102" s="117"/>
      <c r="C102" s="118"/>
      <c r="D102" s="118"/>
      <c r="E102" s="119"/>
      <c r="F102" s="118"/>
      <c r="G102" s="118"/>
      <c r="H102" s="118"/>
      <c r="I102" s="118"/>
      <c r="J102" s="118"/>
      <c r="K102" s="118"/>
      <c r="L102" s="117"/>
      <c r="M102" s="132"/>
      <c r="N102" s="117"/>
      <c r="O102" s="117"/>
    </row>
    <row r="103" spans="1:15">
      <c r="A103" s="74"/>
      <c r="B103" s="117"/>
      <c r="C103" s="118"/>
      <c r="D103" s="118"/>
      <c r="E103" s="119"/>
      <c r="F103" s="118"/>
      <c r="G103" s="118"/>
      <c r="H103" s="118"/>
      <c r="I103" s="118"/>
      <c r="J103" s="118"/>
      <c r="K103" s="118"/>
      <c r="L103" s="117"/>
      <c r="M103" s="132"/>
      <c r="N103" s="117"/>
      <c r="O103" s="117"/>
    </row>
    <row r="104" spans="1:15">
      <c r="A104" s="74"/>
      <c r="B104" s="117"/>
      <c r="C104" s="118"/>
      <c r="D104" s="118"/>
      <c r="E104" s="119"/>
      <c r="F104" s="118"/>
      <c r="G104" s="118"/>
      <c r="H104" s="118"/>
      <c r="I104" s="118"/>
      <c r="J104" s="118"/>
      <c r="K104" s="118"/>
      <c r="L104" s="117"/>
      <c r="M104" s="132"/>
      <c r="N104" s="117"/>
      <c r="O104" s="117"/>
    </row>
    <row r="105" spans="1:15">
      <c r="A105" s="74"/>
      <c r="B105" s="117"/>
      <c r="C105" s="118"/>
      <c r="D105" s="118"/>
      <c r="E105" s="119"/>
      <c r="F105" s="118"/>
      <c r="G105" s="118"/>
      <c r="H105" s="118"/>
      <c r="I105" s="118"/>
      <c r="J105" s="118"/>
      <c r="K105" s="118"/>
      <c r="L105" s="117"/>
      <c r="M105" s="132"/>
      <c r="N105" s="117"/>
      <c r="O105" s="117"/>
    </row>
    <row r="106" spans="1:15">
      <c r="A106" s="74"/>
      <c r="B106" s="117"/>
      <c r="C106" s="118"/>
      <c r="D106" s="118"/>
      <c r="E106" s="119"/>
      <c r="F106" s="118"/>
      <c r="G106" s="118"/>
      <c r="H106" s="118"/>
      <c r="I106" s="118"/>
      <c r="J106" s="118"/>
      <c r="K106" s="118"/>
      <c r="L106" s="117"/>
      <c r="M106" s="132"/>
      <c r="N106" s="117"/>
      <c r="O106" s="117"/>
    </row>
    <row r="107" spans="1:15">
      <c r="A107" s="74"/>
      <c r="B107" s="117"/>
      <c r="C107" s="118"/>
      <c r="D107" s="118"/>
      <c r="E107" s="119"/>
      <c r="F107" s="118"/>
      <c r="G107" s="118"/>
      <c r="H107" s="118"/>
      <c r="I107" s="118"/>
      <c r="J107" s="118"/>
      <c r="K107" s="118"/>
      <c r="L107" s="117"/>
      <c r="M107" s="132"/>
      <c r="N107" s="117"/>
      <c r="O107" s="117"/>
    </row>
    <row r="108" spans="1:15">
      <c r="A108" s="74"/>
      <c r="B108" s="117"/>
      <c r="C108" s="118"/>
      <c r="D108" s="118"/>
      <c r="E108" s="119"/>
      <c r="F108" s="118"/>
      <c r="G108" s="118"/>
      <c r="H108" s="118"/>
      <c r="I108" s="118"/>
      <c r="J108" s="118"/>
      <c r="K108" s="118"/>
      <c r="L108" s="117"/>
      <c r="M108" s="132"/>
      <c r="N108" s="117"/>
      <c r="O108" s="117"/>
    </row>
    <row r="109" spans="1:15">
      <c r="A109" s="74"/>
      <c r="B109" s="117"/>
      <c r="C109" s="118"/>
      <c r="D109" s="118"/>
      <c r="E109" s="119"/>
      <c r="F109" s="118"/>
      <c r="G109" s="118"/>
      <c r="H109" s="118"/>
      <c r="I109" s="118"/>
      <c r="J109" s="118"/>
      <c r="K109" s="118"/>
      <c r="L109" s="117"/>
      <c r="M109" s="132"/>
      <c r="N109" s="117"/>
      <c r="O109" s="117"/>
    </row>
    <row r="110" spans="1:15">
      <c r="A110" s="74"/>
      <c r="B110" s="117"/>
      <c r="C110" s="118"/>
      <c r="D110" s="118"/>
      <c r="E110" s="119"/>
      <c r="F110" s="118"/>
      <c r="G110" s="118"/>
      <c r="H110" s="118"/>
      <c r="I110" s="118"/>
      <c r="J110" s="118"/>
      <c r="K110" s="118"/>
      <c r="L110" s="117"/>
      <c r="M110" s="132"/>
      <c r="N110" s="117"/>
      <c r="O110" s="117"/>
    </row>
    <row r="111" spans="1:15">
      <c r="A111" s="74"/>
      <c r="B111" s="117"/>
      <c r="C111" s="118"/>
      <c r="D111" s="118"/>
      <c r="E111" s="119"/>
      <c r="F111" s="118"/>
      <c r="G111" s="118"/>
      <c r="H111" s="118"/>
      <c r="I111" s="118"/>
      <c r="J111" s="118"/>
      <c r="K111" s="118"/>
      <c r="L111" s="117"/>
      <c r="M111" s="132"/>
      <c r="N111" s="117"/>
      <c r="O111" s="117"/>
    </row>
    <row r="112" spans="1:15">
      <c r="A112" s="74"/>
      <c r="B112" s="117"/>
      <c r="C112" s="118"/>
      <c r="D112" s="118"/>
      <c r="E112" s="119"/>
      <c r="F112" s="118"/>
      <c r="G112" s="118"/>
      <c r="H112" s="118"/>
      <c r="I112" s="118"/>
      <c r="J112" s="118"/>
      <c r="K112" s="118"/>
      <c r="L112" s="117"/>
      <c r="M112" s="132"/>
      <c r="N112" s="117"/>
      <c r="O112" s="117"/>
    </row>
    <row r="113" spans="1:15">
      <c r="A113" s="74"/>
      <c r="B113" s="117"/>
      <c r="C113" s="118"/>
      <c r="D113" s="118"/>
      <c r="E113" s="119"/>
      <c r="F113" s="118"/>
      <c r="G113" s="118"/>
      <c r="H113" s="118"/>
      <c r="I113" s="118"/>
      <c r="J113" s="118"/>
      <c r="K113" s="118"/>
      <c r="L113" s="117"/>
      <c r="M113" s="132"/>
      <c r="N113" s="117"/>
      <c r="O113" s="117"/>
    </row>
    <row r="114" spans="1:15">
      <c r="A114" s="74"/>
      <c r="B114" s="117"/>
      <c r="C114" s="118"/>
      <c r="D114" s="118"/>
      <c r="E114" s="119"/>
      <c r="F114" s="118"/>
      <c r="G114" s="118"/>
      <c r="H114" s="118"/>
      <c r="I114" s="118"/>
      <c r="J114" s="118"/>
      <c r="K114" s="118"/>
      <c r="L114" s="117"/>
      <c r="M114" s="132"/>
      <c r="N114" s="117"/>
      <c r="O114" s="117"/>
    </row>
    <row r="115" spans="1:15">
      <c r="A115" s="74"/>
      <c r="B115" s="117"/>
      <c r="C115" s="118"/>
      <c r="D115" s="118"/>
      <c r="E115" s="119"/>
      <c r="F115" s="118"/>
      <c r="G115" s="118"/>
      <c r="H115" s="118"/>
      <c r="I115" s="118"/>
      <c r="J115" s="118"/>
      <c r="K115" s="118"/>
      <c r="L115" s="117"/>
      <c r="M115" s="132"/>
      <c r="N115" s="117"/>
      <c r="O115" s="117"/>
    </row>
    <row r="116" spans="1:15">
      <c r="A116" s="74"/>
      <c r="B116" s="117"/>
      <c r="C116" s="118"/>
      <c r="D116" s="118"/>
      <c r="E116" s="119"/>
      <c r="F116" s="118"/>
      <c r="G116" s="118"/>
      <c r="H116" s="118"/>
      <c r="I116" s="118"/>
      <c r="J116" s="118"/>
      <c r="K116" s="118"/>
      <c r="L116" s="117"/>
      <c r="M116" s="132"/>
      <c r="N116" s="117"/>
      <c r="O116" s="117"/>
    </row>
    <row r="117" spans="1:15">
      <c r="A117" s="74"/>
      <c r="B117" s="117"/>
      <c r="C117" s="118"/>
      <c r="D117" s="118"/>
      <c r="E117" s="119"/>
      <c r="F117" s="118"/>
      <c r="G117" s="118"/>
      <c r="H117" s="118"/>
      <c r="I117" s="118"/>
      <c r="J117" s="118"/>
      <c r="K117" s="118"/>
      <c r="L117" s="117"/>
      <c r="M117" s="132"/>
      <c r="N117" s="117"/>
      <c r="O117" s="117"/>
    </row>
    <row r="118" spans="1:15">
      <c r="A118" s="74"/>
      <c r="B118" s="117"/>
      <c r="C118" s="118"/>
      <c r="D118" s="118"/>
      <c r="E118" s="119"/>
      <c r="F118" s="118"/>
      <c r="G118" s="118"/>
      <c r="H118" s="118"/>
      <c r="I118" s="118"/>
      <c r="J118" s="118"/>
      <c r="K118" s="118"/>
      <c r="L118" s="117"/>
      <c r="M118" s="132"/>
      <c r="N118" s="117"/>
      <c r="O118" s="117"/>
    </row>
    <row r="119" spans="1:15">
      <c r="A119" s="74"/>
      <c r="B119" s="117"/>
      <c r="C119" s="118"/>
      <c r="D119" s="118"/>
      <c r="E119" s="119"/>
      <c r="F119" s="118"/>
      <c r="G119" s="118"/>
      <c r="H119" s="118"/>
      <c r="I119" s="118"/>
      <c r="J119" s="118"/>
      <c r="K119" s="118"/>
      <c r="L119" s="117"/>
      <c r="M119" s="132"/>
      <c r="N119" s="117"/>
      <c r="O119" s="117"/>
    </row>
    <row r="120" spans="1:15">
      <c r="A120" s="74"/>
      <c r="B120" s="117"/>
      <c r="C120" s="118"/>
      <c r="D120" s="118"/>
      <c r="E120" s="119"/>
      <c r="F120" s="118"/>
      <c r="G120" s="118"/>
      <c r="H120" s="118"/>
      <c r="I120" s="118"/>
      <c r="J120" s="118"/>
      <c r="K120" s="118"/>
      <c r="L120" s="117"/>
      <c r="M120" s="132"/>
      <c r="N120" s="117"/>
      <c r="O120" s="117"/>
    </row>
    <row r="121" spans="1:15">
      <c r="A121" s="74"/>
      <c r="B121" s="117"/>
      <c r="C121" s="118"/>
      <c r="D121" s="118"/>
      <c r="E121" s="119"/>
      <c r="F121" s="118"/>
      <c r="G121" s="118"/>
      <c r="H121" s="118"/>
      <c r="I121" s="118"/>
      <c r="J121" s="118"/>
      <c r="K121" s="118"/>
      <c r="L121" s="117"/>
      <c r="M121" s="132"/>
      <c r="N121" s="117"/>
      <c r="O121" s="117"/>
    </row>
    <row r="122" spans="1:15">
      <c r="A122" s="74"/>
      <c r="B122" s="117"/>
      <c r="C122" s="118"/>
      <c r="D122" s="118"/>
      <c r="E122" s="119"/>
      <c r="F122" s="118"/>
      <c r="G122" s="118"/>
      <c r="H122" s="118"/>
      <c r="I122" s="118"/>
      <c r="J122" s="118"/>
      <c r="K122" s="118"/>
      <c r="L122" s="117"/>
      <c r="M122" s="132"/>
      <c r="N122" s="117"/>
      <c r="O122" s="117"/>
    </row>
    <row r="123" spans="1:15">
      <c r="A123" s="74"/>
      <c r="B123" s="117"/>
      <c r="C123" s="118"/>
      <c r="D123" s="118"/>
      <c r="E123" s="119"/>
      <c r="F123" s="118"/>
      <c r="G123" s="118"/>
      <c r="H123" s="118"/>
      <c r="I123" s="118"/>
      <c r="J123" s="118"/>
      <c r="K123" s="118"/>
      <c r="L123" s="117"/>
      <c r="M123" s="132"/>
      <c r="N123" s="117"/>
      <c r="O123" s="117"/>
    </row>
    <row r="124" spans="1:15">
      <c r="A124" s="74"/>
      <c r="B124" s="117"/>
      <c r="C124" s="118"/>
      <c r="D124" s="118"/>
      <c r="E124" s="119"/>
      <c r="F124" s="118"/>
      <c r="G124" s="118"/>
      <c r="H124" s="118"/>
      <c r="I124" s="118"/>
      <c r="J124" s="118"/>
      <c r="K124" s="118"/>
      <c r="L124" s="117"/>
      <c r="M124" s="132"/>
      <c r="N124" s="117"/>
      <c r="O124" s="117"/>
    </row>
    <row r="125" spans="1:15">
      <c r="A125" s="74"/>
      <c r="B125" s="117"/>
      <c r="C125" s="118"/>
      <c r="D125" s="118"/>
      <c r="E125" s="119"/>
      <c r="F125" s="118"/>
      <c r="G125" s="118"/>
      <c r="H125" s="118"/>
      <c r="I125" s="118"/>
      <c r="J125" s="118"/>
      <c r="K125" s="118"/>
      <c r="L125" s="117"/>
      <c r="M125" s="132"/>
      <c r="N125" s="117"/>
      <c r="O125" s="117"/>
    </row>
    <row r="126" spans="1:15">
      <c r="A126" s="74"/>
      <c r="B126" s="117"/>
      <c r="C126" s="118"/>
      <c r="D126" s="118"/>
      <c r="E126" s="119"/>
      <c r="F126" s="118"/>
      <c r="G126" s="118"/>
      <c r="H126" s="118"/>
      <c r="I126" s="118"/>
      <c r="J126" s="118"/>
      <c r="K126" s="118"/>
      <c r="L126" s="117"/>
      <c r="M126" s="132"/>
      <c r="N126" s="117"/>
      <c r="O126" s="117"/>
    </row>
    <row r="127" spans="1:15">
      <c r="A127" s="74"/>
      <c r="B127" s="117"/>
      <c r="C127" s="118"/>
      <c r="D127" s="118"/>
      <c r="E127" s="119"/>
      <c r="F127" s="118"/>
      <c r="G127" s="118"/>
      <c r="H127" s="118"/>
      <c r="I127" s="118"/>
      <c r="J127" s="118"/>
      <c r="K127" s="118"/>
      <c r="L127" s="117"/>
      <c r="M127" s="132"/>
      <c r="N127" s="117"/>
      <c r="O127" s="117"/>
    </row>
    <row r="128" spans="1:15">
      <c r="A128" s="74"/>
      <c r="B128" s="117"/>
      <c r="C128" s="118"/>
      <c r="D128" s="118"/>
      <c r="E128" s="119"/>
      <c r="F128" s="118"/>
      <c r="G128" s="118"/>
      <c r="H128" s="118"/>
      <c r="I128" s="118"/>
      <c r="J128" s="118"/>
      <c r="K128" s="118"/>
      <c r="L128" s="117"/>
      <c r="M128" s="132"/>
      <c r="N128" s="117"/>
      <c r="O128" s="117"/>
    </row>
    <row r="129" spans="1:15">
      <c r="A129" s="74"/>
      <c r="B129" s="117"/>
      <c r="C129" s="118"/>
      <c r="D129" s="118"/>
      <c r="E129" s="119"/>
      <c r="F129" s="118"/>
      <c r="G129" s="118"/>
      <c r="H129" s="118"/>
      <c r="I129" s="118"/>
      <c r="J129" s="118"/>
      <c r="K129" s="118"/>
      <c r="L129" s="117"/>
      <c r="M129" s="132"/>
      <c r="N129" s="117"/>
      <c r="O129" s="117"/>
    </row>
    <row r="130" spans="1:15">
      <c r="A130" s="74"/>
      <c r="B130" s="117"/>
      <c r="C130" s="118"/>
      <c r="D130" s="118"/>
      <c r="E130" s="119"/>
      <c r="F130" s="118"/>
      <c r="G130" s="118"/>
      <c r="H130" s="118"/>
      <c r="I130" s="118"/>
      <c r="J130" s="118"/>
      <c r="K130" s="118"/>
      <c r="L130" s="117"/>
      <c r="M130" s="132"/>
      <c r="N130" s="117"/>
      <c r="O130" s="117"/>
    </row>
    <row r="131" spans="1:15">
      <c r="A131" s="74"/>
      <c r="B131" s="117"/>
      <c r="C131" s="118"/>
      <c r="D131" s="118"/>
      <c r="E131" s="119"/>
      <c r="F131" s="118"/>
      <c r="G131" s="118"/>
      <c r="H131" s="118"/>
      <c r="I131" s="118"/>
      <c r="J131" s="118"/>
      <c r="K131" s="118"/>
      <c r="L131" s="117"/>
      <c r="M131" s="132"/>
      <c r="N131" s="117"/>
      <c r="O131" s="117"/>
    </row>
    <row r="132" spans="1:15">
      <c r="A132" s="74"/>
      <c r="B132" s="117"/>
      <c r="C132" s="118"/>
      <c r="D132" s="118"/>
      <c r="E132" s="119"/>
      <c r="F132" s="118"/>
      <c r="G132" s="118"/>
      <c r="H132" s="118"/>
      <c r="I132" s="118"/>
      <c r="J132" s="118"/>
      <c r="K132" s="118"/>
      <c r="L132" s="117"/>
      <c r="M132" s="132"/>
      <c r="N132" s="117"/>
      <c r="O132" s="117"/>
    </row>
    <row r="133" spans="1:15">
      <c r="A133" s="74"/>
      <c r="B133" s="117"/>
      <c r="C133" s="118"/>
      <c r="D133" s="118"/>
      <c r="E133" s="119"/>
      <c r="F133" s="118"/>
      <c r="G133" s="118"/>
      <c r="H133" s="118"/>
      <c r="I133" s="118"/>
      <c r="J133" s="118"/>
      <c r="K133" s="118"/>
      <c r="L133" s="117"/>
      <c r="M133" s="132"/>
      <c r="N133" s="117"/>
      <c r="O133" s="117"/>
    </row>
    <row r="134" spans="1:15">
      <c r="A134" s="74"/>
      <c r="B134" s="117"/>
      <c r="C134" s="118"/>
      <c r="D134" s="118"/>
      <c r="E134" s="119"/>
      <c r="F134" s="118"/>
      <c r="G134" s="118"/>
      <c r="H134" s="118"/>
      <c r="I134" s="118"/>
      <c r="J134" s="118"/>
      <c r="K134" s="118"/>
      <c r="L134" s="117"/>
      <c r="M134" s="132"/>
      <c r="N134" s="117"/>
      <c r="O134" s="117"/>
    </row>
    <row r="135" spans="1:15">
      <c r="A135" s="74"/>
      <c r="B135" s="117"/>
      <c r="C135" s="118"/>
      <c r="D135" s="118"/>
      <c r="E135" s="119"/>
      <c r="F135" s="118"/>
      <c r="G135" s="118"/>
      <c r="H135" s="118"/>
      <c r="I135" s="118"/>
      <c r="J135" s="118"/>
      <c r="K135" s="118"/>
      <c r="L135" s="117"/>
      <c r="M135" s="132"/>
      <c r="N135" s="117"/>
      <c r="O135" s="117"/>
    </row>
    <row r="136" spans="1:15">
      <c r="A136" s="74"/>
      <c r="B136" s="117"/>
      <c r="C136" s="118"/>
      <c r="D136" s="118"/>
      <c r="E136" s="119"/>
      <c r="F136" s="118"/>
      <c r="G136" s="118"/>
      <c r="H136" s="118"/>
      <c r="I136" s="118"/>
      <c r="J136" s="118"/>
      <c r="K136" s="118"/>
      <c r="L136" s="117"/>
      <c r="M136" s="132"/>
      <c r="N136" s="117"/>
      <c r="O136" s="117"/>
    </row>
    <row r="137" spans="1:15">
      <c r="A137" s="74"/>
      <c r="B137" s="117"/>
      <c r="C137" s="118"/>
      <c r="D137" s="118"/>
      <c r="E137" s="119"/>
      <c r="F137" s="118"/>
      <c r="G137" s="118"/>
      <c r="H137" s="118"/>
      <c r="I137" s="118"/>
      <c r="J137" s="118"/>
      <c r="K137" s="118"/>
      <c r="L137" s="117"/>
      <c r="M137" s="132"/>
      <c r="N137" s="117"/>
      <c r="O137" s="117"/>
    </row>
    <row r="138" spans="1:15">
      <c r="A138" s="74"/>
      <c r="B138" s="117"/>
      <c r="C138" s="118"/>
      <c r="D138" s="118"/>
      <c r="E138" s="119"/>
      <c r="F138" s="118"/>
      <c r="G138" s="118"/>
      <c r="H138" s="118"/>
      <c r="I138" s="118"/>
      <c r="J138" s="118"/>
      <c r="K138" s="118"/>
      <c r="L138" s="117"/>
      <c r="M138" s="132"/>
      <c r="N138" s="117"/>
      <c r="O138" s="117"/>
    </row>
    <row r="139" spans="1:15">
      <c r="A139" s="74"/>
      <c r="B139" s="117"/>
      <c r="C139" s="118"/>
      <c r="D139" s="118"/>
      <c r="E139" s="119"/>
      <c r="F139" s="118"/>
      <c r="G139" s="118"/>
      <c r="H139" s="118"/>
      <c r="I139" s="118"/>
      <c r="J139" s="118"/>
      <c r="K139" s="118"/>
      <c r="L139" s="117"/>
      <c r="M139" s="132"/>
      <c r="N139" s="117"/>
      <c r="O139" s="117"/>
    </row>
    <row r="140" spans="1:15">
      <c r="A140" s="74"/>
      <c r="B140" s="117"/>
      <c r="C140" s="118"/>
      <c r="D140" s="118"/>
      <c r="E140" s="119"/>
      <c r="F140" s="118"/>
      <c r="G140" s="118"/>
      <c r="H140" s="118"/>
      <c r="I140" s="118"/>
      <c r="J140" s="118"/>
      <c r="K140" s="118"/>
      <c r="L140" s="117"/>
      <c r="M140" s="132"/>
      <c r="N140" s="117"/>
      <c r="O140" s="117"/>
    </row>
    <row r="141" spans="1:15">
      <c r="A141" s="74"/>
      <c r="B141" s="117"/>
      <c r="C141" s="118"/>
      <c r="D141" s="118"/>
      <c r="E141" s="119"/>
      <c r="F141" s="118"/>
      <c r="G141" s="118"/>
      <c r="H141" s="118"/>
      <c r="I141" s="118"/>
      <c r="J141" s="118"/>
      <c r="K141" s="118"/>
      <c r="L141" s="117"/>
      <c r="M141" s="132"/>
      <c r="N141" s="117"/>
      <c r="O141" s="117"/>
    </row>
    <row r="142" spans="1:15">
      <c r="A142" s="74"/>
      <c r="B142" s="117"/>
      <c r="C142" s="118"/>
      <c r="D142" s="118"/>
      <c r="E142" s="119"/>
      <c r="F142" s="118"/>
      <c r="G142" s="118"/>
      <c r="H142" s="118"/>
      <c r="I142" s="118"/>
      <c r="J142" s="118"/>
      <c r="K142" s="118"/>
      <c r="L142" s="117"/>
      <c r="M142" s="132"/>
      <c r="N142" s="117"/>
      <c r="O142" s="117"/>
    </row>
    <row r="143" spans="1:15">
      <c r="A143" s="74"/>
      <c r="B143" s="117"/>
      <c r="C143" s="118"/>
      <c r="D143" s="118"/>
      <c r="E143" s="119"/>
      <c r="F143" s="118"/>
      <c r="G143" s="118"/>
      <c r="H143" s="118"/>
      <c r="I143" s="118"/>
      <c r="J143" s="118"/>
      <c r="K143" s="118"/>
      <c r="L143" s="117"/>
      <c r="M143" s="132"/>
      <c r="N143" s="117"/>
      <c r="O143" s="117"/>
    </row>
    <row r="144" spans="1:15">
      <c r="A144" s="74"/>
      <c r="B144" s="117"/>
      <c r="C144" s="118"/>
      <c r="D144" s="118"/>
      <c r="E144" s="119"/>
      <c r="F144" s="118"/>
      <c r="G144" s="118"/>
      <c r="H144" s="118"/>
      <c r="I144" s="118"/>
      <c r="J144" s="118"/>
      <c r="K144" s="118"/>
      <c r="L144" s="117"/>
      <c r="M144" s="132"/>
      <c r="N144" s="117"/>
      <c r="O144" s="117"/>
    </row>
    <row r="145" spans="1:15">
      <c r="A145" s="74"/>
      <c r="B145" s="117"/>
      <c r="C145" s="118"/>
      <c r="D145" s="118"/>
      <c r="E145" s="119"/>
      <c r="F145" s="118"/>
      <c r="G145" s="118"/>
      <c r="H145" s="118"/>
      <c r="I145" s="118"/>
      <c r="J145" s="118"/>
      <c r="K145" s="118"/>
      <c r="L145" s="117"/>
      <c r="M145" s="132"/>
      <c r="N145" s="117"/>
      <c r="O145" s="117"/>
    </row>
    <row r="146" spans="1:15">
      <c r="A146" s="74"/>
      <c r="B146" s="117"/>
      <c r="C146" s="118"/>
      <c r="D146" s="118"/>
      <c r="E146" s="119"/>
      <c r="F146" s="118"/>
      <c r="G146" s="118"/>
      <c r="H146" s="118"/>
      <c r="I146" s="118"/>
      <c r="J146" s="118"/>
      <c r="K146" s="118"/>
      <c r="L146" s="117"/>
      <c r="M146" s="132"/>
      <c r="N146" s="117"/>
      <c r="O146" s="117"/>
    </row>
    <row r="147" spans="1:15">
      <c r="A147" s="74"/>
      <c r="B147" s="117"/>
      <c r="C147" s="118"/>
      <c r="D147" s="118"/>
      <c r="E147" s="119"/>
      <c r="F147" s="118"/>
      <c r="G147" s="118"/>
      <c r="H147" s="118"/>
      <c r="I147" s="118"/>
      <c r="J147" s="118"/>
      <c r="K147" s="118"/>
      <c r="L147" s="117"/>
      <c r="M147" s="132"/>
      <c r="N147" s="117"/>
      <c r="O147" s="117"/>
    </row>
    <row r="148" spans="1:15">
      <c r="A148" s="74"/>
      <c r="B148" s="117"/>
      <c r="C148" s="118"/>
      <c r="D148" s="118"/>
      <c r="E148" s="119"/>
      <c r="F148" s="118"/>
      <c r="G148" s="118"/>
      <c r="H148" s="118"/>
      <c r="I148" s="118"/>
      <c r="J148" s="118"/>
      <c r="K148" s="118"/>
      <c r="L148" s="117"/>
      <c r="M148" s="132"/>
      <c r="N148" s="117"/>
      <c r="O148" s="117"/>
    </row>
    <row r="149" spans="1:15">
      <c r="A149" s="74"/>
      <c r="B149" s="117"/>
      <c r="C149" s="118"/>
      <c r="D149" s="118"/>
      <c r="E149" s="119"/>
      <c r="F149" s="118"/>
      <c r="G149" s="118"/>
      <c r="H149" s="118"/>
      <c r="I149" s="118"/>
      <c r="J149" s="118"/>
      <c r="K149" s="118"/>
      <c r="L149" s="117"/>
      <c r="M149" s="132"/>
      <c r="N149" s="117"/>
      <c r="O149" s="117"/>
    </row>
    <row r="150" spans="1:15">
      <c r="A150" s="74"/>
      <c r="B150" s="117"/>
      <c r="C150" s="118"/>
      <c r="D150" s="118"/>
      <c r="E150" s="119"/>
      <c r="F150" s="118"/>
      <c r="G150" s="118"/>
      <c r="H150" s="118"/>
      <c r="I150" s="118"/>
      <c r="J150" s="118"/>
      <c r="K150" s="118"/>
      <c r="L150" s="117"/>
      <c r="M150" s="132"/>
      <c r="N150" s="117"/>
      <c r="O150" s="117"/>
    </row>
    <row r="151" spans="1:15">
      <c r="A151" s="74"/>
      <c r="B151" s="117"/>
      <c r="C151" s="118"/>
      <c r="D151" s="118"/>
      <c r="E151" s="119"/>
      <c r="F151" s="118"/>
      <c r="G151" s="118"/>
      <c r="H151" s="118"/>
      <c r="I151" s="118"/>
      <c r="J151" s="118"/>
      <c r="K151" s="118"/>
      <c r="L151" s="117"/>
      <c r="M151" s="132"/>
      <c r="N151" s="117"/>
      <c r="O151" s="117"/>
    </row>
    <row r="152" spans="1:15">
      <c r="A152" s="74"/>
      <c r="B152" s="117"/>
      <c r="C152" s="118"/>
      <c r="D152" s="118"/>
      <c r="E152" s="119"/>
      <c r="F152" s="118"/>
      <c r="G152" s="118"/>
      <c r="H152" s="118"/>
      <c r="I152" s="118"/>
      <c r="J152" s="118"/>
      <c r="K152" s="118"/>
      <c r="L152" s="117"/>
      <c r="M152" s="132"/>
      <c r="N152" s="117"/>
      <c r="O152" s="117"/>
    </row>
    <row r="153" spans="1:15">
      <c r="A153" s="74"/>
      <c r="B153" s="117"/>
      <c r="C153" s="118"/>
      <c r="D153" s="118"/>
      <c r="E153" s="119"/>
      <c r="F153" s="118"/>
      <c r="G153" s="118"/>
      <c r="H153" s="118"/>
      <c r="I153" s="118"/>
      <c r="J153" s="118"/>
      <c r="K153" s="118"/>
      <c r="L153" s="117"/>
      <c r="M153" s="132"/>
      <c r="N153" s="117"/>
      <c r="O153" s="117"/>
    </row>
    <row r="154" spans="1:15">
      <c r="A154" s="74"/>
      <c r="B154" s="117"/>
      <c r="C154" s="118"/>
      <c r="D154" s="118"/>
      <c r="E154" s="119"/>
      <c r="F154" s="118"/>
      <c r="G154" s="118"/>
      <c r="H154" s="118"/>
      <c r="I154" s="118"/>
      <c r="J154" s="118"/>
      <c r="K154" s="118"/>
      <c r="L154" s="117"/>
      <c r="M154" s="132"/>
      <c r="N154" s="117"/>
      <c r="O154" s="117"/>
    </row>
    <row r="155" spans="1:15">
      <c r="A155" s="74"/>
      <c r="B155" s="117"/>
      <c r="C155" s="118"/>
      <c r="D155" s="118"/>
      <c r="E155" s="119"/>
      <c r="F155" s="118"/>
      <c r="G155" s="118"/>
      <c r="H155" s="118"/>
      <c r="I155" s="118"/>
      <c r="J155" s="118"/>
      <c r="K155" s="118"/>
      <c r="L155" s="117"/>
      <c r="M155" s="132"/>
      <c r="N155" s="117"/>
      <c r="O155" s="117"/>
    </row>
    <row r="156" spans="1:15">
      <c r="A156" s="74"/>
      <c r="B156" s="117"/>
      <c r="C156" s="118"/>
      <c r="D156" s="118"/>
      <c r="E156" s="119"/>
      <c r="F156" s="118"/>
      <c r="G156" s="118"/>
      <c r="H156" s="118"/>
      <c r="I156" s="118"/>
      <c r="J156" s="118"/>
      <c r="K156" s="118"/>
      <c r="L156" s="117"/>
      <c r="M156" s="132"/>
      <c r="N156" s="117"/>
      <c r="O156" s="117"/>
    </row>
    <row r="157" spans="1:15">
      <c r="A157" s="74"/>
      <c r="B157" s="117"/>
      <c r="C157" s="118"/>
      <c r="D157" s="118"/>
      <c r="E157" s="119"/>
      <c r="F157" s="118"/>
      <c r="G157" s="118"/>
      <c r="H157" s="118"/>
      <c r="I157" s="118"/>
      <c r="J157" s="118"/>
      <c r="K157" s="118"/>
      <c r="L157" s="117"/>
      <c r="M157" s="132"/>
      <c r="N157" s="117"/>
      <c r="O157" s="117"/>
    </row>
    <row r="158" spans="1:15">
      <c r="A158" s="74"/>
      <c r="B158" s="117"/>
      <c r="C158" s="118"/>
      <c r="D158" s="118"/>
      <c r="E158" s="119"/>
      <c r="F158" s="118"/>
      <c r="G158" s="118"/>
      <c r="H158" s="118"/>
      <c r="I158" s="118"/>
      <c r="J158" s="118"/>
      <c r="K158" s="118"/>
      <c r="L158" s="117"/>
      <c r="M158" s="132"/>
      <c r="N158" s="117"/>
      <c r="O158" s="117"/>
    </row>
    <row r="159" spans="1:15">
      <c r="A159" s="74"/>
      <c r="B159" s="117"/>
      <c r="C159" s="118"/>
      <c r="D159" s="118"/>
      <c r="E159" s="119"/>
      <c r="F159" s="118"/>
      <c r="G159" s="118"/>
      <c r="H159" s="118"/>
      <c r="I159" s="118"/>
      <c r="J159" s="118"/>
      <c r="K159" s="118"/>
      <c r="L159" s="117"/>
      <c r="M159" s="132"/>
      <c r="N159" s="117"/>
      <c r="O159" s="117"/>
    </row>
    <row r="160" spans="1:15">
      <c r="A160" s="74"/>
      <c r="B160" s="117"/>
      <c r="C160" s="118"/>
      <c r="D160" s="118"/>
      <c r="E160" s="119"/>
      <c r="F160" s="118"/>
      <c r="G160" s="118"/>
      <c r="H160" s="118"/>
      <c r="I160" s="118"/>
      <c r="J160" s="118"/>
      <c r="K160" s="118"/>
      <c r="L160" s="117"/>
      <c r="M160" s="132"/>
      <c r="N160" s="117"/>
      <c r="O160" s="117"/>
    </row>
    <row r="161" spans="1:15">
      <c r="A161" s="74"/>
      <c r="B161" s="117"/>
      <c r="C161" s="118"/>
      <c r="D161" s="118"/>
      <c r="E161" s="119"/>
      <c r="F161" s="118"/>
      <c r="G161" s="118"/>
      <c r="H161" s="118"/>
      <c r="I161" s="118"/>
      <c r="J161" s="118"/>
      <c r="K161" s="118"/>
      <c r="L161" s="117"/>
      <c r="M161" s="132"/>
      <c r="N161" s="117"/>
      <c r="O161" s="117"/>
    </row>
    <row r="162" spans="1:15">
      <c r="A162" s="74"/>
      <c r="B162" s="117"/>
      <c r="C162" s="118"/>
      <c r="D162" s="118"/>
      <c r="E162" s="119"/>
      <c r="F162" s="118"/>
      <c r="G162" s="118"/>
      <c r="H162" s="118"/>
      <c r="I162" s="118"/>
      <c r="J162" s="118"/>
      <c r="K162" s="118"/>
      <c r="L162" s="117"/>
      <c r="M162" s="132"/>
      <c r="N162" s="117"/>
      <c r="O162" s="117"/>
    </row>
    <row r="163" spans="1:15">
      <c r="A163" s="74"/>
      <c r="B163" s="117"/>
      <c r="C163" s="118"/>
      <c r="D163" s="118"/>
      <c r="E163" s="119"/>
      <c r="F163" s="118"/>
      <c r="G163" s="118"/>
      <c r="H163" s="118"/>
      <c r="I163" s="118"/>
      <c r="J163" s="118"/>
      <c r="K163" s="118"/>
      <c r="L163" s="117"/>
      <c r="M163" s="132"/>
      <c r="N163" s="117"/>
      <c r="O163" s="117"/>
    </row>
    <row r="164" spans="1:15" ht="15.6" customHeight="1">
      <c r="A164" s="74"/>
      <c r="B164" s="117"/>
      <c r="C164" s="118"/>
      <c r="D164" s="118"/>
      <c r="E164" s="119"/>
      <c r="F164" s="118"/>
      <c r="G164" s="118"/>
      <c r="H164" s="118"/>
      <c r="I164" s="118"/>
      <c r="J164" s="118"/>
      <c r="K164" s="118"/>
      <c r="L164" s="117"/>
      <c r="M164" s="132"/>
      <c r="N164" s="117"/>
      <c r="O164" s="117"/>
    </row>
    <row r="165" spans="1:15" ht="15.6" customHeight="1">
      <c r="A165" s="74"/>
      <c r="B165" s="117"/>
      <c r="C165" s="118"/>
      <c r="D165" s="118"/>
      <c r="E165" s="119"/>
      <c r="F165" s="118"/>
      <c r="G165" s="118"/>
      <c r="H165" s="118"/>
      <c r="I165" s="118"/>
      <c r="J165" s="118"/>
      <c r="K165" s="118"/>
      <c r="L165" s="117"/>
      <c r="M165" s="132"/>
      <c r="N165" s="117"/>
      <c r="O165" s="117"/>
    </row>
    <row r="166" spans="1:15" ht="15.6" customHeight="1">
      <c r="A166" s="74"/>
      <c r="B166" s="117"/>
      <c r="C166" s="118"/>
      <c r="D166" s="118"/>
      <c r="E166" s="119"/>
      <c r="F166" s="118"/>
      <c r="G166" s="118"/>
      <c r="H166" s="118"/>
      <c r="I166" s="118"/>
      <c r="J166" s="118"/>
      <c r="K166" s="118"/>
      <c r="L166" s="117"/>
      <c r="M166" s="132"/>
      <c r="N166" s="117"/>
      <c r="O166" s="117"/>
    </row>
    <row r="167" spans="1:15" ht="15.6" customHeight="1">
      <c r="A167" s="74"/>
      <c r="B167" s="117"/>
      <c r="C167" s="118"/>
      <c r="D167" s="118"/>
      <c r="E167" s="119"/>
      <c r="F167" s="118"/>
      <c r="G167" s="118"/>
      <c r="H167" s="118"/>
      <c r="I167" s="118"/>
      <c r="J167" s="118"/>
      <c r="K167" s="118"/>
      <c r="L167" s="117"/>
      <c r="M167" s="132"/>
      <c r="N167" s="117"/>
      <c r="O167" s="117"/>
    </row>
    <row r="168" spans="1:15" ht="15.6" customHeight="1">
      <c r="A168" s="74"/>
      <c r="B168" s="117"/>
      <c r="C168" s="118"/>
      <c r="D168" s="118"/>
      <c r="E168" s="119"/>
      <c r="F168" s="118"/>
      <c r="G168" s="118"/>
      <c r="H168" s="118"/>
      <c r="I168" s="118"/>
      <c r="J168" s="118"/>
      <c r="K168" s="118"/>
      <c r="L168" s="117"/>
      <c r="M168" s="132"/>
      <c r="N168" s="117"/>
      <c r="O168" s="117"/>
    </row>
    <row r="169" spans="1:15" ht="15.6" customHeight="1">
      <c r="A169" s="74"/>
      <c r="B169" s="117"/>
      <c r="C169" s="118"/>
      <c r="D169" s="118"/>
      <c r="E169" s="119"/>
      <c r="F169" s="118"/>
      <c r="G169" s="118"/>
      <c r="H169" s="118"/>
      <c r="I169" s="118"/>
      <c r="J169" s="118"/>
      <c r="K169" s="118"/>
      <c r="L169" s="117"/>
      <c r="M169" s="132"/>
      <c r="N169" s="117"/>
      <c r="O169" s="117"/>
    </row>
    <row r="170" spans="1:15" ht="15.6" customHeight="1">
      <c r="A170" s="74"/>
      <c r="B170" s="117"/>
      <c r="C170" s="118"/>
      <c r="D170" s="118"/>
      <c r="E170" s="119"/>
      <c r="F170" s="118"/>
      <c r="G170" s="118"/>
      <c r="H170" s="118"/>
      <c r="I170" s="118"/>
      <c r="J170" s="118"/>
      <c r="K170" s="118"/>
      <c r="L170" s="117"/>
      <c r="M170" s="132"/>
      <c r="N170" s="117"/>
      <c r="O170" s="117"/>
    </row>
    <row r="171" spans="1:15" ht="15.6" customHeight="1">
      <c r="A171" s="74"/>
      <c r="B171" s="117"/>
      <c r="C171" s="118"/>
      <c r="D171" s="118"/>
      <c r="E171" s="119"/>
      <c r="F171" s="118"/>
      <c r="G171" s="118"/>
      <c r="H171" s="118"/>
      <c r="I171" s="118"/>
      <c r="J171" s="118"/>
      <c r="K171" s="118"/>
      <c r="L171" s="117"/>
      <c r="M171" s="132"/>
      <c r="N171" s="117"/>
      <c r="O171" s="117"/>
    </row>
    <row r="172" spans="1:15" ht="15.6" customHeight="1">
      <c r="A172" s="74"/>
      <c r="B172" s="117"/>
      <c r="C172" s="118"/>
      <c r="D172" s="118"/>
      <c r="E172" s="119"/>
      <c r="F172" s="118"/>
      <c r="G172" s="118"/>
      <c r="H172" s="118"/>
      <c r="I172" s="118"/>
      <c r="J172" s="118"/>
      <c r="K172" s="118"/>
      <c r="L172" s="117"/>
      <c r="M172" s="132"/>
      <c r="N172" s="117"/>
      <c r="O172" s="117"/>
    </row>
    <row r="173" spans="1:15" ht="15.6" customHeight="1">
      <c r="A173" s="74"/>
      <c r="B173" s="117"/>
      <c r="C173" s="118"/>
      <c r="D173" s="118"/>
      <c r="E173" s="119"/>
      <c r="F173" s="118"/>
      <c r="G173" s="118"/>
      <c r="H173" s="118"/>
      <c r="I173" s="118"/>
      <c r="J173" s="118"/>
      <c r="K173" s="118"/>
      <c r="L173" s="117"/>
      <c r="M173" s="132"/>
      <c r="N173" s="117"/>
      <c r="O173" s="117"/>
    </row>
    <row r="174" spans="1:15" ht="15.6" customHeight="1">
      <c r="A174" s="74"/>
      <c r="B174" s="117"/>
      <c r="C174" s="118"/>
      <c r="D174" s="118"/>
      <c r="E174" s="119"/>
      <c r="F174" s="118"/>
      <c r="G174" s="118"/>
      <c r="H174" s="118"/>
      <c r="I174" s="118"/>
      <c r="J174" s="118"/>
      <c r="K174" s="118"/>
      <c r="L174" s="117"/>
      <c r="M174" s="132"/>
      <c r="N174" s="117"/>
      <c r="O174" s="117"/>
    </row>
    <row r="175" spans="1:15" ht="15.6" customHeight="1">
      <c r="A175" s="74"/>
      <c r="B175" s="117"/>
      <c r="C175" s="118"/>
      <c r="D175" s="118"/>
      <c r="E175" s="119"/>
      <c r="F175" s="118"/>
      <c r="G175" s="118"/>
      <c r="H175" s="118"/>
      <c r="I175" s="118"/>
      <c r="J175" s="118"/>
      <c r="K175" s="118"/>
      <c r="L175" s="117"/>
      <c r="M175" s="132"/>
      <c r="N175" s="117"/>
      <c r="O175" s="117"/>
    </row>
    <row r="176" spans="1:15" ht="15.6" customHeight="1">
      <c r="A176" s="74"/>
      <c r="B176" s="117"/>
      <c r="C176" s="118"/>
      <c r="D176" s="118"/>
      <c r="E176" s="119"/>
      <c r="F176" s="118"/>
      <c r="G176" s="118"/>
      <c r="H176" s="118"/>
      <c r="I176" s="118"/>
      <c r="J176" s="118"/>
      <c r="K176" s="118"/>
      <c r="L176" s="117"/>
      <c r="M176" s="132"/>
      <c r="N176" s="117"/>
      <c r="O176" s="117"/>
    </row>
    <row r="177" spans="1:15" ht="15.6" customHeight="1">
      <c r="A177" s="74"/>
      <c r="B177" s="117"/>
      <c r="C177" s="118"/>
      <c r="D177" s="118"/>
      <c r="E177" s="119"/>
      <c r="F177" s="118"/>
      <c r="G177" s="118"/>
      <c r="H177" s="118"/>
      <c r="I177" s="118"/>
      <c r="J177" s="118"/>
      <c r="K177" s="118"/>
      <c r="L177" s="117"/>
      <c r="M177" s="132"/>
      <c r="N177" s="117"/>
      <c r="O177" s="117"/>
    </row>
    <row r="178" spans="1:15" ht="15.6" customHeight="1">
      <c r="A178" s="74"/>
      <c r="B178" s="117"/>
      <c r="C178" s="118"/>
      <c r="D178" s="118"/>
      <c r="E178" s="119"/>
      <c r="F178" s="118"/>
      <c r="G178" s="118"/>
      <c r="H178" s="118"/>
      <c r="I178" s="118"/>
      <c r="J178" s="118"/>
      <c r="K178" s="118"/>
      <c r="L178" s="117"/>
      <c r="M178" s="132"/>
      <c r="N178" s="117"/>
      <c r="O178" s="117"/>
    </row>
    <row r="179" spans="1:15" ht="15.6" customHeight="1">
      <c r="A179" s="74"/>
      <c r="B179" s="117"/>
      <c r="C179" s="118"/>
      <c r="D179" s="118"/>
      <c r="E179" s="119"/>
      <c r="F179" s="118"/>
      <c r="G179" s="118"/>
      <c r="H179" s="118"/>
      <c r="I179" s="118"/>
      <c r="J179" s="118"/>
      <c r="K179" s="118"/>
      <c r="L179" s="117"/>
      <c r="M179" s="132"/>
      <c r="N179" s="117"/>
      <c r="O179" s="117"/>
    </row>
    <row r="180" spans="1:15" ht="15.6" customHeight="1">
      <c r="A180" s="74"/>
      <c r="B180" s="117"/>
      <c r="C180" s="118"/>
      <c r="D180" s="118"/>
      <c r="E180" s="119"/>
      <c r="F180" s="118"/>
      <c r="G180" s="118"/>
      <c r="H180" s="118"/>
      <c r="I180" s="118"/>
      <c r="J180" s="118"/>
      <c r="K180" s="118"/>
      <c r="L180" s="117"/>
      <c r="M180" s="132"/>
      <c r="N180" s="117"/>
      <c r="O180" s="117"/>
    </row>
    <row r="181" spans="1:15" ht="15.6" customHeight="1">
      <c r="A181" s="74"/>
      <c r="B181" s="117"/>
      <c r="C181" s="118"/>
      <c r="D181" s="118"/>
      <c r="E181" s="119"/>
      <c r="F181" s="118"/>
      <c r="G181" s="118"/>
      <c r="H181" s="118"/>
      <c r="I181" s="118"/>
      <c r="J181" s="118"/>
      <c r="K181" s="118"/>
      <c r="L181" s="117"/>
      <c r="M181" s="132"/>
      <c r="N181" s="117"/>
      <c r="O181" s="117"/>
    </row>
    <row r="182" spans="1:15" ht="15.6" customHeight="1">
      <c r="A182" s="74"/>
      <c r="B182" s="117"/>
      <c r="C182" s="118"/>
      <c r="D182" s="118"/>
      <c r="E182" s="119"/>
      <c r="F182" s="118"/>
      <c r="G182" s="118"/>
      <c r="H182" s="118"/>
      <c r="I182" s="118"/>
      <c r="J182" s="118"/>
      <c r="K182" s="118"/>
      <c r="L182" s="117"/>
      <c r="M182" s="132"/>
      <c r="N182" s="117"/>
      <c r="O182" s="117"/>
    </row>
    <row r="183" spans="1:15" ht="15.6" customHeight="1">
      <c r="A183" s="74"/>
      <c r="B183" s="117"/>
      <c r="C183" s="118"/>
      <c r="D183" s="118"/>
      <c r="E183" s="119"/>
      <c r="F183" s="118"/>
      <c r="G183" s="118"/>
      <c r="H183" s="118"/>
      <c r="I183" s="118"/>
      <c r="J183" s="118"/>
      <c r="K183" s="118"/>
      <c r="L183" s="117"/>
      <c r="M183" s="132"/>
      <c r="N183" s="117"/>
      <c r="O183" s="117"/>
    </row>
    <row r="184" spans="1:15" ht="15.6" customHeight="1">
      <c r="A184" s="74"/>
      <c r="B184" s="117"/>
      <c r="C184" s="118"/>
      <c r="D184" s="118"/>
      <c r="E184" s="119"/>
      <c r="F184" s="118"/>
      <c r="G184" s="118"/>
      <c r="H184" s="118"/>
      <c r="I184" s="118"/>
      <c r="J184" s="118"/>
      <c r="K184" s="118"/>
      <c r="L184" s="117"/>
      <c r="M184" s="132"/>
      <c r="N184" s="117"/>
      <c r="O184" s="117"/>
    </row>
    <row r="185" spans="1:15" ht="15.6" customHeight="1">
      <c r="A185" s="74"/>
      <c r="B185" s="117"/>
      <c r="C185" s="118"/>
      <c r="D185" s="118"/>
      <c r="E185" s="119"/>
      <c r="F185" s="118"/>
      <c r="G185" s="118"/>
      <c r="H185" s="118"/>
      <c r="I185" s="118"/>
      <c r="J185" s="118"/>
      <c r="K185" s="118"/>
      <c r="L185" s="117"/>
      <c r="M185" s="132"/>
      <c r="N185" s="117"/>
      <c r="O185" s="117"/>
    </row>
    <row r="186" spans="1:15" ht="15.6" customHeight="1">
      <c r="A186" s="74"/>
      <c r="B186" s="117"/>
      <c r="C186" s="118"/>
      <c r="D186" s="118"/>
      <c r="E186" s="119"/>
      <c r="F186" s="118"/>
      <c r="G186" s="118"/>
      <c r="H186" s="118"/>
      <c r="I186" s="118"/>
      <c r="J186" s="118"/>
      <c r="K186" s="118"/>
      <c r="L186" s="117"/>
      <c r="M186" s="132"/>
      <c r="N186" s="117"/>
      <c r="O186" s="117"/>
    </row>
    <row r="187" spans="1:15" ht="15.6" customHeight="1">
      <c r="A187" s="74"/>
      <c r="B187" s="117"/>
      <c r="C187" s="118"/>
      <c r="D187" s="118"/>
      <c r="E187" s="119"/>
      <c r="F187" s="118"/>
      <c r="G187" s="118"/>
      <c r="H187" s="118"/>
      <c r="I187" s="118"/>
      <c r="J187" s="118"/>
      <c r="K187" s="118"/>
      <c r="L187" s="117"/>
      <c r="M187" s="132"/>
      <c r="N187" s="117"/>
      <c r="O187" s="117"/>
    </row>
    <row r="188" spans="1:15" ht="15.6" customHeight="1">
      <c r="A188" s="74"/>
      <c r="B188" s="117"/>
      <c r="C188" s="118"/>
      <c r="D188" s="118"/>
      <c r="E188" s="119"/>
      <c r="F188" s="118"/>
      <c r="G188" s="118"/>
      <c r="H188" s="118"/>
      <c r="I188" s="118"/>
      <c r="J188" s="118"/>
      <c r="K188" s="118"/>
      <c r="L188" s="117"/>
      <c r="M188" s="132"/>
      <c r="N188" s="117"/>
      <c r="O188" s="117"/>
    </row>
    <row r="189" spans="1:15" ht="15.6" customHeight="1">
      <c r="A189" s="74"/>
      <c r="B189" s="117"/>
      <c r="C189" s="118"/>
      <c r="D189" s="118"/>
      <c r="E189" s="119"/>
      <c r="F189" s="118"/>
      <c r="G189" s="118"/>
      <c r="H189" s="118"/>
      <c r="I189" s="118"/>
      <c r="J189" s="118"/>
      <c r="K189" s="118"/>
      <c r="L189" s="117"/>
      <c r="M189" s="132"/>
      <c r="N189" s="117"/>
      <c r="O189" s="117"/>
    </row>
    <row r="190" spans="1:15" ht="15.6" customHeight="1">
      <c r="A190" s="74"/>
      <c r="B190" s="117"/>
      <c r="C190" s="118"/>
      <c r="D190" s="118"/>
      <c r="E190" s="119"/>
      <c r="F190" s="118"/>
      <c r="G190" s="118"/>
      <c r="H190" s="118"/>
      <c r="I190" s="118"/>
      <c r="J190" s="118"/>
      <c r="K190" s="118"/>
      <c r="L190" s="117"/>
      <c r="M190" s="132"/>
      <c r="N190" s="117"/>
      <c r="O190" s="117"/>
    </row>
    <row r="191" spans="1:15" ht="15.6" customHeight="1">
      <c r="A191" s="74"/>
      <c r="B191" s="117"/>
      <c r="C191" s="118"/>
      <c r="D191" s="118"/>
      <c r="E191" s="119"/>
      <c r="F191" s="118"/>
      <c r="G191" s="118"/>
      <c r="H191" s="118"/>
      <c r="I191" s="118"/>
      <c r="J191" s="118"/>
      <c r="K191" s="118"/>
      <c r="L191" s="117"/>
      <c r="M191" s="132"/>
      <c r="N191" s="117"/>
      <c r="O191" s="117"/>
    </row>
    <row r="192" spans="1:15" ht="15.6" customHeight="1">
      <c r="A192" s="74"/>
      <c r="B192" s="117"/>
      <c r="C192" s="118"/>
      <c r="D192" s="118"/>
      <c r="E192" s="119"/>
      <c r="F192" s="118"/>
      <c r="G192" s="118"/>
      <c r="H192" s="118"/>
      <c r="I192" s="118"/>
      <c r="J192" s="118"/>
      <c r="K192" s="118"/>
      <c r="L192" s="117"/>
      <c r="M192" s="132"/>
      <c r="N192" s="117"/>
      <c r="O192" s="117"/>
    </row>
    <row r="193" spans="1:15" ht="15.6" customHeight="1">
      <c r="A193" s="74"/>
      <c r="B193" s="117"/>
      <c r="C193" s="118"/>
      <c r="D193" s="118"/>
      <c r="E193" s="119"/>
      <c r="F193" s="118"/>
      <c r="G193" s="118"/>
      <c r="H193" s="118"/>
      <c r="I193" s="118"/>
      <c r="J193" s="118"/>
      <c r="K193" s="118"/>
      <c r="L193" s="117"/>
      <c r="M193" s="132"/>
      <c r="N193" s="117"/>
      <c r="O193" s="117"/>
    </row>
    <row r="194" spans="1:15" ht="15.6" customHeight="1">
      <c r="A194" s="74"/>
      <c r="B194" s="117"/>
      <c r="C194" s="118"/>
      <c r="D194" s="118"/>
      <c r="E194" s="119"/>
      <c r="F194" s="118"/>
      <c r="G194" s="118"/>
      <c r="H194" s="118"/>
      <c r="I194" s="118"/>
      <c r="J194" s="118"/>
      <c r="K194" s="118"/>
      <c r="L194" s="117"/>
      <c r="M194" s="132"/>
      <c r="N194" s="117"/>
      <c r="O194" s="117"/>
    </row>
    <row r="195" spans="1:15">
      <c r="A195" s="74"/>
      <c r="B195" s="117"/>
      <c r="C195" s="118"/>
      <c r="D195" s="118"/>
      <c r="E195" s="119"/>
      <c r="F195" s="118"/>
      <c r="G195" s="118"/>
      <c r="H195" s="118"/>
      <c r="I195" s="118"/>
      <c r="J195" s="118"/>
      <c r="K195" s="118"/>
      <c r="L195" s="117"/>
      <c r="M195" s="132"/>
      <c r="N195" s="117"/>
      <c r="O195" s="117"/>
    </row>
    <row r="196" spans="1:15">
      <c r="A196" s="74"/>
      <c r="B196" s="117"/>
      <c r="C196" s="118"/>
      <c r="D196" s="118"/>
      <c r="E196" s="119"/>
      <c r="F196" s="118"/>
      <c r="G196" s="118"/>
      <c r="H196" s="118"/>
      <c r="I196" s="118"/>
      <c r="J196" s="118"/>
      <c r="K196" s="118"/>
      <c r="L196" s="117"/>
      <c r="M196" s="132"/>
      <c r="N196" s="117"/>
      <c r="O196" s="117"/>
    </row>
    <row r="197" spans="1:15">
      <c r="A197" s="74"/>
      <c r="B197" s="117"/>
      <c r="C197" s="118"/>
      <c r="D197" s="118"/>
      <c r="E197" s="119"/>
      <c r="F197" s="118"/>
      <c r="G197" s="118"/>
      <c r="H197" s="118"/>
      <c r="I197" s="118"/>
      <c r="J197" s="118"/>
      <c r="K197" s="118"/>
      <c r="L197" s="117"/>
      <c r="M197" s="132"/>
      <c r="N197" s="117"/>
      <c r="O197" s="117"/>
    </row>
    <row r="198" spans="1:15">
      <c r="A198" s="74"/>
      <c r="B198" s="117"/>
      <c r="C198" s="118"/>
      <c r="D198" s="118"/>
      <c r="E198" s="119"/>
      <c r="F198" s="118"/>
      <c r="G198" s="118"/>
      <c r="H198" s="118"/>
      <c r="I198" s="118"/>
      <c r="J198" s="118"/>
      <c r="K198" s="118"/>
      <c r="L198" s="117"/>
      <c r="M198" s="132"/>
      <c r="N198" s="117"/>
      <c r="O198" s="117"/>
    </row>
    <row r="199" spans="1:15">
      <c r="A199" s="74"/>
      <c r="B199" s="117"/>
      <c r="C199" s="118"/>
      <c r="D199" s="118"/>
      <c r="E199" s="119"/>
      <c r="F199" s="118"/>
      <c r="G199" s="118"/>
      <c r="H199" s="118"/>
      <c r="I199" s="118"/>
      <c r="J199" s="118"/>
      <c r="K199" s="118"/>
      <c r="L199" s="117"/>
      <c r="M199" s="132"/>
      <c r="N199" s="117"/>
      <c r="O199" s="117"/>
    </row>
    <row r="200" spans="1:15">
      <c r="A200" s="74"/>
      <c r="B200" s="117"/>
      <c r="C200" s="118"/>
      <c r="D200" s="118"/>
      <c r="E200" s="119"/>
      <c r="F200" s="118"/>
      <c r="G200" s="118"/>
      <c r="H200" s="118"/>
      <c r="I200" s="118"/>
      <c r="J200" s="118"/>
      <c r="K200" s="118"/>
      <c r="L200" s="117"/>
      <c r="M200" s="132"/>
      <c r="N200" s="117"/>
      <c r="O200" s="117"/>
    </row>
    <row r="201" spans="1:15">
      <c r="A201" s="74"/>
      <c r="B201" s="117"/>
      <c r="C201" s="118"/>
      <c r="D201" s="118"/>
      <c r="E201" s="119"/>
      <c r="F201" s="118"/>
      <c r="G201" s="118"/>
      <c r="H201" s="118"/>
      <c r="I201" s="118"/>
      <c r="J201" s="118"/>
      <c r="K201" s="118"/>
      <c r="L201" s="117"/>
      <c r="M201" s="132"/>
      <c r="N201" s="117"/>
      <c r="O201" s="117"/>
    </row>
    <row r="202" spans="1:15">
      <c r="A202" s="74"/>
      <c r="B202" s="117"/>
      <c r="C202" s="118"/>
      <c r="D202" s="118"/>
      <c r="E202" s="119"/>
      <c r="F202" s="118"/>
      <c r="G202" s="118"/>
      <c r="H202" s="118"/>
      <c r="I202" s="118"/>
      <c r="J202" s="118"/>
      <c r="K202" s="118"/>
      <c r="L202" s="117"/>
      <c r="M202" s="132"/>
      <c r="N202" s="117"/>
      <c r="O202" s="117"/>
    </row>
    <row r="203" spans="1:15">
      <c r="A203" s="74"/>
      <c r="B203" s="117"/>
      <c r="C203" s="118"/>
      <c r="D203" s="118"/>
      <c r="E203" s="119"/>
      <c r="F203" s="118"/>
      <c r="G203" s="118"/>
      <c r="H203" s="118"/>
      <c r="I203" s="118"/>
      <c r="J203" s="118"/>
      <c r="K203" s="118"/>
      <c r="L203" s="117"/>
      <c r="M203" s="132"/>
      <c r="N203" s="117"/>
      <c r="O203" s="117"/>
    </row>
    <row r="204" spans="1:15">
      <c r="A204" s="74"/>
      <c r="B204" s="117"/>
      <c r="C204" s="118"/>
      <c r="D204" s="118"/>
      <c r="E204" s="119"/>
      <c r="F204" s="118"/>
      <c r="G204" s="118"/>
      <c r="H204" s="118"/>
      <c r="I204" s="118"/>
      <c r="J204" s="118"/>
      <c r="K204" s="118"/>
      <c r="L204" s="117"/>
      <c r="M204" s="132"/>
      <c r="N204" s="117"/>
      <c r="O204" s="117"/>
    </row>
    <row r="205" spans="1:15">
      <c r="A205" s="74"/>
      <c r="B205" s="117"/>
      <c r="C205" s="118"/>
      <c r="D205" s="118"/>
      <c r="E205" s="119"/>
      <c r="F205" s="118"/>
      <c r="G205" s="118"/>
      <c r="H205" s="118"/>
      <c r="I205" s="118"/>
      <c r="J205" s="118"/>
      <c r="K205" s="118"/>
      <c r="L205" s="117"/>
      <c r="M205" s="132"/>
      <c r="N205" s="117"/>
      <c r="O205" s="117"/>
    </row>
    <row r="206" spans="1:15">
      <c r="A206" s="74"/>
      <c r="B206" s="117"/>
      <c r="C206" s="118"/>
      <c r="D206" s="118"/>
      <c r="E206" s="119"/>
      <c r="F206" s="118"/>
      <c r="G206" s="118"/>
      <c r="H206" s="118"/>
      <c r="I206" s="118"/>
      <c r="J206" s="118"/>
      <c r="K206" s="118"/>
      <c r="L206" s="117"/>
      <c r="M206" s="132"/>
      <c r="N206" s="117"/>
      <c r="O206" s="117"/>
    </row>
    <row r="207" spans="1:15">
      <c r="A207" s="74"/>
      <c r="B207" s="117"/>
      <c r="C207" s="118"/>
      <c r="D207" s="118"/>
      <c r="E207" s="119"/>
      <c r="F207" s="118"/>
      <c r="G207" s="118"/>
      <c r="H207" s="118"/>
      <c r="I207" s="118"/>
      <c r="J207" s="118"/>
      <c r="K207" s="118"/>
      <c r="L207" s="117"/>
      <c r="M207" s="132"/>
      <c r="N207" s="117"/>
      <c r="O207" s="117"/>
    </row>
    <row r="208" spans="1:15">
      <c r="A208" s="74"/>
      <c r="B208" s="117"/>
      <c r="C208" s="118"/>
      <c r="D208" s="118"/>
      <c r="E208" s="119"/>
      <c r="F208" s="118"/>
      <c r="G208" s="118"/>
      <c r="H208" s="118"/>
      <c r="I208" s="118"/>
      <c r="J208" s="118"/>
      <c r="K208" s="118"/>
      <c r="L208" s="117"/>
      <c r="M208" s="132"/>
      <c r="N208" s="117"/>
      <c r="O208" s="117"/>
    </row>
    <row r="209" spans="1:15">
      <c r="A209" s="74"/>
      <c r="B209" s="117"/>
      <c r="C209" s="118"/>
      <c r="D209" s="118"/>
      <c r="E209" s="119"/>
      <c r="F209" s="118"/>
      <c r="G209" s="118"/>
      <c r="H209" s="118"/>
      <c r="I209" s="118"/>
      <c r="J209" s="118"/>
      <c r="K209" s="118"/>
      <c r="L209" s="117"/>
      <c r="M209" s="132"/>
      <c r="N209" s="117"/>
      <c r="O209" s="117"/>
    </row>
    <row r="210" spans="1:15">
      <c r="A210" s="74"/>
      <c r="B210" s="117"/>
      <c r="C210" s="118"/>
      <c r="D210" s="118"/>
      <c r="E210" s="119"/>
      <c r="F210" s="118"/>
      <c r="G210" s="118"/>
      <c r="H210" s="118"/>
      <c r="I210" s="118"/>
      <c r="J210" s="118"/>
      <c r="K210" s="118"/>
      <c r="L210" s="117"/>
      <c r="M210" s="132"/>
      <c r="N210" s="117"/>
      <c r="O210" s="117"/>
    </row>
    <row r="211" spans="1:15">
      <c r="A211" s="74"/>
      <c r="B211" s="117"/>
      <c r="C211" s="118"/>
      <c r="D211" s="118"/>
      <c r="E211" s="119"/>
      <c r="F211" s="118"/>
      <c r="G211" s="118"/>
      <c r="H211" s="118"/>
      <c r="I211" s="118"/>
      <c r="J211" s="118"/>
      <c r="K211" s="118"/>
      <c r="L211" s="117"/>
      <c r="M211" s="132"/>
      <c r="N211" s="117"/>
      <c r="O211" s="117"/>
    </row>
    <row r="212" spans="1:15">
      <c r="A212" s="74"/>
      <c r="B212" s="117"/>
      <c r="C212" s="118"/>
      <c r="D212" s="118"/>
      <c r="E212" s="119"/>
      <c r="F212" s="118"/>
      <c r="G212" s="118"/>
      <c r="H212" s="118"/>
      <c r="I212" s="118"/>
      <c r="J212" s="118"/>
      <c r="K212" s="118"/>
      <c r="L212" s="117"/>
      <c r="M212" s="132"/>
      <c r="N212" s="117"/>
      <c r="O212" s="117"/>
    </row>
    <row r="213" spans="1:15">
      <c r="A213" s="74"/>
      <c r="B213" s="117"/>
      <c r="C213" s="118"/>
      <c r="D213" s="118"/>
      <c r="E213" s="119"/>
      <c r="F213" s="118"/>
      <c r="G213" s="118"/>
      <c r="H213" s="118"/>
      <c r="I213" s="118"/>
      <c r="J213" s="118"/>
      <c r="K213" s="118"/>
      <c r="L213" s="117"/>
      <c r="M213" s="132"/>
      <c r="N213" s="117"/>
      <c r="O213" s="117"/>
    </row>
    <row r="214" spans="1:15">
      <c r="A214" s="74"/>
      <c r="B214" s="117"/>
      <c r="C214" s="118"/>
      <c r="D214" s="118"/>
      <c r="E214" s="119"/>
      <c r="F214" s="118"/>
      <c r="G214" s="118"/>
      <c r="H214" s="118"/>
      <c r="I214" s="118"/>
      <c r="J214" s="118"/>
      <c r="K214" s="118"/>
      <c r="L214" s="117"/>
      <c r="M214" s="132"/>
      <c r="N214" s="117"/>
      <c r="O214" s="117"/>
    </row>
    <row r="215" spans="1:15">
      <c r="A215" s="74"/>
      <c r="B215" s="117"/>
      <c r="C215" s="118"/>
      <c r="D215" s="118"/>
      <c r="E215" s="119"/>
      <c r="F215" s="118"/>
      <c r="G215" s="118"/>
      <c r="H215" s="118"/>
      <c r="I215" s="118"/>
      <c r="J215" s="118"/>
      <c r="K215" s="118"/>
      <c r="L215" s="117"/>
      <c r="M215" s="132"/>
      <c r="N215" s="117"/>
      <c r="O215" s="117"/>
    </row>
    <row r="216" spans="1:15">
      <c r="A216" s="74"/>
      <c r="B216" s="117"/>
      <c r="C216" s="118"/>
      <c r="D216" s="118"/>
      <c r="E216" s="119"/>
      <c r="F216" s="118"/>
      <c r="G216" s="118"/>
      <c r="H216" s="118"/>
      <c r="I216" s="118"/>
      <c r="J216" s="118"/>
      <c r="K216" s="118"/>
      <c r="L216" s="117"/>
      <c r="M216" s="132"/>
      <c r="N216" s="117"/>
      <c r="O216" s="117"/>
    </row>
    <row r="217" spans="1:15">
      <c r="A217" s="74"/>
      <c r="B217" s="117"/>
      <c r="C217" s="118"/>
      <c r="D217" s="118"/>
      <c r="E217" s="119"/>
      <c r="F217" s="118"/>
      <c r="G217" s="118"/>
      <c r="H217" s="118"/>
      <c r="I217" s="118"/>
      <c r="J217" s="118"/>
      <c r="K217" s="118"/>
      <c r="L217" s="117"/>
      <c r="M217" s="132"/>
      <c r="N217" s="117"/>
      <c r="O217" s="117"/>
    </row>
    <row r="218" spans="1:15">
      <c r="A218" s="74"/>
      <c r="B218" s="117"/>
      <c r="C218" s="118"/>
      <c r="D218" s="118"/>
      <c r="E218" s="119"/>
      <c r="F218" s="118"/>
      <c r="G218" s="118"/>
      <c r="H218" s="118"/>
      <c r="I218" s="118"/>
      <c r="J218" s="118"/>
      <c r="K218" s="118"/>
      <c r="L218" s="117"/>
      <c r="M218" s="132"/>
      <c r="N218" s="117"/>
      <c r="O218" s="117"/>
    </row>
    <row r="219" spans="1:15">
      <c r="A219" s="74"/>
      <c r="B219" s="117"/>
      <c r="C219" s="118"/>
      <c r="D219" s="118"/>
      <c r="E219" s="119"/>
      <c r="F219" s="118"/>
      <c r="G219" s="118"/>
      <c r="H219" s="118"/>
      <c r="I219" s="118"/>
      <c r="J219" s="118"/>
      <c r="K219" s="118"/>
      <c r="L219" s="117"/>
      <c r="M219" s="132"/>
      <c r="N219" s="117"/>
      <c r="O219" s="117"/>
    </row>
    <row r="220" spans="1:15">
      <c r="A220" s="74"/>
      <c r="B220" s="117"/>
      <c r="C220" s="118"/>
      <c r="D220" s="118"/>
      <c r="E220" s="119"/>
      <c r="F220" s="118"/>
      <c r="G220" s="118"/>
      <c r="H220" s="118"/>
      <c r="I220" s="118"/>
      <c r="J220" s="118"/>
      <c r="K220" s="118"/>
      <c r="L220" s="117"/>
      <c r="M220" s="132"/>
      <c r="N220" s="117"/>
      <c r="O220" s="117"/>
    </row>
    <row r="221" spans="1:15">
      <c r="A221" s="74"/>
      <c r="B221" s="117"/>
      <c r="C221" s="118"/>
      <c r="D221" s="118"/>
      <c r="E221" s="119"/>
      <c r="F221" s="118"/>
      <c r="G221" s="118"/>
      <c r="H221" s="118"/>
      <c r="I221" s="118"/>
      <c r="J221" s="118"/>
      <c r="K221" s="118"/>
      <c r="L221" s="117"/>
      <c r="M221" s="132"/>
      <c r="N221" s="117"/>
      <c r="O221" s="117"/>
    </row>
    <row r="222" spans="1:15">
      <c r="A222" s="74"/>
      <c r="B222" s="117"/>
      <c r="C222" s="118"/>
      <c r="D222" s="118"/>
      <c r="E222" s="119"/>
      <c r="F222" s="118"/>
      <c r="G222" s="118"/>
      <c r="H222" s="118"/>
      <c r="I222" s="118"/>
      <c r="J222" s="118"/>
      <c r="K222" s="118"/>
      <c r="L222" s="117"/>
      <c r="M222" s="132"/>
      <c r="N222" s="117"/>
      <c r="O222" s="117"/>
    </row>
    <row r="223" spans="1:15">
      <c r="A223" s="74"/>
      <c r="B223" s="117"/>
      <c r="C223" s="118"/>
      <c r="D223" s="118"/>
      <c r="E223" s="119"/>
      <c r="F223" s="118"/>
      <c r="G223" s="118"/>
      <c r="H223" s="118"/>
      <c r="I223" s="118"/>
      <c r="J223" s="118"/>
      <c r="K223" s="118"/>
      <c r="L223" s="117"/>
      <c r="M223" s="132"/>
      <c r="N223" s="117"/>
      <c r="O223" s="117"/>
    </row>
    <row r="224" spans="1:15">
      <c r="A224" s="74"/>
      <c r="B224" s="117"/>
      <c r="C224" s="118"/>
      <c r="D224" s="118"/>
      <c r="E224" s="119"/>
      <c r="F224" s="118"/>
      <c r="G224" s="118"/>
      <c r="H224" s="118"/>
      <c r="I224" s="118"/>
      <c r="J224" s="118"/>
      <c r="K224" s="118"/>
      <c r="L224" s="117"/>
      <c r="M224" s="132"/>
      <c r="N224" s="117"/>
      <c r="O224" s="117"/>
    </row>
    <row r="225" spans="1:15">
      <c r="A225" s="74"/>
      <c r="B225" s="117"/>
      <c r="C225" s="118"/>
      <c r="D225" s="118"/>
      <c r="E225" s="119"/>
      <c r="F225" s="118"/>
      <c r="G225" s="118"/>
      <c r="H225" s="118"/>
      <c r="I225" s="118"/>
      <c r="J225" s="118"/>
      <c r="K225" s="118"/>
      <c r="L225" s="117"/>
      <c r="M225" s="132"/>
      <c r="N225" s="117"/>
      <c r="O225" s="117"/>
    </row>
    <row r="226" spans="1:15">
      <c r="A226" s="74"/>
      <c r="B226" s="117"/>
      <c r="C226" s="118"/>
      <c r="D226" s="118"/>
      <c r="E226" s="119"/>
      <c r="F226" s="118"/>
      <c r="G226" s="118"/>
      <c r="H226" s="118"/>
      <c r="I226" s="118"/>
      <c r="J226" s="118"/>
      <c r="K226" s="118"/>
      <c r="L226" s="117"/>
      <c r="M226" s="132"/>
      <c r="N226" s="117"/>
      <c r="O226" s="117"/>
    </row>
    <row r="227" spans="1:15">
      <c r="A227" s="74"/>
      <c r="B227" s="117"/>
      <c r="C227" s="118"/>
      <c r="D227" s="118"/>
      <c r="E227" s="119"/>
      <c r="F227" s="118"/>
      <c r="G227" s="118"/>
      <c r="H227" s="118"/>
      <c r="I227" s="118"/>
      <c r="J227" s="118"/>
      <c r="K227" s="118"/>
      <c r="L227" s="117"/>
      <c r="M227" s="132"/>
      <c r="N227" s="117"/>
      <c r="O227" s="117"/>
    </row>
    <row r="228" spans="1:15">
      <c r="A228" s="74"/>
      <c r="B228" s="117"/>
      <c r="C228" s="118"/>
      <c r="D228" s="118"/>
      <c r="E228" s="119"/>
      <c r="F228" s="118"/>
      <c r="G228" s="118"/>
      <c r="H228" s="118"/>
      <c r="I228" s="118"/>
      <c r="J228" s="118"/>
      <c r="K228" s="118"/>
      <c r="L228" s="117"/>
      <c r="M228" s="132"/>
      <c r="N228" s="117"/>
      <c r="O228" s="117"/>
    </row>
    <row r="229" spans="1:15">
      <c r="A229" s="74"/>
      <c r="B229" s="117"/>
      <c r="C229" s="118"/>
      <c r="D229" s="118"/>
      <c r="E229" s="119"/>
      <c r="F229" s="118"/>
      <c r="G229" s="118"/>
      <c r="H229" s="118"/>
      <c r="I229" s="118"/>
      <c r="J229" s="118"/>
      <c r="K229" s="118"/>
      <c r="L229" s="117"/>
      <c r="M229" s="132"/>
      <c r="N229" s="117"/>
      <c r="O229" s="117"/>
    </row>
    <row r="230" spans="1:15">
      <c r="A230" s="74"/>
      <c r="B230" s="117"/>
      <c r="C230" s="118"/>
      <c r="D230" s="118"/>
      <c r="E230" s="119"/>
      <c r="F230" s="118"/>
      <c r="G230" s="118"/>
      <c r="H230" s="118"/>
      <c r="I230" s="118"/>
      <c r="J230" s="118"/>
      <c r="K230" s="118"/>
      <c r="L230" s="117"/>
      <c r="M230" s="132"/>
      <c r="N230" s="117"/>
      <c r="O230" s="117"/>
    </row>
    <row r="231" spans="1:15">
      <c r="A231" s="74"/>
      <c r="B231" s="117"/>
      <c r="C231" s="118"/>
      <c r="D231" s="118"/>
      <c r="E231" s="119"/>
      <c r="F231" s="118"/>
      <c r="G231" s="118"/>
      <c r="H231" s="118"/>
      <c r="I231" s="118"/>
      <c r="J231" s="118"/>
      <c r="K231" s="118"/>
      <c r="L231" s="117"/>
      <c r="M231" s="132"/>
      <c r="N231" s="117"/>
      <c r="O231" s="117"/>
    </row>
    <row r="232" spans="1:15">
      <c r="A232" s="74"/>
      <c r="B232" s="117"/>
      <c r="C232" s="118"/>
      <c r="D232" s="118"/>
      <c r="E232" s="119"/>
      <c r="F232" s="118"/>
      <c r="G232" s="118"/>
      <c r="H232" s="118"/>
      <c r="I232" s="118"/>
      <c r="J232" s="118"/>
      <c r="K232" s="118"/>
      <c r="L232" s="117"/>
      <c r="M232" s="132"/>
      <c r="N232" s="117"/>
      <c r="O232" s="117"/>
    </row>
    <row r="233" spans="1:15">
      <c r="A233" s="74"/>
      <c r="B233" s="117"/>
      <c r="C233" s="118"/>
      <c r="D233" s="118"/>
      <c r="E233" s="119"/>
      <c r="F233" s="118"/>
      <c r="G233" s="118"/>
      <c r="H233" s="118"/>
      <c r="I233" s="118"/>
      <c r="J233" s="118"/>
      <c r="K233" s="118"/>
      <c r="L233" s="117"/>
      <c r="M233" s="132"/>
      <c r="N233" s="117"/>
      <c r="O233" s="117"/>
    </row>
    <row r="234" spans="1:15">
      <c r="A234" s="74"/>
      <c r="B234" s="117"/>
      <c r="C234" s="118"/>
      <c r="D234" s="118"/>
      <c r="E234" s="119"/>
      <c r="F234" s="118"/>
      <c r="G234" s="118"/>
      <c r="H234" s="118"/>
      <c r="I234" s="118"/>
      <c r="J234" s="118"/>
      <c r="K234" s="118"/>
      <c r="L234" s="117"/>
      <c r="M234" s="132"/>
      <c r="N234" s="117"/>
      <c r="O234" s="117"/>
    </row>
    <row r="235" spans="1:15">
      <c r="A235" s="74"/>
      <c r="B235" s="117"/>
      <c r="C235" s="118"/>
      <c r="D235" s="118"/>
      <c r="E235" s="119"/>
      <c r="F235" s="118"/>
      <c r="G235" s="118"/>
      <c r="H235" s="118"/>
      <c r="I235" s="118"/>
      <c r="J235" s="118"/>
      <c r="K235" s="118"/>
      <c r="L235" s="117"/>
      <c r="M235" s="132"/>
      <c r="N235" s="117"/>
      <c r="O235" s="117"/>
    </row>
    <row r="236" spans="1:15">
      <c r="A236" s="74"/>
      <c r="B236" s="117"/>
      <c r="C236" s="118"/>
      <c r="D236" s="118"/>
      <c r="E236" s="119"/>
      <c r="F236" s="118"/>
      <c r="G236" s="118"/>
      <c r="H236" s="118"/>
      <c r="I236" s="118"/>
      <c r="J236" s="118"/>
      <c r="K236" s="118"/>
      <c r="L236" s="117"/>
      <c r="M236" s="132"/>
      <c r="N236" s="117"/>
      <c r="O236" s="117"/>
    </row>
    <row r="237" spans="1:15">
      <c r="A237" s="74"/>
      <c r="B237" s="117"/>
      <c r="C237" s="118"/>
      <c r="D237" s="118"/>
      <c r="E237" s="119"/>
      <c r="F237" s="118"/>
      <c r="G237" s="118"/>
      <c r="H237" s="118"/>
      <c r="I237" s="118"/>
      <c r="J237" s="118"/>
      <c r="K237" s="118"/>
      <c r="L237" s="117"/>
      <c r="M237" s="132"/>
      <c r="N237" s="117"/>
      <c r="O237" s="117"/>
    </row>
    <row r="238" spans="1:15">
      <c r="A238" s="74"/>
      <c r="B238" s="117"/>
      <c r="C238" s="118"/>
      <c r="D238" s="118"/>
      <c r="E238" s="119"/>
      <c r="F238" s="118"/>
      <c r="G238" s="118"/>
      <c r="H238" s="118"/>
      <c r="I238" s="118"/>
      <c r="J238" s="118"/>
      <c r="K238" s="118"/>
      <c r="L238" s="117"/>
      <c r="M238" s="132"/>
      <c r="N238" s="117"/>
      <c r="O238" s="117"/>
    </row>
    <row r="239" spans="1:15">
      <c r="A239" s="74"/>
      <c r="B239" s="117"/>
      <c r="C239" s="118"/>
      <c r="D239" s="118"/>
      <c r="E239" s="119"/>
      <c r="F239" s="118"/>
      <c r="G239" s="118"/>
      <c r="H239" s="118"/>
      <c r="I239" s="118"/>
      <c r="J239" s="118"/>
      <c r="K239" s="118"/>
      <c r="L239" s="117"/>
      <c r="M239" s="132"/>
      <c r="N239" s="117"/>
      <c r="O239" s="117"/>
    </row>
    <row r="240" spans="1:15">
      <c r="A240" s="74"/>
      <c r="B240" s="117"/>
      <c r="C240" s="118"/>
      <c r="D240" s="118"/>
      <c r="E240" s="119"/>
      <c r="F240" s="118"/>
      <c r="G240" s="118"/>
      <c r="H240" s="118"/>
      <c r="I240" s="118"/>
      <c r="J240" s="118"/>
      <c r="K240" s="118"/>
      <c r="L240" s="117"/>
      <c r="M240" s="132"/>
      <c r="N240" s="117"/>
      <c r="O240" s="117"/>
    </row>
    <row r="241" spans="1:15">
      <c r="A241" s="74"/>
      <c r="B241" s="117"/>
      <c r="C241" s="118"/>
      <c r="D241" s="118"/>
      <c r="E241" s="119"/>
      <c r="F241" s="118"/>
      <c r="G241" s="118"/>
      <c r="H241" s="118"/>
      <c r="I241" s="118"/>
      <c r="J241" s="118"/>
      <c r="K241" s="118"/>
      <c r="L241" s="117"/>
      <c r="M241" s="132"/>
      <c r="N241" s="117"/>
      <c r="O241" s="117"/>
    </row>
    <row r="242" spans="1:15">
      <c r="A242" s="74"/>
      <c r="B242" s="117"/>
      <c r="C242" s="118"/>
      <c r="D242" s="118"/>
      <c r="E242" s="119"/>
      <c r="F242" s="118"/>
      <c r="G242" s="118"/>
      <c r="H242" s="118"/>
      <c r="I242" s="118"/>
      <c r="J242" s="118"/>
      <c r="K242" s="118"/>
      <c r="L242" s="117"/>
      <c r="M242" s="132"/>
      <c r="N242" s="117"/>
      <c r="O242" s="117"/>
    </row>
    <row r="243" spans="1:15">
      <c r="A243" s="74"/>
      <c r="B243" s="117"/>
      <c r="C243" s="118"/>
      <c r="D243" s="118"/>
      <c r="E243" s="119"/>
      <c r="F243" s="118"/>
      <c r="G243" s="118"/>
      <c r="H243" s="118"/>
      <c r="I243" s="118"/>
      <c r="J243" s="118"/>
      <c r="K243" s="118"/>
      <c r="L243" s="117"/>
      <c r="M243" s="132"/>
      <c r="N243" s="117"/>
      <c r="O243" s="117"/>
    </row>
    <row r="244" spans="1:15">
      <c r="A244" s="74"/>
      <c r="B244" s="117"/>
      <c r="C244" s="118"/>
      <c r="D244" s="118"/>
      <c r="E244" s="119"/>
      <c r="F244" s="118"/>
      <c r="G244" s="118"/>
      <c r="H244" s="118"/>
      <c r="I244" s="118"/>
      <c r="J244" s="118"/>
      <c r="K244" s="118"/>
      <c r="L244" s="117"/>
      <c r="M244" s="132"/>
      <c r="N244" s="117"/>
      <c r="O244" s="117"/>
    </row>
    <row r="245" spans="1:15">
      <c r="A245" s="74"/>
      <c r="B245" s="117"/>
      <c r="C245" s="118"/>
      <c r="D245" s="118"/>
      <c r="E245" s="119"/>
      <c r="F245" s="118"/>
      <c r="G245" s="118"/>
      <c r="H245" s="118"/>
      <c r="I245" s="118"/>
      <c r="J245" s="118"/>
      <c r="K245" s="118"/>
      <c r="L245" s="117"/>
      <c r="M245" s="132"/>
      <c r="N245" s="117"/>
      <c r="O245" s="117"/>
    </row>
    <row r="246" spans="1:15">
      <c r="A246" s="74"/>
      <c r="B246" s="117"/>
      <c r="C246" s="118"/>
      <c r="D246" s="118"/>
      <c r="E246" s="119"/>
      <c r="F246" s="118"/>
      <c r="G246" s="118"/>
      <c r="H246" s="118"/>
      <c r="I246" s="118"/>
      <c r="J246" s="118"/>
      <c r="K246" s="118"/>
      <c r="L246" s="117"/>
      <c r="M246" s="132"/>
      <c r="N246" s="117"/>
      <c r="O246" s="117"/>
    </row>
    <row r="247" spans="1:15">
      <c r="A247" s="74"/>
      <c r="B247" s="117"/>
      <c r="C247" s="118"/>
      <c r="D247" s="118"/>
      <c r="E247" s="119"/>
      <c r="F247" s="118"/>
      <c r="G247" s="118"/>
      <c r="H247" s="118"/>
      <c r="I247" s="118"/>
      <c r="J247" s="118"/>
      <c r="K247" s="118"/>
      <c r="L247" s="117"/>
      <c r="M247" s="132"/>
      <c r="N247" s="117"/>
      <c r="O247" s="117"/>
    </row>
    <row r="248" spans="1:15">
      <c r="A248" s="74"/>
      <c r="B248" s="117"/>
      <c r="C248" s="118"/>
      <c r="D248" s="118"/>
      <c r="E248" s="119"/>
      <c r="F248" s="118"/>
      <c r="G248" s="118"/>
      <c r="H248" s="118"/>
      <c r="I248" s="118"/>
      <c r="J248" s="118"/>
      <c r="K248" s="118"/>
      <c r="L248" s="117"/>
      <c r="M248" s="132"/>
      <c r="N248" s="117"/>
      <c r="O248" s="117"/>
    </row>
    <row r="249" spans="1:15">
      <c r="A249" s="74"/>
      <c r="B249" s="117"/>
      <c r="C249" s="118"/>
      <c r="D249" s="118"/>
      <c r="E249" s="119"/>
      <c r="F249" s="118"/>
      <c r="G249" s="118"/>
      <c r="H249" s="118"/>
      <c r="I249" s="118"/>
      <c r="J249" s="118"/>
      <c r="K249" s="118"/>
      <c r="L249" s="117"/>
      <c r="M249" s="132"/>
      <c r="N249" s="117"/>
      <c r="O249" s="117"/>
    </row>
    <row r="250" spans="1:15">
      <c r="A250" s="74"/>
      <c r="B250" s="117"/>
      <c r="C250" s="118"/>
      <c r="D250" s="118"/>
      <c r="E250" s="119"/>
      <c r="F250" s="118"/>
      <c r="G250" s="118"/>
      <c r="H250" s="118"/>
      <c r="I250" s="118"/>
      <c r="J250" s="118"/>
      <c r="K250" s="118"/>
      <c r="L250" s="117"/>
      <c r="M250" s="132"/>
      <c r="N250" s="117"/>
      <c r="O250" s="117"/>
    </row>
    <row r="251" spans="1:15">
      <c r="A251" s="74"/>
      <c r="B251" s="117"/>
      <c r="C251" s="118"/>
      <c r="D251" s="118"/>
      <c r="E251" s="119"/>
      <c r="F251" s="118"/>
      <c r="G251" s="118"/>
      <c r="H251" s="118"/>
      <c r="I251" s="118"/>
      <c r="J251" s="118"/>
      <c r="K251" s="118"/>
      <c r="L251" s="117"/>
      <c r="M251" s="132"/>
      <c r="N251" s="117"/>
      <c r="O251" s="117"/>
    </row>
    <row r="252" spans="1:15">
      <c r="A252" s="74"/>
      <c r="B252" s="117"/>
      <c r="C252" s="118"/>
      <c r="D252" s="118"/>
      <c r="E252" s="119"/>
      <c r="F252" s="118"/>
      <c r="G252" s="118"/>
      <c r="H252" s="118"/>
      <c r="I252" s="118"/>
      <c r="J252" s="118"/>
      <c r="K252" s="118"/>
      <c r="L252" s="117"/>
      <c r="M252" s="132"/>
      <c r="N252" s="117"/>
      <c r="O252" s="117"/>
    </row>
    <row r="253" spans="1:15">
      <c r="A253" s="74"/>
      <c r="B253" s="117"/>
      <c r="C253" s="118"/>
      <c r="D253" s="118"/>
      <c r="E253" s="119"/>
      <c r="F253" s="118"/>
      <c r="G253" s="118"/>
      <c r="H253" s="118"/>
      <c r="I253" s="118"/>
      <c r="J253" s="118"/>
      <c r="K253" s="118"/>
      <c r="L253" s="117"/>
      <c r="M253" s="132"/>
      <c r="N253" s="117"/>
      <c r="O253" s="117"/>
    </row>
    <row r="254" spans="1:15">
      <c r="A254" s="74"/>
      <c r="B254" s="117"/>
      <c r="C254" s="118"/>
      <c r="D254" s="118"/>
      <c r="E254" s="119"/>
      <c r="F254" s="118"/>
      <c r="G254" s="118"/>
      <c r="H254" s="118"/>
      <c r="I254" s="118"/>
      <c r="J254" s="118"/>
      <c r="K254" s="118"/>
      <c r="L254" s="117"/>
      <c r="M254" s="132"/>
      <c r="N254" s="117"/>
      <c r="O254" s="117"/>
    </row>
    <row r="255" spans="1:15">
      <c r="A255" s="74"/>
      <c r="B255" s="117"/>
      <c r="C255" s="118"/>
      <c r="D255" s="118"/>
      <c r="E255" s="119"/>
      <c r="F255" s="118"/>
      <c r="G255" s="118"/>
      <c r="H255" s="118"/>
      <c r="I255" s="118"/>
      <c r="J255" s="118"/>
      <c r="K255" s="118"/>
      <c r="L255" s="117"/>
      <c r="M255" s="132"/>
      <c r="N255" s="117"/>
      <c r="O255" s="117"/>
    </row>
    <row r="256" spans="1:15">
      <c r="A256" s="74"/>
      <c r="B256" s="117"/>
      <c r="C256" s="118"/>
      <c r="D256" s="118"/>
      <c r="E256" s="119"/>
      <c r="F256" s="118"/>
      <c r="G256" s="118"/>
      <c r="H256" s="118"/>
      <c r="I256" s="118"/>
      <c r="J256" s="118"/>
      <c r="K256" s="118"/>
      <c r="L256" s="117"/>
      <c r="M256" s="132"/>
      <c r="N256" s="117"/>
      <c r="O256" s="117"/>
    </row>
    <row r="257" spans="1:15">
      <c r="A257" s="74"/>
      <c r="B257" s="117"/>
      <c r="C257" s="118"/>
      <c r="D257" s="118"/>
      <c r="E257" s="119"/>
      <c r="F257" s="118"/>
      <c r="G257" s="118"/>
      <c r="H257" s="118"/>
      <c r="I257" s="118"/>
      <c r="J257" s="118"/>
      <c r="K257" s="118"/>
      <c r="L257" s="117"/>
      <c r="M257" s="132"/>
      <c r="N257" s="117"/>
      <c r="O257" s="117"/>
    </row>
    <row r="258" spans="1:15">
      <c r="A258" s="74"/>
      <c r="B258" s="117"/>
      <c r="C258" s="118"/>
      <c r="D258" s="118"/>
      <c r="E258" s="119"/>
      <c r="F258" s="118"/>
      <c r="G258" s="118"/>
      <c r="H258" s="118"/>
      <c r="I258" s="118"/>
      <c r="J258" s="118"/>
      <c r="K258" s="118"/>
      <c r="L258" s="117"/>
      <c r="M258" s="132"/>
      <c r="N258" s="117"/>
      <c r="O258" s="117"/>
    </row>
    <row r="259" spans="1:15">
      <c r="A259" s="74"/>
      <c r="B259" s="117"/>
      <c r="C259" s="118"/>
      <c r="D259" s="118"/>
      <c r="E259" s="119"/>
      <c r="F259" s="118"/>
      <c r="G259" s="118"/>
      <c r="H259" s="118"/>
      <c r="I259" s="118"/>
      <c r="J259" s="118"/>
      <c r="K259" s="118"/>
      <c r="L259" s="117"/>
      <c r="M259" s="132"/>
      <c r="N259" s="117"/>
      <c r="O259" s="117"/>
    </row>
    <row r="260" spans="1:15">
      <c r="A260" s="74"/>
      <c r="B260" s="117"/>
      <c r="C260" s="118"/>
      <c r="D260" s="118"/>
      <c r="E260" s="119"/>
      <c r="F260" s="118"/>
      <c r="G260" s="118"/>
      <c r="H260" s="118"/>
      <c r="I260" s="118"/>
      <c r="J260" s="118"/>
      <c r="K260" s="118"/>
      <c r="L260" s="117"/>
      <c r="M260" s="132"/>
      <c r="N260" s="117"/>
      <c r="O260" s="117"/>
    </row>
    <row r="261" spans="1:15">
      <c r="A261" s="74"/>
      <c r="B261" s="117"/>
      <c r="C261" s="118"/>
      <c r="D261" s="118"/>
      <c r="E261" s="119"/>
      <c r="F261" s="118"/>
      <c r="G261" s="118"/>
      <c r="H261" s="118"/>
      <c r="I261" s="118"/>
      <c r="J261" s="118"/>
      <c r="K261" s="118"/>
      <c r="L261" s="117"/>
      <c r="M261" s="132"/>
      <c r="N261" s="117"/>
      <c r="O261" s="117"/>
    </row>
    <row r="262" spans="1:15">
      <c r="A262" s="74"/>
      <c r="B262" s="117"/>
      <c r="C262" s="118"/>
      <c r="D262" s="118"/>
      <c r="E262" s="119"/>
      <c r="F262" s="118"/>
      <c r="G262" s="118"/>
      <c r="H262" s="118"/>
      <c r="I262" s="118"/>
      <c r="J262" s="118"/>
      <c r="K262" s="118"/>
      <c r="L262" s="117"/>
      <c r="M262" s="132"/>
      <c r="N262" s="117"/>
      <c r="O262" s="117"/>
    </row>
    <row r="263" spans="1:15">
      <c r="A263" s="74"/>
      <c r="B263" s="117"/>
      <c r="C263" s="118"/>
      <c r="D263" s="118"/>
      <c r="E263" s="119"/>
      <c r="F263" s="118"/>
      <c r="G263" s="118"/>
      <c r="H263" s="118"/>
      <c r="I263" s="118"/>
      <c r="J263" s="118"/>
      <c r="K263" s="118"/>
      <c r="L263" s="117"/>
      <c r="M263" s="132"/>
      <c r="N263" s="117"/>
      <c r="O263" s="117"/>
    </row>
    <row r="264" spans="1:15">
      <c r="A264" s="74"/>
      <c r="B264" s="117"/>
      <c r="C264" s="118"/>
      <c r="D264" s="118"/>
      <c r="E264" s="119"/>
      <c r="F264" s="118"/>
      <c r="G264" s="118"/>
      <c r="H264" s="118"/>
      <c r="I264" s="118"/>
      <c r="J264" s="118"/>
      <c r="K264" s="118"/>
      <c r="L264" s="117"/>
      <c r="M264" s="132"/>
      <c r="N264" s="117"/>
      <c r="O264" s="117"/>
    </row>
    <row r="265" spans="1:15">
      <c r="A265" s="74"/>
      <c r="B265" s="117"/>
      <c r="C265" s="118"/>
      <c r="D265" s="118"/>
      <c r="E265" s="119"/>
      <c r="F265" s="118"/>
      <c r="G265" s="118"/>
      <c r="H265" s="118"/>
      <c r="I265" s="118"/>
      <c r="J265" s="118"/>
      <c r="K265" s="118"/>
      <c r="L265" s="117"/>
      <c r="M265" s="132"/>
      <c r="N265" s="117"/>
      <c r="O265" s="117"/>
    </row>
    <row r="266" spans="1:15">
      <c r="A266" s="74"/>
      <c r="B266" s="117"/>
      <c r="C266" s="118"/>
      <c r="D266" s="118"/>
      <c r="E266" s="119"/>
      <c r="F266" s="118"/>
      <c r="G266" s="118"/>
      <c r="H266" s="118"/>
      <c r="I266" s="118"/>
      <c r="J266" s="118"/>
      <c r="K266" s="118"/>
      <c r="L266" s="117"/>
      <c r="M266" s="132"/>
      <c r="N266" s="117"/>
      <c r="O266" s="117"/>
    </row>
    <row r="267" spans="1:15">
      <c r="A267" s="74"/>
      <c r="B267" s="117"/>
      <c r="C267" s="118"/>
      <c r="D267" s="118"/>
      <c r="E267" s="119"/>
      <c r="F267" s="118"/>
      <c r="G267" s="118"/>
      <c r="H267" s="118"/>
      <c r="I267" s="118"/>
      <c r="J267" s="118"/>
      <c r="K267" s="118"/>
      <c r="L267" s="117"/>
      <c r="M267" s="132"/>
      <c r="N267" s="117"/>
      <c r="O267" s="117"/>
    </row>
    <row r="268" spans="1:15">
      <c r="A268" s="74"/>
      <c r="B268" s="117"/>
      <c r="C268" s="118"/>
      <c r="D268" s="118"/>
      <c r="E268" s="119"/>
      <c r="F268" s="118"/>
      <c r="G268" s="118"/>
      <c r="H268" s="118"/>
      <c r="I268" s="118"/>
      <c r="J268" s="118"/>
      <c r="K268" s="118"/>
      <c r="L268" s="117"/>
      <c r="M268" s="132"/>
      <c r="N268" s="117"/>
      <c r="O268" s="117"/>
    </row>
    <row r="269" spans="1:15">
      <c r="A269" s="74"/>
      <c r="B269" s="117"/>
      <c r="C269" s="118"/>
      <c r="D269" s="118"/>
      <c r="E269" s="119"/>
      <c r="F269" s="118"/>
      <c r="G269" s="118"/>
      <c r="H269" s="118"/>
      <c r="I269" s="118"/>
      <c r="J269" s="118"/>
      <c r="K269" s="118"/>
      <c r="L269" s="117"/>
      <c r="M269" s="132"/>
      <c r="N269" s="117"/>
      <c r="O269" s="117"/>
    </row>
    <row r="270" spans="1:15">
      <c r="A270" s="74"/>
      <c r="B270" s="117"/>
      <c r="C270" s="118"/>
      <c r="D270" s="118"/>
      <c r="E270" s="119"/>
      <c r="F270" s="118"/>
      <c r="G270" s="118"/>
      <c r="H270" s="118"/>
      <c r="I270" s="118"/>
      <c r="J270" s="118"/>
      <c r="K270" s="118"/>
      <c r="L270" s="117"/>
      <c r="M270" s="132"/>
      <c r="N270" s="117"/>
      <c r="O270" s="117"/>
    </row>
    <row r="271" spans="1:15">
      <c r="A271" s="74"/>
      <c r="B271" s="117"/>
      <c r="C271" s="118"/>
      <c r="D271" s="118"/>
      <c r="E271" s="119"/>
      <c r="F271" s="118"/>
      <c r="G271" s="118"/>
      <c r="H271" s="118"/>
      <c r="I271" s="118"/>
      <c r="J271" s="118"/>
      <c r="K271" s="118"/>
      <c r="L271" s="117"/>
      <c r="M271" s="132"/>
      <c r="N271" s="117"/>
      <c r="O271" s="117"/>
    </row>
    <row r="272" spans="1:15">
      <c r="A272" s="74"/>
      <c r="B272" s="117"/>
      <c r="C272" s="118"/>
      <c r="D272" s="118"/>
      <c r="E272" s="119"/>
      <c r="F272" s="118"/>
      <c r="G272" s="118"/>
      <c r="H272" s="118"/>
      <c r="I272" s="118"/>
      <c r="J272" s="118"/>
      <c r="K272" s="118"/>
      <c r="L272" s="117"/>
      <c r="M272" s="132"/>
      <c r="N272" s="117"/>
      <c r="O272" s="117"/>
    </row>
    <row r="273" spans="1:15">
      <c r="A273" s="74"/>
      <c r="B273" s="117"/>
      <c r="C273" s="118"/>
      <c r="D273" s="118"/>
      <c r="E273" s="119"/>
      <c r="F273" s="118"/>
      <c r="G273" s="118"/>
      <c r="H273" s="118"/>
      <c r="I273" s="118"/>
      <c r="J273" s="118"/>
      <c r="K273" s="118"/>
      <c r="L273" s="117"/>
      <c r="M273" s="132"/>
      <c r="N273" s="117"/>
      <c r="O273" s="117"/>
    </row>
    <row r="274" spans="1:15">
      <c r="A274" s="74"/>
      <c r="B274" s="117"/>
      <c r="C274" s="118"/>
      <c r="D274" s="118"/>
      <c r="E274" s="119"/>
      <c r="F274" s="118"/>
      <c r="G274" s="118"/>
      <c r="H274" s="118"/>
      <c r="I274" s="118"/>
      <c r="J274" s="118"/>
      <c r="K274" s="118"/>
      <c r="L274" s="117"/>
      <c r="M274" s="132"/>
      <c r="N274" s="117"/>
      <c r="O274" s="117"/>
    </row>
    <row r="275" spans="1:15">
      <c r="A275" s="74"/>
      <c r="B275" s="117"/>
      <c r="C275" s="118"/>
      <c r="D275" s="118"/>
      <c r="E275" s="119"/>
      <c r="F275" s="118"/>
      <c r="G275" s="118"/>
      <c r="H275" s="118"/>
      <c r="I275" s="118"/>
      <c r="J275" s="118"/>
      <c r="K275" s="118"/>
      <c r="L275" s="117"/>
      <c r="M275" s="132"/>
      <c r="N275" s="117"/>
      <c r="O275" s="117"/>
    </row>
    <row r="276" spans="1:15">
      <c r="A276" s="74"/>
      <c r="B276" s="117"/>
      <c r="C276" s="118"/>
      <c r="D276" s="118"/>
      <c r="E276" s="119"/>
      <c r="F276" s="118"/>
      <c r="G276" s="118"/>
      <c r="H276" s="118"/>
      <c r="I276" s="118"/>
      <c r="J276" s="118"/>
      <c r="K276" s="118"/>
      <c r="L276" s="117"/>
      <c r="M276" s="132"/>
      <c r="N276" s="117"/>
      <c r="O276" s="117"/>
    </row>
    <row r="277" spans="1:15">
      <c r="A277" s="74"/>
      <c r="B277" s="117"/>
      <c r="C277" s="118"/>
      <c r="D277" s="118"/>
      <c r="E277" s="119"/>
      <c r="F277" s="118"/>
      <c r="G277" s="118"/>
      <c r="H277" s="118"/>
      <c r="I277" s="118"/>
      <c r="J277" s="118"/>
      <c r="K277" s="118"/>
      <c r="L277" s="117"/>
      <c r="M277" s="132"/>
      <c r="N277" s="117"/>
      <c r="O277" s="117"/>
    </row>
    <row r="278" spans="1:15">
      <c r="A278" s="74"/>
      <c r="B278" s="117"/>
      <c r="C278" s="118"/>
      <c r="D278" s="118"/>
      <c r="E278" s="119"/>
      <c r="F278" s="118"/>
      <c r="G278" s="118"/>
      <c r="H278" s="118"/>
      <c r="I278" s="118"/>
      <c r="J278" s="118"/>
      <c r="K278" s="118"/>
      <c r="L278" s="117"/>
      <c r="M278" s="132"/>
      <c r="N278" s="117"/>
      <c r="O278" s="117"/>
    </row>
    <row r="279" spans="1:15">
      <c r="A279" s="74"/>
      <c r="B279" s="117"/>
      <c r="C279" s="118"/>
      <c r="D279" s="118"/>
      <c r="E279" s="119"/>
      <c r="F279" s="118"/>
      <c r="G279" s="118"/>
      <c r="H279" s="118"/>
      <c r="I279" s="118"/>
      <c r="J279" s="118"/>
      <c r="K279" s="118"/>
      <c r="L279" s="117"/>
      <c r="M279" s="132"/>
      <c r="N279" s="117"/>
      <c r="O279" s="117"/>
    </row>
    <row r="280" spans="1:15">
      <c r="A280" s="74"/>
      <c r="B280" s="117"/>
      <c r="C280" s="118"/>
      <c r="D280" s="118"/>
      <c r="E280" s="119"/>
      <c r="F280" s="118"/>
      <c r="G280" s="118"/>
      <c r="H280" s="118"/>
      <c r="I280" s="118"/>
      <c r="J280" s="118"/>
      <c r="K280" s="118"/>
      <c r="L280" s="117"/>
      <c r="M280" s="132"/>
      <c r="N280" s="117"/>
      <c r="O280" s="117"/>
    </row>
    <row r="281" spans="1:15">
      <c r="A281" s="74"/>
      <c r="B281" s="117"/>
      <c r="C281" s="118"/>
      <c r="D281" s="118"/>
      <c r="E281" s="119"/>
      <c r="F281" s="118"/>
      <c r="G281" s="118"/>
      <c r="H281" s="118"/>
      <c r="I281" s="118"/>
      <c r="J281" s="118"/>
      <c r="K281" s="118"/>
      <c r="L281" s="117"/>
      <c r="M281" s="132"/>
      <c r="N281" s="117"/>
      <c r="O281" s="117"/>
    </row>
    <row r="282" spans="1:15">
      <c r="A282" s="74"/>
      <c r="B282" s="117"/>
      <c r="C282" s="118"/>
      <c r="D282" s="118"/>
      <c r="E282" s="119"/>
      <c r="F282" s="118"/>
      <c r="G282" s="118"/>
      <c r="H282" s="118"/>
      <c r="I282" s="118"/>
      <c r="J282" s="118"/>
      <c r="K282" s="118"/>
      <c r="L282" s="117"/>
      <c r="M282" s="132"/>
      <c r="N282" s="117"/>
      <c r="O282" s="117"/>
    </row>
    <row r="283" spans="1:15">
      <c r="A283" s="74"/>
      <c r="B283" s="117"/>
      <c r="C283" s="118"/>
      <c r="D283" s="118"/>
      <c r="E283" s="119"/>
      <c r="F283" s="118"/>
      <c r="G283" s="118"/>
      <c r="H283" s="118"/>
      <c r="I283" s="118"/>
      <c r="J283" s="118"/>
      <c r="K283" s="118"/>
      <c r="L283" s="117"/>
      <c r="M283" s="132"/>
      <c r="N283" s="117"/>
      <c r="O283" s="117"/>
    </row>
    <row r="284" spans="1:15">
      <c r="A284" s="74"/>
      <c r="B284" s="117"/>
      <c r="C284" s="118"/>
      <c r="D284" s="118"/>
      <c r="E284" s="119"/>
      <c r="F284" s="118"/>
      <c r="G284" s="118"/>
      <c r="H284" s="118"/>
      <c r="I284" s="118"/>
      <c r="J284" s="118"/>
      <c r="K284" s="118"/>
      <c r="L284" s="117"/>
      <c r="M284" s="132"/>
      <c r="N284" s="117"/>
      <c r="O284" s="117"/>
    </row>
    <row r="285" spans="1:15">
      <c r="A285" s="74"/>
      <c r="B285" s="117"/>
      <c r="C285" s="118"/>
      <c r="D285" s="118"/>
      <c r="E285" s="119"/>
      <c r="F285" s="118"/>
      <c r="G285" s="118"/>
      <c r="H285" s="118"/>
      <c r="I285" s="118"/>
      <c r="J285" s="118"/>
      <c r="K285" s="118"/>
      <c r="L285" s="117"/>
      <c r="M285" s="132"/>
      <c r="N285" s="117"/>
      <c r="O285" s="117"/>
    </row>
    <row r="286" spans="1:15">
      <c r="A286" s="74"/>
      <c r="B286" s="117"/>
      <c r="C286" s="118"/>
      <c r="D286" s="118"/>
      <c r="E286" s="119"/>
      <c r="F286" s="118"/>
      <c r="G286" s="118"/>
      <c r="H286" s="118"/>
      <c r="I286" s="118"/>
      <c r="J286" s="118"/>
      <c r="K286" s="118"/>
      <c r="L286" s="117"/>
      <c r="M286" s="132"/>
      <c r="N286" s="117"/>
      <c r="O286" s="117"/>
    </row>
    <row r="287" spans="1:15">
      <c r="A287" s="74"/>
      <c r="B287" s="117"/>
      <c r="C287" s="118"/>
      <c r="D287" s="118"/>
      <c r="E287" s="119"/>
      <c r="F287" s="118"/>
      <c r="G287" s="118"/>
      <c r="H287" s="118"/>
      <c r="I287" s="118"/>
      <c r="J287" s="118"/>
      <c r="K287" s="118"/>
      <c r="L287" s="117"/>
      <c r="M287" s="132"/>
      <c r="N287" s="117"/>
      <c r="O287" s="117"/>
    </row>
    <row r="288" spans="1:15">
      <c r="A288" s="74"/>
      <c r="B288" s="117"/>
      <c r="C288" s="118"/>
      <c r="D288" s="118"/>
      <c r="E288" s="119"/>
      <c r="F288" s="118"/>
      <c r="G288" s="118"/>
      <c r="H288" s="118"/>
      <c r="I288" s="118"/>
      <c r="J288" s="118"/>
      <c r="K288" s="118"/>
      <c r="L288" s="117"/>
      <c r="M288" s="132"/>
      <c r="N288" s="117"/>
      <c r="O288" s="117"/>
    </row>
    <row r="289" spans="1:15">
      <c r="A289" s="74"/>
      <c r="B289" s="117"/>
      <c r="C289" s="118"/>
      <c r="D289" s="118"/>
      <c r="E289" s="119"/>
      <c r="F289" s="118"/>
      <c r="G289" s="118"/>
      <c r="H289" s="118"/>
      <c r="I289" s="118"/>
      <c r="J289" s="118"/>
      <c r="K289" s="118"/>
      <c r="L289" s="117"/>
      <c r="M289" s="132"/>
      <c r="N289" s="117"/>
      <c r="O289" s="117"/>
    </row>
    <row r="290" spans="1:15">
      <c r="A290" s="74"/>
      <c r="B290" s="117"/>
      <c r="C290" s="118"/>
      <c r="D290" s="118"/>
      <c r="E290" s="119"/>
      <c r="F290" s="118"/>
      <c r="G290" s="118"/>
      <c r="H290" s="118"/>
      <c r="I290" s="118"/>
      <c r="J290" s="118"/>
      <c r="K290" s="118"/>
      <c r="L290" s="117"/>
      <c r="M290" s="132"/>
      <c r="N290" s="117"/>
      <c r="O290" s="117"/>
    </row>
    <row r="291" spans="1:15">
      <c r="A291" s="74"/>
      <c r="B291" s="117"/>
      <c r="C291" s="118"/>
      <c r="D291" s="118"/>
      <c r="E291" s="119"/>
      <c r="F291" s="118"/>
      <c r="G291" s="118"/>
      <c r="H291" s="118"/>
      <c r="I291" s="118"/>
      <c r="J291" s="118"/>
      <c r="K291" s="118"/>
      <c r="L291" s="117"/>
      <c r="M291" s="132"/>
      <c r="N291" s="117"/>
      <c r="O291" s="117"/>
    </row>
    <row r="292" spans="1:15">
      <c r="A292" s="74"/>
      <c r="B292" s="117"/>
      <c r="C292" s="118"/>
      <c r="D292" s="118"/>
      <c r="E292" s="119"/>
      <c r="F292" s="118"/>
      <c r="G292" s="118"/>
      <c r="H292" s="118"/>
      <c r="I292" s="118"/>
      <c r="J292" s="118"/>
      <c r="K292" s="118"/>
      <c r="L292" s="117"/>
      <c r="M292" s="132"/>
      <c r="N292" s="117"/>
      <c r="O292" s="117"/>
    </row>
    <row r="293" spans="1:15">
      <c r="A293" s="74"/>
      <c r="B293" s="117"/>
      <c r="C293" s="118"/>
      <c r="D293" s="118"/>
      <c r="E293" s="119"/>
      <c r="F293" s="118"/>
      <c r="G293" s="118"/>
      <c r="H293" s="118"/>
      <c r="I293" s="118"/>
      <c r="J293" s="118"/>
      <c r="K293" s="118"/>
      <c r="L293" s="117"/>
      <c r="M293" s="132"/>
      <c r="N293" s="117"/>
      <c r="O293" s="117"/>
    </row>
    <row r="294" spans="1:15">
      <c r="A294" s="74"/>
      <c r="B294" s="117"/>
      <c r="C294" s="118"/>
      <c r="D294" s="118"/>
      <c r="E294" s="119"/>
      <c r="F294" s="118"/>
      <c r="G294" s="118"/>
      <c r="H294" s="118"/>
      <c r="I294" s="118"/>
      <c r="J294" s="118"/>
      <c r="K294" s="118"/>
      <c r="L294" s="117"/>
      <c r="M294" s="132"/>
      <c r="N294" s="117"/>
      <c r="O294" s="117"/>
    </row>
    <row r="295" spans="1:15">
      <c r="A295" s="74"/>
      <c r="B295" s="117"/>
      <c r="C295" s="118"/>
      <c r="D295" s="118"/>
      <c r="E295" s="119"/>
      <c r="F295" s="118"/>
      <c r="G295" s="118"/>
      <c r="H295" s="118"/>
      <c r="I295" s="118"/>
      <c r="J295" s="118"/>
      <c r="K295" s="118"/>
      <c r="L295" s="117"/>
      <c r="M295" s="132"/>
      <c r="N295" s="117"/>
      <c r="O295" s="117"/>
    </row>
    <row r="296" spans="1:15">
      <c r="A296" s="74"/>
      <c r="B296" s="117"/>
      <c r="C296" s="118"/>
      <c r="D296" s="118"/>
      <c r="E296" s="119"/>
      <c r="F296" s="118"/>
      <c r="G296" s="118"/>
      <c r="H296" s="118"/>
      <c r="I296" s="118"/>
      <c r="J296" s="118"/>
      <c r="K296" s="118"/>
      <c r="L296" s="117"/>
      <c r="M296" s="132"/>
      <c r="N296" s="117"/>
      <c r="O296" s="117"/>
    </row>
    <row r="297" spans="1:15">
      <c r="A297" s="74"/>
      <c r="B297" s="117"/>
      <c r="C297" s="118"/>
      <c r="D297" s="118"/>
      <c r="E297" s="119"/>
      <c r="F297" s="118"/>
      <c r="G297" s="118"/>
      <c r="H297" s="118"/>
      <c r="I297" s="118"/>
      <c r="J297" s="118"/>
      <c r="K297" s="118"/>
      <c r="L297" s="117"/>
      <c r="M297" s="132"/>
      <c r="N297" s="117"/>
      <c r="O297" s="117"/>
    </row>
    <row r="298" spans="1:15">
      <c r="A298" s="74"/>
      <c r="B298" s="117"/>
      <c r="C298" s="118"/>
      <c r="D298" s="118"/>
      <c r="E298" s="119"/>
      <c r="F298" s="118"/>
      <c r="G298" s="118"/>
      <c r="H298" s="118"/>
      <c r="I298" s="118"/>
      <c r="J298" s="118"/>
      <c r="K298" s="118"/>
      <c r="L298" s="117"/>
      <c r="M298" s="132"/>
      <c r="N298" s="117"/>
      <c r="O298" s="117"/>
    </row>
    <row r="299" spans="1:15">
      <c r="A299" s="74"/>
      <c r="B299" s="117"/>
      <c r="C299" s="118"/>
      <c r="D299" s="118"/>
      <c r="E299" s="119"/>
      <c r="F299" s="118"/>
      <c r="G299" s="118"/>
      <c r="H299" s="118"/>
      <c r="I299" s="118"/>
      <c r="J299" s="118"/>
      <c r="K299" s="118"/>
      <c r="L299" s="117"/>
      <c r="M299" s="132"/>
      <c r="N299" s="117"/>
      <c r="O299" s="117"/>
    </row>
    <row r="300" spans="1:15">
      <c r="A300" s="74"/>
      <c r="B300" s="117"/>
      <c r="C300" s="118"/>
      <c r="D300" s="118"/>
      <c r="E300" s="119"/>
      <c r="F300" s="118"/>
      <c r="G300" s="118"/>
      <c r="H300" s="118"/>
      <c r="I300" s="118"/>
      <c r="J300" s="118"/>
      <c r="K300" s="118"/>
      <c r="L300" s="117"/>
      <c r="M300" s="132"/>
      <c r="N300" s="117"/>
      <c r="O300" s="117"/>
    </row>
    <row r="301" spans="1:15">
      <c r="A301" s="74"/>
      <c r="B301" s="117"/>
      <c r="C301" s="118"/>
      <c r="D301" s="118"/>
      <c r="E301" s="119"/>
      <c r="F301" s="118"/>
      <c r="G301" s="118"/>
      <c r="H301" s="118"/>
      <c r="I301" s="118"/>
      <c r="J301" s="118"/>
      <c r="K301" s="118"/>
      <c r="L301" s="117"/>
      <c r="M301" s="132"/>
      <c r="N301" s="117"/>
      <c r="O301" s="117"/>
    </row>
    <row r="302" spans="1:15">
      <c r="A302" s="74"/>
      <c r="B302" s="117"/>
      <c r="C302" s="118"/>
      <c r="D302" s="118"/>
      <c r="E302" s="119"/>
      <c r="F302" s="118"/>
      <c r="G302" s="118"/>
      <c r="H302" s="118"/>
      <c r="I302" s="118"/>
      <c r="J302" s="118"/>
      <c r="K302" s="118"/>
      <c r="L302" s="117"/>
      <c r="M302" s="132"/>
      <c r="N302" s="117"/>
      <c r="O302" s="117"/>
    </row>
    <row r="303" spans="1:15">
      <c r="A303" s="74"/>
      <c r="B303" s="117"/>
      <c r="C303" s="118"/>
      <c r="D303" s="118"/>
      <c r="E303" s="119"/>
      <c r="F303" s="118"/>
      <c r="G303" s="118"/>
      <c r="H303" s="118"/>
      <c r="I303" s="118"/>
      <c r="J303" s="118"/>
      <c r="K303" s="118"/>
      <c r="L303" s="117"/>
      <c r="M303" s="132"/>
      <c r="N303" s="117"/>
      <c r="O303" s="117"/>
    </row>
    <row r="304" spans="1:15">
      <c r="A304" s="74"/>
      <c r="B304" s="117"/>
      <c r="C304" s="118"/>
      <c r="D304" s="118"/>
      <c r="E304" s="119"/>
      <c r="F304" s="118"/>
      <c r="G304" s="118"/>
      <c r="H304" s="118"/>
      <c r="I304" s="118"/>
      <c r="J304" s="118"/>
      <c r="K304" s="118"/>
      <c r="L304" s="117"/>
      <c r="M304" s="132"/>
      <c r="N304" s="117"/>
      <c r="O304" s="117"/>
    </row>
    <row r="305" spans="1:15">
      <c r="A305" s="74"/>
      <c r="B305" s="117"/>
      <c r="C305" s="118"/>
      <c r="D305" s="118"/>
      <c r="E305" s="119"/>
      <c r="F305" s="118"/>
      <c r="G305" s="118"/>
      <c r="H305" s="118"/>
      <c r="I305" s="118"/>
      <c r="J305" s="118"/>
      <c r="K305" s="118"/>
      <c r="L305" s="117"/>
      <c r="M305" s="132"/>
      <c r="N305" s="117"/>
      <c r="O305" s="117"/>
    </row>
    <row r="306" spans="1:15">
      <c r="A306" s="74"/>
      <c r="B306" s="117"/>
      <c r="C306" s="118"/>
      <c r="D306" s="118"/>
      <c r="E306" s="119"/>
      <c r="F306" s="118"/>
      <c r="G306" s="118"/>
      <c r="H306" s="118"/>
      <c r="I306" s="118"/>
      <c r="J306" s="118"/>
      <c r="K306" s="118"/>
      <c r="L306" s="117"/>
      <c r="M306" s="132"/>
      <c r="N306" s="117"/>
      <c r="O306" s="117"/>
    </row>
    <row r="307" spans="1:15">
      <c r="A307" s="74"/>
      <c r="B307" s="117"/>
      <c r="C307" s="118"/>
      <c r="D307" s="118"/>
      <c r="E307" s="119"/>
      <c r="F307" s="118"/>
      <c r="G307" s="118"/>
      <c r="H307" s="118"/>
      <c r="I307" s="118"/>
      <c r="J307" s="118"/>
      <c r="K307" s="118"/>
      <c r="L307" s="117"/>
      <c r="M307" s="132"/>
      <c r="N307" s="117"/>
      <c r="O307" s="117"/>
    </row>
    <row r="308" spans="1:15">
      <c r="A308" s="74"/>
      <c r="B308" s="117"/>
      <c r="C308" s="118"/>
      <c r="D308" s="118"/>
      <c r="E308" s="119"/>
      <c r="F308" s="118"/>
      <c r="G308" s="118"/>
      <c r="H308" s="118"/>
      <c r="I308" s="118"/>
      <c r="J308" s="118"/>
      <c r="K308" s="118"/>
      <c r="L308" s="117"/>
      <c r="M308" s="132"/>
      <c r="N308" s="117"/>
      <c r="O308" s="117"/>
    </row>
    <row r="309" spans="1:15">
      <c r="A309" s="74"/>
      <c r="B309" s="117"/>
      <c r="C309" s="118"/>
      <c r="D309" s="118"/>
      <c r="E309" s="119"/>
      <c r="F309" s="118"/>
      <c r="G309" s="118"/>
      <c r="H309" s="118"/>
      <c r="I309" s="118"/>
      <c r="J309" s="118"/>
      <c r="K309" s="118"/>
      <c r="L309" s="117"/>
      <c r="M309" s="132"/>
      <c r="N309" s="117"/>
      <c r="O309" s="117"/>
    </row>
    <row r="310" spans="1:15">
      <c r="A310" s="74"/>
      <c r="B310" s="117"/>
      <c r="C310" s="118"/>
      <c r="D310" s="118"/>
      <c r="E310" s="119"/>
      <c r="F310" s="118"/>
      <c r="G310" s="118"/>
      <c r="H310" s="118"/>
      <c r="I310" s="118"/>
      <c r="J310" s="118"/>
      <c r="K310" s="118"/>
      <c r="L310" s="117"/>
      <c r="M310" s="132"/>
      <c r="N310" s="117"/>
      <c r="O310" s="117"/>
    </row>
    <row r="311" spans="1:15">
      <c r="A311" s="74"/>
      <c r="B311" s="117"/>
      <c r="C311" s="118"/>
      <c r="D311" s="118"/>
      <c r="E311" s="119"/>
      <c r="F311" s="118"/>
      <c r="G311" s="118"/>
      <c r="H311" s="118"/>
      <c r="I311" s="118"/>
      <c r="J311" s="118"/>
      <c r="K311" s="118"/>
      <c r="L311" s="117"/>
      <c r="M311" s="132"/>
      <c r="N311" s="117"/>
      <c r="O311" s="117"/>
    </row>
    <row r="312" spans="1:15">
      <c r="A312" s="74"/>
      <c r="B312" s="117"/>
      <c r="C312" s="118"/>
      <c r="D312" s="118"/>
      <c r="E312" s="119"/>
      <c r="F312" s="118"/>
      <c r="G312" s="118"/>
      <c r="H312" s="118"/>
      <c r="I312" s="118"/>
      <c r="J312" s="118"/>
      <c r="K312" s="118"/>
      <c r="L312" s="117"/>
      <c r="M312" s="132"/>
      <c r="N312" s="117"/>
      <c r="O312" s="117"/>
    </row>
    <row r="313" spans="1:15">
      <c r="A313" s="74"/>
      <c r="B313" s="117"/>
      <c r="C313" s="118"/>
      <c r="D313" s="118"/>
      <c r="E313" s="119"/>
      <c r="F313" s="118"/>
      <c r="G313" s="118"/>
      <c r="H313" s="118"/>
      <c r="I313" s="118"/>
      <c r="J313" s="118"/>
      <c r="K313" s="118"/>
      <c r="L313" s="117"/>
      <c r="M313" s="132"/>
      <c r="N313" s="117"/>
      <c r="O313" s="117"/>
    </row>
    <row r="314" spans="1:15">
      <c r="A314" s="74"/>
      <c r="B314" s="117"/>
      <c r="C314" s="118"/>
      <c r="D314" s="118"/>
      <c r="E314" s="119"/>
      <c r="F314" s="118"/>
      <c r="G314" s="118"/>
      <c r="H314" s="118"/>
      <c r="I314" s="118"/>
      <c r="J314" s="118"/>
      <c r="K314" s="118"/>
      <c r="L314" s="117"/>
      <c r="M314" s="132"/>
      <c r="N314" s="117"/>
      <c r="O314" s="117"/>
    </row>
    <row r="315" spans="1:15">
      <c r="A315" s="74"/>
      <c r="B315" s="117"/>
      <c r="C315" s="118"/>
      <c r="D315" s="118"/>
      <c r="E315" s="119"/>
      <c r="F315" s="118"/>
      <c r="G315" s="118"/>
      <c r="H315" s="118"/>
      <c r="I315" s="118"/>
      <c r="J315" s="118"/>
      <c r="K315" s="118"/>
      <c r="L315" s="117"/>
      <c r="M315" s="132"/>
      <c r="N315" s="117"/>
      <c r="O315" s="117"/>
    </row>
    <row r="316" spans="1:15">
      <c r="A316" s="74"/>
      <c r="B316" s="117"/>
      <c r="C316" s="118"/>
      <c r="D316" s="118"/>
      <c r="E316" s="119"/>
      <c r="F316" s="118"/>
      <c r="G316" s="118"/>
      <c r="H316" s="118"/>
      <c r="I316" s="118"/>
      <c r="J316" s="118"/>
      <c r="K316" s="118"/>
      <c r="L316" s="117"/>
      <c r="M316" s="132"/>
      <c r="N316" s="117"/>
      <c r="O316" s="117"/>
    </row>
    <row r="317" spans="1:15">
      <c r="A317" s="74"/>
      <c r="B317" s="117"/>
      <c r="C317" s="118"/>
      <c r="D317" s="118"/>
      <c r="E317" s="119"/>
      <c r="F317" s="118"/>
      <c r="G317" s="118"/>
      <c r="H317" s="118"/>
      <c r="I317" s="118"/>
      <c r="J317" s="118"/>
      <c r="K317" s="118"/>
      <c r="L317" s="117"/>
      <c r="M317" s="132"/>
      <c r="N317" s="117"/>
      <c r="O317" s="117"/>
    </row>
    <row r="318" spans="1:15">
      <c r="A318" s="74"/>
      <c r="B318" s="117"/>
      <c r="C318" s="118"/>
      <c r="D318" s="118"/>
      <c r="E318" s="119"/>
      <c r="F318" s="118"/>
      <c r="G318" s="118"/>
      <c r="H318" s="118"/>
      <c r="I318" s="118"/>
      <c r="J318" s="118"/>
      <c r="K318" s="118"/>
      <c r="L318" s="117"/>
      <c r="M318" s="132"/>
      <c r="N318" s="117"/>
      <c r="O318" s="117"/>
    </row>
    <row r="319" spans="1:15">
      <c r="A319" s="74"/>
      <c r="B319" s="117"/>
      <c r="C319" s="118"/>
      <c r="D319" s="118"/>
      <c r="E319" s="119"/>
      <c r="F319" s="118"/>
      <c r="G319" s="118"/>
      <c r="H319" s="118"/>
      <c r="I319" s="118"/>
      <c r="J319" s="118"/>
      <c r="K319" s="118"/>
      <c r="L319" s="117"/>
      <c r="M319" s="132"/>
      <c r="N319" s="117"/>
      <c r="O319" s="117"/>
    </row>
    <row r="320" spans="1:15">
      <c r="A320" s="74"/>
      <c r="B320" s="117"/>
      <c r="C320" s="118"/>
      <c r="D320" s="118"/>
      <c r="E320" s="119"/>
      <c r="F320" s="118"/>
      <c r="G320" s="118"/>
      <c r="H320" s="118"/>
      <c r="I320" s="118"/>
      <c r="J320" s="118"/>
      <c r="K320" s="118"/>
      <c r="L320" s="117"/>
      <c r="M320" s="132"/>
      <c r="N320" s="117"/>
      <c r="O320" s="117"/>
    </row>
    <row r="321" spans="1:15">
      <c r="A321" s="74"/>
      <c r="B321" s="117"/>
      <c r="C321" s="118"/>
      <c r="D321" s="118"/>
      <c r="E321" s="119"/>
      <c r="F321" s="118"/>
      <c r="G321" s="118"/>
      <c r="H321" s="118"/>
      <c r="I321" s="118"/>
      <c r="J321" s="118"/>
      <c r="K321" s="118"/>
      <c r="L321" s="117"/>
      <c r="M321" s="132"/>
      <c r="N321" s="117"/>
      <c r="O321" s="117"/>
    </row>
    <row r="322" spans="1:15">
      <c r="A322" s="74"/>
      <c r="B322" s="117"/>
      <c r="C322" s="118"/>
      <c r="D322" s="118"/>
      <c r="E322" s="119"/>
      <c r="F322" s="118"/>
      <c r="G322" s="118"/>
      <c r="H322" s="118"/>
      <c r="I322" s="118"/>
      <c r="J322" s="118"/>
      <c r="K322" s="118"/>
      <c r="L322" s="117"/>
      <c r="M322" s="132"/>
      <c r="N322" s="117"/>
      <c r="O322" s="117"/>
    </row>
    <row r="323" spans="1:15">
      <c r="A323" s="74"/>
      <c r="B323" s="117"/>
      <c r="C323" s="118"/>
      <c r="D323" s="118"/>
      <c r="E323" s="119"/>
      <c r="F323" s="118"/>
      <c r="G323" s="118"/>
      <c r="H323" s="118"/>
      <c r="I323" s="118"/>
      <c r="J323" s="118"/>
      <c r="K323" s="118"/>
      <c r="L323" s="117"/>
      <c r="M323" s="132"/>
      <c r="N323" s="117"/>
      <c r="O323" s="117"/>
    </row>
    <row r="324" spans="1:15">
      <c r="A324" s="74"/>
      <c r="B324" s="117"/>
      <c r="C324" s="118"/>
      <c r="D324" s="118"/>
      <c r="E324" s="119"/>
      <c r="F324" s="118"/>
      <c r="G324" s="118"/>
      <c r="H324" s="118"/>
      <c r="I324" s="118"/>
      <c r="J324" s="118"/>
      <c r="K324" s="118"/>
      <c r="L324" s="117"/>
      <c r="M324" s="132"/>
      <c r="N324" s="117"/>
      <c r="O324" s="117"/>
    </row>
    <row r="325" spans="1:15">
      <c r="A325" s="74"/>
      <c r="B325" s="117"/>
      <c r="C325" s="118"/>
      <c r="D325" s="118"/>
      <c r="E325" s="119"/>
      <c r="F325" s="118"/>
      <c r="G325" s="118"/>
      <c r="H325" s="118"/>
      <c r="I325" s="118"/>
      <c r="J325" s="118"/>
      <c r="K325" s="118"/>
      <c r="L325" s="117"/>
      <c r="M325" s="132"/>
      <c r="N325" s="117"/>
      <c r="O325" s="117"/>
    </row>
    <row r="326" spans="1:15">
      <c r="A326" s="74"/>
      <c r="B326" s="117"/>
      <c r="C326" s="118"/>
      <c r="D326" s="118"/>
      <c r="E326" s="119"/>
      <c r="F326" s="118"/>
      <c r="G326" s="118"/>
      <c r="H326" s="118"/>
      <c r="I326" s="118"/>
      <c r="J326" s="118"/>
      <c r="K326" s="118"/>
      <c r="L326" s="117"/>
      <c r="M326" s="132"/>
      <c r="N326" s="117"/>
      <c r="O326" s="117"/>
    </row>
    <row r="327" spans="1:15">
      <c r="A327" s="74"/>
      <c r="B327" s="117"/>
      <c r="C327" s="118"/>
      <c r="D327" s="118"/>
      <c r="E327" s="119"/>
      <c r="F327" s="118"/>
      <c r="G327" s="118"/>
      <c r="H327" s="118"/>
      <c r="I327" s="118"/>
      <c r="J327" s="118"/>
      <c r="K327" s="118"/>
      <c r="L327" s="117"/>
      <c r="M327" s="132"/>
      <c r="N327" s="117"/>
      <c r="O327" s="117"/>
    </row>
    <row r="328" spans="1:15">
      <c r="A328" s="74"/>
      <c r="B328" s="117"/>
      <c r="C328" s="118"/>
      <c r="D328" s="118"/>
      <c r="E328" s="119"/>
      <c r="F328" s="118"/>
      <c r="G328" s="118"/>
      <c r="H328" s="118"/>
      <c r="I328" s="118"/>
      <c r="J328" s="118"/>
      <c r="K328" s="118"/>
      <c r="L328" s="117"/>
      <c r="M328" s="132"/>
      <c r="N328" s="117"/>
      <c r="O328" s="117"/>
    </row>
    <row r="329" spans="1:15">
      <c r="A329" s="74"/>
      <c r="B329" s="117"/>
      <c r="C329" s="118"/>
      <c r="D329" s="118"/>
      <c r="E329" s="119"/>
      <c r="F329" s="118"/>
      <c r="G329" s="118"/>
      <c r="H329" s="118"/>
      <c r="I329" s="118"/>
      <c r="J329" s="118"/>
      <c r="K329" s="118"/>
      <c r="L329" s="117"/>
      <c r="M329" s="132"/>
      <c r="N329" s="117"/>
      <c r="O329" s="117"/>
    </row>
    <row r="330" spans="1:15">
      <c r="A330" s="74"/>
      <c r="B330" s="117"/>
      <c r="C330" s="118"/>
      <c r="D330" s="118"/>
      <c r="E330" s="119"/>
      <c r="F330" s="118"/>
      <c r="G330" s="118"/>
      <c r="H330" s="118"/>
      <c r="I330" s="118"/>
      <c r="J330" s="118"/>
      <c r="K330" s="118"/>
      <c r="L330" s="117"/>
      <c r="M330" s="132"/>
      <c r="N330" s="117"/>
      <c r="O330" s="117"/>
    </row>
    <row r="331" spans="1:15">
      <c r="A331" s="74"/>
      <c r="B331" s="117"/>
      <c r="C331" s="118"/>
      <c r="D331" s="118"/>
      <c r="E331" s="119"/>
      <c r="F331" s="118"/>
      <c r="G331" s="118"/>
      <c r="H331" s="118"/>
      <c r="I331" s="118"/>
      <c r="J331" s="118"/>
      <c r="K331" s="118"/>
      <c r="L331" s="117"/>
      <c r="M331" s="132"/>
      <c r="N331" s="117"/>
      <c r="O331" s="117"/>
    </row>
    <row r="332" spans="1:15">
      <c r="A332" s="74"/>
      <c r="B332" s="117"/>
      <c r="C332" s="118"/>
      <c r="D332" s="118"/>
      <c r="E332" s="119"/>
      <c r="F332" s="118"/>
      <c r="G332" s="118"/>
      <c r="H332" s="118"/>
      <c r="I332" s="118"/>
      <c r="J332" s="118"/>
      <c r="K332" s="118"/>
      <c r="L332" s="117"/>
      <c r="M332" s="132"/>
      <c r="N332" s="117"/>
      <c r="O332" s="117"/>
    </row>
    <row r="333" spans="1:15">
      <c r="A333" s="74"/>
      <c r="B333" s="117"/>
      <c r="C333" s="118"/>
      <c r="D333" s="118"/>
      <c r="E333" s="119"/>
      <c r="F333" s="118"/>
      <c r="G333" s="118"/>
      <c r="H333" s="118"/>
      <c r="I333" s="118"/>
      <c r="J333" s="118"/>
      <c r="K333" s="118"/>
      <c r="L333" s="117"/>
      <c r="M333" s="132"/>
      <c r="N333" s="117"/>
      <c r="O333" s="117"/>
    </row>
    <row r="334" spans="1:15">
      <c r="A334" s="74"/>
      <c r="B334" s="117"/>
      <c r="C334" s="118"/>
      <c r="D334" s="118"/>
      <c r="E334" s="119"/>
      <c r="F334" s="118"/>
      <c r="G334" s="118"/>
      <c r="H334" s="118"/>
      <c r="I334" s="118"/>
      <c r="J334" s="118"/>
      <c r="K334" s="118"/>
      <c r="L334" s="117"/>
      <c r="M334" s="132"/>
      <c r="N334" s="117"/>
      <c r="O334" s="117"/>
    </row>
    <row r="335" spans="1:15">
      <c r="A335" s="74"/>
      <c r="B335" s="117"/>
      <c r="C335" s="118"/>
      <c r="D335" s="118"/>
      <c r="E335" s="119"/>
      <c r="F335" s="118"/>
      <c r="G335" s="118"/>
      <c r="H335" s="118"/>
      <c r="I335" s="118"/>
      <c r="J335" s="118"/>
      <c r="K335" s="118"/>
      <c r="L335" s="117"/>
      <c r="M335" s="132"/>
      <c r="N335" s="117"/>
      <c r="O335" s="117"/>
    </row>
    <row r="336" spans="1:15">
      <c r="A336" s="74"/>
      <c r="B336" s="117"/>
      <c r="C336" s="118"/>
      <c r="D336" s="118"/>
      <c r="E336" s="119"/>
      <c r="F336" s="118"/>
      <c r="G336" s="118"/>
      <c r="H336" s="118"/>
      <c r="I336" s="118"/>
      <c r="J336" s="118"/>
      <c r="K336" s="118"/>
      <c r="L336" s="117"/>
      <c r="M336" s="132"/>
      <c r="N336" s="117"/>
      <c r="O336" s="117"/>
    </row>
    <row r="337" spans="1:15">
      <c r="A337" s="74"/>
      <c r="B337" s="117"/>
      <c r="C337" s="118"/>
      <c r="D337" s="118"/>
      <c r="E337" s="119"/>
      <c r="F337" s="118"/>
      <c r="G337" s="118"/>
      <c r="H337" s="118"/>
      <c r="I337" s="118"/>
      <c r="J337" s="118"/>
      <c r="K337" s="118"/>
      <c r="L337" s="117"/>
      <c r="M337" s="132"/>
      <c r="N337" s="117"/>
      <c r="O337" s="117"/>
    </row>
    <row r="338" spans="1:15">
      <c r="A338" s="74"/>
      <c r="B338" s="117"/>
      <c r="C338" s="118"/>
      <c r="D338" s="118"/>
      <c r="E338" s="119"/>
      <c r="F338" s="118"/>
      <c r="G338" s="118"/>
      <c r="H338" s="118"/>
      <c r="I338" s="118"/>
      <c r="J338" s="118"/>
      <c r="K338" s="118"/>
      <c r="L338" s="117"/>
      <c r="M338" s="132"/>
      <c r="N338" s="117"/>
      <c r="O338" s="117"/>
    </row>
    <row r="339" spans="1:15">
      <c r="A339" s="74"/>
      <c r="B339" s="117"/>
      <c r="C339" s="118"/>
      <c r="D339" s="118"/>
      <c r="E339" s="119"/>
      <c r="F339" s="118"/>
      <c r="G339" s="118"/>
      <c r="H339" s="118"/>
      <c r="I339" s="118"/>
      <c r="J339" s="118"/>
      <c r="K339" s="118"/>
      <c r="L339" s="117"/>
      <c r="M339" s="132"/>
      <c r="N339" s="117"/>
      <c r="O339" s="117"/>
    </row>
    <row r="340" spans="1:15">
      <c r="A340" s="74"/>
      <c r="B340" s="117"/>
      <c r="C340" s="118"/>
      <c r="D340" s="118"/>
      <c r="E340" s="119"/>
      <c r="F340" s="118"/>
      <c r="G340" s="118"/>
      <c r="H340" s="118"/>
      <c r="I340" s="118"/>
      <c r="J340" s="118"/>
      <c r="K340" s="118"/>
      <c r="L340" s="117"/>
      <c r="M340" s="132"/>
      <c r="N340" s="117"/>
      <c r="O340" s="117"/>
    </row>
    <row r="341" spans="1:15">
      <c r="A341" s="74"/>
      <c r="B341" s="117"/>
      <c r="C341" s="118"/>
      <c r="D341" s="118"/>
      <c r="E341" s="119"/>
      <c r="F341" s="118"/>
      <c r="G341" s="118"/>
      <c r="H341" s="118"/>
      <c r="I341" s="118"/>
      <c r="J341" s="118"/>
      <c r="K341" s="118"/>
      <c r="L341" s="117"/>
      <c r="M341" s="132"/>
      <c r="N341" s="117"/>
      <c r="O341" s="117"/>
    </row>
    <row r="342" spans="1:15">
      <c r="A342" s="74"/>
      <c r="B342" s="117"/>
      <c r="C342" s="118"/>
      <c r="D342" s="118"/>
      <c r="E342" s="119"/>
      <c r="F342" s="118"/>
      <c r="G342" s="118"/>
      <c r="H342" s="118"/>
      <c r="I342" s="118"/>
      <c r="J342" s="118"/>
      <c r="K342" s="118"/>
      <c r="L342" s="117"/>
      <c r="M342" s="132"/>
      <c r="N342" s="117"/>
      <c r="O342" s="117"/>
    </row>
    <row r="343" spans="1:15">
      <c r="A343" s="74"/>
      <c r="B343" s="117"/>
      <c r="C343" s="118"/>
      <c r="D343" s="118"/>
      <c r="E343" s="119"/>
      <c r="F343" s="118"/>
      <c r="G343" s="118"/>
      <c r="H343" s="118"/>
      <c r="I343" s="118"/>
      <c r="J343" s="118"/>
      <c r="K343" s="118"/>
      <c r="L343" s="117"/>
      <c r="M343" s="132"/>
      <c r="N343" s="117"/>
      <c r="O343" s="117"/>
    </row>
    <row r="344" spans="1:15">
      <c r="A344" s="74"/>
      <c r="B344" s="117"/>
      <c r="C344" s="118"/>
      <c r="D344" s="118"/>
      <c r="E344" s="119"/>
      <c r="F344" s="118"/>
      <c r="G344" s="118"/>
      <c r="H344" s="118"/>
      <c r="I344" s="118"/>
      <c r="J344" s="118"/>
      <c r="K344" s="118"/>
      <c r="L344" s="117"/>
      <c r="M344" s="132"/>
      <c r="N344" s="117"/>
      <c r="O344" s="117"/>
    </row>
    <row r="345" spans="1:15">
      <c r="A345" s="74"/>
      <c r="B345" s="117"/>
      <c r="C345" s="118"/>
      <c r="D345" s="118"/>
      <c r="E345" s="119"/>
      <c r="F345" s="118"/>
      <c r="G345" s="118"/>
      <c r="H345" s="118"/>
      <c r="I345" s="118"/>
      <c r="J345" s="118"/>
      <c r="K345" s="118"/>
      <c r="L345" s="117"/>
      <c r="M345" s="132"/>
      <c r="N345" s="117"/>
      <c r="O345" s="117"/>
    </row>
    <row r="346" spans="1:15">
      <c r="A346" s="74"/>
      <c r="B346" s="117"/>
      <c r="C346" s="118"/>
      <c r="D346" s="118"/>
      <c r="E346" s="119"/>
      <c r="F346" s="118"/>
      <c r="G346" s="118"/>
      <c r="H346" s="118"/>
      <c r="I346" s="118"/>
      <c r="J346" s="118"/>
      <c r="K346" s="118"/>
      <c r="L346" s="117"/>
      <c r="M346" s="132"/>
      <c r="N346" s="117"/>
      <c r="O346" s="117"/>
    </row>
    <row r="347" spans="1:15">
      <c r="A347" s="74"/>
      <c r="B347" s="117"/>
      <c r="C347" s="118"/>
      <c r="D347" s="118"/>
      <c r="E347" s="119"/>
      <c r="F347" s="118"/>
      <c r="G347" s="118"/>
      <c r="H347" s="118"/>
      <c r="I347" s="118"/>
      <c r="J347" s="118"/>
      <c r="K347" s="118"/>
      <c r="L347" s="117"/>
      <c r="M347" s="132"/>
      <c r="N347" s="117"/>
      <c r="O347" s="117"/>
    </row>
    <row r="348" spans="1:15">
      <c r="A348" s="74"/>
      <c r="B348" s="117"/>
      <c r="C348" s="118"/>
      <c r="D348" s="118"/>
      <c r="E348" s="119"/>
      <c r="F348" s="118"/>
      <c r="G348" s="118"/>
      <c r="H348" s="118"/>
      <c r="I348" s="118"/>
      <c r="J348" s="118"/>
      <c r="K348" s="118"/>
      <c r="L348" s="117"/>
      <c r="M348" s="132"/>
      <c r="N348" s="117"/>
      <c r="O348" s="117"/>
    </row>
    <row r="349" spans="1:15">
      <c r="A349" s="74"/>
      <c r="B349" s="117"/>
      <c r="C349" s="118"/>
      <c r="D349" s="118"/>
      <c r="E349" s="119"/>
      <c r="F349" s="118"/>
      <c r="G349" s="118"/>
      <c r="H349" s="118"/>
      <c r="I349" s="118"/>
      <c r="J349" s="118"/>
      <c r="K349" s="118"/>
      <c r="L349" s="117"/>
      <c r="M349" s="132"/>
      <c r="N349" s="117"/>
      <c r="O349" s="117"/>
    </row>
    <row r="350" spans="1:15">
      <c r="A350" s="74"/>
      <c r="B350" s="117"/>
      <c r="C350" s="118"/>
      <c r="D350" s="118"/>
      <c r="E350" s="119"/>
      <c r="F350" s="118"/>
      <c r="G350" s="118"/>
      <c r="H350" s="118"/>
      <c r="I350" s="118"/>
      <c r="J350" s="118"/>
      <c r="K350" s="118"/>
      <c r="L350" s="117"/>
      <c r="M350" s="132"/>
      <c r="N350" s="117"/>
      <c r="O350" s="117"/>
    </row>
    <row r="351" spans="1:15">
      <c r="A351" s="74"/>
      <c r="B351" s="117"/>
      <c r="C351" s="118"/>
      <c r="D351" s="118"/>
      <c r="E351" s="119"/>
      <c r="F351" s="118"/>
      <c r="G351" s="118"/>
      <c r="H351" s="118"/>
      <c r="I351" s="118"/>
      <c r="J351" s="118"/>
      <c r="K351" s="118"/>
      <c r="L351" s="117"/>
      <c r="M351" s="132"/>
      <c r="N351" s="117"/>
      <c r="O351" s="117"/>
    </row>
    <row r="352" spans="1:15">
      <c r="A352" s="74"/>
      <c r="B352" s="117"/>
      <c r="C352" s="118"/>
      <c r="D352" s="118"/>
      <c r="E352" s="119"/>
      <c r="F352" s="118"/>
      <c r="G352" s="118"/>
      <c r="H352" s="118"/>
      <c r="I352" s="118"/>
      <c r="J352" s="118"/>
      <c r="K352" s="118"/>
      <c r="L352" s="117"/>
      <c r="M352" s="132"/>
      <c r="N352" s="117"/>
      <c r="O352" s="117"/>
    </row>
    <row r="353" spans="1:15">
      <c r="A353" s="74"/>
      <c r="B353" s="117"/>
      <c r="C353" s="118"/>
      <c r="D353" s="118"/>
      <c r="E353" s="119"/>
      <c r="F353" s="118"/>
      <c r="G353" s="118"/>
      <c r="H353" s="118"/>
      <c r="I353" s="118"/>
      <c r="J353" s="118"/>
      <c r="K353" s="118"/>
      <c r="L353" s="117"/>
      <c r="M353" s="132"/>
      <c r="N353" s="117"/>
      <c r="O353" s="117"/>
    </row>
    <row r="354" spans="1:15">
      <c r="A354" s="74"/>
      <c r="B354" s="117"/>
      <c r="C354" s="118"/>
      <c r="D354" s="118"/>
      <c r="E354" s="119"/>
      <c r="F354" s="118"/>
      <c r="G354" s="118"/>
      <c r="H354" s="118"/>
      <c r="I354" s="118"/>
      <c r="J354" s="118"/>
      <c r="K354" s="118"/>
      <c r="L354" s="117"/>
      <c r="M354" s="132"/>
      <c r="N354" s="117"/>
      <c r="O354" s="117"/>
    </row>
    <row r="355" spans="1:15">
      <c r="A355" s="74"/>
      <c r="B355" s="117"/>
      <c r="C355" s="118"/>
      <c r="D355" s="118"/>
      <c r="E355" s="119"/>
      <c r="F355" s="118"/>
      <c r="G355" s="118"/>
      <c r="H355" s="118"/>
      <c r="I355" s="118"/>
      <c r="J355" s="118"/>
      <c r="K355" s="118"/>
      <c r="L355" s="117"/>
      <c r="M355" s="132"/>
      <c r="N355" s="117"/>
      <c r="O355" s="117"/>
    </row>
    <row r="356" spans="1:15">
      <c r="A356" s="74"/>
      <c r="B356" s="117"/>
      <c r="C356" s="118"/>
      <c r="D356" s="118"/>
      <c r="E356" s="119"/>
      <c r="F356" s="118"/>
      <c r="G356" s="118"/>
      <c r="H356" s="118"/>
      <c r="I356" s="118"/>
      <c r="J356" s="118"/>
      <c r="K356" s="118"/>
      <c r="L356" s="117"/>
      <c r="M356" s="132"/>
      <c r="N356" s="117"/>
      <c r="O356" s="117"/>
    </row>
    <row r="357" spans="1:15">
      <c r="A357" s="74"/>
      <c r="B357" s="117"/>
      <c r="C357" s="118"/>
      <c r="D357" s="118"/>
      <c r="E357" s="119"/>
      <c r="F357" s="118"/>
      <c r="G357" s="118"/>
      <c r="H357" s="118"/>
      <c r="I357" s="118"/>
      <c r="J357" s="118"/>
      <c r="K357" s="118"/>
      <c r="L357" s="117"/>
      <c r="M357" s="132"/>
      <c r="N357" s="117"/>
      <c r="O357" s="117"/>
    </row>
    <row r="358" spans="1:15">
      <c r="A358" s="74"/>
      <c r="B358" s="117"/>
      <c r="C358" s="118"/>
      <c r="D358" s="118"/>
      <c r="E358" s="119"/>
      <c r="F358" s="118"/>
      <c r="G358" s="118"/>
      <c r="H358" s="118"/>
      <c r="I358" s="118"/>
      <c r="J358" s="118"/>
      <c r="K358" s="118"/>
      <c r="L358" s="117"/>
      <c r="M358" s="132"/>
      <c r="N358" s="117"/>
      <c r="O358" s="117"/>
    </row>
    <row r="359" spans="1:15">
      <c r="A359" s="74"/>
      <c r="B359" s="117"/>
      <c r="C359" s="118"/>
      <c r="D359" s="118"/>
      <c r="E359" s="119"/>
      <c r="F359" s="118"/>
      <c r="G359" s="118"/>
      <c r="H359" s="118"/>
      <c r="I359" s="118"/>
      <c r="J359" s="118"/>
      <c r="K359" s="118"/>
      <c r="L359" s="117"/>
      <c r="M359" s="132"/>
      <c r="N359" s="117"/>
      <c r="O359" s="117"/>
    </row>
    <row r="360" spans="1:15">
      <c r="A360" s="74"/>
      <c r="B360" s="117"/>
      <c r="C360" s="118"/>
      <c r="D360" s="118"/>
      <c r="E360" s="119"/>
      <c r="F360" s="118"/>
      <c r="G360" s="118"/>
      <c r="H360" s="118"/>
      <c r="I360" s="118"/>
      <c r="J360" s="118"/>
      <c r="K360" s="118"/>
      <c r="L360" s="117"/>
      <c r="M360" s="132"/>
      <c r="N360" s="117"/>
      <c r="O360" s="117"/>
    </row>
    <row r="361" spans="1:15">
      <c r="A361" s="74"/>
      <c r="B361" s="117"/>
      <c r="C361" s="118"/>
      <c r="D361" s="118"/>
      <c r="E361" s="119"/>
      <c r="F361" s="118"/>
      <c r="G361" s="118"/>
      <c r="H361" s="118"/>
      <c r="I361" s="118"/>
      <c r="J361" s="118"/>
      <c r="K361" s="118"/>
      <c r="L361" s="117"/>
      <c r="M361" s="132"/>
      <c r="N361" s="117"/>
      <c r="O361" s="117"/>
    </row>
    <row r="362" spans="1:15">
      <c r="A362" s="74"/>
      <c r="B362" s="117"/>
      <c r="C362" s="118"/>
      <c r="D362" s="118"/>
      <c r="E362" s="119"/>
      <c r="F362" s="118"/>
      <c r="G362" s="118"/>
      <c r="H362" s="118"/>
      <c r="I362" s="118"/>
      <c r="J362" s="118"/>
      <c r="K362" s="118"/>
      <c r="L362" s="117"/>
      <c r="M362" s="132"/>
      <c r="N362" s="117"/>
      <c r="O362" s="117"/>
    </row>
    <row r="363" spans="1:15">
      <c r="A363" s="74"/>
      <c r="B363" s="117"/>
      <c r="C363" s="118"/>
      <c r="D363" s="118"/>
      <c r="E363" s="119"/>
      <c r="F363" s="118"/>
      <c r="G363" s="118"/>
      <c r="H363" s="118"/>
      <c r="I363" s="118"/>
      <c r="J363" s="118"/>
      <c r="K363" s="118"/>
      <c r="L363" s="117"/>
      <c r="M363" s="132"/>
      <c r="N363" s="117"/>
      <c r="O363" s="117"/>
    </row>
    <row r="364" spans="1:15">
      <c r="A364" s="74"/>
      <c r="B364" s="117"/>
      <c r="C364" s="118"/>
      <c r="D364" s="118"/>
      <c r="E364" s="119"/>
      <c r="F364" s="118"/>
      <c r="G364" s="118"/>
      <c r="H364" s="118"/>
      <c r="I364" s="118"/>
      <c r="J364" s="118"/>
      <c r="K364" s="118"/>
      <c r="L364" s="117"/>
      <c r="M364" s="132"/>
      <c r="N364" s="117"/>
      <c r="O364" s="117"/>
    </row>
    <row r="365" spans="1:15">
      <c r="A365" s="74"/>
      <c r="B365" s="117"/>
      <c r="C365" s="118"/>
      <c r="D365" s="118"/>
      <c r="E365" s="119"/>
      <c r="F365" s="118"/>
      <c r="G365" s="118"/>
      <c r="H365" s="118"/>
      <c r="I365" s="118"/>
      <c r="J365" s="118"/>
      <c r="K365" s="118"/>
      <c r="L365" s="117"/>
      <c r="M365" s="132"/>
      <c r="N365" s="117"/>
      <c r="O365" s="117"/>
    </row>
    <row r="366" spans="1:15">
      <c r="A366" s="74"/>
      <c r="B366" s="117"/>
      <c r="C366" s="118"/>
      <c r="D366" s="118"/>
      <c r="E366" s="119"/>
      <c r="F366" s="118"/>
      <c r="G366" s="118"/>
      <c r="H366" s="118"/>
      <c r="I366" s="118"/>
      <c r="J366" s="118"/>
      <c r="K366" s="118"/>
      <c r="L366" s="117"/>
      <c r="M366" s="132"/>
      <c r="N366" s="117"/>
      <c r="O366" s="117"/>
    </row>
    <row r="367" spans="1:15">
      <c r="A367" s="74"/>
      <c r="B367" s="117"/>
      <c r="C367" s="118"/>
      <c r="D367" s="118"/>
      <c r="E367" s="119"/>
      <c r="F367" s="118"/>
      <c r="G367" s="118"/>
      <c r="H367" s="118"/>
      <c r="I367" s="118"/>
      <c r="J367" s="118"/>
      <c r="K367" s="118"/>
      <c r="L367" s="117"/>
      <c r="M367" s="132"/>
      <c r="N367" s="117"/>
      <c r="O367" s="117"/>
    </row>
    <row r="368" spans="1:15">
      <c r="A368" s="74"/>
      <c r="B368" s="117"/>
      <c r="C368" s="118"/>
      <c r="D368" s="118"/>
      <c r="E368" s="119"/>
      <c r="F368" s="118"/>
      <c r="G368" s="118"/>
      <c r="H368" s="118"/>
      <c r="I368" s="118"/>
      <c r="J368" s="118"/>
      <c r="K368" s="118"/>
      <c r="L368" s="117"/>
      <c r="M368" s="132"/>
      <c r="N368" s="117"/>
      <c r="O368" s="117"/>
    </row>
    <row r="369" spans="1:15">
      <c r="A369" s="74"/>
      <c r="B369" s="117"/>
      <c r="C369" s="118"/>
      <c r="D369" s="118"/>
      <c r="E369" s="119"/>
      <c r="F369" s="118"/>
      <c r="G369" s="118"/>
      <c r="H369" s="118"/>
      <c r="I369" s="118"/>
      <c r="J369" s="118"/>
      <c r="K369" s="118"/>
      <c r="L369" s="117"/>
      <c r="M369" s="132"/>
      <c r="N369" s="117"/>
      <c r="O369" s="117"/>
    </row>
    <row r="370" spans="1:15">
      <c r="A370" s="74"/>
      <c r="B370" s="117"/>
      <c r="C370" s="118"/>
      <c r="D370" s="118"/>
      <c r="E370" s="119"/>
      <c r="F370" s="118"/>
      <c r="G370" s="118"/>
      <c r="H370" s="118"/>
      <c r="I370" s="118"/>
      <c r="J370" s="118"/>
      <c r="K370" s="118"/>
      <c r="L370" s="117"/>
      <c r="M370" s="132"/>
      <c r="N370" s="117"/>
      <c r="O370" s="117"/>
    </row>
    <row r="371" spans="1:15">
      <c r="A371" s="74"/>
      <c r="B371" s="117"/>
      <c r="C371" s="118"/>
      <c r="D371" s="118"/>
      <c r="E371" s="119"/>
      <c r="F371" s="118"/>
      <c r="G371" s="118"/>
      <c r="H371" s="118"/>
      <c r="I371" s="118"/>
      <c r="J371" s="118"/>
      <c r="K371" s="118"/>
      <c r="L371" s="117"/>
      <c r="M371" s="132"/>
      <c r="N371" s="117"/>
      <c r="O371" s="117"/>
    </row>
    <row r="372" spans="1:15">
      <c r="A372" s="74"/>
      <c r="B372" s="117"/>
      <c r="C372" s="118"/>
      <c r="D372" s="118"/>
      <c r="E372" s="119"/>
      <c r="F372" s="118"/>
      <c r="G372" s="118"/>
      <c r="H372" s="118"/>
      <c r="I372" s="118"/>
      <c r="J372" s="118"/>
      <c r="K372" s="118"/>
      <c r="L372" s="117"/>
      <c r="M372" s="132"/>
      <c r="N372" s="117"/>
      <c r="O372" s="117"/>
    </row>
    <row r="373" spans="1:15">
      <c r="A373" s="74"/>
      <c r="B373" s="117"/>
      <c r="C373" s="118"/>
      <c r="D373" s="118"/>
      <c r="E373" s="119"/>
      <c r="F373" s="118"/>
      <c r="G373" s="118"/>
      <c r="H373" s="118"/>
      <c r="I373" s="118"/>
      <c r="J373" s="118"/>
      <c r="K373" s="118"/>
      <c r="L373" s="117"/>
      <c r="M373" s="132"/>
      <c r="N373" s="117"/>
      <c r="O373" s="117"/>
    </row>
    <row r="374" spans="1:15">
      <c r="A374" s="74"/>
      <c r="B374" s="117"/>
      <c r="C374" s="118"/>
      <c r="D374" s="118"/>
      <c r="E374" s="119"/>
      <c r="F374" s="118"/>
      <c r="G374" s="118"/>
      <c r="H374" s="118"/>
      <c r="I374" s="118"/>
      <c r="J374" s="118"/>
      <c r="K374" s="118"/>
      <c r="L374" s="117"/>
      <c r="M374" s="132"/>
      <c r="N374" s="117"/>
      <c r="O374" s="117"/>
    </row>
    <row r="375" spans="1:15">
      <c r="A375" s="74"/>
      <c r="B375" s="117"/>
      <c r="C375" s="118"/>
      <c r="D375" s="118"/>
      <c r="E375" s="119"/>
      <c r="F375" s="118"/>
      <c r="G375" s="118"/>
      <c r="H375" s="118"/>
      <c r="I375" s="118"/>
      <c r="J375" s="118"/>
      <c r="K375" s="118"/>
      <c r="L375" s="117"/>
      <c r="M375" s="132"/>
      <c r="N375" s="117"/>
      <c r="O375" s="117"/>
    </row>
    <row r="376" spans="1:15">
      <c r="A376" s="74"/>
      <c r="B376" s="117"/>
      <c r="C376" s="118"/>
      <c r="D376" s="118"/>
      <c r="E376" s="119"/>
      <c r="F376" s="118"/>
      <c r="G376" s="118"/>
      <c r="H376" s="118"/>
      <c r="I376" s="118"/>
      <c r="J376" s="118"/>
      <c r="K376" s="118"/>
      <c r="L376" s="117"/>
      <c r="M376" s="132"/>
      <c r="N376" s="117"/>
      <c r="O376" s="117"/>
    </row>
    <row r="377" spans="1:15">
      <c r="A377" s="74"/>
      <c r="B377" s="117"/>
      <c r="C377" s="118"/>
      <c r="D377" s="118"/>
      <c r="E377" s="119"/>
      <c r="F377" s="118"/>
      <c r="G377" s="118"/>
      <c r="H377" s="118"/>
      <c r="I377" s="118"/>
      <c r="J377" s="118"/>
      <c r="K377" s="118"/>
      <c r="L377" s="117"/>
      <c r="M377" s="132"/>
      <c r="N377" s="117"/>
      <c r="O377" s="117"/>
    </row>
    <row r="378" spans="1:15">
      <c r="A378" s="74"/>
      <c r="B378" s="117"/>
      <c r="C378" s="118"/>
      <c r="D378" s="118"/>
      <c r="E378" s="119"/>
      <c r="F378" s="118"/>
      <c r="G378" s="118"/>
      <c r="H378" s="118"/>
      <c r="I378" s="118"/>
      <c r="J378" s="118"/>
      <c r="K378" s="118"/>
      <c r="L378" s="117"/>
      <c r="M378" s="132"/>
      <c r="N378" s="117"/>
      <c r="O378" s="117"/>
    </row>
    <row r="379" spans="1:15">
      <c r="A379" s="74"/>
      <c r="B379" s="117"/>
      <c r="C379" s="118"/>
      <c r="D379" s="118"/>
      <c r="E379" s="119"/>
      <c r="F379" s="118"/>
      <c r="G379" s="118"/>
      <c r="H379" s="118"/>
      <c r="I379" s="118"/>
      <c r="J379" s="118"/>
      <c r="K379" s="118"/>
      <c r="L379" s="117"/>
      <c r="M379" s="132"/>
      <c r="N379" s="117"/>
      <c r="O379" s="117"/>
    </row>
    <row r="380" spans="1:15">
      <c r="A380" s="74"/>
      <c r="B380" s="117"/>
      <c r="C380" s="118"/>
      <c r="D380" s="118"/>
      <c r="E380" s="119"/>
      <c r="F380" s="118"/>
      <c r="G380" s="118"/>
      <c r="H380" s="118"/>
      <c r="I380" s="118"/>
      <c r="J380" s="118"/>
      <c r="K380" s="118"/>
      <c r="L380" s="117"/>
      <c r="M380" s="132"/>
      <c r="N380" s="117"/>
      <c r="O380" s="117"/>
    </row>
  </sheetData>
  <mergeCells count="24">
    <mergeCell ref="J11:K11"/>
    <mergeCell ref="L11:L12"/>
    <mergeCell ref="A1:O1"/>
    <mergeCell ref="A2:O2"/>
    <mergeCell ref="A3:O3"/>
    <mergeCell ref="A4:E4"/>
    <mergeCell ref="F4:J4"/>
    <mergeCell ref="K4:O4"/>
    <mergeCell ref="F5:J5"/>
    <mergeCell ref="K5:O5"/>
    <mergeCell ref="A6:O6"/>
    <mergeCell ref="M9:N9"/>
    <mergeCell ref="M11:M12"/>
    <mergeCell ref="N11:N12"/>
    <mergeCell ref="A10:O10"/>
    <mergeCell ref="A5:E5"/>
    <mergeCell ref="O11:O12"/>
    <mergeCell ref="A11:A12"/>
    <mergeCell ref="B11:B12"/>
    <mergeCell ref="C11:C12"/>
    <mergeCell ref="D11:D12"/>
    <mergeCell ref="E11:E12"/>
    <mergeCell ref="F11:G11"/>
    <mergeCell ref="H11:I11"/>
  </mergeCells>
  <printOptions horizontalCentered="1"/>
  <pageMargins left="0.70866141732283472" right="0.31496062992125984" top="0.74803149606299213" bottom="0.31496062992125984" header="0.31496062992125984" footer="0.31496062992125984"/>
  <pageSetup paperSize="9" scale="89" orientation="portrait" r:id="rId1"/>
  <rowBreaks count="1" manualBreakCount="1">
    <brk id="69" max="14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6117-1CB2-4306-9A30-6D10B72B7C58}">
  <sheetPr codeName="Sheet5"/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124+900 </vt:lpstr>
      <vt:lpstr>BC.124+900 </vt:lpstr>
      <vt:lpstr>SL.124+900 </vt:lpstr>
      <vt:lpstr>IN 124+900</vt:lpstr>
      <vt:lpstr>Sheet1</vt:lpstr>
      <vt:lpstr>'124+900 '!Print_Area</vt:lpstr>
      <vt:lpstr>'BC.124+900 '!Print_Area</vt:lpstr>
      <vt:lpstr>'IN 124+900'!Print_Area</vt:lpstr>
      <vt:lpstr>'SL.124+900 '!Print_Area</vt:lpstr>
      <vt:lpstr>'BC.124+900 '!Print_Titles</vt:lpstr>
      <vt:lpstr>'IN 124+900'!Print_Titles</vt:lpstr>
      <vt:lpstr>'SL.124+900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cp:lastPrinted>2025-06-10T08:30:26Z</cp:lastPrinted>
  <dcterms:created xsi:type="dcterms:W3CDTF">2025-06-08T13:01:36Z</dcterms:created>
  <dcterms:modified xsi:type="dcterms:W3CDTF">2025-07-17T22:51:18Z</dcterms:modified>
</cp:coreProperties>
</file>